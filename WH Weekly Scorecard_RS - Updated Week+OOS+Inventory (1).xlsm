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hujun Ji\Downloads\"/>
    </mc:Choice>
  </mc:AlternateContent>
  <xr:revisionPtr revIDLastSave="0" documentId="13_ncr:1_{A43867AE-C35D-4759-A0EA-7480BD98B087}" xr6:coauthVersionLast="47" xr6:coauthVersionMax="47" xr10:uidLastSave="{00000000-0000-0000-0000-000000000000}"/>
  <bookViews>
    <workbookView xWindow="-103" yWindow="-103" windowWidth="22149" windowHeight="11829" xr2:uid="{00000000-000D-0000-FFFF-FFFF00000000}"/>
  </bookViews>
  <sheets>
    <sheet name="Weekly" sheetId="12" r:id="rId1"/>
    <sheet name="Revolve" sheetId="13" r:id="rId2"/>
    <sheet name="FWRD" sheetId="15" r:id="rId3"/>
    <sheet name="SQL" sheetId="11" r:id="rId4"/>
  </sheets>
  <functionGroups builtInGroupCount="19"/>
  <definedNames>
    <definedName name="ExternalData_1" localSheetId="3" hidden="1">SQL!$I$41:$Q$1104</definedName>
    <definedName name="ExternalData_10" localSheetId="3" hidden="1">SQL!$BY$41:$CC$296</definedName>
    <definedName name="ExternalData_11" localSheetId="3" hidden="1">SQL!$CF$41:$DA$251</definedName>
    <definedName name="ExternalData_12" localSheetId="3" hidden="1">SQL!$DD$41:$DH$251</definedName>
    <definedName name="ExternalData_126" localSheetId="3" hidden="1">SQL!#REF!</definedName>
    <definedName name="ExternalData_127" localSheetId="3" hidden="1">SQL!#REF!</definedName>
    <definedName name="ExternalData_128" localSheetId="3" hidden="1">SQL!#REF!</definedName>
    <definedName name="ExternalData_129" localSheetId="3" hidden="1">SQL!#REF!</definedName>
    <definedName name="ExternalData_13" localSheetId="3" hidden="1">SQL!$DJ$41:$DM$813</definedName>
    <definedName name="ExternalData_130" localSheetId="3" hidden="1">SQL!#REF!</definedName>
    <definedName name="ExternalData_131" localSheetId="3" hidden="1">SQL!#REF!</definedName>
    <definedName name="ExternalData_132" localSheetId="3" hidden="1">SQL!#REF!</definedName>
    <definedName name="ExternalData_133" localSheetId="3" hidden="1">SQL!#REF!</definedName>
    <definedName name="ExternalData_134" localSheetId="3" hidden="1">SQL!#REF!</definedName>
    <definedName name="ExternalData_135" localSheetId="3" hidden="1">SQL!#REF!</definedName>
    <definedName name="ExternalData_136" localSheetId="3" hidden="1">SQL!#REF!</definedName>
    <definedName name="ExternalData_137" localSheetId="3" hidden="1">SQL!#REF!</definedName>
    <definedName name="ExternalData_138" localSheetId="3" hidden="1">SQL!#REF!</definedName>
    <definedName name="ExternalData_139" localSheetId="3" hidden="1">SQL!#REF!</definedName>
    <definedName name="ExternalData_14" localSheetId="3" hidden="1">SQL!$DP$41:$DT$323</definedName>
    <definedName name="ExternalData_140" localSheetId="3" hidden="1">SQL!#REF!</definedName>
    <definedName name="ExternalData_141" localSheetId="3" hidden="1">SQL!#REF!</definedName>
    <definedName name="ExternalData_142" localSheetId="3" hidden="1">SQL!#REF!</definedName>
    <definedName name="ExternalData_143" localSheetId="3" hidden="1">SQL!#REF!</definedName>
    <definedName name="ExternalData_144" localSheetId="3" hidden="1">SQL!#REF!</definedName>
    <definedName name="ExternalData_145" localSheetId="3" hidden="1">SQL!#REF!</definedName>
    <definedName name="ExternalData_146" localSheetId="3" hidden="1">SQL!#REF!</definedName>
    <definedName name="ExternalData_147" localSheetId="3" hidden="1">SQL!#REF!</definedName>
    <definedName name="ExternalData_148" localSheetId="3" hidden="1">SQL!#REF!</definedName>
    <definedName name="ExternalData_149" localSheetId="3" hidden="1">SQL!#REF!</definedName>
    <definedName name="ExternalData_15" localSheetId="3" hidden="1">SQL!$DW$41:$EF$355</definedName>
    <definedName name="ExternalData_150" localSheetId="3" hidden="1">SQL!#REF!</definedName>
    <definedName name="ExternalData_151" localSheetId="3" hidden="1">SQL!#REF!</definedName>
    <definedName name="ExternalData_152" localSheetId="3" hidden="1">SQL!#REF!</definedName>
    <definedName name="ExternalData_153" localSheetId="3" hidden="1">SQL!#REF!</definedName>
    <definedName name="ExternalData_154" localSheetId="3" hidden="1">SQL!#REF!</definedName>
    <definedName name="ExternalData_155" localSheetId="3" hidden="1">SQL!#REF!</definedName>
    <definedName name="ExternalData_156" localSheetId="3" hidden="1">SQL!#REF!</definedName>
    <definedName name="ExternalData_157" localSheetId="3" hidden="1">SQL!#REF!</definedName>
    <definedName name="ExternalData_158" localSheetId="3" hidden="1">SQL!#REF!</definedName>
    <definedName name="ExternalData_159" localSheetId="3" hidden="1">SQL!#REF!</definedName>
    <definedName name="ExternalData_16" localSheetId="3" hidden="1">SQL!$EI$41:$EN$2273</definedName>
    <definedName name="ExternalData_160" localSheetId="3" hidden="1">SQL!#REF!</definedName>
    <definedName name="ExternalData_161" localSheetId="3" hidden="1">SQL!#REF!</definedName>
    <definedName name="ExternalData_162" localSheetId="3" hidden="1">SQL!#REF!</definedName>
    <definedName name="ExternalData_163" localSheetId="3" hidden="1">SQL!#REF!</definedName>
    <definedName name="ExternalData_164" localSheetId="3" hidden="1">SQL!#REF!</definedName>
    <definedName name="ExternalData_165" localSheetId="3" hidden="1">SQL!#REF!</definedName>
    <definedName name="ExternalData_166" localSheetId="3" hidden="1">SQL!#REF!</definedName>
    <definedName name="ExternalData_167" localSheetId="3" hidden="1">SQL!#REF!</definedName>
    <definedName name="ExternalData_168" localSheetId="3" hidden="1">SQL!#REF!</definedName>
    <definedName name="ExternalData_169" localSheetId="3" hidden="1">SQL!#REF!</definedName>
    <definedName name="ExternalData_17" localSheetId="3" hidden="1">SQL!$ES$41:$EV$940</definedName>
    <definedName name="ExternalData_170" localSheetId="3" hidden="1">SQL!#REF!</definedName>
    <definedName name="ExternalData_171" localSheetId="3" hidden="1">SQL!#REF!</definedName>
    <definedName name="ExternalData_172" localSheetId="3" hidden="1">SQL!#REF!</definedName>
    <definedName name="ExternalData_173" localSheetId="3" hidden="1">SQL!#REF!</definedName>
    <definedName name="ExternalData_174" localSheetId="3" hidden="1">SQL!#REF!</definedName>
    <definedName name="ExternalData_175" localSheetId="3" hidden="1">SQL!#REF!</definedName>
    <definedName name="ExternalData_176" localSheetId="3" hidden="1">SQL!#REF!</definedName>
    <definedName name="ExternalData_177" localSheetId="3" hidden="1">SQL!#REF!</definedName>
    <definedName name="ExternalData_178" localSheetId="3" hidden="1">SQL!#REF!</definedName>
    <definedName name="ExternalData_179" localSheetId="3" hidden="1">SQL!#REF!</definedName>
    <definedName name="ExternalData_18" localSheetId="3" hidden="1">SQL!$FE$41:$FK$251</definedName>
    <definedName name="ExternalData_180" localSheetId="3" hidden="1">SQL!#REF!</definedName>
    <definedName name="ExternalData_181" localSheetId="3" hidden="1">SQL!#REF!</definedName>
    <definedName name="ExternalData_182" localSheetId="3" hidden="1">SQL!#REF!</definedName>
    <definedName name="ExternalData_183" localSheetId="3" hidden="1">SQL!#REF!</definedName>
    <definedName name="ExternalData_184" localSheetId="3" hidden="1">SQL!#REF!</definedName>
    <definedName name="ExternalData_185" localSheetId="3" hidden="1">SQL!#REF!</definedName>
    <definedName name="ExternalData_186" localSheetId="3" hidden="1">SQL!#REF!</definedName>
    <definedName name="ExternalData_187" localSheetId="3" hidden="1">SQL!#REF!</definedName>
    <definedName name="ExternalData_188" localSheetId="3" hidden="1">SQL!#REF!</definedName>
    <definedName name="ExternalData_189" localSheetId="3" hidden="1">SQL!#REF!</definedName>
    <definedName name="ExternalData_190" localSheetId="3" hidden="1">SQL!#REF!</definedName>
    <definedName name="ExternalData_191" localSheetId="3" hidden="1">SQL!#REF!</definedName>
    <definedName name="ExternalData_192" localSheetId="3" hidden="1">SQL!#REF!</definedName>
    <definedName name="ExternalData_193" localSheetId="3" hidden="1">SQL!#REF!</definedName>
    <definedName name="ExternalData_194" localSheetId="3" hidden="1">SQL!#REF!</definedName>
    <definedName name="ExternalData_195" localSheetId="3" hidden="1">SQL!#REF!</definedName>
    <definedName name="ExternalData_196" localSheetId="3" hidden="1">SQL!#REF!</definedName>
    <definedName name="ExternalData_197" localSheetId="3" hidden="1">SQL!#REF!</definedName>
    <definedName name="ExternalData_198" localSheetId="3" hidden="1">SQL!#REF!</definedName>
    <definedName name="ExternalData_199" localSheetId="3" hidden="1">SQL!#REF!</definedName>
    <definedName name="ExternalData_2" localSheetId="3" hidden="1">SQL!$W$41:$AC$439</definedName>
    <definedName name="ExternalData_20" localSheetId="3" hidden="1">SQL!$FW$41:$GA$1103</definedName>
    <definedName name="ExternalData_200" localSheetId="3" hidden="1">SQL!#REF!</definedName>
    <definedName name="ExternalData_201" localSheetId="3" hidden="1">SQL!#REF!</definedName>
    <definedName name="ExternalData_202" localSheetId="3" hidden="1">SQL!#REF!</definedName>
    <definedName name="ExternalData_203" localSheetId="3" hidden="1">SQL!#REF!</definedName>
    <definedName name="ExternalData_204" localSheetId="3" hidden="1">SQL!#REF!</definedName>
    <definedName name="ExternalData_205" localSheetId="3" hidden="1">SQL!#REF!</definedName>
    <definedName name="ExternalData_206" localSheetId="3" hidden="1">SQL!#REF!</definedName>
    <definedName name="ExternalData_207" localSheetId="3" hidden="1">SQL!#REF!</definedName>
    <definedName name="ExternalData_208" localSheetId="3" hidden="1">SQL!#REF!</definedName>
    <definedName name="ExternalData_209" localSheetId="3" hidden="1">SQL!#REF!</definedName>
    <definedName name="ExternalData_21" localSheetId="3" hidden="1">SQL!$GD$41:$GH$439</definedName>
    <definedName name="ExternalData_210" localSheetId="3" hidden="1">SQL!#REF!</definedName>
    <definedName name="ExternalData_211" localSheetId="3" hidden="1">SQL!#REF!</definedName>
    <definedName name="ExternalData_212" localSheetId="3" hidden="1">SQL!#REF!</definedName>
    <definedName name="ExternalData_213" localSheetId="3" hidden="1">SQL!#REF!</definedName>
    <definedName name="ExternalData_214" localSheetId="3" hidden="1">SQL!#REF!</definedName>
    <definedName name="ExternalData_22" localSheetId="3" hidden="1">SQL!$GK$41:$GN$55</definedName>
    <definedName name="ExternalData_23" localSheetId="3" hidden="1">SQL!$GP$41:$GS$267</definedName>
    <definedName name="ExternalData_24" localSheetId="3" hidden="1">SQL!$GX$41:$HI$1039</definedName>
    <definedName name="ExternalData_25" localSheetId="3" hidden="1">SQL!$HZ$41:$ID$1032</definedName>
    <definedName name="ExternalData_26" localSheetId="3" hidden="1">SQL!$IG$41:$IK$439</definedName>
    <definedName name="ExternalData_27" localSheetId="3" hidden="1">SQL!$FN$41:$FT$251</definedName>
    <definedName name="ExternalData_3" localSheetId="3" hidden="1">SQL!$EY$41:$FB$262</definedName>
    <definedName name="ExternalData_4" localSheetId="3" hidden="1">SQL!$HL$41:$HW$439</definedName>
    <definedName name="ExternalData_458" localSheetId="3" hidden="1">SQL!#REF!</definedName>
    <definedName name="ExternalData_5" localSheetId="3" hidden="1">SQL!$AK$41:$AS$251</definedName>
    <definedName name="ExternalData_552" localSheetId="3" hidden="1">SQL!#REF!</definedName>
    <definedName name="ExternalData_6" localSheetId="3" hidden="1">SQL!$AU$41:$AZ$267</definedName>
    <definedName name="ExternalData_7" localSheetId="3" hidden="1">SQL!$BC$41:$BF$267</definedName>
    <definedName name="ExternalData_8" localSheetId="3" hidden="1">SQL!$BI$41:$BO$493</definedName>
    <definedName name="ExternalData_9" localSheetId="3" hidden="1">SQL!$BR$41:$BV$275</definedName>
    <definedName name="_xlnm.Print_Area" localSheetId="2">FWRD!$A$2:$Y$153</definedName>
    <definedName name="_xlnm.Print_Area" localSheetId="1">Revolve!$A$2:$Y$155</definedName>
    <definedName name="_xlnm.Print_Area" localSheetId="0">Weekly!$A$2:$Y$149</definedName>
    <definedName name="revolveclothing_com___db_surveyquestion" localSheetId="3" hidden="1">SQL!#REF!</definedName>
    <definedName name="revolveclothing_com___db_surveyquestion_1" localSheetId="3" hidden="1">SQL!#REF!</definedName>
    <definedName name="revolveclothing_com___db_surveyquestion_18" localSheetId="3" hidden="1">SQL!#REF!</definedName>
    <definedName name="revolveclothing_com___db_surveyquestion_19" localSheetId="3" hidden="1">SQL!#REF!</definedName>
    <definedName name="revolveclothing_com___db_surveyquestion_20" localSheetId="3" hidden="1">SQL!#REF!</definedName>
    <definedName name="revolveclothing_com___db_surveyquestion_21" localSheetId="3" hidden="1">SQL!#REF!</definedName>
    <definedName name="revolveclothing_com___db_surveyquestion_22" localSheetId="3" hidden="1">SQL!#REF!</definedName>
    <definedName name="revolveclothing_com___db_surveyquestion_23" localSheetId="3" hidden="1">SQL!#REF!</definedName>
    <definedName name="revolveclothing_com___db_surveyquestion_24" localSheetId="3" hidden="1">SQL!#REF!</definedName>
    <definedName name="revolveclothing_com___db_surveyquestion_25" localSheetId="3" hidden="1">SQL!#REF!</definedName>
    <definedName name="revolveclothing_com___db_surveyquestion_26" localSheetId="3" hidden="1">SQL!#REF!</definedName>
    <definedName name="revolveclothing_com___db_surveyquestion_27" localSheetId="3" hidden="1">SQL!#REF!</definedName>
    <definedName name="revolveclothing_com___db_surveyquestion_28" localSheetId="3" hidden="1">SQL!#REF!</definedName>
    <definedName name="revolveclothing_com___db_surveyquestion_42" localSheetId="3" hidden="1">SQL!#REF!</definedName>
    <definedName name="revolveclothing_com___db_surveyquestion_43" localSheetId="3" hidden="1">SQL!#REF!</definedName>
    <definedName name="revolveclothing_com___db_surveyquestion_44" localSheetId="3" hidden="1">SQL!#REF!</definedName>
    <definedName name="revolveclothing_com___db_surveyquestion_45" localSheetId="3" hidden="1">SQL!#REF!</definedName>
    <definedName name="revolveclothing_com___db_surveyquestion_46" localSheetId="3" hidden="1">SQL!#REF!</definedName>
    <definedName name="revolveclothing_com___db_surveyquestion_47" localSheetId="3" hidden="1">SQL!#REF!</definedName>
    <definedName name="revolveclothing_com___db_surveyquestion_48" localSheetId="3" hidden="1">SQL!#REF!</definedName>
    <definedName name="revolveclothing_com___db_surveyquestion_49" localSheetId="3" hidden="1">SQL!#REF!</definedName>
    <definedName name="revolveclothing_com___db_surveyquestion_50" localSheetId="3" hidden="1">SQL!#REF!</definedName>
    <definedName name="revolveclothing_com___db_surveyquestion_51" localSheetId="3" hidden="1">SQL!#REF!</definedName>
    <definedName name="revolveclothing_com___db_surveyquestion_52" localSheetId="3" hidden="1">SQL!#REF!</definedName>
    <definedName name="revolveclothing_com___db_surveyquestion_53" localSheetId="3" hidden="1">SQL!#REF!</definedName>
    <definedName name="revolveclothing_com___db_surveyquestion_54" localSheetId="3" hidden="1">SQL!#REF!</definedName>
    <definedName name="revolveclothing_com___db_surveyquestion_55" localSheetId="3" hidden="1">SQL!#REF!</definedName>
    <definedName name="revolveclothing_com___db_surveyquestion_56" localSheetId="3" hidden="1">SQL!#REF!</definedName>
    <definedName name="revolveclothing_com___db_surveyquestion_57" localSheetId="3" hidden="1">SQL!#REF!</definedName>
    <definedName name="revolveclothing_com___db_surveyquestion_58" localSheetId="3" hidden="1">SQL!#REF!</definedName>
    <definedName name="revolveclothing_com___db_surveyquestion_59" localSheetId="3" hidden="1">SQL!#REF!</definedName>
    <definedName name="revolveclothing_com___db_surveyquestion_60" localSheetId="3" hidden="1">SQL!#REF!</definedName>
    <definedName name="revolveclothing_com___db_surveyquestion_61" localSheetId="3" hidden="1">SQL!#REF!</definedName>
    <definedName name="revolveclothing_com___db_surveyquestion_62" localSheetId="3" hidden="1">SQL!#REF!</definedName>
    <definedName name="revolveclothing_com___db_surveyquestion_63" localSheetId="3" hidden="1">SQL!#REF!</definedName>
    <definedName name="revolveclothing_com___db_surveyquestion_64" localSheetId="3" hidden="1">SQL!#REF!</definedName>
    <definedName name="revolveclothing_com___db_surveyquestion_65" localSheetId="3" hidden="1">SQL!#REF!</definedName>
    <definedName name="Today">SQL!$E$2</definedName>
    <definedName name="TodaySql">SQL!$E$3</definedName>
    <definedName name="YesterdaySql">SQL!$E$4</definedName>
  </definedNames>
  <calcPr calcId="181029"/>
</workbook>
</file>

<file path=xl/calcChain.xml><?xml version="1.0" encoding="utf-8"?>
<calcChain xmlns="http://schemas.openxmlformats.org/spreadsheetml/2006/main">
  <c r="T5" i="12" l="1"/>
  <c r="T6" i="12"/>
  <c r="E30" i="11"/>
  <c r="E31" i="11"/>
  <c r="T138" i="12" a="1"/>
  <c r="T135" i="12" a="1"/>
  <c r="F30" i="11"/>
  <c r="C18" i="11"/>
  <c r="G30" i="11"/>
  <c r="G31" i="11"/>
  <c r="C31" i="11"/>
  <c r="F31" i="11"/>
  <c r="C30" i="11"/>
  <c r="T138" i="12" l="1"/>
  <c r="T135" i="12"/>
  <c r="T6" i="15"/>
  <c r="T6" i="13"/>
  <c r="C27" i="11"/>
  <c r="C26" i="11"/>
  <c r="C29" i="11"/>
  <c r="C28" i="11"/>
  <c r="S6" i="12" l="1"/>
  <c r="E25" i="11" l="1"/>
  <c r="E24" i="11"/>
  <c r="C25" i="11" a="1"/>
  <c r="C24" i="11" a="1"/>
  <c r="G25" i="11"/>
  <c r="G24" i="11"/>
  <c r="F25" i="11" a="1"/>
  <c r="F24" i="11" a="1"/>
  <c r="F25" i="11" l="1"/>
  <c r="C25" i="11"/>
  <c r="F24" i="11"/>
  <c r="C24" i="11"/>
  <c r="S6" i="15"/>
  <c r="T5" i="15"/>
  <c r="T119" i="15" a="1"/>
  <c r="T110" i="15" a="1"/>
  <c r="T99" i="15" a="1"/>
  <c r="T42" i="15" a="1"/>
  <c r="T126" i="15" a="1"/>
  <c r="T48" i="15" a="1"/>
  <c r="C23" i="11" a="1"/>
  <c r="T123" i="15" a="1"/>
  <c r="T151" i="15" a="1"/>
  <c r="T29" i="15" a="1"/>
  <c r="T84" i="15" a="1"/>
  <c r="T75" i="15" a="1"/>
  <c r="T116" i="15" a="1"/>
  <c r="T20" i="15" a="1"/>
  <c r="T135" i="15" a="1"/>
  <c r="T104" i="15" a="1"/>
  <c r="T11" i="15" a="1"/>
  <c r="T129" i="15" a="1"/>
  <c r="T146" i="15" a="1"/>
  <c r="T144" i="15" a="1"/>
  <c r="T88" i="15" a="1"/>
  <c r="T26" i="15" a="1"/>
  <c r="T7" i="15" a="1"/>
  <c r="T101" i="15" a="1"/>
  <c r="T121" i="15" a="1"/>
  <c r="T35" i="15" a="1"/>
  <c r="T14" i="15" a="1"/>
  <c r="T78" i="15" a="1"/>
  <c r="T142" i="15" a="1"/>
  <c r="T45" i="15" a="1"/>
  <c r="T107" i="15" a="1"/>
  <c r="F23" i="11" a="1"/>
  <c r="T147" i="15" a="1"/>
  <c r="T145" i="15" a="1"/>
  <c r="T72" i="15" a="1"/>
  <c r="T113" i="15" a="1"/>
  <c r="T40" i="15" a="1"/>
  <c r="T90" i="15" a="1"/>
  <c r="T87" i="15" a="1"/>
  <c r="T63" i="15" a="1"/>
  <c r="T149" i="15" a="1"/>
  <c r="T81" i="15" a="1"/>
  <c r="T97" i="15" a="1"/>
  <c r="T17" i="15" a="1"/>
  <c r="T54" i="15" a="1"/>
  <c r="T38" i="15" a="1"/>
  <c r="T93" i="15" a="1"/>
  <c r="T23" i="15" a="1"/>
  <c r="T66" i="15" a="1"/>
  <c r="G23" i="11"/>
  <c r="T8" i="15" a="1"/>
  <c r="T132" i="15" a="1"/>
  <c r="T57" i="15" a="1"/>
  <c r="T152" i="15" a="1"/>
  <c r="T138" i="15" a="1"/>
  <c r="T135" i="15" l="1"/>
  <c r="T138" i="15"/>
  <c r="T29" i="15"/>
  <c r="T26" i="15"/>
  <c r="T23" i="15"/>
  <c r="T20" i="15"/>
  <c r="T151" i="15"/>
  <c r="T146" i="15"/>
  <c r="T144" i="15"/>
  <c r="T147" i="15"/>
  <c r="T145" i="15"/>
  <c r="T152" i="15"/>
  <c r="T110" i="15"/>
  <c r="T126" i="15"/>
  <c r="T7" i="15"/>
  <c r="T14" i="15"/>
  <c r="T17" i="15"/>
  <c r="T81" i="15"/>
  <c r="T84" i="15"/>
  <c r="C23" i="11"/>
  <c r="F23" i="11"/>
  <c r="S5" i="15"/>
  <c r="T8" i="15"/>
  <c r="T11" i="15"/>
  <c r="T42" i="15"/>
  <c r="T45" i="15"/>
  <c r="T57" i="15"/>
  <c r="T63" i="15"/>
  <c r="T35" i="15"/>
  <c r="T48" i="15"/>
  <c r="T66" i="15"/>
  <c r="T38" i="15"/>
  <c r="T40" i="15"/>
  <c r="T54" i="15"/>
  <c r="T97" i="15"/>
  <c r="T107" i="15"/>
  <c r="T72" i="15"/>
  <c r="T75" i="15"/>
  <c r="T87" i="15"/>
  <c r="T88" i="15"/>
  <c r="T93" i="15"/>
  <c r="T78" i="15"/>
  <c r="T101" i="15"/>
  <c r="T90" i="15"/>
  <c r="T99" i="15"/>
  <c r="T104" i="15"/>
  <c r="T123" i="15"/>
  <c r="T121" i="15"/>
  <c r="T113" i="15"/>
  <c r="T116" i="15"/>
  <c r="T119" i="15"/>
  <c r="T149" i="15"/>
  <c r="T129" i="15"/>
  <c r="T132" i="15"/>
  <c r="T142" i="15"/>
  <c r="R6" i="15"/>
  <c r="S138" i="15" a="1"/>
  <c r="S113" i="15" a="1"/>
  <c r="S144" i="15" a="1"/>
  <c r="S146" i="15" a="1"/>
  <c r="S142" i="15" a="1"/>
  <c r="S23" i="15" a="1"/>
  <c r="T136" i="15" a="1"/>
  <c r="T69" i="15" a="1"/>
  <c r="S75" i="15" a="1"/>
  <c r="S126" i="15" a="1"/>
  <c r="S88" i="15" a="1"/>
  <c r="S151" i="15" a="1"/>
  <c r="S35" i="15" a="1"/>
  <c r="S72" i="15" a="1"/>
  <c r="S107" i="15" a="1"/>
  <c r="T21" i="15" a="1"/>
  <c r="S132" i="15" a="1"/>
  <c r="S48" i="15" a="1"/>
  <c r="S40" i="15" a="1"/>
  <c r="S8" i="15" a="1"/>
  <c r="S152" i="15" a="1"/>
  <c r="S104" i="15" a="1"/>
  <c r="S147" i="15" a="1"/>
  <c r="T60" i="15" a="1"/>
  <c r="S45" i="15" a="1"/>
  <c r="S17" i="15" a="1"/>
  <c r="S81" i="15" a="1"/>
  <c r="S87" i="15" a="1"/>
  <c r="S11" i="15" a="1"/>
  <c r="S84" i="15" a="1"/>
  <c r="S99" i="15" a="1"/>
  <c r="S101" i="15" a="1"/>
  <c r="S63" i="15" a="1"/>
  <c r="S26" i="15" a="1"/>
  <c r="T82" i="15" a="1"/>
  <c r="S116" i="15" a="1"/>
  <c r="S121" i="15" a="1"/>
  <c r="S145" i="15" a="1"/>
  <c r="S20" i="15" a="1"/>
  <c r="T49" i="15"/>
  <c r="S129" i="15" a="1"/>
  <c r="S29" i="15" a="1"/>
  <c r="S149" i="15" a="1"/>
  <c r="S93" i="15" a="1"/>
  <c r="S42" i="15" a="1"/>
  <c r="S7" i="15" a="1"/>
  <c r="S97" i="15" a="1"/>
  <c r="S110" i="15" a="1"/>
  <c r="S38" i="15" a="1"/>
  <c r="S78" i="15" a="1"/>
  <c r="S123" i="15" a="1"/>
  <c r="T139" i="15" a="1"/>
  <c r="S90" i="15" a="1"/>
  <c r="S14" i="15" a="1"/>
  <c r="S66" i="15" a="1"/>
  <c r="S54" i="15" a="1"/>
  <c r="S119" i="15" a="1"/>
  <c r="S135" i="15" a="1"/>
  <c r="T51" i="15" a="1"/>
  <c r="S57" i="15" a="1"/>
  <c r="T85" i="15" a="1"/>
  <c r="T30" i="15" a="1"/>
  <c r="T27" i="15" a="1"/>
  <c r="T24" i="15" a="1"/>
  <c r="S135" i="15" l="1"/>
  <c r="V135" i="15" s="1" a="1"/>
  <c r="V135" i="15" s="1"/>
  <c r="S138" i="15"/>
  <c r="T139" i="15"/>
  <c r="T136" i="15"/>
  <c r="S29" i="15"/>
  <c r="V29" i="15" s="1"/>
  <c r="S23" i="15"/>
  <c r="V23" i="15" s="1"/>
  <c r="S20" i="15"/>
  <c r="V20" i="15" s="1"/>
  <c r="S26" i="15"/>
  <c r="V26" i="15" s="1"/>
  <c r="T21" i="15"/>
  <c r="T24" i="15"/>
  <c r="T27" i="15"/>
  <c r="T30" i="15"/>
  <c r="S152" i="15"/>
  <c r="V152" i="15" s="1"/>
  <c r="S147" i="15"/>
  <c r="V147" i="15" s="1"/>
  <c r="S145" i="15"/>
  <c r="V145" i="15" s="1"/>
  <c r="S144" i="15"/>
  <c r="V144" i="15" s="1"/>
  <c r="S151" i="15"/>
  <c r="V151" i="15" s="1"/>
  <c r="S146" i="15"/>
  <c r="V146" i="15" s="1"/>
  <c r="S126" i="15"/>
  <c r="S7" i="15"/>
  <c r="S17" i="15"/>
  <c r="V17" i="15" s="1"/>
  <c r="S14" i="15"/>
  <c r="V14" i="15" s="1"/>
  <c r="S84" i="15"/>
  <c r="V84" i="15" s="1" a="1"/>
  <c r="V84" i="15" s="1"/>
  <c r="S81" i="15"/>
  <c r="V81" i="15" s="1" a="1"/>
  <c r="V81" i="15" s="1"/>
  <c r="T85" i="15"/>
  <c r="T82" i="15"/>
  <c r="R5" i="15"/>
  <c r="T51" i="15"/>
  <c r="S149" i="15"/>
  <c r="V149" i="15" s="1" a="1"/>
  <c r="V149" i="15" s="1"/>
  <c r="S132" i="15"/>
  <c r="V132" i="15" s="1" a="1"/>
  <c r="V132" i="15" s="1"/>
  <c r="S129" i="15"/>
  <c r="V129" i="15" s="1" a="1"/>
  <c r="V129" i="15" s="1"/>
  <c r="S142" i="15"/>
  <c r="V142" i="15" s="1" a="1"/>
  <c r="V142" i="15" s="1"/>
  <c r="S121" i="15"/>
  <c r="V121" i="15" s="1" a="1"/>
  <c r="V121" i="15" s="1"/>
  <c r="S123" i="15"/>
  <c r="V123" i="15" s="1" a="1"/>
  <c r="V123" i="15" s="1"/>
  <c r="S119" i="15"/>
  <c r="S116" i="15"/>
  <c r="V116" i="15" s="1" a="1"/>
  <c r="V116" i="15" s="1"/>
  <c r="S113" i="15"/>
  <c r="V113" i="15" s="1" a="1"/>
  <c r="V113" i="15" s="1"/>
  <c r="S93" i="15"/>
  <c r="V93" i="15" s="1" a="1"/>
  <c r="V93" i="15" s="1"/>
  <c r="S88" i="15"/>
  <c r="S87" i="15"/>
  <c r="V87" i="15" s="1" a="1"/>
  <c r="V87" i="15" s="1"/>
  <c r="S107" i="15"/>
  <c r="V107" i="15" s="1" a="1"/>
  <c r="V107" i="15" s="1"/>
  <c r="S97" i="15"/>
  <c r="V97" i="15" s="1" a="1"/>
  <c r="V97" i="15" s="1"/>
  <c r="S104" i="15"/>
  <c r="V104" i="15" s="1" a="1"/>
  <c r="V104" i="15" s="1"/>
  <c r="S99" i="15"/>
  <c r="V99" i="15" s="1" a="1"/>
  <c r="V99" i="15" s="1"/>
  <c r="S90" i="15"/>
  <c r="V90" i="15" s="1" a="1"/>
  <c r="V90" i="15" s="1"/>
  <c r="S110" i="15"/>
  <c r="V110" i="15" s="1" a="1"/>
  <c r="V110" i="15" s="1"/>
  <c r="S101" i="15"/>
  <c r="V101" i="15" s="1" a="1"/>
  <c r="V101" i="15" s="1"/>
  <c r="S78" i="15"/>
  <c r="V78" i="15" s="1" a="1"/>
  <c r="V78" i="15" s="1"/>
  <c r="S66" i="15"/>
  <c r="W48" i="15" s="1"/>
  <c r="S63" i="15"/>
  <c r="V63" i="15" s="1" a="1"/>
  <c r="V63" i="15" s="1"/>
  <c r="S75" i="15"/>
  <c r="V75" i="15" s="1" a="1"/>
  <c r="V75" i="15" s="1"/>
  <c r="S45" i="15"/>
  <c r="V45" i="15" s="1"/>
  <c r="S42" i="15"/>
  <c r="V42" i="15" s="1"/>
  <c r="S11" i="15"/>
  <c r="V11" i="15" s="1"/>
  <c r="S8" i="15"/>
  <c r="V8" i="15" s="1"/>
  <c r="S54" i="15"/>
  <c r="V54" i="15" s="1" a="1"/>
  <c r="V54" i="15" s="1"/>
  <c r="S72" i="15"/>
  <c r="V72" i="15" s="1" a="1"/>
  <c r="V72" i="15" s="1"/>
  <c r="S48" i="15"/>
  <c r="S40" i="15"/>
  <c r="V40" i="15" s="1"/>
  <c r="S38" i="15"/>
  <c r="V38" i="15" s="1" a="1"/>
  <c r="V38" i="15" s="1"/>
  <c r="S57" i="15"/>
  <c r="V57" i="15" s="1" a="1"/>
  <c r="V57" i="15" s="1"/>
  <c r="S35" i="15"/>
  <c r="V35" i="15" s="1" a="1"/>
  <c r="V35" i="15" s="1"/>
  <c r="T69" i="15"/>
  <c r="T60" i="15"/>
  <c r="T91" i="15" a="1"/>
  <c r="T91" i="15" s="1"/>
  <c r="T120" i="15"/>
  <c r="T94" i="15" a="1"/>
  <c r="T94" i="15" s="1"/>
  <c r="T32" i="15"/>
  <c r="Q6" i="15"/>
  <c r="W93" i="15"/>
  <c r="R90" i="15" a="1"/>
  <c r="R81" i="15" a="1"/>
  <c r="T143" i="15" a="1"/>
  <c r="R23" i="15" a="1"/>
  <c r="T15" i="15" a="1"/>
  <c r="T9" i="15" a="1"/>
  <c r="S127" i="15" a="1"/>
  <c r="R104" i="15" a="1"/>
  <c r="T117" i="15" a="1"/>
  <c r="T105" i="15" a="1"/>
  <c r="R149" i="15" a="1"/>
  <c r="R66" i="15" a="1"/>
  <c r="R38" i="15" a="1"/>
  <c r="T58" i="15" a="1"/>
  <c r="R20" i="15" a="1"/>
  <c r="R11" i="15" a="1"/>
  <c r="T36" i="15" a="1"/>
  <c r="T79" i="15" a="1"/>
  <c r="R63" i="15" a="1"/>
  <c r="R113" i="15" a="1"/>
  <c r="S60" i="15" a="1"/>
  <c r="R87" i="15" a="1"/>
  <c r="T127" i="15" a="1"/>
  <c r="R17" i="15" a="1"/>
  <c r="R146" i="15" a="1"/>
  <c r="T64" i="15" a="1"/>
  <c r="R75" i="15" a="1"/>
  <c r="R42" i="15" a="1"/>
  <c r="R107" i="15" a="1"/>
  <c r="R35" i="15" a="1"/>
  <c r="R26" i="15" a="1"/>
  <c r="R110" i="15" a="1"/>
  <c r="T108" i="15" a="1"/>
  <c r="R7" i="15" a="1"/>
  <c r="R84" i="15" a="1"/>
  <c r="R135" i="15" a="1"/>
  <c r="R93" i="15" a="1"/>
  <c r="T43" i="15" a="1"/>
  <c r="R14" i="15" a="1"/>
  <c r="R147" i="15" a="1"/>
  <c r="R101" i="15" a="1"/>
  <c r="R142" i="15" a="1"/>
  <c r="R126" i="15" a="1"/>
  <c r="R54" i="15" a="1"/>
  <c r="R97" i="15" a="1"/>
  <c r="R29" i="15" a="1"/>
  <c r="T114" i="15" a="1"/>
  <c r="T102" i="15" a="1"/>
  <c r="R144" i="15" a="1"/>
  <c r="T12" i="15" a="1"/>
  <c r="R151" i="15" a="1"/>
  <c r="T130" i="15" a="1"/>
  <c r="R45" i="15" a="1"/>
  <c r="R138" i="15" a="1"/>
  <c r="T73" i="15" a="1"/>
  <c r="R145" i="15" a="1"/>
  <c r="T67" i="15" a="1"/>
  <c r="R72" i="15" a="1"/>
  <c r="R88" i="15" a="1"/>
  <c r="R129" i="15" a="1"/>
  <c r="R40" i="15" a="1"/>
  <c r="T55" i="15" a="1"/>
  <c r="R48" i="15" a="1"/>
  <c r="R116" i="15" a="1"/>
  <c r="R132" i="15" a="1"/>
  <c r="T150" i="15" a="1"/>
  <c r="S51" i="15" a="1"/>
  <c r="R119" i="15" a="1"/>
  <c r="R51" i="15" a="1"/>
  <c r="R8" i="15" a="1"/>
  <c r="R152" i="15" a="1"/>
  <c r="T18" i="15" a="1"/>
  <c r="T39" i="15" a="1"/>
  <c r="T95" i="15" a="1"/>
  <c r="T76" i="15" a="1"/>
  <c r="S69" i="15" a="1"/>
  <c r="R99" i="15" a="1"/>
  <c r="T124" i="15" a="1"/>
  <c r="R121" i="15" a="1"/>
  <c r="R57" i="15" a="1"/>
  <c r="T52" i="15" a="1"/>
  <c r="R78" i="15" a="1"/>
  <c r="T111" i="15"/>
  <c r="T46" i="15" a="1"/>
  <c r="R123" i="15" a="1"/>
  <c r="S139" i="15" a="1"/>
  <c r="S139" i="15" l="1"/>
  <c r="R138" i="15"/>
  <c r="R135" i="15"/>
  <c r="V138" i="15" a="1"/>
  <c r="V138" i="15" s="1"/>
  <c r="R29" i="15"/>
  <c r="R26" i="15"/>
  <c r="R23" i="15"/>
  <c r="R20" i="15"/>
  <c r="R151" i="15"/>
  <c r="R146" i="15"/>
  <c r="R144" i="15"/>
  <c r="R152" i="15"/>
  <c r="R147" i="15"/>
  <c r="R145" i="15"/>
  <c r="S127" i="15"/>
  <c r="V126" i="15" a="1"/>
  <c r="V126" i="15" s="1"/>
  <c r="R126" i="15"/>
  <c r="T127" i="15"/>
  <c r="R7" i="15"/>
  <c r="V48" i="15" a="1"/>
  <c r="V48" i="15" s="1"/>
  <c r="R14" i="15"/>
  <c r="R17" i="15"/>
  <c r="T18" i="15"/>
  <c r="T15" i="15"/>
  <c r="R84" i="15"/>
  <c r="R81" i="15"/>
  <c r="R119" i="15"/>
  <c r="R88" i="15"/>
  <c r="R93" i="15"/>
  <c r="R142" i="15"/>
  <c r="R113" i="15"/>
  <c r="R101" i="15"/>
  <c r="R78" i="15"/>
  <c r="R45" i="15"/>
  <c r="R132" i="15"/>
  <c r="R107" i="15"/>
  <c r="R116" i="15"/>
  <c r="R40" i="15"/>
  <c r="R54" i="15"/>
  <c r="R129" i="15"/>
  <c r="R110" i="15"/>
  <c r="R48" i="15"/>
  <c r="R97" i="15"/>
  <c r="R123" i="15"/>
  <c r="R8" i="15"/>
  <c r="R35" i="15"/>
  <c r="R66" i="15"/>
  <c r="R38" i="15"/>
  <c r="R104" i="15"/>
  <c r="R72" i="15"/>
  <c r="R42" i="15"/>
  <c r="R75" i="15"/>
  <c r="R87" i="15"/>
  <c r="R149" i="15"/>
  <c r="R63" i="15"/>
  <c r="R121" i="15"/>
  <c r="R90" i="15"/>
  <c r="R11" i="15"/>
  <c r="R57" i="15"/>
  <c r="R99" i="15"/>
  <c r="Q5" i="15"/>
  <c r="S51" i="15"/>
  <c r="V51" i="15" s="1" a="1"/>
  <c r="V51" i="15" s="1"/>
  <c r="S120" i="15"/>
  <c r="V120" i="15" s="1" a="1"/>
  <c r="V120" i="15" s="1"/>
  <c r="V119" i="15" a="1"/>
  <c r="V119" i="15" s="1"/>
  <c r="S32" i="15"/>
  <c r="V32" i="15" s="1" a="1"/>
  <c r="V32" i="15" s="1"/>
  <c r="V66" i="15" a="1"/>
  <c r="V66" i="15" s="1"/>
  <c r="S91" i="15" a="1"/>
  <c r="S91" i="15" s="1"/>
  <c r="S94" i="15" a="1"/>
  <c r="S94" i="15" s="1"/>
  <c r="S60" i="15"/>
  <c r="V60" i="15" s="1" a="1"/>
  <c r="V60" i="15" s="1"/>
  <c r="S69" i="15"/>
  <c r="V69" i="15" s="1" a="1"/>
  <c r="V69" i="15" s="1"/>
  <c r="T150" i="15"/>
  <c r="T55" i="15"/>
  <c r="T95" i="15"/>
  <c r="T117" i="15"/>
  <c r="T76" i="15"/>
  <c r="T9" i="15"/>
  <c r="T143" i="15"/>
  <c r="T124" i="15"/>
  <c r="T64" i="15"/>
  <c r="T46" i="15"/>
  <c r="T12" i="15"/>
  <c r="T108" i="15"/>
  <c r="T73" i="15"/>
  <c r="T114" i="15"/>
  <c r="T36" i="15"/>
  <c r="T79" i="15"/>
  <c r="T130" i="15"/>
  <c r="R51" i="15"/>
  <c r="T58" i="15"/>
  <c r="T52" i="15"/>
  <c r="T67" i="15"/>
  <c r="T39" i="15"/>
  <c r="T105" i="15"/>
  <c r="T43" i="15"/>
  <c r="T102" i="15"/>
  <c r="P6" i="15"/>
  <c r="T61" i="15" a="1"/>
  <c r="Q132" i="15" a="1"/>
  <c r="Q104" i="15" a="1"/>
  <c r="Q87" i="15" a="1"/>
  <c r="R69" i="15" a="1"/>
  <c r="R82" i="15" a="1"/>
  <c r="R105" i="15" a="1"/>
  <c r="Q8" i="15" a="1"/>
  <c r="S18" i="15" a="1"/>
  <c r="Q152" i="15" a="1"/>
  <c r="Q48" i="15" a="1"/>
  <c r="S117" i="15" a="1"/>
  <c r="Q23" i="15" a="1"/>
  <c r="S15" i="15" a="1"/>
  <c r="R124" i="15" a="1"/>
  <c r="R55" i="15" a="1"/>
  <c r="Q38" i="15" a="1"/>
  <c r="S114" i="15" a="1"/>
  <c r="R60" i="15" a="1"/>
  <c r="Q7" i="15" a="1"/>
  <c r="S150" i="15" a="1"/>
  <c r="S95" i="15" a="1"/>
  <c r="S46" i="15" a="1"/>
  <c r="Q119" i="15" a="1"/>
  <c r="S58" i="15" a="1"/>
  <c r="Q99" i="15" a="1"/>
  <c r="S73" i="15" a="1"/>
  <c r="R24" i="15" a="1"/>
  <c r="S82" i="15" a="1"/>
  <c r="S43" i="15" a="1"/>
  <c r="R143" i="15" a="1"/>
  <c r="Q129" i="15" a="1"/>
  <c r="Q29" i="15" a="1"/>
  <c r="S111" i="15" a="1"/>
  <c r="S136" i="15" a="1"/>
  <c r="S85" i="15" a="1"/>
  <c r="S9" i="15" a="1"/>
  <c r="R21" i="15" a="1"/>
  <c r="R114" i="15" a="1"/>
  <c r="Q142" i="15" a="1"/>
  <c r="S64" i="15" a="1"/>
  <c r="R15" i="15" a="1"/>
  <c r="R27" i="15" a="1"/>
  <c r="R139" i="15" a="1"/>
  <c r="S130" i="15" a="1"/>
  <c r="S55" i="15" a="1"/>
  <c r="R12" i="15" a="1"/>
  <c r="T33" i="15"/>
  <c r="Q42" i="15" a="1"/>
  <c r="R18" i="15" a="1"/>
  <c r="S76" i="15" a="1"/>
  <c r="Q144" i="15" a="1"/>
  <c r="Q14" i="15" a="1"/>
  <c r="Q90" i="15" a="1"/>
  <c r="R111" i="15" a="1"/>
  <c r="Q66" i="15" a="1"/>
  <c r="R76" i="15" a="1"/>
  <c r="S79" i="15" a="1"/>
  <c r="S67" i="15" a="1"/>
  <c r="S36" i="15" a="1"/>
  <c r="Q138" i="15" a="1"/>
  <c r="S143" i="15" a="1"/>
  <c r="Q63" i="15" a="1"/>
  <c r="R73" i="15" a="1"/>
  <c r="R79" i="15" a="1"/>
  <c r="Q113" i="15" a="1"/>
  <c r="S24" i="15" a="1"/>
  <c r="S49" i="15" a="1"/>
  <c r="Q101" i="15" a="1"/>
  <c r="Q51" i="15" a="1"/>
  <c r="R108" i="15" a="1"/>
  <c r="Q26" i="15" a="1"/>
  <c r="Q151" i="15" a="1"/>
  <c r="Q57" i="15" a="1"/>
  <c r="Q135" i="15" a="1"/>
  <c r="R49" i="15" a="1"/>
  <c r="S124" i="15" a="1"/>
  <c r="T70" i="15" a="1"/>
  <c r="Q72" i="15" a="1"/>
  <c r="S105" i="15" a="1"/>
  <c r="Q97" i="15" a="1"/>
  <c r="Q78" i="15" a="1"/>
  <c r="Q11" i="15" a="1"/>
  <c r="Q45" i="15" a="1"/>
  <c r="R39" i="15" a="1"/>
  <c r="S27" i="15" a="1"/>
  <c r="Q147" i="15" a="1"/>
  <c r="Q149" i="15" a="1"/>
  <c r="Q110" i="15" a="1"/>
  <c r="Q54" i="15" a="1"/>
  <c r="Q146" i="15" a="1"/>
  <c r="S12" i="15" a="1"/>
  <c r="R150" i="15" a="1"/>
  <c r="Q107" i="15" a="1"/>
  <c r="Q84" i="15" a="1"/>
  <c r="Q88" i="15" a="1"/>
  <c r="S21" i="15" a="1"/>
  <c r="Q123" i="15" a="1"/>
  <c r="R117" i="15" a="1"/>
  <c r="S39" i="15" a="1"/>
  <c r="Q126" i="15" a="1"/>
  <c r="Q116" i="15" a="1"/>
  <c r="Q75" i="15" a="1"/>
  <c r="S108" i="15" a="1"/>
  <c r="R85" i="15" a="1"/>
  <c r="Q93" i="15" a="1"/>
  <c r="R136" i="15" a="1"/>
  <c r="Q20" i="15" a="1"/>
  <c r="Q35" i="15" a="1"/>
  <c r="S102" i="15" a="1"/>
  <c r="Q121" i="15" a="1"/>
  <c r="S30" i="15" a="1"/>
  <c r="Q17" i="15" a="1"/>
  <c r="R64" i="15" a="1"/>
  <c r="Q81" i="15" a="1"/>
  <c r="Q40" i="15" a="1"/>
  <c r="Q145" i="15" a="1"/>
  <c r="R102" i="15" a="1"/>
  <c r="R9" i="15" a="1"/>
  <c r="R46" i="15" a="1"/>
  <c r="R36" i="15" a="1"/>
  <c r="R67" i="15" a="1"/>
  <c r="R58" i="15" a="1"/>
  <c r="R127" i="15" a="1"/>
  <c r="R43" i="15" a="1"/>
  <c r="R130" i="15" a="1"/>
  <c r="R52" i="15" a="1"/>
  <c r="R30" i="15" a="1"/>
  <c r="R95" i="15" a="1"/>
  <c r="S136" i="15" l="1"/>
  <c r="R139" i="15"/>
  <c r="Q138" i="15"/>
  <c r="Q135" i="15"/>
  <c r="R136" i="15"/>
  <c r="S30" i="15"/>
  <c r="S21" i="15"/>
  <c r="S27" i="15"/>
  <c r="S24" i="15"/>
  <c r="R24" i="15"/>
  <c r="R27" i="15"/>
  <c r="R30" i="15"/>
  <c r="Q29" i="15"/>
  <c r="Q26" i="15"/>
  <c r="Q23" i="15"/>
  <c r="Q20" i="15"/>
  <c r="R21" i="15"/>
  <c r="Q152" i="15"/>
  <c r="U152" i="15" s="1"/>
  <c r="Q147" i="15"/>
  <c r="U147" i="15" s="1"/>
  <c r="Q145" i="15"/>
  <c r="U145" i="15" s="1"/>
  <c r="Q146" i="15"/>
  <c r="U146" i="15" s="1"/>
  <c r="Q151" i="15"/>
  <c r="U151" i="15" s="1"/>
  <c r="Q144" i="15"/>
  <c r="U144" i="15" s="1"/>
  <c r="R127" i="15"/>
  <c r="Q126" i="15"/>
  <c r="S18" i="15"/>
  <c r="Q7" i="15"/>
  <c r="S85" i="15"/>
  <c r="S49" i="15"/>
  <c r="R49" i="15"/>
  <c r="S15" i="15"/>
  <c r="S82" i="15"/>
  <c r="S64" i="15"/>
  <c r="S114" i="15"/>
  <c r="S36" i="15"/>
  <c r="Q17" i="15"/>
  <c r="Q14" i="15"/>
  <c r="R18" i="15"/>
  <c r="R15" i="15"/>
  <c r="P5" i="15"/>
  <c r="R32" i="15"/>
  <c r="R120" i="15"/>
  <c r="R91" i="15" a="1"/>
  <c r="R91" i="15" s="1"/>
  <c r="R94" i="15" a="1"/>
  <c r="R94" i="15" s="1"/>
  <c r="R105" i="15"/>
  <c r="R124" i="15"/>
  <c r="R111" i="15"/>
  <c r="R117" i="15"/>
  <c r="R102" i="15"/>
  <c r="R143" i="15"/>
  <c r="R58" i="15"/>
  <c r="R69" i="15"/>
  <c r="R60" i="15"/>
  <c r="R76" i="15"/>
  <c r="R39" i="15"/>
  <c r="R130" i="15"/>
  <c r="R46" i="15"/>
  <c r="R82" i="15"/>
  <c r="Q84" i="15"/>
  <c r="Q81" i="15"/>
  <c r="Q90" i="15"/>
  <c r="U90" i="15" s="1" a="1"/>
  <c r="U90" i="15" s="1"/>
  <c r="Q107" i="15"/>
  <c r="U107" i="15" s="1"/>
  <c r="Q63" i="15"/>
  <c r="U63" i="15" s="1"/>
  <c r="Q75" i="15"/>
  <c r="U75" i="15" s="1"/>
  <c r="Q97" i="15"/>
  <c r="U97" i="15" s="1"/>
  <c r="Q72" i="15"/>
  <c r="U72" i="15" s="1"/>
  <c r="Q129" i="15"/>
  <c r="U129" i="15" s="1"/>
  <c r="Q11" i="15"/>
  <c r="Q110" i="15"/>
  <c r="U110" i="15" s="1"/>
  <c r="Q104" i="15"/>
  <c r="U104" i="15" s="1"/>
  <c r="Q99" i="15"/>
  <c r="U99" i="15" s="1"/>
  <c r="Q93" i="15"/>
  <c r="U93" i="15" s="1"/>
  <c r="Q119" i="15"/>
  <c r="U119" i="15" s="1"/>
  <c r="Q113" i="15"/>
  <c r="U113" i="15" s="1"/>
  <c r="Q101" i="15"/>
  <c r="U101" i="15" s="1"/>
  <c r="Q45" i="15"/>
  <c r="U45" i="15" s="1"/>
  <c r="Q149" i="15"/>
  <c r="U149" i="15" s="1" a="1"/>
  <c r="U149" i="15" s="1"/>
  <c r="Q54" i="15"/>
  <c r="U54" i="15" s="1"/>
  <c r="Q38" i="15"/>
  <c r="U38" i="15" s="1"/>
  <c r="Q116" i="15"/>
  <c r="U116" i="15" s="1"/>
  <c r="Q57" i="15"/>
  <c r="U57" i="15" s="1"/>
  <c r="Q123" i="15"/>
  <c r="U123" i="15" s="1"/>
  <c r="Q42" i="15"/>
  <c r="U42" i="15" s="1" a="1"/>
  <c r="U42" i="15" s="1"/>
  <c r="Q87" i="15"/>
  <c r="U87" i="15" s="1" a="1"/>
  <c r="U87" i="15" s="1"/>
  <c r="Q132" i="15"/>
  <c r="Q78" i="15"/>
  <c r="U78" i="15" s="1"/>
  <c r="Q121" i="15"/>
  <c r="U121" i="15" s="1"/>
  <c r="Q48" i="15"/>
  <c r="Q142" i="15"/>
  <c r="U142" i="15" s="1" a="1"/>
  <c r="U142" i="15" s="1"/>
  <c r="Q88" i="15"/>
  <c r="Q40" i="15"/>
  <c r="Q35" i="15"/>
  <c r="U35" i="15" s="1" a="1"/>
  <c r="U35" i="15" s="1"/>
  <c r="Q8" i="15"/>
  <c r="Q66" i="15"/>
  <c r="R12" i="15"/>
  <c r="R43" i="15"/>
  <c r="R67" i="15"/>
  <c r="R9" i="15"/>
  <c r="R55" i="15"/>
  <c r="R108" i="15"/>
  <c r="R85" i="15"/>
  <c r="R150" i="15"/>
  <c r="R73" i="15"/>
  <c r="R79" i="15"/>
  <c r="R114" i="15"/>
  <c r="S73" i="15"/>
  <c r="S150" i="15"/>
  <c r="S55" i="15"/>
  <c r="S79" i="15"/>
  <c r="S102" i="15"/>
  <c r="S58" i="15"/>
  <c r="S67" i="15"/>
  <c r="S95" i="15"/>
  <c r="S105" i="15"/>
  <c r="S124" i="15"/>
  <c r="S143" i="15"/>
  <c r="S12" i="15"/>
  <c r="S111" i="15"/>
  <c r="S46" i="15"/>
  <c r="S76" i="15"/>
  <c r="S9" i="15"/>
  <c r="S130" i="15"/>
  <c r="S117" i="15"/>
  <c r="S108" i="15"/>
  <c r="V108" i="15" s="1" a="1"/>
  <c r="V108" i="15" s="1"/>
  <c r="S39" i="15"/>
  <c r="S43" i="15"/>
  <c r="T61" i="15"/>
  <c r="R95" i="15"/>
  <c r="R52" i="15"/>
  <c r="R64" i="15"/>
  <c r="T70" i="15"/>
  <c r="R36" i="15"/>
  <c r="Q51" i="15"/>
  <c r="O6" i="15"/>
  <c r="P48" i="15" a="1"/>
  <c r="P129" i="15" a="1"/>
  <c r="P54" i="15" a="1"/>
  <c r="P152" i="15" a="1"/>
  <c r="P97" i="15" a="1"/>
  <c r="Q69" i="15" a="1"/>
  <c r="P42" i="15" a="1"/>
  <c r="P93" i="15" a="1"/>
  <c r="P38" i="15" a="1"/>
  <c r="P147" i="15" a="1"/>
  <c r="P142" i="15" a="1"/>
  <c r="P29" i="15" a="1"/>
  <c r="P138" i="15" a="1"/>
  <c r="P26" i="15" a="1"/>
  <c r="P17" i="15" a="1"/>
  <c r="P145" i="15" a="1"/>
  <c r="P107" i="15" a="1"/>
  <c r="Q82" i="15" a="1"/>
  <c r="P104" i="15" a="1"/>
  <c r="P63" i="15" a="1"/>
  <c r="P144" i="15" a="1"/>
  <c r="P14" i="15" a="1"/>
  <c r="P90" i="15" a="1"/>
  <c r="P146" i="15" a="1"/>
  <c r="P87" i="15" a="1"/>
  <c r="P121" i="15" a="1"/>
  <c r="P110" i="15" a="1"/>
  <c r="P116" i="15" a="1"/>
  <c r="P35" i="15" a="1"/>
  <c r="Q85" i="15" a="1"/>
  <c r="P75" i="15" a="1"/>
  <c r="S61" i="15" a="1"/>
  <c r="P8" i="15" a="1"/>
  <c r="P123" i="15" a="1"/>
  <c r="P45" i="15" a="1"/>
  <c r="Q27" i="15" a="1"/>
  <c r="P135" i="15" a="1"/>
  <c r="P99" i="15" a="1"/>
  <c r="S52" i="15" a="1"/>
  <c r="P81" i="15" a="1"/>
  <c r="P20" i="15" a="1"/>
  <c r="P72" i="15" a="1"/>
  <c r="P78" i="15" a="1"/>
  <c r="P126" i="15" a="1"/>
  <c r="P151" i="15" a="1"/>
  <c r="P23" i="15" a="1"/>
  <c r="P132" i="15" a="1"/>
  <c r="P66" i="15" a="1"/>
  <c r="S70" i="15" a="1"/>
  <c r="P11" i="15" a="1"/>
  <c r="P40" i="15" a="1"/>
  <c r="P7" i="15" a="1"/>
  <c r="Q30" i="15" a="1"/>
  <c r="P84" i="15" a="1"/>
  <c r="P149" i="15" a="1"/>
  <c r="P101" i="15" a="1"/>
  <c r="P88" i="15" a="1"/>
  <c r="P113" i="15" a="1"/>
  <c r="Q60" i="15" a="1"/>
  <c r="S33" i="15"/>
  <c r="P119" i="15" a="1"/>
  <c r="P57" i="15" a="1"/>
  <c r="Q24" i="15" a="1"/>
  <c r="Q21" i="15" a="1"/>
  <c r="R70" i="15" a="1"/>
  <c r="R61" i="15" a="1"/>
  <c r="Q12" i="15" a="1"/>
  <c r="Q139" i="15" a="1"/>
  <c r="Q136" i="15" a="1"/>
  <c r="R33" i="15"/>
  <c r="Q9" i="15" a="1"/>
  <c r="Q67" i="15" a="1"/>
  <c r="U29" i="15" l="1" a="1"/>
  <c r="U29" i="15" s="1"/>
  <c r="U20" i="15" a="1"/>
  <c r="U20" i="15" s="1"/>
  <c r="U23" i="15" a="1"/>
  <c r="U23" i="15" s="1"/>
  <c r="U26" i="15" a="1"/>
  <c r="U26" i="15" s="1"/>
  <c r="U17" i="15" a="1"/>
  <c r="U17" i="15" s="1"/>
  <c r="U14" i="15" a="1"/>
  <c r="U14" i="15" s="1"/>
  <c r="P138" i="15"/>
  <c r="P135" i="15"/>
  <c r="Q136" i="15"/>
  <c r="Q139" i="15"/>
  <c r="U135" i="15" a="1"/>
  <c r="U135" i="15" s="1"/>
  <c r="U138" i="15" a="1"/>
  <c r="U138" i="15" s="1"/>
  <c r="P29" i="15"/>
  <c r="P26" i="15"/>
  <c r="P20" i="15"/>
  <c r="P23" i="15"/>
  <c r="Q21" i="15"/>
  <c r="U21" i="15" s="1" a="1"/>
  <c r="U21" i="15" s="1"/>
  <c r="Q24" i="15"/>
  <c r="U24" i="15" s="1" a="1"/>
  <c r="U24" i="15" s="1"/>
  <c r="Q30" i="15"/>
  <c r="U30" i="15" s="1" a="1"/>
  <c r="U30" i="15" s="1"/>
  <c r="Q27" i="15"/>
  <c r="U27" i="15" s="1" a="1"/>
  <c r="U27" i="15" s="1"/>
  <c r="P151" i="15"/>
  <c r="P146" i="15"/>
  <c r="P144" i="15"/>
  <c r="P145" i="15"/>
  <c r="P152" i="15"/>
  <c r="P147" i="15"/>
  <c r="U126" i="15" a="1"/>
  <c r="U126" i="15" s="1"/>
  <c r="P126" i="15"/>
  <c r="P7" i="15"/>
  <c r="U48" i="15"/>
  <c r="S70" i="15"/>
  <c r="S61" i="15"/>
  <c r="O5" i="15"/>
  <c r="Q91" i="15" a="1"/>
  <c r="Q91" i="15" s="1"/>
  <c r="U91" i="15" s="1" a="1"/>
  <c r="U91" i="15" s="1"/>
  <c r="P17" i="15"/>
  <c r="P14" i="15"/>
  <c r="P84" i="15"/>
  <c r="P121" i="15"/>
  <c r="P97" i="15"/>
  <c r="P119" i="15"/>
  <c r="P11" i="15"/>
  <c r="P45" i="15"/>
  <c r="P40" i="15"/>
  <c r="P110" i="15"/>
  <c r="P57" i="15"/>
  <c r="P149" i="15"/>
  <c r="P35" i="15"/>
  <c r="P48" i="15"/>
  <c r="P66" i="15"/>
  <c r="P123" i="15"/>
  <c r="P104" i="15"/>
  <c r="P93" i="15"/>
  <c r="P54" i="15"/>
  <c r="P132" i="15"/>
  <c r="P133" i="15" s="1"/>
  <c r="P72" i="15"/>
  <c r="P8" i="15"/>
  <c r="P116" i="15"/>
  <c r="P42" i="15"/>
  <c r="P99" i="15"/>
  <c r="P107" i="15"/>
  <c r="P63" i="15"/>
  <c r="P113" i="15"/>
  <c r="P38" i="15"/>
  <c r="P75" i="15"/>
  <c r="P142" i="15"/>
  <c r="P81" i="15"/>
  <c r="P129" i="15"/>
  <c r="P101" i="15"/>
  <c r="P78" i="15"/>
  <c r="P87" i="15"/>
  <c r="P90" i="15"/>
  <c r="P88" i="15"/>
  <c r="Q133" i="15"/>
  <c r="U84" i="15" a="1"/>
  <c r="U84" i="15" s="1"/>
  <c r="U88" i="15" a="1"/>
  <c r="U88" i="15" s="1"/>
  <c r="Q32" i="15"/>
  <c r="U32" i="15" s="1"/>
  <c r="U81" i="15" a="1"/>
  <c r="U81" i="15" s="1"/>
  <c r="U11" i="15" a="1"/>
  <c r="U11" i="15" s="1"/>
  <c r="U66" i="15"/>
  <c r="U94" i="15"/>
  <c r="Q94" i="15" a="1"/>
  <c r="Q94" i="15" s="1"/>
  <c r="U8" i="15" a="1"/>
  <c r="U8" i="15" s="1"/>
  <c r="U40" i="15"/>
  <c r="Q120" i="15"/>
  <c r="U120" i="15"/>
  <c r="Q69" i="15"/>
  <c r="U69" i="15" s="1"/>
  <c r="Q60" i="15"/>
  <c r="U60" i="15" s="1"/>
  <c r="Q82" i="15"/>
  <c r="U82" i="15" s="1" a="1"/>
  <c r="U82" i="15" s="1"/>
  <c r="U132" i="15" s="1" a="1"/>
  <c r="U132" i="15" s="1"/>
  <c r="U133" i="15" s="1"/>
  <c r="R61" i="15"/>
  <c r="Q85" i="15"/>
  <c r="U85" i="15" s="1" a="1"/>
  <c r="U85" i="15" s="1"/>
  <c r="R70" i="15"/>
  <c r="S52" i="15"/>
  <c r="Q67" i="15"/>
  <c r="U67" i="15" s="1" a="1"/>
  <c r="U67" i="15" s="1"/>
  <c r="Q12" i="15"/>
  <c r="U12" i="15" s="1" a="1"/>
  <c r="U12" i="15" s="1"/>
  <c r="Q9" i="15"/>
  <c r="U9" i="15" s="1" a="1"/>
  <c r="U9" i="15" s="1"/>
  <c r="N6" i="15"/>
  <c r="U51" i="15" a="1"/>
  <c r="U51" i="15" s="1"/>
  <c r="T133" i="15"/>
  <c r="S133" i="15"/>
  <c r="R133" i="15"/>
  <c r="O66" i="15" a="1"/>
  <c r="Q79" i="15" a="1"/>
  <c r="O20" i="15" a="1"/>
  <c r="O23" i="15" a="1"/>
  <c r="O40" i="15" a="1"/>
  <c r="P9" i="15" a="1"/>
  <c r="O78" i="15" a="1"/>
  <c r="O11" i="15" a="1"/>
  <c r="O17" i="15" a="1"/>
  <c r="O107" i="15" a="1"/>
  <c r="O142" i="15" a="1"/>
  <c r="O14" i="15" a="1"/>
  <c r="Q105" i="15" a="1"/>
  <c r="O8" i="15" a="1"/>
  <c r="O149" i="15" a="1"/>
  <c r="P60" i="15" a="1"/>
  <c r="Q127" i="15" a="1"/>
  <c r="O135" i="15" a="1"/>
  <c r="P73" i="15" a="1"/>
  <c r="P82" i="15" a="1"/>
  <c r="P102" i="15" a="1"/>
  <c r="Q143" i="15" a="1"/>
  <c r="P46" i="15" a="1"/>
  <c r="P51" i="15" a="1"/>
  <c r="O101" i="15" a="1"/>
  <c r="Q49" i="15" a="1"/>
  <c r="O88" i="15" a="1"/>
  <c r="P24" i="15" a="1"/>
  <c r="P79" i="15" a="1"/>
  <c r="O54" i="15" a="1"/>
  <c r="O126" i="15" a="1"/>
  <c r="P21" i="15" a="1"/>
  <c r="O63" i="15" a="1"/>
  <c r="Q43" i="15" a="1"/>
  <c r="Q76" i="15" a="1"/>
  <c r="Q150" i="15" a="1"/>
  <c r="P136" i="15" a="1"/>
  <c r="P117" i="15" a="1"/>
  <c r="P43" i="15" a="1"/>
  <c r="O147" i="15" a="1"/>
  <c r="P108" i="15" a="1"/>
  <c r="Q15" i="15" a="1"/>
  <c r="Q18" i="15" a="1"/>
  <c r="Q111" i="15" a="1"/>
  <c r="Q117" i="15" a="1"/>
  <c r="O38" i="15" a="1"/>
  <c r="Q124" i="15" a="1"/>
  <c r="Q108" i="15" a="1"/>
  <c r="O48" i="15" a="1"/>
  <c r="P18" i="15" a="1"/>
  <c r="Q39" i="15" a="1"/>
  <c r="O7" i="15" a="1"/>
  <c r="O97" i="15" a="1"/>
  <c r="P30" i="15" a="1"/>
  <c r="O45" i="15" a="1"/>
  <c r="O84" i="15" a="1"/>
  <c r="O35" i="15" a="1"/>
  <c r="O123" i="15" a="1"/>
  <c r="O116" i="15" a="1"/>
  <c r="O87" i="15" a="1"/>
  <c r="Q64" i="15" a="1"/>
  <c r="O57" i="15" a="1"/>
  <c r="Q102" i="15" a="1"/>
  <c r="O26" i="15" a="1"/>
  <c r="O93" i="15" a="1"/>
  <c r="O138" i="15" a="1"/>
  <c r="O110" i="15" a="1"/>
  <c r="Q73" i="15" a="1"/>
  <c r="Q46" i="15" a="1"/>
  <c r="P143" i="15" a="1"/>
  <c r="Q130" i="15" a="1"/>
  <c r="P55" i="15" a="1"/>
  <c r="O42" i="15" a="1"/>
  <c r="P36" i="15" a="1"/>
  <c r="O132" i="15" a="1"/>
  <c r="O151" i="15" a="1"/>
  <c r="Q95" i="15" a="1"/>
  <c r="O121" i="15" a="1"/>
  <c r="P49" i="15" a="1"/>
  <c r="P64" i="15" a="1"/>
  <c r="P69" i="15" a="1"/>
  <c r="O75" i="15" a="1"/>
  <c r="P127" i="15" a="1"/>
  <c r="O129" i="15" a="1"/>
  <c r="Q114" i="15" a="1"/>
  <c r="P130" i="15" a="1"/>
  <c r="O90" i="15" a="1"/>
  <c r="O104" i="15" a="1"/>
  <c r="Q55" i="15" a="1"/>
  <c r="Q58" i="15" a="1"/>
  <c r="O144" i="15" a="1"/>
  <c r="P85" i="15" a="1"/>
  <c r="O113" i="15" a="1"/>
  <c r="O72" i="15" a="1"/>
  <c r="Q52" i="15" a="1"/>
  <c r="Q36" i="15" a="1"/>
  <c r="O29" i="15" a="1"/>
  <c r="O152" i="15" a="1"/>
  <c r="P15" i="15" a="1"/>
  <c r="O99" i="15" a="1"/>
  <c r="O119" i="15" a="1"/>
  <c r="O81" i="15" a="1"/>
  <c r="P67" i="15" a="1"/>
  <c r="O145" i="15" a="1"/>
  <c r="O146" i="15" a="1"/>
  <c r="P139" i="15" a="1"/>
  <c r="P124" i="15" a="1"/>
  <c r="P12" i="15" a="1"/>
  <c r="P27" i="15" a="1"/>
  <c r="P114" i="15" a="1"/>
  <c r="P95" i="15" a="1"/>
  <c r="P105" i="15" a="1"/>
  <c r="P39" i="15" a="1"/>
  <c r="P76" i="15" a="1"/>
  <c r="P58" i="15" a="1"/>
  <c r="P111" i="15" a="1"/>
  <c r="P150" i="15" a="1"/>
  <c r="O138" i="15" l="1"/>
  <c r="O135" i="15"/>
  <c r="P136" i="15"/>
  <c r="P139" i="15"/>
  <c r="U139" i="15" a="1"/>
  <c r="U139" i="15" s="1"/>
  <c r="U136" i="15" a="1"/>
  <c r="U136" i="15" s="1"/>
  <c r="P24" i="15"/>
  <c r="P21" i="15"/>
  <c r="P27" i="15"/>
  <c r="O29" i="15"/>
  <c r="O26" i="15"/>
  <c r="O23" i="15"/>
  <c r="O20" i="15"/>
  <c r="P30" i="15"/>
  <c r="O152" i="15"/>
  <c r="O147" i="15"/>
  <c r="O145" i="15"/>
  <c r="O144" i="15"/>
  <c r="O151" i="15"/>
  <c r="O146" i="15"/>
  <c r="Q127" i="15"/>
  <c r="U127" i="15" s="1" a="1"/>
  <c r="U127" i="15" s="1"/>
  <c r="P127" i="15"/>
  <c r="O126" i="15"/>
  <c r="O7" i="15"/>
  <c r="Q43" i="15"/>
  <c r="U43" i="15" s="1"/>
  <c r="Q64" i="15"/>
  <c r="U64" i="15" s="1"/>
  <c r="Q58" i="15"/>
  <c r="U58" i="15" s="1"/>
  <c r="Q79" i="15"/>
  <c r="Q102" i="15"/>
  <c r="U102" i="15" s="1" a="1"/>
  <c r="U102" i="15" s="1"/>
  <c r="Q76" i="15"/>
  <c r="U76" i="15" s="1" a="1"/>
  <c r="U76" i="15" s="1"/>
  <c r="Q130" i="15"/>
  <c r="U130" i="15" s="1"/>
  <c r="Q36" i="15"/>
  <c r="U36" i="15" s="1"/>
  <c r="Q111" i="15"/>
  <c r="U111" i="15" s="1"/>
  <c r="P51" i="15"/>
  <c r="Q124" i="15"/>
  <c r="U124" i="15" s="1"/>
  <c r="P49" i="15"/>
  <c r="Q49" i="15"/>
  <c r="U49" i="15" s="1"/>
  <c r="Q150" i="15"/>
  <c r="U150" i="15" s="1" a="1"/>
  <c r="U150" i="15" s="1"/>
  <c r="Q105" i="15"/>
  <c r="U105" i="15" s="1" a="1"/>
  <c r="U105" i="15" s="1"/>
  <c r="Q73" i="15"/>
  <c r="U73" i="15" s="1" a="1"/>
  <c r="U73" i="15" s="1"/>
  <c r="Q114" i="15"/>
  <c r="U114" i="15" s="1"/>
  <c r="Q46" i="15"/>
  <c r="U46" i="15" s="1"/>
  <c r="Q117" i="15"/>
  <c r="U117" i="15" s="1"/>
  <c r="Q108" i="15"/>
  <c r="U108" i="15" s="1"/>
  <c r="Q39" i="15"/>
  <c r="U39" i="15" s="1"/>
  <c r="P120" i="15"/>
  <c r="N5" i="15"/>
  <c r="P91" i="15" a="1"/>
  <c r="P91" i="15" s="1"/>
  <c r="P94" i="15" a="1"/>
  <c r="P94" i="15" s="1"/>
  <c r="P32" i="15"/>
  <c r="Q95" i="15"/>
  <c r="U95" i="15" s="1" a="1"/>
  <c r="U95" i="15" s="1"/>
  <c r="O17" i="15"/>
  <c r="O48" i="15"/>
  <c r="O45" i="15"/>
  <c r="O8" i="15"/>
  <c r="O107" i="15"/>
  <c r="O149" i="15"/>
  <c r="O119" i="15"/>
  <c r="O123" i="15"/>
  <c r="O84" i="15"/>
  <c r="O66" i="15"/>
  <c r="O11" i="15"/>
  <c r="O42" i="15"/>
  <c r="O113" i="15"/>
  <c r="O87" i="15"/>
  <c r="O88" i="15"/>
  <c r="O54" i="15"/>
  <c r="O93" i="15"/>
  <c r="O121" i="15"/>
  <c r="O72" i="15"/>
  <c r="O97" i="15"/>
  <c r="O129" i="15"/>
  <c r="O99" i="15"/>
  <c r="O75" i="15"/>
  <c r="O104" i="15"/>
  <c r="O132" i="15"/>
  <c r="O133" i="15" s="1"/>
  <c r="O110" i="15"/>
  <c r="O116" i="15"/>
  <c r="O63" i="15"/>
  <c r="O57" i="15"/>
  <c r="O40" i="15"/>
  <c r="O81" i="15"/>
  <c r="O142" i="15"/>
  <c r="O78" i="15"/>
  <c r="O38" i="15"/>
  <c r="O14" i="15"/>
  <c r="O90" i="15"/>
  <c r="O35" i="15"/>
  <c r="O101" i="15"/>
  <c r="Q55" i="15"/>
  <c r="U55" i="15" s="1"/>
  <c r="Q143" i="15"/>
  <c r="U143" i="15" s="1"/>
  <c r="P82" i="15"/>
  <c r="P114" i="15"/>
  <c r="P55" i="15"/>
  <c r="P124" i="15"/>
  <c r="P15" i="15"/>
  <c r="Q18" i="15"/>
  <c r="U18" i="15" s="1" a="1"/>
  <c r="U18" i="15" s="1"/>
  <c r="P79" i="15"/>
  <c r="P143" i="15"/>
  <c r="P69" i="15"/>
  <c r="P60" i="15"/>
  <c r="P43" i="15"/>
  <c r="P67" i="15"/>
  <c r="P150" i="15"/>
  <c r="P46" i="15"/>
  <c r="P18" i="15"/>
  <c r="P102" i="15"/>
  <c r="P76" i="15"/>
  <c r="P108" i="15"/>
  <c r="P117" i="15"/>
  <c r="P73" i="15"/>
  <c r="P105" i="15"/>
  <c r="P58" i="15"/>
  <c r="Q15" i="15"/>
  <c r="U15" i="15" s="1" a="1"/>
  <c r="U15" i="15" s="1"/>
  <c r="P130" i="15"/>
  <c r="P39" i="15"/>
  <c r="P9" i="15"/>
  <c r="P111" i="15"/>
  <c r="P12" i="15"/>
  <c r="P85" i="15"/>
  <c r="Q52" i="15"/>
  <c r="U52" i="15" s="1"/>
  <c r="P95" i="15"/>
  <c r="P64" i="15"/>
  <c r="P36" i="15"/>
  <c r="V133" i="15"/>
  <c r="M6" i="15"/>
  <c r="Q61" i="15" a="1"/>
  <c r="O127" i="15" a="1"/>
  <c r="N135" i="15" a="1"/>
  <c r="N123" i="15" a="1"/>
  <c r="N119" i="15" a="1"/>
  <c r="N126" i="15" a="1"/>
  <c r="N93" i="15" a="1"/>
  <c r="N23" i="15" a="1"/>
  <c r="N20" i="15" a="1"/>
  <c r="N138" i="15" a="1"/>
  <c r="O51" i="15" a="1"/>
  <c r="N57" i="15" a="1"/>
  <c r="N29" i="15" a="1"/>
  <c r="N104" i="15" a="1"/>
  <c r="N45" i="15" a="1"/>
  <c r="O124" i="15" a="1"/>
  <c r="N26" i="15" a="1"/>
  <c r="O69" i="15" a="1"/>
  <c r="N149" i="15" a="1"/>
  <c r="N144" i="15" a="1"/>
  <c r="N97" i="15" a="1"/>
  <c r="N81" i="15" a="1"/>
  <c r="O46" i="15" a="1"/>
  <c r="N48" i="15" a="1"/>
  <c r="Q33" i="15"/>
  <c r="N75" i="15" a="1"/>
  <c r="N66" i="15" a="1"/>
  <c r="O85" i="15" a="1"/>
  <c r="N11" i="15" a="1"/>
  <c r="N42" i="15" a="1"/>
  <c r="N78" i="15" a="1"/>
  <c r="O9" i="15" a="1"/>
  <c r="O130" i="15" a="1"/>
  <c r="P70" i="15" a="1"/>
  <c r="N113" i="15" a="1"/>
  <c r="O30" i="15" a="1"/>
  <c r="N145" i="15" a="1"/>
  <c r="N132" i="15" a="1"/>
  <c r="N107" i="15" a="1"/>
  <c r="O117" i="15" a="1"/>
  <c r="O21" i="15" a="1"/>
  <c r="O79" i="15" a="1"/>
  <c r="N90" i="15" a="1"/>
  <c r="N8" i="15" a="1"/>
  <c r="O55" i="15" a="1"/>
  <c r="N142" i="15" a="1"/>
  <c r="N40" i="15" a="1"/>
  <c r="N35" i="15" a="1"/>
  <c r="N14" i="15" a="1"/>
  <c r="N129" i="15" a="1"/>
  <c r="N17" i="15" a="1"/>
  <c r="N110" i="15" a="1"/>
  <c r="N101" i="15" a="1"/>
  <c r="N7" i="15" a="1"/>
  <c r="O39" i="15" a="1"/>
  <c r="N38" i="15" a="1"/>
  <c r="P33" i="15"/>
  <c r="O82" i="15" a="1"/>
  <c r="N72" i="15" a="1"/>
  <c r="O73" i="15" a="1"/>
  <c r="N84" i="15" a="1"/>
  <c r="O60" i="15" a="1"/>
  <c r="N147" i="15" a="1"/>
  <c r="N151" i="15" a="1"/>
  <c r="O24" i="15" a="1"/>
  <c r="N63" i="15" a="1"/>
  <c r="N152" i="15" a="1"/>
  <c r="N116" i="15" a="1"/>
  <c r="N88" i="15" a="1"/>
  <c r="N121" i="15" a="1"/>
  <c r="N146" i="15" a="1"/>
  <c r="N54" i="15" a="1"/>
  <c r="N99" i="15" a="1"/>
  <c r="O108" i="15" a="1"/>
  <c r="N87" i="15" a="1"/>
  <c r="Q70" i="15" a="1"/>
  <c r="O15" i="15" a="1"/>
  <c r="O12" i="15" a="1"/>
  <c r="O105" i="15" a="1"/>
  <c r="O95" i="15" a="1"/>
  <c r="O64" i="15" a="1"/>
  <c r="O136" i="15" a="1"/>
  <c r="O27" i="15" a="1"/>
  <c r="O143" i="15" a="1"/>
  <c r="O76" i="15" a="1"/>
  <c r="O18" i="15" a="1"/>
  <c r="O49" i="15" a="1"/>
  <c r="O102" i="15" a="1"/>
  <c r="P61" i="15" a="1"/>
  <c r="O58" i="15" a="1"/>
  <c r="P52" i="15" a="1"/>
  <c r="O139" i="15" a="1"/>
  <c r="O67" i="15" a="1"/>
  <c r="O43" i="15" a="1"/>
  <c r="O114" i="15" a="1"/>
  <c r="O36" i="15" a="1"/>
  <c r="O111" i="15" a="1"/>
  <c r="O150" i="15" a="1"/>
  <c r="N138" i="15" l="1"/>
  <c r="N135" i="15"/>
  <c r="O136" i="15"/>
  <c r="O139" i="15"/>
  <c r="O30" i="15"/>
  <c r="O21" i="15"/>
  <c r="O24" i="15"/>
  <c r="N29" i="15"/>
  <c r="N26" i="15"/>
  <c r="N23" i="15"/>
  <c r="N20" i="15"/>
  <c r="O27" i="15"/>
  <c r="N151" i="15"/>
  <c r="N146" i="15"/>
  <c r="N144" i="15"/>
  <c r="N152" i="15"/>
  <c r="N147" i="15"/>
  <c r="N145" i="15"/>
  <c r="O127" i="15"/>
  <c r="N126" i="15"/>
  <c r="N7" i="15"/>
  <c r="U33" i="15"/>
  <c r="O51" i="15"/>
  <c r="Q70" i="15"/>
  <c r="U70" i="15" s="1" a="1"/>
  <c r="U70" i="15" s="1"/>
  <c r="P52" i="15"/>
  <c r="O49" i="15"/>
  <c r="O94" i="15" a="1"/>
  <c r="O94" i="15" s="1"/>
  <c r="M5" i="15"/>
  <c r="N48" i="15"/>
  <c r="N17" i="15"/>
  <c r="N63" i="15"/>
  <c r="N119" i="15"/>
  <c r="N42" i="15"/>
  <c r="N121" i="15"/>
  <c r="N75" i="15"/>
  <c r="N142" i="15"/>
  <c r="N54" i="15"/>
  <c r="N14" i="15"/>
  <c r="N35" i="15"/>
  <c r="N40" i="15"/>
  <c r="N99" i="15"/>
  <c r="N97" i="15"/>
  <c r="N123" i="15"/>
  <c r="N88" i="15"/>
  <c r="N72" i="15"/>
  <c r="N110" i="15"/>
  <c r="N107" i="15"/>
  <c r="N149" i="15"/>
  <c r="N101" i="15"/>
  <c r="N116" i="15"/>
  <c r="N81" i="15"/>
  <c r="N11" i="15"/>
  <c r="N113" i="15"/>
  <c r="N45" i="15"/>
  <c r="N129" i="15"/>
  <c r="N38" i="15"/>
  <c r="N78" i="15"/>
  <c r="N8" i="15"/>
  <c r="N87" i="15"/>
  <c r="N104" i="15"/>
  <c r="N66" i="15"/>
  <c r="N84" i="15"/>
  <c r="N132" i="15"/>
  <c r="N133" i="15" s="1"/>
  <c r="N90" i="15"/>
  <c r="N57" i="15"/>
  <c r="N93" i="15"/>
  <c r="O120" i="15"/>
  <c r="O32" i="15"/>
  <c r="O91" i="15" a="1"/>
  <c r="O91" i="15" s="1"/>
  <c r="Q61" i="15"/>
  <c r="U61" i="15" s="1"/>
  <c r="O12" i="15"/>
  <c r="O150" i="15"/>
  <c r="O82" i="15"/>
  <c r="O108" i="15"/>
  <c r="O105" i="15"/>
  <c r="O55" i="15"/>
  <c r="O9" i="15"/>
  <c r="O15" i="15"/>
  <c r="O76" i="15"/>
  <c r="O67" i="15"/>
  <c r="O46" i="15"/>
  <c r="O102" i="15"/>
  <c r="O58" i="15"/>
  <c r="O85" i="15"/>
  <c r="O39" i="15"/>
  <c r="O69" i="15"/>
  <c r="O60" i="15"/>
  <c r="O130" i="15"/>
  <c r="O79" i="15"/>
  <c r="O117" i="15"/>
  <c r="O114" i="15"/>
  <c r="O124" i="15"/>
  <c r="O18" i="15"/>
  <c r="O143" i="15"/>
  <c r="O111" i="15"/>
  <c r="O73" i="15"/>
  <c r="O43" i="15"/>
  <c r="P61" i="15"/>
  <c r="P70" i="15"/>
  <c r="O36" i="15"/>
  <c r="O95" i="15"/>
  <c r="O64" i="15"/>
  <c r="L6" i="15"/>
  <c r="M38" i="15" a="1"/>
  <c r="M90" i="15" a="1"/>
  <c r="M88" i="15" a="1"/>
  <c r="M78" i="15" a="1"/>
  <c r="M152" i="15" a="1"/>
  <c r="M20" i="15" a="1"/>
  <c r="M17" i="15" a="1"/>
  <c r="M40" i="15" a="1"/>
  <c r="N69" i="15" a="1"/>
  <c r="M107" i="15" a="1"/>
  <c r="M42" i="15" a="1"/>
  <c r="N95" i="15" a="1"/>
  <c r="N117" i="15" a="1"/>
  <c r="N85" i="15" a="1"/>
  <c r="M145" i="15" a="1"/>
  <c r="N43" i="15" a="1"/>
  <c r="M26" i="15" a="1"/>
  <c r="M99" i="15" a="1"/>
  <c r="N18" i="15" a="1"/>
  <c r="M113" i="15" a="1"/>
  <c r="M45" i="15" a="1"/>
  <c r="N127" i="15" a="1"/>
  <c r="M116" i="15" a="1"/>
  <c r="M149" i="15" a="1"/>
  <c r="M8" i="15" a="1"/>
  <c r="N67" i="15" a="1"/>
  <c r="N79" i="15" a="1"/>
  <c r="N82" i="15" a="1"/>
  <c r="M132" i="15" a="1"/>
  <c r="M104" i="15" a="1"/>
  <c r="M72" i="15" a="1"/>
  <c r="M23" i="15" a="1"/>
  <c r="M97" i="15" a="1"/>
  <c r="M54" i="15" a="1"/>
  <c r="M11" i="15" a="1"/>
  <c r="N27" i="15" a="1"/>
  <c r="N46" i="15" a="1"/>
  <c r="N143" i="15" a="1"/>
  <c r="N12" i="15" a="1"/>
  <c r="N39" i="15" a="1"/>
  <c r="N60" i="15" a="1"/>
  <c r="N36" i="15" a="1"/>
  <c r="N64" i="15" a="1"/>
  <c r="M142" i="15" a="1"/>
  <c r="M48" i="15" a="1"/>
  <c r="O33" i="15"/>
  <c r="M121" i="15" a="1"/>
  <c r="M119" i="15" a="1"/>
  <c r="M84" i="15" a="1"/>
  <c r="M151" i="15" a="1"/>
  <c r="M126" i="15" a="1"/>
  <c r="M81" i="15" a="1"/>
  <c r="M135" i="15" a="1"/>
  <c r="M101" i="15" a="1"/>
  <c r="M57" i="15" a="1"/>
  <c r="N24" i="15" a="1"/>
  <c r="N15" i="15" a="1"/>
  <c r="M110" i="15" a="1"/>
  <c r="M93" i="15" a="1"/>
  <c r="N102" i="15" a="1"/>
  <c r="M14" i="15" a="1"/>
  <c r="M147" i="15" a="1"/>
  <c r="M29" i="15" a="1"/>
  <c r="M35" i="15" a="1"/>
  <c r="N114" i="15" a="1"/>
  <c r="M146" i="15" a="1"/>
  <c r="M129" i="15" a="1"/>
  <c r="M123" i="15" a="1"/>
  <c r="M144" i="15" a="1"/>
  <c r="M75" i="15" a="1"/>
  <c r="N136" i="15" a="1"/>
  <c r="N49" i="15" a="1"/>
  <c r="N139" i="15" a="1"/>
  <c r="M87" i="15" a="1"/>
  <c r="N73" i="15" a="1"/>
  <c r="M63" i="15" a="1"/>
  <c r="N51" i="15" a="1"/>
  <c r="N58" i="15" a="1"/>
  <c r="M7" i="15" a="1"/>
  <c r="N124" i="15" a="1"/>
  <c r="N30" i="15" a="1"/>
  <c r="N150" i="15" a="1"/>
  <c r="N105" i="15" a="1"/>
  <c r="N130" i="15" a="1"/>
  <c r="M138" i="15" a="1"/>
  <c r="M66" i="15" a="1"/>
  <c r="N111" i="15" a="1"/>
  <c r="N9" i="15" a="1"/>
  <c r="N21" i="15" a="1"/>
  <c r="O52" i="15" a="1"/>
  <c r="N76" i="15" a="1"/>
  <c r="N108" i="15" a="1"/>
  <c r="N55" i="15" a="1"/>
  <c r="O70" i="15" a="1"/>
  <c r="O61" i="15" a="1"/>
  <c r="M138" i="15" l="1"/>
  <c r="M135" i="15"/>
  <c r="N136" i="15"/>
  <c r="N139" i="15"/>
  <c r="N30" i="15"/>
  <c r="N21" i="15"/>
  <c r="N24" i="15"/>
  <c r="M29" i="15"/>
  <c r="M23" i="15"/>
  <c r="M20" i="15"/>
  <c r="M26" i="15"/>
  <c r="N27" i="15"/>
  <c r="M152" i="15"/>
  <c r="M147" i="15"/>
  <c r="M145" i="15"/>
  <c r="M146" i="15"/>
  <c r="M151" i="15"/>
  <c r="M144" i="15"/>
  <c r="N127" i="15"/>
  <c r="M126" i="15"/>
  <c r="M7" i="15"/>
  <c r="O52" i="15"/>
  <c r="N49" i="15"/>
  <c r="N51" i="15"/>
  <c r="N94" i="15" a="1"/>
  <c r="N94" i="15" s="1"/>
  <c r="L5" i="15"/>
  <c r="N32" i="15"/>
  <c r="N120" i="15"/>
  <c r="N91" i="15" a="1"/>
  <c r="N91" i="15" s="1"/>
  <c r="M88" i="15"/>
  <c r="M113" i="15"/>
  <c r="M132" i="15"/>
  <c r="M133" i="15" s="1"/>
  <c r="M93" i="15"/>
  <c r="M97" i="15"/>
  <c r="M45" i="15"/>
  <c r="M121" i="15"/>
  <c r="M99" i="15"/>
  <c r="M66" i="15"/>
  <c r="M75" i="15"/>
  <c r="M81" i="15"/>
  <c r="M149" i="15"/>
  <c r="M87" i="15"/>
  <c r="M129" i="15"/>
  <c r="M107" i="15"/>
  <c r="M54" i="15"/>
  <c r="M8" i="15"/>
  <c r="M142" i="15"/>
  <c r="M110" i="15"/>
  <c r="M38" i="15"/>
  <c r="M78" i="15"/>
  <c r="M40" i="15"/>
  <c r="M11" i="15"/>
  <c r="M123" i="15"/>
  <c r="M63" i="15"/>
  <c r="M14" i="15"/>
  <c r="M119" i="15"/>
  <c r="M48" i="15"/>
  <c r="M17" i="15"/>
  <c r="M104" i="15"/>
  <c r="M57" i="15"/>
  <c r="M101" i="15"/>
  <c r="M35" i="15"/>
  <c r="M72" i="15"/>
  <c r="M116" i="15"/>
  <c r="M84" i="15"/>
  <c r="M90" i="15"/>
  <c r="M42" i="15"/>
  <c r="N82" i="15"/>
  <c r="N43" i="15"/>
  <c r="N114" i="15"/>
  <c r="N102" i="15"/>
  <c r="N73" i="15"/>
  <c r="N55" i="15"/>
  <c r="N18" i="15"/>
  <c r="N9" i="15"/>
  <c r="N143" i="15"/>
  <c r="N79" i="15"/>
  <c r="N150" i="15"/>
  <c r="N85" i="15"/>
  <c r="N39" i="15"/>
  <c r="N12" i="15"/>
  <c r="N108" i="15"/>
  <c r="N76" i="15"/>
  <c r="N130" i="15"/>
  <c r="N111" i="15"/>
  <c r="N58" i="15"/>
  <c r="N105" i="15"/>
  <c r="N46" i="15"/>
  <c r="N117" i="15"/>
  <c r="N15" i="15"/>
  <c r="N69" i="15"/>
  <c r="N60" i="15"/>
  <c r="N124" i="15"/>
  <c r="N67" i="15"/>
  <c r="O61" i="15"/>
  <c r="O70" i="15"/>
  <c r="N64" i="15"/>
  <c r="N36" i="15"/>
  <c r="N95" i="15"/>
  <c r="K6" i="15"/>
  <c r="L72" i="15" a="1"/>
  <c r="M102" i="15" a="1"/>
  <c r="M60" i="15" a="1"/>
  <c r="M73" i="15" a="1"/>
  <c r="L45" i="15" a="1"/>
  <c r="L87" i="15" a="1"/>
  <c r="M67" i="15" a="1"/>
  <c r="M24" i="15" a="1"/>
  <c r="M127" i="15" a="1"/>
  <c r="L142" i="15" a="1"/>
  <c r="L23" i="15" a="1"/>
  <c r="M82" i="15" a="1"/>
  <c r="M51" i="15" a="1"/>
  <c r="L48" i="15" a="1"/>
  <c r="L42" i="15" a="1"/>
  <c r="M76" i="15" a="1"/>
  <c r="L97" i="15" a="1"/>
  <c r="N33" i="15"/>
  <c r="L66" i="15" a="1"/>
  <c r="L11" i="15" a="1"/>
  <c r="M79" i="15" a="1"/>
  <c r="L138" i="15" a="1"/>
  <c r="L126" i="15" a="1"/>
  <c r="L17" i="15" a="1"/>
  <c r="L8" i="15" a="1"/>
  <c r="M36" i="15" a="1"/>
  <c r="M55" i="15" a="1"/>
  <c r="L149" i="15" a="1"/>
  <c r="M69" i="15" a="1"/>
  <c r="L35" i="15" a="1"/>
  <c r="L99" i="15" a="1"/>
  <c r="L63" i="15" a="1"/>
  <c r="L38" i="15" a="1"/>
  <c r="M64" i="15" a="1"/>
  <c r="L135" i="15" a="1"/>
  <c r="M139" i="15" a="1"/>
  <c r="L88" i="15" a="1"/>
  <c r="M15" i="15" a="1"/>
  <c r="L110" i="15" a="1"/>
  <c r="M105" i="15" a="1"/>
  <c r="L116" i="15" a="1"/>
  <c r="L14" i="15" a="1"/>
  <c r="M111" i="15" a="1"/>
  <c r="M130" i="15" a="1"/>
  <c r="L119" i="15" a="1"/>
  <c r="L101" i="15" a="1"/>
  <c r="M117" i="15" a="1"/>
  <c r="L104" i="15" a="1"/>
  <c r="L81" i="15" a="1"/>
  <c r="L75" i="15" a="1"/>
  <c r="L54" i="15" a="1"/>
  <c r="M95" i="15" a="1"/>
  <c r="L26" i="15" a="1"/>
  <c r="N70" i="15" a="1"/>
  <c r="L107" i="15" a="1"/>
  <c r="L7" i="15" a="1"/>
  <c r="L57" i="15" a="1"/>
  <c r="L84" i="15" a="1"/>
  <c r="M12" i="15" a="1"/>
  <c r="M150" i="15" a="1"/>
  <c r="M39" i="15" a="1"/>
  <c r="L144" i="15" a="1"/>
  <c r="L145" i="15" a="1"/>
  <c r="M124" i="15" a="1"/>
  <c r="M114" i="15" a="1"/>
  <c r="L132" i="15" a="1"/>
  <c r="L147" i="15" a="1"/>
  <c r="L123" i="15" a="1"/>
  <c r="N52" i="15" a="1"/>
  <c r="L93" i="15" a="1"/>
  <c r="M49" i="15" a="1"/>
  <c r="L29" i="15" a="1"/>
  <c r="L152" i="15" a="1"/>
  <c r="L121" i="15" a="1"/>
  <c r="L90" i="15" a="1"/>
  <c r="M136" i="15" a="1"/>
  <c r="L129" i="15" a="1"/>
  <c r="L78" i="15" a="1"/>
  <c r="M43" i="15" a="1"/>
  <c r="M85" i="15" a="1"/>
  <c r="L20" i="15" a="1"/>
  <c r="L146" i="15" a="1"/>
  <c r="N61" i="15" a="1"/>
  <c r="L151" i="15" a="1"/>
  <c r="L113" i="15" a="1"/>
  <c r="M58" i="15" a="1"/>
  <c r="M30" i="15" a="1"/>
  <c r="M108" i="15" a="1"/>
  <c r="L40" i="15" a="1"/>
  <c r="M18" i="15" a="1"/>
  <c r="M21" i="15" a="1"/>
  <c r="M9" i="15" a="1"/>
  <c r="M46" i="15" a="1"/>
  <c r="M27" i="15" a="1"/>
  <c r="M143" i="15" a="1"/>
  <c r="L138" i="15" l="1"/>
  <c r="L135" i="15"/>
  <c r="M136" i="15"/>
  <c r="M139" i="15"/>
  <c r="M30" i="15"/>
  <c r="M27" i="15"/>
  <c r="L29" i="15"/>
  <c r="L26" i="15"/>
  <c r="L23" i="15"/>
  <c r="L20" i="15"/>
  <c r="M21" i="15"/>
  <c r="M24" i="15"/>
  <c r="L151" i="15"/>
  <c r="L146" i="15"/>
  <c r="L144" i="15"/>
  <c r="L145" i="15"/>
  <c r="L152" i="15"/>
  <c r="L147" i="15"/>
  <c r="M127" i="15"/>
  <c r="L126" i="15"/>
  <c r="L7" i="15"/>
  <c r="K5" i="15"/>
  <c r="M49" i="15"/>
  <c r="N52" i="15"/>
  <c r="M51" i="15"/>
  <c r="L129" i="15"/>
  <c r="L72" i="15"/>
  <c r="L17" i="15"/>
  <c r="L14" i="15"/>
  <c r="L78" i="15"/>
  <c r="L8" i="15"/>
  <c r="L38" i="15"/>
  <c r="L48" i="15"/>
  <c r="L149" i="15"/>
  <c r="L40" i="15"/>
  <c r="L54" i="15"/>
  <c r="L66" i="15"/>
  <c r="L110" i="15"/>
  <c r="L63" i="15"/>
  <c r="L123" i="15"/>
  <c r="L45" i="15"/>
  <c r="L97" i="15"/>
  <c r="L87" i="15"/>
  <c r="L57" i="15"/>
  <c r="L35" i="15"/>
  <c r="L121" i="15"/>
  <c r="L132" i="15"/>
  <c r="L133" i="15" s="1"/>
  <c r="L42" i="15"/>
  <c r="L84" i="15"/>
  <c r="L93" i="15"/>
  <c r="L11" i="15"/>
  <c r="L107" i="15"/>
  <c r="L88" i="15"/>
  <c r="L101" i="15"/>
  <c r="L113" i="15"/>
  <c r="L99" i="15"/>
  <c r="L142" i="15"/>
  <c r="L119" i="15"/>
  <c r="L116" i="15"/>
  <c r="L81" i="15"/>
  <c r="L90" i="15"/>
  <c r="L104" i="15"/>
  <c r="L75" i="15"/>
  <c r="M91" i="15" a="1"/>
  <c r="M91" i="15" s="1"/>
  <c r="M120" i="15"/>
  <c r="M43" i="15"/>
  <c r="M58" i="15"/>
  <c r="M39" i="15"/>
  <c r="M105" i="15"/>
  <c r="M111" i="15"/>
  <c r="M114" i="15"/>
  <c r="M18" i="15"/>
  <c r="M12" i="15"/>
  <c r="M143" i="15"/>
  <c r="M130" i="15"/>
  <c r="M46" i="15"/>
  <c r="M73" i="15"/>
  <c r="M9" i="15"/>
  <c r="M82" i="15"/>
  <c r="M102" i="15"/>
  <c r="M15" i="15"/>
  <c r="M79" i="15"/>
  <c r="M67" i="15"/>
  <c r="M69" i="15"/>
  <c r="M60" i="15"/>
  <c r="M124" i="15"/>
  <c r="M108" i="15"/>
  <c r="M85" i="15"/>
  <c r="M117" i="15"/>
  <c r="M150" i="15"/>
  <c r="M55" i="15"/>
  <c r="M76" i="15"/>
  <c r="M32" i="15"/>
  <c r="M94" i="15" a="1"/>
  <c r="M94" i="15" s="1"/>
  <c r="N70" i="15"/>
  <c r="N61" i="15"/>
  <c r="M64" i="15"/>
  <c r="M95" i="15"/>
  <c r="M36" i="15"/>
  <c r="J6" i="15"/>
  <c r="L95" i="15" a="1"/>
  <c r="L18" i="15" a="1"/>
  <c r="L79" i="15" a="1"/>
  <c r="L49" i="15" a="1"/>
  <c r="K26" i="15" a="1"/>
  <c r="L82" i="15" a="1"/>
  <c r="L130" i="15" a="1"/>
  <c r="M70" i="15" a="1"/>
  <c r="L51" i="15" a="1"/>
  <c r="K29" i="15" a="1"/>
  <c r="M52" i="15" a="1"/>
  <c r="L102" i="15" a="1"/>
  <c r="K35" i="15" a="1"/>
  <c r="K119" i="15" a="1"/>
  <c r="K8" i="15" a="1"/>
  <c r="K23" i="15" a="1"/>
  <c r="K88" i="15" a="1"/>
  <c r="M61" i="15" a="1"/>
  <c r="K104" i="15" a="1"/>
  <c r="K78" i="15" a="1"/>
  <c r="K38" i="15" a="1"/>
  <c r="K17" i="15" a="1"/>
  <c r="K145" i="15" a="1"/>
  <c r="K129" i="15" a="1"/>
  <c r="K116" i="15" a="1"/>
  <c r="L85" i="15" a="1"/>
  <c r="K101" i="15" a="1"/>
  <c r="L69" i="15" a="1"/>
  <c r="K107" i="15" a="1"/>
  <c r="K97" i="15" a="1"/>
  <c r="K142" i="15" a="1"/>
  <c r="K87" i="15" a="1"/>
  <c r="K84" i="15" a="1"/>
  <c r="K57" i="15" a="1"/>
  <c r="L60" i="15" a="1"/>
  <c r="K147" i="15" a="1"/>
  <c r="L21" i="15" a="1"/>
  <c r="K132" i="15" a="1"/>
  <c r="K81" i="15" a="1"/>
  <c r="K149" i="15" a="1"/>
  <c r="L143" i="15" a="1"/>
  <c r="K20" i="15" a="1"/>
  <c r="L55" i="15" a="1"/>
  <c r="L127" i="15" a="1"/>
  <c r="L67" i="15" a="1"/>
  <c r="K48" i="15" a="1"/>
  <c r="K146" i="15" a="1"/>
  <c r="K45" i="15" a="1"/>
  <c r="K110" i="15" a="1"/>
  <c r="K66" i="15" a="1"/>
  <c r="L36" i="15" a="1"/>
  <c r="K99" i="15" a="1"/>
  <c r="L30" i="15" a="1"/>
  <c r="K75" i="15" a="1"/>
  <c r="L136" i="15" a="1"/>
  <c r="K144" i="15" a="1"/>
  <c r="L27" i="15" a="1"/>
  <c r="K7" i="15" a="1"/>
  <c r="K135" i="15" a="1"/>
  <c r="K152" i="15" a="1"/>
  <c r="K40" i="15" a="1"/>
  <c r="K126" i="15" a="1"/>
  <c r="L43" i="15" a="1"/>
  <c r="K121" i="15" a="1"/>
  <c r="K54" i="15" a="1"/>
  <c r="K72" i="15" a="1"/>
  <c r="L111" i="15" a="1"/>
  <c r="K93" i="15" a="1"/>
  <c r="K151" i="15" a="1"/>
  <c r="L139" i="15" a="1"/>
  <c r="K138" i="15" a="1"/>
  <c r="L39" i="15" a="1"/>
  <c r="K90" i="15" a="1"/>
  <c r="K11" i="15" a="1"/>
  <c r="K42" i="15" a="1"/>
  <c r="K14" i="15" a="1"/>
  <c r="K113" i="15" a="1"/>
  <c r="K63" i="15" a="1"/>
  <c r="K123" i="15" a="1"/>
  <c r="L124" i="15" a="1"/>
  <c r="L108" i="15" a="1"/>
  <c r="L15" i="15" a="1"/>
  <c r="L46" i="15" a="1"/>
  <c r="L150" i="15" a="1"/>
  <c r="L73" i="15" a="1"/>
  <c r="L9" i="15" a="1"/>
  <c r="L114" i="15" a="1"/>
  <c r="L117" i="15" a="1"/>
  <c r="L64" i="15" a="1"/>
  <c r="L76" i="15" a="1"/>
  <c r="L58" i="15" a="1"/>
  <c r="L24" i="15" a="1"/>
  <c r="M33" i="15"/>
  <c r="L12" i="15" a="1"/>
  <c r="L105" i="15" a="1"/>
  <c r="K138" i="15" l="1"/>
  <c r="K135" i="15"/>
  <c r="L136" i="15"/>
  <c r="L139" i="15"/>
  <c r="L30" i="15"/>
  <c r="K23" i="15"/>
  <c r="K29" i="15"/>
  <c r="K26" i="15"/>
  <c r="K20" i="15"/>
  <c r="L21" i="15"/>
  <c r="L27" i="15"/>
  <c r="L24" i="15"/>
  <c r="L91" i="15" a="1"/>
  <c r="L91" i="15" s="1"/>
  <c r="K152" i="15"/>
  <c r="K147" i="15"/>
  <c r="K145" i="15"/>
  <c r="K151" i="15"/>
  <c r="K146" i="15"/>
  <c r="K144" i="15"/>
  <c r="L127" i="15"/>
  <c r="K126" i="15"/>
  <c r="J5" i="15"/>
  <c r="K7" i="15"/>
  <c r="K81" i="15"/>
  <c r="K113" i="15"/>
  <c r="K14" i="15"/>
  <c r="K107" i="15"/>
  <c r="K93" i="15"/>
  <c r="K121" i="15"/>
  <c r="K66" i="15"/>
  <c r="K142" i="15"/>
  <c r="K90" i="15"/>
  <c r="K104" i="15"/>
  <c r="K97" i="15"/>
  <c r="K54" i="15"/>
  <c r="K45" i="15"/>
  <c r="K99" i="15"/>
  <c r="K48" i="15"/>
  <c r="K40" i="15"/>
  <c r="K42" i="15"/>
  <c r="K119" i="15"/>
  <c r="K8" i="15"/>
  <c r="K63" i="15"/>
  <c r="K149" i="15"/>
  <c r="K57" i="15"/>
  <c r="K116" i="15"/>
  <c r="K17" i="15"/>
  <c r="K78" i="15"/>
  <c r="K35" i="15"/>
  <c r="K75" i="15"/>
  <c r="K129" i="15"/>
  <c r="K72" i="15"/>
  <c r="K88" i="15"/>
  <c r="K84" i="15"/>
  <c r="K11" i="15"/>
  <c r="K101" i="15"/>
  <c r="K123" i="15"/>
  <c r="K38" i="15"/>
  <c r="K110" i="15"/>
  <c r="K87" i="15"/>
  <c r="K132" i="15"/>
  <c r="K133" i="15" s="1"/>
  <c r="L51" i="15"/>
  <c r="L49" i="15"/>
  <c r="L120" i="15"/>
  <c r="M52" i="15"/>
  <c r="L32" i="15"/>
  <c r="L94" i="15" a="1"/>
  <c r="L94" i="15" s="1"/>
  <c r="L108" i="15"/>
  <c r="L124" i="15"/>
  <c r="L79" i="15"/>
  <c r="L102" i="15"/>
  <c r="L85" i="15"/>
  <c r="L111" i="15"/>
  <c r="L18" i="15"/>
  <c r="L82" i="15"/>
  <c r="L43" i="15"/>
  <c r="L67" i="15"/>
  <c r="L73" i="15"/>
  <c r="L117" i="15"/>
  <c r="L46" i="15"/>
  <c r="L55" i="15"/>
  <c r="L39" i="15"/>
  <c r="L130" i="15"/>
  <c r="L9" i="15"/>
  <c r="L143" i="15"/>
  <c r="L12" i="15"/>
  <c r="L15" i="15"/>
  <c r="L76" i="15"/>
  <c r="L150" i="15"/>
  <c r="L105" i="15"/>
  <c r="L114" i="15"/>
  <c r="L58" i="15"/>
  <c r="L60" i="15"/>
  <c r="L69" i="15"/>
  <c r="M61" i="15"/>
  <c r="M70" i="15"/>
  <c r="L64" i="15"/>
  <c r="L95" i="15"/>
  <c r="L36" i="15"/>
  <c r="I6" i="15"/>
  <c r="J129" i="15" a="1"/>
  <c r="J93" i="15" a="1"/>
  <c r="K67" i="15" a="1"/>
  <c r="J147" i="15" a="1"/>
  <c r="J135" i="15" a="1"/>
  <c r="J20" i="15" a="1"/>
  <c r="K60" i="15" a="1"/>
  <c r="K76" i="15" a="1"/>
  <c r="J90" i="15" a="1"/>
  <c r="J78" i="15" a="1"/>
  <c r="K24" i="15" a="1"/>
  <c r="K43" i="15" a="1"/>
  <c r="J101" i="15" a="1"/>
  <c r="K49" i="15" a="1"/>
  <c r="J121" i="15" a="1"/>
  <c r="J138" i="15" a="1"/>
  <c r="K46" i="15" a="1"/>
  <c r="J66" i="15" a="1"/>
  <c r="K150" i="15" a="1"/>
  <c r="J151" i="15" a="1"/>
  <c r="J126" i="15" a="1"/>
  <c r="L33" i="15"/>
  <c r="J149" i="15" a="1"/>
  <c r="J107" i="15" a="1"/>
  <c r="K30" i="15" a="1"/>
  <c r="K69" i="15" a="1"/>
  <c r="J40" i="15" a="1"/>
  <c r="K114" i="15" a="1"/>
  <c r="J57" i="15" a="1"/>
  <c r="J14" i="15" a="1"/>
  <c r="J99" i="15" a="1"/>
  <c r="K64" i="15" a="1"/>
  <c r="J81" i="15" a="1"/>
  <c r="J116" i="15" a="1"/>
  <c r="J110" i="15" a="1"/>
  <c r="J54" i="15" a="1"/>
  <c r="J26" i="15" a="1"/>
  <c r="J87" i="15" a="1"/>
  <c r="J23" i="15" a="1"/>
  <c r="K79" i="15" a="1"/>
  <c r="J7" i="15" a="1"/>
  <c r="K12" i="15" a="1"/>
  <c r="J119" i="15" a="1"/>
  <c r="K51" i="15" a="1"/>
  <c r="J113" i="15" a="1"/>
  <c r="K21" i="15" a="1"/>
  <c r="J97" i="15" a="1"/>
  <c r="J132" i="15" a="1"/>
  <c r="J146" i="15" a="1"/>
  <c r="J17" i="15" a="1"/>
  <c r="J84" i="15" a="1"/>
  <c r="K136" i="15" a="1"/>
  <c r="J11" i="15" a="1"/>
  <c r="J144" i="15" a="1"/>
  <c r="K36" i="15" a="1"/>
  <c r="K139" i="15" a="1"/>
  <c r="J104" i="15" a="1"/>
  <c r="K102" i="15" a="1"/>
  <c r="J142" i="15" a="1"/>
  <c r="K124" i="15" a="1"/>
  <c r="J38" i="15" a="1"/>
  <c r="K9" i="15" a="1"/>
  <c r="J88" i="15" a="1"/>
  <c r="J63" i="15" a="1"/>
  <c r="J145" i="15" a="1"/>
  <c r="J48" i="15" a="1"/>
  <c r="K127" i="15" a="1"/>
  <c r="J8" i="15" a="1"/>
  <c r="J75" i="15" a="1"/>
  <c r="J45" i="15" a="1"/>
  <c r="J152" i="15" a="1"/>
  <c r="J123" i="15" a="1"/>
  <c r="K85" i="15" a="1"/>
  <c r="J35" i="15" a="1"/>
  <c r="J29" i="15" a="1"/>
  <c r="J42" i="15" a="1"/>
  <c r="K82" i="15" a="1"/>
  <c r="K108" i="15" a="1"/>
  <c r="J72" i="15" a="1"/>
  <c r="K143" i="15" a="1"/>
  <c r="K15" i="15" a="1"/>
  <c r="L52" i="15" a="1"/>
  <c r="K130" i="15" a="1"/>
  <c r="K95" i="15" a="1"/>
  <c r="K73" i="15" a="1"/>
  <c r="K55" i="15" a="1"/>
  <c r="K27" i="15" a="1"/>
  <c r="K105" i="15" a="1"/>
  <c r="K58" i="15" a="1"/>
  <c r="L61" i="15" a="1"/>
  <c r="K117" i="15" a="1"/>
  <c r="L70" i="15" a="1"/>
  <c r="K18" i="15" a="1"/>
  <c r="K111" i="15" a="1"/>
  <c r="J138" i="15" l="1"/>
  <c r="J135" i="15"/>
  <c r="K136" i="15"/>
  <c r="K139" i="15"/>
  <c r="K27" i="15"/>
  <c r="K30" i="15"/>
  <c r="J29" i="15"/>
  <c r="J26" i="15"/>
  <c r="J23" i="15"/>
  <c r="J20" i="15"/>
  <c r="K24" i="15"/>
  <c r="K21" i="15"/>
  <c r="J151" i="15"/>
  <c r="J146" i="15"/>
  <c r="J144" i="15"/>
  <c r="J152" i="15"/>
  <c r="J147" i="15"/>
  <c r="J145" i="15"/>
  <c r="J97" i="15"/>
  <c r="K127" i="15"/>
  <c r="J126" i="15"/>
  <c r="J123" i="15"/>
  <c r="J121" i="15"/>
  <c r="J93" i="15"/>
  <c r="J113" i="15"/>
  <c r="J78" i="15"/>
  <c r="J72" i="15"/>
  <c r="J38" i="15"/>
  <c r="J116" i="15"/>
  <c r="J63" i="15"/>
  <c r="J42" i="15"/>
  <c r="J8" i="15"/>
  <c r="J101" i="15"/>
  <c r="J99" i="15"/>
  <c r="J142" i="15"/>
  <c r="J7" i="15"/>
  <c r="J17" i="15"/>
  <c r="J45" i="15"/>
  <c r="J57" i="15"/>
  <c r="J88" i="15"/>
  <c r="J107" i="15"/>
  <c r="J87" i="15"/>
  <c r="J14" i="15"/>
  <c r="J48" i="15"/>
  <c r="J119" i="15"/>
  <c r="J11" i="15"/>
  <c r="J54" i="15"/>
  <c r="J104" i="15"/>
  <c r="J66" i="15"/>
  <c r="J84" i="15"/>
  <c r="J149" i="15"/>
  <c r="J110" i="15"/>
  <c r="J132" i="15"/>
  <c r="J133" i="15" s="1"/>
  <c r="J90" i="15"/>
  <c r="J35" i="15"/>
  <c r="J81" i="15"/>
  <c r="J75" i="15"/>
  <c r="J129" i="15"/>
  <c r="J40" i="15"/>
  <c r="I5" i="15"/>
  <c r="K32" i="15"/>
  <c r="K91" i="15" a="1"/>
  <c r="K91" i="15" s="1"/>
  <c r="K51" i="15"/>
  <c r="K94" i="15" a="1"/>
  <c r="K94" i="15" s="1"/>
  <c r="K120" i="15"/>
  <c r="K73" i="15"/>
  <c r="K12" i="15"/>
  <c r="K18" i="15"/>
  <c r="K46" i="15"/>
  <c r="K143" i="15"/>
  <c r="K114" i="15"/>
  <c r="K124" i="15"/>
  <c r="K85" i="15"/>
  <c r="K76" i="15"/>
  <c r="K60" i="15"/>
  <c r="K69" i="15"/>
  <c r="K9" i="15"/>
  <c r="K49" i="15"/>
  <c r="K108" i="15"/>
  <c r="K130" i="15"/>
  <c r="K150" i="15"/>
  <c r="K117" i="15"/>
  <c r="K105" i="15"/>
  <c r="K67" i="15"/>
  <c r="K82" i="15"/>
  <c r="K111" i="15"/>
  <c r="K102" i="15"/>
  <c r="K79" i="15"/>
  <c r="K58" i="15"/>
  <c r="K43" i="15"/>
  <c r="K55" i="15"/>
  <c r="K15" i="15"/>
  <c r="L52" i="15"/>
  <c r="L70" i="15"/>
  <c r="L61" i="15"/>
  <c r="K64" i="15"/>
  <c r="K95" i="15"/>
  <c r="K36" i="15"/>
  <c r="I151" i="15" a="1"/>
  <c r="J46" i="15" a="1"/>
  <c r="I26" i="15" a="1"/>
  <c r="J130" i="15" a="1"/>
  <c r="I135" i="15" a="1"/>
  <c r="J117" i="15" a="1"/>
  <c r="I104" i="15" a="1"/>
  <c r="I121" i="15" a="1"/>
  <c r="I38" i="15" a="1"/>
  <c r="J12" i="15" a="1"/>
  <c r="J18" i="15" a="1"/>
  <c r="J108" i="15" a="1"/>
  <c r="J49" i="15" a="1"/>
  <c r="I40" i="15" a="1"/>
  <c r="I99" i="15" a="1"/>
  <c r="I129" i="15" a="1"/>
  <c r="I8" i="15" a="1"/>
  <c r="I107" i="15" a="1"/>
  <c r="I138" i="15" a="1"/>
  <c r="I48" i="15" a="1"/>
  <c r="I81" i="15" a="1"/>
  <c r="J127" i="15" a="1"/>
  <c r="I7" i="15" a="1"/>
  <c r="I152" i="15" a="1"/>
  <c r="J67" i="15" a="1"/>
  <c r="J43" i="15" a="1"/>
  <c r="I63" i="15" a="1"/>
  <c r="I72" i="15" a="1"/>
  <c r="J139" i="15" a="1"/>
  <c r="I17" i="15" a="1"/>
  <c r="I14" i="15" a="1"/>
  <c r="J79" i="15" a="1"/>
  <c r="I116" i="15" a="1"/>
  <c r="I145" i="15" a="1"/>
  <c r="I87" i="15" a="1"/>
  <c r="I57" i="15" a="1"/>
  <c r="I90" i="15" a="1"/>
  <c r="I93" i="15" a="1"/>
  <c r="J105" i="15" a="1"/>
  <c r="I42" i="15" a="1"/>
  <c r="I35" i="15" a="1"/>
  <c r="J114" i="15" a="1"/>
  <c r="I132" i="15" a="1"/>
  <c r="K61" i="15" a="1"/>
  <c r="J95" i="15" a="1"/>
  <c r="J15" i="15" a="1"/>
  <c r="K33" i="15"/>
  <c r="I75" i="15" a="1"/>
  <c r="I126" i="15" a="1"/>
  <c r="I97" i="15" a="1"/>
  <c r="J102" i="15" a="1"/>
  <c r="J150" i="15" a="1"/>
  <c r="J21" i="15" a="1"/>
  <c r="I119" i="15" a="1"/>
  <c r="I78" i="15" a="1"/>
  <c r="I20" i="15" a="1"/>
  <c r="I54" i="15" a="1"/>
  <c r="J51" i="15" a="1"/>
  <c r="J9" i="15" a="1"/>
  <c r="I11" i="15" a="1"/>
  <c r="J36" i="15" a="1"/>
  <c r="I101" i="15" a="1"/>
  <c r="J30" i="15" a="1"/>
  <c r="I147" i="15" a="1"/>
  <c r="I123" i="15" a="1"/>
  <c r="I110" i="15" a="1"/>
  <c r="I29" i="15" a="1"/>
  <c r="I149" i="15" a="1"/>
  <c r="I45" i="15" a="1"/>
  <c r="I23" i="15" a="1"/>
  <c r="I144" i="15" a="1"/>
  <c r="I88" i="15" a="1"/>
  <c r="I66" i="15" a="1"/>
  <c r="J64" i="15" a="1"/>
  <c r="J82" i="15" a="1"/>
  <c r="I146" i="15" a="1"/>
  <c r="I113" i="15" a="1"/>
  <c r="I142" i="15" a="1"/>
  <c r="I84" i="15" a="1"/>
  <c r="J111" i="15" a="1"/>
  <c r="J69" i="15" a="1"/>
  <c r="J60" i="15" a="1"/>
  <c r="J58" i="15" a="1"/>
  <c r="J85" i="15" a="1"/>
  <c r="K39" i="15" a="1"/>
  <c r="J27" i="15" a="1"/>
  <c r="J24" i="15" a="1"/>
  <c r="J76" i="15" a="1"/>
  <c r="J124" i="15" a="1"/>
  <c r="J143" i="15" a="1"/>
  <c r="J55" i="15" a="1"/>
  <c r="K70" i="15" a="1"/>
  <c r="J136" i="15" a="1"/>
  <c r="J73" i="15" a="1"/>
  <c r="K52" i="15" a="1"/>
  <c r="J39" i="15" a="1"/>
  <c r="I138" i="15" l="1"/>
  <c r="I135" i="15"/>
  <c r="J51" i="15"/>
  <c r="J136" i="15"/>
  <c r="J139" i="15"/>
  <c r="I29" i="15"/>
  <c r="I26" i="15"/>
  <c r="I23" i="15"/>
  <c r="I20" i="15"/>
  <c r="J27" i="15"/>
  <c r="J30" i="15"/>
  <c r="J21" i="15"/>
  <c r="J24" i="15"/>
  <c r="I152" i="15"/>
  <c r="I147" i="15"/>
  <c r="I145" i="15"/>
  <c r="I144" i="15"/>
  <c r="I151" i="15"/>
  <c r="I146" i="15"/>
  <c r="J91" i="15" a="1"/>
  <c r="J91" i="15" s="1"/>
  <c r="J127" i="15"/>
  <c r="J32" i="15"/>
  <c r="J94" i="15" a="1"/>
  <c r="J94" i="15" s="1"/>
  <c r="I126" i="15"/>
  <c r="J120" i="15"/>
  <c r="J82" i="15"/>
  <c r="J85" i="15"/>
  <c r="J108" i="15"/>
  <c r="J18" i="15"/>
  <c r="J43" i="15"/>
  <c r="J39" i="15"/>
  <c r="I132" i="15"/>
  <c r="I133" i="15" s="1"/>
  <c r="I75" i="15"/>
  <c r="I38" i="15"/>
  <c r="I14" i="15"/>
  <c r="I104" i="15"/>
  <c r="I7" i="15"/>
  <c r="I54" i="15"/>
  <c r="I93" i="15"/>
  <c r="I8" i="15"/>
  <c r="I97" i="15"/>
  <c r="I84" i="15"/>
  <c r="I129" i="15"/>
  <c r="I101" i="15"/>
  <c r="I123" i="15"/>
  <c r="I35" i="15"/>
  <c r="I45" i="15"/>
  <c r="I113" i="15"/>
  <c r="I116" i="15"/>
  <c r="I110" i="15"/>
  <c r="I42" i="15"/>
  <c r="I57" i="15"/>
  <c r="I99" i="15"/>
  <c r="I87" i="15"/>
  <c r="I72" i="15"/>
  <c r="I48" i="15"/>
  <c r="I11" i="15"/>
  <c r="I149" i="15"/>
  <c r="I90" i="15"/>
  <c r="I17" i="15"/>
  <c r="I78" i="15"/>
  <c r="I121" i="15"/>
  <c r="I81" i="15"/>
  <c r="I107" i="15"/>
  <c r="I119" i="15"/>
  <c r="I66" i="15"/>
  <c r="I142" i="15"/>
  <c r="I88" i="15"/>
  <c r="I63" i="15"/>
  <c r="I40" i="15"/>
  <c r="J130" i="15"/>
  <c r="J111" i="15"/>
  <c r="J67" i="15"/>
  <c r="J55" i="15"/>
  <c r="J49" i="15"/>
  <c r="J102" i="15"/>
  <c r="J69" i="15"/>
  <c r="J60" i="15"/>
  <c r="J73" i="15"/>
  <c r="J76" i="15"/>
  <c r="J150" i="15"/>
  <c r="J58" i="15"/>
  <c r="J143" i="15"/>
  <c r="J117" i="15"/>
  <c r="J79" i="15"/>
  <c r="J105" i="15"/>
  <c r="J12" i="15"/>
  <c r="J15" i="15"/>
  <c r="J46" i="15"/>
  <c r="J9" i="15"/>
  <c r="J114" i="15"/>
  <c r="J124" i="15"/>
  <c r="K52" i="15"/>
  <c r="K39" i="15"/>
  <c r="K61" i="15"/>
  <c r="K70" i="15"/>
  <c r="J95" i="15"/>
  <c r="J36" i="15"/>
  <c r="J64" i="15"/>
  <c r="I9" i="15" a="1"/>
  <c r="I102" i="15" a="1"/>
  <c r="I127" i="15" a="1"/>
  <c r="I24" i="15" a="1"/>
  <c r="I15" i="15" a="1"/>
  <c r="I51" i="15" a="1"/>
  <c r="I69" i="15" a="1"/>
  <c r="J61" i="15" a="1"/>
  <c r="I105" i="15" a="1"/>
  <c r="J52" i="15" a="1"/>
  <c r="I60" i="15" a="1"/>
  <c r="I39" i="15" a="1"/>
  <c r="I46" i="15" a="1"/>
  <c r="I85" i="15" a="1"/>
  <c r="I64" i="15" a="1"/>
  <c r="I130" i="15" a="1"/>
  <c r="I136" i="15" a="1"/>
  <c r="I36" i="15" a="1"/>
  <c r="I27" i="15" a="1"/>
  <c r="I150" i="15" a="1"/>
  <c r="I67" i="15" a="1"/>
  <c r="I73" i="15" a="1"/>
  <c r="I117" i="15" a="1"/>
  <c r="I76" i="15" a="1"/>
  <c r="I111" i="15" a="1"/>
  <c r="I18" i="15" a="1"/>
  <c r="I139" i="15" a="1"/>
  <c r="I114" i="15" a="1"/>
  <c r="I143" i="15" a="1"/>
  <c r="I30" i="15" a="1"/>
  <c r="I21" i="15" a="1"/>
  <c r="I12" i="15" a="1"/>
  <c r="I108" i="15" a="1"/>
  <c r="I79" i="15" a="1"/>
  <c r="I95" i="15" a="1"/>
  <c r="I43" i="15" a="1"/>
  <c r="I82" i="15" a="1"/>
  <c r="I55" i="15" a="1"/>
  <c r="I58" i="15" a="1"/>
  <c r="I49" i="15" a="1"/>
  <c r="I124" i="15" a="1"/>
  <c r="J70" i="15" a="1"/>
  <c r="J33" i="15"/>
  <c r="J52" i="15" l="1"/>
  <c r="I51" i="15"/>
  <c r="I136" i="15"/>
  <c r="I139" i="15"/>
  <c r="I21" i="15"/>
  <c r="I24" i="15"/>
  <c r="I27" i="15"/>
  <c r="I30" i="15"/>
  <c r="I120" i="15"/>
  <c r="I32" i="15"/>
  <c r="I127" i="15"/>
  <c r="I91" i="15" a="1"/>
  <c r="I91" i="15" s="1"/>
  <c r="I67" i="15"/>
  <c r="I82" i="15"/>
  <c r="I18" i="15"/>
  <c r="I12" i="15"/>
  <c r="I73" i="15"/>
  <c r="I43" i="15"/>
  <c r="I46" i="15"/>
  <c r="I55" i="15"/>
  <c r="I39" i="15"/>
  <c r="I111" i="15"/>
  <c r="I102" i="15"/>
  <c r="I9" i="15"/>
  <c r="I76" i="15"/>
  <c r="J61" i="15"/>
  <c r="I79" i="15"/>
  <c r="I150" i="15"/>
  <c r="I117" i="15"/>
  <c r="I130" i="15"/>
  <c r="I105" i="15"/>
  <c r="J70" i="15"/>
  <c r="I69" i="15"/>
  <c r="I60" i="15"/>
  <c r="I143" i="15"/>
  <c r="I108" i="15"/>
  <c r="I49" i="15"/>
  <c r="I58" i="15"/>
  <c r="I114" i="15"/>
  <c r="I124" i="15"/>
  <c r="I85" i="15"/>
  <c r="I15" i="15"/>
  <c r="I94" i="15" a="1"/>
  <c r="I94" i="15" s="1"/>
  <c r="I36" i="15"/>
  <c r="I64" i="15"/>
  <c r="I95" i="15"/>
  <c r="I52" i="15" a="1"/>
  <c r="I70" i="15" a="1"/>
  <c r="I33" i="15"/>
  <c r="I61" i="15" a="1"/>
  <c r="I52" i="15" l="1"/>
  <c r="I61" i="15"/>
  <c r="I70" i="15"/>
  <c r="T5" i="13"/>
  <c r="T40" i="13" a="1"/>
  <c r="T121" i="13" a="1"/>
  <c r="T60" i="13" a="1"/>
  <c r="T128" i="13" a="1"/>
  <c r="T140" i="13" a="1"/>
  <c r="T66" i="13" a="1"/>
  <c r="T96" i="13" a="1"/>
  <c r="T104" i="13" a="1"/>
  <c r="T93" i="13" a="1"/>
  <c r="T131" i="13" a="1"/>
  <c r="T81" i="13" a="1"/>
  <c r="T153" i="13" a="1"/>
  <c r="T11" i="13" a="1"/>
  <c r="T119" i="13" a="1"/>
  <c r="T38" i="13" a="1"/>
  <c r="T149" i="13" a="1"/>
  <c r="T116" i="13" a="1"/>
  <c r="T54" i="13" a="1"/>
  <c r="T148" i="13" a="1"/>
  <c r="T134" i="13" a="1"/>
  <c r="T87" i="13" a="1"/>
  <c r="T125" i="13" a="1"/>
  <c r="T90" i="13" a="1"/>
  <c r="T151" i="13" a="1"/>
  <c r="T146" i="13" a="1"/>
  <c r="T102" i="13" a="1"/>
  <c r="T42" i="13" a="1"/>
  <c r="T144" i="13" a="1"/>
  <c r="T110" i="13" a="1"/>
  <c r="T26" i="13" a="1"/>
  <c r="T69" i="13" a="1"/>
  <c r="T35" i="13" a="1"/>
  <c r="T75" i="13" a="1"/>
  <c r="T7" i="13" a="1"/>
  <c r="T17" i="13" a="1"/>
  <c r="T123" i="13" a="1"/>
  <c r="T137" i="13" a="1"/>
  <c r="T14" i="13" a="1"/>
  <c r="T100" i="13" a="1"/>
  <c r="T154" i="13" a="1"/>
  <c r="T45" i="13" a="1"/>
  <c r="T78" i="13" a="1"/>
  <c r="T23" i="13" a="1"/>
  <c r="T107" i="13" a="1"/>
  <c r="T57" i="13" a="1"/>
  <c r="T8" i="13" a="1"/>
  <c r="T113" i="13" a="1"/>
  <c r="T29" i="13" a="1"/>
  <c r="T48" i="13" a="1"/>
  <c r="T20" i="13" a="1"/>
  <c r="T91" i="13" a="1"/>
  <c r="T84" i="13" a="1"/>
  <c r="T140" i="13" l="1"/>
  <c r="T137" i="13"/>
  <c r="T144" i="13"/>
  <c r="T29" i="13"/>
  <c r="T26" i="13"/>
  <c r="T23" i="13"/>
  <c r="T20" i="13"/>
  <c r="T57" i="13"/>
  <c r="T54" i="13"/>
  <c r="T7" i="13"/>
  <c r="T14" i="13"/>
  <c r="T17" i="13"/>
  <c r="T35" i="13"/>
  <c r="T87" i="13"/>
  <c r="T84" i="13"/>
  <c r="T113" i="13"/>
  <c r="T110" i="13"/>
  <c r="T107" i="13"/>
  <c r="T104" i="13"/>
  <c r="T119" i="13"/>
  <c r="T151" i="13"/>
  <c r="T42" i="13"/>
  <c r="T81" i="13"/>
  <c r="T78" i="13"/>
  <c r="T75" i="13"/>
  <c r="T100" i="13"/>
  <c r="T102" i="13"/>
  <c r="T131" i="13"/>
  <c r="T128" i="13"/>
  <c r="T125" i="13"/>
  <c r="T123" i="13"/>
  <c r="T121" i="13"/>
  <c r="T116" i="13"/>
  <c r="T153" i="13"/>
  <c r="T154" i="13"/>
  <c r="T148" i="13"/>
  <c r="T85" i="13" a="1"/>
  <c r="T126" i="13" a="1"/>
  <c r="T145" i="13" a="1"/>
  <c r="T138" i="13" a="1"/>
  <c r="T141" i="13" a="1"/>
  <c r="T108" i="13" a="1"/>
  <c r="T132" i="13" a="1"/>
  <c r="T51" i="13" a="1"/>
  <c r="T43" i="13" a="1"/>
  <c r="T24" i="13" a="1"/>
  <c r="T114" i="13" a="1"/>
  <c r="T36" i="13" a="1"/>
  <c r="T88" i="13" a="1"/>
  <c r="T129" i="13" a="1"/>
  <c r="T147" i="13" a="1"/>
  <c r="T117" i="13" a="1"/>
  <c r="T111" i="13" a="1"/>
  <c r="T105" i="13" a="1"/>
  <c r="T30" i="13" a="1"/>
  <c r="T21" i="13" a="1"/>
  <c r="T120" i="13" a="1"/>
  <c r="T152" i="13" a="1"/>
  <c r="T82" i="13" a="1"/>
  <c r="T27" i="13" a="1"/>
  <c r="T79" i="13" a="1"/>
  <c r="T141" i="13" l="1"/>
  <c r="T138" i="13"/>
  <c r="T145" i="13"/>
  <c r="T21" i="13"/>
  <c r="T24" i="13"/>
  <c r="T27" i="13"/>
  <c r="T30" i="13"/>
  <c r="T36" i="13"/>
  <c r="T88" i="13"/>
  <c r="T85" i="13"/>
  <c r="T114" i="13"/>
  <c r="T111" i="13"/>
  <c r="T108" i="13"/>
  <c r="T105" i="13"/>
  <c r="T152" i="13"/>
  <c r="T120" i="13"/>
  <c r="T43" i="13"/>
  <c r="T82" i="13"/>
  <c r="T79" i="13"/>
  <c r="T132" i="13"/>
  <c r="T129" i="13"/>
  <c r="T126" i="13"/>
  <c r="T117" i="13"/>
  <c r="T147" i="13"/>
  <c r="T149" i="13"/>
  <c r="T146" i="13"/>
  <c r="T93" i="13"/>
  <c r="T90" i="13"/>
  <c r="T11" i="13"/>
  <c r="T8" i="13"/>
  <c r="T51" i="13"/>
  <c r="T40" i="13"/>
  <c r="T38" i="13"/>
  <c r="T32" i="13" s="1"/>
  <c r="T91" i="13"/>
  <c r="T96" i="13"/>
  <c r="T45" i="13"/>
  <c r="T48" i="13"/>
  <c r="T60" i="13"/>
  <c r="T66" i="13"/>
  <c r="T69" i="13"/>
  <c r="T134" i="13"/>
  <c r="S5" i="13"/>
  <c r="S6" i="13"/>
  <c r="S29" i="13" a="1"/>
  <c r="S144" i="13" a="1"/>
  <c r="S45" i="13" a="1"/>
  <c r="S60" i="13" a="1"/>
  <c r="S121" i="13" a="1"/>
  <c r="S69" i="13" a="1"/>
  <c r="S40" i="13" a="1"/>
  <c r="S57" i="13" a="1"/>
  <c r="S113" i="13" a="1"/>
  <c r="S131" i="13" a="1"/>
  <c r="T12" i="13" a="1"/>
  <c r="T49" i="13" a="1"/>
  <c r="S35" i="13" a="1"/>
  <c r="S107" i="13" a="1"/>
  <c r="S54" i="13" a="1"/>
  <c r="T18" i="13" a="1"/>
  <c r="S38" i="13" a="1"/>
  <c r="S17" i="13" a="1"/>
  <c r="T72" i="13" a="1"/>
  <c r="S87" i="13" a="1"/>
  <c r="S149" i="13" a="1"/>
  <c r="S110" i="13" a="1"/>
  <c r="S81" i="13" a="1"/>
  <c r="S42" i="13" a="1"/>
  <c r="S23" i="13" a="1"/>
  <c r="S104" i="13" a="1"/>
  <c r="S93" i="13" a="1"/>
  <c r="S8" i="13" a="1"/>
  <c r="S7" i="13" a="1"/>
  <c r="S148" i="13" a="1"/>
  <c r="T58" i="13" a="1"/>
  <c r="S84" i="13" a="1"/>
  <c r="S154" i="13" a="1"/>
  <c r="S137" i="13" a="1"/>
  <c r="S48" i="13" a="1"/>
  <c r="S147" i="13" a="1"/>
  <c r="T76" i="13" a="1"/>
  <c r="T9" i="13" a="1"/>
  <c r="S20" i="13" a="1"/>
  <c r="S75" i="13" a="1"/>
  <c r="S116" i="13" a="1"/>
  <c r="S91" i="13" a="1"/>
  <c r="S153" i="13" a="1"/>
  <c r="S134" i="13" a="1"/>
  <c r="S14" i="13" a="1"/>
  <c r="S123" i="13" a="1"/>
  <c r="S66" i="13" a="1"/>
  <c r="S151" i="13" a="1"/>
  <c r="S146" i="13" a="1"/>
  <c r="S140" i="13" a="1"/>
  <c r="S128" i="13" a="1"/>
  <c r="S100" i="13" a="1"/>
  <c r="S90" i="13" a="1"/>
  <c r="T55" i="13" a="1"/>
  <c r="S78" i="13" a="1"/>
  <c r="S96" i="13" a="1"/>
  <c r="S26" i="13" a="1"/>
  <c r="S125" i="13" a="1"/>
  <c r="T15" i="13" a="1"/>
  <c r="S102" i="13" a="1"/>
  <c r="T63" i="13" a="1"/>
  <c r="S119" i="13" a="1"/>
  <c r="S11" i="13" a="1"/>
  <c r="T33" i="13"/>
  <c r="S140" i="13" l="1"/>
  <c r="S137" i="13"/>
  <c r="S144" i="13"/>
  <c r="S29" i="13"/>
  <c r="S26" i="13"/>
  <c r="S20" i="13"/>
  <c r="S23" i="13"/>
  <c r="S57" i="13"/>
  <c r="S54" i="13"/>
  <c r="T58" i="13"/>
  <c r="T55" i="13"/>
  <c r="S7" i="13"/>
  <c r="T49" i="13"/>
  <c r="T18" i="13"/>
  <c r="S17" i="13"/>
  <c r="S14" i="13"/>
  <c r="S35" i="13"/>
  <c r="T15" i="13"/>
  <c r="S87" i="13"/>
  <c r="V87" i="13" s="1" a="1"/>
  <c r="V87" i="13" s="1"/>
  <c r="S84" i="13"/>
  <c r="S104" i="13"/>
  <c r="S107" i="13"/>
  <c r="S110" i="13"/>
  <c r="S113" i="13"/>
  <c r="S119" i="13"/>
  <c r="S151" i="13"/>
  <c r="S42" i="13"/>
  <c r="V42" i="13" s="1"/>
  <c r="S81" i="13"/>
  <c r="S78" i="13"/>
  <c r="S75" i="13"/>
  <c r="T76" i="13"/>
  <c r="T63" i="13"/>
  <c r="S100" i="13"/>
  <c r="V100" i="13" s="1" a="1"/>
  <c r="V100" i="13" s="1"/>
  <c r="S102" i="13"/>
  <c r="V102" i="13" s="1" a="1"/>
  <c r="V102" i="13" s="1"/>
  <c r="S123" i="13"/>
  <c r="V123" i="13" s="1" a="1"/>
  <c r="V123" i="13" s="1"/>
  <c r="S125" i="13"/>
  <c r="V125" i="13" s="1" a="1"/>
  <c r="V125" i="13" s="1"/>
  <c r="S128" i="13"/>
  <c r="V128" i="13" s="1" a="1"/>
  <c r="V128" i="13" s="1"/>
  <c r="S131" i="13"/>
  <c r="V131" i="13" s="1" a="1"/>
  <c r="V131" i="13" s="1"/>
  <c r="S116" i="13"/>
  <c r="V116" i="13" s="1" a="1"/>
  <c r="V116" i="13" s="1"/>
  <c r="S121" i="13"/>
  <c r="S134" i="13"/>
  <c r="V134" i="13" s="1" a="1"/>
  <c r="V134" i="13" s="1"/>
  <c r="S154" i="13"/>
  <c r="S153" i="13"/>
  <c r="S147" i="13"/>
  <c r="S149" i="13"/>
  <c r="S146" i="13"/>
  <c r="S148" i="13"/>
  <c r="T72" i="13"/>
  <c r="T12" i="13"/>
  <c r="T9" i="13"/>
  <c r="S93" i="13"/>
  <c r="V93" i="13" s="1" a="1"/>
  <c r="V93" i="13" s="1"/>
  <c r="S90" i="13"/>
  <c r="V90" i="13" s="1" a="1"/>
  <c r="V90" i="13" s="1"/>
  <c r="S11" i="13"/>
  <c r="S8" i="13"/>
  <c r="S96" i="13"/>
  <c r="V96" i="13" s="1" a="1"/>
  <c r="V96" i="13" s="1"/>
  <c r="S91" i="13"/>
  <c r="S48" i="13"/>
  <c r="S69" i="13"/>
  <c r="V69" i="13" s="1" a="1"/>
  <c r="V69" i="13" s="1"/>
  <c r="S66" i="13"/>
  <c r="S60" i="13"/>
  <c r="V60" i="13" s="1" a="1"/>
  <c r="V60" i="13" s="1"/>
  <c r="S40" i="13"/>
  <c r="V40" i="13" s="1"/>
  <c r="S45" i="13"/>
  <c r="V45" i="13" s="1"/>
  <c r="S38" i="13"/>
  <c r="V38" i="13" s="1" a="1"/>
  <c r="V38" i="13" s="1"/>
  <c r="W96" i="13"/>
  <c r="T122" i="13"/>
  <c r="T97" i="13" a="1"/>
  <c r="T97" i="13" s="1"/>
  <c r="R6" i="13"/>
  <c r="R5" i="13"/>
  <c r="T94" i="13" a="1"/>
  <c r="T94" i="13" s="1"/>
  <c r="T46" i="13" a="1"/>
  <c r="T35" i="12" a="1"/>
  <c r="T126" i="12" a="1"/>
  <c r="R146" i="13" a="1"/>
  <c r="R148" i="13" a="1"/>
  <c r="R93" i="13" a="1"/>
  <c r="S24" i="13" a="1"/>
  <c r="R123" i="13" a="1"/>
  <c r="R154" i="13" a="1"/>
  <c r="R57" i="13" a="1"/>
  <c r="R91" i="13" a="1"/>
  <c r="T148" i="12" a="1"/>
  <c r="R140" i="13" a="1"/>
  <c r="T96" i="12" a="1"/>
  <c r="T26" i="12" a="1"/>
  <c r="S120" i="13" a="1"/>
  <c r="S108" i="13" a="1"/>
  <c r="R48" i="13" a="1"/>
  <c r="S105" i="13" a="1"/>
  <c r="T90" i="12" a="1"/>
  <c r="R100" i="13" a="1"/>
  <c r="R29" i="13" a="1"/>
  <c r="T67" i="13" a="1"/>
  <c r="T129" i="12" a="1"/>
  <c r="R11" i="13" a="1"/>
  <c r="T42" i="12" a="1"/>
  <c r="R149" i="13" a="1"/>
  <c r="T14" i="12" a="1"/>
  <c r="T98" i="13" a="1"/>
  <c r="T48" i="12" a="1"/>
  <c r="T122" i="12" a="1"/>
  <c r="R116" i="13" a="1"/>
  <c r="S141" i="13" a="1"/>
  <c r="R119" i="13" a="1"/>
  <c r="R23" i="13" a="1"/>
  <c r="S114" i="13" a="1"/>
  <c r="T69" i="12" a="1"/>
  <c r="T119" i="12" a="1"/>
  <c r="T146" i="12" a="1"/>
  <c r="T132" i="12" a="1"/>
  <c r="R20" i="13" a="1"/>
  <c r="R121" i="13" a="1"/>
  <c r="T125" i="12" a="1"/>
  <c r="R42" i="13" a="1"/>
  <c r="T144" i="12" a="1"/>
  <c r="T112" i="12" a="1"/>
  <c r="S72" i="13" a="1"/>
  <c r="T116" i="12" a="1"/>
  <c r="R134" i="13" a="1"/>
  <c r="S21" i="13" a="1"/>
  <c r="T72" i="12" a="1"/>
  <c r="R66" i="13" a="1"/>
  <c r="T61" i="13" a="1"/>
  <c r="R84" i="13" a="1"/>
  <c r="R131" i="13" a="1"/>
  <c r="T75" i="12" a="1"/>
  <c r="S138" i="13" a="1"/>
  <c r="T17" i="12" a="1"/>
  <c r="T66" i="12" a="1"/>
  <c r="T108" i="12" a="1"/>
  <c r="S82" i="13" a="1"/>
  <c r="T145" i="12" a="1"/>
  <c r="R8" i="13" a="1"/>
  <c r="R147" i="13" a="1"/>
  <c r="R87" i="13" a="1"/>
  <c r="T102" i="12" a="1"/>
  <c r="R102" i="13" a="1"/>
  <c r="T29" i="12" a="1"/>
  <c r="T38" i="12" a="1"/>
  <c r="R17" i="13" a="1"/>
  <c r="T39" i="13" a="1"/>
  <c r="R144" i="13" a="1"/>
  <c r="S30" i="13" a="1"/>
  <c r="S63" i="13" a="1"/>
  <c r="T78" i="12" a="1"/>
  <c r="T93" i="12" a="1"/>
  <c r="T52" i="13" a="1"/>
  <c r="T142" i="12" a="1"/>
  <c r="R96" i="13" a="1"/>
  <c r="T109" i="12" a="1"/>
  <c r="R104" i="13" a="1"/>
  <c r="R137" i="13" a="1"/>
  <c r="T20" i="12" a="1"/>
  <c r="S51" i="13" a="1"/>
  <c r="T84" i="12" a="1"/>
  <c r="R7" i="13" a="1"/>
  <c r="T70" i="13" a="1"/>
  <c r="S85" i="13" a="1"/>
  <c r="R110" i="13" a="1"/>
  <c r="T114" i="12" a="1"/>
  <c r="R60" i="13" a="1"/>
  <c r="T23" i="12" a="1"/>
  <c r="T63" i="12" a="1"/>
  <c r="R107" i="13" a="1"/>
  <c r="T99" i="12" a="1"/>
  <c r="R81" i="13" a="1"/>
  <c r="R113" i="13" a="1"/>
  <c r="T82" i="12" a="1"/>
  <c r="R26" i="13" a="1"/>
  <c r="R75" i="13" a="1"/>
  <c r="T64" i="13" a="1"/>
  <c r="S152" i="13" a="1"/>
  <c r="T147" i="12" a="1"/>
  <c r="S36" i="13" a="1"/>
  <c r="T73" i="13" a="1"/>
  <c r="T86" i="12" a="1"/>
  <c r="T45" i="12" a="1"/>
  <c r="T57" i="12" a="1"/>
  <c r="R35" i="13" a="1"/>
  <c r="R125" i="13" a="1"/>
  <c r="T40" i="12" a="1"/>
  <c r="T8" i="12" a="1"/>
  <c r="S145" i="13" a="1"/>
  <c r="T11" i="12" a="1"/>
  <c r="T143" i="12" a="1"/>
  <c r="T60" i="12" a="1"/>
  <c r="R69" i="13" a="1"/>
  <c r="T128" i="12" a="1"/>
  <c r="R153" i="13" a="1"/>
  <c r="T81" i="12" a="1"/>
  <c r="T7" i="12" a="1"/>
  <c r="T111" i="12" a="1"/>
  <c r="T105" i="12" a="1"/>
  <c r="R128" i="13" a="1"/>
  <c r="R40" i="13" a="1"/>
  <c r="R151" i="13" a="1"/>
  <c r="R54" i="13" a="1"/>
  <c r="T54" i="12" a="1"/>
  <c r="R14" i="13" a="1"/>
  <c r="R45" i="13" a="1"/>
  <c r="R38" i="13" a="1"/>
  <c r="R78" i="13" a="1"/>
  <c r="S79" i="13" a="1"/>
  <c r="R90" i="13" a="1"/>
  <c r="S12" i="13" a="1"/>
  <c r="S27" i="13" a="1"/>
  <c r="S111" i="13" a="1"/>
  <c r="S67" i="13" a="1"/>
  <c r="T122" i="12" l="1"/>
  <c r="S141" i="13"/>
  <c r="R140" i="13"/>
  <c r="R137" i="13"/>
  <c r="S138" i="13"/>
  <c r="R144" i="13"/>
  <c r="T142" i="12"/>
  <c r="S145" i="13"/>
  <c r="V137" i="13" a="1"/>
  <c r="V137" i="13" s="1"/>
  <c r="V140" i="13" a="1"/>
  <c r="V140" i="13" s="1"/>
  <c r="V144" i="13" a="1"/>
  <c r="V144" i="13" s="1"/>
  <c r="S24" i="13"/>
  <c r="S21" i="13"/>
  <c r="S27" i="13"/>
  <c r="R23" i="13"/>
  <c r="R20" i="13"/>
  <c r="R29" i="13"/>
  <c r="R26" i="13"/>
  <c r="S30" i="13"/>
  <c r="V20" i="13"/>
  <c r="V29" i="13"/>
  <c r="V26" i="13"/>
  <c r="V23" i="13"/>
  <c r="T20" i="12"/>
  <c r="T23" i="12"/>
  <c r="T29" i="12"/>
  <c r="T26" i="12"/>
  <c r="T35" i="12"/>
  <c r="R100" i="13"/>
  <c r="T57" i="12"/>
  <c r="R57" i="13"/>
  <c r="R54" i="13"/>
  <c r="V54" i="13" a="1"/>
  <c r="V54" i="13" s="1"/>
  <c r="V57" i="13" a="1"/>
  <c r="V57" i="13" s="1"/>
  <c r="R7" i="13"/>
  <c r="T7" i="12"/>
  <c r="V48" i="13" a="1"/>
  <c r="V48" i="13" s="1"/>
  <c r="T14" i="12"/>
  <c r="T17" i="12"/>
  <c r="R14" i="13"/>
  <c r="R17" i="13"/>
  <c r="R35" i="13"/>
  <c r="S36" i="13"/>
  <c r="S32" i="13"/>
  <c r="V35" i="13" a="1"/>
  <c r="V35" i="13" s="1"/>
  <c r="V17" i="13"/>
  <c r="V14" i="13"/>
  <c r="R87" i="13"/>
  <c r="T78" i="12"/>
  <c r="S85" i="13"/>
  <c r="R84" i="13"/>
  <c r="V84" i="13" a="1"/>
  <c r="V84" i="13" s="1"/>
  <c r="T75" i="12"/>
  <c r="S114" i="13"/>
  <c r="S111" i="13"/>
  <c r="S108" i="13"/>
  <c r="R104" i="13"/>
  <c r="R107" i="13"/>
  <c r="R110" i="13"/>
  <c r="R113" i="13"/>
  <c r="S105" i="13"/>
  <c r="V104" i="13" a="1"/>
  <c r="V104" i="13" s="1"/>
  <c r="V110" i="13" a="1"/>
  <c r="V110" i="13" s="1"/>
  <c r="V113" i="13" a="1"/>
  <c r="V113" i="13" s="1"/>
  <c r="V107" i="13" a="1"/>
  <c r="V107" i="13" s="1"/>
  <c r="S152" i="13"/>
  <c r="V149" i="13"/>
  <c r="V148" i="13"/>
  <c r="V147" i="13"/>
  <c r="V146" i="13"/>
  <c r="T105" i="12"/>
  <c r="R119" i="13"/>
  <c r="S120" i="13"/>
  <c r="V119" i="13" a="1"/>
  <c r="V119" i="13" s="1"/>
  <c r="R151" i="13"/>
  <c r="V151" i="13" a="1"/>
  <c r="V151" i="13" s="1"/>
  <c r="R42" i="13"/>
  <c r="T42" i="12"/>
  <c r="R81" i="13"/>
  <c r="S82" i="13"/>
  <c r="R78" i="13"/>
  <c r="S79" i="13"/>
  <c r="V78" i="13" a="1"/>
  <c r="V78" i="13" s="1"/>
  <c r="R75" i="13"/>
  <c r="V75" i="13" a="1"/>
  <c r="V75" i="13" s="1"/>
  <c r="T69" i="12"/>
  <c r="T72" i="12"/>
  <c r="T132" i="12"/>
  <c r="T96" i="12"/>
  <c r="T125" i="12"/>
  <c r="T64" i="13"/>
  <c r="S63" i="13"/>
  <c r="V63" i="13" s="1" a="1"/>
  <c r="V63" i="13" s="1"/>
  <c r="R102" i="13"/>
  <c r="S122" i="13"/>
  <c r="V122" i="13" s="1" a="1"/>
  <c r="V122" i="13" s="1"/>
  <c r="R116" i="13"/>
  <c r="R121" i="13"/>
  <c r="R125" i="13"/>
  <c r="R128" i="13"/>
  <c r="R134" i="13"/>
  <c r="R123" i="13"/>
  <c r="R131" i="13"/>
  <c r="R154" i="13"/>
  <c r="R153" i="13"/>
  <c r="V153" i="13"/>
  <c r="V154" i="13"/>
  <c r="R146" i="13"/>
  <c r="R148" i="13"/>
  <c r="R147" i="13"/>
  <c r="R149" i="13"/>
  <c r="T73" i="13"/>
  <c r="S72" i="13"/>
  <c r="V66" i="13" a="1"/>
  <c r="V66" i="13" s="1"/>
  <c r="S12" i="13"/>
  <c r="V8" i="13"/>
  <c r="R93" i="13"/>
  <c r="R90" i="13"/>
  <c r="R11" i="13"/>
  <c r="R8" i="13"/>
  <c r="V121" i="13" a="1"/>
  <c r="V121" i="13" s="1"/>
  <c r="T67" i="13"/>
  <c r="T52" i="13"/>
  <c r="T46" i="13"/>
  <c r="T98" i="13"/>
  <c r="S51" i="13"/>
  <c r="S67" i="13"/>
  <c r="R69" i="13"/>
  <c r="R66" i="13"/>
  <c r="R60" i="13"/>
  <c r="R96" i="13"/>
  <c r="R91" i="13"/>
  <c r="R48" i="13"/>
  <c r="R45" i="13"/>
  <c r="R40" i="13"/>
  <c r="R38" i="13"/>
  <c r="T61" i="13"/>
  <c r="T39" i="13"/>
  <c r="T70" i="13"/>
  <c r="Q6" i="13"/>
  <c r="Q5" i="13"/>
  <c r="S97" i="13" a="1"/>
  <c r="S97" i="13" s="1"/>
  <c r="S94" i="13" a="1"/>
  <c r="S94" i="13" s="1"/>
  <c r="W48" i="13"/>
  <c r="T114" i="12"/>
  <c r="T148" i="12"/>
  <c r="T147" i="12"/>
  <c r="T146" i="12"/>
  <c r="T145" i="12"/>
  <c r="T144" i="12"/>
  <c r="T143" i="12"/>
  <c r="T108" i="12"/>
  <c r="T128" i="12"/>
  <c r="T126" i="12"/>
  <c r="T111" i="12"/>
  <c r="T109" i="12"/>
  <c r="T129" i="12"/>
  <c r="T112" i="12"/>
  <c r="T119" i="12"/>
  <c r="T116" i="12"/>
  <c r="T102" i="12"/>
  <c r="T99" i="12"/>
  <c r="T93" i="12"/>
  <c r="T90" i="12"/>
  <c r="T84" i="12"/>
  <c r="T82" i="12"/>
  <c r="T86" i="12"/>
  <c r="T66" i="12"/>
  <c r="W86" i="12" s="1"/>
  <c r="T81" i="12"/>
  <c r="T8" i="12"/>
  <c r="T38" i="12"/>
  <c r="T11" i="12"/>
  <c r="T45" i="12"/>
  <c r="T54" i="12"/>
  <c r="T60" i="12"/>
  <c r="T63" i="12"/>
  <c r="T40" i="12"/>
  <c r="T48" i="12"/>
  <c r="R6" i="12"/>
  <c r="S5" i="12"/>
  <c r="S138" i="12" a="1"/>
  <c r="S135" i="12" a="1"/>
  <c r="Q11" i="13" a="1"/>
  <c r="Q93" i="13" a="1"/>
  <c r="S129" i="13" a="1"/>
  <c r="T110" i="12" a="1"/>
  <c r="Q23" i="13" a="1"/>
  <c r="Q100" i="13" a="1"/>
  <c r="S61" i="13" a="1"/>
  <c r="Q29" i="13" a="1"/>
  <c r="S126" i="13" a="1"/>
  <c r="Q60" i="13" a="1"/>
  <c r="R108" i="13" a="1"/>
  <c r="S18" i="13" a="1"/>
  <c r="R138" i="13" a="1"/>
  <c r="S76" i="13" a="1"/>
  <c r="R55" i="13" a="1"/>
  <c r="Q123" i="13" a="1"/>
  <c r="S14" i="12" a="1"/>
  <c r="S11" i="12" a="1"/>
  <c r="Q128" i="13" a="1"/>
  <c r="T58" i="12" a="1"/>
  <c r="Q7" i="13" a="1"/>
  <c r="T103" i="12" a="1"/>
  <c r="S117" i="13" a="1"/>
  <c r="S145" i="12" a="1"/>
  <c r="S144" i="12" a="1"/>
  <c r="T106" i="12" a="1"/>
  <c r="S9" i="13" a="1"/>
  <c r="R49" i="13" a="1"/>
  <c r="T79" i="12" a="1"/>
  <c r="Q90" i="13" a="1"/>
  <c r="S49" i="13" a="1"/>
  <c r="Q107" i="13" a="1"/>
  <c r="S55" i="13" a="1"/>
  <c r="Q104" i="13" a="1"/>
  <c r="Q131" i="13" a="1"/>
  <c r="S75" i="12" a="1"/>
  <c r="R76" i="13" a="1"/>
  <c r="Q134" i="13" a="1"/>
  <c r="S142" i="12" a="1"/>
  <c r="Q54" i="13" a="1"/>
  <c r="R67" i="13" a="1"/>
  <c r="R111" i="13" a="1"/>
  <c r="S78" i="12" a="1"/>
  <c r="S125" i="12" a="1"/>
  <c r="S66" i="12" a="1"/>
  <c r="R132" i="13" a="1"/>
  <c r="Q38" i="13" a="1"/>
  <c r="S119" i="12" a="1"/>
  <c r="S116" i="12" a="1"/>
  <c r="R120" i="13" a="1"/>
  <c r="T43" i="12" a="1"/>
  <c r="S84" i="12" a="1"/>
  <c r="S35" i="12" a="1"/>
  <c r="S105" i="12" a="1"/>
  <c r="S81" i="12" a="1"/>
  <c r="S63" i="12" a="1"/>
  <c r="S147" i="12" a="1"/>
  <c r="S48" i="12" a="1"/>
  <c r="S90" i="12" a="1"/>
  <c r="Q87" i="13" a="1"/>
  <c r="Q154" i="13" a="1"/>
  <c r="T139" i="12" a="1"/>
  <c r="S82" i="12" a="1"/>
  <c r="R58" i="13" a="1"/>
  <c r="S143" i="12" a="1"/>
  <c r="Q69" i="13" a="1"/>
  <c r="Q40" i="13" a="1"/>
  <c r="S98" i="13" a="1"/>
  <c r="S26" i="12" a="1"/>
  <c r="R145" i="13" a="1"/>
  <c r="R36" i="13" a="1"/>
  <c r="T100" i="12" a="1"/>
  <c r="S70" i="13" a="1"/>
  <c r="Q96" i="13" a="1"/>
  <c r="Q110" i="13" a="1"/>
  <c r="R114" i="13" a="1"/>
  <c r="Q121" i="13" a="1"/>
  <c r="R9" i="13" a="1"/>
  <c r="R21" i="13" a="1"/>
  <c r="R46" i="13" a="1"/>
  <c r="S93" i="12" a="1"/>
  <c r="T94" i="12" a="1"/>
  <c r="S42" i="12" a="1"/>
  <c r="S111" i="12" a="1"/>
  <c r="S69" i="12" a="1"/>
  <c r="R85" i="13" a="1"/>
  <c r="Q75" i="13" a="1"/>
  <c r="Q116" i="13" a="1"/>
  <c r="S132" i="12" a="1"/>
  <c r="S46" i="13" a="1"/>
  <c r="S129" i="12" a="1"/>
  <c r="S72" i="12" a="1"/>
  <c r="S17" i="12" a="1"/>
  <c r="Q151" i="13" a="1"/>
  <c r="Q153" i="13" a="1"/>
  <c r="Q20" i="13" a="1"/>
  <c r="R70" i="13" a="1"/>
  <c r="S86" i="12" a="1"/>
  <c r="T12" i="12" a="1"/>
  <c r="Q102" i="13" a="1"/>
  <c r="R63" i="13" a="1"/>
  <c r="R82" i="13" a="1"/>
  <c r="S96" i="12" a="1"/>
  <c r="T120" i="12" a="1"/>
  <c r="Q48" i="13" a="1"/>
  <c r="S126" i="12" a="1"/>
  <c r="S58" i="13" a="1"/>
  <c r="S60" i="12" a="1"/>
  <c r="S88" i="13" a="1"/>
  <c r="S132" i="13" a="1"/>
  <c r="S122" i="12" a="1"/>
  <c r="Q84" i="13" a="1"/>
  <c r="T49" i="12" a="1"/>
  <c r="Q66" i="13" a="1"/>
  <c r="T70" i="12" a="1"/>
  <c r="Q8" i="13" a="1"/>
  <c r="Q147" i="13" a="1"/>
  <c r="Q125" i="13" a="1"/>
  <c r="T51" i="12" a="1"/>
  <c r="S45" i="12" a="1"/>
  <c r="Q42" i="13" a="1"/>
  <c r="S109" i="12" a="1"/>
  <c r="Q57" i="13" a="1"/>
  <c r="S112" i="12" a="1"/>
  <c r="S8" i="12" a="1"/>
  <c r="T9" i="12" a="1"/>
  <c r="R51" i="13" a="1"/>
  <c r="R39" i="13" a="1"/>
  <c r="T73" i="12" a="1"/>
  <c r="R129" i="13" a="1"/>
  <c r="S7" i="12" a="1"/>
  <c r="Q26" i="13" a="1"/>
  <c r="Q35" i="13" a="1"/>
  <c r="S43" i="13" a="1"/>
  <c r="T76" i="12" a="1"/>
  <c r="R152" i="13" a="1"/>
  <c r="R72" i="13" a="1"/>
  <c r="Q113" i="13" a="1"/>
  <c r="R61" i="13" a="1"/>
  <c r="R30" i="13" a="1"/>
  <c r="R88" i="13" a="1"/>
  <c r="Q45" i="13" a="1"/>
  <c r="S148" i="12" a="1"/>
  <c r="S23" i="12" a="1"/>
  <c r="Q149" i="13" a="1"/>
  <c r="T117" i="12" a="1"/>
  <c r="S20" i="12" a="1"/>
  <c r="Q17" i="13" a="1"/>
  <c r="S39" i="13" a="1"/>
  <c r="R43" i="13" a="1"/>
  <c r="S40" i="12" a="1"/>
  <c r="Q119" i="13" a="1"/>
  <c r="S15" i="13" a="1"/>
  <c r="S102" i="12" a="1"/>
  <c r="S146" i="12" a="1"/>
  <c r="S57" i="12" a="1"/>
  <c r="R24" i="13" a="1"/>
  <c r="T91" i="12" a="1"/>
  <c r="S99" i="12" a="1"/>
  <c r="S54" i="12" a="1"/>
  <c r="S128" i="12" a="1"/>
  <c r="Q140" i="13" a="1"/>
  <c r="Q91" i="13" a="1"/>
  <c r="Q137" i="13" a="1"/>
  <c r="S114" i="12" a="1"/>
  <c r="Q148" i="13" a="1"/>
  <c r="Q14" i="13" a="1"/>
  <c r="R117" i="13" a="1"/>
  <c r="R18" i="13" a="1"/>
  <c r="Q146" i="13" a="1"/>
  <c r="Q81" i="13" a="1"/>
  <c r="S38" i="12" a="1"/>
  <c r="T136" i="12" a="1"/>
  <c r="S33" i="13"/>
  <c r="R141" i="13" a="1"/>
  <c r="R27" i="13" a="1"/>
  <c r="R15" i="13" a="1"/>
  <c r="S29" i="12" a="1"/>
  <c r="Q144" i="13" a="1"/>
  <c r="Q78" i="13" a="1"/>
  <c r="S108" i="12" a="1"/>
  <c r="T127" i="12" a="1"/>
  <c r="R126" i="13" a="1"/>
  <c r="R12" i="13" a="1"/>
  <c r="T88" i="12" a="1"/>
  <c r="R79" i="13" a="1"/>
  <c r="T97" i="12" a="1"/>
  <c r="R105" i="13" a="1"/>
  <c r="S138" i="12" l="1"/>
  <c r="S135" i="12"/>
  <c r="R141" i="13"/>
  <c r="Q140" i="13"/>
  <c r="R138" i="13"/>
  <c r="Q137" i="13"/>
  <c r="T136" i="12"/>
  <c r="T139" i="12"/>
  <c r="Q144" i="13"/>
  <c r="S142" i="12"/>
  <c r="V142" i="12" s="1" a="1"/>
  <c r="V142" i="12" s="1"/>
  <c r="R145" i="13"/>
  <c r="R24" i="13"/>
  <c r="Q26" i="13"/>
  <c r="Q20" i="13"/>
  <c r="Q23" i="13"/>
  <c r="Q29" i="13"/>
  <c r="R27" i="13"/>
  <c r="R30" i="13"/>
  <c r="R21" i="13"/>
  <c r="S29" i="12"/>
  <c r="V29" i="12" s="1"/>
  <c r="S26" i="12"/>
  <c r="V26" i="12" s="1"/>
  <c r="S23" i="12"/>
  <c r="V23" i="12" s="1"/>
  <c r="S20" i="12"/>
  <c r="V20" i="12" s="1"/>
  <c r="S35" i="12"/>
  <c r="V35" i="12" s="1" a="1"/>
  <c r="V35" i="12" s="1"/>
  <c r="T32" i="12"/>
  <c r="R58" i="13"/>
  <c r="Q57" i="13"/>
  <c r="U57" i="13" s="1"/>
  <c r="Q54" i="13"/>
  <c r="S58" i="13"/>
  <c r="S55" i="13"/>
  <c r="R55" i="13"/>
  <c r="S57" i="12"/>
  <c r="T58" i="12"/>
  <c r="Q7" i="13"/>
  <c r="S7" i="12"/>
  <c r="T49" i="12"/>
  <c r="R49" i="13"/>
  <c r="S49" i="13"/>
  <c r="S88" i="13"/>
  <c r="S17" i="12"/>
  <c r="V17" i="12" s="1"/>
  <c r="S14" i="12"/>
  <c r="V14" i="12" s="1"/>
  <c r="Q17" i="13"/>
  <c r="Q14" i="13"/>
  <c r="Q35" i="13"/>
  <c r="S18" i="13"/>
  <c r="R36" i="13"/>
  <c r="R18" i="13"/>
  <c r="S15" i="13"/>
  <c r="R15" i="13"/>
  <c r="R32" i="13"/>
  <c r="V32" i="13" a="1"/>
  <c r="V32" i="13" s="1"/>
  <c r="Q87" i="13"/>
  <c r="R88" i="13"/>
  <c r="S78" i="12"/>
  <c r="V78" i="12" s="1" a="1"/>
  <c r="V78" i="12" s="1"/>
  <c r="T79" i="12"/>
  <c r="Q84" i="13"/>
  <c r="R85" i="13"/>
  <c r="S75" i="12"/>
  <c r="V75" i="12" s="1" a="1"/>
  <c r="V75" i="12" s="1"/>
  <c r="T76" i="12"/>
  <c r="Q104" i="13"/>
  <c r="Q107" i="13"/>
  <c r="Q110" i="13"/>
  <c r="Q113" i="13"/>
  <c r="R105" i="13"/>
  <c r="R114" i="13"/>
  <c r="R111" i="13"/>
  <c r="R108" i="13"/>
  <c r="V111" i="13" a="1"/>
  <c r="V111" i="13" s="1"/>
  <c r="R152" i="13"/>
  <c r="S105" i="12"/>
  <c r="V105" i="12" s="1" a="1"/>
  <c r="V105" i="12" s="1"/>
  <c r="T106" i="12"/>
  <c r="Q119" i="13"/>
  <c r="R120" i="13"/>
  <c r="Q151" i="13"/>
  <c r="S43" i="13"/>
  <c r="R43" i="13"/>
  <c r="Q42" i="13"/>
  <c r="T43" i="12"/>
  <c r="S42" i="12"/>
  <c r="V42" i="12" s="1"/>
  <c r="S129" i="13"/>
  <c r="S132" i="13"/>
  <c r="S46" i="13"/>
  <c r="S126" i="13"/>
  <c r="T97" i="12"/>
  <c r="S96" i="12"/>
  <c r="V96" i="12" s="1" a="1"/>
  <c r="V96" i="12" s="1"/>
  <c r="Q81" i="13"/>
  <c r="U81" i="13" s="1"/>
  <c r="R82" i="13"/>
  <c r="Q78" i="13"/>
  <c r="R79" i="13"/>
  <c r="Q75" i="13"/>
  <c r="S76" i="13"/>
  <c r="R76" i="13"/>
  <c r="T70" i="12"/>
  <c r="T73" i="12"/>
  <c r="S69" i="12"/>
  <c r="S72" i="12"/>
  <c r="S132" i="12"/>
  <c r="V132" i="12" s="1"/>
  <c r="S117" i="13"/>
  <c r="S39" i="13"/>
  <c r="S61" i="13"/>
  <c r="R63" i="13"/>
  <c r="Q100" i="13"/>
  <c r="U100" i="13" s="1"/>
  <c r="Q102" i="13"/>
  <c r="R132" i="13"/>
  <c r="R126" i="13"/>
  <c r="Q123" i="13"/>
  <c r="U123" i="13" s="1"/>
  <c r="Q125" i="13"/>
  <c r="Q134" i="13"/>
  <c r="Q116" i="13"/>
  <c r="Q121" i="13"/>
  <c r="U121" i="13" s="1"/>
  <c r="Q128" i="13"/>
  <c r="Q131" i="13"/>
  <c r="R129" i="13"/>
  <c r="R117" i="13"/>
  <c r="R122" i="13"/>
  <c r="Q154" i="13"/>
  <c r="Q153" i="13"/>
  <c r="Q147" i="13"/>
  <c r="Q149" i="13"/>
  <c r="Q146" i="13"/>
  <c r="Q148" i="13"/>
  <c r="R72" i="13"/>
  <c r="V72" i="13" a="1"/>
  <c r="V72" i="13" s="1"/>
  <c r="R12" i="13"/>
  <c r="S9" i="13"/>
  <c r="R9" i="13"/>
  <c r="T113" i="12"/>
  <c r="Q93" i="13"/>
  <c r="Q90" i="13"/>
  <c r="U90" i="13" s="1" a="1"/>
  <c r="U90" i="13" s="1"/>
  <c r="V11" i="13"/>
  <c r="Q11" i="13"/>
  <c r="Q8" i="13"/>
  <c r="R51" i="13"/>
  <c r="R70" i="13"/>
  <c r="R39" i="13"/>
  <c r="R46" i="13"/>
  <c r="S70" i="13"/>
  <c r="S98" i="13"/>
  <c r="Q48" i="13"/>
  <c r="Q69" i="13"/>
  <c r="Q66" i="13"/>
  <c r="Q60" i="13"/>
  <c r="Q40" i="13"/>
  <c r="Q96" i="13"/>
  <c r="Q91" i="13"/>
  <c r="Q45" i="13"/>
  <c r="Q38" i="13"/>
  <c r="R61" i="13"/>
  <c r="R67" i="13"/>
  <c r="P6" i="13"/>
  <c r="P5" i="13"/>
  <c r="R94" i="13" a="1"/>
  <c r="R94" i="13" s="1"/>
  <c r="R97" i="13" a="1"/>
  <c r="R97" i="13" s="1"/>
  <c r="V51" i="13" a="1"/>
  <c r="V51" i="13" s="1"/>
  <c r="S63" i="12"/>
  <c r="V63" i="12" s="1" a="1"/>
  <c r="V63" i="12" s="1"/>
  <c r="S60" i="12"/>
  <c r="V60" i="12" s="1" a="1"/>
  <c r="V60" i="12" s="1"/>
  <c r="S114" i="12"/>
  <c r="S143" i="12"/>
  <c r="V143" i="12" s="1" a="1"/>
  <c r="V143" i="12" s="1"/>
  <c r="S145" i="12"/>
  <c r="V145" i="12" s="1" a="1"/>
  <c r="V145" i="12" s="1"/>
  <c r="S147" i="12"/>
  <c r="V147" i="12" s="1" a="1"/>
  <c r="V147" i="12" s="1"/>
  <c r="S148" i="12"/>
  <c r="V148" i="12" s="1" a="1"/>
  <c r="V148" i="12" s="1"/>
  <c r="S144" i="12"/>
  <c r="V144" i="12" s="1" a="1"/>
  <c r="V144" i="12" s="1"/>
  <c r="S146" i="12"/>
  <c r="V146" i="12" s="1" a="1"/>
  <c r="V146" i="12" s="1"/>
  <c r="S108" i="12"/>
  <c r="S122" i="12"/>
  <c r="V122" i="12" s="1" a="1"/>
  <c r="V122" i="12" s="1"/>
  <c r="T127" i="12"/>
  <c r="S126" i="12"/>
  <c r="S128" i="12"/>
  <c r="S111" i="12"/>
  <c r="T110" i="12"/>
  <c r="S109" i="12"/>
  <c r="S125" i="12"/>
  <c r="V125" i="12" s="1" a="1"/>
  <c r="V125" i="12" s="1"/>
  <c r="S129" i="12"/>
  <c r="S112" i="12"/>
  <c r="T120" i="12"/>
  <c r="T117" i="12"/>
  <c r="S116" i="12"/>
  <c r="V116" i="12" s="1" a="1"/>
  <c r="V116" i="12" s="1"/>
  <c r="S119" i="12"/>
  <c r="V119" i="12" s="1" a="1"/>
  <c r="V119" i="12" s="1"/>
  <c r="T100" i="12"/>
  <c r="T103" i="12"/>
  <c r="S99" i="12"/>
  <c r="V99" i="12" s="1" a="1"/>
  <c r="V99" i="12" s="1"/>
  <c r="S102" i="12"/>
  <c r="V102" i="12" s="1" a="1"/>
  <c r="V102" i="12" s="1"/>
  <c r="T94" i="12"/>
  <c r="T91" i="12"/>
  <c r="S93" i="12"/>
  <c r="S90" i="12"/>
  <c r="V90" i="12" s="1" a="1"/>
  <c r="V90" i="12" s="1"/>
  <c r="T85" i="12" a="1"/>
  <c r="T85" i="12" s="1"/>
  <c r="S84" i="12"/>
  <c r="V84" i="12" s="1" a="1"/>
  <c r="V84" i="12" s="1"/>
  <c r="T9" i="12"/>
  <c r="T12" i="12"/>
  <c r="S81" i="12"/>
  <c r="V81" i="12" s="1" a="1"/>
  <c r="V81" i="12" s="1"/>
  <c r="S82" i="12"/>
  <c r="T88" i="12"/>
  <c r="S86" i="12"/>
  <c r="V86" i="12" s="1" a="1"/>
  <c r="V86" i="12" s="1"/>
  <c r="S66" i="12"/>
  <c r="T87" i="12" a="1"/>
  <c r="T87" i="12" s="1"/>
  <c r="R5" i="12"/>
  <c r="S48" i="12"/>
  <c r="S54" i="12"/>
  <c r="V54" i="12" s="1" a="1"/>
  <c r="V54" i="12" s="1"/>
  <c r="S45" i="12"/>
  <c r="V45" i="12" s="1" a="1"/>
  <c r="V45" i="12" s="1"/>
  <c r="S8" i="12"/>
  <c r="S40" i="12"/>
  <c r="V40" i="12" s="1"/>
  <c r="S11" i="12"/>
  <c r="S38" i="12"/>
  <c r="V38" i="12" s="1" a="1"/>
  <c r="V38" i="12" s="1"/>
  <c r="T51" i="12"/>
  <c r="Q6" i="12"/>
  <c r="R138" i="12" a="1"/>
  <c r="R135" i="12" a="1"/>
  <c r="P148" i="13" a="1"/>
  <c r="P137" i="13" a="1"/>
  <c r="R51" i="12" a="1"/>
  <c r="R109" i="12" a="1"/>
  <c r="P113" i="13" a="1"/>
  <c r="Q24" i="13" a="1"/>
  <c r="T33" i="12"/>
  <c r="Q27" i="13" a="1"/>
  <c r="Q30" i="13" a="1"/>
  <c r="R126" i="12" a="1"/>
  <c r="R20" i="12" a="1"/>
  <c r="S64" i="13" a="1"/>
  <c r="R54" i="12" a="1"/>
  <c r="Q129" i="13" a="1"/>
  <c r="R146" i="12" a="1"/>
  <c r="P149" i="13" a="1"/>
  <c r="R7" i="12" a="1"/>
  <c r="R98" i="13" a="1"/>
  <c r="P81" i="13" a="1"/>
  <c r="P87" i="13" a="1"/>
  <c r="R8" i="12" a="1"/>
  <c r="R122" i="12" a="1"/>
  <c r="Q152" i="13" a="1"/>
  <c r="P54" i="13" a="1"/>
  <c r="R105" i="12" a="1"/>
  <c r="Q114" i="13" a="1"/>
  <c r="R45" i="12" a="1"/>
  <c r="P8" i="13" a="1"/>
  <c r="R40" i="12" a="1"/>
  <c r="R38" i="12" a="1"/>
  <c r="P134" i="13" a="1"/>
  <c r="T123" i="12" a="1"/>
  <c r="R116" i="12" a="1"/>
  <c r="P23" i="13" a="1"/>
  <c r="P40" i="13" a="1"/>
  <c r="R72" i="12" a="1"/>
  <c r="R142" i="12" a="1"/>
  <c r="P29" i="13" a="1"/>
  <c r="R33" i="13"/>
  <c r="T67" i="12" a="1"/>
  <c r="P35" i="13" a="1"/>
  <c r="R26" i="12" a="1"/>
  <c r="T61" i="12" a="1"/>
  <c r="R63" i="12" a="1"/>
  <c r="R96" i="12" a="1"/>
  <c r="Q51" i="13" a="1"/>
  <c r="R11" i="12" a="1"/>
  <c r="P75" i="13" a="1"/>
  <c r="S127" i="12" a="1"/>
  <c r="P26" i="13" a="1"/>
  <c r="Q138" i="13" a="1"/>
  <c r="R132" i="12" a="1"/>
  <c r="T46" i="12" a="1"/>
  <c r="R75" i="12" a="1"/>
  <c r="Q21" i="13" a="1"/>
  <c r="T64" i="12" a="1"/>
  <c r="T30" i="12" a="1"/>
  <c r="P14" i="13" a="1"/>
  <c r="R147" i="12" a="1"/>
  <c r="R78" i="12" a="1"/>
  <c r="P131" i="13" a="1"/>
  <c r="R42" i="12" a="1"/>
  <c r="R35" i="12" a="1"/>
  <c r="P7" i="13" a="1"/>
  <c r="R81" i="12" a="1"/>
  <c r="P96" i="13" a="1"/>
  <c r="T36" i="12" a="1"/>
  <c r="R112" i="12" a="1"/>
  <c r="R48" i="12" a="1"/>
  <c r="R17" i="12" a="1"/>
  <c r="R14" i="12" a="1"/>
  <c r="Q36" i="13" a="1"/>
  <c r="P110" i="13" a="1"/>
  <c r="Q132" i="13" a="1"/>
  <c r="P60" i="13" a="1"/>
  <c r="Q111" i="13" a="1"/>
  <c r="Q49" i="13" a="1"/>
  <c r="P102" i="13" a="1"/>
  <c r="T15" i="12" a="1"/>
  <c r="P154" i="13" a="1"/>
  <c r="R119" i="12" a="1"/>
  <c r="R102" i="12" a="1"/>
  <c r="P20" i="13" a="1"/>
  <c r="T21" i="12" a="1"/>
  <c r="R66" i="12" a="1"/>
  <c r="R145" i="12" a="1"/>
  <c r="P116" i="13" a="1"/>
  <c r="R64" i="13" a="1"/>
  <c r="Q63" i="13" a="1"/>
  <c r="P69" i="13" a="1"/>
  <c r="P140" i="13" a="1"/>
  <c r="T18" i="12" a="1"/>
  <c r="T24" i="12" a="1"/>
  <c r="P153" i="13" a="1"/>
  <c r="P90" i="13" a="1"/>
  <c r="P45" i="13" a="1"/>
  <c r="P144" i="13" a="1"/>
  <c r="R29" i="12" a="1"/>
  <c r="Q9" i="13" a="1"/>
  <c r="T27" i="12" a="1"/>
  <c r="P147" i="13" a="1"/>
  <c r="R69" i="12" a="1"/>
  <c r="S51" i="12" a="1"/>
  <c r="P123" i="13" a="1"/>
  <c r="P38" i="13" a="1"/>
  <c r="T133" i="12" a="1"/>
  <c r="P146" i="13" a="1"/>
  <c r="S110" i="12" a="1"/>
  <c r="R128" i="12" a="1"/>
  <c r="P104" i="13" a="1"/>
  <c r="P119" i="13" a="1"/>
  <c r="Q85" i="13" a="1"/>
  <c r="Q43" i="13" a="1"/>
  <c r="R114" i="12" a="1"/>
  <c r="R90" i="12" a="1"/>
  <c r="P66" i="13" a="1"/>
  <c r="Q72" i="13" a="1"/>
  <c r="R129" i="12" a="1"/>
  <c r="R111" i="12" a="1"/>
  <c r="R84" i="12" a="1"/>
  <c r="Q105" i="13" a="1"/>
  <c r="P17" i="13" a="1"/>
  <c r="P107" i="13" a="1"/>
  <c r="P151" i="13" a="1"/>
  <c r="P91" i="13" a="1"/>
  <c r="Q145" i="13" a="1"/>
  <c r="Q79" i="13" a="1"/>
  <c r="R73" i="13" a="1"/>
  <c r="Q117" i="13" a="1"/>
  <c r="S52" i="13" a="1"/>
  <c r="P57" i="13" a="1"/>
  <c r="R99" i="12" a="1"/>
  <c r="R93" i="12" a="1"/>
  <c r="R125" i="12" a="1"/>
  <c r="S73" i="13" a="1"/>
  <c r="R82" i="12" a="1"/>
  <c r="T39" i="12" a="1"/>
  <c r="R108" i="12" a="1"/>
  <c r="R86" i="12" a="1"/>
  <c r="P48" i="13" a="1"/>
  <c r="R60" i="12" a="1"/>
  <c r="P125" i="13" a="1"/>
  <c r="Q120" i="13" a="1"/>
  <c r="P128" i="13" a="1"/>
  <c r="P42" i="13" a="1"/>
  <c r="R23" i="12" a="1"/>
  <c r="Q108" i="13" a="1"/>
  <c r="P84" i="13" a="1"/>
  <c r="S94" i="12" a="1"/>
  <c r="R52" i="13" a="1"/>
  <c r="T55" i="12" a="1"/>
  <c r="R143" i="12" a="1"/>
  <c r="R148" i="12" a="1"/>
  <c r="R144" i="12" a="1"/>
  <c r="R57" i="12" a="1"/>
  <c r="P11" i="13" a="1"/>
  <c r="P93" i="13" a="1"/>
  <c r="P100" i="13"/>
  <c r="P78" i="13" a="1"/>
  <c r="Q141" i="13" a="1"/>
  <c r="Q88" i="13" a="1"/>
  <c r="P121" i="13" a="1"/>
  <c r="Q12" i="13" a="1"/>
  <c r="Q126" i="13" a="1"/>
  <c r="V138" i="12" l="1" a="1"/>
  <c r="V138" i="12" s="1"/>
  <c r="V135" i="12" a="1"/>
  <c r="V135" i="12" s="1"/>
  <c r="R138" i="12"/>
  <c r="R135" i="12"/>
  <c r="U11" i="13" a="1"/>
  <c r="U11" i="13" s="1"/>
  <c r="U14" i="13" a="1"/>
  <c r="U14" i="13" s="1"/>
  <c r="U26" i="13" a="1"/>
  <c r="U26" i="13" s="1"/>
  <c r="U20" i="13" a="1"/>
  <c r="U20" i="13" s="1"/>
  <c r="U23" i="13" a="1"/>
  <c r="U23" i="13" s="1"/>
  <c r="U29" i="13" a="1"/>
  <c r="U29" i="13" s="1"/>
  <c r="U17" i="13" a="1"/>
  <c r="U17" i="13" s="1"/>
  <c r="U69" i="13"/>
  <c r="Q141" i="13"/>
  <c r="P140" i="13"/>
  <c r="Q138" i="13"/>
  <c r="P137" i="13"/>
  <c r="T123" i="12"/>
  <c r="R142" i="12"/>
  <c r="Q145" i="13"/>
  <c r="U145" i="13" s="1"/>
  <c r="P144" i="13"/>
  <c r="U144" i="13" a="1"/>
  <c r="U144" i="13" s="1"/>
  <c r="U137" i="13" a="1"/>
  <c r="U137" i="13" s="1"/>
  <c r="U140" i="13" a="1"/>
  <c r="U140" i="13" s="1"/>
  <c r="Q24" i="13"/>
  <c r="U24" i="13" s="1" a="1"/>
  <c r="U24" i="13" s="1"/>
  <c r="Q21" i="13"/>
  <c r="U21" i="13" s="1" a="1"/>
  <c r="U21" i="13" s="1"/>
  <c r="P29" i="13"/>
  <c r="P26" i="13"/>
  <c r="P20" i="13"/>
  <c r="P23" i="13"/>
  <c r="Q27" i="13"/>
  <c r="U27" i="13" s="1" a="1"/>
  <c r="U27" i="13" s="1"/>
  <c r="Q30" i="13"/>
  <c r="U30" i="13" s="1" a="1"/>
  <c r="U30" i="13" s="1"/>
  <c r="S32" i="12"/>
  <c r="V32" i="12" s="1" a="1"/>
  <c r="V32" i="12" s="1"/>
  <c r="T30" i="12"/>
  <c r="T21" i="12"/>
  <c r="R20" i="12"/>
  <c r="R23" i="12"/>
  <c r="R29" i="12"/>
  <c r="R26" i="12"/>
  <c r="R35" i="12"/>
  <c r="T24" i="12"/>
  <c r="T27" i="12"/>
  <c r="P57" i="13"/>
  <c r="P54" i="13"/>
  <c r="U54" i="13"/>
  <c r="V57" i="12" a="1"/>
  <c r="V57" i="12" s="1"/>
  <c r="R57" i="12"/>
  <c r="T67" i="12"/>
  <c r="P7" i="13"/>
  <c r="R7" i="12"/>
  <c r="R14" i="12"/>
  <c r="V48" i="12" a="1"/>
  <c r="V48" i="12" s="1"/>
  <c r="Q49" i="13"/>
  <c r="T18" i="12"/>
  <c r="R17" i="12"/>
  <c r="T15" i="12"/>
  <c r="Q36" i="13"/>
  <c r="U36" i="13" s="1"/>
  <c r="P17" i="13"/>
  <c r="P14" i="13"/>
  <c r="P35" i="13"/>
  <c r="Q32" i="13"/>
  <c r="U35" i="13" a="1"/>
  <c r="U35" i="13" s="1"/>
  <c r="P87" i="13"/>
  <c r="Q88" i="13"/>
  <c r="R78" i="12"/>
  <c r="P84" i="13"/>
  <c r="Q85" i="13"/>
  <c r="R75" i="12"/>
  <c r="Q114" i="13"/>
  <c r="P104" i="13"/>
  <c r="P107" i="13"/>
  <c r="P110" i="13"/>
  <c r="P113" i="13"/>
  <c r="Q111" i="13"/>
  <c r="Q108" i="13"/>
  <c r="Q105" i="13"/>
  <c r="U113" i="13"/>
  <c r="U107" i="13"/>
  <c r="U104" i="13"/>
  <c r="U110" i="13"/>
  <c r="Q152" i="13"/>
  <c r="U152" i="13" s="1" a="1"/>
  <c r="U152" i="13" s="1"/>
  <c r="U146" i="13"/>
  <c r="R105" i="12"/>
  <c r="P119" i="13"/>
  <c r="Q120" i="13"/>
  <c r="U120" i="13" s="1"/>
  <c r="U119" i="13"/>
  <c r="U153" i="13"/>
  <c r="P151" i="13"/>
  <c r="U151" i="13" a="1"/>
  <c r="U151" i="13" s="1"/>
  <c r="Q43" i="13"/>
  <c r="P42" i="13"/>
  <c r="R42" i="12"/>
  <c r="U42" i="13" a="1"/>
  <c r="U42" i="13" s="1"/>
  <c r="R96" i="12"/>
  <c r="P81" i="13"/>
  <c r="P78" i="13"/>
  <c r="Q79" i="13"/>
  <c r="U79" i="13" s="1" a="1"/>
  <c r="U79" i="13" s="1"/>
  <c r="U78" i="13"/>
  <c r="P75" i="13"/>
  <c r="U75" i="13"/>
  <c r="V72" i="12" a="1"/>
  <c r="V72" i="12" s="1"/>
  <c r="V69" i="12" a="1"/>
  <c r="V69" i="12" s="1"/>
  <c r="R69" i="12"/>
  <c r="R72" i="12"/>
  <c r="R132" i="12"/>
  <c r="S64" i="13"/>
  <c r="T133" i="12"/>
  <c r="Q63" i="13"/>
  <c r="U63" i="13" s="1"/>
  <c r="R64" i="13"/>
  <c r="P102" i="13"/>
  <c r="P116" i="13"/>
  <c r="P121" i="13"/>
  <c r="P131" i="13"/>
  <c r="P123" i="13"/>
  <c r="P125" i="13"/>
  <c r="P128" i="13"/>
  <c r="P134" i="13"/>
  <c r="Q126" i="13"/>
  <c r="Q132" i="13"/>
  <c r="Q117" i="13"/>
  <c r="Q129" i="13"/>
  <c r="Q122" i="13"/>
  <c r="P154" i="13"/>
  <c r="P153" i="13"/>
  <c r="U154" i="13"/>
  <c r="U149" i="13"/>
  <c r="U148" i="13"/>
  <c r="U147" i="13"/>
  <c r="P146" i="13"/>
  <c r="P148" i="13"/>
  <c r="P147" i="13"/>
  <c r="P149" i="13"/>
  <c r="S73" i="13"/>
  <c r="Q72" i="13"/>
  <c r="U72" i="13" s="1"/>
  <c r="R73" i="13"/>
  <c r="Q12" i="13"/>
  <c r="U12" i="13" s="1" a="1"/>
  <c r="U12" i="13" s="1"/>
  <c r="Q9" i="13"/>
  <c r="U9" i="13" s="1" a="1"/>
  <c r="U9" i="13" s="1"/>
  <c r="P93" i="13"/>
  <c r="P90" i="13"/>
  <c r="U8" i="13" a="1"/>
  <c r="U8" i="13" s="1"/>
  <c r="P11" i="13"/>
  <c r="P8" i="13"/>
  <c r="U91" i="13" a="1"/>
  <c r="U91" i="13" s="1"/>
  <c r="S52" i="13"/>
  <c r="R98" i="13"/>
  <c r="P69" i="13"/>
  <c r="P66" i="13"/>
  <c r="P60" i="13"/>
  <c r="P96" i="13"/>
  <c r="P91" i="13"/>
  <c r="P48" i="13"/>
  <c r="P45" i="13"/>
  <c r="P38" i="13"/>
  <c r="P40" i="13"/>
  <c r="Q51" i="13"/>
  <c r="R52" i="13"/>
  <c r="Q97" i="13" a="1"/>
  <c r="Q97" i="13" s="1"/>
  <c r="U96" i="13"/>
  <c r="U97" i="13" s="1"/>
  <c r="U66" i="13"/>
  <c r="U128" i="13"/>
  <c r="U40" i="13"/>
  <c r="U38" i="13"/>
  <c r="U45" i="13"/>
  <c r="U102" i="13"/>
  <c r="U131" i="13"/>
  <c r="O6" i="13"/>
  <c r="O5" i="13"/>
  <c r="U87" i="13" a="1"/>
  <c r="U87" i="13" s="1"/>
  <c r="U48" i="13"/>
  <c r="U116" i="13"/>
  <c r="U60" i="13"/>
  <c r="U84" i="13" a="1"/>
  <c r="U84" i="13" s="1"/>
  <c r="U93" i="13" a="1"/>
  <c r="U93" i="13" s="1"/>
  <c r="Q94" i="13" a="1"/>
  <c r="Q94" i="13" s="1"/>
  <c r="U94" i="13" s="1" a="1"/>
  <c r="U94" i="13" s="1"/>
  <c r="U125" i="13"/>
  <c r="V108" i="12" a="1"/>
  <c r="V108" i="12" s="1"/>
  <c r="S113" i="12"/>
  <c r="R114" i="12"/>
  <c r="R143" i="12"/>
  <c r="R144" i="12"/>
  <c r="R145" i="12"/>
  <c r="R146" i="12"/>
  <c r="R147" i="12"/>
  <c r="R148" i="12"/>
  <c r="R108" i="12"/>
  <c r="R122" i="12"/>
  <c r="R126" i="12"/>
  <c r="R128" i="12"/>
  <c r="S127" i="12"/>
  <c r="R111" i="12"/>
  <c r="S110" i="12"/>
  <c r="R109" i="12"/>
  <c r="R125" i="12"/>
  <c r="R129" i="12"/>
  <c r="R112" i="12"/>
  <c r="R119" i="12"/>
  <c r="R116" i="12"/>
  <c r="V93" i="12" a="1"/>
  <c r="V93" i="12" s="1"/>
  <c r="R99" i="12"/>
  <c r="R102" i="12"/>
  <c r="R90" i="12"/>
  <c r="R93" i="12"/>
  <c r="S94" i="12"/>
  <c r="R84" i="12"/>
  <c r="V8" i="12"/>
  <c r="V11" i="12"/>
  <c r="R81" i="12"/>
  <c r="R82" i="12"/>
  <c r="R86" i="12"/>
  <c r="S87" i="12" a="1"/>
  <c r="S87" i="12" s="1"/>
  <c r="S85" i="12" a="1"/>
  <c r="S85" i="12" s="1"/>
  <c r="V66" i="12" a="1"/>
  <c r="V66" i="12" s="1"/>
  <c r="W48" i="12"/>
  <c r="R66" i="12"/>
  <c r="Q5" i="12"/>
  <c r="R8" i="12"/>
  <c r="R45" i="12"/>
  <c r="R40" i="12"/>
  <c r="R54" i="12"/>
  <c r="R48" i="12"/>
  <c r="R11" i="12"/>
  <c r="R63" i="12"/>
  <c r="R38" i="12"/>
  <c r="R60" i="12"/>
  <c r="T55" i="12"/>
  <c r="T39" i="12"/>
  <c r="T64" i="12"/>
  <c r="T46" i="12"/>
  <c r="T36" i="12"/>
  <c r="T61" i="12"/>
  <c r="S51" i="12"/>
  <c r="V51" i="12" s="1" a="1"/>
  <c r="V51" i="12" s="1"/>
  <c r="R51" i="12"/>
  <c r="P6" i="12"/>
  <c r="S139" i="12" a="1"/>
  <c r="R139" i="12" a="1"/>
  <c r="S136" i="12" a="1"/>
  <c r="R136" i="12" a="1"/>
  <c r="Q138" i="12" a="1"/>
  <c r="Q135" i="12" a="1"/>
  <c r="R139" i="12" l="1"/>
  <c r="S139" i="12"/>
  <c r="R136" i="12"/>
  <c r="S136" i="12"/>
  <c r="Q138" i="12"/>
  <c r="Q135" i="12"/>
  <c r="U138" i="13" a="1"/>
  <c r="U138" i="13" s="1"/>
  <c r="U141" i="13" a="1"/>
  <c r="U141" i="13" s="1"/>
  <c r="R32" i="12"/>
  <c r="P32" i="13"/>
  <c r="U32" i="13"/>
  <c r="U111" i="13"/>
  <c r="U108" i="13" a="1"/>
  <c r="U108" i="13" s="1"/>
  <c r="U105" i="13" a="1"/>
  <c r="U105" i="13" s="1"/>
  <c r="U114" i="13"/>
  <c r="U43" i="13"/>
  <c r="P135" i="13"/>
  <c r="S135" i="13"/>
  <c r="R135" i="13"/>
  <c r="Q135" i="13"/>
  <c r="P122" i="13"/>
  <c r="R113" i="12"/>
  <c r="P94" i="13" a="1"/>
  <c r="P94" i="13" s="1"/>
  <c r="U126" i="13"/>
  <c r="U49" i="13"/>
  <c r="U85" i="13" a="1"/>
  <c r="U85" i="13" s="1"/>
  <c r="U134" i="13" s="1" a="1"/>
  <c r="U134" i="13" s="1"/>
  <c r="U135" i="13" s="1" a="1"/>
  <c r="U135" i="13" s="1"/>
  <c r="U117" i="13"/>
  <c r="U129" i="13"/>
  <c r="U88" i="13" a="1"/>
  <c r="U88" i="13" s="1"/>
  <c r="U132" i="13"/>
  <c r="U51" i="13" a="1"/>
  <c r="U51" i="13" s="1"/>
  <c r="T135" i="13"/>
  <c r="N6" i="13"/>
  <c r="N5" i="13"/>
  <c r="P97" i="13" a="1"/>
  <c r="P97" i="13" s="1"/>
  <c r="V113" i="12" a="1"/>
  <c r="V113" i="12" s="1"/>
  <c r="R85" i="12" a="1"/>
  <c r="R85" i="12" s="1"/>
  <c r="R87" i="12" a="1"/>
  <c r="R87" i="12" s="1"/>
  <c r="P5" i="12"/>
  <c r="O6" i="12"/>
  <c r="Q139" i="12" a="1"/>
  <c r="Q136" i="12" a="1"/>
  <c r="P138" i="12" a="1"/>
  <c r="P135" i="12" a="1"/>
  <c r="Q139" i="12" l="1"/>
  <c r="Q136" i="12"/>
  <c r="P138" i="12"/>
  <c r="P135" i="12"/>
  <c r="M6" i="13"/>
  <c r="M5" i="13"/>
  <c r="V135" i="13"/>
  <c r="U122" i="13"/>
  <c r="O5" i="12"/>
  <c r="N6" i="12"/>
  <c r="P139" i="12" a="1"/>
  <c r="P136" i="12" a="1"/>
  <c r="O138" i="12" a="1"/>
  <c r="O135" i="12" a="1"/>
  <c r="P139" i="12" l="1"/>
  <c r="P136" i="12"/>
  <c r="O138" i="12"/>
  <c r="O135" i="12"/>
  <c r="L6" i="13"/>
  <c r="L5" i="13"/>
  <c r="V114" i="12" a="1"/>
  <c r="V114" i="12" s="1"/>
  <c r="N5" i="12"/>
  <c r="M6" i="12"/>
  <c r="O139" i="12" a="1"/>
  <c r="O136" i="12" a="1"/>
  <c r="N138" i="12" a="1"/>
  <c r="N135" i="12" a="1"/>
  <c r="O139" i="12" l="1"/>
  <c r="O136" i="12"/>
  <c r="N138" i="12"/>
  <c r="N135" i="12"/>
  <c r="K6" i="13"/>
  <c r="K5" i="13"/>
  <c r="M5" i="12"/>
  <c r="L6" i="12"/>
  <c r="N139" i="12" a="1"/>
  <c r="N136" i="12" a="1"/>
  <c r="M138" i="12" a="1"/>
  <c r="M135" i="12" a="1"/>
  <c r="N139" i="12" l="1"/>
  <c r="N136" i="12"/>
  <c r="M138" i="12"/>
  <c r="M135" i="12"/>
  <c r="J6" i="13"/>
  <c r="J5" i="13"/>
  <c r="L5" i="12"/>
  <c r="K6" i="12"/>
  <c r="M139" i="12" a="1"/>
  <c r="M136" i="12" a="1"/>
  <c r="L138" i="12" a="1"/>
  <c r="L135" i="12" a="1"/>
  <c r="M139" i="12" l="1"/>
  <c r="M136" i="12"/>
  <c r="L138" i="12"/>
  <c r="L135" i="12"/>
  <c r="I6" i="13"/>
  <c r="I5" i="13"/>
  <c r="K5" i="12"/>
  <c r="J6" i="12"/>
  <c r="L139" i="12" a="1"/>
  <c r="L136" i="12" a="1"/>
  <c r="K138" i="12" a="1"/>
  <c r="K135" i="12" a="1"/>
  <c r="L139" i="12" l="1"/>
  <c r="L136" i="12"/>
  <c r="K138" i="12"/>
  <c r="K135" i="12"/>
  <c r="J5" i="12"/>
  <c r="I6" i="12"/>
  <c r="K139" i="12" a="1"/>
  <c r="K136" i="12" a="1"/>
  <c r="J138" i="12" a="1"/>
  <c r="J135" i="12" a="1"/>
  <c r="K139" i="12" l="1"/>
  <c r="K136" i="12"/>
  <c r="J138" i="12"/>
  <c r="J135" i="12"/>
  <c r="I5" i="12"/>
  <c r="J139" i="12" a="1"/>
  <c r="J136" i="12" a="1"/>
  <c r="I138" i="12" a="1"/>
  <c r="I135" i="12" a="1"/>
  <c r="J139" i="12" l="1"/>
  <c r="J136" i="12"/>
  <c r="I138" i="12"/>
  <c r="I135" i="12"/>
  <c r="V81" i="13" a="1"/>
  <c r="V81" i="13" s="1"/>
  <c r="I136" i="12" a="1"/>
  <c r="I139" i="12" a="1"/>
  <c r="I136" i="12" l="1"/>
  <c r="I139" i="12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6" i="11"/>
  <c r="E27" i="11"/>
  <c r="E28" i="11"/>
  <c r="E29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6" i="11"/>
  <c r="E58" i="11" l="1"/>
  <c r="E60" i="11" l="1"/>
  <c r="E59" i="11"/>
  <c r="E50" i="11" s="1"/>
  <c r="A33" i="11"/>
  <c r="A34" i="11"/>
  <c r="A35" i="11"/>
  <c r="A36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32" i="11"/>
  <c r="E51" i="11" l="1"/>
  <c r="E53" i="11"/>
  <c r="E52" i="11"/>
  <c r="E3" i="11"/>
  <c r="E4" i="11"/>
  <c r="A51" i="11" l="1"/>
  <c r="A50" i="11" l="1"/>
  <c r="A52" i="11"/>
  <c r="A53" i="11"/>
  <c r="B4" i="11" l="1"/>
  <c r="L17" i="13" a="1"/>
  <c r="R24" i="12" a="1"/>
  <c r="C20" i="11"/>
  <c r="M29" i="13" a="1"/>
  <c r="Q90" i="12" a="1"/>
  <c r="S91" i="12" a="1"/>
  <c r="I125" i="12" a="1"/>
  <c r="K114" i="12" a="1"/>
  <c r="N40" i="13" a="1"/>
  <c r="K87" i="13" a="1"/>
  <c r="S39" i="12" a="1"/>
  <c r="K99" i="12" a="1"/>
  <c r="L147" i="12" a="1"/>
  <c r="K153" i="13" a="1"/>
  <c r="K86" i="12" a="1"/>
  <c r="P114" i="12" a="1"/>
  <c r="O38" i="12" a="1"/>
  <c r="J57" i="12" a="1"/>
  <c r="L81" i="12" a="1"/>
  <c r="O116" i="13" a="1"/>
  <c r="Q11" i="12" a="1"/>
  <c r="J144" i="12" a="1"/>
  <c r="F56" i="11"/>
  <c r="C35" i="11"/>
  <c r="L108" i="12" a="1"/>
  <c r="L142" i="12" a="1"/>
  <c r="Q81" i="12" a="1"/>
  <c r="S36" i="12" a="1"/>
  <c r="C37" i="11"/>
  <c r="N96" i="13" a="1"/>
  <c r="I75" i="12" a="1"/>
  <c r="L84" i="13" a="1"/>
  <c r="O119" i="13" a="1"/>
  <c r="R73" i="12" a="1"/>
  <c r="O104" i="13" a="1"/>
  <c r="J153" i="13" a="1"/>
  <c r="F38" i="11"/>
  <c r="K8" i="12" a="1"/>
  <c r="R36" i="12" a="1"/>
  <c r="K29" i="13" a="1"/>
  <c r="I42" i="12" a="1"/>
  <c r="N105" i="12" a="1"/>
  <c r="S30" i="12" a="1"/>
  <c r="I108" i="12" a="1"/>
  <c r="O128" i="12" a="1"/>
  <c r="L69" i="12" a="1"/>
  <c r="P141" i="13" a="1"/>
  <c r="K132" i="12" a="1"/>
  <c r="J66" i="13" a="1"/>
  <c r="M17" i="13" a="1"/>
  <c r="P105" i="13" a="1"/>
  <c r="J84" i="13" a="1"/>
  <c r="M123" i="13" a="1"/>
  <c r="I78" i="12" a="1"/>
  <c r="G29" i="11"/>
  <c r="L48" i="12" a="1"/>
  <c r="L102" i="13" a="1"/>
  <c r="N149" i="13" a="1"/>
  <c r="J147" i="12" a="1"/>
  <c r="J51" i="13" a="1"/>
  <c r="S97" i="12" a="1"/>
  <c r="M82" i="12" a="1"/>
  <c r="I140" i="13" a="1"/>
  <c r="P108" i="12" a="1"/>
  <c r="I119" i="13" a="1"/>
  <c r="M14" i="13" a="1"/>
  <c r="G18" i="11"/>
  <c r="K147" i="13" a="1"/>
  <c r="O96" i="13" a="1"/>
  <c r="O86" i="12" a="1"/>
  <c r="L122" i="12" a="1"/>
  <c r="M144" i="12" a="1"/>
  <c r="L40" i="12" a="1"/>
  <c r="L128" i="13" a="1"/>
  <c r="I102" i="13" a="1"/>
  <c r="N14" i="13" a="1"/>
  <c r="I20" i="13" a="1"/>
  <c r="I137" i="13" a="1"/>
  <c r="N78" i="13" a="1"/>
  <c r="P55" i="13" a="1"/>
  <c r="P49" i="13" a="1"/>
  <c r="R70" i="12" a="1"/>
  <c r="M54" i="13" a="1"/>
  <c r="L119" i="12" a="1"/>
  <c r="F50" i="11"/>
  <c r="L140" i="13" a="1"/>
  <c r="O69" i="12" a="1"/>
  <c r="P82" i="13" a="1"/>
  <c r="R18" i="12" a="1"/>
  <c r="L111" i="12" a="1"/>
  <c r="R88" i="12" a="1"/>
  <c r="M121" i="13" a="1"/>
  <c r="O146" i="12" a="1"/>
  <c r="R55" i="12" a="1"/>
  <c r="M11" i="13" a="1"/>
  <c r="L116" i="12" a="1"/>
  <c r="S100" i="12" a="1"/>
  <c r="I48" i="13" a="1"/>
  <c r="M116" i="12" a="1"/>
  <c r="F39" i="11"/>
  <c r="L60" i="12" a="1"/>
  <c r="I107" i="13" a="1"/>
  <c r="I7" i="13" a="1"/>
  <c r="J45" i="13" a="1"/>
  <c r="K23" i="12" a="1"/>
  <c r="L96" i="13" a="1"/>
  <c r="O14" i="13" a="1"/>
  <c r="R46" i="12" a="1"/>
  <c r="K125" i="13" a="1"/>
  <c r="J7" i="13" a="1"/>
  <c r="K128" i="13" a="1"/>
  <c r="Q93" i="12" a="1"/>
  <c r="Q122" i="12" a="1"/>
  <c r="S133" i="12" a="1"/>
  <c r="K72" i="12" a="1"/>
  <c r="J116" i="12" a="1"/>
  <c r="M78" i="12" a="1"/>
  <c r="Q145" i="12" a="1"/>
  <c r="M105" i="12" a="1"/>
  <c r="N7" i="13" a="1"/>
  <c r="N40" i="12" a="1"/>
  <c r="F41" i="11"/>
  <c r="I93" i="12" a="1"/>
  <c r="M102" i="13" a="1"/>
  <c r="P152" i="13" a="1"/>
  <c r="R120" i="12" a="1"/>
  <c r="L93" i="13" a="1"/>
  <c r="O40" i="12" a="1"/>
  <c r="P132" i="12" a="1"/>
  <c r="P88" i="13" a="1"/>
  <c r="O113" i="13" a="1"/>
  <c r="O8" i="13" a="1"/>
  <c r="Q108" i="12" a="1"/>
  <c r="N90" i="12" a="1"/>
  <c r="C49" i="11"/>
  <c r="C17" i="11"/>
  <c r="F27" i="11"/>
  <c r="Q146" i="12" a="1"/>
  <c r="K82" i="12" a="1"/>
  <c r="N140" i="13" a="1"/>
  <c r="I90" i="13" a="1"/>
  <c r="I66" i="13" a="1"/>
  <c r="O116" i="12" a="1"/>
  <c r="P70" i="13" a="1"/>
  <c r="P39" i="13" a="1"/>
  <c r="M119" i="13" a="1"/>
  <c r="P72" i="13" a="1"/>
  <c r="Q75" i="12" a="1"/>
  <c r="G52" i="11"/>
  <c r="M81" i="13" a="1"/>
  <c r="O122" i="12" a="1"/>
  <c r="C44" i="11"/>
  <c r="M63" i="12" a="1"/>
  <c r="R127" i="12" a="1"/>
  <c r="N63" i="12" a="1"/>
  <c r="O107" i="13" a="1"/>
  <c r="S76" i="12" a="1"/>
  <c r="O78" i="12" a="1"/>
  <c r="M29" i="12" a="1"/>
  <c r="L146" i="12" a="1"/>
  <c r="K63" i="12" a="1"/>
  <c r="F55" i="11"/>
  <c r="Q52" i="13" a="1"/>
  <c r="F58" i="11"/>
  <c r="I35" i="12" a="1"/>
  <c r="O72" i="12" a="1"/>
  <c r="F40" i="11"/>
  <c r="N114" i="12" a="1"/>
  <c r="M42" i="12" a="1"/>
  <c r="L54" i="12" a="1"/>
  <c r="I29" i="13" a="1"/>
  <c r="J96" i="12" a="1"/>
  <c r="I48" i="12" a="1"/>
  <c r="G37" i="11"/>
  <c r="O90" i="13" a="1"/>
  <c r="K69" i="13" a="1"/>
  <c r="L102" i="12" a="1"/>
  <c r="I99" i="12" a="1"/>
  <c r="G8" i="11"/>
  <c r="O35" i="12" a="1"/>
  <c r="N146" i="13" a="1"/>
  <c r="M134" i="13" a="1"/>
  <c r="L23" i="12" a="1"/>
  <c r="J144" i="13" a="1"/>
  <c r="I143" i="12" a="1"/>
  <c r="K17" i="12" a="1"/>
  <c r="F7" i="11"/>
  <c r="I35" i="13" a="1"/>
  <c r="L125" i="13" a="1"/>
  <c r="R91" i="12" a="1"/>
  <c r="L51" i="12" a="1"/>
  <c r="F29" i="11"/>
  <c r="M38" i="12" a="1"/>
  <c r="R15" i="12" a="1"/>
  <c r="L48" i="13" a="1"/>
  <c r="J114" i="12" a="1"/>
  <c r="M54" i="12" a="1"/>
  <c r="S46" i="12" a="1"/>
  <c r="O78" i="13" a="1"/>
  <c r="P12" i="13" a="1"/>
  <c r="L7" i="12" a="1"/>
  <c r="L153" i="13" a="1"/>
  <c r="P48" i="12" a="1"/>
  <c r="O35" i="13" a="1"/>
  <c r="O48" i="12" a="1"/>
  <c r="J78" i="13" a="1"/>
  <c r="M84" i="12" a="1"/>
  <c r="Q128" i="12" a="1"/>
  <c r="C11" i="11"/>
  <c r="J143" i="12" a="1"/>
  <c r="S88" i="12" a="1"/>
  <c r="L128" i="12" a="1"/>
  <c r="J125" i="13" a="1"/>
  <c r="L14" i="12" a="1"/>
  <c r="Q144" i="12" a="1"/>
  <c r="O100" i="13"/>
  <c r="M86" i="12" a="1"/>
  <c r="K93" i="12" a="1"/>
  <c r="R52" i="12" a="1"/>
  <c r="F46" i="11"/>
  <c r="O11" i="12" a="1"/>
  <c r="L29" i="13" a="1"/>
  <c r="P43" i="13" a="1"/>
  <c r="J116" i="13" a="1"/>
  <c r="J126" i="12" a="1"/>
  <c r="I81" i="13" a="1"/>
  <c r="L125" i="12" a="1"/>
  <c r="O7" i="13" a="1"/>
  <c r="C56" i="11"/>
  <c r="N113" i="13" a="1"/>
  <c r="M144" i="13" a="1"/>
  <c r="L8" i="12" a="1"/>
  <c r="J17" i="12" a="1"/>
  <c r="N11" i="12" a="1"/>
  <c r="O151" i="13" a="1"/>
  <c r="P42" i="12" a="1"/>
  <c r="P35" i="12" a="1"/>
  <c r="F12" i="11"/>
  <c r="C14" i="11"/>
  <c r="J20" i="13" a="1"/>
  <c r="I38" i="12" a="1"/>
  <c r="N23" i="13" a="1"/>
  <c r="L134" i="13" a="1"/>
  <c r="Q112" i="12" a="1"/>
  <c r="K112" i="12" a="1"/>
  <c r="R33" i="12"/>
  <c r="M7" i="12" a="1"/>
  <c r="K145" i="12" a="1"/>
  <c r="K48" i="13" a="1"/>
  <c r="P11" i="12" a="1"/>
  <c r="N72" i="12" a="1"/>
  <c r="F51" i="11"/>
  <c r="S55" i="12" a="1"/>
  <c r="N66" i="13" a="1"/>
  <c r="L26" i="13" a="1"/>
  <c r="J69" i="12" a="1"/>
  <c r="O7" i="12" a="1"/>
  <c r="S33" i="12"/>
  <c r="P27" i="13" a="1"/>
  <c r="M151" i="13" a="1"/>
  <c r="Q33" i="13"/>
  <c r="J11" i="13" a="1"/>
  <c r="Q142" i="12" a="1"/>
  <c r="Q17" i="12" a="1"/>
  <c r="K38" i="13" a="1"/>
  <c r="C9" i="11"/>
  <c r="O140" i="13" a="1"/>
  <c r="K119" i="12" a="1"/>
  <c r="I66" i="12" a="1"/>
  <c r="P81" i="12" a="1"/>
  <c r="N143" i="12" a="1"/>
  <c r="J151" i="13" a="1"/>
  <c r="K7" i="12" a="1"/>
  <c r="S24" i="12" a="1"/>
  <c r="N93" i="13" a="1"/>
  <c r="J54" i="13" a="1"/>
  <c r="K29" i="12" a="1"/>
  <c r="P23" i="12" a="1"/>
  <c r="L148" i="12" a="1"/>
  <c r="P33" i="13"/>
  <c r="Q148" i="12" a="1"/>
  <c r="G42" i="11"/>
  <c r="Q70" i="13" a="1"/>
  <c r="M40" i="13" a="1"/>
  <c r="K90" i="13" a="1"/>
  <c r="L91" i="13" a="1"/>
  <c r="L60" i="13" a="1"/>
  <c r="Q76" i="13" a="1"/>
  <c r="C41" i="11"/>
  <c r="C48" i="11"/>
  <c r="M87" i="13" a="1"/>
  <c r="O17" i="12" a="1"/>
  <c r="P105" i="12" a="1"/>
  <c r="Q109" i="12" a="1"/>
  <c r="I17" i="13" a="1"/>
  <c r="I23" i="13" a="1"/>
  <c r="C57" i="11"/>
  <c r="P67" i="13" a="1"/>
  <c r="K45" i="13" a="1"/>
  <c r="L11" i="13" a="1"/>
  <c r="I78" i="13" a="1"/>
  <c r="S12" i="12" a="1"/>
  <c r="O20" i="12" a="1"/>
  <c r="I26" i="13" a="1"/>
  <c r="M17" i="12" a="1"/>
  <c r="K75" i="12" a="1"/>
  <c r="F10" i="11"/>
  <c r="F57" i="11"/>
  <c r="N78" i="12" a="1"/>
  <c r="N116" i="12" a="1"/>
  <c r="J107" i="13" a="1"/>
  <c r="Q45" i="12" a="1"/>
  <c r="G22" i="11"/>
  <c r="L145" i="12" a="1"/>
  <c r="M149" i="13" a="1"/>
  <c r="S64" i="12" a="1"/>
  <c r="Q48" i="12" a="1"/>
  <c r="K128" i="12" a="1"/>
  <c r="K148" i="13" a="1"/>
  <c r="S106" i="12" a="1"/>
  <c r="K116" i="13" a="1"/>
  <c r="R97" i="12" a="1"/>
  <c r="J132" i="12" a="1"/>
  <c r="K57" i="12" a="1"/>
  <c r="O20" i="13" a="1"/>
  <c r="R106" i="12" a="1"/>
  <c r="O129" i="12" a="1"/>
  <c r="M51" i="13" a="1"/>
  <c r="N116" i="13" a="1"/>
  <c r="N111" i="12" a="1"/>
  <c r="P76" i="13" a="1"/>
  <c r="L35" i="13" a="1"/>
  <c r="P142" i="12" a="1"/>
  <c r="F32" i="11"/>
  <c r="R103" i="12" a="1"/>
  <c r="K42" i="13" a="1"/>
  <c r="M84" i="13" a="1"/>
  <c r="N128" i="13" a="1"/>
  <c r="Q38" i="12" a="1"/>
  <c r="F14" i="11"/>
  <c r="P14" i="12" a="1"/>
  <c r="I132" i="12" a="1"/>
  <c r="N29" i="12" a="1"/>
  <c r="C22" i="11"/>
  <c r="M108" i="12" a="1"/>
  <c r="R64" i="12" a="1"/>
  <c r="M137" i="13" a="1"/>
  <c r="P145" i="12" a="1"/>
  <c r="G39" i="11"/>
  <c r="G56" i="11"/>
  <c r="L72" i="12" a="1"/>
  <c r="J145" i="12" a="1"/>
  <c r="C8" i="11"/>
  <c r="C21" i="11"/>
  <c r="L151" i="13" a="1"/>
  <c r="J40" i="13" a="1"/>
  <c r="C50" i="11"/>
  <c r="C12" i="11"/>
  <c r="N66" i="12" a="1"/>
  <c r="P29" i="12" a="1"/>
  <c r="J93" i="12" a="1"/>
  <c r="O99" i="12" a="1"/>
  <c r="O63" i="12" a="1"/>
  <c r="L26" i="12" a="1"/>
  <c r="K146" i="13" a="1"/>
  <c r="P145" i="13" a="1"/>
  <c r="K48" i="12" a="1"/>
  <c r="F52" i="11"/>
  <c r="M35" i="12" a="1"/>
  <c r="N75" i="13" a="1"/>
  <c r="I148" i="13" a="1"/>
  <c r="M57" i="12" a="1"/>
  <c r="J8" i="12" a="1"/>
  <c r="F33" i="11"/>
  <c r="M147" i="13" a="1"/>
  <c r="K125" i="12" a="1"/>
  <c r="L66" i="12" a="1"/>
  <c r="M40" i="12" a="1"/>
  <c r="S103" i="12" a="1"/>
  <c r="O146" i="13" a="1"/>
  <c r="G19" i="11"/>
  <c r="F28" i="11"/>
  <c r="N145" i="12" a="1"/>
  <c r="C15" i="11"/>
  <c r="Q129" i="12" a="1"/>
  <c r="O148" i="13" a="1"/>
  <c r="K113" i="13" a="1"/>
  <c r="N82" i="12" a="1"/>
  <c r="N17" i="13" a="1"/>
  <c r="J102" i="13" a="1"/>
  <c r="N137" i="13" a="1"/>
  <c r="J148" i="12" a="1"/>
  <c r="F11" i="11"/>
  <c r="I90" i="12" a="1"/>
  <c r="M42" i="13" a="1"/>
  <c r="P20" i="12" a="1"/>
  <c r="M69" i="12" a="1"/>
  <c r="G38" i="11"/>
  <c r="J131" i="13" a="1"/>
  <c r="M114" i="12" a="1"/>
  <c r="J93" i="13" a="1"/>
  <c r="M20" i="12" a="1"/>
  <c r="K108" i="12" a="1"/>
  <c r="K26" i="13" a="1"/>
  <c r="M66" i="12" a="1"/>
  <c r="N108" i="12" a="1"/>
  <c r="K57" i="13" a="1"/>
  <c r="Q51" i="12" a="1"/>
  <c r="G28" i="11"/>
  <c r="L87" i="13" a="1"/>
  <c r="P122" i="12" a="1"/>
  <c r="Q119" i="12" a="1"/>
  <c r="O90" i="12" a="1"/>
  <c r="K100" i="13" a="1"/>
  <c r="K140" i="13" a="1"/>
  <c r="K11" i="13" a="1"/>
  <c r="O147" i="12" a="1"/>
  <c r="P129" i="12" a="1"/>
  <c r="O82" i="12" a="1"/>
  <c r="J60" i="13" a="1"/>
  <c r="J134" i="13" a="1"/>
  <c r="J57" i="13" a="1"/>
  <c r="I104" i="13" a="1"/>
  <c r="L7" i="13" a="1"/>
  <c r="F36" i="11"/>
  <c r="S117" i="12" a="1"/>
  <c r="I116" i="13" a="1"/>
  <c r="O57" i="12" a="1"/>
  <c r="I96" i="13" a="1"/>
  <c r="L144" i="12" a="1"/>
  <c r="J81" i="12" a="1"/>
  <c r="O123" i="13" a="1"/>
  <c r="N45" i="12" a="1"/>
  <c r="G54" i="11"/>
  <c r="N69" i="12" a="1"/>
  <c r="N26" i="13" a="1"/>
  <c r="K148" i="12" a="1"/>
  <c r="G14" i="11"/>
  <c r="P116" i="12" a="1"/>
  <c r="G12" i="11"/>
  <c r="I125" i="13" a="1"/>
  <c r="J35" i="12" a="1"/>
  <c r="K134" i="13" a="1"/>
  <c r="K144" i="12" a="1"/>
  <c r="L57" i="12" a="1"/>
  <c r="M116" i="13" a="1"/>
  <c r="J72" i="12" a="1"/>
  <c r="O14" i="12" a="1"/>
  <c r="L90" i="12" a="1"/>
  <c r="Q23" i="12" a="1"/>
  <c r="I57" i="12" a="1"/>
  <c r="G49" i="11"/>
  <c r="O42" i="12" a="1"/>
  <c r="Q64" i="13" a="1"/>
  <c r="G10" i="11"/>
  <c r="P114" i="13" a="1"/>
  <c r="K66" i="12" a="1"/>
  <c r="I93" i="13" a="1"/>
  <c r="M51" i="12" a="1"/>
  <c r="N112" i="12" a="1"/>
  <c r="I110" i="13" a="1"/>
  <c r="P26" i="12" a="1"/>
  <c r="K14" i="13" a="1"/>
  <c r="P69" i="12" a="1"/>
  <c r="P147" i="12" a="1"/>
  <c r="C6" i="11"/>
  <c r="O23" i="13" a="1"/>
  <c r="K111" i="12" a="1"/>
  <c r="K35" i="13" a="1"/>
  <c r="L42" i="13" a="1"/>
  <c r="F59" i="11"/>
  <c r="K110" i="13" a="1"/>
  <c r="S21" i="12" a="1"/>
  <c r="J137" i="13" a="1"/>
  <c r="N119" i="12" a="1"/>
  <c r="S9" i="12" a="1"/>
  <c r="F60" i="11"/>
  <c r="N107" i="13" a="1"/>
  <c r="F22" i="11"/>
  <c r="P57" i="12" a="1"/>
  <c r="I121" i="13" a="1"/>
  <c r="K147" i="12" a="1"/>
  <c r="J82" i="12" a="1"/>
  <c r="O142" i="12" a="1"/>
  <c r="C7" i="11"/>
  <c r="L38" i="12" a="1"/>
  <c r="J35" i="13" a="1"/>
  <c r="G51" i="11"/>
  <c r="O17" i="13" a="1"/>
  <c r="O51" i="12" a="1"/>
  <c r="O102" i="12" a="1"/>
  <c r="I51" i="13" a="1"/>
  <c r="K60" i="13" a="1"/>
  <c r="L144" i="13" a="1"/>
  <c r="J111" i="12" a="1"/>
  <c r="K78" i="12" a="1"/>
  <c r="N110" i="13" a="1"/>
  <c r="S58" i="12" a="1"/>
  <c r="N57" i="12" a="1"/>
  <c r="S70" i="12" a="1"/>
  <c r="N45" i="13" a="1"/>
  <c r="L119" i="13" a="1"/>
  <c r="G44" i="11"/>
  <c r="C58" i="11"/>
  <c r="Q26" i="12" a="1"/>
  <c r="R21" i="12" a="1"/>
  <c r="C52" i="11"/>
  <c r="K51" i="13" a="1"/>
  <c r="P102" i="12" a="1"/>
  <c r="O137" i="13" a="1"/>
  <c r="P8" i="12" a="1"/>
  <c r="L45" i="13" a="1"/>
  <c r="L131" i="13" a="1"/>
  <c r="K45" i="12" a="1"/>
  <c r="N99" i="12" a="1"/>
  <c r="P17" i="12" a="1"/>
  <c r="M140" i="13" a="1"/>
  <c r="J20" i="12" a="1"/>
  <c r="F17" i="11"/>
  <c r="P146" i="12" a="1"/>
  <c r="M45" i="12" a="1"/>
  <c r="C51" i="11"/>
  <c r="J11" i="12" a="1"/>
  <c r="K154" i="13" a="1"/>
  <c r="Q102" i="12" a="1"/>
  <c r="R27" i="12" a="1"/>
  <c r="C36" i="11"/>
  <c r="K84" i="12" a="1"/>
  <c r="Q29" i="12" a="1"/>
  <c r="O69" i="13" a="1"/>
  <c r="F6" i="11"/>
  <c r="J105" i="12" a="1"/>
  <c r="G11" i="11"/>
  <c r="R94" i="12" a="1"/>
  <c r="R100" i="12" a="1"/>
  <c r="L105" i="12" a="1"/>
  <c r="I82" i="12" a="1"/>
  <c r="N154" i="13" a="1"/>
  <c r="P85" i="13" a="1"/>
  <c r="N42" i="13" a="1"/>
  <c r="M81" i="12" a="1"/>
  <c r="J23" i="12" a="1"/>
  <c r="L35" i="12" a="1"/>
  <c r="I38" i="13" a="1"/>
  <c r="O134" i="13" a="1"/>
  <c r="O109" i="12" a="1"/>
  <c r="Q105" i="12" a="1"/>
  <c r="N123" i="13" a="1"/>
  <c r="P51" i="13" a="1"/>
  <c r="C19" i="11"/>
  <c r="K143" i="12" a="1"/>
  <c r="Q78" i="12" a="1"/>
  <c r="O102" i="13" a="1"/>
  <c r="L123" i="13" a="1"/>
  <c r="G7" i="11"/>
  <c r="J108" i="12" a="1"/>
  <c r="P119" i="12" a="1"/>
  <c r="R117" i="12" a="1"/>
  <c r="I134" i="13" a="1"/>
  <c r="J86" i="12" a="1"/>
  <c r="L17" i="12" a="1"/>
  <c r="I84" i="12" a="1"/>
  <c r="M75" i="12" a="1"/>
  <c r="I45" i="12" a="1"/>
  <c r="P7" i="12" a="1"/>
  <c r="L107" i="13" a="1"/>
  <c r="P93" i="12" a="1"/>
  <c r="L11" i="12" a="1"/>
  <c r="O93" i="12" a="1"/>
  <c r="I146" i="13" a="1"/>
  <c r="M110" i="13" a="1"/>
  <c r="C16" i="11"/>
  <c r="K54" i="13" a="1"/>
  <c r="Q40" i="12" a="1"/>
  <c r="O131" i="13" a="1"/>
  <c r="N7" i="12" a="1"/>
  <c r="Q82" i="12" a="1"/>
  <c r="N132" i="12" a="1"/>
  <c r="L110" i="13" a="1"/>
  <c r="S123" i="12" a="1"/>
  <c r="Q15" i="13" a="1"/>
  <c r="N75" i="12" a="1"/>
  <c r="M129" i="12" a="1"/>
  <c r="G35" i="11"/>
  <c r="L90" i="13" a="1"/>
  <c r="L81" i="13" a="1"/>
  <c r="F18" i="11"/>
  <c r="O91" i="13" a="1"/>
  <c r="O119" i="12" a="1"/>
  <c r="I72" i="12" a="1"/>
  <c r="N60" i="13" a="1"/>
  <c r="J119" i="13" a="1"/>
  <c r="N91" i="13" a="1"/>
  <c r="N38" i="12" a="1"/>
  <c r="J17" i="13" a="1"/>
  <c r="G59" i="11"/>
  <c r="N146" i="12" a="1"/>
  <c r="L132" i="12" a="1"/>
  <c r="R30" i="12" a="1"/>
  <c r="C39" i="11"/>
  <c r="P96" i="12" a="1"/>
  <c r="J7" i="12" a="1"/>
  <c r="I128" i="12" a="1"/>
  <c r="I149" i="13" a="1"/>
  <c r="P111" i="13" a="1"/>
  <c r="F19" i="11"/>
  <c r="P128" i="12" a="1"/>
  <c r="M20" i="13" a="1"/>
  <c r="Q73" i="13" a="1"/>
  <c r="Q132" i="12" a="1"/>
  <c r="I144" i="12" a="1"/>
  <c r="O60" i="13" a="1"/>
  <c r="Q126" i="12" a="1"/>
  <c r="K96" i="12" a="1"/>
  <c r="J54" i="12" a="1"/>
  <c r="O144" i="12" a="1"/>
  <c r="J148" i="13" a="1"/>
  <c r="O149" i="13" a="1"/>
  <c r="Q143" i="12" a="1"/>
  <c r="R133" i="12" a="1"/>
  <c r="O54" i="12" a="1"/>
  <c r="N8" i="12" a="1"/>
  <c r="K35" i="12" a="1"/>
  <c r="K109" i="12" a="1"/>
  <c r="J149" i="13" a="1"/>
  <c r="I54" i="13" a="1"/>
  <c r="G32" i="11"/>
  <c r="K102" i="12" a="1"/>
  <c r="Q39" i="13" a="1"/>
  <c r="J102" i="12" a="1"/>
  <c r="Q20" i="12" a="1"/>
  <c r="N153" i="13" a="1"/>
  <c r="M93" i="12" a="1"/>
  <c r="P61" i="13" a="1"/>
  <c r="P45" i="12" a="1"/>
  <c r="G57" i="11"/>
  <c r="L29" i="12" a="1"/>
  <c r="N14" i="12" a="1"/>
  <c r="M23" i="13" a="1"/>
  <c r="I57" i="13" a="1"/>
  <c r="F47" i="11"/>
  <c r="P148" i="12" a="1"/>
  <c r="I26" i="12" a="1"/>
  <c r="I100" i="13" a="1"/>
  <c r="P108" i="13" a="1"/>
  <c r="L78" i="13" a="1"/>
  <c r="N96" i="12" a="1"/>
  <c r="Q61" i="13" a="1"/>
  <c r="Q8" i="12" a="1"/>
  <c r="J75" i="13" a="1"/>
  <c r="N102" i="13" a="1"/>
  <c r="N48" i="12" a="1"/>
  <c r="J140" i="13" a="1"/>
  <c r="J29" i="13" a="1"/>
  <c r="Q82" i="13" a="1"/>
  <c r="O148" i="12" a="1"/>
  <c r="P109" i="12" a="1"/>
  <c r="I63" i="12" a="1"/>
  <c r="S18" i="12" a="1"/>
  <c r="P79" i="13" a="1"/>
  <c r="Q55" i="13" a="1"/>
  <c r="P98" i="13" a="1"/>
  <c r="Q67" i="13" a="1"/>
  <c r="F48" i="11"/>
  <c r="N104" i="13" a="1"/>
  <c r="M109" i="12" a="1"/>
  <c r="M146" i="12" a="1"/>
  <c r="P86" i="12" a="1"/>
  <c r="N93" i="12" a="1"/>
  <c r="P75" i="12" a="1"/>
  <c r="F49" i="11"/>
  <c r="I8" i="12" a="1"/>
  <c r="I126" i="12" a="1"/>
  <c r="K54" i="12" a="1"/>
  <c r="I112" i="12" a="1"/>
  <c r="J60" i="12" a="1"/>
  <c r="O51" i="13" a="1"/>
  <c r="C13" i="11"/>
  <c r="K102" i="13" a="1"/>
  <c r="M128" i="12" a="1"/>
  <c r="N60" i="12" a="1"/>
  <c r="L75" i="13" a="1"/>
  <c r="K20" i="12" a="1"/>
  <c r="N84" i="12" a="1"/>
  <c r="R43" i="12" a="1"/>
  <c r="O75" i="13" a="1"/>
  <c r="O111" i="12" a="1"/>
  <c r="J109" i="12" a="1"/>
  <c r="N142" i="12" a="1"/>
  <c r="J146" i="12" a="1"/>
  <c r="C34" i="11"/>
  <c r="I128" i="13" a="1"/>
  <c r="Q14" i="12" a="1"/>
  <c r="K40" i="12" a="1"/>
  <c r="K149" i="13" a="1"/>
  <c r="O23" i="12" a="1"/>
  <c r="G20" i="11"/>
  <c r="F43" i="11"/>
  <c r="R12" i="12" a="1"/>
  <c r="L100" i="13" a="1"/>
  <c r="S73" i="12" a="1"/>
  <c r="R61" i="12" a="1"/>
  <c r="P99" i="12" a="1"/>
  <c r="J63" i="12" a="1"/>
  <c r="L20" i="12" a="1"/>
  <c r="K51" i="12" a="1"/>
  <c r="P66" i="12" a="1"/>
  <c r="L137" i="13" a="1"/>
  <c r="N20" i="12" a="1"/>
  <c r="L40" i="13" a="1"/>
  <c r="O121" i="13" a="1"/>
  <c r="G45" i="11"/>
  <c r="I60" i="12" a="1"/>
  <c r="R49" i="12" a="1"/>
  <c r="C46" i="11"/>
  <c r="T52" i="12" a="1"/>
  <c r="J48" i="12" a="1"/>
  <c r="R110" i="12" a="1"/>
  <c r="J154" i="13" a="1"/>
  <c r="M100" i="13" a="1"/>
  <c r="O40" i="13" a="1"/>
  <c r="N51" i="13" a="1"/>
  <c r="O110" i="13" a="1"/>
  <c r="Q125" i="12" a="1"/>
  <c r="O114" i="12" a="1"/>
  <c r="G9" i="11"/>
  <c r="F16" i="11"/>
  <c r="J42" i="12" a="1"/>
  <c r="S120" i="12" a="1"/>
  <c r="I51" i="12" a="1"/>
  <c r="I129" i="12" a="1"/>
  <c r="C38" i="11"/>
  <c r="Q98" i="13" a="1"/>
  <c r="M66" i="13" a="1"/>
  <c r="P63" i="12" a="1"/>
  <c r="O29" i="12" a="1"/>
  <c r="O84" i="12" a="1"/>
  <c r="J96" i="13" a="1"/>
  <c r="P72" i="12" a="1"/>
  <c r="L57" i="13" a="1"/>
  <c r="G53" i="11"/>
  <c r="N122" i="12" a="1"/>
  <c r="R79" i="12" a="1"/>
  <c r="J123" i="13" a="1"/>
  <c r="M90" i="12" a="1"/>
  <c r="J99" i="12" a="1"/>
  <c r="O75" i="12" a="1"/>
  <c r="G55" i="11"/>
  <c r="O57" i="13" a="1"/>
  <c r="M96" i="13" a="1"/>
  <c r="I87" i="13" a="1"/>
  <c r="P138" i="13" a="1"/>
  <c r="Q54" i="12" a="1"/>
  <c r="I146" i="12" a="1"/>
  <c r="N147" i="13" a="1"/>
  <c r="M11" i="12" a="1"/>
  <c r="M148" i="12" a="1"/>
  <c r="I119" i="12" a="1"/>
  <c r="N86" i="12" a="1"/>
  <c r="I91" i="13" a="1"/>
  <c r="F21" i="11"/>
  <c r="L143" i="12" a="1"/>
  <c r="K96" i="13" a="1"/>
  <c r="J69" i="13" a="1"/>
  <c r="J100" i="13" a="1"/>
  <c r="C55" i="11"/>
  <c r="L113" i="13" a="1"/>
  <c r="O126" i="12" a="1"/>
  <c r="O143" i="12" a="1"/>
  <c r="F26" i="11"/>
  <c r="M111" i="12" a="1"/>
  <c r="K23" i="13" a="1"/>
  <c r="N54" i="12" a="1"/>
  <c r="M153" i="13" a="1"/>
  <c r="N81" i="13" a="1"/>
  <c r="K104" i="13" a="1"/>
  <c r="J122" i="12" a="1"/>
  <c r="K17" i="13" a="1"/>
  <c r="F45" i="11"/>
  <c r="J142" i="12" a="1"/>
  <c r="O66" i="13" a="1"/>
  <c r="N144" i="13" a="1"/>
  <c r="R58" i="12" a="1"/>
  <c r="K91" i="13" a="1"/>
  <c r="L20" i="13" a="1"/>
  <c r="I75" i="13" a="1"/>
  <c r="K93" i="13" a="1"/>
  <c r="I116" i="12" a="1"/>
  <c r="P21" i="13" a="1"/>
  <c r="G41" i="11"/>
  <c r="I114" i="12" a="1"/>
  <c r="O144" i="13" a="1"/>
  <c r="I54" i="12" a="1"/>
  <c r="N8" i="13" a="1"/>
  <c r="K146" i="12" a="1"/>
  <c r="N29" i="13" a="1"/>
  <c r="K14" i="12" a="1"/>
  <c r="J75" i="12" a="1"/>
  <c r="G13" i="11"/>
  <c r="G60" i="11"/>
  <c r="O81" i="13" a="1"/>
  <c r="G15" i="11"/>
  <c r="M75" i="13" a="1"/>
  <c r="J40" i="12" a="1"/>
  <c r="G46" i="11"/>
  <c r="M132" i="12" a="1"/>
  <c r="G26" i="11"/>
  <c r="L82" i="12" a="1"/>
  <c r="L116" i="13" a="1"/>
  <c r="L146" i="13" a="1"/>
  <c r="J110" i="13" a="1"/>
  <c r="O38" i="13" a="1"/>
  <c r="P18" i="13" a="1"/>
  <c r="L23" i="13" a="1"/>
  <c r="M113" i="13" a="1"/>
  <c r="I96" i="12" a="1"/>
  <c r="I148" i="12" a="1"/>
  <c r="P40" i="12" a="1"/>
  <c r="F53" i="11"/>
  <c r="K66" i="13" a="1"/>
  <c r="L63" i="12" a="1"/>
  <c r="L112" i="12" a="1"/>
  <c r="N38" i="13" a="1"/>
  <c r="O42" i="13" a="1"/>
  <c r="C54" i="11"/>
  <c r="I45" i="13" a="1"/>
  <c r="K107" i="13" a="1"/>
  <c r="J78" i="12" a="1"/>
  <c r="J14" i="12" a="1"/>
  <c r="I69" i="13" a="1"/>
  <c r="L78" i="12" a="1"/>
  <c r="M128" i="13" a="1"/>
  <c r="K81" i="12" a="1"/>
  <c r="F15" i="11"/>
  <c r="F37" i="11"/>
  <c r="I69" i="12" a="1"/>
  <c r="K121" i="13" a="1"/>
  <c r="C60" i="11"/>
  <c r="J119" i="12" a="1"/>
  <c r="S27" i="12" a="1"/>
  <c r="P129" i="13" a="1"/>
  <c r="O11" i="13" a="1"/>
  <c r="J147" i="13" a="1"/>
  <c r="N35" i="12" a="1"/>
  <c r="N90" i="13" a="1"/>
  <c r="M146" i="13" a="1"/>
  <c r="N100" i="13" a="1"/>
  <c r="I42" i="13" a="1"/>
  <c r="O125" i="12" a="1"/>
  <c r="N26" i="12" a="1"/>
  <c r="K42" i="12" a="1"/>
  <c r="J104" i="13" a="1"/>
  <c r="K144" i="13" a="1"/>
  <c r="L154" i="13" a="1"/>
  <c r="K142" i="12" a="1"/>
  <c r="P82" i="12" a="1"/>
  <c r="P30" i="13" a="1"/>
  <c r="M107" i="13" a="1"/>
  <c r="I11" i="13" a="1"/>
  <c r="O96" i="12" a="1"/>
  <c r="I113" i="13" a="1"/>
  <c r="M14" i="12" a="1"/>
  <c r="G50" i="11"/>
  <c r="Q42" i="12" a="1"/>
  <c r="M142" i="12" a="1"/>
  <c r="M143" i="12" a="1"/>
  <c r="P38" i="12" a="1"/>
  <c r="J38" i="12" a="1"/>
  <c r="C47" i="11"/>
  <c r="G58" i="11"/>
  <c r="R67" i="12" a="1"/>
  <c r="L75" i="12" a="1"/>
  <c r="M23" i="12" a="1"/>
  <c r="L126" i="12" a="1"/>
  <c r="K75" i="13" a="1"/>
  <c r="I81" i="12" a="1"/>
  <c r="P117" i="13" a="1"/>
  <c r="O45" i="13" a="1"/>
  <c r="L147" i="13" a="1"/>
  <c r="K119" i="13" a="1"/>
  <c r="G33" i="11"/>
  <c r="L42" i="12" a="1"/>
  <c r="N109" i="12" a="1"/>
  <c r="M148" i="13" a="1"/>
  <c r="N51" i="12" a="1"/>
  <c r="I23" i="12" a="1"/>
  <c r="K8" i="13" a="1"/>
  <c r="N125" i="12" a="1"/>
  <c r="G40" i="11"/>
  <c r="I102" i="12" a="1"/>
  <c r="L114" i="12" a="1"/>
  <c r="Q60" i="12" a="1"/>
  <c r="M147" i="12" a="1"/>
  <c r="F35" i="11"/>
  <c r="K105" i="12" a="1"/>
  <c r="K60" i="12" a="1"/>
  <c r="G17" i="11"/>
  <c r="Q116" i="12" a="1"/>
  <c r="S43" i="12" a="1"/>
  <c r="M99" i="12" a="1"/>
  <c r="M104" i="13" a="1"/>
  <c r="S15" i="12" a="1"/>
  <c r="O81" i="12" a="1"/>
  <c r="L45" i="12" a="1"/>
  <c r="M93" i="13" a="1"/>
  <c r="P58" i="13" a="1"/>
  <c r="L104" i="13" a="1"/>
  <c r="J113" i="13" a="1"/>
  <c r="M102" i="12" a="1"/>
  <c r="P51" i="12" a="1"/>
  <c r="N126" i="12" a="1"/>
  <c r="S67" i="12" a="1"/>
  <c r="I8" i="13" a="1"/>
  <c r="G48" i="11"/>
  <c r="P15" i="13" a="1"/>
  <c r="M126" i="12" a="1"/>
  <c r="F8" i="11"/>
  <c r="P24" i="13" a="1"/>
  <c r="N102" i="12" a="1"/>
  <c r="N134" i="13" a="1"/>
  <c r="M26" i="13" a="1"/>
  <c r="G47" i="11"/>
  <c r="S79" i="12" a="1"/>
  <c r="O132" i="12" a="1"/>
  <c r="Q35" i="12" a="1"/>
  <c r="M8" i="13" a="1"/>
  <c r="P132" i="13" a="1"/>
  <c r="N17" i="12" a="1"/>
  <c r="L149" i="13" a="1"/>
  <c r="L109" i="12" a="1"/>
  <c r="J51" i="12" a="1"/>
  <c r="J128" i="13" a="1"/>
  <c r="P9" i="13" a="1"/>
  <c r="J125" i="12" a="1"/>
  <c r="I60" i="13" a="1"/>
  <c r="O154" i="13" a="1"/>
  <c r="N147" i="12" a="1"/>
  <c r="N129" i="12" a="1"/>
  <c r="L66" i="13" a="1"/>
  <c r="G36" i="11"/>
  <c r="O54" i="13" a="1"/>
  <c r="M125" i="13" a="1"/>
  <c r="O48" i="13" a="1"/>
  <c r="M122" i="12" a="1"/>
  <c r="P54" i="12" a="1"/>
  <c r="P84" i="12" a="1"/>
  <c r="F20" i="11"/>
  <c r="P63" i="13" a="1"/>
  <c r="Q18" i="13" a="1"/>
  <c r="I40" i="12" a="1"/>
  <c r="F44" i="11"/>
  <c r="F13" i="11"/>
  <c r="J29" i="12" a="1"/>
  <c r="P126" i="13" a="1"/>
  <c r="N84" i="13" a="1"/>
  <c r="K7" i="13" a="1"/>
  <c r="K20" i="13" a="1"/>
  <c r="O112" i="12" a="1"/>
  <c r="O66" i="12" a="1"/>
  <c r="I144" i="13" a="1"/>
  <c r="S49" i="12" a="1"/>
  <c r="L129" i="12" a="1"/>
  <c r="P46" i="13" a="1"/>
  <c r="O26" i="12" a="1"/>
  <c r="P125" i="12" a="1"/>
  <c r="R76" i="12" a="1"/>
  <c r="K40" i="13" a="1"/>
  <c r="Q7" i="12" a="1"/>
  <c r="Q72" i="12" a="1"/>
  <c r="K129" i="12" a="1"/>
  <c r="N57" i="13" a="1"/>
  <c r="O128" i="13" a="1"/>
  <c r="Q46" i="13" a="1"/>
  <c r="L86" i="12" a="1"/>
  <c r="N131" i="13" a="1"/>
  <c r="N125" i="13" a="1"/>
  <c r="O84" i="13" a="1"/>
  <c r="I145" i="12" a="1"/>
  <c r="L51" i="13" a="1"/>
  <c r="F9" i="11"/>
  <c r="M125" i="12" a="1"/>
  <c r="G16" i="11"/>
  <c r="J84" i="12" a="1"/>
  <c r="P90" i="12" a="1"/>
  <c r="K122" i="12" a="1"/>
  <c r="N148" i="13" a="1"/>
  <c r="Q86" i="12" a="1"/>
  <c r="F34" i="11"/>
  <c r="K137" i="13" a="1"/>
  <c r="L8" i="13" a="1"/>
  <c r="J26" i="12" a="1"/>
  <c r="J87" i="13" a="1"/>
  <c r="P78" i="12" a="1"/>
  <c r="J48" i="13" a="1"/>
  <c r="M48" i="13" a="1"/>
  <c r="J81" i="13" a="1"/>
  <c r="K126" i="12" a="1"/>
  <c r="K131" i="13" a="1"/>
  <c r="Q147" i="12" a="1"/>
  <c r="K84" i="13" a="1"/>
  <c r="C45" i="11"/>
  <c r="L84" i="12" a="1"/>
  <c r="P144" i="12" a="1"/>
  <c r="M119" i="12" a="1"/>
  <c r="M7" i="13" a="1"/>
  <c r="I151" i="13" a="1"/>
  <c r="M57" i="13" a="1"/>
  <c r="K78" i="13" a="1"/>
  <c r="G6" i="11"/>
  <c r="Q84" i="12" a="1"/>
  <c r="O153" i="13" a="1"/>
  <c r="N20" i="13" a="1"/>
  <c r="I14" i="12" a="1"/>
  <c r="O108" i="12" a="1"/>
  <c r="N23" i="12" a="1"/>
  <c r="S52" i="12" a="1"/>
  <c r="Q58" i="13" a="1"/>
  <c r="O105" i="12" a="1"/>
  <c r="O26" i="13" a="1"/>
  <c r="C32" i="11"/>
  <c r="O147" i="13" a="1"/>
  <c r="Q99" i="12" a="1"/>
  <c r="C40" i="11"/>
  <c r="Q69" i="12" a="1"/>
  <c r="I105" i="12" a="1"/>
  <c r="J121" i="13" a="1"/>
  <c r="M60" i="12" a="1"/>
  <c r="F42" i="11"/>
  <c r="N87" i="13" a="1"/>
  <c r="P143" i="12" a="1"/>
  <c r="M96" i="12" a="1"/>
  <c r="P126" i="12" a="1"/>
  <c r="I123" i="13" a="1"/>
  <c r="P111" i="12" a="1"/>
  <c r="C10" i="11"/>
  <c r="K90" i="12" a="1"/>
  <c r="G27" i="11"/>
  <c r="I29" i="12" a="1"/>
  <c r="M131" i="13" a="1"/>
  <c r="O29" i="13" a="1"/>
  <c r="J90" i="13" a="1"/>
  <c r="M60" i="13" a="1"/>
  <c r="J66" i="12" a="1"/>
  <c r="O87" i="13" a="1"/>
  <c r="N148" i="12" a="1"/>
  <c r="C33" i="11"/>
  <c r="J112" i="12" a="1"/>
  <c r="N48" i="13" a="1"/>
  <c r="N42" i="12" a="1"/>
  <c r="J45" i="12" a="1"/>
  <c r="Q96" i="12" a="1"/>
  <c r="Q63" i="12" a="1"/>
  <c r="I14" i="13" a="1"/>
  <c r="J90" i="12" a="1"/>
  <c r="K38" i="12" a="1"/>
  <c r="K26" i="12" a="1"/>
  <c r="C43" i="11"/>
  <c r="M91" i="13" a="1"/>
  <c r="M154" i="13" a="1"/>
  <c r="M90" i="13" a="1"/>
  <c r="P112" i="12" a="1"/>
  <c r="M112" i="12" a="1"/>
  <c r="P60" i="12" a="1"/>
  <c r="O125" i="13" a="1"/>
  <c r="N119" i="13" a="1"/>
  <c r="J26" i="13" a="1"/>
  <c r="M145" i="12" a="1"/>
  <c r="N81" i="12" a="1"/>
  <c r="I147" i="12" a="1"/>
  <c r="I122" i="12" a="1"/>
  <c r="N35" i="13" a="1"/>
  <c r="R9" i="12" a="1"/>
  <c r="I40" i="13" a="1"/>
  <c r="K123" i="13" a="1"/>
  <c r="L93" i="12" a="1"/>
  <c r="N121" i="13" a="1"/>
  <c r="O60" i="12" a="1"/>
  <c r="N128" i="12" a="1"/>
  <c r="M72" i="12" a="1"/>
  <c r="M8" i="12" a="1"/>
  <c r="J14" i="13" a="1"/>
  <c r="J42" i="13" a="1"/>
  <c r="C59" i="11"/>
  <c r="P120" i="13" a="1"/>
  <c r="L14" i="13" a="1"/>
  <c r="C42" i="11"/>
  <c r="I109" i="12" a="1"/>
  <c r="K81" i="13" a="1"/>
  <c r="G43" i="11"/>
  <c r="L54" i="13" a="1"/>
  <c r="K116" i="12" a="1"/>
  <c r="K69" i="12" a="1"/>
  <c r="M48" i="12" a="1"/>
  <c r="I153" i="13" a="1"/>
  <c r="G34" i="11"/>
  <c r="L99" i="12" a="1"/>
  <c r="G21" i="11"/>
  <c r="O93" i="13" a="1"/>
  <c r="N144" i="12" a="1"/>
  <c r="K151" i="13" a="1"/>
  <c r="L38" i="13" a="1"/>
  <c r="N151" i="13" a="1"/>
  <c r="P36" i="13" a="1"/>
  <c r="I20" i="12" a="1"/>
  <c r="S61" i="12" a="1"/>
  <c r="Q66" i="12" a="1"/>
  <c r="M45" i="13" a="1"/>
  <c r="O45" i="12" a="1"/>
  <c r="R123" i="12" a="1"/>
  <c r="I86" i="12" a="1"/>
  <c r="J146" i="13" a="1"/>
  <c r="M26" i="12" a="1"/>
  <c r="L121" i="13" a="1"/>
  <c r="I131" i="13" a="1"/>
  <c r="I11" i="12" a="1"/>
  <c r="L69" i="13" a="1"/>
  <c r="N69" i="13" a="1"/>
  <c r="J128" i="12" a="1"/>
  <c r="M38" i="13" a="1"/>
  <c r="O8" i="12" a="1"/>
  <c r="J8" i="13" a="1"/>
  <c r="L148" i="13" a="1"/>
  <c r="K11" i="12" a="1"/>
  <c r="I142" i="12" a="1"/>
  <c r="J38" i="13" a="1"/>
  <c r="J129" i="12" a="1"/>
  <c r="J91" i="13" a="1"/>
  <c r="M35" i="13" a="1"/>
  <c r="M78" i="13" a="1"/>
  <c r="I147" i="13" a="1"/>
  <c r="I7" i="12" a="1"/>
  <c r="I17" i="12" a="1"/>
  <c r="J23" i="13" a="1"/>
  <c r="R39" i="12" a="1"/>
  <c r="O145" i="12" a="1"/>
  <c r="M69" i="13" a="1"/>
  <c r="Q111" i="12" a="1"/>
  <c r="I84" i="13" a="1"/>
  <c r="N54" i="13" a="1"/>
  <c r="F54" i="11"/>
  <c r="N11" i="13" a="1"/>
  <c r="L96" i="12" a="1"/>
  <c r="I111" i="12" a="1"/>
  <c r="Q57" i="12" a="1"/>
  <c r="I154" i="13" a="1"/>
  <c r="C53" i="11"/>
  <c r="Q114" i="12" a="1"/>
  <c r="M114" i="12" l="1"/>
  <c r="I17" i="13"/>
  <c r="S100" i="12"/>
  <c r="L116" i="12"/>
  <c r="Q114" i="12"/>
  <c r="U114" i="12" s="1"/>
  <c r="Q96" i="12"/>
  <c r="L109" i="12"/>
  <c r="K66" i="13"/>
  <c r="K96" i="12"/>
  <c r="J131" i="13"/>
  <c r="Q109" i="12"/>
  <c r="L48" i="13"/>
  <c r="M11" i="13"/>
  <c r="K81" i="12"/>
  <c r="P8" i="12"/>
  <c r="N148" i="12"/>
  <c r="L149" i="13"/>
  <c r="P102" i="12"/>
  <c r="I144" i="12"/>
  <c r="P105" i="12"/>
  <c r="R15" i="12"/>
  <c r="R55" i="12"/>
  <c r="J23" i="13"/>
  <c r="O87" i="13"/>
  <c r="N17" i="12"/>
  <c r="P40" i="12"/>
  <c r="J48" i="12"/>
  <c r="R21" i="12"/>
  <c r="L119" i="13"/>
  <c r="M69" i="12"/>
  <c r="O17" i="12"/>
  <c r="M38" i="12"/>
  <c r="O146" i="12"/>
  <c r="P112" i="12"/>
  <c r="O144" i="12"/>
  <c r="J66" i="12"/>
  <c r="P132" i="13"/>
  <c r="I148" i="12"/>
  <c r="Q126" i="12"/>
  <c r="Q132" i="12"/>
  <c r="N45" i="13"/>
  <c r="P20" i="12"/>
  <c r="M87" i="13"/>
  <c r="M121" i="13"/>
  <c r="O154" i="13"/>
  <c r="M60" i="13"/>
  <c r="M8" i="13"/>
  <c r="I96" i="12"/>
  <c r="K51" i="13"/>
  <c r="Q26" i="12"/>
  <c r="S70" i="12"/>
  <c r="M42" i="13"/>
  <c r="L51" i="12"/>
  <c r="R88" i="12"/>
  <c r="I40" i="12"/>
  <c r="R110" i="12"/>
  <c r="J90" i="13"/>
  <c r="Q35" i="12"/>
  <c r="M113" i="13"/>
  <c r="T52" i="12"/>
  <c r="Q73" i="13"/>
  <c r="U73" i="13" s="1" a="1"/>
  <c r="U73" i="13" s="1"/>
  <c r="N57" i="12"/>
  <c r="I90" i="12"/>
  <c r="R91" i="12"/>
  <c r="L111" i="12"/>
  <c r="L87" i="13"/>
  <c r="I45" i="13"/>
  <c r="O29" i="13"/>
  <c r="O132" i="12"/>
  <c r="L23" i="13"/>
  <c r="O60" i="13"/>
  <c r="M20" i="13"/>
  <c r="S58" i="12"/>
  <c r="Q76" i="13"/>
  <c r="U76" i="13" s="1" a="1"/>
  <c r="U76" i="13" s="1"/>
  <c r="L125" i="13"/>
  <c r="R18" i="12"/>
  <c r="I17" i="12"/>
  <c r="M131" i="13"/>
  <c r="S79" i="12"/>
  <c r="P18" i="13"/>
  <c r="N110" i="13"/>
  <c r="J148" i="12"/>
  <c r="L60" i="13"/>
  <c r="I35" i="13"/>
  <c r="P82" i="13"/>
  <c r="J45" i="12"/>
  <c r="I29" i="12"/>
  <c r="O38" i="13"/>
  <c r="P128" i="12"/>
  <c r="K78" i="12"/>
  <c r="N137" i="13"/>
  <c r="L91" i="13"/>
  <c r="O69" i="12"/>
  <c r="I26" i="13"/>
  <c r="O137" i="13"/>
  <c r="M26" i="13"/>
  <c r="J110" i="13"/>
  <c r="R49" i="12"/>
  <c r="J111" i="12"/>
  <c r="J102" i="13"/>
  <c r="K90" i="13"/>
  <c r="K17" i="12"/>
  <c r="L140" i="13"/>
  <c r="M45" i="12"/>
  <c r="J54" i="12"/>
  <c r="K90" i="12"/>
  <c r="N134" i="13"/>
  <c r="N135" i="13" s="1"/>
  <c r="L146" i="13"/>
  <c r="I60" i="12"/>
  <c r="P111" i="13"/>
  <c r="L144" i="13"/>
  <c r="N17" i="13"/>
  <c r="M40" i="13"/>
  <c r="I143" i="12"/>
  <c r="M90" i="13"/>
  <c r="I60" i="13"/>
  <c r="N102" i="12"/>
  <c r="L116" i="13"/>
  <c r="I149" i="13"/>
  <c r="K60" i="13"/>
  <c r="N82" i="12"/>
  <c r="Q70" i="13"/>
  <c r="U70" i="13" s="1" a="1"/>
  <c r="U70" i="13" s="1"/>
  <c r="J144" i="13"/>
  <c r="L119" i="12"/>
  <c r="I54" i="13"/>
  <c r="P111" i="12"/>
  <c r="P24" i="13"/>
  <c r="L82" i="12"/>
  <c r="O121" i="13"/>
  <c r="I128" i="12"/>
  <c r="I51" i="13"/>
  <c r="K113" i="13"/>
  <c r="L23" i="12"/>
  <c r="M54" i="13"/>
  <c r="Q18" i="13"/>
  <c r="U18" i="13" s="1" a="1"/>
  <c r="U18" i="13" s="1"/>
  <c r="I7" i="12"/>
  <c r="I123" i="13"/>
  <c r="L40" i="13"/>
  <c r="J7" i="12"/>
  <c r="O102" i="12"/>
  <c r="O148" i="13"/>
  <c r="Q148" i="12"/>
  <c r="U148" i="12" s="1"/>
  <c r="M134" i="13"/>
  <c r="M135" i="13" s="1"/>
  <c r="R70" i="12"/>
  <c r="I154" i="13"/>
  <c r="J125" i="12"/>
  <c r="P126" i="12"/>
  <c r="M126" i="12"/>
  <c r="M132" i="12"/>
  <c r="N20" i="12"/>
  <c r="P96" i="12"/>
  <c r="O51" i="12"/>
  <c r="Q129" i="12"/>
  <c r="N146" i="13"/>
  <c r="P49" i="13"/>
  <c r="M116" i="12"/>
  <c r="N42" i="12"/>
  <c r="M96" i="12"/>
  <c r="P15" i="13"/>
  <c r="L137" i="13"/>
  <c r="O17" i="13"/>
  <c r="L148" i="12"/>
  <c r="O35" i="12"/>
  <c r="P55" i="13"/>
  <c r="M128" i="13"/>
  <c r="O42" i="13"/>
  <c r="P143" i="12"/>
  <c r="J40" i="12"/>
  <c r="P66" i="12"/>
  <c r="R30" i="12"/>
  <c r="N145" i="12"/>
  <c r="P23" i="12"/>
  <c r="N78" i="13"/>
  <c r="M54" i="12"/>
  <c r="I147" i="13"/>
  <c r="N87" i="13"/>
  <c r="I8" i="13"/>
  <c r="M75" i="13"/>
  <c r="K51" i="12"/>
  <c r="L132" i="12"/>
  <c r="J35" i="13"/>
  <c r="K29" i="12"/>
  <c r="I99" i="12"/>
  <c r="I137" i="13"/>
  <c r="P9" i="13"/>
  <c r="S67" i="12"/>
  <c r="L20" i="12"/>
  <c r="L38" i="12"/>
  <c r="J54" i="13"/>
  <c r="L102" i="12"/>
  <c r="I20" i="13"/>
  <c r="Q125" i="12"/>
  <c r="N38" i="13"/>
  <c r="M60" i="12"/>
  <c r="N126" i="12"/>
  <c r="O81" i="13"/>
  <c r="J63" i="12"/>
  <c r="N146" i="12"/>
  <c r="O146" i="13"/>
  <c r="N93" i="13"/>
  <c r="K69" i="13"/>
  <c r="N14" i="13"/>
  <c r="P146" i="12"/>
  <c r="M78" i="13"/>
  <c r="J121" i="13"/>
  <c r="P51" i="12"/>
  <c r="P99" i="12"/>
  <c r="O142" i="12"/>
  <c r="S103" i="12"/>
  <c r="S24" i="12"/>
  <c r="O90" i="13"/>
  <c r="I102" i="13"/>
  <c r="O20" i="12"/>
  <c r="J128" i="13"/>
  <c r="I105" i="12"/>
  <c r="M102" i="12"/>
  <c r="R61" i="12"/>
  <c r="J17" i="13"/>
  <c r="J82" i="12"/>
  <c r="M40" i="12"/>
  <c r="K7" i="12"/>
  <c r="L128" i="13"/>
  <c r="M154" i="13"/>
  <c r="N48" i="13"/>
  <c r="Q69" i="12"/>
  <c r="J113" i="13"/>
  <c r="J75" i="12"/>
  <c r="S73" i="12"/>
  <c r="N38" i="12"/>
  <c r="K147" i="12"/>
  <c r="L66" i="12"/>
  <c r="J151" i="13"/>
  <c r="I48" i="12"/>
  <c r="L40" i="12"/>
  <c r="Q57" i="12"/>
  <c r="L112" i="12"/>
  <c r="L104" i="13"/>
  <c r="K14" i="12"/>
  <c r="L100" i="13"/>
  <c r="N91" i="13"/>
  <c r="I121" i="13"/>
  <c r="K125" i="12"/>
  <c r="N143" i="12"/>
  <c r="J96" i="12"/>
  <c r="M144" i="12"/>
  <c r="P63" i="13"/>
  <c r="M35" i="13"/>
  <c r="Q99" i="12"/>
  <c r="P58" i="13"/>
  <c r="N29" i="13"/>
  <c r="R12" i="12"/>
  <c r="J119" i="13"/>
  <c r="M147" i="13"/>
  <c r="P81" i="12"/>
  <c r="I29" i="13"/>
  <c r="L122" i="12"/>
  <c r="J149" i="13"/>
  <c r="J91" i="13"/>
  <c r="O147" i="13"/>
  <c r="M93" i="13"/>
  <c r="K146" i="12"/>
  <c r="N60" i="13"/>
  <c r="P57" i="12"/>
  <c r="I66" i="12"/>
  <c r="L54" i="12"/>
  <c r="O86" i="12"/>
  <c r="J129" i="12"/>
  <c r="L45" i="12"/>
  <c r="N8" i="13"/>
  <c r="I72" i="12"/>
  <c r="J8" i="12"/>
  <c r="K119" i="12"/>
  <c r="M42" i="12"/>
  <c r="O96" i="13"/>
  <c r="I111" i="12"/>
  <c r="J38" i="13"/>
  <c r="O26" i="13"/>
  <c r="O81" i="12"/>
  <c r="I54" i="12"/>
  <c r="O23" i="12"/>
  <c r="O119" i="12"/>
  <c r="N107" i="13"/>
  <c r="M57" i="12"/>
  <c r="O140" i="13"/>
  <c r="N114" i="12"/>
  <c r="K147" i="13"/>
  <c r="I142" i="12"/>
  <c r="O105" i="12"/>
  <c r="S15" i="12"/>
  <c r="O144" i="13"/>
  <c r="O91" i="13"/>
  <c r="I148" i="13"/>
  <c r="O110" i="13"/>
  <c r="L63" i="12"/>
  <c r="Q58" i="13"/>
  <c r="U58" i="13" s="1"/>
  <c r="M104" i="13"/>
  <c r="I114" i="12"/>
  <c r="K149" i="13"/>
  <c r="S9" i="12"/>
  <c r="N75" i="13"/>
  <c r="K38" i="13"/>
  <c r="O72" i="12"/>
  <c r="M14" i="13"/>
  <c r="M91" i="13"/>
  <c r="J51" i="12"/>
  <c r="S52" i="12"/>
  <c r="M99" i="12"/>
  <c r="K40" i="12"/>
  <c r="L81" i="13"/>
  <c r="N119" i="12"/>
  <c r="Q17" i="12"/>
  <c r="I35" i="12"/>
  <c r="I119" i="13"/>
  <c r="Q51" i="12"/>
  <c r="J112" i="12"/>
  <c r="N23" i="12"/>
  <c r="S43" i="12"/>
  <c r="P21" i="13"/>
  <c r="Q14" i="12"/>
  <c r="L90" i="13"/>
  <c r="J137" i="13"/>
  <c r="M35" i="12"/>
  <c r="Q142" i="12"/>
  <c r="U142" i="12" s="1"/>
  <c r="P108" i="12"/>
  <c r="K109" i="12"/>
  <c r="K11" i="12"/>
  <c r="O108" i="12"/>
  <c r="Q116" i="12"/>
  <c r="I116" i="12"/>
  <c r="I128" i="13"/>
  <c r="S21" i="12"/>
  <c r="J11" i="13"/>
  <c r="Q52" i="13"/>
  <c r="U52" i="13" s="1"/>
  <c r="I140" i="13"/>
  <c r="S12" i="12"/>
  <c r="L148" i="13"/>
  <c r="I14" i="12"/>
  <c r="K93" i="13"/>
  <c r="M129" i="12"/>
  <c r="K110" i="13"/>
  <c r="K48" i="12"/>
  <c r="U33" i="13"/>
  <c r="M82" i="12"/>
  <c r="L96" i="12"/>
  <c r="J8" i="13"/>
  <c r="N20" i="13"/>
  <c r="K60" i="12"/>
  <c r="I75" i="13"/>
  <c r="J146" i="12"/>
  <c r="N75" i="12"/>
  <c r="P145" i="13"/>
  <c r="M151" i="13"/>
  <c r="K63" i="12"/>
  <c r="S97" i="12"/>
  <c r="V97" i="12" s="1" a="1"/>
  <c r="V97" i="12" s="1"/>
  <c r="L78" i="12"/>
  <c r="O8" i="12"/>
  <c r="O153" i="13"/>
  <c r="K105" i="12"/>
  <c r="L20" i="13"/>
  <c r="N142" i="12"/>
  <c r="Q15" i="13"/>
  <c r="U15" i="13" s="1" a="1"/>
  <c r="U15" i="13" s="1"/>
  <c r="L42" i="13"/>
  <c r="K146" i="13"/>
  <c r="P27" i="13"/>
  <c r="L146" i="12"/>
  <c r="J51" i="13"/>
  <c r="P84" i="12"/>
  <c r="M38" i="13"/>
  <c r="Q84" i="12"/>
  <c r="K91" i="13"/>
  <c r="J109" i="12"/>
  <c r="S123" i="12"/>
  <c r="K35" i="13"/>
  <c r="L26" i="12"/>
  <c r="M29" i="12"/>
  <c r="J147" i="12"/>
  <c r="J20" i="12"/>
  <c r="J128" i="12"/>
  <c r="M147" i="12"/>
  <c r="R58" i="12"/>
  <c r="O111" i="12"/>
  <c r="L110" i="13"/>
  <c r="K111" i="12"/>
  <c r="O63" i="12"/>
  <c r="O7" i="12"/>
  <c r="O78" i="12"/>
  <c r="N149" i="13"/>
  <c r="K35" i="12"/>
  <c r="N69" i="13"/>
  <c r="K78" i="13"/>
  <c r="Q60" i="12"/>
  <c r="N144" i="13"/>
  <c r="O75" i="13"/>
  <c r="N132" i="12"/>
  <c r="O23" i="13"/>
  <c r="O99" i="12"/>
  <c r="J69" i="12"/>
  <c r="S76" i="12"/>
  <c r="L102" i="13"/>
  <c r="L69" i="13"/>
  <c r="M57" i="13"/>
  <c r="L114" i="12"/>
  <c r="O66" i="13"/>
  <c r="R43" i="12"/>
  <c r="Q82" i="12"/>
  <c r="J93" i="12"/>
  <c r="L26" i="13"/>
  <c r="O107" i="13"/>
  <c r="L48" i="12"/>
  <c r="K57" i="13"/>
  <c r="I11" i="12"/>
  <c r="I151" i="13"/>
  <c r="I102" i="12"/>
  <c r="J142" i="12"/>
  <c r="N84" i="12"/>
  <c r="N7" i="12"/>
  <c r="P147" i="12"/>
  <c r="P29" i="12"/>
  <c r="N66" i="13"/>
  <c r="N63" i="12"/>
  <c r="N11" i="13"/>
  <c r="I131" i="13"/>
  <c r="M7" i="13"/>
  <c r="K20" i="12"/>
  <c r="O131" i="13"/>
  <c r="P69" i="12"/>
  <c r="N66" i="12"/>
  <c r="S55" i="12"/>
  <c r="R127" i="12"/>
  <c r="I78" i="12"/>
  <c r="P54" i="12"/>
  <c r="L121" i="13"/>
  <c r="M119" i="12"/>
  <c r="N125" i="12"/>
  <c r="K17" i="13"/>
  <c r="L75" i="13"/>
  <c r="Q40" i="12"/>
  <c r="K14" i="13"/>
  <c r="M63" i="12"/>
  <c r="M123" i="13"/>
  <c r="I78" i="13"/>
  <c r="P144" i="12"/>
  <c r="K8" i="13"/>
  <c r="J122" i="12"/>
  <c r="N60" i="12"/>
  <c r="K54" i="13"/>
  <c r="P26" i="12"/>
  <c r="N72" i="12"/>
  <c r="J84" i="13"/>
  <c r="N51" i="13"/>
  <c r="M26" i="12"/>
  <c r="L84" i="12"/>
  <c r="I23" i="12"/>
  <c r="K104" i="13"/>
  <c r="M128" i="12"/>
  <c r="J40" i="13"/>
  <c r="P11" i="12"/>
  <c r="O122" i="12"/>
  <c r="P105" i="13"/>
  <c r="N8" i="12"/>
  <c r="J146" i="13"/>
  <c r="N51" i="12"/>
  <c r="N81" i="13"/>
  <c r="K102" i="13"/>
  <c r="M110" i="13"/>
  <c r="I110" i="13"/>
  <c r="L151" i="13"/>
  <c r="K48" i="13"/>
  <c r="M81" i="13"/>
  <c r="M17" i="13"/>
  <c r="M140" i="13"/>
  <c r="I86" i="12"/>
  <c r="K84" i="13"/>
  <c r="M148" i="13"/>
  <c r="M153" i="13"/>
  <c r="I146" i="13"/>
  <c r="N112" i="12"/>
  <c r="K145" i="12"/>
  <c r="J66" i="13"/>
  <c r="R123" i="12"/>
  <c r="Q147" i="12"/>
  <c r="U147" i="12" s="1"/>
  <c r="N109" i="12"/>
  <c r="N54" i="12"/>
  <c r="O51" i="13"/>
  <c r="O93" i="12"/>
  <c r="M51" i="12"/>
  <c r="M7" i="12"/>
  <c r="Q75" i="12"/>
  <c r="K132" i="12"/>
  <c r="N108" i="12"/>
  <c r="O45" i="12"/>
  <c r="K131" i="13"/>
  <c r="L42" i="12"/>
  <c r="K23" i="13"/>
  <c r="J60" i="12"/>
  <c r="L11" i="12"/>
  <c r="I93" i="13"/>
  <c r="J145" i="12"/>
  <c r="P72" i="13"/>
  <c r="P141" i="13"/>
  <c r="K26" i="12"/>
  <c r="M45" i="13"/>
  <c r="K126" i="12"/>
  <c r="M111" i="12"/>
  <c r="I112" i="12"/>
  <c r="P93" i="12"/>
  <c r="K66" i="12"/>
  <c r="L72" i="12"/>
  <c r="K112" i="12"/>
  <c r="M119" i="13"/>
  <c r="L69" i="12"/>
  <c r="M122" i="12"/>
  <c r="J81" i="13"/>
  <c r="K119" i="13"/>
  <c r="K54" i="12"/>
  <c r="P114" i="13"/>
  <c r="Q112" i="12"/>
  <c r="P39" i="13"/>
  <c r="O128" i="12"/>
  <c r="I48" i="13"/>
  <c r="Q66" i="12"/>
  <c r="U138" i="12" s="1" a="1"/>
  <c r="U138" i="12" s="1"/>
  <c r="M48" i="13"/>
  <c r="L147" i="13"/>
  <c r="O143" i="12"/>
  <c r="I126" i="12"/>
  <c r="L107" i="13"/>
  <c r="L134" i="13"/>
  <c r="L135" i="13" s="1"/>
  <c r="P70" i="13"/>
  <c r="I108" i="12"/>
  <c r="J114" i="12"/>
  <c r="S61" i="12"/>
  <c r="J48" i="13"/>
  <c r="O45" i="13"/>
  <c r="O126" i="12"/>
  <c r="I8" i="12"/>
  <c r="P7" i="12"/>
  <c r="Q64" i="13"/>
  <c r="U64" i="13" s="1"/>
  <c r="P145" i="12"/>
  <c r="N23" i="13"/>
  <c r="O116" i="12"/>
  <c r="S30" i="12"/>
  <c r="I69" i="13"/>
  <c r="I20" i="12"/>
  <c r="P78" i="12"/>
  <c r="P117" i="13"/>
  <c r="L113" i="13"/>
  <c r="O42" i="12"/>
  <c r="M137" i="13"/>
  <c r="I38" i="12"/>
  <c r="I66" i="13"/>
  <c r="N105" i="12"/>
  <c r="L11" i="13"/>
  <c r="P36" i="13"/>
  <c r="J87" i="13"/>
  <c r="I81" i="12"/>
  <c r="P75" i="12"/>
  <c r="I45" i="12"/>
  <c r="R64" i="12"/>
  <c r="J20" i="13"/>
  <c r="I90" i="13"/>
  <c r="I42" i="12"/>
  <c r="O54" i="12"/>
  <c r="N151" i="13"/>
  <c r="J26" i="12"/>
  <c r="K75" i="13"/>
  <c r="J100" i="13"/>
  <c r="N93" i="12"/>
  <c r="M75" i="12"/>
  <c r="I57" i="12"/>
  <c r="M108" i="12"/>
  <c r="N140" i="13"/>
  <c r="K29" i="13"/>
  <c r="N54" i="13"/>
  <c r="L38" i="13"/>
  <c r="L8" i="13"/>
  <c r="L126" i="12"/>
  <c r="J69" i="13"/>
  <c r="P86" i="12"/>
  <c r="I84" i="12"/>
  <c r="I85" i="12" s="1" a="1"/>
  <c r="I85" i="12" s="1"/>
  <c r="Q23" i="12"/>
  <c r="K82" i="12"/>
  <c r="R36" i="12"/>
  <c r="P17" i="12"/>
  <c r="K151" i="13"/>
  <c r="K137" i="13"/>
  <c r="M23" i="12"/>
  <c r="K96" i="13"/>
  <c r="M146" i="12"/>
  <c r="L17" i="12"/>
  <c r="L90" i="12"/>
  <c r="N29" i="12"/>
  <c r="P35" i="12"/>
  <c r="Q146" i="12"/>
  <c r="U146" i="12" s="1"/>
  <c r="K8" i="12"/>
  <c r="K38" i="12"/>
  <c r="N144" i="12"/>
  <c r="L75" i="12"/>
  <c r="L143" i="12"/>
  <c r="M109" i="12"/>
  <c r="J86" i="12"/>
  <c r="O14" i="12"/>
  <c r="I132" i="12"/>
  <c r="P42" i="12"/>
  <c r="M66" i="12"/>
  <c r="O93" i="13"/>
  <c r="Q86" i="12"/>
  <c r="R67" i="12"/>
  <c r="N104" i="13"/>
  <c r="I134" i="13"/>
  <c r="I135" i="13" s="1"/>
  <c r="J72" i="12"/>
  <c r="P14" i="12"/>
  <c r="O151" i="13"/>
  <c r="J153" i="13"/>
  <c r="O48" i="13"/>
  <c r="N148" i="13"/>
  <c r="I91" i="13"/>
  <c r="R117" i="12"/>
  <c r="M116" i="13"/>
  <c r="N11" i="12"/>
  <c r="O104" i="13"/>
  <c r="O40" i="13"/>
  <c r="K122" i="12"/>
  <c r="N86" i="12"/>
  <c r="Q67" i="13"/>
  <c r="U67" i="13" s="1"/>
  <c r="P119" i="12"/>
  <c r="L57" i="12"/>
  <c r="Q38" i="12"/>
  <c r="J17" i="12"/>
  <c r="N90" i="12"/>
  <c r="R73" i="12"/>
  <c r="N99" i="12"/>
  <c r="L99" i="12"/>
  <c r="P90" i="12"/>
  <c r="J38" i="12"/>
  <c r="I119" i="12"/>
  <c r="P98" i="13"/>
  <c r="J108" i="12"/>
  <c r="K144" i="12"/>
  <c r="N128" i="13"/>
  <c r="L8" i="12"/>
  <c r="Q108" i="12"/>
  <c r="O119" i="13"/>
  <c r="M125" i="13"/>
  <c r="J84" i="12"/>
  <c r="P38" i="12"/>
  <c r="M148" i="12"/>
  <c r="Q55" i="13"/>
  <c r="U55" i="13" s="1"/>
  <c r="K134" i="13"/>
  <c r="K135" i="13" s="1"/>
  <c r="M84" i="13"/>
  <c r="M144" i="13"/>
  <c r="O8" i="13"/>
  <c r="L84" i="13"/>
  <c r="K26" i="13"/>
  <c r="I153" i="13"/>
  <c r="M143" i="12"/>
  <c r="M11" i="12"/>
  <c r="P79" i="13"/>
  <c r="L123" i="13"/>
  <c r="J35" i="12"/>
  <c r="K42" i="13"/>
  <c r="N113" i="13"/>
  <c r="O113" i="13"/>
  <c r="I75" i="12"/>
  <c r="I84" i="13"/>
  <c r="M48" i="12"/>
  <c r="M125" i="12"/>
  <c r="M142" i="12"/>
  <c r="N147" i="13"/>
  <c r="S18" i="12"/>
  <c r="O102" i="13"/>
  <c r="I125" i="13"/>
  <c r="R103" i="12"/>
  <c r="P88" i="13"/>
  <c r="N96" i="13"/>
  <c r="R133" i="12"/>
  <c r="K69" i="12"/>
  <c r="Q42" i="12"/>
  <c r="I146" i="12"/>
  <c r="I63" i="12"/>
  <c r="O7" i="13"/>
  <c r="P132" i="12"/>
  <c r="J90" i="12"/>
  <c r="K116" i="12"/>
  <c r="Q54" i="12"/>
  <c r="P109" i="12"/>
  <c r="Q78" i="12"/>
  <c r="P116" i="12"/>
  <c r="P142" i="12"/>
  <c r="L125" i="12"/>
  <c r="O40" i="12"/>
  <c r="K45" i="13"/>
  <c r="L54" i="13"/>
  <c r="L51" i="13"/>
  <c r="M14" i="12"/>
  <c r="P138" i="13"/>
  <c r="O148" i="12"/>
  <c r="K143" i="12"/>
  <c r="L35" i="13"/>
  <c r="I81" i="13"/>
  <c r="L93" i="13"/>
  <c r="S36" i="12"/>
  <c r="Q111" i="12"/>
  <c r="I145" i="12"/>
  <c r="I113" i="13"/>
  <c r="I87" i="13"/>
  <c r="Q82" i="13"/>
  <c r="K148" i="12"/>
  <c r="P76" i="13"/>
  <c r="J126" i="12"/>
  <c r="R120" i="12"/>
  <c r="Q81" i="12"/>
  <c r="U81" i="12" s="1"/>
  <c r="J14" i="12"/>
  <c r="K81" i="13"/>
  <c r="O84" i="13"/>
  <c r="O96" i="12"/>
  <c r="M96" i="13"/>
  <c r="J29" i="13"/>
  <c r="P51" i="13"/>
  <c r="N26" i="13"/>
  <c r="N111" i="12"/>
  <c r="J116" i="13"/>
  <c r="P152" i="13"/>
  <c r="L142" i="12"/>
  <c r="K108" i="12"/>
  <c r="I109" i="12"/>
  <c r="N125" i="13"/>
  <c r="I11" i="13"/>
  <c r="O57" i="13"/>
  <c r="J140" i="13"/>
  <c r="N123" i="13"/>
  <c r="N69" i="12"/>
  <c r="N116" i="13"/>
  <c r="P43" i="13"/>
  <c r="M102" i="13"/>
  <c r="L108" i="12"/>
  <c r="O54" i="13"/>
  <c r="N131" i="13"/>
  <c r="M107" i="13"/>
  <c r="N48" i="12"/>
  <c r="Q105" i="12"/>
  <c r="M51" i="13"/>
  <c r="L29" i="13"/>
  <c r="I93" i="12"/>
  <c r="K45" i="12"/>
  <c r="L14" i="13"/>
  <c r="L86" i="12"/>
  <c r="P30" i="13"/>
  <c r="O75" i="12"/>
  <c r="N102" i="13"/>
  <c r="O109" i="12"/>
  <c r="N45" i="12"/>
  <c r="O11" i="12"/>
  <c r="M100" i="13"/>
  <c r="P120" i="13"/>
  <c r="Q46" i="13"/>
  <c r="U46" i="13" s="1"/>
  <c r="P82" i="12"/>
  <c r="J99" i="12"/>
  <c r="J75" i="13"/>
  <c r="O134" i="13"/>
  <c r="O135" i="13" s="1"/>
  <c r="O123" i="13"/>
  <c r="O129" i="12"/>
  <c r="N40" i="12"/>
  <c r="J144" i="12"/>
  <c r="Q143" i="12"/>
  <c r="U143" i="12" s="1"/>
  <c r="O128" i="13"/>
  <c r="K142" i="12"/>
  <c r="M90" i="12"/>
  <c r="Q8" i="12"/>
  <c r="I38" i="13"/>
  <c r="J81" i="12"/>
  <c r="R106" i="12"/>
  <c r="R52" i="12"/>
  <c r="N7" i="13"/>
  <c r="Q11" i="12"/>
  <c r="J42" i="13"/>
  <c r="N57" i="13"/>
  <c r="L154" i="13"/>
  <c r="Q61" i="13"/>
  <c r="U61" i="13" s="1"/>
  <c r="L35" i="12"/>
  <c r="L144" i="12"/>
  <c r="O20" i="13"/>
  <c r="K93" i="12"/>
  <c r="M105" i="12"/>
  <c r="O116" i="13"/>
  <c r="M69" i="13"/>
  <c r="J14" i="13"/>
  <c r="K129" i="12"/>
  <c r="K144" i="13"/>
  <c r="J123" i="13"/>
  <c r="N96" i="12"/>
  <c r="J23" i="12"/>
  <c r="I96" i="13"/>
  <c r="K57" i="12"/>
  <c r="M86" i="12"/>
  <c r="Q145" i="12"/>
  <c r="U145" i="12" s="1"/>
  <c r="L81" i="12"/>
  <c r="J78" i="12"/>
  <c r="M8" i="12"/>
  <c r="Q72" i="12"/>
  <c r="J104" i="13"/>
  <c r="R79" i="12"/>
  <c r="L78" i="13"/>
  <c r="M81" i="12"/>
  <c r="O57" i="12"/>
  <c r="J132" i="12"/>
  <c r="J57" i="12"/>
  <c r="P67" i="13"/>
  <c r="M72" i="12"/>
  <c r="Q7" i="12"/>
  <c r="K42" i="12"/>
  <c r="N122" i="12"/>
  <c r="P108" i="13"/>
  <c r="N42" i="13"/>
  <c r="I116" i="13"/>
  <c r="R97" i="12"/>
  <c r="Q144" i="12"/>
  <c r="U144" i="12" s="1"/>
  <c r="M78" i="12"/>
  <c r="O38" i="12"/>
  <c r="M20" i="12"/>
  <c r="N128" i="12"/>
  <c r="K40" i="13"/>
  <c r="N26" i="12"/>
  <c r="I100" i="13"/>
  <c r="P85" i="13"/>
  <c r="S117" i="12"/>
  <c r="K116" i="13"/>
  <c r="L14" i="12"/>
  <c r="J116" i="12"/>
  <c r="P114" i="12"/>
  <c r="O149" i="13"/>
  <c r="O60" i="12"/>
  <c r="R76" i="12"/>
  <c r="O125" i="12"/>
  <c r="L57" i="13"/>
  <c r="I26" i="12"/>
  <c r="N154" i="13"/>
  <c r="S106" i="12"/>
  <c r="J125" i="13"/>
  <c r="K72" i="12"/>
  <c r="K86" i="12"/>
  <c r="L131" i="13"/>
  <c r="N121" i="13"/>
  <c r="P125" i="12"/>
  <c r="I42" i="13"/>
  <c r="P72" i="12"/>
  <c r="P148" i="12"/>
  <c r="I82" i="12"/>
  <c r="L7" i="13"/>
  <c r="K148" i="13"/>
  <c r="L128" i="12"/>
  <c r="S133" i="12"/>
  <c r="K153" i="13"/>
  <c r="L93" i="12"/>
  <c r="O26" i="12"/>
  <c r="N100" i="13"/>
  <c r="J96" i="13"/>
  <c r="L105" i="12"/>
  <c r="I104" i="13"/>
  <c r="K128" i="12"/>
  <c r="S88" i="12"/>
  <c r="Q122" i="12"/>
  <c r="L147" i="12"/>
  <c r="L66" i="13"/>
  <c r="K123" i="13"/>
  <c r="P46" i="13"/>
  <c r="M146" i="13"/>
  <c r="O84" i="12"/>
  <c r="I57" i="13"/>
  <c r="R100" i="12"/>
  <c r="J57" i="13"/>
  <c r="Q48" i="12"/>
  <c r="J143" i="12"/>
  <c r="Q93" i="12"/>
  <c r="K99" i="12"/>
  <c r="I14" i="13"/>
  <c r="I40" i="13"/>
  <c r="L129" i="12"/>
  <c r="N90" i="13"/>
  <c r="O29" i="12"/>
  <c r="M23" i="13"/>
  <c r="R94" i="12"/>
  <c r="J134" i="13"/>
  <c r="J135" i="13" s="1"/>
  <c r="S64" i="12"/>
  <c r="K128" i="13"/>
  <c r="S39" i="12"/>
  <c r="O145" i="12"/>
  <c r="R9" i="12"/>
  <c r="S49" i="12"/>
  <c r="N35" i="12"/>
  <c r="P63" i="12"/>
  <c r="N14" i="12"/>
  <c r="J60" i="13"/>
  <c r="M149" i="13"/>
  <c r="Q128" i="12"/>
  <c r="J7" i="13"/>
  <c r="K87" i="13"/>
  <c r="N129" i="12"/>
  <c r="N35" i="13"/>
  <c r="I144" i="13"/>
  <c r="J147" i="13"/>
  <c r="M66" i="13"/>
  <c r="L29" i="12"/>
  <c r="J105" i="12"/>
  <c r="O82" i="12"/>
  <c r="L145" i="12"/>
  <c r="M84" i="12"/>
  <c r="K125" i="13"/>
  <c r="N40" i="13"/>
  <c r="I23" i="13"/>
  <c r="I122" i="12"/>
  <c r="O66" i="12"/>
  <c r="O11" i="13"/>
  <c r="Q98" i="13"/>
  <c r="U98" i="13" s="1" a="1"/>
  <c r="U98" i="13" s="1"/>
  <c r="G4" i="11"/>
  <c r="P129" i="12"/>
  <c r="J78" i="13"/>
  <c r="R46" i="12"/>
  <c r="K114" i="12"/>
  <c r="L45" i="13"/>
  <c r="I147" i="12"/>
  <c r="O112" i="12"/>
  <c r="P129" i="13"/>
  <c r="P45" i="12"/>
  <c r="O69" i="13"/>
  <c r="O147" i="12"/>
  <c r="Q45" i="12"/>
  <c r="O48" i="12"/>
  <c r="O14" i="13"/>
  <c r="I125" i="12"/>
  <c r="K107" i="13"/>
  <c r="N81" i="12"/>
  <c r="K20" i="13"/>
  <c r="S27" i="12"/>
  <c r="I129" i="12"/>
  <c r="P61" i="13"/>
  <c r="Q29" i="12"/>
  <c r="K11" i="13"/>
  <c r="J107" i="13"/>
  <c r="O35" i="13"/>
  <c r="L96" i="13"/>
  <c r="S91" i="12"/>
  <c r="Q63" i="12"/>
  <c r="M145" i="12"/>
  <c r="K7" i="13"/>
  <c r="J119" i="12"/>
  <c r="I51" i="12"/>
  <c r="M93" i="12"/>
  <c r="K84" i="12"/>
  <c r="N116" i="12"/>
  <c r="P48" i="12"/>
  <c r="K23" i="12"/>
  <c r="Q90" i="12"/>
  <c r="J148" i="13"/>
  <c r="J26" i="13"/>
  <c r="N84" i="13"/>
  <c r="S120" i="12"/>
  <c r="N153" i="13"/>
  <c r="K140" i="13"/>
  <c r="N78" i="12"/>
  <c r="L153" i="13"/>
  <c r="J45" i="13"/>
  <c r="M29" i="13"/>
  <c r="R39" i="12"/>
  <c r="N119" i="13"/>
  <c r="P126" i="13"/>
  <c r="K121" i="13"/>
  <c r="J42" i="12"/>
  <c r="Q20" i="12"/>
  <c r="R27" i="12"/>
  <c r="K100" i="13"/>
  <c r="L7" i="12"/>
  <c r="I7" i="13"/>
  <c r="J93" i="13"/>
  <c r="O125" i="13"/>
  <c r="J29" i="12"/>
  <c r="I69" i="12"/>
  <c r="J102" i="12"/>
  <c r="Q102" i="12"/>
  <c r="O90" i="12"/>
  <c r="P12" i="13"/>
  <c r="I107" i="13"/>
  <c r="R24" i="12"/>
  <c r="N147" i="12"/>
  <c r="P60" i="12"/>
  <c r="Q39" i="13"/>
  <c r="U39" i="13" s="1"/>
  <c r="K154" i="13"/>
  <c r="Q119" i="12"/>
  <c r="K75" i="12"/>
  <c r="O78" i="13"/>
  <c r="L60" i="12"/>
  <c r="L17" i="13"/>
  <c r="J154" i="13"/>
  <c r="M112" i="12"/>
  <c r="O114" i="12"/>
  <c r="K102" i="12"/>
  <c r="J11" i="12"/>
  <c r="P122" i="12"/>
  <c r="M17" i="12"/>
  <c r="S46" i="12"/>
  <c r="K97" i="12" a="1"/>
  <c r="M88" i="13" a="1"/>
  <c r="L61" i="13" a="1"/>
  <c r="K61" i="13" a="1"/>
  <c r="P24" i="12" a="1"/>
  <c r="J64" i="12" a="1"/>
  <c r="N61" i="13" a="1"/>
  <c r="K39" i="13" a="1"/>
  <c r="N21" i="13" a="1"/>
  <c r="O79" i="12" a="1"/>
  <c r="L117" i="12" a="1"/>
  <c r="P21" i="12" a="1"/>
  <c r="N138" i="13" a="1"/>
  <c r="L24" i="12" a="1"/>
  <c r="L21" i="12" a="1"/>
  <c r="N49" i="13" a="1"/>
  <c r="J9" i="12" a="1"/>
  <c r="I120" i="13" a="1"/>
  <c r="M30" i="12" a="1"/>
  <c r="I103" i="12" a="1"/>
  <c r="K9" i="13" a="1"/>
  <c r="N110" i="12" a="1"/>
  <c r="K55" i="12" a="1"/>
  <c r="N106" i="12" a="1"/>
  <c r="P18" i="12" a="1"/>
  <c r="L58" i="12" a="1"/>
  <c r="K70" i="12" a="1"/>
  <c r="K82" i="13" a="1"/>
  <c r="I94" i="12" a="1"/>
  <c r="J133" i="12" a="1"/>
  <c r="O27" i="12" a="1"/>
  <c r="O12" i="13" a="1"/>
  <c r="I108" i="13" a="1"/>
  <c r="N73" i="12" a="1"/>
  <c r="J63" i="13" a="1"/>
  <c r="L12" i="13" a="1"/>
  <c r="K9" i="12" a="1"/>
  <c r="N100" i="12" a="1"/>
  <c r="I126" i="13" a="1"/>
  <c r="N117" i="13" a="1"/>
  <c r="J43" i="13" a="1"/>
  <c r="M79" i="12" a="1"/>
  <c r="I15" i="13" a="1"/>
  <c r="O49" i="12" a="1"/>
  <c r="P61" i="12" a="1"/>
  <c r="J88" i="13" a="1"/>
  <c r="O55" i="13" a="1"/>
  <c r="K76" i="12" a="1"/>
  <c r="P73" i="12" a="1"/>
  <c r="M9" i="13" a="1"/>
  <c r="J46" i="12" a="1"/>
  <c r="L120" i="12" a="1"/>
  <c r="M55" i="12" a="1"/>
  <c r="K70" i="13" a="1"/>
  <c r="I67" i="12" a="1"/>
  <c r="M15" i="13" a="1"/>
  <c r="I76" i="13" a="1"/>
  <c r="K79" i="13" a="1"/>
  <c r="K63" i="13" a="1"/>
  <c r="M61" i="13" a="1"/>
  <c r="O70" i="12" a="1"/>
  <c r="P127" i="12" a="1"/>
  <c r="L39" i="12" a="1"/>
  <c r="J114" i="13" a="1"/>
  <c r="M43" i="12" a="1"/>
  <c r="J138" i="13" a="1"/>
  <c r="J21" i="12" a="1"/>
  <c r="N72" i="13" a="1"/>
  <c r="N61" i="12" a="1"/>
  <c r="O52" i="13" a="1"/>
  <c r="I49" i="13" a="1"/>
  <c r="I46" i="12" a="1"/>
  <c r="K138" i="13" a="1"/>
  <c r="J18" i="12" a="1"/>
  <c r="O97" i="12" a="1"/>
  <c r="L15" i="13" a="1"/>
  <c r="J58" i="12" a="1"/>
  <c r="I105" i="13" a="1"/>
  <c r="J79" i="13" a="1"/>
  <c r="O79" i="13" a="1"/>
  <c r="N52" i="13" a="1"/>
  <c r="N55" i="12" a="1"/>
  <c r="I133" i="12" a="1"/>
  <c r="I64" i="12" a="1"/>
  <c r="M21" i="12" a="1"/>
  <c r="K141" i="13" a="1"/>
  <c r="Q110" i="12" a="1"/>
  <c r="K52" i="13" a="1"/>
  <c r="O39" i="13" a="1"/>
  <c r="K114" i="13" a="1"/>
  <c r="N88" i="13" a="1"/>
  <c r="P100" i="12" a="1"/>
  <c r="L46" i="12" a="1"/>
  <c r="J52" i="12" a="1"/>
  <c r="N76" i="12" a="1"/>
  <c r="N145" i="13" a="1"/>
  <c r="K72" i="13" a="1"/>
  <c r="I97" i="12" a="1"/>
  <c r="O138" i="13" a="1"/>
  <c r="M133" i="12" a="1"/>
  <c r="L103" i="12" a="1"/>
  <c r="J152" i="13" a="1"/>
  <c r="O27" i="13" a="1"/>
  <c r="K110" i="12" a="1"/>
  <c r="N70" i="13" a="1"/>
  <c r="N63" i="13" a="1"/>
  <c r="P27" i="12" a="1"/>
  <c r="M52" i="12" a="1"/>
  <c r="M49" i="13" a="1"/>
  <c r="J21" i="13" a="1"/>
  <c r="L18" i="12" a="1"/>
  <c r="L100" i="12" a="1"/>
  <c r="P133" i="12" a="1"/>
  <c r="J30" i="13" a="1"/>
  <c r="N46" i="12" a="1"/>
  <c r="M73" i="12" a="1"/>
  <c r="I58" i="13" a="1"/>
  <c r="O70" i="13" a="1"/>
  <c r="L18" i="13" a="1"/>
  <c r="K105" i="13" a="1"/>
  <c r="O94" i="12" a="1"/>
  <c r="P76" i="12" a="1"/>
  <c r="M67" i="12" a="1"/>
  <c r="I120" i="12" a="1"/>
  <c r="M108" i="13" a="1"/>
  <c r="O117" i="13" a="1"/>
  <c r="L15" i="12" a="1"/>
  <c r="N15" i="12" a="1"/>
  <c r="J120" i="12" a="1"/>
  <c r="L61" i="12" a="1"/>
  <c r="J27" i="13" a="1"/>
  <c r="M12" i="13" a="1"/>
  <c r="L52" i="12" a="1"/>
  <c r="K79" i="12" a="1"/>
  <c r="M55" i="13" a="1"/>
  <c r="M76" i="13" a="1"/>
  <c r="O21" i="12" a="1"/>
  <c r="I73" i="12" a="1"/>
  <c r="M100" i="12" a="1"/>
  <c r="M152" i="13" a="1"/>
  <c r="N133" i="12" a="1"/>
  <c r="M43" i="13" a="1"/>
  <c r="J111" i="13" a="1"/>
  <c r="P97" i="12" a="1"/>
  <c r="M61" i="12" a="1"/>
  <c r="K15" i="12" a="1"/>
  <c r="I55" i="12" a="1"/>
  <c r="I117" i="12" a="1"/>
  <c r="O76" i="13" a="1"/>
  <c r="N12" i="13" a="1"/>
  <c r="J85" i="13" a="1"/>
  <c r="K132" i="13" a="1"/>
  <c r="L108" i="13" a="1"/>
  <c r="I43" i="12" a="1"/>
  <c r="N30" i="12" a="1"/>
  <c r="J39" i="12" a="1"/>
  <c r="J91" i="12" a="1"/>
  <c r="N27" i="13" a="1"/>
  <c r="O12" i="12" a="1"/>
  <c r="K43" i="12" a="1"/>
  <c r="J58" i="13" a="1"/>
  <c r="O15" i="13" a="1"/>
  <c r="K103" i="12" a="1"/>
  <c r="K133" i="12" a="1"/>
  <c r="I127" i="12" a="1"/>
  <c r="O55" i="12" a="1"/>
  <c r="N105" i="13" a="1"/>
  <c r="N129" i="13" a="1"/>
  <c r="K117" i="12" a="1"/>
  <c r="L30" i="13" a="1"/>
  <c r="J15" i="13" a="1"/>
  <c r="O61" i="12" a="1"/>
  <c r="I145" i="13" a="1"/>
  <c r="M94" i="12" a="1"/>
  <c r="J12" i="12" a="1"/>
  <c r="L39" i="13" a="1"/>
  <c r="P9" i="12" a="1"/>
  <c r="M114" i="13" a="1"/>
  <c r="I27" i="13" a="1"/>
  <c r="O103" i="12" a="1"/>
  <c r="L133" i="12" a="1"/>
  <c r="I106" i="12" a="1"/>
  <c r="K120" i="12" a="1"/>
  <c r="L82" i="13" a="1"/>
  <c r="O9" i="12" a="1"/>
  <c r="O100" i="12" a="1"/>
  <c r="J132" i="13" a="1"/>
  <c r="N58" i="12" a="1"/>
  <c r="L141" i="13" a="1"/>
  <c r="N43" i="12" a="1"/>
  <c r="O82" i="13" a="1"/>
  <c r="J97" i="12" a="1"/>
  <c r="O120" i="12" a="1"/>
  <c r="I15" i="12" a="1"/>
  <c r="O24" i="13" a="1"/>
  <c r="O132" i="13" a="1"/>
  <c r="M27" i="12" a="1"/>
  <c r="K24" i="13" a="1"/>
  <c r="J49" i="13" a="1"/>
  <c r="N152" i="13" a="1"/>
  <c r="K39" i="12" a="1"/>
  <c r="L9" i="12" a="1"/>
  <c r="J117" i="13" a="1"/>
  <c r="J76" i="13" a="1"/>
  <c r="I117" i="13" a="1"/>
  <c r="K100" i="12" a="1"/>
  <c r="K108" i="13" a="1"/>
  <c r="N67" i="12" a="1"/>
  <c r="P12" i="12" a="1"/>
  <c r="O46" i="12" a="1"/>
  <c r="O46" i="13" a="1"/>
  <c r="J27" i="12" a="1"/>
  <c r="J73" i="12" a="1"/>
  <c r="M126" i="13" a="1"/>
  <c r="L55" i="13" a="1"/>
  <c r="K46" i="12" a="1"/>
  <c r="K145" i="13" a="1"/>
  <c r="I27" i="12" a="1"/>
  <c r="M72" i="13" a="1"/>
  <c r="M18" i="12" a="1"/>
  <c r="O76" i="12" a="1"/>
  <c r="K73" i="12" a="1"/>
  <c r="P49" i="12" a="1"/>
  <c r="M9" i="12" a="1"/>
  <c r="J46" i="13" a="1"/>
  <c r="K126" i="13" a="1"/>
  <c r="J30" i="12" a="1"/>
  <c r="J24" i="13" a="1"/>
  <c r="I91" i="12" a="1"/>
  <c r="M27" i="13" a="1"/>
  <c r="M127" i="12" a="1"/>
  <c r="K30" i="12" a="1"/>
  <c r="J76" i="12" a="1"/>
  <c r="J39" i="13" a="1"/>
  <c r="N24" i="12" a="1"/>
  <c r="K106" i="12" a="1"/>
  <c r="L70" i="13" a="1"/>
  <c r="L49" i="13" a="1"/>
  <c r="L88" i="13" a="1"/>
  <c r="J55" i="12" a="1"/>
  <c r="O18" i="13" a="1"/>
  <c r="N15" i="13" a="1"/>
  <c r="P64" i="13" a="1"/>
  <c r="M58" i="12" a="1"/>
  <c r="K49" i="12" a="1"/>
  <c r="J70" i="12" a="1"/>
  <c r="N64" i="12" a="1"/>
  <c r="I24" i="12" a="1"/>
  <c r="L12" i="12" a="1"/>
  <c r="O127" i="12" a="1"/>
  <c r="K76" i="13" a="1"/>
  <c r="L76" i="12" a="1"/>
  <c r="O120" i="13" a="1"/>
  <c r="P110" i="12" a="1"/>
  <c r="I110" i="12" a="1"/>
  <c r="N58" i="13" a="1"/>
  <c r="O39" i="12" a="1"/>
  <c r="M24" i="13" a="1"/>
  <c r="K21" i="13" a="1"/>
  <c r="P55" i="12" a="1"/>
  <c r="N82" i="13" a="1"/>
  <c r="L43" i="12" a="1"/>
  <c r="I9" i="12" a="1"/>
  <c r="M76" i="12" a="1"/>
  <c r="O152" i="13" a="1"/>
  <c r="P39" i="12" a="1"/>
  <c r="M15" i="12" a="1"/>
  <c r="N97" i="12" a="1"/>
  <c r="M63" i="13" a="1"/>
  <c r="K24" i="12" a="1"/>
  <c r="J106" i="12" a="1"/>
  <c r="J15" i="12" a="1"/>
  <c r="N18" i="12" a="1"/>
  <c r="I46" i="13" a="1"/>
  <c r="K18" i="12" a="1"/>
  <c r="N21" i="12" a="1"/>
  <c r="I138" i="13" a="1"/>
  <c r="N39" i="12" a="1"/>
  <c r="O24" i="12" a="1"/>
  <c r="K12" i="12" a="1"/>
  <c r="L43" i="13" a="1"/>
  <c r="J94" i="12" a="1"/>
  <c r="P103" i="12" a="1"/>
  <c r="O30" i="13" a="1"/>
  <c r="I61" i="12" a="1"/>
  <c r="M129" i="13" a="1"/>
  <c r="M79" i="13" a="1"/>
  <c r="N30" i="13" a="1"/>
  <c r="J9" i="13" a="1"/>
  <c r="M58" i="13" a="1"/>
  <c r="I132" i="13" a="1"/>
  <c r="O123" i="12" a="1"/>
  <c r="M46" i="13" a="1"/>
  <c r="O117" i="12" a="1"/>
  <c r="N94" i="12" a="1"/>
  <c r="M110" i="12" a="1"/>
  <c r="M145" i="13" a="1"/>
  <c r="P117" i="12" a="1"/>
  <c r="I12" i="13" a="1"/>
  <c r="O21" i="13" a="1"/>
  <c r="N27" i="12" a="1"/>
  <c r="K129" i="13" a="1"/>
  <c r="J108" i="13" a="1"/>
  <c r="M120" i="12" a="1"/>
  <c r="M111" i="13" a="1"/>
  <c r="J61" i="12" a="1"/>
  <c r="N24" i="13" a="1"/>
  <c r="K30" i="13" a="1"/>
  <c r="O49" i="13" a="1"/>
  <c r="M85" i="13" a="1"/>
  <c r="I114" i="13" a="1"/>
  <c r="O110" i="12" a="1"/>
  <c r="L132" i="13" a="1"/>
  <c r="O9" i="13" a="1"/>
  <c r="J49" i="12" a="1"/>
  <c r="O133" i="12" a="1"/>
  <c r="M46" i="12" a="1"/>
  <c r="O52" i="12" a="1"/>
  <c r="L67" i="12" a="1"/>
  <c r="N108" i="13" a="1"/>
  <c r="I129" i="13" a="1"/>
  <c r="J52" i="13" a="1"/>
  <c r="O108" i="13" a="1"/>
  <c r="P106" i="12" a="1"/>
  <c r="L24" i="13" a="1"/>
  <c r="L145" i="13" a="1"/>
  <c r="P67" i="12" a="1"/>
  <c r="P52" i="12" a="1"/>
  <c r="J120" i="13" a="1"/>
  <c r="L64" i="12" a="1"/>
  <c r="K61" i="12" a="1"/>
  <c r="O72" i="13" a="1"/>
  <c r="K21" i="12" a="1"/>
  <c r="N9" i="12" a="1"/>
  <c r="P94" i="12" a="1"/>
  <c r="I70" i="13" a="1"/>
  <c r="I58" i="12" a="1"/>
  <c r="O15" i="12" a="1"/>
  <c r="L85" i="13" a="1"/>
  <c r="K46" i="13" a="1"/>
  <c r="J141" i="13" a="1"/>
  <c r="M106" i="12" a="1"/>
  <c r="K117" i="13" a="1"/>
  <c r="P64" i="12" a="1"/>
  <c r="I52" i="12" a="1"/>
  <c r="K18" i="13" a="1"/>
  <c r="L152" i="13" a="1"/>
  <c r="P73" i="13" a="1"/>
  <c r="J105" i="13" a="1"/>
  <c r="L120" i="13" a="1"/>
  <c r="O61" i="13" a="1"/>
  <c r="K91" i="12" a="1"/>
  <c r="M117" i="12" a="1"/>
  <c r="J55" i="13" a="1"/>
  <c r="I49" i="12" a="1"/>
  <c r="O141" i="13" a="1"/>
  <c r="J12" i="13" a="1"/>
  <c r="M39" i="13" a="1"/>
  <c r="K58" i="13" a="1"/>
  <c r="O88" i="13" a="1"/>
  <c r="M21" i="13" a="1"/>
  <c r="N103" i="12" a="1"/>
  <c r="N79" i="13" a="1"/>
  <c r="J129" i="13" a="1"/>
  <c r="I30" i="13" a="1"/>
  <c r="M105" i="13" a="1"/>
  <c r="K64" i="12" a="1"/>
  <c r="O63" i="13" a="1"/>
  <c r="P70" i="12" a="1"/>
  <c r="N52" i="12" a="1"/>
  <c r="L73" i="12" a="1"/>
  <c r="P79" i="12" a="1"/>
  <c r="N141" i="13" a="1"/>
  <c r="P43" i="12" a="1"/>
  <c r="M12" i="12" a="1"/>
  <c r="L52" i="13" a="1"/>
  <c r="N70" i="12" a="1"/>
  <c r="M70" i="13" a="1"/>
  <c r="J117" i="12" a="1"/>
  <c r="J61" i="13" a="1"/>
  <c r="N117" i="12" a="1"/>
  <c r="M64" i="12" a="1"/>
  <c r="M82" i="13" a="1"/>
  <c r="K27" i="12" a="1"/>
  <c r="L127" i="12" a="1"/>
  <c r="O105" i="13" a="1"/>
  <c r="K27" i="13" a="1"/>
  <c r="O85" i="13" a="1"/>
  <c r="J100" i="12" a="1"/>
  <c r="L79" i="13" a="1"/>
  <c r="L94" i="12" a="1"/>
  <c r="I24" i="13" a="1"/>
  <c r="M30" i="13" a="1"/>
  <c r="O18" i="12" a="1"/>
  <c r="L126" i="13" a="1"/>
  <c r="N18" i="13" a="1"/>
  <c r="M97" i="12" a="1"/>
  <c r="I21" i="13" a="1"/>
  <c r="L105" i="13" a="1"/>
  <c r="O106" i="12" a="1"/>
  <c r="I141" i="13" a="1"/>
  <c r="L27" i="12" a="1"/>
  <c r="I152" i="13" a="1"/>
  <c r="M70" i="12" a="1"/>
  <c r="M132" i="13" a="1"/>
  <c r="J145" i="13" a="1"/>
  <c r="I9" i="13" a="1"/>
  <c r="M103" i="12" a="1"/>
  <c r="P58" i="12" a="1"/>
  <c r="N76" i="13" a="1"/>
  <c r="L79" i="12" a="1"/>
  <c r="L27" i="13" a="1"/>
  <c r="I79" i="12" a="1"/>
  <c r="I111" i="13" a="1"/>
  <c r="M120" i="13" a="1"/>
  <c r="L114" i="13" a="1"/>
  <c r="N55" i="13" a="1"/>
  <c r="P15" i="12" a="1"/>
  <c r="K43" i="13" a="1"/>
  <c r="I82" i="13" a="1"/>
  <c r="N132" i="13" a="1"/>
  <c r="J24" i="12" a="1"/>
  <c r="L58" i="13" a="1"/>
  <c r="K88" i="13" a="1"/>
  <c r="N85" i="13" a="1"/>
  <c r="I79" i="13" a="1"/>
  <c r="M141" i="13" a="1"/>
  <c r="K127" i="12" a="1"/>
  <c r="M138" i="13" a="1"/>
  <c r="K152" i="13" a="1"/>
  <c r="N114" i="13" a="1"/>
  <c r="P52" i="13" a="1"/>
  <c r="O129" i="13" a="1"/>
  <c r="O58" i="12" a="1"/>
  <c r="L106" i="12" a="1"/>
  <c r="O67" i="12" a="1"/>
  <c r="N120" i="13" a="1"/>
  <c r="O91" i="12" a="1"/>
  <c r="J43" i="12" a="1"/>
  <c r="Q127" i="12" a="1"/>
  <c r="I18" i="12" a="1"/>
  <c r="I61" i="13" a="1"/>
  <c r="L138" i="13" a="1"/>
  <c r="N39" i="13" a="1"/>
  <c r="O145" i="13" a="1"/>
  <c r="K111" i="13" a="1"/>
  <c r="L111" i="13" a="1"/>
  <c r="P30" i="12" a="1"/>
  <c r="M39" i="12" a="1"/>
  <c r="I55" i="13" a="1"/>
  <c r="K52" i="12" a="1"/>
  <c r="J18" i="13" a="1"/>
  <c r="L55" i="12" a="1"/>
  <c r="O73" i="12" a="1"/>
  <c r="L21" i="13" a="1"/>
  <c r="L49" i="12" a="1"/>
  <c r="L76" i="13" a="1"/>
  <c r="K49" i="13" a="1"/>
  <c r="M123" i="12" a="1"/>
  <c r="O43" i="12" a="1"/>
  <c r="L9" i="13" a="1"/>
  <c r="N12" i="12" a="1"/>
  <c r="O114" i="13" a="1"/>
  <c r="I88" i="13" a="1"/>
  <c r="N49" i="12" a="1"/>
  <c r="K58" i="12" a="1"/>
  <c r="J126" i="13" a="1"/>
  <c r="L30" i="12" a="1"/>
  <c r="N79" i="12" a="1"/>
  <c r="J123" i="12" a="1"/>
  <c r="K85" i="13" a="1"/>
  <c r="K67" i="12" a="1"/>
  <c r="I63" i="13" a="1"/>
  <c r="M24" i="12" a="1"/>
  <c r="P120" i="12" a="1"/>
  <c r="I76" i="12" a="1"/>
  <c r="N126" i="13" a="1"/>
  <c r="M91" i="12" a="1"/>
  <c r="N123" i="12" a="1"/>
  <c r="L72" i="13" a="1"/>
  <c r="L46" i="13" a="1"/>
  <c r="O126" i="13" a="1"/>
  <c r="P123" i="12" a="1"/>
  <c r="O30" i="12" a="1"/>
  <c r="I21" i="12" a="1"/>
  <c r="L110" i="12" a="1"/>
  <c r="N46" i="13" a="1"/>
  <c r="N111" i="13" a="1"/>
  <c r="L117" i="13" a="1"/>
  <c r="O43" i="13" a="1"/>
  <c r="N127" i="12" a="1"/>
  <c r="L123" i="12" a="1"/>
  <c r="O111" i="13" a="1"/>
  <c r="L97" i="12" a="1"/>
  <c r="O64" i="12" a="1"/>
  <c r="I18" i="13" a="1"/>
  <c r="J67" i="12" a="1"/>
  <c r="I30" i="12" a="1"/>
  <c r="I52" i="13" a="1"/>
  <c r="I100" i="12" a="1"/>
  <c r="L129" i="13" a="1"/>
  <c r="N9" i="13" a="1"/>
  <c r="N120" i="12" a="1"/>
  <c r="J110" i="12" a="1"/>
  <c r="I12" i="12" a="1"/>
  <c r="K15" i="13" a="1"/>
  <c r="M18" i="13" a="1"/>
  <c r="J82" i="13" a="1"/>
  <c r="I39" i="12" a="1"/>
  <c r="J70" i="13" a="1"/>
  <c r="K123" i="12" a="1"/>
  <c r="I85" i="13" a="1"/>
  <c r="J127" i="12" a="1"/>
  <c r="M52" i="13" a="1"/>
  <c r="J79" i="12" a="1"/>
  <c r="I43" i="13" a="1"/>
  <c r="I123" i="12" a="1"/>
  <c r="J103" i="12" a="1"/>
  <c r="K55" i="13" a="1"/>
  <c r="J72" i="13" a="1"/>
  <c r="L70" i="12" a="1"/>
  <c r="I72" i="13" a="1"/>
  <c r="L91" i="12" a="1"/>
  <c r="N91" i="12" a="1"/>
  <c r="M49" i="12" a="1"/>
  <c r="O58" i="13" a="1"/>
  <c r="I39" i="13" a="1"/>
  <c r="N43" i="13" a="1"/>
  <c r="L63" i="13" a="1"/>
  <c r="P46" i="12" a="1"/>
  <c r="I70" i="12" a="1"/>
  <c r="K120" i="13" a="1"/>
  <c r="P91" i="12" a="1"/>
  <c r="K94" i="12" a="1"/>
  <c r="K12" i="13" a="1"/>
  <c r="M117" i="13" a="1"/>
  <c r="J94" i="13" l="1" a="1"/>
  <c r="J94" i="13" s="1"/>
  <c r="O94" i="13" a="1"/>
  <c r="O94" i="13" s="1"/>
  <c r="L113" i="12"/>
  <c r="M85" i="12" a="1"/>
  <c r="M85" i="12" s="1"/>
  <c r="K122" i="13"/>
  <c r="O85" i="12" a="1"/>
  <c r="O85" i="12" s="1"/>
  <c r="L94" i="13" a="1"/>
  <c r="L94" i="13" s="1"/>
  <c r="J113" i="12"/>
  <c r="M113" i="12"/>
  <c r="I113" i="12"/>
  <c r="P85" i="12" a="1"/>
  <c r="P85" i="12" s="1"/>
  <c r="K85" i="12" a="1"/>
  <c r="K85" i="12" s="1"/>
  <c r="N122" i="13"/>
  <c r="N113" i="12"/>
  <c r="K94" i="13" a="1"/>
  <c r="K94" i="13" s="1"/>
  <c r="M94" i="13" a="1"/>
  <c r="M94" i="13" s="1"/>
  <c r="I122" i="13"/>
  <c r="P123" i="12"/>
  <c r="O91" i="12"/>
  <c r="J30" i="12"/>
  <c r="J43" i="12"/>
  <c r="J46" i="13"/>
  <c r="K24" i="12"/>
  <c r="M18" i="12"/>
  <c r="J12" i="12"/>
  <c r="L61" i="12"/>
  <c r="K76" i="12"/>
  <c r="P61" i="12"/>
  <c r="I70" i="12"/>
  <c r="O126" i="13"/>
  <c r="N120" i="13"/>
  <c r="M30" i="13"/>
  <c r="K141" i="13"/>
  <c r="J27" i="13"/>
  <c r="P49" i="12"/>
  <c r="M94" i="12"/>
  <c r="J120" i="12"/>
  <c r="K12" i="13"/>
  <c r="O49" i="12"/>
  <c r="P46" i="12"/>
  <c r="L46" i="13"/>
  <c r="O67" i="12"/>
  <c r="I24" i="13"/>
  <c r="K126" i="13"/>
  <c r="J106" i="12"/>
  <c r="M63" i="13"/>
  <c r="M72" i="13"/>
  <c r="I145" i="13"/>
  <c r="N15" i="12"/>
  <c r="O30" i="12"/>
  <c r="I15" i="13"/>
  <c r="L63" i="13"/>
  <c r="L72" i="13"/>
  <c r="L106" i="12"/>
  <c r="L94" i="12"/>
  <c r="P73" i="12"/>
  <c r="L132" i="13"/>
  <c r="K73" i="12"/>
  <c r="I27" i="12"/>
  <c r="O61" i="12"/>
  <c r="L15" i="12"/>
  <c r="M21" i="12"/>
  <c r="M79" i="12"/>
  <c r="N43" i="13"/>
  <c r="N123" i="12"/>
  <c r="O58" i="12"/>
  <c r="L79" i="13"/>
  <c r="J105" i="13"/>
  <c r="M9" i="12"/>
  <c r="N97" i="12"/>
  <c r="K145" i="13"/>
  <c r="J15" i="13"/>
  <c r="O117" i="13"/>
  <c r="K94" i="12"/>
  <c r="J43" i="13"/>
  <c r="I39" i="13"/>
  <c r="M91" i="12"/>
  <c r="O129" i="13"/>
  <c r="J100" i="12"/>
  <c r="O110" i="12"/>
  <c r="O76" i="12"/>
  <c r="K46" i="12"/>
  <c r="L30" i="13"/>
  <c r="M108" i="13"/>
  <c r="O55" i="13"/>
  <c r="N117" i="13"/>
  <c r="O58" i="13"/>
  <c r="N126" i="13"/>
  <c r="P52" i="13"/>
  <c r="O85" i="13"/>
  <c r="J15" i="12"/>
  <c r="I114" i="13"/>
  <c r="M15" i="12"/>
  <c r="L55" i="13"/>
  <c r="K117" i="12"/>
  <c r="I64" i="12"/>
  <c r="I126" i="13"/>
  <c r="M49" i="12"/>
  <c r="I76" i="12"/>
  <c r="N114" i="13"/>
  <c r="K27" i="13"/>
  <c r="O9" i="13"/>
  <c r="M85" i="13"/>
  <c r="P39" i="12"/>
  <c r="M126" i="13"/>
  <c r="N129" i="13"/>
  <c r="I120" i="12"/>
  <c r="P91" i="12"/>
  <c r="N100" i="12"/>
  <c r="N91" i="12"/>
  <c r="P120" i="12"/>
  <c r="O105" i="13"/>
  <c r="M117" i="13"/>
  <c r="O49" i="13"/>
  <c r="O152" i="13"/>
  <c r="J73" i="12"/>
  <c r="N105" i="13"/>
  <c r="M67" i="12"/>
  <c r="I133" i="12"/>
  <c r="K9" i="12"/>
  <c r="L91" i="12"/>
  <c r="M24" i="12"/>
  <c r="K152" i="13"/>
  <c r="L127" i="12"/>
  <c r="L39" i="13"/>
  <c r="K30" i="13"/>
  <c r="M76" i="12"/>
  <c r="J27" i="12"/>
  <c r="O55" i="12"/>
  <c r="P76" i="12"/>
  <c r="J88" i="13"/>
  <c r="L12" i="13"/>
  <c r="I72" i="13"/>
  <c r="I63" i="13"/>
  <c r="M138" i="13"/>
  <c r="I21" i="12"/>
  <c r="N24" i="13"/>
  <c r="I9" i="12"/>
  <c r="O46" i="13"/>
  <c r="I127" i="12"/>
  <c r="K120" i="13"/>
  <c r="L70" i="12"/>
  <c r="K67" i="12"/>
  <c r="K127" i="12"/>
  <c r="K27" i="12"/>
  <c r="P73" i="13"/>
  <c r="J61" i="12"/>
  <c r="L43" i="12"/>
  <c r="O46" i="12"/>
  <c r="K133" i="12"/>
  <c r="O94" i="12"/>
  <c r="N55" i="12"/>
  <c r="J63" i="13"/>
  <c r="J72" i="13"/>
  <c r="K85" i="13"/>
  <c r="M141" i="13"/>
  <c r="M82" i="13"/>
  <c r="L152" i="13"/>
  <c r="M111" i="13"/>
  <c r="N82" i="13"/>
  <c r="P12" i="12"/>
  <c r="K105" i="13"/>
  <c r="N52" i="13"/>
  <c r="N73" i="12"/>
  <c r="K55" i="13"/>
  <c r="J123" i="12"/>
  <c r="I79" i="13"/>
  <c r="M64" i="12"/>
  <c r="K18" i="13"/>
  <c r="M120" i="12"/>
  <c r="P55" i="12"/>
  <c r="N67" i="12"/>
  <c r="K103" i="12"/>
  <c r="L18" i="13"/>
  <c r="O79" i="13"/>
  <c r="I108" i="13"/>
  <c r="J103" i="12"/>
  <c r="N79" i="12"/>
  <c r="N85" i="13"/>
  <c r="N117" i="12"/>
  <c r="I52" i="12"/>
  <c r="J108" i="13"/>
  <c r="K21" i="13"/>
  <c r="K108" i="13"/>
  <c r="O15" i="13"/>
  <c r="O70" i="13"/>
  <c r="J79" i="13"/>
  <c r="O12" i="13"/>
  <c r="I123" i="12"/>
  <c r="L30" i="12"/>
  <c r="K88" i="13"/>
  <c r="J61" i="13"/>
  <c r="P64" i="12"/>
  <c r="K129" i="13"/>
  <c r="M24" i="13"/>
  <c r="K100" i="12"/>
  <c r="J58" i="13"/>
  <c r="I58" i="13"/>
  <c r="I105" i="13"/>
  <c r="O27" i="12"/>
  <c r="I43" i="13"/>
  <c r="J126" i="13"/>
  <c r="L58" i="13"/>
  <c r="J117" i="12"/>
  <c r="K117" i="13"/>
  <c r="N27" i="12"/>
  <c r="O39" i="12"/>
  <c r="I117" i="13"/>
  <c r="K43" i="12"/>
  <c r="M73" i="12"/>
  <c r="J58" i="12"/>
  <c r="J133" i="12"/>
  <c r="J79" i="12"/>
  <c r="K58" i="12"/>
  <c r="J24" i="12"/>
  <c r="M70" i="13"/>
  <c r="M106" i="12"/>
  <c r="O21" i="13"/>
  <c r="N58" i="13"/>
  <c r="J76" i="13"/>
  <c r="O12" i="12"/>
  <c r="N46" i="12"/>
  <c r="L15" i="13"/>
  <c r="I94" i="12"/>
  <c r="M52" i="13"/>
  <c r="N49" i="12"/>
  <c r="N132" i="13"/>
  <c r="N70" i="12"/>
  <c r="J141" i="13"/>
  <c r="I12" i="13"/>
  <c r="I110" i="12"/>
  <c r="J117" i="13"/>
  <c r="N27" i="13"/>
  <c r="J30" i="13"/>
  <c r="O97" i="12"/>
  <c r="K82" i="13"/>
  <c r="J127" i="12"/>
  <c r="I88" i="13"/>
  <c r="I82" i="13"/>
  <c r="L52" i="13"/>
  <c r="K46" i="13"/>
  <c r="P117" i="12"/>
  <c r="P110" i="12"/>
  <c r="J91" i="12"/>
  <c r="P133" i="12"/>
  <c r="K70" i="12"/>
  <c r="I85" i="13"/>
  <c r="O114" i="13"/>
  <c r="K43" i="13"/>
  <c r="M12" i="12"/>
  <c r="L85" i="13"/>
  <c r="M145" i="13"/>
  <c r="O120" i="13"/>
  <c r="L9" i="12"/>
  <c r="J39" i="12"/>
  <c r="L100" i="12"/>
  <c r="J18" i="12"/>
  <c r="L58" i="12"/>
  <c r="K123" i="12"/>
  <c r="N12" i="12"/>
  <c r="P15" i="12"/>
  <c r="P43" i="12"/>
  <c r="O15" i="12"/>
  <c r="M110" i="12"/>
  <c r="L76" i="12"/>
  <c r="K39" i="12"/>
  <c r="N30" i="12"/>
  <c r="L18" i="12"/>
  <c r="K138" i="13"/>
  <c r="P18" i="12"/>
  <c r="J70" i="13"/>
  <c r="L9" i="13"/>
  <c r="N55" i="13"/>
  <c r="N141" i="13"/>
  <c r="I58" i="12"/>
  <c r="N94" i="12"/>
  <c r="K76" i="13"/>
  <c r="N152" i="13"/>
  <c r="I43" i="12"/>
  <c r="J21" i="13"/>
  <c r="I46" i="12"/>
  <c r="N106" i="12"/>
  <c r="I39" i="12"/>
  <c r="O43" i="12"/>
  <c r="L114" i="13"/>
  <c r="P79" i="12"/>
  <c r="I70" i="13"/>
  <c r="O117" i="12"/>
  <c r="O127" i="12"/>
  <c r="J49" i="13"/>
  <c r="L108" i="13"/>
  <c r="M49" i="13"/>
  <c r="I49" i="13"/>
  <c r="K55" i="12"/>
  <c r="J82" i="13"/>
  <c r="M123" i="12"/>
  <c r="M120" i="13"/>
  <c r="L73" i="12"/>
  <c r="P94" i="12"/>
  <c r="M46" i="13"/>
  <c r="L12" i="12"/>
  <c r="K24" i="13"/>
  <c r="K132" i="13"/>
  <c r="M52" i="12"/>
  <c r="O52" i="13"/>
  <c r="N110" i="12"/>
  <c r="M18" i="13"/>
  <c r="K49" i="13"/>
  <c r="I111" i="13"/>
  <c r="N52" i="12"/>
  <c r="N9" i="12"/>
  <c r="O123" i="12"/>
  <c r="I24" i="12"/>
  <c r="M27" i="12"/>
  <c r="J85" i="13"/>
  <c r="P27" i="12"/>
  <c r="N61" i="12"/>
  <c r="K9" i="13"/>
  <c r="K15" i="13"/>
  <c r="L76" i="13"/>
  <c r="I79" i="12"/>
  <c r="P70" i="12"/>
  <c r="K21" i="12"/>
  <c r="I132" i="13"/>
  <c r="N64" i="12"/>
  <c r="O132" i="13"/>
  <c r="N12" i="13"/>
  <c r="N63" i="13"/>
  <c r="N72" i="13"/>
  <c r="I103" i="12"/>
  <c r="I12" i="12"/>
  <c r="L49" i="12"/>
  <c r="L27" i="13"/>
  <c r="O63" i="13"/>
  <c r="O72" i="13"/>
  <c r="M58" i="13"/>
  <c r="J70" i="12"/>
  <c r="O24" i="13"/>
  <c r="O76" i="13"/>
  <c r="N70" i="13"/>
  <c r="J21" i="12"/>
  <c r="M30" i="12"/>
  <c r="J110" i="12"/>
  <c r="L21" i="13"/>
  <c r="L79" i="12"/>
  <c r="K64" i="12"/>
  <c r="K61" i="12"/>
  <c r="J9" i="13"/>
  <c r="K49" i="12"/>
  <c r="I15" i="12"/>
  <c r="I117" i="12"/>
  <c r="K110" i="12"/>
  <c r="J138" i="13"/>
  <c r="I120" i="13"/>
  <c r="N120" i="12"/>
  <c r="O73" i="12"/>
  <c r="N76" i="13"/>
  <c r="M105" i="13"/>
  <c r="L64" i="12"/>
  <c r="M58" i="12"/>
  <c r="O120" i="12"/>
  <c r="I55" i="12"/>
  <c r="O27" i="13"/>
  <c r="M43" i="12"/>
  <c r="J9" i="12"/>
  <c r="N9" i="13"/>
  <c r="L55" i="12"/>
  <c r="P58" i="12"/>
  <c r="I30" i="13"/>
  <c r="J120" i="13"/>
  <c r="N30" i="13"/>
  <c r="P64" i="13"/>
  <c r="J97" i="12"/>
  <c r="K15" i="12"/>
  <c r="J152" i="13"/>
  <c r="J114" i="13"/>
  <c r="N49" i="13"/>
  <c r="L129" i="13"/>
  <c r="J18" i="13"/>
  <c r="M103" i="12"/>
  <c r="J129" i="13"/>
  <c r="P52" i="12"/>
  <c r="M79" i="13"/>
  <c r="N15" i="13"/>
  <c r="O82" i="13"/>
  <c r="M61" i="12"/>
  <c r="L103" i="12"/>
  <c r="L39" i="12"/>
  <c r="L21" i="12"/>
  <c r="I100" i="12"/>
  <c r="K52" i="12"/>
  <c r="I9" i="13"/>
  <c r="N79" i="13"/>
  <c r="P67" i="12"/>
  <c r="M129" i="13"/>
  <c r="O18" i="13"/>
  <c r="N43" i="12"/>
  <c r="P97" i="12"/>
  <c r="M133" i="12"/>
  <c r="P127" i="12"/>
  <c r="L24" i="12"/>
  <c r="I52" i="13"/>
  <c r="I55" i="13"/>
  <c r="J145" i="13"/>
  <c r="N103" i="12"/>
  <c r="L145" i="13"/>
  <c r="I61" i="12"/>
  <c r="J55" i="12"/>
  <c r="L141" i="13"/>
  <c r="J111" i="13"/>
  <c r="O138" i="13"/>
  <c r="O70" i="12"/>
  <c r="N138" i="13"/>
  <c r="I30" i="12"/>
  <c r="M132" i="13"/>
  <c r="M21" i="13"/>
  <c r="L24" i="13"/>
  <c r="O30" i="13"/>
  <c r="L88" i="13"/>
  <c r="N58" i="12"/>
  <c r="M43" i="13"/>
  <c r="I97" i="12"/>
  <c r="M61" i="13"/>
  <c r="P21" i="12"/>
  <c r="J67" i="12"/>
  <c r="M39" i="12"/>
  <c r="M70" i="12"/>
  <c r="O88" i="13"/>
  <c r="P106" i="12"/>
  <c r="P103" i="12"/>
  <c r="L49" i="13"/>
  <c r="J132" i="13"/>
  <c r="K72" i="13"/>
  <c r="K63" i="13"/>
  <c r="L117" i="12"/>
  <c r="I18" i="13"/>
  <c r="P30" i="12"/>
  <c r="I152" i="13"/>
  <c r="K58" i="13"/>
  <c r="O108" i="13"/>
  <c r="J94" i="12"/>
  <c r="L70" i="13"/>
  <c r="O100" i="12"/>
  <c r="N133" i="12"/>
  <c r="N145" i="13"/>
  <c r="K79" i="13"/>
  <c r="O79" i="12"/>
  <c r="O64" i="12"/>
  <c r="L111" i="13"/>
  <c r="L27" i="12"/>
  <c r="M39" i="13"/>
  <c r="J52" i="13"/>
  <c r="L43" i="13"/>
  <c r="K106" i="12"/>
  <c r="O9" i="12"/>
  <c r="M152" i="13"/>
  <c r="N76" i="12"/>
  <c r="I76" i="13"/>
  <c r="N21" i="13"/>
  <c r="L97" i="12"/>
  <c r="K111" i="13"/>
  <c r="I141" i="13"/>
  <c r="J12" i="13"/>
  <c r="I129" i="13"/>
  <c r="K12" i="12"/>
  <c r="N24" i="12"/>
  <c r="L82" i="13"/>
  <c r="M100" i="12"/>
  <c r="J52" i="12"/>
  <c r="M15" i="13"/>
  <c r="K39" i="13"/>
  <c r="O111" i="13"/>
  <c r="O145" i="13"/>
  <c r="O106" i="12"/>
  <c r="O141" i="13"/>
  <c r="N108" i="13"/>
  <c r="O24" i="12"/>
  <c r="J39" i="13"/>
  <c r="K120" i="12"/>
  <c r="I73" i="12"/>
  <c r="L46" i="12"/>
  <c r="I67" i="12"/>
  <c r="N61" i="13"/>
  <c r="L123" i="12"/>
  <c r="L105" i="13"/>
  <c r="I49" i="12"/>
  <c r="L67" i="12"/>
  <c r="N39" i="12"/>
  <c r="J76" i="12"/>
  <c r="I106" i="12"/>
  <c r="O21" i="12"/>
  <c r="P100" i="12"/>
  <c r="K70" i="13"/>
  <c r="J64" i="12"/>
  <c r="N127" i="12"/>
  <c r="N39" i="13"/>
  <c r="I21" i="13"/>
  <c r="J55" i="13"/>
  <c r="I138" i="13"/>
  <c r="K30" i="12"/>
  <c r="L133" i="12"/>
  <c r="M76" i="13"/>
  <c r="N88" i="13"/>
  <c r="M55" i="12"/>
  <c r="P24" i="12"/>
  <c r="O43" i="13"/>
  <c r="L138" i="13"/>
  <c r="M97" i="12"/>
  <c r="M117" i="12"/>
  <c r="O52" i="12"/>
  <c r="N21" i="12"/>
  <c r="M127" i="12"/>
  <c r="O103" i="12"/>
  <c r="M55" i="13"/>
  <c r="K114" i="13"/>
  <c r="L120" i="12"/>
  <c r="K61" i="13"/>
  <c r="L117" i="13"/>
  <c r="I61" i="13"/>
  <c r="N18" i="13"/>
  <c r="K91" i="12"/>
  <c r="M46" i="12"/>
  <c r="K18" i="12"/>
  <c r="M27" i="13"/>
  <c r="I27" i="13"/>
  <c r="K79" i="12"/>
  <c r="O39" i="13"/>
  <c r="J46" i="12"/>
  <c r="L61" i="13"/>
  <c r="N111" i="13"/>
  <c r="I18" i="12"/>
  <c r="L126" i="13"/>
  <c r="O61" i="13"/>
  <c r="O133" i="12"/>
  <c r="I46" i="13"/>
  <c r="I91" i="12"/>
  <c r="M114" i="13"/>
  <c r="L52" i="12"/>
  <c r="K52" i="13"/>
  <c r="M9" i="13"/>
  <c r="M88" i="13"/>
  <c r="N46" i="13"/>
  <c r="Q127" i="12"/>
  <c r="O18" i="12"/>
  <c r="L120" i="13"/>
  <c r="J49" i="12"/>
  <c r="N18" i="12"/>
  <c r="J24" i="13"/>
  <c r="P9" i="12"/>
  <c r="M12" i="13"/>
  <c r="Q110" i="12"/>
  <c r="K97" i="12"/>
  <c r="L110" i="12"/>
  <c r="U102" i="12"/>
  <c r="U20" i="12" a="1"/>
  <c r="U20" i="12" s="1"/>
  <c r="U90" i="12"/>
  <c r="O32" i="13"/>
  <c r="N32" i="12"/>
  <c r="U93" i="12"/>
  <c r="U48" i="12"/>
  <c r="U122" i="12"/>
  <c r="M87" i="12" a="1"/>
  <c r="M87" i="12" s="1"/>
  <c r="I97" i="13" a="1"/>
  <c r="I97" i="13" s="1"/>
  <c r="L87" i="12" a="1"/>
  <c r="L87" i="12" s="1"/>
  <c r="U105" i="12"/>
  <c r="K113" i="12"/>
  <c r="M97" i="13" a="1"/>
  <c r="M97" i="13" s="1"/>
  <c r="L32" i="13"/>
  <c r="U78" i="12" a="1"/>
  <c r="U78" i="12" s="1"/>
  <c r="U54" i="12"/>
  <c r="U42" i="12" a="1"/>
  <c r="U42" i="12" s="1"/>
  <c r="J32" i="12"/>
  <c r="Q113" i="12"/>
  <c r="U40" i="12"/>
  <c r="U38" i="12"/>
  <c r="N87" i="12" a="1"/>
  <c r="N87" i="12" s="1"/>
  <c r="U86" i="12"/>
  <c r="U87" i="12" s="1"/>
  <c r="Q87" i="12" a="1"/>
  <c r="Q87" i="12" s="1"/>
  <c r="J87" i="12" a="1"/>
  <c r="J87" i="12" s="1"/>
  <c r="P32" i="12"/>
  <c r="U23" i="12" a="1"/>
  <c r="U23" i="12" s="1"/>
  <c r="P87" i="12" a="1"/>
  <c r="P87" i="12" s="1"/>
  <c r="U66" i="12"/>
  <c r="I94" i="13" a="1"/>
  <c r="I94" i="13" s="1"/>
  <c r="L85" i="12" a="1"/>
  <c r="L85" i="12" s="1"/>
  <c r="U119" i="12"/>
  <c r="U63" i="12"/>
  <c r="L97" i="13" a="1"/>
  <c r="L97" i="13" s="1"/>
  <c r="U29" i="12" a="1"/>
  <c r="U29" i="12" s="1"/>
  <c r="U45" i="12"/>
  <c r="N32" i="13"/>
  <c r="J97" i="13" a="1"/>
  <c r="J97" i="13" s="1"/>
  <c r="K87" i="12" a="1"/>
  <c r="K87" i="12" s="1"/>
  <c r="U72" i="12" a="1"/>
  <c r="U72" i="12" s="1"/>
  <c r="L32" i="12"/>
  <c r="U135" i="12" a="1"/>
  <c r="U135" i="12" s="1"/>
  <c r="U11" i="12" a="1"/>
  <c r="U11" i="12" s="1"/>
  <c r="U8" i="12" a="1"/>
  <c r="U8" i="12" s="1"/>
  <c r="N97" i="13" a="1"/>
  <c r="N97" i="13" s="1"/>
  <c r="J85" i="12" a="1"/>
  <c r="J85" i="12" s="1"/>
  <c r="K97" i="13" a="1"/>
  <c r="K97" i="13" s="1"/>
  <c r="U75" i="12" a="1"/>
  <c r="U75" i="12" s="1"/>
  <c r="I87" i="12" a="1"/>
  <c r="I87" i="12" s="1"/>
  <c r="L122" i="13"/>
  <c r="N85" i="12" a="1"/>
  <c r="N85" i="12" s="1"/>
  <c r="U82" i="12" a="1"/>
  <c r="U82" i="12" s="1"/>
  <c r="U60" i="12"/>
  <c r="K32" i="13"/>
  <c r="Q85" i="12" a="1"/>
  <c r="Q85" i="12" s="1"/>
  <c r="U85" i="12" s="1" a="1"/>
  <c r="U85" i="12" s="1"/>
  <c r="U84" i="12" a="1"/>
  <c r="U84" i="12" s="1"/>
  <c r="O113" i="12"/>
  <c r="U14" i="12" a="1"/>
  <c r="U14" i="12" s="1"/>
  <c r="U17" i="12" a="1"/>
  <c r="U17" i="12" s="1"/>
  <c r="U99" i="12"/>
  <c r="N94" i="13" a="1"/>
  <c r="N94" i="13" s="1"/>
  <c r="J32" i="13"/>
  <c r="O32" i="12"/>
  <c r="O122" i="13"/>
  <c r="I32" i="13"/>
  <c r="Q32" i="12"/>
  <c r="U35" i="12" a="1"/>
  <c r="U35" i="12" s="1"/>
  <c r="U26" i="12" a="1"/>
  <c r="U26" i="12" s="1"/>
  <c r="M122" i="13"/>
  <c r="U132" i="12"/>
  <c r="U96" i="12"/>
  <c r="K32" i="12"/>
  <c r="U116" i="12"/>
  <c r="P130" i="12" s="1"/>
  <c r="P113" i="12"/>
  <c r="M32" i="12"/>
  <c r="U51" i="12" a="1"/>
  <c r="U51" i="12" s="1"/>
  <c r="I32" i="12"/>
  <c r="O97" i="13" a="1"/>
  <c r="O97" i="13" s="1"/>
  <c r="O87" i="12" a="1"/>
  <c r="O87" i="12" s="1"/>
  <c r="M32" i="13"/>
  <c r="U57" i="12"/>
  <c r="U69" i="12" a="1"/>
  <c r="U69" i="12" s="1"/>
  <c r="J122" i="13"/>
  <c r="J67" i="13" a="1"/>
  <c r="I73" i="13" a="1"/>
  <c r="Q64" i="12" a="1"/>
  <c r="M36" i="12" a="1"/>
  <c r="Q123" i="12" a="1"/>
  <c r="J73" i="13" a="1"/>
  <c r="I36" i="13" a="1"/>
  <c r="Q120" i="12" a="1"/>
  <c r="I88" i="12" a="1"/>
  <c r="O73" i="13" a="1"/>
  <c r="M73" i="13" a="1"/>
  <c r="M88" i="12" a="1"/>
  <c r="N33" i="13"/>
  <c r="I33" i="12"/>
  <c r="L73" i="13" a="1"/>
  <c r="I98" i="13" a="1"/>
  <c r="J98" i="13" a="1"/>
  <c r="Q43" i="12" a="1"/>
  <c r="I64" i="13" a="1"/>
  <c r="L88" i="12" a="1"/>
  <c r="L33" i="12"/>
  <c r="K67" i="13" a="1"/>
  <c r="K64" i="13" a="1"/>
  <c r="J36" i="12" a="1"/>
  <c r="N36" i="13" a="1"/>
  <c r="K36" i="13" a="1"/>
  <c r="O88" i="12" a="1"/>
  <c r="J64" i="13" a="1"/>
  <c r="N98" i="13" a="1"/>
  <c r="Q97" i="12" a="1"/>
  <c r="Q39" i="12" a="1"/>
  <c r="K88" i="12" a="1"/>
  <c r="M36" i="13" a="1"/>
  <c r="Q55" i="12" a="1"/>
  <c r="O36" i="13" a="1"/>
  <c r="Q70" i="12" a="1"/>
  <c r="P36" i="12" a="1"/>
  <c r="Q36" i="12" a="1"/>
  <c r="Q106" i="12" a="1"/>
  <c r="Q103" i="12" a="1"/>
  <c r="J33" i="13"/>
  <c r="L36" i="12" a="1"/>
  <c r="I36" i="12" a="1"/>
  <c r="N64" i="13" a="1"/>
  <c r="L33" i="13"/>
  <c r="N67" i="13" a="1"/>
  <c r="K36" i="12" a="1"/>
  <c r="Q91" i="12" a="1"/>
  <c r="Q88" i="12" a="1"/>
  <c r="Q73" i="12" a="1"/>
  <c r="O33" i="12"/>
  <c r="Q58" i="12" a="1"/>
  <c r="Q61" i="12" a="1"/>
  <c r="J88" i="12" a="1"/>
  <c r="I33" i="13"/>
  <c r="O64" i="13" a="1"/>
  <c r="M33" i="12"/>
  <c r="M67" i="13" a="1"/>
  <c r="K73" i="13" a="1"/>
  <c r="J33" i="12"/>
  <c r="K33" i="13"/>
  <c r="Q21" i="12" a="1"/>
  <c r="N88" i="12" a="1"/>
  <c r="Q15" i="12" a="1"/>
  <c r="M33" i="13"/>
  <c r="N33" i="12"/>
  <c r="Q24" i="12" a="1"/>
  <c r="Q12" i="12" a="1"/>
  <c r="Q27" i="12" a="1"/>
  <c r="Q52" i="12" a="1"/>
  <c r="Q30" i="12" a="1"/>
  <c r="O67" i="13" a="1"/>
  <c r="O33" i="13"/>
  <c r="Q18" i="12" a="1"/>
  <c r="M64" i="13" a="1"/>
  <c r="Q94" i="12" a="1"/>
  <c r="P88" i="12" a="1"/>
  <c r="Q9" i="12" a="1"/>
  <c r="K33" i="12"/>
  <c r="L36" i="13" a="1"/>
  <c r="Q79" i="12" a="1"/>
  <c r="Q46" i="12" a="1"/>
  <c r="N36" i="12" a="1"/>
  <c r="I67" i="13" a="1"/>
  <c r="Q100" i="12" a="1"/>
  <c r="L64" i="13" a="1"/>
  <c r="Q49" i="12" a="1"/>
  <c r="Q67" i="12" a="1"/>
  <c r="K98" i="13" a="1"/>
  <c r="Q117" i="12" a="1"/>
  <c r="L67" i="13" a="1"/>
  <c r="J36" i="13" a="1"/>
  <c r="M98" i="13" a="1"/>
  <c r="Q76" i="12" a="1"/>
  <c r="O36" i="12" a="1"/>
  <c r="L98" i="13" a="1"/>
  <c r="N73" i="13" a="1"/>
  <c r="Q133" i="12" a="1"/>
  <c r="O98" i="13" a="1"/>
  <c r="P33" i="12"/>
  <c r="J130" i="12" l="1"/>
  <c r="Q70" i="12"/>
  <c r="U70" i="12" s="1" a="1"/>
  <c r="U70" i="12" s="1"/>
  <c r="Q58" i="12"/>
  <c r="U58" i="12" s="1"/>
  <c r="M36" i="13"/>
  <c r="O88" i="12"/>
  <c r="O98" i="13"/>
  <c r="Q52" i="12"/>
  <c r="U52" i="12" s="1"/>
  <c r="M36" i="12"/>
  <c r="Q117" i="12"/>
  <c r="U117" i="12" s="1"/>
  <c r="Q27" i="12"/>
  <c r="U27" i="12" s="1" a="1"/>
  <c r="U27" i="12" s="1"/>
  <c r="Q36" i="12"/>
  <c r="U36" i="12" s="1"/>
  <c r="K36" i="13"/>
  <c r="O67" i="13"/>
  <c r="U139" i="12" a="1"/>
  <c r="U139" i="12" s="1"/>
  <c r="I88" i="12"/>
  <c r="Q76" i="12"/>
  <c r="U76" i="12" s="1" a="1"/>
  <c r="U76" i="12" s="1"/>
  <c r="K98" i="13"/>
  <c r="Q9" i="12"/>
  <c r="U9" i="12" s="1" a="1"/>
  <c r="U9" i="12" s="1"/>
  <c r="Q12" i="12"/>
  <c r="U12" i="12" s="1" a="1"/>
  <c r="U12" i="12" s="1"/>
  <c r="U136" i="12" a="1"/>
  <c r="U136" i="12" s="1"/>
  <c r="L36" i="12"/>
  <c r="Q73" i="12"/>
  <c r="K88" i="12"/>
  <c r="N36" i="13"/>
  <c r="Q46" i="12"/>
  <c r="U46" i="12" s="1"/>
  <c r="Q30" i="12"/>
  <c r="U30" i="12" s="1" a="1"/>
  <c r="U30" i="12" s="1"/>
  <c r="L98" i="13"/>
  <c r="Q64" i="12"/>
  <c r="U64" i="12" s="1"/>
  <c r="Q67" i="12"/>
  <c r="U67" i="12" s="1" a="1"/>
  <c r="U67" i="12" s="1"/>
  <c r="P88" i="12"/>
  <c r="Q24" i="12"/>
  <c r="U24" i="12" s="1" a="1"/>
  <c r="U24" i="12" s="1"/>
  <c r="P36" i="12"/>
  <c r="J88" i="12"/>
  <c r="Q88" i="12"/>
  <c r="U88" i="12" s="1" a="1"/>
  <c r="U88" i="12" s="1"/>
  <c r="Q39" i="12"/>
  <c r="U39" i="12" s="1"/>
  <c r="J36" i="12"/>
  <c r="Q43" i="12"/>
  <c r="U43" i="12" s="1"/>
  <c r="Q79" i="12"/>
  <c r="U79" i="12" s="1" a="1"/>
  <c r="U79" i="12" s="1"/>
  <c r="L36" i="13"/>
  <c r="M98" i="13"/>
  <c r="Q49" i="12"/>
  <c r="U49" i="12" s="1"/>
  <c r="Q94" i="12"/>
  <c r="U94" i="12" s="1" a="1"/>
  <c r="U94" i="12" s="1"/>
  <c r="M67" i="13"/>
  <c r="O36" i="13"/>
  <c r="Q91" i="12"/>
  <c r="U91" i="12" s="1" a="1"/>
  <c r="U91" i="12" s="1"/>
  <c r="Q103" i="12"/>
  <c r="U103" i="12" s="1"/>
  <c r="K64" i="13"/>
  <c r="O73" i="13"/>
  <c r="N73" i="13"/>
  <c r="J73" i="13"/>
  <c r="I73" i="13"/>
  <c r="L64" i="13"/>
  <c r="M64" i="13"/>
  <c r="I36" i="12"/>
  <c r="K36" i="12"/>
  <c r="Q97" i="12"/>
  <c r="U97" i="12" s="1"/>
  <c r="K67" i="13"/>
  <c r="Q133" i="12"/>
  <c r="U133" i="12" s="1"/>
  <c r="I36" i="13"/>
  <c r="O36" i="12"/>
  <c r="J36" i="13"/>
  <c r="Q100" i="12"/>
  <c r="U100" i="12" s="1"/>
  <c r="Q18" i="12"/>
  <c r="U18" i="12" s="1" a="1"/>
  <c r="U18" i="12" s="1"/>
  <c r="Q15" i="12"/>
  <c r="U15" i="12" s="1" a="1"/>
  <c r="U15" i="12" s="1"/>
  <c r="Q61" i="12"/>
  <c r="U61" i="12" s="1"/>
  <c r="N67" i="13"/>
  <c r="N98" i="13"/>
  <c r="J98" i="13"/>
  <c r="Q120" i="12"/>
  <c r="U120" i="12" s="1"/>
  <c r="J67" i="13"/>
  <c r="I67" i="13"/>
  <c r="N88" i="12"/>
  <c r="Q55" i="12"/>
  <c r="U55" i="12" s="1"/>
  <c r="Q106" i="12"/>
  <c r="U106" i="12" s="1"/>
  <c r="L88" i="12"/>
  <c r="I98" i="13"/>
  <c r="M88" i="12"/>
  <c r="Q123" i="12"/>
  <c r="U123" i="12" s="1"/>
  <c r="L67" i="13"/>
  <c r="N36" i="12"/>
  <c r="Q21" i="12"/>
  <c r="U21" i="12" s="1" a="1"/>
  <c r="U21" i="12" s="1"/>
  <c r="K73" i="13"/>
  <c r="O64" i="13"/>
  <c r="N64" i="13"/>
  <c r="J64" i="13"/>
  <c r="I64" i="13"/>
  <c r="L73" i="13"/>
  <c r="M73" i="13"/>
  <c r="Q130" i="12"/>
  <c r="K130" i="12"/>
  <c r="M130" i="12"/>
  <c r="T130" i="12"/>
  <c r="S130" i="12"/>
  <c r="R130" i="12"/>
  <c r="U32" i="12"/>
  <c r="N130" i="12"/>
  <c r="L130" i="12"/>
  <c r="O130" i="12"/>
  <c r="I130" i="12"/>
  <c r="Q33" i="12"/>
  <c r="V130" i="12" l="1"/>
  <c r="U33" i="12"/>
  <c r="U125" i="12" a="1"/>
  <c r="U125" i="12" s="1"/>
  <c r="U130" i="12" s="1" a="1"/>
  <c r="U130" i="12" s="1"/>
  <c r="U108" i="12" a="1"/>
  <c r="U108" i="12" s="1"/>
  <c r="U113" i="12" s="1" a="1"/>
  <c r="U113" i="12" s="1"/>
  <c r="U109" i="12" a="1"/>
  <c r="U109" i="12" s="1"/>
  <c r="U126" i="12" a="1"/>
  <c r="U126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5" background="1" saveData="1">
    <dbPr connection="DSN=Revolve Redshift;" command="  SELECT p.wkyear::int yr, split_part(p.yrweek,'-',2)::int wk,   CASE WHEN siteflag = 'F' THEN 'F' ELSE 'R' END siteflag, count(shipmentid) units, sum(cust_filled) ontimeunits,   sum(case when cust_filled = 0 then case when cust_possible_reasons ilike '%address verification%' then 1 end end) addressverify,   sum(case when cust_filled = 0 then case when cust_possible_reasons ilike '%fraud verification%' then 1 end end) fraudverify,   sum(case when cust_filled = 0 then case when cust_possible_reasons ilike '%shipping upgrade%' then 1 end end) shippingupgrade,   sum(case when cust_filled = 0 then case when cust_possible_reasons ilike '%cs recharge%' then 1 end end) CSRecharge  FROM bi_report.fillrate_reason c INNER JOIN mars__id.id_yrweek p ON p.day = c.cust_duedate::date GROUP BY 1,2,3 ORDER BY 1 DESC, 2 DESC, 3;                           "/>
  </connection>
  <connection id="2" xr16:uid="{00000000-0015-0000-FFFF-FFFF01000000}" name="Connection1" type="1" refreshedVersion="5" background="1" saveData="1">
    <dbPr connection="DSN=Revolve Redshift;" command="  SELECT p.wkyear::int yr, split_part(p.yrweek,'-',2)::int wk,  CASE WHEN siteflag = 'F' THEN 'F' ELSE 'R' END siteflag, count(case when wh_filled is not null then shipmentid end) units, sum(wh_filled) ontimeunits,   sum(case when wh_filled = 0 then case when wh_possible_reasons ilike '%shipping upgrade%' then 1 end end) shippingupgrade,   sum(case when wh_filled = 0 then case when wh_possible_reasons ilike '%cs recharge%' then 1 end end) CSRecharge  FROM bi_report.fillrate_reason c INNER JOIN mars__id.id_yrweek p ON p.day = c.wh_duedate::date GROUP BY 1,2,3 ORDER BY 1 DESC, 2 DESC, 3;                             "/>
  </connection>
  <connection id="3" xr16:uid="{00000000-0015-0000-FFFF-FFFF02000000}" name="Connection10" type="1" refreshedVersion="5" background="1" saveData="1">
    <dbPr connection="DSN=Revolve Redshift;" command="  SELECT p.wkyear::int yr, split_part(p.yrweek,'-',2)::int wk, siteflag,  sum(picks)/nullif(sum(hoursshipping),0) PickRate,   sum(picks) picked, sum(hoursshipping) pick_hours,  sum(PackedTotal)/nullif(sum(hourspacking),0) PackRate, sum(totpackages) totpackages,  sum(PackedTotal) packed, sum(hourspacking) pack_hours,   sum(Rpck_Units) UnitsRepack, sum(HoursRepackaging) RepackRate,   sum(HoursReturns) ReturnRate, sum(Rc_UnitsReceived_excl_no_cost_prefix) Rec_Units,  sum(Rc_UnitsReceived) Rec_Units_all, sum(hoursReceiving) RecHours,  sum(Rstck_TotUnits) RestockUnits,   sum(HoursReturnStocking) RestockRate,   sum(stckunits) StockUnits, sum(hoursstocking) StockRate,  sum(ReturnedUnits) UnitsReturns, sum(hoursreturns) returnhours FROM ( SELECT t1.*, t2.Rc_UnitsReceived_excl_no_cost_prefix, CASE WHEN division ILIKE 'F_%' THEN 'F' ELSE 'R' END AS siteflag FROM bi_report.id_wh_daily_rs t1  LEFT JOIN (select t1.date, t1.id, min(rc_unitsreceived_excl_no_cost_prefix) Rc_UnitsReceived_excl_no_cost_prefix  FROM bi_report.id_wh_daily_rs t1 LEFT JOIN ( select trunc(lastscandate) as Date, username, count(*) as Rc_UnitsReceived_excl_no_cost_prefix, sum(case when lastscandate&gt;'2003-1-1' and receivedate&gt;'2003-1-1' then datediff(hour,receivedate, lastscandate) else 0 end) as Rc_TimeInReceiving from mars__revolveclothing_com___db.inventoryitemupdate  where qtyonhand = 1 and lower(trim(location)) != 'receiving' and lower(trim(previouslocation)) = 'receiving' and left(product,4) NOT IN ('REVO','GWRA','BTYS') AND NOT(cost = 0 AND left(product,4) = 'RBEA') and serialnumber not in (select serialnumber from mars__revolveclothing_com___db.inventoryitemupdate where notes ilike '%reverse receive%') group by Date, username) t2 ON t1.date = t2.date AND lower(t1.name) = lower(t2.username) WHERE t1.date&gt;=dateadd(YEAR, -2, CURRENT_DATE) group by 1,2) t2 on t1.date = t2.date and t1.id = t2.id WHERE t1.date&gt;=dateadd(YEAR, -2, CURRENT_DATE)) t INNER JOIN mars__id.id_yrweek p ON p.day = trunc(t.date)  GROUP BY 1,2,3 ORDER BY 1 DESC, 2 DESC, 3;       "/>
  </connection>
  <connection id="4" xr16:uid="{00000000-0015-0000-FFFF-FFFF03000000}" name="Connection11" type="1" refreshedVersion="5" background="1" saveData="1">
    <dbPr connection="DSN=Revolve Redshift;" command="  SELECT p.wkyear::int yr, split_part(p.yrweek,'-',2)::int wk, r.siteflag,   AVG(inrec) backlog,   AVG(CASE WHEN dailyrate&gt;50 THEN dailyrate END) AS daily_rcvd  FROM (  SELECT lastscandate::date AS day, siteflag, count(DISTINCT serialnumber) dailyrate  FROM mars__revolveclothing_com___db.inventoryitemupdate t1  LEFT JOIN mars__revolveclothing_com___db.product t2 ON t1.product = t2.code   WHERE qtyonhand = 1 AND lower(trim(t1.location)) != 'receiving' AND lower(trim(previouslocation)) = 'receiving' AND siteflag IS NOT NULL   AND serialnumber NOT IN (SELECT serialnumber FROM mars__revolveclothing_com___db.inventoryitemupdate WHERE notes ILIKE '%reverse receive%')   AND receivedate&gt;dateadd(YEAR, -2, CURRENT_DATE)  GROUP BY 1,2) r INNER JOIN mars__id.id_yrweek p ON p.&quot;day&quot; = r.&quot;day&quot;  RIGHT JOIN bi_report.id_receivingbacklog_rs b ON b.&quot;updatedate&quot; = r.&quot;day&quot; AND b.siteflag = r.siteflag WHERE r.siteflag IS NOT NULL GROUP BY 1,2,3 ORDER BY 1 DESC, 2 DESC, 3;                      "/>
  </connection>
  <connection id="5" xr16:uid="{00000000-0015-0000-FFFF-FFFF04000000}" name="Connection12" type="1" refreshedVersion="5" background="1" saveData="1">
    <dbPr connection="DSN=Revolve Redshift;" command="  SELECT p.wkyear::int yr, split_part(p.yrweek,'-',2)::int wk, siteflag, notrepackaged  FROM bi_report.id_repackbacklog_rs s INNER JOIN  (SELECT * FROM mars__id.id_yrweek    WHERE split_part(wkday,'-',2) = 2) p ON p.day = trunc(s.updatedate) ORDER BY 1 DESC, 2 DESC, 3;                              "/>
  </connection>
  <connection id="6" xr16:uid="{00000000-0015-0000-FFFF-FFFF05000000}" name="Connection13" type="1" refreshedVersion="5" background="1" saveData="1">
    <dbPr connection="DSN=Revolve Redshift;" command="  SELECT p.wkyear::int yr, split_part(p.yrweek,'-',2)::int wk, r.siteflag,   AVG(backlog) backlog,   AVG(CASE WHEN daily_returned&gt;20 THEN daily_returned END) AS daily_returned  FROM (  SELECT count(DISTINCT t1.trackingnumber) daily_returned, trunc(returndate) &quot;day&quot;,     CASE WHEN billtoaccount = '1A1A00' THEN 'F' WHEN billtoaccount in ('1A0993','977479835') THEN 'R' END AS siteflag  FROM mars__revolveclothing_com___db.shipmenttrackevent t1  JOIN mars__revolveclothing_com___db.shipment t2 ON t1.trackingnumber = t2.returntrackingnumber  WHERE t1.activitydate &gt; dateadd(YEAR, -2, CURRENT_DATE) AND t1.&quot;type&quot; = 'Delivery'     AND t1.billtoaccount IN ('1A1A00','1A0993','977479835') AND returntrackingnumber &lt;&gt; ''   GROUP BY 2,3) r INNER JOIN mars__id.id_yrweek p ON p.&quot;day&quot; = r.&quot;day&quot;  RIGHT JOIN bi_report.id_return_backlog_rs b ON b.&quot;day&quot; = r.&quot;day&quot; AND b.siteflag = r.siteflag WHERE r.siteflag IS NOT NULL GROUP BY 1,2,3 ORDER BY 1 DESC, 2 DESC, 3;                      "/>
  </connection>
  <connection id="7" xr16:uid="{00000000-0015-0000-FFFF-FFFF06000000}" name="Connection14" type="1" refreshedVersion="5" background="1" saveData="1">
    <dbPr connection="DSN=Revolve Redshift;" command="  SELECT p.wkyear::int yr, split_part(p.yrweek,'-',2)::int wk, siteflag,  count(DISTINCT name) employees, defaulttask,   sum(hoursrepackaging) repackhours, sum(HoursReturns) returnhours,   sum(returnedunits) unitsreturned,  sum(rpck_units) unitsrpck, sum(OT) ot FROM (  SELECT *, CASE WHEN division ILIKE 'F_%' THEN 'F' ELSE 'R' END AS siteflag   FROM bi_report.id_wh_daily_rs  WHERE date&gt;=dateadd(YEAR, -2, CURRENT_DATE)    AND lower(defaulttask) IN ('returns','repacking') ) t INNER JOIN mars__id.id_yrweek p ON p.day = trunc(t.date)  GROUP BY 1,2,3,5 ORDER BY 1 DESC, 2 DESC, 3, 5;                         "/>
  </connection>
  <connection id="8" xr16:uid="{00000000-0015-0000-FFFF-FFFF07000000}" name="Connection15" type="1" refreshedVersion="5" background="1" saveData="1">
    <dbPr connection="DSN=Revolve Redshift;" command="  SELECT p.wkyear::int yr, split_part(p.yrweek,'-',2)::int wk,    taskflag, errortype, severity, sum(qtyerror) AS qty FROM mars__revolveclothing_com___db.errorlog t INNER JOIN mars__id.id_yrweek p ON p.day = trunc(t.errordate)  WHERE date_part(YEAR, errordate)&gt;=date_part(YEAR,CURRENT_DATE)-2 GROUP BY 1,2,3,4,5 ORDER BY 1 DESC, 2 DESC, 3, 4, 5;                              "/>
  </connection>
  <connection id="9" xr16:uid="{00000000-0015-0000-FFFF-FFFF08000000}" name="Connection16" type="1" refreshedVersion="5" background="1" saveData="1">
    <dbPr connection="DSN=Revolve Redshift;" command="  SELECT p.wkyear::int yr, split_part(p.yrweek,'-',2)::int wk, siteflag,  sum(returnedunits) returnedunits FROM bi_report.id_wh_return_daily_cmb_vw s INNER JOIN mars__id.id_yrweek p ON p.day = s.updatetime  GROUP BY 1,2,3 ORDER BY 1 DESC, 2 DESC, 3;                                "/>
  </connection>
  <connection id="10" xr16:uid="{00000000-0015-0000-FFFF-FFFF09000000}" name="Connection17" type="1" refreshedVersion="5" background="1" saveData="1">
    <dbPr connection="DSN=Revolve Redshift;" command="  SELECT t.yr::int,t.wk::int,t.site,round((nTotal-nPckgs)::float/(nTotal-nMin),4) conrate,nTotal,nMin,nPckgs FROM (  SELECT p.wkyear yr, split_part(p.yrweek,'-',2) wk, CASE WHEN f.report_siteflag IN ('F') THEN 'F' ELSE 'R' END AS site,  count(DISTINCT c.invoice) nTotal, count(DISTINCT split_part(consolidatedinvoices,',',1)) nMin FROM mars__revolveclothing_com___db.consolidatedorder c LEFT JOIN mars__revolveclothing_com___db.shipment s ON c.invoice = s.invoice LEFT JOIN mars__revolveclothing_com___db.orders o ON c.invoice = o.invoicenum  INNER JOIN bi_report.siteflag f ON f.ordertype = s.ordertype INNER JOIN mars__id.id_yrweek p ON p.day = trunc(c.date) WHERE c.date&gt;=dateadd(YEAR,-2,CURRENT_DATE) AND s.trackingnumber &lt;&gt; ''  AND split_part(consolidatedinvoices,',',1) IN (SELECT split_part(consolidatedinvoices, ',', 1) FirstInvoice    FROM mars__revolveclothing_com___db.consolidatedorder t1   LEFT JOIN mars__revolveclothing_com___db.shipment t2 ON t1.invoice = t2.invoice   WHERE status IN ('shipped','refunded','refunding','returned','charged back') AND printbatch &gt; '2010-1-1'   GROUP BY 1 HAVING datediff(DAY, min(shipmentdate), max(shipmentdate)) BETWEEN 0 AND 6 AND (sum(CASE WHEN notes ILIKE '%SPLIT %' THEN 1 ELSE 0 END) = 0)) GROUP BY 1,2,3) t JOIN   (SELECT yr, wk, site, sum(nShip) nPckgs FROM (    SELECT min(yr) AS yr, min(wk) AS wk, pinvoice, site, count(DISTINCT trackingnumber) AS nShip FROM (     SELECT split_part(consolidatedinvoices,',',1) pinvoice, c.invoice, p.wkyear yr, split_part(p.yrweek,'-',2) wk, s.trackingnumber,      CASE WHEN f.report_siteflag IN ('F') THEN 'F' ELSE 'R' END AS site     FROM mars__revolveclothing_com___db.consolidatedorder c      LEFT JOIN mars__revolveclothing_com___db.shipment s ON c.invoice = s.invoice     LEFT JOIN mars__revolveclothing_com___db.orders o ON c.invoice = o.invoicenum      INNER JOIN bi_report.siteflag f ON f.ordertype = s.ordertype     INNER JOIN mars__id.id_yrweek p ON p.day = trunc(c.date)     WHERE c.date&gt;=dateadd(YEAR,-2,CURRENT_DATE) AND s.trackingnumber &lt;&gt; ''      AND split_part(consolidatedinvoices,',',1) IN (SELECT split_part(consolidatedinvoices, ',', 1) FirstInvoice        FROM mars__revolveclothing_com___db.consolidatedorder t1       LEFT JOIN mars__revolveclothing_com___db.shipment t2 ON t1.invoice = t2.invoice       WHERE status IN ('shipped','refunded','refunding','returned','charged back') AND printbatch &gt; '2010-1-1'       GROUP BY 1 HAVING datediff(DAY, min(shipmentdate), max(shipmentdate)) BETWEEN 0 AND 6 AND (sum(CASE WHEN notes ILIKE '%SPLIT %' THEN 1 ELSE 0 END) = 0))) GROUP BY 3,4)  GROUP BY 1,2,3) a ON t.YR = a.YR AND t.wk = a.wk AND t.site = a.site ORDER BY 1 DESC, 2 DESC, 3;  "/>
  </connection>
  <connection id="11" xr16:uid="{05E40BE5-71C3-44A9-9571-8C40BB18D332}" name="Connection18" type="1" refreshedVersion="8" background="1" saveData="1">
    <dbPr connection="DSN=Revolve Redshift;" command="  select tt.wkyear::int yr, split_part(tt.yrweek,'-',2)::int wk,t1.task_site as site, sum(case when t1.task not in ('Receiving','Repacking','Return','Stocking') then unit else 0 end) as outbound_units, sum(case when t1.task not in ('Receiving','Repacking','Return','Stocking') then hr else 0 end) as outbound_hrs, sum(case when t1.task in ('Receiving','Repacking','Return','Stocking') then unit else 0 end) as inbound_units, sum(case when t1.task in ('Receiving','Repacking','Return','Stocking') then hr else 0 end) as inbound_hrs from bi_report.daily_uph t1 INNER JOIN bi_report.id_yrweek tt ON t1.day = tt.day group by 1,2,3 ORDER BY 1 DESC, 2 DESC, 3;                            "/>
  </connection>
  <connection id="12" xr16:uid="{00000000-0015-0000-FFFF-FFFF0B000000}" name="Connection19" type="1" refreshedVersion="5" background="1" saveData="1">
    <dbPr connection="DSN=Revolve Redshift;" command="  SELECT p.wkyear::int yr, split_part(p.yrweek,'-',2)::int wk   , CASE WHEN siteflag = 'F' THEN 'F' ELSE 'R' END siteflag  ,  count(shipmentid) units, sum(cust_filled) ontimeunits FROM bi_report.fillrate_reason c INNER JOIN mars__id.id_yrweek p ON p.day = c.cust_duedate::date WHERE isexpedite GROUP BY 1,2,3 ORDER BY 1 DESC, 2 DESC, 3;                              "/>
  </connection>
  <connection id="13" xr16:uid="{00000000-0015-0000-FFFF-FFFF0C000000}" name="Connection2" type="1" refreshedVersion="5" background="1" saveData="1">
    <dbPr connection="DSN=Revolve Redshift;" command="  SELECT p.wkyear::int yr, split_part(p.yrweek,'-',2)::int wk, siteflag,  sum(rpck_units) rpckunits FROM bi_report.id_wh_rpck_daily_cmb_rs s INNER JOIN mars__id.id_yrweek p ON p.day = trunc(s.creationday)  GROUP BY 1,2,3 ORDER BY 1 DESC, 2 DESC, 3;                                 "/>
  </connection>
  <connection id="14" xr16:uid="{00000000-0015-0000-FFFF-FFFF0D000000}" name="Connection20" type="1" refreshedVersion="5" background="1" saveData="1">
    <dbPr connection="DSN=Revolve Redshift;" command="  SELECT p.wkyear::int yr, split_part(p.yrweek,'-',2)::int wk   , CASE WHEN siteflag = 'F' THEN 'F' ELSE 'R' END siteflag  ,  count(case when wh_filled is not null then shipmentid end) units, sum(wh_filled) ontimeunits FROM bi_report.fillrate_reason c INNER JOIN mars__id.id_yrweek p ON p.day = c.wh_duedate::date WHERE isexpedite GROUP BY 1,2,3 ORDER BY 1 DESC, 2 DESC, 3;                              "/>
  </connection>
  <connection id="15" xr16:uid="{00000000-0015-0000-FFFF-FFFF0E000000}" name="Connection21" type="1" refreshedVersion="5" background="1" saveData="1">
    <dbPr connection="DSN=Revolve Redshift;" command="  SELECT split_part(yrweek,'-',1)::int yr   , split_part(yrweek,'-',2)::int wk   , dateadd(DAY, -6, weekending)::date weekstart   , date_part(MONTH, weekstart) || '/' || date_part(DAY, weekstart) weekstart_str FROM ( SELECT DISTINCT yrweek, weekending FROM bi_report.id_yrweek  WHERE day&gt;=dateadd(WEEK, -13, CURRENT_DATE) AND day&lt;CURRENT_DATE ) ORDER BY 3 DESC;                           "/>
  </connection>
  <connection id="16" xr16:uid="{00000000-0015-0000-FFFF-FFFF0F000000}" name="Connection22" type="1" refreshedVersion="5" background="1" saveData="1">
    <dbPr connection="DSN=Revolve Redshift;" command="  SELECT p.wkyear::int yr, split_part(p.yrweek,'-',2)::int wk,  sum(i.quantity)::float/count(DISTINCT i.day)/1000 InvUnits,   CASE WHEN siteflag ILIKE '%F%' THEN 'F' ELSE 'R' END AS siteflag FROM (SELECT creationdate as day, product, ponum, sum(qty) quantity from bi_report.id_inventoryitemdailylog group by 1,2,3) i LEFT JOIN mars__revolveclothing_com___db.poitem po on i.product = po.productcode and i.ponum = po.ponum INNER JOIN mars__id.id_yrweek p ON p.day = i.day WHERE date_part(YEAR, i.day)&gt;=date_part(YEAR,CURRENT_DATE)-2  AND ((po.cost = 0 AND left(product,4) NOT IN ('REVO','GWRA','BTYS','RBEA')) OR (po.cost &lt;&gt; 0 and po.potype = 'Sample')) GROUP BY 1,2,4 ORDER BY 1 DESC, 2 DESC, 4;                           "/>
  </connection>
  <connection id="17" xr16:uid="{00000000-0015-0000-FFFF-FFFF10000000}" name="Connection23" type="1" refreshedVersion="5" background="1" saveData="1">
    <dbPr connection="DSN=Revolve Redshift;" command="  SELECT p.wkyear::int yr, split_part(p.yrweek,'-',2)::int wk,   CASE WHEN siteflag = 'F' THEN 'F' ELSE 'R' END siteflag, sum(all_units) units, sum(cust_filled) ontimeunits,   sum(tag_cantfind) cantfinders,   sum(tag_preorder) preorders,   sum(tag_defect) defectorders,   sum(tag_latepk) lateshipment,   sum(tag_cs) csorders,  sum(tag_repack) repacks,  sum(tag_invalid_address) invalid_address FROM bi_report.id_custfillrates_rs c INNER JOIN mars__id.id_yrweek p ON p.day = c.orderdate GROUP BY 1,2,3 ORDER BY 1 DESC, 2 DESC, 3;                        "/>
  </connection>
  <connection id="18" xr16:uid="{00000000-0015-0000-FFFF-FFFF11000000}" name="Connection24" type="1" refreshedVersion="5" background="1" saveData="1">
    <dbPr connection="DSN=Revolve Redshift;" command="  SELECT p.wkyear::int yr, split_part(p.yrweek,'-',2)::int wk   , CASE WHEN siteflag = 'F' THEN 'F' ELSE 'R' END siteflag  , sum(all_units) units, sum(cust_filled) ontimeunits  FROM bi_report.id_custfillrates_rs c INNER JOIN mars__id.id_yrweek p ON p.day = c.orderdate WHERE isexpedite GROUP BY 1,2,3 ORDER BY 1 DESC, 2 DESC, 3;                              "/>
  </connection>
  <connection id="19" xr16:uid="{00000000-0015-0000-FFFF-FFFF12000000}" name="Connection25" type="1" refreshedVersion="5" background="1" saveData="1">
    <dbPr connection="DSN=Revolve Redshift;" command="  SELECT p.wkyear::int yr, split_part(p.yrweek,'-',2)::int wk  , CASE WHEN siteflag = 'F' THEN 'F' ELSE 'R' END siteflag  , sum(all_units) units, sum(wh_filled) ontimeunits FROM bi_report.id_whfillrates_rs c INNER JOIN mars__id.id_yrweek p ON p.day = c.due_date WHERE isexpedite GROUP BY 1,2,3 ORDER BY 1 DESC, 2 DESC, 3;                              "/>
  </connection>
  <connection id="20" xr16:uid="{00000000-0015-0000-FFFF-FFFF13000000}" name="Connection3" type="1" refreshedVersion="5" background="1" saveData="1">
    <dbPr connection="DSN=Revolve Redshift;" command="  SELECT p.wkyear::int yr, split_part(p.yrweek,'-',2)::int wk,  CASE WHEN siteflag = 'F' THEN 'F' ELSE 'R' END siteflag, sum(all_units) units, sum(wh_filled) ontimeunits,   sum(tag_cantfind) cantfinders,   sum(tag_preorder) preorders,   sum(tag_defect) defectorders,   sum(tag_latepk) lateshipment,   sum(tag_cs) csorders,  sum(tag_repack) repacks,  sum(tag_invalid_address) invalid_address FROM bi_report.id_whfillrates_rs c INNER JOIN mars__id.id_yrweek p ON p.day = c.due_date GROUP BY 1,2,3 ORDER BY 1 DESC, 2 DESC, 3;                        "/>
  </connection>
  <connection id="21" xr16:uid="{00000000-0015-0000-FFFF-FFFF14000000}" name="Connection4" type="1" refreshedVersion="5" background="1" saveData="1">
    <dbPr connection="DSN=Revolve Redshift;" command="  WITH mp AS (  SELECT p.wkyear::int yr, split_part(p.yrweek,'-',2)::int wk, employeeid, sum(timeworked)/60 mp   FROM mars__revolveclothing_com___db.timelog t INNER JOIN mars__id.id_yrweek p ON p.&quot;day&quot; = t.timeout::date  WHERE timein&lt;'2000-1-1' AND timeworked&gt;0 AND timeout&gt;'2000-1-1' GROUP BY 1,2,3) SELECT t1.yr::int yr, t1.wk::int wk, round(sum(TotHoursWorked),2) TotHoursWorked, round(sum(OTHours),2) OTHours,  round(sum(Temp_Hours),2) Temp_Hours, count(DISTINCT CASE WHEN TotHoursWorked&gt;0 THEN name END) AS n,  count(DISTINCT CASE WHEN TotHoursWorked&gt;0 AND name ILIKE 'associate%' THEN name END) AS Temp_n, nvl(sum(mp),0) mp,  siteflag FROM ( SELECT p.wkyear::int yr, split_part(p.yrweek,'-',2)::int wk, employeeid, name,  sum(timeworked + overtimeworked + doubletime)::float/60 TotHoursWorked,  sum(overtimeworked + doubletime)::float/60 OTHours,   sum(CASE WHEN name ILIKE 'associate%' THEN timeworked ELSE 0 END)::float/60 AS Temp_Hours,   CASE WHEN groupName = 'REVL' THEN 'R' ELSE 'F' END siteflag FROM ( SELECT t.employeeid, name, groupName, trunc(timein) &quot;day&quot;,  CASE WHEN t.employeeid IN (SELECT id FROM mars__revolveclothing_com___db.employee WHERE name ILIKE '%associate%')    AND timeout&gt;timein THEN datediff(MIN, timein, timeout)   WHEN t.employeeid IN (SELECT id FROM mars__revolveclothing_com___db.employee WHERE name ILIKE '%associate%')    AND timeout&lt;timein THEN 0  ELSE timeworked END timeworked, overtimeworked, doubletime  FROM mars__revolveclothing_com___db.timelog t LEFT JOIN mars__revolveclothing_com___db.employee e ON t.employeeid = e.id  WHERE trunc(timein) BETWEEN dateadd(YEAR, -2, CURRENT_DATE) AND CURRENT_DATE AND groupname IN ('REVL', 'FWWH')   AND e.division IN ('FWRD Pick Pack and Ship','7252','Pick, Pack, &amp; Ship', 'Pick Pack and Ship','Warehouse Admin','Inventory','Studio Ops Pulls','Returns &amp; Repackaging',   'FWRD Returns and Repackaging','7253','Receiving','FWRD Receiving','7250','Admin Receiving','Quality Assurance')   AND e.defaulttask NOT IN ('Quality Assurance')) t INNER JOIN mars__id.id_yrweek p ON p.&quot;day&quot; = t.&quot;day&quot; WHERE timeworked &gt; 0 GROUP BY 1,2,3,4,8) t1 LEFT JOIN mp t2 ON t1.yr = t2.yr AND t1.wk = t2.wk AND t1.employeeid = t2.employeeid GROUP BY 1,2,9 ORDER BY 1 DESC, 2 DESC, 9;       "/>
  </connection>
  <connection id="22" xr16:uid="{00000000-0015-0000-FFFF-FFFF15000000}" name="Connection5" type="1" refreshedVersion="5" background="1" saveData="1">
    <dbPr connection="DSN=Revolve Redshift;" command="  SELECT p.wkyear::int yr, split_part(p.yrweek,'-',2)::int wk,   round(100*sum(CASE WHEN s.status ilike '%out of stock%' OR s.notes LIKE '%OOS -%' THEN 1 END)/             sum(CASE WHEN s.status NOT IN ('canceled','declined','preorder') THEN 1 END)::float, 2) AS oos_pct,   sum(CASE WHEN s.status ilike '%out of stock%' OR s.notes LIKE '%OOS -%' THEN 1 END)*100 AS oositems,   sum(CASE WHEN s.status NOT IN ('canceled','declined','preorder') THEN 1 END) AS allnofinds,   CASE WHEN f.report_siteflag IN ('F') THEN 'F' ELSE 'R' END AS siteflag FROM mars__revolveclothing_com___db.shipment s  INNER JOIN mars__id.id_yrweek p ON p.day = trunc(s.orderdate)  INNER JOIN bi_report.siteflag f ON f.ordertype = s.ordertype WHERE date_part(YEAR, s.orderdate)&gt;=date_part(YEAR,CURRENT_DATE)-2 GROUP BY 1,2,6 ORDER BY 1 DESC, 2 DESC, 6                         "/>
  </connection>
  <connection id="23" xr16:uid="{00000000-0015-0000-FFFF-FFFF16000000}" name="Connection6" type="1" refreshedVersion="5" background="1" saveData="1">
    <dbPr connection="DSN=Revolve Redshift;" command="  SELECT p.wkyear::int yr, split_part(p.yrweek,'-',2)::int wk, sum(i.quantity)::float/count(DISTINCT i.day)/1000 InvUnits, CASE WHEN po.siteflag ILIKE '%F%' THEN 'F' ELSE 'R' END AS siteflag FROM (SELECT creationdate as day, product, ponum, sum(qty) quantity from bi_report.id_inventoryitemdailylog group by 1,2,3) i LEFT JOIN mars__revolveclothing_com___db.poitem po on i.product = po.productcode and i.ponum = po.ponum INNER JOIN mars__id.id_yrweek p ON p.day = i.day WHERE date_part(YEAR, i.day)&gt;=date_part(YEAR,CURRENT_DATE)-2 AND left(product,4) NOT IN ('GWRA','BTYS','REVO','GIFT','SUTC','GIFF')  AND po.cost &lt;&gt; 0 AND po.potype &lt;&gt; 'Sample' GROUP BY 1,2,4 ORDER BY 1 DESC, 2 DESC, 4                        "/>
  </connection>
  <connection id="24" xr16:uid="{00000000-0015-0000-FFFF-FFFF17000000}" name="Connection7" type="1" refreshedVersion="5" background="1" saveData="1">
    <dbPr connection="DSN=Revolve Redshift;" command="  SELECT p.wkyear::int yr, split_part(p.yrweek,'-',2)::int wk, site, orders,    count(DISTINCT invoice) AS ordersplaced,   count(DISTINCT CASE WHEN s.boxtime&gt;s.orderdate THEN invoice END) AS ordersfilled,   sum(units) units FROM   (SELECT invoice, boxtime, orderdate, count(DISTINCT shipmentid) units,     CASE WHEN f.report_siteflag IN ('F') THEN 'F' ELSE 'R' END AS site,     CASE WHEN count(DISTINCT shipmentid)&gt;1 THEN 'multi'           WHEN count(DISTINCT shipmentid)=1 THEN 'single' ELSE 'NA' END AS orders   FROM mars__revolveclothing_com___db.shipment s   INNER JOIN bi_report.siteflag f ON f.ordertype = s.ordertype   WHERE date_part(YEAR, orderdate)&gt;=date_part(YEAR,CURRENT_DATE)-2     AND lower(status) NOT IN ('declined','declining','canceled','canceling','unvalidated') GROUP BY 1,2,3,5) s  INNER JOIN mars__id.id_yrweek p ON p.day = trunc(s.orderdate)  GROUP BY 1,2,3,4 ORDER BY 1 DESC, 2 DESC                     "/>
  </connection>
  <connection id="25" xr16:uid="{00000000-0015-0000-FFFF-FFFF18000000}" name="Connection8" type="1" refreshedVersion="5" background="1" saveData="1">
    <dbPr connection="DSN=Revolve Redshift;" command="  SELECT p.wkyear::int yr, split_part(p.yrweek,'-',2)::int wk,  count(DISTINCT shipmentid) picks,  count(DISTINCT CASE WHEN notes ILIKE '%cant find%' THEN shipmentid END) cantfinds,  CASE WHEN f.report_siteflag IN ('F') THEN 'F' ELSE 'R' END AS siteflag FROM mars__revolveclothing_com___db.shipment s  INNER JOIN mars__id.id_yrweek p ON p.day = trunc(s.orderdate) INNER JOIN bi_report.siteflag f ON f.ordertype = s.ordertype WHERE date_part(YEAR, s.boxtime)&gt;=date_part(YEAR,CURRENT_DATE)-2 GROUP BY 1,2,5 ORDER BY 1 DESC, 2 DESC;                           "/>
  </connection>
  <connection id="26" xr16:uid="{00000000-0015-0000-FFFF-FFFF19000000}" name="Connection9" type="1" refreshedVersion="5" background="1" saveData="1">
    <dbPr connection="DSN=Revolve Redshift;" command="  SELECT p.wkyear::int yr, split_part(p.yrweek,'-',2)::int wk,   site, checked, count(DISTINCT invoice) totalchecked FROM (  SELECT boxtime, invoice,     CASE WHEN f.report_siteflag IN ('F') THEN 'F' ELSE 'R' END AS site,    CASE WHEN parcel1=-1 OR parcel2=-1 OR parcel3=-1 OR parcel4=-1      OR order1=-1 OR order2 =-1 OR order3 =-1 OR order4 =-1 OR order5 =0      THEN 'error' ELSE 'pass' END AS checked  FROM mars__revolveclothing_com___db.parcelinspection t1   LEFT JOIN mars__revolveclothing_com___db.orders t2 ON t1.invoice=t2.invoicenum   INNER JOIN bi_report.siteflag f ON f.ordertype = t2.ordertype  WHERE date_part(YEAR, boxtime)&gt;=date_part(YEAR,CURRENT_DATE)-2 ) t INNER JOIN mars__id.id_yrweek p ON p.day = trunc(t.boxtime)  GROUP BY 1,2,3,4 ORDER BY 1 DESC, 2 DESC, 3, 4;                      "/>
  </connection>
</connections>
</file>

<file path=xl/sharedStrings.xml><?xml version="1.0" encoding="utf-8"?>
<sst xmlns="http://schemas.openxmlformats.org/spreadsheetml/2006/main" count="20075" uniqueCount="593">
  <si>
    <t>SQL Queries</t>
  </si>
  <si>
    <t>SQLcode</t>
  </si>
  <si>
    <t>Query result here --&gt;</t>
  </si>
  <si>
    <t>Table name here --&gt;</t>
  </si>
  <si>
    <t>All Queries</t>
  </si>
  <si>
    <t>Queries to update</t>
  </si>
  <si>
    <t>ODBC Connection Name here --&gt;</t>
  </si>
  <si>
    <t>Revolve Redshift</t>
  </si>
  <si>
    <t>Last Query Row here --&gt;</t>
  </si>
  <si>
    <t>Param1</t>
  </si>
  <si>
    <t>Param2</t>
  </si>
  <si>
    <t>TodaySql</t>
  </si>
  <si>
    <t>YesterdaySql</t>
  </si>
  <si>
    <t>lastupdated</t>
  </si>
  <si>
    <t>Daily</t>
  </si>
  <si>
    <t>Monthly</t>
  </si>
  <si>
    <t>Weekly</t>
  </si>
  <si>
    <t>Quarterly</t>
  </si>
  <si>
    <t>Yearly</t>
  </si>
  <si>
    <t>I</t>
  </si>
  <si>
    <t>Last Updated</t>
  </si>
  <si>
    <t>Last Run time (sec.)</t>
  </si>
  <si>
    <t>Update</t>
  </si>
  <si>
    <t>Update now?</t>
  </si>
  <si>
    <t>Table Name</t>
  </si>
  <si>
    <t>Today</t>
  </si>
  <si>
    <t>Tracking on</t>
  </si>
  <si>
    <t>yr</t>
  </si>
  <si>
    <t>GROUP BY 1,2,3 ORDER BY 1 DESC, 2 DESC, 3;</t>
  </si>
  <si>
    <t>custfillrate</t>
  </si>
  <si>
    <t>wk</t>
  </si>
  <si>
    <t>siteflag</t>
  </si>
  <si>
    <t>F</t>
  </si>
  <si>
    <t>R</t>
  </si>
  <si>
    <t>whfillrate</t>
  </si>
  <si>
    <t>W</t>
  </si>
  <si>
    <t>AK</t>
  </si>
  <si>
    <t>tothoursworked</t>
  </si>
  <si>
    <t>othours</t>
  </si>
  <si>
    <t>temp_hours</t>
  </si>
  <si>
    <t>n</t>
  </si>
  <si>
    <t>temp_n</t>
  </si>
  <si>
    <t xml:space="preserve">FROM mars__revolveclothing_com___db.shipment s </t>
  </si>
  <si>
    <t xml:space="preserve">INNER JOIN mars__id.id_yrweek p ON p.day = trunc(s.orderdate) </t>
  </si>
  <si>
    <t>WHERE date_part(YEAR, s.orderdate)&gt;=date_part(YEAR,CURRENT_DATE)-2</t>
  </si>
  <si>
    <t>oosrate</t>
  </si>
  <si>
    <t>AU</t>
  </si>
  <si>
    <t>oos_pct</t>
  </si>
  <si>
    <t>oositems</t>
  </si>
  <si>
    <t>invunits</t>
  </si>
  <si>
    <t xml:space="preserve">  count(DISTINCT invoice) AS ordersplaced,</t>
  </si>
  <si>
    <t>orderprocessed</t>
  </si>
  <si>
    <t>ordersplaced</t>
  </si>
  <si>
    <t>ordersfilled</t>
  </si>
  <si>
    <t>site</t>
  </si>
  <si>
    <t>WHERE date_part(YEAR, s.boxtime)&gt;=date_part(YEAR,CURRENT_DATE)-2</t>
  </si>
  <si>
    <t>unitsshipped</t>
  </si>
  <si>
    <t>picks</t>
  </si>
  <si>
    <t>Weekly Warehouse ScoreCard</t>
  </si>
  <si>
    <t>All Sites</t>
  </si>
  <si>
    <t xml:space="preserve">Year </t>
  </si>
  <si>
    <t>Week</t>
  </si>
  <si>
    <t>T4W</t>
  </si>
  <si>
    <t>WoW</t>
  </si>
  <si>
    <t>GOAL</t>
  </si>
  <si>
    <t>TREND (12 Wks)</t>
  </si>
  <si>
    <t>Warehouse</t>
  </si>
  <si>
    <t>YOY</t>
  </si>
  <si>
    <t>Over Time Percentage</t>
  </si>
  <si>
    <t>OT Hours [T]</t>
  </si>
  <si>
    <t>Total Hours [T]</t>
  </si>
  <si>
    <t>Temp %</t>
  </si>
  <si>
    <t>Temp_Hours</t>
  </si>
  <si>
    <t>OOS Rate [%]</t>
  </si>
  <si>
    <t>allnofinds</t>
  </si>
  <si>
    <t>OOS Units</t>
  </si>
  <si>
    <t># Employees Worked</t>
  </si>
  <si>
    <t>N</t>
  </si>
  <si>
    <t>Inventory Units [T]</t>
  </si>
  <si>
    <t>InvUnits</t>
  </si>
  <si>
    <t>Orders Placed [T]</t>
  </si>
  <si>
    <t>Filled Orders [T]</t>
  </si>
  <si>
    <t>SELECT p.wkyear::int yr, split_part(p.yrweek,'-',2)::int wk,</t>
  </si>
  <si>
    <t xml:space="preserve">SELECT p.wkyear::int yr, split_part(p.yrweek,'-',2)::int wk, </t>
  </si>
  <si>
    <t xml:space="preserve">            sum(CASE WHEN s.status NOT IN ('canceled','declined','preorder') THEN 1 END)::float, 2) AS oos_pct,</t>
  </si>
  <si>
    <t xml:space="preserve">  sum(CASE WHEN s.status NOT IN ('canceled','declined','preorder') THEN 1 END) AS allnofinds,</t>
  </si>
  <si>
    <t>GROUP BY 1,2,6 ORDER BY 1 DESC, 2 DESC, 6</t>
  </si>
  <si>
    <t>BC</t>
  </si>
  <si>
    <t>BI</t>
  </si>
  <si>
    <t xml:space="preserve"> count(DISTINCT shipmentid) picks,</t>
  </si>
  <si>
    <t xml:space="preserve"> count(DISTINCT CASE WHEN notes ILIKE '%cant find%' THEN shipmentid END) cantfinds,</t>
  </si>
  <si>
    <t>cantfinds</t>
  </si>
  <si>
    <t>Shipping</t>
  </si>
  <si>
    <t>Units Shipped [T]</t>
  </si>
  <si>
    <t>UnitsShipped</t>
  </si>
  <si>
    <t>Picks</t>
  </si>
  <si>
    <t>pickrate</t>
  </si>
  <si>
    <t>picked</t>
  </si>
  <si>
    <t>packrate</t>
  </si>
  <si>
    <t>packed</t>
  </si>
  <si>
    <t>Packages Inspected</t>
  </si>
  <si>
    <t>packingqc</t>
  </si>
  <si>
    <t>totalchecked</t>
  </si>
  <si>
    <t>% of total Packages Packed</t>
  </si>
  <si>
    <t>totpackages</t>
  </si>
  <si>
    <t>Total Failed Inspections</t>
  </si>
  <si>
    <t>% Inspected Failed</t>
  </si>
  <si>
    <t>checked</t>
  </si>
  <si>
    <t>error</t>
  </si>
  <si>
    <t>Cant Finds</t>
  </si>
  <si>
    <t>CantFinds</t>
  </si>
  <si>
    <t>% of Total Shipped</t>
  </si>
  <si>
    <t xml:space="preserve">  site, checked, count(DISTINCT invoice) totalchecked</t>
  </si>
  <si>
    <t>FROM (</t>
  </si>
  <si>
    <t xml:space="preserve"> SELECT boxtime, invoice, </t>
  </si>
  <si>
    <t xml:space="preserve"> FROM mars__revolveclothing_com___db.parcelinspection t1 </t>
  </si>
  <si>
    <t xml:space="preserve"> LEFT JOIN mars__revolveclothing_com___db.orders t2 ON t1.invoice=t2.invoicenum </t>
  </si>
  <si>
    <t xml:space="preserve">INNER JOIN mars__id.id_yrweek p ON p.day = trunc(t.boxtime) </t>
  </si>
  <si>
    <t>GROUP BY 1,2,3,4 ORDER BY 1 DESC, 2 DESC, 3, 4;</t>
  </si>
  <si>
    <t>SELECT p.wkyear::int yr, split_part(p.yrweek,'-',2)::int wk, siteflag,</t>
  </si>
  <si>
    <t xml:space="preserve"> sum(picks) picked, sum(hoursshipping) pick_hours,</t>
  </si>
  <si>
    <t xml:space="preserve"> sum(PackedTotal) packed, sum(hourspacking) pack_hours, </t>
  </si>
  <si>
    <t xml:space="preserve"> sum(Rpck_Units) UnitsRepack, sum(HoursRepackaging) RepackRate, </t>
  </si>
  <si>
    <t xml:space="preserve"> FROM bi_report.id_wh_daily_rs</t>
  </si>
  <si>
    <t xml:space="preserve">INNER JOIN mars__id.id_yrweek p ON p.day = trunc(t.date) </t>
  </si>
  <si>
    <t>PickPackRet</t>
  </si>
  <si>
    <t>pick_hours</t>
  </si>
  <si>
    <t>pack_hours</t>
  </si>
  <si>
    <t>unitsrepack</t>
  </si>
  <si>
    <t>repackrate</t>
  </si>
  <si>
    <t>returnrate</t>
  </si>
  <si>
    <t>Receiving</t>
  </si>
  <si>
    <t>Units Received [T]</t>
  </si>
  <si>
    <t>Rec_Units</t>
  </si>
  <si>
    <t>RecHours</t>
  </si>
  <si>
    <t>Receiving Backlog [T]</t>
  </si>
  <si>
    <t>Backlog in Days</t>
  </si>
  <si>
    <t>StockRate</t>
  </si>
  <si>
    <t>StockUnits</t>
  </si>
  <si>
    <t>Returns &amp; Repackaging</t>
  </si>
  <si>
    <t>Units Returned [T]</t>
  </si>
  <si>
    <t>Returns Backlog [T]</t>
  </si>
  <si>
    <t>returnbacklog</t>
  </si>
  <si>
    <t>backlog</t>
  </si>
  <si>
    <t>Default task EE</t>
  </si>
  <si>
    <t>defaulttaskEE</t>
  </si>
  <si>
    <t>employees</t>
  </si>
  <si>
    <t>% Time on task for Default EE</t>
  </si>
  <si>
    <t>defaulttask</t>
  </si>
  <si>
    <t>Returns</t>
  </si>
  <si>
    <t>OT% for Default EE</t>
  </si>
  <si>
    <t>returnhours</t>
  </si>
  <si>
    <t>OT</t>
  </si>
  <si>
    <t>Avg daily FTE on task</t>
  </si>
  <si>
    <t>Units Repackaged [T]</t>
  </si>
  <si>
    <t>UnitsRepack</t>
  </si>
  <si>
    <t>return_cmb</t>
  </si>
  <si>
    <t>repack_cmb</t>
  </si>
  <si>
    <t>Repackaging  Backlog [T]</t>
  </si>
  <si>
    <t>notrepackaged</t>
  </si>
  <si>
    <t>repacking</t>
  </si>
  <si>
    <t>repackhours</t>
  </si>
  <si>
    <t>Backlog in Days at current daily</t>
  </si>
  <si>
    <t>RestockRate</t>
  </si>
  <si>
    <t>RestockUnits</t>
  </si>
  <si>
    <t>Mislabel (Rec)</t>
  </si>
  <si>
    <t>qty</t>
  </si>
  <si>
    <t>No Picture Check (Rec)</t>
  </si>
  <si>
    <t>No Models Pulled (Rec)</t>
  </si>
  <si>
    <t>Return Errors (Ret)</t>
  </si>
  <si>
    <t>Not Set Dirty/Defective (Ret)</t>
  </si>
  <si>
    <t>Mislabel (Repack)</t>
  </si>
  <si>
    <t>No Picture Check (Repack)</t>
  </si>
  <si>
    <t xml:space="preserve"> sum(Rstck_TotUnits) RestockUnits, </t>
  </si>
  <si>
    <t xml:space="preserve"> sum(HoursReturnStocking) RestockRate, </t>
  </si>
  <si>
    <t xml:space="preserve"> sum(stckunits) StockUnits, sum(hoursstocking) StockRate,</t>
  </si>
  <si>
    <t xml:space="preserve"> SELECT *, CASE WHEN division ILIKE 'F_%' THEN 'F' ELSE 'R' END AS siteflag </t>
  </si>
  <si>
    <t>rec_units</t>
  </si>
  <si>
    <t>rechours</t>
  </si>
  <si>
    <t>restockunits</t>
  </si>
  <si>
    <t>restockrate</t>
  </si>
  <si>
    <t>stockunits</t>
  </si>
  <si>
    <t>stockrate</t>
  </si>
  <si>
    <t>unitsreturns</t>
  </si>
  <si>
    <t>unitsreturned</t>
  </si>
  <si>
    <t>Repackrate</t>
  </si>
  <si>
    <t xml:space="preserve"> sum(ReturnedUnits) UnitsReturns, sum(hoursreturns) returnhours</t>
  </si>
  <si>
    <t>INNER JOIN</t>
  </si>
  <si>
    <t xml:space="preserve"> (SELECT * FROM mars__id.id_yrweek </t>
  </si>
  <si>
    <t xml:space="preserve">  WHERE split_part(wkday,'-',2) = 2) p ON p.day = trunc(s.updatedate)</t>
  </si>
  <si>
    <t>ORDER BY 1 DESC, 2 DESC, 3;</t>
  </si>
  <si>
    <t>time (s)</t>
  </si>
  <si>
    <t>receivebacklog</t>
  </si>
  <si>
    <t xml:space="preserve">SELECT p.wkyear::int yr, split_part(p.yrweek,'-',2)::int wk, siteflag, notrepackaged </t>
  </si>
  <si>
    <t>FROM bi_report.id_repackbacklog_rs s</t>
  </si>
  <si>
    <t>repackbacklog</t>
  </si>
  <si>
    <t xml:space="preserve"> count(DISTINCT name) employees, defaulttask, </t>
  </si>
  <si>
    <t xml:space="preserve"> sum(hoursrepackaging) repackhours, sum(HoursReturns) returnhours, </t>
  </si>
  <si>
    <t xml:space="preserve"> sum(returnedunits) unitsreturned,  sum(rpck_units) unitsrpck, sum(OT) ot</t>
  </si>
  <si>
    <t xml:space="preserve"> WHERE date&gt;=dateadd(YEAR, -2, CURRENT_DATE) </t>
  </si>
  <si>
    <t xml:space="preserve">  AND lower(defaulttask) IN ('returns','repacking') ) t</t>
  </si>
  <si>
    <t>GROUP BY 1,2,3,5 ORDER BY 1 DESC, 2 DESC, 3, 5;</t>
  </si>
  <si>
    <t>unitsrpck</t>
  </si>
  <si>
    <t>ot</t>
  </si>
  <si>
    <t xml:space="preserve">INNER JOIN mars__id.id_yrweek p ON p.day = trunc(t.errordate) </t>
  </si>
  <si>
    <t>taskflag</t>
  </si>
  <si>
    <t>errortype</t>
  </si>
  <si>
    <t>severity</t>
  </si>
  <si>
    <t>P</t>
  </si>
  <si>
    <t>SwapOrders</t>
  </si>
  <si>
    <t>High</t>
  </si>
  <si>
    <t>Rt</t>
  </si>
  <si>
    <t>ReturnError</t>
  </si>
  <si>
    <t>S</t>
  </si>
  <si>
    <t>BadPicks</t>
  </si>
  <si>
    <t>Medium</t>
  </si>
  <si>
    <t>total time</t>
  </si>
  <si>
    <t xml:space="preserve"> sum(returnedunits) returnedunits</t>
  </si>
  <si>
    <t>FROM bi_report.id_wh_return_daily_cmb_vw s</t>
  </si>
  <si>
    <t xml:space="preserve">INNER JOIN mars__id.id_yrweek p ON p.day = s.updatetime </t>
  </si>
  <si>
    <t xml:space="preserve">GROUP BY 1,2,3 ORDER BY 1 DESC, 2 DESC, 3; </t>
  </si>
  <si>
    <t>returnedunits</t>
  </si>
  <si>
    <t xml:space="preserve"> sum(rpck_units) rpckunits</t>
  </si>
  <si>
    <t>FROM bi_report.id_wh_rpck_daily_cmb_rs s</t>
  </si>
  <si>
    <t xml:space="preserve">INNER JOIN mars__id.id_yrweek p ON p.day = trunc(s.creationday) </t>
  </si>
  <si>
    <t xml:space="preserve">GROUP BY 1,2,3 ORDER BY 1 DESC, 2 DESC, 3;  </t>
  </si>
  <si>
    <t>rpckunits</t>
  </si>
  <si>
    <t>Week Starting</t>
  </si>
  <si>
    <t xml:space="preserve">  taskflag, errortype, severity, sum(qtyerror) AS qty</t>
  </si>
  <si>
    <t>FROM mars__revolveclothing_com___db.errorlog t</t>
  </si>
  <si>
    <t>WHERE date_part(YEAR, errordate)&gt;=date_part(YEAR,CURRENT_DATE)-2</t>
  </si>
  <si>
    <t>GROUP BY 1,2,3,4,5 ORDER BY 1 DESC, 2 DESC, 3, 4, 5;</t>
  </si>
  <si>
    <t>NotSetDirtyDefective</t>
  </si>
  <si>
    <t>Mislabel</t>
  </si>
  <si>
    <t>Low</t>
  </si>
  <si>
    <t>Other</t>
  </si>
  <si>
    <t>NoPictureCheck</t>
  </si>
  <si>
    <t>Rp</t>
  </si>
  <si>
    <t>ScaningError</t>
  </si>
  <si>
    <t>DidNotRemoveSaftyPin</t>
  </si>
  <si>
    <t>FoldingError/PoorQuality</t>
  </si>
  <si>
    <t>WrongRP</t>
  </si>
  <si>
    <t>LostProductTagsOrInvoiceLabels</t>
  </si>
  <si>
    <t>ScanningError</t>
  </si>
  <si>
    <t>NoModelsPulled</t>
  </si>
  <si>
    <t>WrongItemSent</t>
  </si>
  <si>
    <t>Errors</t>
  </si>
  <si>
    <t>Swapped Label</t>
  </si>
  <si>
    <t xml:space="preserve"> CASE WHEN groupName = 'REVL' THEN 'R' ELSE 'F' END siteflag FROM (</t>
  </si>
  <si>
    <t>SELECT t.employeeid, name, groupName, trunc(timein) "day",</t>
  </si>
  <si>
    <t xml:space="preserve"> CASE WHEN t.employeeid IN (SELECT id FROM mars__revolveclothing_com___db.employee WHERE name ILIKE '%associate%') </t>
  </si>
  <si>
    <t xml:space="preserve">  AND timeout&gt;timein THEN datediff(MIN, timein, timeout) </t>
  </si>
  <si>
    <t xml:space="preserve"> WHEN t.employeeid IN (SELECT id FROM mars__revolveclothing_com___db.employee WHERE name ILIKE '%associate%') </t>
  </si>
  <si>
    <t xml:space="preserve">  AND timeout&lt;timein THEN 0</t>
  </si>
  <si>
    <t>FROM mars__revolveclothing_com___db.timelog t</t>
  </si>
  <si>
    <t>INNER JOIN mars__id.id_yrweek p ON p."day" = t."day"</t>
  </si>
  <si>
    <t>daily_returned</t>
  </si>
  <si>
    <t>Avg daily returns [T]</t>
  </si>
  <si>
    <t xml:space="preserve">SELECT p.wkyear::int yr, split_part(p.yrweek,'-',2)::int wk, r.siteflag, </t>
  </si>
  <si>
    <t xml:space="preserve"> AVG(backlog) backlog, </t>
  </si>
  <si>
    <t xml:space="preserve"> AVG(CASE WHEN daily_returned&gt;20 THEN daily_returned END) AS daily_returned </t>
  </si>
  <si>
    <t xml:space="preserve"> SELECT count(DISTINCT t1.trackingnumber) daily_returned, trunc(returndate) "day", </t>
  </si>
  <si>
    <t xml:space="preserve"> FROM mars__revolveclothing_com___db.shipmenttrackevent t1</t>
  </si>
  <si>
    <t xml:space="preserve"> JOIN mars__revolveclothing_com___db.shipment t2 ON t1.trackingnumber = t2.returntrackingnumber</t>
  </si>
  <si>
    <t xml:space="preserve"> WHERE t1.activitydate &gt; dateadd(YEAR, -2, CURRENT_DATE) AND t1."type" = 'Delivery' </t>
  </si>
  <si>
    <t xml:space="preserve"> GROUP BY 2,3) r</t>
  </si>
  <si>
    <t xml:space="preserve">INNER JOIN mars__id.id_yrweek p ON p."day" = r."day" </t>
  </si>
  <si>
    <t>RIGHT JOIN bi_report.id_return_backlog_rs b ON b."day" = r."day" AND b.siteflag = r.siteflag</t>
  </si>
  <si>
    <t>WHERE r.siteflag IS NOT NULL GROUP BY 1,2,3 ORDER BY 1 DESC, 2 DESC, 3;</t>
  </si>
  <si>
    <t xml:space="preserve">FROM </t>
  </si>
  <si>
    <t xml:space="preserve">  WHERE date_part(YEAR, orderdate)&gt;=date_part(YEAR,CURRENT_DATE)-2</t>
  </si>
  <si>
    <t>orders</t>
  </si>
  <si>
    <t>multi</t>
  </si>
  <si>
    <t>single</t>
  </si>
  <si>
    <t xml:space="preserve">SELECT p.wkyear::int yr, split_part(p.yrweek,'-',2)::int wk, site, orders, </t>
  </si>
  <si>
    <t xml:space="preserve">  count(DISTINCT CASE WHEN s.boxtime&gt;s.orderdate THEN invoice END) AS ordersfilled,</t>
  </si>
  <si>
    <t xml:space="preserve">  sum(units) units</t>
  </si>
  <si>
    <t xml:space="preserve"> (SELECT invoice, boxtime, orderdate, count(DISTINCT shipmentid) units,</t>
  </si>
  <si>
    <t xml:space="preserve">    CASE WHEN count(DISTINCT shipmentid)&gt;1 THEN 'multi' </t>
  </si>
  <si>
    <t xml:space="preserve">         WHEN count(DISTINCT shipmentid)=1 THEN 'single' ELSE 'NA' END AS orders</t>
  </si>
  <si>
    <t xml:space="preserve">    AND lower(status) NOT IN ('declined','declining','canceled','canceling','unvalidated') GROUP BY 1,2,3,5) s </t>
  </si>
  <si>
    <t>BR</t>
  </si>
  <si>
    <t>BY</t>
  </si>
  <si>
    <t>CF</t>
  </si>
  <si>
    <t>DD</t>
  </si>
  <si>
    <t>DJ</t>
  </si>
  <si>
    <t>DP</t>
  </si>
  <si>
    <t>DW</t>
  </si>
  <si>
    <t>EI</t>
  </si>
  <si>
    <t>ES</t>
  </si>
  <si>
    <t>EY</t>
  </si>
  <si>
    <t>units</t>
  </si>
  <si>
    <t>Units Per Order</t>
  </si>
  <si>
    <t>Units Per Multi Order</t>
  </si>
  <si>
    <t>Err</t>
  </si>
  <si>
    <t>Swapped Orders (Ship)</t>
  </si>
  <si>
    <t>Bad Picks (Ship)</t>
  </si>
  <si>
    <t xml:space="preserve">Backlog in Days </t>
  </si>
  <si>
    <t>Filled Single Orders [%]</t>
  </si>
  <si>
    <t xml:space="preserve">LEFT JOIN mars__revolveclothing_com___db.employee e ON t.employeeid = e.id </t>
  </si>
  <si>
    <t xml:space="preserve">WHERE trunc(timein) BETWEEN dateadd(YEAR, -2, CURRENT_DATE) AND CURRENT_DATE AND groupname IN ('REVL', 'FWWH') </t>
  </si>
  <si>
    <t>FROM mars__revolveclothing_com___db.consolidatedorder c</t>
  </si>
  <si>
    <t>INNER JOIN mars__id.id_yrweek p ON p.day = trunc(c.date)</t>
  </si>
  <si>
    <t xml:space="preserve">JOIN </t>
  </si>
  <si>
    <t xml:space="preserve">    FROM mars__revolveclothing_com___db.consolidatedorder c </t>
  </si>
  <si>
    <t xml:space="preserve">    LEFT JOIN mars__revolveclothing_com___db.shipment s ON c.invoice = s.invoice</t>
  </si>
  <si>
    <t xml:space="preserve">FROM ( </t>
  </si>
  <si>
    <t xml:space="preserve">LEFT JOIN mars__revolveclothing_com___db.orders o ON c.invoice = o.invoicenum </t>
  </si>
  <si>
    <t>GROUP BY 1,2,3) t</t>
  </si>
  <si>
    <t xml:space="preserve">    LEFT JOIN mars__revolveclothing_com___db.orders o ON c.invoice = o.invoicenum </t>
  </si>
  <si>
    <t xml:space="preserve">    INNER JOIN mars__id.id_yrweek p ON p.day = trunc(c.date)</t>
  </si>
  <si>
    <t xml:space="preserve"> GROUP BY 1,2,3) a ON t.YR = a.YR AND t.wk = a.wk AND t.site = a.site</t>
  </si>
  <si>
    <t>consolid_orders</t>
  </si>
  <si>
    <t>FE</t>
  </si>
  <si>
    <t>conrate</t>
  </si>
  <si>
    <t>ntotal</t>
  </si>
  <si>
    <t>nmin</t>
  </si>
  <si>
    <t>npckgs</t>
  </si>
  <si>
    <t>Consolid_Orders</t>
  </si>
  <si>
    <t>nTotal</t>
  </si>
  <si>
    <t>nMin</t>
  </si>
  <si>
    <t>nPckgs</t>
  </si>
  <si>
    <t>Consolidation Rate [%]</t>
  </si>
  <si>
    <t>% of Total Packages Packed</t>
  </si>
  <si>
    <t xml:space="preserve"> count(DISTINCT c.invoice) nTotal, count(DISTINCT split_part(consolidatedinvoices,',',1)) nMin</t>
  </si>
  <si>
    <t>LEFT JOIN mars__revolveclothing_com___db.shipment s ON c.invoice = s.invoice</t>
  </si>
  <si>
    <t>SELECT t.yr::int,t.wk::int,t.site,round((nTotal-nPckgs)::float/(nTotal-nMin),4) conrate,nTotal,nMin,nPckgs</t>
  </si>
  <si>
    <t xml:space="preserve"> AND split_part(consolidatedinvoices,',',1) IN (SELECT split_part(consolidatedinvoices, ',', 1) FirstInvoice </t>
  </si>
  <si>
    <t xml:space="preserve">  FROM mars__revolveclothing_com___db.consolidatedorder t1</t>
  </si>
  <si>
    <t xml:space="preserve">  LEFT JOIN mars__revolveclothing_com___db.shipment t2 ON t1.invoice = t2.invoice</t>
  </si>
  <si>
    <t xml:space="preserve">  WHERE status IN ('shipped','refunded','refunding','returned','charged back') AND printbatch &gt; '2010-1-1'</t>
  </si>
  <si>
    <t xml:space="preserve">     AND split_part(consolidatedinvoices,',',1) IN (SELECT split_part(consolidatedinvoices, ',', 1) FirstInvoice </t>
  </si>
  <si>
    <t xml:space="preserve">      FROM mars__revolveclothing_com___db.consolidatedorder t1</t>
  </si>
  <si>
    <t xml:space="preserve">      LEFT JOIN mars__revolveclothing_com___db.shipment t2 ON t1.invoice = t2.invoice</t>
  </si>
  <si>
    <t xml:space="preserve">      WHERE status IN ('shipped','refunded','refunding','returned','charged back') AND printbatch &gt; '2010-1-1'</t>
  </si>
  <si>
    <t xml:space="preserve">    SELECT split_part(consolidatedinvoices,',',1) pinvoice, c.invoice, p.wkyear yr, split_part(p.yrweek,'-',2) wk, s.trackingnumber,</t>
  </si>
  <si>
    <t xml:space="preserve"> (SELECT yr, wk, site, sum(nShip) nPckgs FROM (</t>
  </si>
  <si>
    <t xml:space="preserve">   SELECT min(yr) AS yr, min(wk) AS wk, pinvoice, site, count(DISTINCT trackingnumber) AS nShip FROM (</t>
  </si>
  <si>
    <t xml:space="preserve">  GROUP BY 1 HAVING datediff(DAY, min(shipmentdate), max(shipmentdate)) BETWEEN 0 AND 6 AND (sum(CASE WHEN notes ILIKE '%SPLIT %' THEN 1 ELSE 0 END) = 0))</t>
  </si>
  <si>
    <t xml:space="preserve">      GROUP BY 1 HAVING datediff(DAY, min(shipmentdate), max(shipmentdate)) BETWEEN 0 AND 6 AND (sum(CASE WHEN notes ILIKE '%SPLIT %' THEN 1 ELSE 0 END) = 0))) GROUP BY 3,4)</t>
  </si>
  <si>
    <t>Consolidated Orders [T]</t>
  </si>
  <si>
    <t xml:space="preserve"> AVG(inrec) backlog, </t>
  </si>
  <si>
    <t xml:space="preserve"> AVG(CASE WHEN dailyrate&gt;50 THEN dailyrate END) AS daily_rcvd </t>
  </si>
  <si>
    <t xml:space="preserve"> SELECT lastscandate::date AS day, siteflag, count(DISTINCT serialnumber) dailyrate</t>
  </si>
  <si>
    <t xml:space="preserve"> FROM mars__revolveclothing_com___db.inventoryitemupdate t1</t>
  </si>
  <si>
    <t xml:space="preserve"> LEFT JOIN mars__revolveclothing_com___db.product t2 ON t1.product = t2.code </t>
  </si>
  <si>
    <t xml:space="preserve">  AND serialnumber NOT IN (SELECT serialnumber FROM mars__revolveclothing_com___db.inventoryitemupdate WHERE notes ILIKE '%reverse receive%')</t>
  </si>
  <si>
    <t xml:space="preserve">  AND receivedate&gt;dateadd(YEAR, -2, CURRENT_DATE)</t>
  </si>
  <si>
    <t xml:space="preserve"> GROUP BY 1,2) r</t>
  </si>
  <si>
    <t>RIGHT JOIN bi_report.id_receivingbacklog_rs b ON b."updatedate" = r."day" AND b.siteflag = r.siteflag</t>
  </si>
  <si>
    <t>daily_rcvd</t>
  </si>
  <si>
    <t>MixedMailType</t>
  </si>
  <si>
    <t>ExtraItemSent</t>
  </si>
  <si>
    <t xml:space="preserve">  round(100*sum(CASE WHEN s.status ilike '%out of stock%' OR s.notes LIKE '%OOS -%' THEN 1 END)/</t>
  </si>
  <si>
    <t xml:space="preserve">  sum(CASE WHEN s.status ilike '%out of stock%' OR s.notes LIKE '%OOS -%' THEN 1 END)*100 AS oositems,</t>
  </si>
  <si>
    <t>GROUP BY 1,2,9 ORDER BY 1 DESC, 2 DESC, 9;</t>
  </si>
  <si>
    <t>mp</t>
  </si>
  <si>
    <t>Meal Penalties</t>
  </si>
  <si>
    <t>WITH mp AS (</t>
  </si>
  <si>
    <t xml:space="preserve"> SELECT p.wkyear::int yr, split_part(p.yrweek,'-',2)::int wk, employeeid, sum(timeworked)/60 mp </t>
  </si>
  <si>
    <t xml:space="preserve"> FROM mars__revolveclothing_com___db.timelog t INNER JOIN mars__id.id_yrweek p ON p."day" = t.timeout::date</t>
  </si>
  <si>
    <t xml:space="preserve"> WHERE timein&lt;'2000-1-1' AND timeworked&gt;0 AND timeout&gt;'2000-1-1' GROUP BY 1,2,3)</t>
  </si>
  <si>
    <t>SELECT t1.yr::int yr, t1.wk::int wk, round(sum(TotHoursWorked),2) TotHoursWorked, round(sum(OTHours),2) OTHours,</t>
  </si>
  <si>
    <t xml:space="preserve"> round(sum(Temp_Hours),2) Temp_Hours, count(DISTINCT CASE WHEN TotHoursWorked&gt;0 THEN name END) AS n,</t>
  </si>
  <si>
    <t xml:space="preserve"> count(DISTINCT CASE WHEN TotHoursWorked&gt;0 AND name ILIKE 'associate%' THEN name END) AS Temp_n, nvl(sum(mp),0) mp,</t>
  </si>
  <si>
    <t xml:space="preserve"> siteflag FROM (</t>
  </si>
  <si>
    <t>SELECT p.wkyear::int yr, split_part(p.yrweek,'-',2)::int wk, employeeid, name,</t>
  </si>
  <si>
    <t xml:space="preserve"> sum(CASE WHEN name ILIKE 'associate%' THEN timeworked ELSE 0 END)::float/60 AS Temp_Hours, </t>
  </si>
  <si>
    <t>WHERE timeworked &gt; 0 GROUP BY 1,2,3,4,8) t1</t>
  </si>
  <si>
    <t>LEFT JOIN mp t2 ON t1.yr = t2.yr AND t1.wk = t2.wk AND t1.employeeid = t2.employeeid</t>
  </si>
  <si>
    <t>insert into bi_work.excelquerylogs (querydate, querystart, excelfilename, queryname,  querytext) values  (convert_timezone('America/Los_Angeles',getdate()), convert_timezone('America/Los_Angeles',getdate()), 'WH Weekly Scorecard_RS.xlsm', 'custfillrate','  SELECT p.wkyear::int yr, split_part(p.yrweek,\'-\',2)::int wk,   siteflag, sum(all_orders) norders, sum(cust_filled) allorders,   sum(tag_cantfind) cantfinders,   sum(tag_preorder) preorders,   sum(tag_defect) defectorders,   sum(tag_latepk) lateshipment,   sum(tag_cs) csorders,  sum(tag_repack) repacks,  sum(tag_invalid_address) invalid_address FROM bi_report.id_custfillrates_rs c INNER JOIN mars__id.id_yrweek p ON p.day = c.orderdate GROUP BY 1,2,3 ORDER BY 1 DESC, 2 DESC, 3;                        ');</t>
  </si>
  <si>
    <t>workhour</t>
  </si>
  <si>
    <t>ontimeunits</t>
  </si>
  <si>
    <t>Total Late Units</t>
  </si>
  <si>
    <t xml:space="preserve"> sum(timeworked + overtimeworked + doubletime)::float/60 TotHoursWorked,</t>
  </si>
  <si>
    <t xml:space="preserve"> sum(overtimeworked + doubletime)::float/60 OTHours, </t>
  </si>
  <si>
    <t xml:space="preserve"> ELSE timeworked END timeworked, overtimeworked, doubletime </t>
  </si>
  <si>
    <t xml:space="preserve"> AND e.division IN ('FWRD Pick Pack and Ship','7252','Pick, Pack, &amp; Ship', 'Pick Pack and Ship','Warehouse Admin','Inventory','Studio Ops Pulls','Returns &amp; Repackaging',</t>
  </si>
  <si>
    <t xml:space="preserve">  CASE WHEN f.report_siteflag IN ('F') THEN 'F' ELSE 'R' END AS siteflag</t>
  </si>
  <si>
    <t>INNER JOIN bi_report.siteflag f ON f.ordertype = s.ordertype</t>
  </si>
  <si>
    <t xml:space="preserve">    CASE WHEN f.report_siteflag IN ('F') THEN 'F' ELSE 'R' END AS site,</t>
  </si>
  <si>
    <t xml:space="preserve">  FROM mars__revolveclothing_com___db.shipment s</t>
  </si>
  <si>
    <t xml:space="preserve">  INNER JOIN bi_report.siteflag f ON f.ordertype = s.ordertype</t>
  </si>
  <si>
    <t>GROUP BY 1,2,3,4 ORDER BY 1 DESC, 2 DESC</t>
  </si>
  <si>
    <t xml:space="preserve"> CASE WHEN f.report_siteflag IN ('F') THEN 'F' ELSE 'R' END AS siteflag</t>
  </si>
  <si>
    <t>INNER JOIN mars__id.id_yrweek p ON p.day = trunc(s.orderdate)</t>
  </si>
  <si>
    <t>GROUP BY 1,2,5 ORDER BY 1 DESC, 2 DESC;</t>
  </si>
  <si>
    <t xml:space="preserve">   CASE WHEN f.report_siteflag IN ('F') THEN 'F' ELSE 'R' END AS site,</t>
  </si>
  <si>
    <t xml:space="preserve"> INNER JOIN bi_report.siteflag f ON f.ordertype = t2.ordertype</t>
  </si>
  <si>
    <t xml:space="preserve"> WHERE date_part(YEAR, boxtime)&gt;=date_part(YEAR,CURRENT_DATE)-2 ) t</t>
  </si>
  <si>
    <t xml:space="preserve">   CASE WHEN billtoaccount = '1A1A00' THEN 'F' WHEN billtoaccount in ('1A0993','977479835') THEN 'R' END AS siteflag</t>
  </si>
  <si>
    <t xml:space="preserve">   AND t1.billtoaccount IN ('1A1A00','1A0993','977479835') AND returntrackingnumber &lt;&gt; '' </t>
  </si>
  <si>
    <t>SELECT p.wkyear yr, split_part(p.yrweek,'-',2) wk, CASE WHEN f.report_siteflag IN ('F') THEN 'F' ELSE 'R' END AS site,</t>
  </si>
  <si>
    <t>WHERE c.date&gt;=dateadd(YEAR,-2,CURRENT_DATE) AND s.trackingnumber &lt;&gt; ''</t>
  </si>
  <si>
    <t xml:space="preserve">     CASE WHEN f.report_siteflag IN ('F') THEN 'F' ELSE 'R' END AS site</t>
  </si>
  <si>
    <t xml:space="preserve">    INNER JOIN bi_report.siteflag f ON f.ordertype = s.ordertype</t>
  </si>
  <si>
    <t xml:space="preserve">    WHERE c.date&gt;=dateadd(YEAR,-2,CURRENT_DATE) AND s.trackingnumber &lt;&gt; ''</t>
  </si>
  <si>
    <t xml:space="preserve">  'FWRD Returns and Repackaging','7253','Receiving','FWRD Receiving','7250','Admin Receiving','Quality Assurance') </t>
  </si>
  <si>
    <t xml:space="preserve"> AND e.defaulttask NOT IN ('Quality Assurance')) t</t>
  </si>
  <si>
    <t>pps_uph</t>
  </si>
  <si>
    <t>FN</t>
  </si>
  <si>
    <t>pick_hr</t>
  </si>
  <si>
    <t>packs</t>
  </si>
  <si>
    <t>pack_hr</t>
  </si>
  <si>
    <t>custfillrate_exp</t>
  </si>
  <si>
    <t>whfillrate_exp</t>
  </si>
  <si>
    <t xml:space="preserve">SELECT p.wkyear::int yr, split_part(p.yrweek,'-',2)::int wk </t>
  </si>
  <si>
    <t xml:space="preserve"> , CASE WHEN siteflag = 'F' THEN 'F' ELSE 'R' END siteflag</t>
  </si>
  <si>
    <t>FW</t>
  </si>
  <si>
    <t>GD</t>
  </si>
  <si>
    <t>WrongWeight</t>
  </si>
  <si>
    <t>SELECT split_part(yrweek,'-',1)::int yr</t>
  </si>
  <si>
    <t xml:space="preserve">  , split_part(yrweek,'-',2)::int wk</t>
  </si>
  <si>
    <t xml:space="preserve">  , dateadd(DAY, -6, weekending)::date weekstart</t>
  </si>
  <si>
    <t xml:space="preserve">  , date_part(MONTH, weekstart) || '/' || date_part(DAY, weekstart) weekstart_str</t>
  </si>
  <si>
    <t xml:space="preserve">SELECT DISTINCT yrweek, weekending FROM bi_report.id_yrweek </t>
  </si>
  <si>
    <t>)</t>
  </si>
  <si>
    <t>ORDER BY 3 DESC;</t>
  </si>
  <si>
    <t>yrweek</t>
  </si>
  <si>
    <t>GK</t>
  </si>
  <si>
    <t>weekstart</t>
  </si>
  <si>
    <t>weekstart_str</t>
  </si>
  <si>
    <t>WHERE day&gt;=dateadd(WEEK, -13, CURRENT_DATE) AND day&lt;CURRENT_DATE</t>
  </si>
  <si>
    <t>pass</t>
  </si>
  <si>
    <t>Picking UPH (Division)</t>
  </si>
  <si>
    <t>Packing UPH (Division)</t>
  </si>
  <si>
    <t>Receiving UPH (Division)</t>
  </si>
  <si>
    <t>Stocking UPH (Division)</t>
  </si>
  <si>
    <t>Returns UPH (Division)</t>
  </si>
  <si>
    <t>Repackaging UPH (Division)</t>
  </si>
  <si>
    <t>Return&amp;Repack UPH (Division)</t>
  </si>
  <si>
    <t>Return Stocking UPH (Division)</t>
  </si>
  <si>
    <t>Picking UPH (division)</t>
  </si>
  <si>
    <t>Packing UPH (division)</t>
  </si>
  <si>
    <t>Receiving UPH (division)</t>
  </si>
  <si>
    <t>Stocking UPH (division)</t>
  </si>
  <si>
    <t>Returns UPH (division)</t>
  </si>
  <si>
    <t>Repackaging UPH (division)</t>
  </si>
  <si>
    <t>Return&amp;Repack UPH (division)</t>
  </si>
  <si>
    <t xml:space="preserve">   CASE WHEN parcel1=-1 OR parcel2=-1 OR parcel3=-1 OR parcel4=-1 </t>
  </si>
  <si>
    <t xml:space="preserve">    THEN 'error' ELSE 'pass' END AS checked</t>
  </si>
  <si>
    <t xml:space="preserve">    OR order1=-1 OR order2 =-1 OR order3 =-1 OR order4 =-1 OR order5 =0 </t>
  </si>
  <si>
    <t>Samples Inv Units [T]</t>
  </si>
  <si>
    <t>GP</t>
  </si>
  <si>
    <t>sum(case when lastscandate&gt;'2003-1-1' and receivedate&gt;'2003-1-1' then datediff(hour,receivedate, lastscandate) else 0 end) as Rc_TimeInReceiving</t>
  </si>
  <si>
    <t xml:space="preserve">from mars__revolveclothing_com___db.inventoryitemupdate </t>
  </si>
  <si>
    <t>and serialnumber not in (select serialnumber from mars__revolveclothing_com___db.inventoryitemupdate where notes ilike '%reverse receive%')</t>
  </si>
  <si>
    <t>group by Date, username) t2</t>
  </si>
  <si>
    <t xml:space="preserve"> FROM bi_report.id_wh_daily_rs t1 LEFT JOIN (</t>
  </si>
  <si>
    <t>select trunc(lastscandate) as Date, username, count(*) as Rc_UnitsReceived_excl_no_cost_prefix,</t>
  </si>
  <si>
    <t>ON t1.date = t2.date AND lower(t1.name) = lower(t2.username)</t>
  </si>
  <si>
    <t>WHERE t1.date&gt;=dateadd(YEAR, -2, CURRENT_DATE)</t>
  </si>
  <si>
    <t xml:space="preserve">SELECT t1.*, t2.Rc_UnitsReceived_excl_no_cost_prefix, CASE WHEN division ILIKE 'F_%' THEN 'F' ELSE 'R' END AS siteflag FROM bi_report.id_wh_daily_rs t1 </t>
  </si>
  <si>
    <t xml:space="preserve"> sum(Rc_UnitsReceived) Rec_Units_all, sum(hoursReceiving) RecHours,</t>
  </si>
  <si>
    <t xml:space="preserve"> sum(HoursReturns) ReturnRate, sum(Rc_UnitsReceived_excl_no_cost_prefix) Rec_Units,</t>
  </si>
  <si>
    <t>LEFT JOIN (select t1.date, t1.id, min(rc_unitsreceived_excl_no_cost_prefix) Rc_UnitsReceived_excl_no_cost_prefix</t>
  </si>
  <si>
    <t>group by 1,2) t2</t>
  </si>
  <si>
    <t>on t1.date = t2.date and t1.id = t2.id WHERE t1.date&gt;=dateadd(YEAR, -2, CURRENT_DATE)) t</t>
  </si>
  <si>
    <t>rec_units_all</t>
  </si>
  <si>
    <t>samples_invunits</t>
  </si>
  <si>
    <t xml:space="preserve"> sum(i.quantity)::float/count(DISTINCT i.day)/1000 InvUnits, </t>
  </si>
  <si>
    <t xml:space="preserve"> CASE WHEN siteflag ILIKE '%F%' THEN 'F' ELSE 'R' END AS siteflag</t>
  </si>
  <si>
    <t>LEFT JOIN mars__revolveclothing_com___db.poitem po on i.product = po.productcode and i.ponum = po.ponum</t>
  </si>
  <si>
    <t>INNER JOIN mars__id.id_yrweek p ON p.day = i.day</t>
  </si>
  <si>
    <t>WHERE date_part(YEAR, i.day)&gt;=date_part(YEAR,CURRENT_DATE)-2</t>
  </si>
  <si>
    <t xml:space="preserve"> AND ((po.cost = 0 AND left(product,4) NOT IN ('REVO','GWRA','BTYS','RBEA')) OR (po.cost &lt;&gt; 0 and po.potype = 'Sample'))</t>
  </si>
  <si>
    <t>GROUP BY 1,2,4 ORDER BY 1 DESC, 2 DESC, 4;</t>
  </si>
  <si>
    <t xml:space="preserve"> CASE WHEN siteflag = 'F' THEN 'F' ELSE 'R' END siteflag, count(shipmentid) units, sum(cust_filled) ontimeunits, </t>
  </si>
  <si>
    <t xml:space="preserve"> sum(case when cust_filled = 0 then case when cust_possible_reasons ilike '%address verification%' then 1 end end) addressverify, </t>
  </si>
  <si>
    <t xml:space="preserve"> sum(case when cust_filled = 0 then case when cust_possible_reasons ilike '%fraud verification%' then 1 end end) fraudverify, </t>
  </si>
  <si>
    <t xml:space="preserve"> sum(case when cust_filled = 0 then case when cust_possible_reasons ilike '%shipping upgrade%' then 1 end end) shippingupgrade, </t>
  </si>
  <si>
    <t>FROM bi_report.fillrate_reason c</t>
  </si>
  <si>
    <t>INNER JOIN mars__id.id_yrweek p ON p.day = c.cust_duedate::date</t>
  </si>
  <si>
    <t xml:space="preserve"> sum(case when cust_filled = 0 then case when cust_possible_reasons ilike '%cs recharge%' then 1 end end) CSRecharge </t>
  </si>
  <si>
    <t>INNER JOIN mars__id.id_yrweek p ON p.day = c.wh_duedate::date</t>
  </si>
  <si>
    <t xml:space="preserve"> ,  count(shipmentid) units, sum(cust_filled) ontimeunits</t>
  </si>
  <si>
    <t>INNER JOIN mars__id.id_yrweek p ON p.day = c.cust_duedate::date WHERE isexpedite</t>
  </si>
  <si>
    <t>INNER JOIN mars__id.id_yrweek p ON p.day = c.wh_duedate::date WHERE isexpedite</t>
  </si>
  <si>
    <t xml:space="preserve"> ,  count(case when wh_filled is not null then shipmentid end) units, sum(wh_filled) ontimeunits</t>
  </si>
  <si>
    <t xml:space="preserve"> CASE WHEN siteflag = 'F' THEN 'F' ELSE 'R' END siteflag, count(case when wh_filled is not null then shipmentid end) units, sum(wh_filled) ontimeunits, </t>
  </si>
  <si>
    <t>addressverify</t>
  </si>
  <si>
    <t>fraudverify</t>
  </si>
  <si>
    <t>shippingupgrade</t>
  </si>
  <si>
    <t>CSRecharge</t>
  </si>
  <si>
    <t>Address Verification</t>
  </si>
  <si>
    <t>Fraud Verification</t>
  </si>
  <si>
    <t>Shipping Upgrade</t>
  </si>
  <si>
    <t>CS Recharge Needed</t>
  </si>
  <si>
    <t>WH Attr</t>
  </si>
  <si>
    <t>Cust Late Attr</t>
  </si>
  <si>
    <t>csrecharge</t>
  </si>
  <si>
    <t xml:space="preserve"> sum(case when wh_filled = 0 then case when wh_possible_reasons ilike '%shipping upgrade%' then 1 end end) shippingupgrade, </t>
  </si>
  <si>
    <t xml:space="preserve"> sum(case when wh_filled = 0 then case when wh_possible_reasons ilike '%cs recharge%' then 1 end end) CSRecharge </t>
  </si>
  <si>
    <t xml:space="preserve"> CASE WHEN siteflag = 'F' THEN 'F' ELSE 'R' END siteflag, sum(all_units) units, sum(cust_filled) ontimeunits, </t>
  </si>
  <si>
    <t xml:space="preserve"> sum(tag_cantfind) cantfinders, </t>
  </si>
  <si>
    <t xml:space="preserve"> sum(tag_preorder) preorders, </t>
  </si>
  <si>
    <t xml:space="preserve"> sum(tag_defect) defectorders, </t>
  </si>
  <si>
    <t xml:space="preserve"> sum(tag_latepk) lateshipment, </t>
  </si>
  <si>
    <t xml:space="preserve"> sum(tag_cs) csorders,</t>
  </si>
  <si>
    <t xml:space="preserve"> sum(tag_repack) repacks,</t>
  </si>
  <si>
    <t xml:space="preserve"> sum(tag_invalid_address) invalid_address</t>
  </si>
  <si>
    <t>FROM bi_report.id_custfillrates_rs c</t>
  </si>
  <si>
    <t>INNER JOIN mars__id.id_yrweek p ON p.day = c.orderdate</t>
  </si>
  <si>
    <t>custfillrate_old</t>
  </si>
  <si>
    <t>cantfinders</t>
  </si>
  <si>
    <t>preorders</t>
  </si>
  <si>
    <t>defectorders</t>
  </si>
  <si>
    <t>lateshipment</t>
  </si>
  <si>
    <t>csorders</t>
  </si>
  <si>
    <t>repacks</t>
  </si>
  <si>
    <t>invalid_address</t>
  </si>
  <si>
    <t xml:space="preserve"> CASE WHEN siteflag = 'F' THEN 'F' ELSE 'R' END siteflag, sum(all_units) units, sum(wh_filled) ontimeunits, </t>
  </si>
  <si>
    <t>FROM bi_report.id_whfillrates_rs c</t>
  </si>
  <si>
    <t>INNER JOIN mars__id.id_yrweek p ON p.day = c.due_date</t>
  </si>
  <si>
    <t>whfillrate_old</t>
  </si>
  <si>
    <t>HL</t>
  </si>
  <si>
    <t>GX</t>
  </si>
  <si>
    <t>custfillrate_exp_old</t>
  </si>
  <si>
    <t>whfillrate_exp_old</t>
  </si>
  <si>
    <t>SELECT p.wkyear::int yr, split_part(p.yrweek,'-',2)::int wk</t>
  </si>
  <si>
    <t xml:space="preserve"> , sum(all_units) units, sum(cust_filled) ontimeunits </t>
  </si>
  <si>
    <t xml:space="preserve"> , sum(all_units) units, sum(wh_filled) ontimeunits</t>
  </si>
  <si>
    <t>INNER JOIN mars__id.id_yrweek p ON p.day = c.orderdate WHERE isexpedite</t>
  </si>
  <si>
    <t>INNER JOIN mars__id.id_yrweek p ON p.day = c.due_date WHERE isexpedite</t>
  </si>
  <si>
    <t>HZ</t>
  </si>
  <si>
    <t>IG</t>
  </si>
  <si>
    <t>AND NOT(cost = 0 AND left(product,4) = 'RBEA')</t>
  </si>
  <si>
    <t>Customer Fill Rate</t>
  </si>
  <si>
    <t>Warehouse Fill Rate</t>
  </si>
  <si>
    <t>Customer Fill Rate Expedite</t>
  </si>
  <si>
    <t>Warehouse Fill Rate Expedite</t>
  </si>
  <si>
    <t>STT Customer Fill Rate</t>
  </si>
  <si>
    <t>STT Customer Fill Rate Expedite</t>
  </si>
  <si>
    <t>STT Warehouse Fill Rate</t>
  </si>
  <si>
    <t>STT Warehouse Fill Rate Expedite</t>
  </si>
  <si>
    <t>AND po.cost &lt;&gt; 0 AND po.potype &lt;&gt; 'Sample'</t>
  </si>
  <si>
    <t>FROM (SELECT creationdate as day, product, ponum, sum(qty) quantity</t>
  </si>
  <si>
    <t>sum(i.quantity)::float/count(DISTINCT i.day)/1000 InvUnits,</t>
  </si>
  <si>
    <t>CASE WHEN po.siteflag ILIKE '%F%' THEN 'F' ELSE 'R' END AS siteflag</t>
  </si>
  <si>
    <t>GROUP BY 1,2,4 ORDER BY 1 DESC, 2 DESC, 4</t>
  </si>
  <si>
    <t xml:space="preserve">AND left(product,4) NOT IN ('GWRA','BTYS','REVO','GIFT','SUTC','GIFF') </t>
  </si>
  <si>
    <t>LEFT JOIN mars__revolveclothing_com___db.poitem po</t>
  </si>
  <si>
    <t>on i.product = po.productcode and i.ponum = po.ponum</t>
  </si>
  <si>
    <t xml:space="preserve"> sum(picks)/nullif(sum(hoursshipping),0) PickRate, </t>
  </si>
  <si>
    <t xml:space="preserve"> sum(PackedTotal)/nullif(sum(hourspacking),0) PackRate, sum(totpackages) totpackages,</t>
  </si>
  <si>
    <t>InventoryAdjustError</t>
  </si>
  <si>
    <t xml:space="preserve"> </t>
  </si>
  <si>
    <t>where qtyonhand = 1 and lower(trim(location)) != 'receiving' and lower(trim(previouslocation)) = 'receiving' and left(product,4) NOT IN ('REVO','GWRA','BTYS')</t>
  </si>
  <si>
    <t xml:space="preserve"> WHERE qtyonhand = 1 AND lower(trim(t1.location)) != 'receiving' AND lower(trim(previouslocation)) = 'receiving' AND siteflag IS NOT NULL</t>
  </si>
  <si>
    <t>UPH</t>
  </si>
  <si>
    <t>Outbound UPH (Pick + Pack)</t>
  </si>
  <si>
    <t>Inbound UPH (Rec + Stock + Ret + Repack)</t>
  </si>
  <si>
    <t>Inbound UPH (Rec + Stock + Ret + Repack + Restock)</t>
  </si>
  <si>
    <t>SwapLabels</t>
  </si>
  <si>
    <t>Missing Component</t>
  </si>
  <si>
    <t>Dirty Crotch</t>
  </si>
  <si>
    <t>No Liner/ Replacement</t>
  </si>
  <si>
    <t>Dirty Unit</t>
  </si>
  <si>
    <t>QA</t>
  </si>
  <si>
    <t xml:space="preserve">scanning error </t>
  </si>
  <si>
    <t xml:space="preserve">Mislabel </t>
  </si>
  <si>
    <t>11/25</t>
  </si>
  <si>
    <t>Repacking</t>
  </si>
  <si>
    <t>12/2</t>
  </si>
  <si>
    <t>12/16</t>
  </si>
  <si>
    <t>12/9</t>
  </si>
  <si>
    <t>Ph</t>
  </si>
  <si>
    <t>12/23</t>
  </si>
  <si>
    <t>12/30</t>
  </si>
  <si>
    <t>1/6</t>
  </si>
  <si>
    <t>1/13</t>
  </si>
  <si>
    <t>1/20</t>
  </si>
  <si>
    <t>NoWrapping</t>
  </si>
  <si>
    <t>from bi_report.id_inventoryitemdailylog group by 1,2,3) i</t>
  </si>
  <si>
    <t>FROM (SELECT creationdate as day, product, ponum, sum(qty) quantity from bi_report.id_inventoryitemdailylog group by 1,2,3) i</t>
  </si>
  <si>
    <t>1/27</t>
  </si>
  <si>
    <t>2/3</t>
  </si>
  <si>
    <t>2/10</t>
  </si>
  <si>
    <t>2/17</t>
  </si>
  <si>
    <t xml:space="preserve">Swapped Label </t>
  </si>
  <si>
    <t>2/24</t>
  </si>
  <si>
    <t>select tt.wkyear::int yr, split_part(tt.yrweek,'-',2)::int wk,t1.task_site as site,</t>
  </si>
  <si>
    <t>sum(case when t1.task not in ('Receiving','Repacking','Return','Stocking') then unit else 0 end) as outbound_units,</t>
  </si>
  <si>
    <t>from bi_report.daily_uph t1</t>
  </si>
  <si>
    <t>INNER JOIN bi_report.id_yrweek tt ON t1.day = tt.day</t>
  </si>
  <si>
    <t>outbound_units</t>
  </si>
  <si>
    <t>outbound_hrs</t>
  </si>
  <si>
    <t>sum(case when t1.task not in ('Receiving','Repacking','Return','Stocking') then hr else 0 end) as outbound_hrs,</t>
  </si>
  <si>
    <t>sum(case when t1.task in ('Receiving','Repacking','Return','Stocking') then unit else 0 end) as inbound_units,</t>
  </si>
  <si>
    <t>sum(case when t1.task in ('Receiving','Repacking','Return','Stocking') then hr else 0 end) as inbound_hrs</t>
  </si>
  <si>
    <t>group by 1,2,3 ORDER BY 1 DESC, 2 DESC, 3;</t>
  </si>
  <si>
    <t>inbound_units</t>
  </si>
  <si>
    <t>inbound_hrs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</si>
</sst>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m/d;@"/>
    <numFmt numFmtId="167" formatCode="0.0%"/>
    <numFmt numFmtId="168" formatCode="0.0"/>
    <numFmt numFmtId="169" formatCode="#,##0.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3" tint="0.3999755851924192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" fillId="4" borderId="3" applyNumberFormat="0" applyFont="0" applyAlignment="0" applyProtection="0"/>
    <xf numFmtId="9" fontId="1" fillId="0" borderId="0" applyFont="0" applyFill="0" applyBorder="0" applyAlignment="0" applyProtection="0"/>
    <xf numFmtId="0" fontId="18" fillId="7" borderId="0" applyNumberFormat="0" applyBorder="0" applyAlignment="0" applyProtection="0"/>
  </cellStyleXfs>
  <cellXfs count="338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0" fillId="0" borderId="0" xfId="0" applyAlignment="1">
      <alignment horizontal="right"/>
    </xf>
    <xf numFmtId="0" fontId="5" fillId="3" borderId="1" xfId="0" applyFont="1" applyFill="1" applyBorder="1" applyAlignment="1">
      <alignment horizontal="center"/>
    </xf>
    <xf numFmtId="0" fontId="2" fillId="2" borderId="2" xfId="0" applyFont="1" applyFill="1" applyBorder="1"/>
    <xf numFmtId="0" fontId="0" fillId="0" borderId="0" xfId="0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2" fontId="0" fillId="0" borderId="0" xfId="0" applyNumberFormat="1"/>
    <xf numFmtId="0" fontId="0" fillId="4" borderId="3" xfId="2" applyFont="1"/>
    <xf numFmtId="0" fontId="2" fillId="2" borderId="4" xfId="0" applyFont="1" applyFill="1" applyBorder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1" fontId="0" fillId="0" borderId="0" xfId="0" applyNumberFormat="1"/>
    <xf numFmtId="0" fontId="3" fillId="4" borderId="3" xfId="2" applyFont="1" applyAlignment="1">
      <alignment horizontal="center"/>
    </xf>
    <xf numFmtId="0" fontId="0" fillId="4" borderId="5" xfId="2" applyFont="1" applyBorder="1"/>
    <xf numFmtId="14" fontId="0" fillId="0" borderId="0" xfId="0" applyNumberFormat="1"/>
    <xf numFmtId="0" fontId="3" fillId="4" borderId="3" xfId="2" quotePrefix="1" applyFont="1" applyAlignment="1">
      <alignment horizontal="center"/>
    </xf>
    <xf numFmtId="0" fontId="2" fillId="2" borderId="6" xfId="0" applyFont="1" applyFill="1" applyBorder="1"/>
    <xf numFmtId="14" fontId="2" fillId="2" borderId="2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43" fontId="0" fillId="0" borderId="0" xfId="1" applyFont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4" fontId="11" fillId="0" borderId="0" xfId="0" applyNumberFormat="1" applyFont="1" applyAlignment="1">
      <alignment horizontal="left"/>
    </xf>
    <xf numFmtId="0" fontId="12" fillId="0" borderId="0" xfId="0" applyFont="1"/>
    <xf numFmtId="0" fontId="0" fillId="0" borderId="0" xfId="0" applyAlignment="1">
      <alignment vertical="center"/>
    </xf>
    <xf numFmtId="0" fontId="10" fillId="0" borderId="0" xfId="0" applyFont="1" applyAlignment="1">
      <alignment horizontal="right" vertic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2" xfId="0" applyBorder="1"/>
    <xf numFmtId="166" fontId="0" fillId="0" borderId="13" xfId="0" applyNumberForma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167" fontId="0" fillId="0" borderId="0" xfId="0" applyNumberFormat="1" applyAlignment="1">
      <alignment horizontal="center"/>
    </xf>
    <xf numFmtId="167" fontId="4" fillId="0" borderId="19" xfId="0" applyNumberFormat="1" applyFont="1" applyBorder="1" applyAlignment="1">
      <alignment horizontal="center"/>
    </xf>
    <xf numFmtId="167" fontId="0" fillId="0" borderId="17" xfId="0" applyNumberFormat="1" applyBorder="1" applyAlignment="1">
      <alignment horizontal="center"/>
    </xf>
    <xf numFmtId="167" fontId="14" fillId="0" borderId="17" xfId="0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/>
    </xf>
    <xf numFmtId="9" fontId="16" fillId="0" borderId="12" xfId="0" applyNumberFormat="1" applyFont="1" applyBorder="1" applyAlignment="1">
      <alignment horizontal="center"/>
    </xf>
    <xf numFmtId="9" fontId="16" fillId="0" borderId="21" xfId="0" applyNumberFormat="1" applyFont="1" applyBorder="1" applyAlignment="1">
      <alignment horizontal="center"/>
    </xf>
    <xf numFmtId="9" fontId="16" fillId="0" borderId="22" xfId="0" applyNumberFormat="1" applyFont="1" applyBorder="1" applyAlignment="1">
      <alignment horizontal="center"/>
    </xf>
    <xf numFmtId="9" fontId="16" fillId="0" borderId="23" xfId="0" applyNumberFormat="1" applyFont="1" applyBorder="1" applyAlignment="1">
      <alignment horizontal="center"/>
    </xf>
    <xf numFmtId="9" fontId="16" fillId="0" borderId="24" xfId="0" applyNumberFormat="1" applyFont="1" applyBorder="1" applyAlignment="1">
      <alignment horizontal="center"/>
    </xf>
    <xf numFmtId="0" fontId="14" fillId="0" borderId="24" xfId="0" applyFont="1" applyBorder="1"/>
    <xf numFmtId="167" fontId="0" fillId="0" borderId="4" xfId="0" applyNumberForma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4" fillId="0" borderId="27" xfId="0" applyFont="1" applyBorder="1"/>
    <xf numFmtId="0" fontId="0" fillId="0" borderId="8" xfId="0" applyBorder="1"/>
    <xf numFmtId="167" fontId="0" fillId="0" borderId="8" xfId="0" applyNumberFormat="1" applyBorder="1" applyAlignment="1">
      <alignment horizontal="center"/>
    </xf>
    <xf numFmtId="9" fontId="14" fillId="0" borderId="17" xfId="0" applyNumberFormat="1" applyFont="1" applyBorder="1" applyAlignment="1">
      <alignment horizontal="center" vertical="center"/>
    </xf>
    <xf numFmtId="9" fontId="16" fillId="0" borderId="28" xfId="0" applyNumberFormat="1" applyFont="1" applyBorder="1" applyAlignment="1">
      <alignment horizontal="center"/>
    </xf>
    <xf numFmtId="0" fontId="14" fillId="0" borderId="4" xfId="0" applyFont="1" applyBorder="1"/>
    <xf numFmtId="167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14" fillId="0" borderId="2" xfId="0" applyFont="1" applyBorder="1"/>
    <xf numFmtId="9" fontId="16" fillId="0" borderId="0" xfId="0" applyNumberFormat="1" applyFont="1" applyAlignment="1">
      <alignment horizontal="center"/>
    </xf>
    <xf numFmtId="9" fontId="16" fillId="0" borderId="10" xfId="0" applyNumberFormat="1" applyFont="1" applyBorder="1" applyAlignment="1">
      <alignment horizontal="center"/>
    </xf>
    <xf numFmtId="9" fontId="16" fillId="0" borderId="11" xfId="0" applyNumberFormat="1" applyFont="1" applyBorder="1" applyAlignment="1">
      <alignment horizontal="center"/>
    </xf>
    <xf numFmtId="9" fontId="16" fillId="0" borderId="29" xfId="0" applyNumberFormat="1" applyFont="1" applyBorder="1" applyAlignment="1">
      <alignment horizontal="center"/>
    </xf>
    <xf numFmtId="0" fontId="0" fillId="0" borderId="20" xfId="0" applyBorder="1"/>
    <xf numFmtId="2" fontId="0" fillId="0" borderId="11" xfId="0" applyNumberFormat="1" applyBorder="1" applyAlignment="1">
      <alignment horizontal="center"/>
    </xf>
    <xf numFmtId="0" fontId="14" fillId="0" borderId="20" xfId="0" applyFont="1" applyBorder="1"/>
    <xf numFmtId="167" fontId="0" fillId="0" borderId="6" xfId="0" applyNumberFormat="1" applyBorder="1" applyAlignment="1">
      <alignment horizontal="center"/>
    </xf>
    <xf numFmtId="0" fontId="14" fillId="0" borderId="6" xfId="0" applyFont="1" applyBorder="1"/>
    <xf numFmtId="167" fontId="0" fillId="0" borderId="24" xfId="0" applyNumberFormat="1" applyBorder="1" applyAlignment="1">
      <alignment horizontal="center"/>
    </xf>
    <xf numFmtId="9" fontId="16" fillId="0" borderId="13" xfId="0" applyNumberFormat="1" applyFont="1" applyBorder="1" applyAlignment="1">
      <alignment horizontal="center"/>
    </xf>
    <xf numFmtId="9" fontId="16" fillId="0" borderId="14" xfId="0" applyNumberFormat="1" applyFont="1" applyBorder="1" applyAlignment="1">
      <alignment horizontal="center"/>
    </xf>
    <xf numFmtId="9" fontId="16" fillId="0" borderId="25" xfId="0" applyNumberFormat="1" applyFont="1" applyBorder="1" applyAlignment="1">
      <alignment horizontal="center"/>
    </xf>
    <xf numFmtId="9" fontId="16" fillId="0" borderId="26" xfId="0" applyNumberFormat="1" applyFont="1" applyBorder="1" applyAlignment="1">
      <alignment horizontal="center"/>
    </xf>
    <xf numFmtId="9" fontId="16" fillId="0" borderId="27" xfId="0" applyNumberFormat="1" applyFont="1" applyBorder="1" applyAlignment="1">
      <alignment horizontal="center"/>
    </xf>
    <xf numFmtId="167" fontId="0" fillId="0" borderId="20" xfId="0" applyNumberFormat="1" applyBorder="1" applyAlignment="1">
      <alignment horizontal="center"/>
    </xf>
    <xf numFmtId="2" fontId="14" fillId="0" borderId="20" xfId="0" applyNumberFormat="1" applyFont="1" applyBorder="1" applyAlignment="1">
      <alignment horizontal="center"/>
    </xf>
    <xf numFmtId="9" fontId="16" fillId="0" borderId="20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14" fillId="0" borderId="20" xfId="0" applyNumberFormat="1" applyFont="1" applyBorder="1" applyAlignment="1">
      <alignment horizontal="center"/>
    </xf>
    <xf numFmtId="9" fontId="0" fillId="0" borderId="0" xfId="3" applyFont="1" applyAlignment="1">
      <alignment horizontal="center"/>
    </xf>
    <xf numFmtId="9" fontId="17" fillId="0" borderId="0" xfId="0" applyNumberFormat="1" applyFont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168" fontId="0" fillId="0" borderId="26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0" fontId="14" fillId="0" borderId="16" xfId="0" applyFont="1" applyBorder="1"/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6" xfId="0" applyBorder="1"/>
    <xf numFmtId="9" fontId="0" fillId="0" borderId="13" xfId="0" applyNumberFormat="1" applyBorder="1"/>
    <xf numFmtId="9" fontId="0" fillId="0" borderId="14" xfId="0" applyNumberFormat="1" applyBorder="1"/>
    <xf numFmtId="9" fontId="0" fillId="0" borderId="25" xfId="0" applyNumberFormat="1" applyBorder="1"/>
    <xf numFmtId="9" fontId="0" fillId="0" borderId="26" xfId="0" applyNumberFormat="1" applyBorder="1"/>
    <xf numFmtId="9" fontId="0" fillId="0" borderId="16" xfId="0" applyNumberFormat="1" applyBorder="1"/>
    <xf numFmtId="0" fontId="0" fillId="0" borderId="16" xfId="0" applyBorder="1"/>
    <xf numFmtId="3" fontId="0" fillId="0" borderId="11" xfId="0" applyNumberFormat="1" applyBorder="1" applyAlignment="1">
      <alignment horizontal="center" vertical="center"/>
    </xf>
    <xf numFmtId="3" fontId="0" fillId="0" borderId="29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10" xfId="0" applyNumberFormat="1" applyBorder="1" applyAlignment="1">
      <alignment horizontal="center"/>
    </xf>
    <xf numFmtId="169" fontId="0" fillId="0" borderId="11" xfId="0" applyNumberFormat="1" applyBorder="1" applyAlignment="1">
      <alignment horizontal="center" vertical="center"/>
    </xf>
    <xf numFmtId="169" fontId="0" fillId="0" borderId="29" xfId="0" applyNumberFormat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 textRotation="90"/>
    </xf>
    <xf numFmtId="0" fontId="14" fillId="0" borderId="13" xfId="0" applyFont="1" applyBorder="1"/>
    <xf numFmtId="3" fontId="0" fillId="0" borderId="0" xfId="0" applyNumberFormat="1" applyAlignment="1">
      <alignment horizontal="center"/>
    </xf>
    <xf numFmtId="3" fontId="0" fillId="0" borderId="10" xfId="0" applyNumberFormat="1" applyBorder="1" applyAlignment="1">
      <alignment horizontal="center"/>
    </xf>
    <xf numFmtId="169" fontId="0" fillId="0" borderId="0" xfId="0" applyNumberFormat="1" applyAlignment="1">
      <alignment horizontal="center" vertical="center"/>
    </xf>
    <xf numFmtId="0" fontId="14" fillId="0" borderId="17" xfId="0" applyFont="1" applyBorder="1"/>
    <xf numFmtId="168" fontId="0" fillId="0" borderId="8" xfId="0" applyNumberFormat="1" applyBorder="1" applyAlignment="1">
      <alignment horizontal="center"/>
    </xf>
    <xf numFmtId="168" fontId="4" fillId="0" borderId="18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/>
    </xf>
    <xf numFmtId="0" fontId="14" fillId="0" borderId="17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167" fontId="16" fillId="0" borderId="0" xfId="0" applyNumberFormat="1" applyFont="1" applyAlignment="1">
      <alignment horizontal="center"/>
    </xf>
    <xf numFmtId="167" fontId="16" fillId="0" borderId="12" xfId="0" applyNumberFormat="1" applyFont="1" applyBorder="1" applyAlignment="1">
      <alignment horizontal="center"/>
    </xf>
    <xf numFmtId="167" fontId="16" fillId="0" borderId="28" xfId="0" applyNumberFormat="1" applyFont="1" applyBorder="1" applyAlignment="1">
      <alignment horizontal="center"/>
    </xf>
    <xf numFmtId="167" fontId="20" fillId="0" borderId="23" xfId="3" applyNumberFormat="1" applyFont="1" applyBorder="1" applyAlignment="1">
      <alignment horizontal="center"/>
    </xf>
    <xf numFmtId="167" fontId="16" fillId="0" borderId="20" xfId="0" applyNumberFormat="1" applyFont="1" applyBorder="1" applyAlignment="1">
      <alignment horizontal="center"/>
    </xf>
    <xf numFmtId="167" fontId="14" fillId="0" borderId="20" xfId="0" applyNumberFormat="1" applyFont="1" applyBorder="1" applyAlignment="1">
      <alignment horizontal="center"/>
    </xf>
    <xf numFmtId="0" fontId="0" fillId="0" borderId="11" xfId="0" applyBorder="1" applyAlignment="1">
      <alignment horizontal="center"/>
    </xf>
    <xf numFmtId="167" fontId="16" fillId="0" borderId="11" xfId="0" applyNumberFormat="1" applyFont="1" applyBorder="1" applyAlignment="1">
      <alignment horizontal="center"/>
    </xf>
    <xf numFmtId="167" fontId="16" fillId="0" borderId="23" xfId="0" applyNumberFormat="1" applyFont="1" applyBorder="1" applyAlignment="1">
      <alignment horizontal="center"/>
    </xf>
    <xf numFmtId="167" fontId="16" fillId="0" borderId="24" xfId="0" applyNumberFormat="1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167" fontId="16" fillId="0" borderId="29" xfId="0" applyNumberFormat="1" applyFont="1" applyBorder="1" applyAlignment="1">
      <alignment horizontal="center"/>
    </xf>
    <xf numFmtId="0" fontId="7" fillId="6" borderId="0" xfId="0" applyFont="1" applyFill="1" applyAlignment="1">
      <alignment horizontal="center" vertical="center" textRotation="90"/>
    </xf>
    <xf numFmtId="0" fontId="0" fillId="0" borderId="10" xfId="0" applyBorder="1"/>
    <xf numFmtId="169" fontId="0" fillId="0" borderId="17" xfId="0" applyNumberFormat="1" applyBorder="1" applyAlignment="1">
      <alignment horizontal="center" vertical="center"/>
    </xf>
    <xf numFmtId="169" fontId="0" fillId="0" borderId="31" xfId="0" applyNumberFormat="1" applyBorder="1" applyAlignment="1">
      <alignment horizontal="center" vertical="center"/>
    </xf>
    <xf numFmtId="0" fontId="0" fillId="0" borderId="15" xfId="0" applyBorder="1"/>
    <xf numFmtId="3" fontId="0" fillId="0" borderId="20" xfId="0" applyNumberFormat="1" applyBorder="1" applyAlignment="1">
      <alignment horizontal="center" vertical="center"/>
    </xf>
    <xf numFmtId="9" fontId="16" fillId="0" borderId="30" xfId="0" applyNumberFormat="1" applyFont="1" applyBorder="1" applyAlignment="1">
      <alignment horizontal="center"/>
    </xf>
    <xf numFmtId="167" fontId="20" fillId="0" borderId="28" xfId="3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168" fontId="0" fillId="0" borderId="17" xfId="0" applyNumberFormat="1" applyBorder="1" applyAlignment="1">
      <alignment horizontal="center"/>
    </xf>
    <xf numFmtId="168" fontId="0" fillId="0" borderId="20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3" fontId="0" fillId="0" borderId="17" xfId="0" applyNumberForma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2" fontId="4" fillId="0" borderId="19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1" fontId="4" fillId="0" borderId="19" xfId="0" applyNumberFormat="1" applyFont="1" applyBorder="1" applyAlignment="1">
      <alignment horizontal="center"/>
    </xf>
    <xf numFmtId="167" fontId="4" fillId="0" borderId="31" xfId="0" applyNumberFormat="1" applyFon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69" fontId="0" fillId="0" borderId="8" xfId="0" applyNumberFormat="1" applyBorder="1" applyAlignment="1">
      <alignment horizontal="center"/>
    </xf>
    <xf numFmtId="169" fontId="4" fillId="0" borderId="18" xfId="0" applyNumberFormat="1" applyFont="1" applyBorder="1" applyAlignment="1">
      <alignment horizontal="center"/>
    </xf>
    <xf numFmtId="169" fontId="4" fillId="0" borderId="19" xfId="0" applyNumberFormat="1" applyFont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9" fontId="4" fillId="0" borderId="22" xfId="0" applyNumberFormat="1" applyFont="1" applyBorder="1" applyAlignment="1">
      <alignment horizontal="center"/>
    </xf>
    <xf numFmtId="169" fontId="4" fillId="0" borderId="23" xfId="0" applyNumberFormat="1" applyFont="1" applyBorder="1" applyAlignment="1">
      <alignment horizontal="center"/>
    </xf>
    <xf numFmtId="0" fontId="14" fillId="0" borderId="24" xfId="0" applyFont="1" applyBorder="1" applyAlignment="1">
      <alignment horizontal="center" vertical="center"/>
    </xf>
    <xf numFmtId="3" fontId="4" fillId="0" borderId="18" xfId="0" applyNumberFormat="1" applyFont="1" applyBorder="1" applyAlignment="1">
      <alignment horizontal="center"/>
    </xf>
    <xf numFmtId="3" fontId="4" fillId="0" borderId="19" xfId="0" applyNumberFormat="1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0" fillId="0" borderId="11" xfId="0" applyBorder="1"/>
    <xf numFmtId="3" fontId="4" fillId="0" borderId="11" xfId="0" applyNumberFormat="1" applyFont="1" applyBorder="1" applyAlignment="1">
      <alignment horizontal="center"/>
    </xf>
    <xf numFmtId="3" fontId="4" fillId="0" borderId="29" xfId="0" applyNumberFormat="1" applyFont="1" applyBorder="1" applyAlignment="1">
      <alignment horizontal="center"/>
    </xf>
    <xf numFmtId="0" fontId="14" fillId="0" borderId="20" xfId="0" applyFont="1" applyBorder="1" applyAlignment="1">
      <alignment horizontal="center" vertical="center"/>
    </xf>
    <xf numFmtId="9" fontId="0" fillId="0" borderId="11" xfId="3" applyFont="1" applyBorder="1" applyAlignment="1">
      <alignment horizontal="center"/>
    </xf>
    <xf numFmtId="3" fontId="21" fillId="6" borderId="29" xfId="4" applyNumberFormat="1" applyFont="1" applyFill="1" applyBorder="1" applyAlignment="1">
      <alignment horizontal="center"/>
    </xf>
    <xf numFmtId="169" fontId="21" fillId="6" borderId="10" xfId="4" applyNumberFormat="1" applyFont="1" applyFill="1" applyBorder="1" applyAlignment="1">
      <alignment horizontal="center"/>
    </xf>
    <xf numFmtId="169" fontId="21" fillId="6" borderId="0" xfId="4" applyNumberFormat="1" applyFont="1" applyFill="1" applyAlignment="1">
      <alignment horizontal="center"/>
    </xf>
    <xf numFmtId="169" fontId="4" fillId="0" borderId="11" xfId="0" applyNumberFormat="1" applyFont="1" applyBorder="1" applyAlignment="1">
      <alignment horizontal="center"/>
    </xf>
    <xf numFmtId="169" fontId="21" fillId="6" borderId="11" xfId="4" applyNumberFormat="1" applyFont="1" applyFill="1" applyBorder="1" applyAlignment="1">
      <alignment horizontal="center"/>
    </xf>
    <xf numFmtId="169" fontId="21" fillId="6" borderId="29" xfId="4" applyNumberFormat="1" applyFont="1" applyFill="1" applyBorder="1" applyAlignment="1">
      <alignment horizontal="center"/>
    </xf>
    <xf numFmtId="9" fontId="16" fillId="0" borderId="6" xfId="0" applyNumberFormat="1" applyFont="1" applyBorder="1" applyAlignment="1">
      <alignment horizontal="center"/>
    </xf>
    <xf numFmtId="169" fontId="21" fillId="6" borderId="1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14" fillId="0" borderId="2" xfId="0" applyFont="1" applyBorder="1" applyAlignment="1">
      <alignment horizontal="center"/>
    </xf>
    <xf numFmtId="9" fontId="16" fillId="0" borderId="4" xfId="0" applyNumberFormat="1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" xfId="0" applyBorder="1"/>
    <xf numFmtId="3" fontId="0" fillId="0" borderId="11" xfId="0" applyNumberFormat="1" applyBorder="1" applyAlignment="1">
      <alignment horizontal="center"/>
    </xf>
    <xf numFmtId="169" fontId="0" fillId="0" borderId="30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/>
    </xf>
    <xf numFmtId="169" fontId="0" fillId="0" borderId="20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69" fontId="0" fillId="0" borderId="17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9" fontId="0" fillId="0" borderId="20" xfId="3" applyFont="1" applyBorder="1" applyAlignment="1">
      <alignment horizontal="center"/>
    </xf>
    <xf numFmtId="0" fontId="4" fillId="0" borderId="17" xfId="0" applyFont="1" applyBorder="1"/>
    <xf numFmtId="0" fontId="15" fillId="0" borderId="24" xfId="0" applyFont="1" applyBorder="1" applyAlignment="1">
      <alignment horizontal="left" indent="4"/>
    </xf>
    <xf numFmtId="0" fontId="4" fillId="0" borderId="20" xfId="0" applyFont="1" applyBorder="1"/>
    <xf numFmtId="0" fontId="15" fillId="0" borderId="20" xfId="0" applyFont="1" applyBorder="1" applyAlignment="1">
      <alignment horizontal="left" indent="4"/>
    </xf>
    <xf numFmtId="0" fontId="14" fillId="0" borderId="20" xfId="0" applyFont="1" applyBorder="1" applyAlignment="1">
      <alignment horizontal="left" indent="1"/>
    </xf>
    <xf numFmtId="0" fontId="15" fillId="0" borderId="27" xfId="0" applyFont="1" applyBorder="1" applyAlignment="1">
      <alignment horizontal="left" indent="4"/>
    </xf>
    <xf numFmtId="0" fontId="4" fillId="0" borderId="27" xfId="0" applyFont="1" applyBorder="1"/>
    <xf numFmtId="0" fontId="19" fillId="0" borderId="24" xfId="0" applyFont="1" applyBorder="1" applyAlignment="1">
      <alignment horizontal="left" indent="4"/>
    </xf>
    <xf numFmtId="0" fontId="10" fillId="0" borderId="20" xfId="0" applyFont="1" applyBorder="1" applyAlignment="1">
      <alignment horizontal="left" indent="1"/>
    </xf>
    <xf numFmtId="0" fontId="14" fillId="0" borderId="24" xfId="0" applyFont="1" applyBorder="1" applyAlignment="1">
      <alignment horizontal="left" indent="1"/>
    </xf>
    <xf numFmtId="0" fontId="4" fillId="0" borderId="24" xfId="0" applyFont="1" applyBorder="1"/>
    <xf numFmtId="0" fontId="0" fillId="0" borderId="20" xfId="0" applyBorder="1" applyAlignment="1">
      <alignment horizontal="left" indent="1"/>
    </xf>
    <xf numFmtId="0" fontId="0" fillId="0" borderId="1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" xfId="0" applyBorder="1"/>
    <xf numFmtId="0" fontId="2" fillId="2" borderId="21" xfId="0" applyFont="1" applyFill="1" applyBorder="1" applyAlignment="1">
      <alignment horizontal="center"/>
    </xf>
    <xf numFmtId="46" fontId="0" fillId="0" borderId="33" xfId="0" applyNumberFormat="1" applyBorder="1" applyAlignment="1">
      <alignment horizontal="center"/>
    </xf>
    <xf numFmtId="0" fontId="4" fillId="0" borderId="32" xfId="0" applyFont="1" applyBorder="1" applyAlignment="1">
      <alignment horizontal="left"/>
    </xf>
    <xf numFmtId="167" fontId="0" fillId="0" borderId="17" xfId="0" applyNumberForma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left" indent="1"/>
    </xf>
    <xf numFmtId="0" fontId="0" fillId="0" borderId="21" xfId="0" applyBorder="1"/>
    <xf numFmtId="168" fontId="0" fillId="0" borderId="24" xfId="0" applyNumberFormat="1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9" fontId="17" fillId="0" borderId="12" xfId="0" applyNumberFormat="1" applyFont="1" applyBorder="1" applyAlignment="1">
      <alignment horizontal="center"/>
    </xf>
    <xf numFmtId="9" fontId="17" fillId="0" borderId="24" xfId="0" applyNumberFormat="1" applyFont="1" applyBorder="1" applyAlignment="1">
      <alignment horizontal="center"/>
    </xf>
    <xf numFmtId="9" fontId="0" fillId="0" borderId="27" xfId="0" applyNumberFormat="1" applyBorder="1"/>
    <xf numFmtId="0" fontId="0" fillId="0" borderId="17" xfId="0" applyBorder="1"/>
    <xf numFmtId="0" fontId="0" fillId="0" borderId="29" xfId="0" applyBorder="1"/>
    <xf numFmtId="0" fontId="0" fillId="0" borderId="24" xfId="0" applyBorder="1"/>
    <xf numFmtId="3" fontId="0" fillId="0" borderId="0" xfId="0" applyNumberFormat="1" applyAlignment="1">
      <alignment horizontal="center" vertical="center"/>
    </xf>
    <xf numFmtId="3" fontId="0" fillId="0" borderId="30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/>
    </xf>
    <xf numFmtId="3" fontId="0" fillId="0" borderId="15" xfId="0" applyNumberFormat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textRotation="90"/>
    </xf>
    <xf numFmtId="3" fontId="0" fillId="0" borderId="18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169" fontId="0" fillId="0" borderId="2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11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/>
    </xf>
    <xf numFmtId="9" fontId="0" fillId="0" borderId="29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11" xfId="0" applyNumberFormat="1" applyBorder="1" applyAlignment="1">
      <alignment horizontal="center" vertical="center"/>
    </xf>
    <xf numFmtId="168" fontId="0" fillId="0" borderId="20" xfId="0" applyNumberFormat="1" applyBorder="1" applyAlignment="1">
      <alignment horizontal="center" vertical="center"/>
    </xf>
    <xf numFmtId="168" fontId="0" fillId="0" borderId="17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14" fillId="0" borderId="17" xfId="0" applyNumberFormat="1" applyFont="1" applyBorder="1" applyAlignment="1">
      <alignment horizontal="center"/>
    </xf>
    <xf numFmtId="168" fontId="0" fillId="0" borderId="29" xfId="0" applyNumberFormat="1" applyBorder="1" applyAlignment="1">
      <alignment horizontal="center"/>
    </xf>
    <xf numFmtId="43" fontId="22" fillId="0" borderId="0" xfId="1" applyFont="1"/>
    <xf numFmtId="43" fontId="23" fillId="0" borderId="0" xfId="1" applyFont="1"/>
    <xf numFmtId="43" fontId="24" fillId="0" borderId="0" xfId="1" applyFont="1"/>
    <xf numFmtId="43" fontId="25" fillId="0" borderId="0" xfId="1" applyFont="1"/>
    <xf numFmtId="167" fontId="16" fillId="0" borderId="10" xfId="0" applyNumberFormat="1" applyFont="1" applyBorder="1" applyAlignment="1">
      <alignment horizontal="center"/>
    </xf>
    <xf numFmtId="3" fontId="0" fillId="0" borderId="30" xfId="0" applyNumberForma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0" fontId="14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left" indent="1"/>
    </xf>
    <xf numFmtId="0" fontId="4" fillId="0" borderId="0" xfId="0" applyFont="1" applyAlignment="1">
      <alignment horizontal="left" indent="1"/>
    </xf>
    <xf numFmtId="3" fontId="0" fillId="0" borderId="12" xfId="0" applyNumberFormat="1" applyBorder="1" applyAlignment="1">
      <alignment horizontal="center"/>
    </xf>
    <xf numFmtId="3" fontId="0" fillId="0" borderId="34" xfId="0" applyNumberFormat="1" applyBorder="1" applyAlignment="1">
      <alignment horizontal="center"/>
    </xf>
    <xf numFmtId="167" fontId="16" fillId="0" borderId="34" xfId="0" applyNumberFormat="1" applyFon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10" xfId="0" applyFont="1" applyBorder="1"/>
    <xf numFmtId="0" fontId="13" fillId="0" borderId="17" xfId="0" applyFont="1" applyBorder="1"/>
    <xf numFmtId="0" fontId="13" fillId="0" borderId="20" xfId="0" applyFont="1" applyBorder="1"/>
    <xf numFmtId="43" fontId="28" fillId="0" borderId="0" xfId="1" applyFont="1"/>
    <xf numFmtId="43" fontId="29" fillId="0" borderId="0" xfId="1" applyFont="1"/>
    <xf numFmtId="2" fontId="0" fillId="0" borderId="15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9" fontId="20" fillId="0" borderId="0" xfId="3" applyFont="1" applyAlignment="1">
      <alignment horizontal="center"/>
    </xf>
    <xf numFmtId="9" fontId="20" fillId="0" borderId="24" xfId="3" applyFont="1" applyBorder="1" applyAlignment="1">
      <alignment horizontal="center"/>
    </xf>
    <xf numFmtId="9" fontId="20" fillId="0" borderId="30" xfId="3" applyFont="1" applyBorder="1" applyAlignment="1">
      <alignment horizontal="center"/>
    </xf>
    <xf numFmtId="2" fontId="20" fillId="0" borderId="13" xfId="0" applyNumberFormat="1" applyFont="1" applyBorder="1" applyAlignment="1">
      <alignment horizontal="center"/>
    </xf>
    <xf numFmtId="2" fontId="20" fillId="0" borderId="14" xfId="0" applyNumberFormat="1" applyFont="1" applyBorder="1" applyAlignment="1">
      <alignment horizontal="center"/>
    </xf>
    <xf numFmtId="2" fontId="20" fillId="0" borderId="15" xfId="0" applyNumberFormat="1" applyFont="1" applyBorder="1" applyAlignment="1">
      <alignment horizontal="center"/>
    </xf>
    <xf numFmtId="168" fontId="20" fillId="0" borderId="26" xfId="0" applyNumberFormat="1" applyFont="1" applyBorder="1" applyAlignment="1">
      <alignment horizontal="center"/>
    </xf>
    <xf numFmtId="9" fontId="20" fillId="0" borderId="28" xfId="3" applyFont="1" applyBorder="1" applyAlignment="1">
      <alignment horizontal="center"/>
    </xf>
    <xf numFmtId="43" fontId="30" fillId="0" borderId="0" xfId="1" applyFont="1"/>
    <xf numFmtId="43" fontId="31" fillId="0" borderId="0" xfId="1" applyFont="1"/>
    <xf numFmtId="43" fontId="32" fillId="0" borderId="0" xfId="1" applyFont="1"/>
    <xf numFmtId="166" fontId="0" fillId="0" borderId="27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4" fillId="0" borderId="24" xfId="0" applyFont="1" applyBorder="1" applyAlignment="1">
      <alignment horizontal="right"/>
    </xf>
    <xf numFmtId="43" fontId="33" fillId="0" borderId="0" xfId="1" applyFont="1"/>
    <xf numFmtId="43" fontId="34" fillId="0" borderId="0" xfId="1" applyFont="1"/>
    <xf numFmtId="43" fontId="35" fillId="0" borderId="0" xfId="1" applyFont="1"/>
    <xf numFmtId="167" fontId="4" fillId="0" borderId="17" xfId="0" applyNumberFormat="1" applyFon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7" fontId="4" fillId="0" borderId="18" xfId="0" applyNumberFormat="1" applyFont="1" applyBorder="1" applyAlignment="1">
      <alignment horizontal="center"/>
    </xf>
    <xf numFmtId="43" fontId="36" fillId="0" borderId="0" xfId="1" applyFont="1"/>
    <xf numFmtId="43" fontId="37" fillId="0" borderId="0" xfId="1" applyFont="1"/>
    <xf numFmtId="43" fontId="38" fillId="0" borderId="0" xfId="1" applyFont="1"/>
    <xf numFmtId="0" fontId="4" fillId="0" borderId="12" xfId="0" applyFont="1" applyBorder="1" applyAlignment="1">
      <alignment horizontal="left" indent="1"/>
    </xf>
    <xf numFmtId="3" fontId="0" fillId="0" borderId="21" xfId="0" applyNumberFormat="1" applyBorder="1" applyAlignment="1">
      <alignment horizontal="center"/>
    </xf>
    <xf numFmtId="3" fontId="0" fillId="0" borderId="35" xfId="0" applyNumberFormat="1" applyBorder="1" applyAlignment="1">
      <alignment horizontal="center"/>
    </xf>
    <xf numFmtId="167" fontId="0" fillId="0" borderId="21" xfId="0" applyNumberFormat="1" applyBorder="1" applyAlignment="1">
      <alignment horizontal="center"/>
    </xf>
    <xf numFmtId="0" fontId="14" fillId="0" borderId="21" xfId="0" applyFont="1" applyBorder="1" applyAlignment="1">
      <alignment horizontal="center" vertical="center"/>
    </xf>
    <xf numFmtId="43" fontId="40" fillId="0" borderId="0" xfId="1" applyFont="1"/>
    <xf numFmtId="43" fontId="0" fillId="0" borderId="0" xfId="0" applyNumberFormat="1"/>
    <xf numFmtId="164" fontId="0" fillId="0" borderId="0" xfId="0" applyNumberFormat="1"/>
    <xf numFmtId="43" fontId="41" fillId="0" borderId="0" xfId="1" applyFont="1"/>
    <xf numFmtId="43" fontId="42" fillId="0" borderId="0" xfId="1" applyFont="1"/>
    <xf numFmtId="43" fontId="43" fillId="0" borderId="0" xfId="1" applyFont="1"/>
    <xf numFmtId="43" fontId="44" fillId="0" borderId="0" xfId="1" applyFont="1"/>
    <xf numFmtId="43" fontId="45" fillId="0" borderId="0" xfId="1" applyFont="1"/>
    <xf numFmtId="0" fontId="0" fillId="0" borderId="7" xfId="0" applyBorder="1"/>
    <xf numFmtId="43" fontId="46" fillId="0" borderId="0" xfId="1" applyFont="1"/>
    <xf numFmtId="43" fontId="47" fillId="0" borderId="0" xfId="1" applyFont="1"/>
    <xf numFmtId="43" fontId="48" fillId="0" borderId="0" xfId="1" applyFont="1"/>
    <xf numFmtId="43" fontId="49" fillId="0" borderId="0" xfId="1" applyFont="1"/>
    <xf numFmtId="43" fontId="50" fillId="0" borderId="0" xfId="1" applyFont="1"/>
    <xf numFmtId="43" fontId="51" fillId="0" borderId="0" xfId="1" applyFont="1"/>
    <xf numFmtId="43" fontId="52" fillId="0" borderId="0" xfId="1" applyFont="1"/>
    <xf numFmtId="43" fontId="53" fillId="0" borderId="0" xfId="1" applyFont="1"/>
    <xf numFmtId="43" fontId="54" fillId="0" borderId="0" xfId="1" applyFont="1"/>
    <xf numFmtId="43" fontId="55" fillId="0" borderId="0" xfId="1" applyFont="1"/>
    <xf numFmtId="43" fontId="56" fillId="0" borderId="0" xfId="1" applyFont="1"/>
    <xf numFmtId="43" fontId="57" fillId="0" borderId="0" xfId="1" applyFont="1"/>
    <xf numFmtId="2" fontId="4" fillId="0" borderId="0" xfId="0" applyNumberFormat="1" applyFont="1" applyAlignment="1">
      <alignment horizontal="center" vertical="center"/>
    </xf>
    <xf numFmtId="43" fontId="58" fillId="0" borderId="0" xfId="1" applyFont="1"/>
    <xf numFmtId="43" fontId="59" fillId="0" borderId="0" xfId="1" applyFont="1"/>
    <xf numFmtId="0" fontId="7" fillId="5" borderId="17" xfId="0" applyFont="1" applyFill="1" applyBorder="1" applyAlignment="1">
      <alignment horizontal="center" vertical="center" textRotation="90"/>
    </xf>
    <xf numFmtId="0" fontId="7" fillId="5" borderId="20" xfId="0" applyFont="1" applyFill="1" applyBorder="1" applyAlignment="1">
      <alignment horizontal="center" vertical="center" textRotation="90"/>
    </xf>
    <xf numFmtId="0" fontId="7" fillId="5" borderId="24" xfId="0" applyFont="1" applyFill="1" applyBorder="1" applyAlignment="1">
      <alignment horizontal="center" vertical="center" textRotation="90"/>
    </xf>
    <xf numFmtId="0" fontId="9" fillId="0" borderId="0" xfId="0" applyFont="1" applyAlignment="1">
      <alignment horizontal="left"/>
    </xf>
    <xf numFmtId="0" fontId="27" fillId="5" borderId="17" xfId="0" applyFont="1" applyFill="1" applyBorder="1" applyAlignment="1">
      <alignment horizontal="center" vertical="center" textRotation="90"/>
    </xf>
    <xf numFmtId="0" fontId="27" fillId="5" borderId="20" xfId="0" applyFont="1" applyFill="1" applyBorder="1" applyAlignment="1">
      <alignment horizontal="center" vertical="center" textRotation="90"/>
    </xf>
    <xf numFmtId="0" fontId="27" fillId="5" borderId="24" xfId="0" applyFont="1" applyFill="1" applyBorder="1" applyAlignment="1">
      <alignment horizontal="center" vertical="center" textRotation="90"/>
    </xf>
    <xf numFmtId="0" fontId="39" fillId="5" borderId="17" xfId="0" applyFont="1" applyFill="1" applyBorder="1" applyAlignment="1">
      <alignment horizontal="center" vertical="center" textRotation="90"/>
    </xf>
    <xf numFmtId="0" fontId="39" fillId="5" borderId="20" xfId="0" applyFont="1" applyFill="1" applyBorder="1" applyAlignment="1">
      <alignment horizontal="center" vertical="center" textRotation="90"/>
    </xf>
    <xf numFmtId="0" fontId="39" fillId="5" borderId="24" xfId="0" applyFont="1" applyFill="1" applyBorder="1" applyAlignment="1">
      <alignment horizontal="center" vertical="center" textRotation="90"/>
    </xf>
  </cellXfs>
  <cellStyles count="5">
    <cellStyle name="Bad" xfId="4" builtinId="27"/>
    <cellStyle name="Comma" xfId="1" builtinId="3"/>
    <cellStyle name="Normal" xfId="0" builtinId="0"/>
    <cellStyle name="Note" xfId="2" builtinId="10"/>
    <cellStyle name="Percent" xfId="3" builtinId="5"/>
  </cellStyles>
  <dxfs count="3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35" formatCode="_(* #,##0.00_);_(* \(#,##0.00\);_(* &quot;-&quot;??_);_(@_)"/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  <fill>
        <patternFill>
          <bgColor theme="0"/>
        </patternFill>
      </fill>
    </dxf>
    <dxf>
      <font>
        <strike val="0"/>
        <color theme="0"/>
      </font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  <fill>
        <patternFill>
          <bgColor theme="0"/>
        </patternFill>
      </fill>
    </dxf>
    <dxf>
      <font>
        <strike val="0"/>
        <color theme="0"/>
      </font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</dxf>
    <dxf>
      <font>
        <color theme="0"/>
      </font>
    </dxf>
    <dxf>
      <font>
        <strike val="0"/>
        <color theme="0"/>
      </font>
      <fill>
        <patternFill>
          <bgColor theme="0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331645</xdr:colOff>
      <xdr:row>2</xdr:row>
      <xdr:rowOff>11430</xdr:rowOff>
    </xdr:from>
    <xdr:to>
      <xdr:col>22</xdr:col>
      <xdr:colOff>60799</xdr:colOff>
      <xdr:row>2</xdr:row>
      <xdr:rowOff>363123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164981-D142-4BB5-909E-1D5C571AA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7337" y="363122"/>
          <a:ext cx="1528499" cy="340263"/>
        </a:xfrm>
        <a:prstGeom prst="rect">
          <a:avLst/>
        </a:prstGeom>
      </xdr:spPr>
    </xdr:pic>
    <xdr:clientData/>
  </xdr:twoCellAnchor>
  <xdr:twoCellAnchor editAs="oneCell">
    <xdr:from>
      <xdr:col>25</xdr:col>
      <xdr:colOff>378108</xdr:colOff>
      <xdr:row>2</xdr:row>
      <xdr:rowOff>54653</xdr:rowOff>
    </xdr:from>
    <xdr:to>
      <xdr:col>27</xdr:col>
      <xdr:colOff>54881</xdr:colOff>
      <xdr:row>3</xdr:row>
      <xdr:rowOff>60317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D7C173-67D4-48D1-B8B4-ECBBA2252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18108" y="252773"/>
          <a:ext cx="890257" cy="390620"/>
        </a:xfrm>
        <a:prstGeom prst="rect">
          <a:avLst/>
        </a:prstGeom>
      </xdr:spPr>
    </xdr:pic>
    <xdr:clientData/>
  </xdr:twoCellAnchor>
  <xdr:twoCellAnchor editAs="oneCell">
    <xdr:from>
      <xdr:col>22</xdr:col>
      <xdr:colOff>397992</xdr:colOff>
      <xdr:row>2</xdr:row>
      <xdr:rowOff>38100</xdr:rowOff>
    </xdr:from>
    <xdr:to>
      <xdr:col>23</xdr:col>
      <xdr:colOff>739139</xdr:colOff>
      <xdr:row>2</xdr:row>
      <xdr:rowOff>340705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D7BEF8-A96C-4C19-9824-8B8DEBB27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38032" y="388620"/>
          <a:ext cx="1240307" cy="3026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875358</xdr:colOff>
      <xdr:row>1</xdr:row>
      <xdr:rowOff>163831</xdr:rowOff>
    </xdr:from>
    <xdr:to>
      <xdr:col>24</xdr:col>
      <xdr:colOff>19048</xdr:colOff>
      <xdr:row>4</xdr:row>
      <xdr:rowOff>21741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6EAA1B-4C6C-49F8-8420-B93D79A64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2652" y="343125"/>
          <a:ext cx="2295458" cy="517488"/>
        </a:xfrm>
        <a:prstGeom prst="rect">
          <a:avLst/>
        </a:prstGeom>
      </xdr:spPr>
    </xdr:pic>
    <xdr:clientData/>
  </xdr:twoCellAnchor>
  <xdr:twoCellAnchor editAs="oneCell">
    <xdr:from>
      <xdr:col>25</xdr:col>
      <xdr:colOff>378108</xdr:colOff>
      <xdr:row>2</xdr:row>
      <xdr:rowOff>54653</xdr:rowOff>
    </xdr:from>
    <xdr:to>
      <xdr:col>27</xdr:col>
      <xdr:colOff>58688</xdr:colOff>
      <xdr:row>3</xdr:row>
      <xdr:rowOff>56507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EFF44C-F49A-47AA-917C-9EED5F1F3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7508" y="405173"/>
          <a:ext cx="890257" cy="3923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378108</xdr:colOff>
      <xdr:row>2</xdr:row>
      <xdr:rowOff>54653</xdr:rowOff>
    </xdr:from>
    <xdr:to>
      <xdr:col>27</xdr:col>
      <xdr:colOff>58691</xdr:colOff>
      <xdr:row>3</xdr:row>
      <xdr:rowOff>56507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427E8E-000C-41FE-8096-537026106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1308" y="410888"/>
          <a:ext cx="899782" cy="379044"/>
        </a:xfrm>
        <a:prstGeom prst="rect">
          <a:avLst/>
        </a:prstGeom>
      </xdr:spPr>
    </xdr:pic>
    <xdr:clientData/>
  </xdr:twoCellAnchor>
  <xdr:twoCellAnchor editAs="oneCell">
    <xdr:from>
      <xdr:col>21</xdr:col>
      <xdr:colOff>419101</xdr:colOff>
      <xdr:row>2</xdr:row>
      <xdr:rowOff>38100</xdr:rowOff>
    </xdr:from>
    <xdr:to>
      <xdr:col>23</xdr:col>
      <xdr:colOff>182880</xdr:colOff>
      <xdr:row>3</xdr:row>
      <xdr:rowOff>38215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404095-75AE-441B-9216-25D04F5BB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44741" y="388620"/>
          <a:ext cx="1562099" cy="3811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19049</xdr:rowOff>
    </xdr:from>
    <xdr:to>
      <xdr:col>1</xdr:col>
      <xdr:colOff>5043</xdr:colOff>
      <xdr:row>3</xdr:row>
      <xdr:rowOff>22412</xdr:rowOff>
    </xdr:to>
    <xdr:sp macro="[0]!UpdateAl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100" y="19049"/>
          <a:ext cx="1076325" cy="58606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Update ALL</a:t>
          </a:r>
        </a:p>
        <a:p>
          <a:pPr algn="ctr"/>
          <a:r>
            <a:rPr lang="en-US" sz="1100"/>
            <a:t>SQL queries</a:t>
          </a:r>
        </a:p>
      </xdr:txBody>
    </xdr:sp>
    <xdr:clientData/>
  </xdr:twoCellAnchor>
  <xdr:twoCellAnchor>
    <xdr:from>
      <xdr:col>1</xdr:col>
      <xdr:colOff>76200</xdr:colOff>
      <xdr:row>0</xdr:row>
      <xdr:rowOff>19049</xdr:rowOff>
    </xdr:from>
    <xdr:to>
      <xdr:col>2</xdr:col>
      <xdr:colOff>38100</xdr:colOff>
      <xdr:row>3</xdr:row>
      <xdr:rowOff>33618</xdr:rowOff>
    </xdr:to>
    <xdr:sp macro="[0]!CreateAllSQLTable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5582" y="19049"/>
          <a:ext cx="1071283" cy="597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Create ALL</a:t>
          </a:r>
        </a:p>
        <a:p>
          <a:pPr algn="ctr"/>
          <a:r>
            <a:rPr lang="en-US" sz="1100"/>
            <a:t>SQL queries</a:t>
          </a:r>
        </a:p>
      </xdr:txBody>
    </xdr:sp>
    <xdr:clientData/>
  </xdr:twoCellAnchor>
  <xdr:twoCellAnchor>
    <xdr:from>
      <xdr:col>1</xdr:col>
      <xdr:colOff>76200</xdr:colOff>
      <xdr:row>0</xdr:row>
      <xdr:rowOff>19049</xdr:rowOff>
    </xdr:from>
    <xdr:to>
      <xdr:col>2</xdr:col>
      <xdr:colOff>38100</xdr:colOff>
      <xdr:row>3</xdr:row>
      <xdr:rowOff>33618</xdr:rowOff>
    </xdr:to>
    <xdr:sp macro="[0]!CreateAllTabl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90625" y="19049"/>
          <a:ext cx="1076325" cy="595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Create ALL</a:t>
          </a:r>
        </a:p>
        <a:p>
          <a:pPr algn="ctr"/>
          <a:r>
            <a:rPr lang="en-US" sz="1100"/>
            <a:t>SQL queries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00000000-0016-0000-03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yr" tableColumnId="1"/>
      <queryTableField id="2" name="wk" tableColumnId="2"/>
      <queryTableField id="3" name="siteflag" tableColumnId="3"/>
      <queryTableField id="4" name="units" tableColumnId="4"/>
      <queryTableField id="5" name="ontimeunits" tableColumnId="5"/>
      <queryTableField id="6" name="addressverify" tableColumnId="6"/>
      <queryTableField id="7" name="fraudverify" tableColumnId="7"/>
      <queryTableField id="8" name="shippingupgrade" tableColumnId="8"/>
      <queryTableField id="9" name="csrecharg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2" xr16:uid="{00000000-0016-0000-0300-000001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yr" tableColumnId="1"/>
      <queryTableField id="2" name="wk" tableColumnId="2"/>
      <queryTableField id="3" name="siteflag" tableColumnId="3"/>
      <queryTableField id="4" name="units" tableColumnId="4"/>
      <queryTableField id="5" name="ontimeunits" tableColumnId="5"/>
      <queryTableField id="6" name="shippingupgrade" tableColumnId="6"/>
      <queryTableField id="7" name="csrecharg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13" xr16:uid="{00000000-0016-0000-0300-000002000000}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yr" tableColumnId="1"/>
      <queryTableField id="2" name="wk" tableColumnId="2"/>
      <queryTableField id="3" name="siteflag" tableColumnId="3"/>
      <queryTableField id="4" name="rpckunit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20" xr16:uid="{00000000-0016-0000-0300-000003000000}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yr" tableColumnId="1"/>
      <queryTableField id="2" name="wk" tableColumnId="2"/>
      <queryTableField id="3" name="siteflag" tableColumnId="3"/>
      <queryTableField id="4" name="units" tableColumnId="4"/>
      <queryTableField id="5" name="ontimeunits" tableColumnId="5"/>
      <queryTableField id="6" name="cantfinders" tableColumnId="6"/>
      <queryTableField id="7" name="preorders" tableColumnId="7"/>
      <queryTableField id="8" name="defectorders" tableColumnId="8"/>
      <queryTableField id="9" name="lateshipment" tableColumnId="9"/>
      <queryTableField id="10" name="csorders" tableColumnId="10"/>
      <queryTableField id="11" name="repacks" tableColumnId="11"/>
      <queryTableField id="12" name="invalid_address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adjustColumnWidth="0" connectionId="21" xr16:uid="{00000000-0016-0000-0300-000004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yr" tableColumnId="1"/>
      <queryTableField id="2" name="wk" tableColumnId="2"/>
      <queryTableField id="3" name="tothoursworked" tableColumnId="3"/>
      <queryTableField id="4" name="othours" tableColumnId="4"/>
      <queryTableField id="5" name="temp_hours" tableColumnId="5"/>
      <queryTableField id="6" name="n" tableColumnId="6"/>
      <queryTableField id="7" name="temp_n" tableColumnId="7"/>
      <queryTableField id="8" name="mp" tableColumnId="8"/>
      <queryTableField id="9" name="siteflag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22" xr16:uid="{00000000-0016-0000-0300-000005000000}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name="yr" tableColumnId="1"/>
      <queryTableField id="2" name="wk" tableColumnId="2"/>
      <queryTableField id="3" name="oos_pct" tableColumnId="3"/>
      <queryTableField id="4" name="oositems" tableColumnId="4"/>
      <queryTableField id="5" name="allnofinds" tableColumnId="5"/>
      <queryTableField id="6" name="siteflag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23" xr16:uid="{00000000-0016-0000-0300-000006000000}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yr" tableColumnId="1"/>
      <queryTableField id="2" name="wk" tableColumnId="2"/>
      <queryTableField id="3" name="invunits" tableColumnId="3"/>
      <queryTableField id="4" name="siteflag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24" xr16:uid="{00000000-0016-0000-0300-000007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yr" tableColumnId="1"/>
      <queryTableField id="2" name="wk" tableColumnId="2"/>
      <queryTableField id="3" name="site" tableColumnId="3"/>
      <queryTableField id="4" name="orders" tableColumnId="4"/>
      <queryTableField id="5" name="ordersplaced" tableColumnId="5"/>
      <queryTableField id="6" name="ordersfilled" tableColumnId="6"/>
      <queryTableField id="7" name="units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25" xr16:uid="{00000000-0016-0000-0300-000008000000}" autoFormatId="16" applyNumberFormats="0" applyBorderFormats="0" applyFontFormats="1" applyPatternFormats="1" applyAlignmentFormats="0" applyWidthHeightFormats="0">
  <queryTableRefresh preserveSortFilterLayout="0" nextId="6">
    <queryTableFields count="5">
      <queryTableField id="1" name="yr" tableColumnId="1"/>
      <queryTableField id="2" name="wk" tableColumnId="2"/>
      <queryTableField id="3" name="picks" tableColumnId="3"/>
      <queryTableField id="4" name="cantfinds" tableColumnId="4"/>
      <queryTableField id="5" name="siteflag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26" xr16:uid="{00000000-0016-0000-0300-000009000000}" autoFormatId="16" applyNumberFormats="0" applyBorderFormats="0" applyFontFormats="1" applyPatternFormats="1" applyAlignmentFormats="0" applyWidthHeightFormats="0">
  <queryTableRefresh preserveSortFilterLayout="0" nextId="6">
    <queryTableFields count="5">
      <queryTableField id="1" name="yr" tableColumnId="1"/>
      <queryTableField id="2" name="wk" tableColumnId="2"/>
      <queryTableField id="3" name="site" tableColumnId="3"/>
      <queryTableField id="4" name="checked" tableColumnId="4"/>
      <queryTableField id="5" name="totalchecked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3" xr16:uid="{00000000-0016-0000-0300-00000A000000}" autoFormatId="16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yr" tableColumnId="1"/>
      <queryTableField id="2" name="wk" tableColumnId="2"/>
      <queryTableField id="3" name="siteflag" tableColumnId="3"/>
      <queryTableField id="4" name="pickrate" tableColumnId="4"/>
      <queryTableField id="5" name="picked" tableColumnId="5"/>
      <queryTableField id="6" name="pick_hours" tableColumnId="6"/>
      <queryTableField id="7" name="packrate" tableColumnId="7"/>
      <queryTableField id="8" name="totpackages" tableColumnId="8"/>
      <queryTableField id="9" name="packed" tableColumnId="9"/>
      <queryTableField id="10" name="pack_hours" tableColumnId="10"/>
      <queryTableField id="11" name="unitsrepack" tableColumnId="11"/>
      <queryTableField id="12" name="repackrate" tableColumnId="12"/>
      <queryTableField id="13" name="returnrate" tableColumnId="13"/>
      <queryTableField id="14" name="rec_units" tableColumnId="14"/>
      <queryTableField id="15" name="rec_units_all" tableColumnId="15"/>
      <queryTableField id="16" name="rechours" tableColumnId="16"/>
      <queryTableField id="17" name="restockunits" tableColumnId="17"/>
      <queryTableField id="18" name="restockrate" tableColumnId="18"/>
      <queryTableField id="19" name="stockunits" tableColumnId="19"/>
      <queryTableField id="20" name="stockrate" tableColumnId="20"/>
      <queryTableField id="21" name="unitsreturns" tableColumnId="21"/>
      <queryTableField id="22" name="returnhours" tableColumnId="2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4" xr16:uid="{00000000-0016-0000-0300-00000B000000}" autoFormatId="16" applyNumberFormats="0" applyBorderFormats="0" applyFontFormats="1" applyPatternFormats="1" applyAlignmentFormats="0" applyWidthHeightFormats="0">
  <queryTableRefresh preserveSortFilterLayout="0" nextId="6">
    <queryTableFields count="5">
      <queryTableField id="1" name="yr" tableColumnId="1"/>
      <queryTableField id="2" name="wk" tableColumnId="2"/>
      <queryTableField id="3" name="siteflag" tableColumnId="3"/>
      <queryTableField id="4" name="backlog" tableColumnId="4"/>
      <queryTableField id="5" name="daily_rcvd" tableColumnId="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5" xr16:uid="{00000000-0016-0000-0300-00000C000000}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yr" tableColumnId="1"/>
      <queryTableField id="2" name="wk" tableColumnId="2"/>
      <queryTableField id="3" name="siteflag" tableColumnId="3"/>
      <queryTableField id="4" name="notrepackaged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adjustColumnWidth="0" connectionId="6" xr16:uid="{00000000-0016-0000-0300-00000D000000}" autoFormatId="16" applyNumberFormats="0" applyBorderFormats="0" applyFontFormats="1" applyPatternFormats="1" applyAlignmentFormats="0" applyWidthHeightFormats="0">
  <queryTableRefresh preserveSortFilterLayout="0" nextId="6">
    <queryTableFields count="5">
      <queryTableField id="1" name="yr" tableColumnId="1"/>
      <queryTableField id="2" name="wk" tableColumnId="2"/>
      <queryTableField id="3" name="siteflag" tableColumnId="3"/>
      <queryTableField id="4" name="backlog" tableColumnId="4"/>
      <queryTableField id="5" name="daily_returned" tableColumnId="5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adjustColumnWidth="0" connectionId="7" xr16:uid="{00000000-0016-0000-0300-00000E000000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yr" tableColumnId="1"/>
      <queryTableField id="2" name="wk" tableColumnId="2"/>
      <queryTableField id="3" name="siteflag" tableColumnId="3"/>
      <queryTableField id="4" name="employees" tableColumnId="4"/>
      <queryTableField id="5" name="defaulttask" tableColumnId="5"/>
      <queryTableField id="6" name="repackhours" tableColumnId="6"/>
      <queryTableField id="7" name="returnhours" tableColumnId="7"/>
      <queryTableField id="8" name="unitsreturned" tableColumnId="8"/>
      <queryTableField id="9" name="unitsrpck" tableColumnId="9"/>
      <queryTableField id="10" name="ot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adjustColumnWidth="0" connectionId="8" xr16:uid="{00000000-0016-0000-0300-00000F000000}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name="yr" tableColumnId="1"/>
      <queryTableField id="2" name="wk" tableColumnId="2"/>
      <queryTableField id="3" name="taskflag" tableColumnId="3"/>
      <queryTableField id="4" name="errortype" tableColumnId="4"/>
      <queryTableField id="5" name="severity" tableColumnId="5"/>
      <queryTableField id="6" name="qty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adjustColumnWidth="0" connectionId="9" xr16:uid="{00000000-0016-0000-0300-000010000000}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yr" tableColumnId="1"/>
      <queryTableField id="2" name="wk" tableColumnId="2"/>
      <queryTableField id="3" name="siteflag" tableColumnId="3"/>
      <queryTableField id="4" name="returnedunits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10" xr16:uid="{00000000-0016-0000-0300-000011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yr" tableColumnId="1"/>
      <queryTableField id="2" name="wk" tableColumnId="2"/>
      <queryTableField id="3" name="site" tableColumnId="3"/>
      <queryTableField id="4" name="conrate" tableColumnId="4"/>
      <queryTableField id="5" name="ntotal" tableColumnId="5"/>
      <queryTableField id="6" name="nmin" tableColumnId="6"/>
      <queryTableField id="7" name="npckgs" tableColumnId="7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12" xr16:uid="{00000000-0016-0000-0300-000013000000}" autoFormatId="16" applyNumberFormats="0" applyBorderFormats="0" applyFontFormats="1" applyPatternFormats="1" applyAlignmentFormats="0" applyWidthHeightFormats="0">
  <queryTableRefresh preserveSortFilterLayout="0" nextId="6">
    <queryTableFields count="5">
      <queryTableField id="1" name="yr" tableColumnId="1"/>
      <queryTableField id="2" name="wk" tableColumnId="2"/>
      <queryTableField id="3" name="siteflag" tableColumnId="3"/>
      <queryTableField id="4" name="units" tableColumnId="4"/>
      <queryTableField id="5" name="ontimeunits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14" xr16:uid="{00000000-0016-0000-0300-000014000000}" autoFormatId="16" applyNumberFormats="0" applyBorderFormats="0" applyFontFormats="1" applyPatternFormats="1" applyAlignmentFormats="0" applyWidthHeightFormats="0">
  <queryTableRefresh preserveSortFilterLayout="0" nextId="6">
    <queryTableFields count="5">
      <queryTableField id="1" name="yr" tableColumnId="1"/>
      <queryTableField id="2" name="wk" tableColumnId="2"/>
      <queryTableField id="3" name="siteflag" tableColumnId="3"/>
      <queryTableField id="4" name="units" tableColumnId="4"/>
      <queryTableField id="5" name="ontimeunits" tableColumnId="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15" xr16:uid="{00000000-0016-0000-0300-000015000000}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yr" tableColumnId="1"/>
      <queryTableField id="2" name="wk" tableColumnId="2"/>
      <queryTableField id="3" name="weekstart" tableColumnId="3"/>
      <queryTableField id="4" name="weekstart_str" tableColumnId="4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16" xr16:uid="{00000000-0016-0000-0300-000016000000}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yr" tableColumnId="1"/>
      <queryTableField id="2" name="wk" tableColumnId="2"/>
      <queryTableField id="3" name="invunits" tableColumnId="3"/>
      <queryTableField id="4" name="siteflag" tableColumnId="4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17" xr16:uid="{00000000-0016-0000-0300-000017000000}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yr" tableColumnId="1"/>
      <queryTableField id="2" name="wk" tableColumnId="2"/>
      <queryTableField id="3" name="siteflag" tableColumnId="3"/>
      <queryTableField id="4" name="units" tableColumnId="4"/>
      <queryTableField id="5" name="ontimeunits" tableColumnId="5"/>
      <queryTableField id="6" name="cantfinders" tableColumnId="6"/>
      <queryTableField id="7" name="preorders" tableColumnId="7"/>
      <queryTableField id="8" name="defectorders" tableColumnId="8"/>
      <queryTableField id="9" name="lateshipment" tableColumnId="9"/>
      <queryTableField id="10" name="csorders" tableColumnId="10"/>
      <queryTableField id="11" name="repacks" tableColumnId="11"/>
      <queryTableField id="12" name="invalid_address" tableColumnId="1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18" xr16:uid="{00000000-0016-0000-0300-000018000000}" autoFormatId="16" applyNumberFormats="0" applyBorderFormats="0" applyFontFormats="1" applyPatternFormats="1" applyAlignmentFormats="0" applyWidthHeightFormats="0">
  <queryTableRefresh preserveSortFilterLayout="0" nextId="6">
    <queryTableFields count="5">
      <queryTableField id="1" name="yr" tableColumnId="1"/>
      <queryTableField id="2" name="wk" tableColumnId="2"/>
      <queryTableField id="3" name="siteflag" tableColumnId="3"/>
      <queryTableField id="4" name="units" tableColumnId="4"/>
      <queryTableField id="5" name="ontimeunits" tableColumnId="5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19" xr16:uid="{00000000-0016-0000-0300-000019000000}" autoFormatId="16" applyNumberFormats="0" applyBorderFormats="0" applyFontFormats="1" applyPatternFormats="1" applyAlignmentFormats="0" applyWidthHeightFormats="0">
  <queryTableRefresh preserveSortFilterLayout="0" nextId="6">
    <queryTableFields count="5">
      <queryTableField id="1" name="yr" tableColumnId="1"/>
      <queryTableField id="2" name="wk" tableColumnId="2"/>
      <queryTableField id="3" name="siteflag" tableColumnId="3"/>
      <queryTableField id="4" name="units" tableColumnId="4"/>
      <queryTableField id="5" name="ontimeunits" tableColumnId="5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11" xr16:uid="{6BC925BA-99A8-4EE6-8E6A-888F4DE3B632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yr" tableColumnId="15"/>
      <queryTableField id="2" name="wk" tableColumnId="16"/>
      <queryTableField id="3" name="site" tableColumnId="17"/>
      <queryTableField id="4" name="outbound_units" tableColumnId="18"/>
      <queryTableField id="5" name="outbound_hrs" tableColumnId="19"/>
      <queryTableField id="6" name="inbound_units" tableColumnId="20"/>
      <queryTableField id="7" name="inbound_hrs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ustfillrate" displayName="custfillrate" ref="I41:Q1104" tableType="queryTable" totalsRowShown="0">
  <autoFilter ref="I41:Q1104" xr:uid="{00000000-0009-0000-0100-000001000000}"/>
  <tableColumns count="9">
    <tableColumn id="1" xr3:uid="{00000000-0010-0000-0000-000001000000}" uniqueName="1" name="yr" queryTableFieldId="1" dataDxfId="176"/>
    <tableColumn id="2" xr3:uid="{00000000-0010-0000-0000-000002000000}" uniqueName="2" name="wk" queryTableFieldId="2" dataDxfId="175"/>
    <tableColumn id="3" xr3:uid="{00000000-0010-0000-0000-000003000000}" uniqueName="3" name="siteflag" queryTableFieldId="3" dataDxfId="174"/>
    <tableColumn id="4" xr3:uid="{00000000-0010-0000-0000-000004000000}" uniqueName="4" name="units" queryTableFieldId="4" dataDxfId="173"/>
    <tableColumn id="5" xr3:uid="{00000000-0010-0000-0000-000005000000}" uniqueName="5" name="ontimeunits" queryTableFieldId="5" dataDxfId="172"/>
    <tableColumn id="6" xr3:uid="{00000000-0010-0000-0000-000006000000}" uniqueName="6" name="addressverify" queryTableFieldId="6" dataDxfId="171"/>
    <tableColumn id="7" xr3:uid="{00000000-0010-0000-0000-000007000000}" uniqueName="7" name="fraudverify" queryTableFieldId="7" dataDxfId="170"/>
    <tableColumn id="8" xr3:uid="{00000000-0010-0000-0000-000008000000}" uniqueName="8" name="shippingupgrade" queryTableFieldId="8" dataDxfId="169"/>
    <tableColumn id="9" xr3:uid="{00000000-0010-0000-0000-000009000000}" uniqueName="9" name="csrecharge" queryTableFieldId="9" dataDxfId="16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whfillrate" displayName="whfillrate" ref="W41:AC439" tableType="queryTable" totalsRowShown="0" dataDxfId="167" dataCellStyle="Comma">
  <autoFilter ref="W41:AC439" xr:uid="{00000000-0009-0000-0100-000002000000}"/>
  <tableColumns count="7">
    <tableColumn id="1" xr3:uid="{00000000-0010-0000-0100-000001000000}" uniqueName="1" name="yr" queryTableFieldId="1" dataDxfId="166" dataCellStyle="Comma"/>
    <tableColumn id="2" xr3:uid="{00000000-0010-0000-0100-000002000000}" uniqueName="2" name="wk" queryTableFieldId="2" dataDxfId="165" dataCellStyle="Comma"/>
    <tableColumn id="3" xr3:uid="{00000000-0010-0000-0100-000003000000}" uniqueName="3" name="siteflag" queryTableFieldId="3" dataDxfId="164" dataCellStyle="Comma"/>
    <tableColumn id="4" xr3:uid="{00000000-0010-0000-0100-000004000000}" uniqueName="4" name="units" queryTableFieldId="4" dataDxfId="163" dataCellStyle="Comma"/>
    <tableColumn id="5" xr3:uid="{00000000-0010-0000-0100-000005000000}" uniqueName="5" name="ontimeunits" queryTableFieldId="5" dataDxfId="162" dataCellStyle="Comma"/>
    <tableColumn id="6" xr3:uid="{00000000-0010-0000-0100-000006000000}" uniqueName="6" name="shippingupgrade" queryTableFieldId="6" dataDxfId="161" dataCellStyle="Comma"/>
    <tableColumn id="7" xr3:uid="{00000000-0010-0000-0100-000007000000}" uniqueName="7" name="csrecharge" queryTableFieldId="7" dataDxfId="160" dataCellStyle="Comma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repack_cmb" displayName="repack_cmb" ref="EY41:FB262" tableType="queryTable" totalsRowShown="0" dataDxfId="159" dataCellStyle="Comma">
  <autoFilter ref="EY41:FB262" xr:uid="{00000000-0009-0000-0100-000003000000}"/>
  <tableColumns count="4">
    <tableColumn id="1" xr3:uid="{00000000-0010-0000-0200-000001000000}" uniqueName="1" name="yr" queryTableFieldId="1" dataDxfId="158" dataCellStyle="Comma"/>
    <tableColumn id="2" xr3:uid="{00000000-0010-0000-0200-000002000000}" uniqueName="2" name="wk" queryTableFieldId="2" dataDxfId="157" dataCellStyle="Comma"/>
    <tableColumn id="3" xr3:uid="{00000000-0010-0000-0200-000003000000}" uniqueName="3" name="siteflag" queryTableFieldId="3" dataDxfId="156" dataCellStyle="Comma"/>
    <tableColumn id="4" xr3:uid="{00000000-0010-0000-0200-000004000000}" uniqueName="4" name="rpckunits" queryTableFieldId="4" dataDxfId="155" dataCellStyle="Comm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hfillrate_old" displayName="whfillrate_old" ref="HL41:HW439" tableType="queryTable" totalsRowShown="0">
  <autoFilter ref="HL41:HW439" xr:uid="{00000000-0009-0000-0100-000004000000}"/>
  <tableColumns count="12">
    <tableColumn id="1" xr3:uid="{00000000-0010-0000-0300-000001000000}" uniqueName="1" name="yr" queryTableFieldId="1"/>
    <tableColumn id="2" xr3:uid="{00000000-0010-0000-0300-000002000000}" uniqueName="2" name="wk" queryTableFieldId="2"/>
    <tableColumn id="3" xr3:uid="{00000000-0010-0000-0300-000003000000}" uniqueName="3" name="siteflag" queryTableFieldId="3"/>
    <tableColumn id="4" xr3:uid="{00000000-0010-0000-0300-000004000000}" uniqueName="4" name="units" queryTableFieldId="4"/>
    <tableColumn id="5" xr3:uid="{00000000-0010-0000-0300-000005000000}" uniqueName="5" name="ontimeunits" queryTableFieldId="5"/>
    <tableColumn id="6" xr3:uid="{00000000-0010-0000-0300-000006000000}" uniqueName="6" name="cantfinders" queryTableFieldId="6"/>
    <tableColumn id="7" xr3:uid="{00000000-0010-0000-0300-000007000000}" uniqueName="7" name="preorders" queryTableFieldId="7"/>
    <tableColumn id="8" xr3:uid="{00000000-0010-0000-0300-000008000000}" uniqueName="8" name="defectorders" queryTableFieldId="8"/>
    <tableColumn id="9" xr3:uid="{00000000-0010-0000-0300-000009000000}" uniqueName="9" name="lateshipment" queryTableFieldId="9"/>
    <tableColumn id="10" xr3:uid="{00000000-0010-0000-0300-00000A000000}" uniqueName="10" name="csorders" queryTableFieldId="10"/>
    <tableColumn id="11" xr3:uid="{00000000-0010-0000-0300-00000B000000}" uniqueName="11" name="repacks" queryTableFieldId="11"/>
    <tableColumn id="12" xr3:uid="{00000000-0010-0000-0300-00000C000000}" uniqueName="12" name="invalid_address" queryTableField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workhour" displayName="workhour" ref="AK41:AS251" tableType="queryTable" totalsRowShown="0" dataDxfId="154" dataCellStyle="Comma">
  <autoFilter ref="AK41:AS251" xr:uid="{00000000-0009-0000-0100-000005000000}"/>
  <tableColumns count="9">
    <tableColumn id="1" xr3:uid="{00000000-0010-0000-0400-000001000000}" uniqueName="1" name="yr" queryTableFieldId="1" dataDxfId="153" dataCellStyle="Comma"/>
    <tableColumn id="2" xr3:uid="{00000000-0010-0000-0400-000002000000}" uniqueName="2" name="wk" queryTableFieldId="2" dataDxfId="152" dataCellStyle="Comma"/>
    <tableColumn id="3" xr3:uid="{00000000-0010-0000-0400-000003000000}" uniqueName="3" name="tothoursworked" queryTableFieldId="3" dataDxfId="151" dataCellStyle="Comma"/>
    <tableColumn id="4" xr3:uid="{00000000-0010-0000-0400-000004000000}" uniqueName="4" name="othours" queryTableFieldId="4" dataDxfId="150" dataCellStyle="Comma"/>
    <tableColumn id="5" xr3:uid="{00000000-0010-0000-0400-000005000000}" uniqueName="5" name="temp_hours" queryTableFieldId="5" dataDxfId="149" dataCellStyle="Comma"/>
    <tableColumn id="6" xr3:uid="{00000000-0010-0000-0400-000006000000}" uniqueName="6" name="n" queryTableFieldId="6" dataDxfId="148" dataCellStyle="Comma"/>
    <tableColumn id="7" xr3:uid="{00000000-0010-0000-0400-000007000000}" uniqueName="7" name="temp_n" queryTableFieldId="7" dataDxfId="147" dataCellStyle="Comma"/>
    <tableColumn id="8" xr3:uid="{00000000-0010-0000-0400-000008000000}" uniqueName="8" name="mp" queryTableFieldId="8" dataDxfId="146" dataCellStyle="Comma"/>
    <tableColumn id="9" xr3:uid="{00000000-0010-0000-0400-000009000000}" uniqueName="9" name="siteflag" queryTableFieldId="9" dataDxfId="145" dataCellStyle="Comm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oosrate" displayName="oosrate" ref="AU41:AZ267" tableType="queryTable" totalsRowShown="0" dataDxfId="144" dataCellStyle="Comma">
  <autoFilter ref="AU41:AZ267" xr:uid="{00000000-0009-0000-0100-000006000000}"/>
  <tableColumns count="6">
    <tableColumn id="1" xr3:uid="{00000000-0010-0000-0500-000001000000}" uniqueName="1" name="yr" queryTableFieldId="1" dataDxfId="143" dataCellStyle="Comma"/>
    <tableColumn id="2" xr3:uid="{00000000-0010-0000-0500-000002000000}" uniqueName="2" name="wk" queryTableFieldId="2" dataDxfId="142" dataCellStyle="Comma"/>
    <tableColumn id="3" xr3:uid="{00000000-0010-0000-0500-000003000000}" uniqueName="3" name="oos_pct" queryTableFieldId="3" dataDxfId="141" dataCellStyle="Comma"/>
    <tableColumn id="4" xr3:uid="{00000000-0010-0000-0500-000004000000}" uniqueName="4" name="oositems" queryTableFieldId="4" dataDxfId="140" dataCellStyle="Comma"/>
    <tableColumn id="5" xr3:uid="{00000000-0010-0000-0500-000005000000}" uniqueName="5" name="allnofinds" queryTableFieldId="5" dataDxfId="139" dataCellStyle="Comma"/>
    <tableColumn id="6" xr3:uid="{00000000-0010-0000-0500-000006000000}" uniqueName="6" name="siteflag" queryTableFieldId="6" dataDxfId="138" dataCellStyle="Comma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invunits" displayName="invunits" ref="BC41:BF267" tableType="queryTable" totalsRowShown="0" dataDxfId="137" dataCellStyle="Comma">
  <autoFilter ref="BC41:BF267" xr:uid="{00000000-0009-0000-0100-000007000000}"/>
  <tableColumns count="4">
    <tableColumn id="1" xr3:uid="{00000000-0010-0000-0600-000001000000}" uniqueName="1" name="yr" queryTableFieldId="1" dataDxfId="136" dataCellStyle="Comma"/>
    <tableColumn id="2" xr3:uid="{00000000-0010-0000-0600-000002000000}" uniqueName="2" name="wk" queryTableFieldId="2" dataDxfId="135" dataCellStyle="Comma"/>
    <tableColumn id="3" xr3:uid="{00000000-0010-0000-0600-000003000000}" uniqueName="3" name="invunits" queryTableFieldId="3" dataDxfId="134" dataCellStyle="Comma"/>
    <tableColumn id="4" xr3:uid="{00000000-0010-0000-0600-000004000000}" uniqueName="4" name="siteflag" queryTableFieldId="4" dataDxfId="133" dataCellStyle="Comma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orderprocessed" displayName="orderprocessed" ref="BI41:BO493" tableType="queryTable" totalsRowShown="0" dataDxfId="132" dataCellStyle="Comma">
  <autoFilter ref="BI41:BO493" xr:uid="{00000000-0009-0000-0100-000008000000}"/>
  <tableColumns count="7">
    <tableColumn id="1" xr3:uid="{00000000-0010-0000-0700-000001000000}" uniqueName="1" name="yr" queryTableFieldId="1" dataDxfId="131" dataCellStyle="Comma"/>
    <tableColumn id="2" xr3:uid="{00000000-0010-0000-0700-000002000000}" uniqueName="2" name="wk" queryTableFieldId="2" dataDxfId="130" dataCellStyle="Comma"/>
    <tableColumn id="3" xr3:uid="{00000000-0010-0000-0700-000003000000}" uniqueName="3" name="site" queryTableFieldId="3" dataDxfId="129" dataCellStyle="Comma"/>
    <tableColumn id="4" xr3:uid="{00000000-0010-0000-0700-000004000000}" uniqueName="4" name="orders" queryTableFieldId="4" dataDxfId="128" dataCellStyle="Comma"/>
    <tableColumn id="5" xr3:uid="{00000000-0010-0000-0700-000005000000}" uniqueName="5" name="ordersplaced" queryTableFieldId="5" dataDxfId="127" dataCellStyle="Comma"/>
    <tableColumn id="6" xr3:uid="{00000000-0010-0000-0700-000006000000}" uniqueName="6" name="ordersfilled" queryTableFieldId="6" dataDxfId="126" dataCellStyle="Comma"/>
    <tableColumn id="7" xr3:uid="{00000000-0010-0000-0700-000007000000}" uniqueName="7" name="units" queryTableFieldId="7" dataDxfId="125" dataCellStyle="Comma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unitsshipped" displayName="unitsshipped" ref="BR41:BV275" tableType="queryTable" totalsRowShown="0" dataDxfId="124" dataCellStyle="Comma">
  <autoFilter ref="BR41:BV275" xr:uid="{00000000-0009-0000-0100-000009000000}"/>
  <tableColumns count="5">
    <tableColumn id="1" xr3:uid="{00000000-0010-0000-0800-000001000000}" uniqueName="1" name="yr" queryTableFieldId="1" dataDxfId="123" dataCellStyle="Comma"/>
    <tableColumn id="2" xr3:uid="{00000000-0010-0000-0800-000002000000}" uniqueName="2" name="wk" queryTableFieldId="2" dataDxfId="122" dataCellStyle="Comma"/>
    <tableColumn id="3" xr3:uid="{00000000-0010-0000-0800-000003000000}" uniqueName="3" name="picks" queryTableFieldId="3" dataDxfId="121" dataCellStyle="Comma"/>
    <tableColumn id="4" xr3:uid="{00000000-0010-0000-0800-000004000000}" uniqueName="4" name="cantfinds" queryTableFieldId="4" dataDxfId="120" dataCellStyle="Comma"/>
    <tableColumn id="5" xr3:uid="{00000000-0010-0000-0800-000005000000}" uniqueName="5" name="siteflag" queryTableFieldId="5" dataDxfId="119" dataCellStyle="Comma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ackingqc" displayName="packingqc" ref="BY41:CC296" tableType="queryTable" totalsRowShown="0" dataDxfId="118" dataCellStyle="Comma">
  <autoFilter ref="BY41:CC296" xr:uid="{00000000-0009-0000-0100-00000A000000}"/>
  <tableColumns count="5">
    <tableColumn id="1" xr3:uid="{00000000-0010-0000-0900-000001000000}" uniqueName="1" name="yr" queryTableFieldId="1" dataDxfId="117" dataCellStyle="Comma"/>
    <tableColumn id="2" xr3:uid="{00000000-0010-0000-0900-000002000000}" uniqueName="2" name="wk" queryTableFieldId="2" dataDxfId="116" dataCellStyle="Comma"/>
    <tableColumn id="3" xr3:uid="{00000000-0010-0000-0900-000003000000}" uniqueName="3" name="site" queryTableFieldId="3" dataDxfId="115" dataCellStyle="Comma"/>
    <tableColumn id="4" xr3:uid="{00000000-0010-0000-0900-000004000000}" uniqueName="4" name="checked" queryTableFieldId="4" dataDxfId="114" dataCellStyle="Comma"/>
    <tableColumn id="5" xr3:uid="{00000000-0010-0000-0900-000005000000}" uniqueName="5" name="totalchecked" queryTableFieldId="5" dataDxfId="113" dataCellStyle="Comma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PickPackRet" displayName="PickPackRet" ref="CF41:DA251" tableType="queryTable" totalsRowShown="0" dataDxfId="112" dataCellStyle="Comma">
  <autoFilter ref="CF41:DA251" xr:uid="{00000000-0009-0000-0100-00000B000000}"/>
  <tableColumns count="22">
    <tableColumn id="1" xr3:uid="{00000000-0010-0000-0A00-000001000000}" uniqueName="1" name="yr" queryTableFieldId="1" dataDxfId="111" dataCellStyle="Comma"/>
    <tableColumn id="2" xr3:uid="{00000000-0010-0000-0A00-000002000000}" uniqueName="2" name="wk" queryTableFieldId="2" dataDxfId="110" dataCellStyle="Comma"/>
    <tableColumn id="3" xr3:uid="{00000000-0010-0000-0A00-000003000000}" uniqueName="3" name="siteflag" queryTableFieldId="3" dataDxfId="109" dataCellStyle="Comma"/>
    <tableColumn id="4" xr3:uid="{00000000-0010-0000-0A00-000004000000}" uniqueName="4" name="pickrate" queryTableFieldId="4" dataDxfId="108" dataCellStyle="Comma"/>
    <tableColumn id="5" xr3:uid="{00000000-0010-0000-0A00-000005000000}" uniqueName="5" name="picked" queryTableFieldId="5" dataDxfId="107" dataCellStyle="Comma"/>
    <tableColumn id="6" xr3:uid="{00000000-0010-0000-0A00-000006000000}" uniqueName="6" name="pick_hours" queryTableFieldId="6" dataDxfId="106" dataCellStyle="Comma"/>
    <tableColumn id="7" xr3:uid="{00000000-0010-0000-0A00-000007000000}" uniqueName="7" name="packrate" queryTableFieldId="7" dataDxfId="105" dataCellStyle="Comma"/>
    <tableColumn id="8" xr3:uid="{00000000-0010-0000-0A00-000008000000}" uniqueName="8" name="totpackages" queryTableFieldId="8" dataDxfId="104" dataCellStyle="Comma"/>
    <tableColumn id="9" xr3:uid="{00000000-0010-0000-0A00-000009000000}" uniqueName="9" name="packed" queryTableFieldId="9" dataDxfId="103" dataCellStyle="Comma"/>
    <tableColumn id="10" xr3:uid="{00000000-0010-0000-0A00-00000A000000}" uniqueName="10" name="pack_hours" queryTableFieldId="10" dataDxfId="102" dataCellStyle="Comma"/>
    <tableColumn id="11" xr3:uid="{00000000-0010-0000-0A00-00000B000000}" uniqueName="11" name="unitsrepack" queryTableFieldId="11" dataDxfId="101" dataCellStyle="Comma"/>
    <tableColumn id="12" xr3:uid="{00000000-0010-0000-0A00-00000C000000}" uniqueName="12" name="repackrate" queryTableFieldId="12" dataDxfId="100" dataCellStyle="Comma"/>
    <tableColumn id="13" xr3:uid="{00000000-0010-0000-0A00-00000D000000}" uniqueName="13" name="returnrate" queryTableFieldId="13" dataDxfId="99" dataCellStyle="Comma"/>
    <tableColumn id="14" xr3:uid="{00000000-0010-0000-0A00-00000E000000}" uniqueName="14" name="rec_units" queryTableFieldId="14" dataDxfId="98" dataCellStyle="Comma"/>
    <tableColumn id="15" xr3:uid="{00000000-0010-0000-0A00-00000F000000}" uniqueName="15" name="rec_units_all" queryTableFieldId="15" dataDxfId="97" dataCellStyle="Comma"/>
    <tableColumn id="16" xr3:uid="{00000000-0010-0000-0A00-000010000000}" uniqueName="16" name="rechours" queryTableFieldId="16" dataDxfId="96" dataCellStyle="Comma"/>
    <tableColumn id="17" xr3:uid="{00000000-0010-0000-0A00-000011000000}" uniqueName="17" name="restockunits" queryTableFieldId="17" dataDxfId="95" dataCellStyle="Comma"/>
    <tableColumn id="18" xr3:uid="{00000000-0010-0000-0A00-000012000000}" uniqueName="18" name="restockrate" queryTableFieldId="18" dataDxfId="94" dataCellStyle="Comma"/>
    <tableColumn id="19" xr3:uid="{00000000-0010-0000-0A00-000013000000}" uniqueName="19" name="stockunits" queryTableFieldId="19" dataDxfId="93" dataCellStyle="Comma"/>
    <tableColumn id="20" xr3:uid="{00000000-0010-0000-0A00-000014000000}" uniqueName="20" name="stockrate" queryTableFieldId="20" dataDxfId="92" dataCellStyle="Comma"/>
    <tableColumn id="21" xr3:uid="{00000000-0010-0000-0A00-000015000000}" uniqueName="21" name="unitsreturns" queryTableFieldId="21" dataDxfId="91" dataCellStyle="Comma"/>
    <tableColumn id="22" xr3:uid="{00000000-0010-0000-0A00-000016000000}" uniqueName="22" name="returnhours" queryTableFieldId="22" dataDxfId="90" dataCellStyle="Comma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receivebacklog" displayName="receivebacklog" ref="DD41:DH251" tableType="queryTable" totalsRowShown="0" dataDxfId="89" dataCellStyle="Comma">
  <autoFilter ref="DD41:DH251" xr:uid="{00000000-0009-0000-0100-00000C000000}"/>
  <tableColumns count="5">
    <tableColumn id="1" xr3:uid="{00000000-0010-0000-0B00-000001000000}" uniqueName="1" name="yr" queryTableFieldId="1" dataDxfId="88" dataCellStyle="Comma"/>
    <tableColumn id="2" xr3:uid="{00000000-0010-0000-0B00-000002000000}" uniqueName="2" name="wk" queryTableFieldId="2" dataDxfId="87" dataCellStyle="Comma"/>
    <tableColumn id="3" xr3:uid="{00000000-0010-0000-0B00-000003000000}" uniqueName="3" name="siteflag" queryTableFieldId="3" dataDxfId="86" dataCellStyle="Comma"/>
    <tableColumn id="4" xr3:uid="{00000000-0010-0000-0B00-000004000000}" uniqueName="4" name="backlog" queryTableFieldId="4" dataDxfId="85" dataCellStyle="Comma"/>
    <tableColumn id="5" xr3:uid="{00000000-0010-0000-0B00-000005000000}" uniqueName="5" name="daily_rcvd" queryTableFieldId="5" dataDxfId="84" dataCellStyle="Comma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repackbacklog" displayName="repackbacklog" ref="DJ41:DM813" tableType="queryTable" totalsRowShown="0" dataDxfId="83" dataCellStyle="Comma">
  <autoFilter ref="DJ41:DM813" xr:uid="{00000000-0009-0000-0100-00000D000000}"/>
  <tableColumns count="4">
    <tableColumn id="1" xr3:uid="{00000000-0010-0000-0C00-000001000000}" uniqueName="1" name="yr" queryTableFieldId="1" dataDxfId="82" dataCellStyle="Comma"/>
    <tableColumn id="2" xr3:uid="{00000000-0010-0000-0C00-000002000000}" uniqueName="2" name="wk" queryTableFieldId="2" dataDxfId="81" dataCellStyle="Comma"/>
    <tableColumn id="3" xr3:uid="{00000000-0010-0000-0C00-000003000000}" uniqueName="3" name="siteflag" queryTableFieldId="3" dataDxfId="80" dataCellStyle="Comma"/>
    <tableColumn id="4" xr3:uid="{00000000-0010-0000-0C00-000004000000}" uniqueName="4" name="notrepackaged" queryTableFieldId="4" dataDxfId="79" dataCellStyle="Comma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returnbacklog" displayName="returnbacklog" ref="DP41:DT323" tableType="queryTable" totalsRowShown="0" dataDxfId="78" dataCellStyle="Comma">
  <autoFilter ref="DP41:DT323" xr:uid="{00000000-0009-0000-0100-00000E000000}"/>
  <tableColumns count="5">
    <tableColumn id="1" xr3:uid="{00000000-0010-0000-0D00-000001000000}" uniqueName="1" name="yr" queryTableFieldId="1" dataDxfId="77" dataCellStyle="Comma"/>
    <tableColumn id="2" xr3:uid="{00000000-0010-0000-0D00-000002000000}" uniqueName="2" name="wk" queryTableFieldId="2" dataDxfId="76" dataCellStyle="Comma"/>
    <tableColumn id="3" xr3:uid="{00000000-0010-0000-0D00-000003000000}" uniqueName="3" name="siteflag" queryTableFieldId="3" dataDxfId="75" dataCellStyle="Comma"/>
    <tableColumn id="4" xr3:uid="{00000000-0010-0000-0D00-000004000000}" uniqueName="4" name="backlog" queryTableFieldId="4" dataDxfId="74" dataCellStyle="Comma"/>
    <tableColumn id="5" xr3:uid="{00000000-0010-0000-0D00-000005000000}" uniqueName="5" name="daily_returned" queryTableFieldId="5" dataDxfId="73" dataCellStyle="Comma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defaulttaskEE" displayName="defaulttaskEE" ref="DW41:EF355" tableType="queryTable" totalsRowShown="0" dataDxfId="72" dataCellStyle="Comma">
  <autoFilter ref="DW41:EF355" xr:uid="{00000000-0009-0000-0100-00000F000000}"/>
  <tableColumns count="10">
    <tableColumn id="1" xr3:uid="{00000000-0010-0000-0E00-000001000000}" uniqueName="1" name="yr" queryTableFieldId="1" dataDxfId="71" dataCellStyle="Comma"/>
    <tableColumn id="2" xr3:uid="{00000000-0010-0000-0E00-000002000000}" uniqueName="2" name="wk" queryTableFieldId="2" dataDxfId="70" dataCellStyle="Comma"/>
    <tableColumn id="3" xr3:uid="{00000000-0010-0000-0E00-000003000000}" uniqueName="3" name="siteflag" queryTableFieldId="3" dataDxfId="69" dataCellStyle="Comma"/>
    <tableColumn id="4" xr3:uid="{00000000-0010-0000-0E00-000004000000}" uniqueName="4" name="employees" queryTableFieldId="4" dataDxfId="68" dataCellStyle="Comma"/>
    <tableColumn id="5" xr3:uid="{00000000-0010-0000-0E00-000005000000}" uniqueName="5" name="defaulttask" queryTableFieldId="5" dataDxfId="67" dataCellStyle="Comma"/>
    <tableColumn id="6" xr3:uid="{00000000-0010-0000-0E00-000006000000}" uniqueName="6" name="repackhours" queryTableFieldId="6" dataDxfId="66" dataCellStyle="Comma"/>
    <tableColumn id="7" xr3:uid="{00000000-0010-0000-0E00-000007000000}" uniqueName="7" name="returnhours" queryTableFieldId="7" dataDxfId="65" dataCellStyle="Comma"/>
    <tableColumn id="8" xr3:uid="{00000000-0010-0000-0E00-000008000000}" uniqueName="8" name="unitsreturned" queryTableFieldId="8" dataDxfId="64" dataCellStyle="Comma"/>
    <tableColumn id="9" xr3:uid="{00000000-0010-0000-0E00-000009000000}" uniqueName="9" name="unitsrpck" queryTableFieldId="9" dataDxfId="63" dataCellStyle="Comma"/>
    <tableColumn id="10" xr3:uid="{00000000-0010-0000-0E00-00000A000000}" uniqueName="10" name="ot" queryTableFieldId="10" dataDxfId="62" dataCellStyle="Comma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error" displayName="error" ref="EI41:EN2273" tableType="queryTable" totalsRowShown="0" dataDxfId="61" dataCellStyle="Comma">
  <autoFilter ref="EI41:EN2273" xr:uid="{00000000-0009-0000-0100-000010000000}"/>
  <tableColumns count="6">
    <tableColumn id="1" xr3:uid="{00000000-0010-0000-0F00-000001000000}" uniqueName="1" name="yr" queryTableFieldId="1" dataDxfId="60" dataCellStyle="Comma"/>
    <tableColumn id="2" xr3:uid="{00000000-0010-0000-0F00-000002000000}" uniqueName="2" name="wk" queryTableFieldId="2" dataDxfId="59" dataCellStyle="Comma"/>
    <tableColumn id="3" xr3:uid="{00000000-0010-0000-0F00-000003000000}" uniqueName="3" name="taskflag" queryTableFieldId="3" dataDxfId="58" dataCellStyle="Comma"/>
    <tableColumn id="4" xr3:uid="{00000000-0010-0000-0F00-000004000000}" uniqueName="4" name="errortype" queryTableFieldId="4" dataDxfId="57" dataCellStyle="Comma"/>
    <tableColumn id="5" xr3:uid="{00000000-0010-0000-0F00-000005000000}" uniqueName="5" name="severity" queryTableFieldId="5" dataDxfId="56" dataCellStyle="Comma"/>
    <tableColumn id="6" xr3:uid="{00000000-0010-0000-0F00-000006000000}" uniqueName="6" name="qty" queryTableFieldId="6" dataDxfId="55" dataCellStyle="Comma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return_cmb" displayName="return_cmb" ref="ES41:EV940" tableType="queryTable" totalsRowShown="0" dataDxfId="54" dataCellStyle="Comma">
  <autoFilter ref="ES41:EV940" xr:uid="{00000000-0009-0000-0100-000011000000}"/>
  <tableColumns count="4">
    <tableColumn id="1" xr3:uid="{00000000-0010-0000-1000-000001000000}" uniqueName="1" name="yr" queryTableFieldId="1" dataDxfId="53" dataCellStyle="Comma"/>
    <tableColumn id="2" xr3:uid="{00000000-0010-0000-1000-000002000000}" uniqueName="2" name="wk" queryTableFieldId="2" dataDxfId="52" dataCellStyle="Comma"/>
    <tableColumn id="3" xr3:uid="{00000000-0010-0000-1000-000003000000}" uniqueName="3" name="siteflag" queryTableFieldId="3" dataDxfId="51" dataCellStyle="Comma"/>
    <tableColumn id="4" xr3:uid="{00000000-0010-0000-1000-000004000000}" uniqueName="4" name="returnedunits" queryTableFieldId="4" dataDxfId="50" dataCellStyle="Comma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onsolid_orders" displayName="consolid_orders" ref="FE41:FK251" tableType="queryTable" totalsRowShown="0" dataDxfId="49" dataCellStyle="Comma">
  <autoFilter ref="FE41:FK251" xr:uid="{00000000-0009-0000-0100-000012000000}"/>
  <tableColumns count="7">
    <tableColumn id="1" xr3:uid="{00000000-0010-0000-1100-000001000000}" uniqueName="1" name="yr" queryTableFieldId="1" dataDxfId="48" dataCellStyle="Comma"/>
    <tableColumn id="2" xr3:uid="{00000000-0010-0000-1100-000002000000}" uniqueName="2" name="wk" queryTableFieldId="2" dataDxfId="47" dataCellStyle="Comma"/>
    <tableColumn id="3" xr3:uid="{00000000-0010-0000-1100-000003000000}" uniqueName="3" name="site" queryTableFieldId="3" dataDxfId="46" dataCellStyle="Comma"/>
    <tableColumn id="4" xr3:uid="{00000000-0010-0000-1100-000004000000}" uniqueName="4" name="conrate" queryTableFieldId="4" dataDxfId="45" dataCellStyle="Comma"/>
    <tableColumn id="5" xr3:uid="{00000000-0010-0000-1100-000005000000}" uniqueName="5" name="ntotal" queryTableFieldId="5" dataDxfId="44" dataCellStyle="Comma"/>
    <tableColumn id="6" xr3:uid="{00000000-0010-0000-1100-000006000000}" uniqueName="6" name="nmin" queryTableFieldId="6" dataDxfId="43" dataCellStyle="Comma"/>
    <tableColumn id="7" xr3:uid="{00000000-0010-0000-1100-000007000000}" uniqueName="7" name="npckgs" queryTableFieldId="7" dataDxfId="42" dataCellStyle="Comma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custfillrate_exp" displayName="custfillrate_exp" ref="FW41:GA1103" tableType="queryTable" totalsRowShown="0" dataDxfId="41" dataCellStyle="Comma">
  <autoFilter ref="FW41:GA1103" xr:uid="{00000000-0009-0000-0100-000014000000}"/>
  <tableColumns count="5">
    <tableColumn id="1" xr3:uid="{00000000-0010-0000-1300-000001000000}" uniqueName="1" name="yr" queryTableFieldId="1" dataDxfId="40" dataCellStyle="Comma"/>
    <tableColumn id="2" xr3:uid="{00000000-0010-0000-1300-000002000000}" uniqueName="2" name="wk" queryTableFieldId="2" dataDxfId="39" dataCellStyle="Comma"/>
    <tableColumn id="3" xr3:uid="{00000000-0010-0000-1300-000003000000}" uniqueName="3" name="siteflag" queryTableFieldId="3" dataDxfId="38" dataCellStyle="Comma"/>
    <tableColumn id="4" xr3:uid="{00000000-0010-0000-1300-000004000000}" uniqueName="4" name="units" queryTableFieldId="4" dataDxfId="37" dataCellStyle="Comma"/>
    <tableColumn id="5" xr3:uid="{00000000-0010-0000-1300-000005000000}" uniqueName="5" name="ontimeunits" queryTableFieldId="5" dataDxfId="36" dataCellStyle="Comma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whfillrate_exp" displayName="whfillrate_exp" ref="GD41:GH439" tableType="queryTable" totalsRowShown="0" dataDxfId="35" dataCellStyle="Comma">
  <autoFilter ref="GD41:GH439" xr:uid="{00000000-0009-0000-0100-000015000000}"/>
  <tableColumns count="5">
    <tableColumn id="1" xr3:uid="{00000000-0010-0000-1400-000001000000}" uniqueName="1" name="yr" queryTableFieldId="1" dataDxfId="34" dataCellStyle="Comma"/>
    <tableColumn id="2" xr3:uid="{00000000-0010-0000-1400-000002000000}" uniqueName="2" name="wk" queryTableFieldId="2" dataDxfId="33" dataCellStyle="Comma"/>
    <tableColumn id="3" xr3:uid="{00000000-0010-0000-1400-000003000000}" uniqueName="3" name="siteflag" queryTableFieldId="3" dataDxfId="32" dataCellStyle="Comma"/>
    <tableColumn id="4" xr3:uid="{00000000-0010-0000-1400-000004000000}" uniqueName="4" name="units" queryTableFieldId="4" dataDxfId="31" dataCellStyle="Comma"/>
    <tableColumn id="5" xr3:uid="{00000000-0010-0000-1400-000005000000}" uniqueName="5" name="ontimeunits" queryTableFieldId="5" dataDxfId="30" dataCellStyle="Comma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yrweek" displayName="yrweek" ref="GK41:GN55" tableType="queryTable" totalsRowShown="0" dataDxfId="29" dataCellStyle="Comma">
  <autoFilter ref="GK41:GN55" xr:uid="{00000000-0009-0000-0100-000016000000}"/>
  <tableColumns count="4">
    <tableColumn id="1" xr3:uid="{00000000-0010-0000-1500-000001000000}" uniqueName="1" name="yr" queryTableFieldId="1" dataDxfId="28" dataCellStyle="Comma"/>
    <tableColumn id="2" xr3:uid="{00000000-0010-0000-1500-000002000000}" uniqueName="2" name="wk" queryTableFieldId="2" dataDxfId="27" dataCellStyle="Comma"/>
    <tableColumn id="3" xr3:uid="{00000000-0010-0000-1500-000003000000}" uniqueName="3" name="weekstart" queryTableFieldId="3" dataDxfId="26" dataCellStyle="Comma"/>
    <tableColumn id="4" xr3:uid="{00000000-0010-0000-1500-000004000000}" uniqueName="4" name="weekstart_str" queryTableFieldId="4" dataDxfId="25" dataCellStyle="Comm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samples_invunits" displayName="samples_invunits" ref="GP41:GS267" tableType="queryTable" totalsRowShown="0" dataDxfId="24" dataCellStyle="Comma">
  <autoFilter ref="GP41:GS267" xr:uid="{00000000-0009-0000-0100-000017000000}"/>
  <tableColumns count="4">
    <tableColumn id="1" xr3:uid="{00000000-0010-0000-1600-000001000000}" uniqueName="1" name="yr" queryTableFieldId="1" dataDxfId="23" dataCellStyle="Comma"/>
    <tableColumn id="2" xr3:uid="{00000000-0010-0000-1600-000002000000}" uniqueName="2" name="wk" queryTableFieldId="2" dataDxfId="22" dataCellStyle="Comma"/>
    <tableColumn id="3" xr3:uid="{00000000-0010-0000-1600-000003000000}" uniqueName="3" name="invunits" queryTableFieldId="3" dataDxfId="21" dataCellStyle="Comma"/>
    <tableColumn id="4" xr3:uid="{00000000-0010-0000-1600-000004000000}" uniqueName="4" name="siteflag" queryTableFieldId="4" dataDxfId="20" dataCellStyle="Comma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custfillrate_old" displayName="custfillrate_old" ref="GX41:HI1039" tableType="queryTable" totalsRowShown="0">
  <autoFilter ref="GX41:HI1039" xr:uid="{00000000-0009-0000-0100-000018000000}"/>
  <tableColumns count="12">
    <tableColumn id="1" xr3:uid="{00000000-0010-0000-1700-000001000000}" uniqueName="1" name="yr" queryTableFieldId="1"/>
    <tableColumn id="2" xr3:uid="{00000000-0010-0000-1700-000002000000}" uniqueName="2" name="wk" queryTableFieldId="2"/>
    <tableColumn id="3" xr3:uid="{00000000-0010-0000-1700-000003000000}" uniqueName="3" name="siteflag" queryTableFieldId="3"/>
    <tableColumn id="4" xr3:uid="{00000000-0010-0000-1700-000004000000}" uniqueName="4" name="units" queryTableFieldId="4"/>
    <tableColumn id="5" xr3:uid="{00000000-0010-0000-1700-000005000000}" uniqueName="5" name="ontimeunits" queryTableFieldId="5"/>
    <tableColumn id="6" xr3:uid="{00000000-0010-0000-1700-000006000000}" uniqueName="6" name="cantfinders" queryTableFieldId="6"/>
    <tableColumn id="7" xr3:uid="{00000000-0010-0000-1700-000007000000}" uniqueName="7" name="preorders" queryTableFieldId="7"/>
    <tableColumn id="8" xr3:uid="{00000000-0010-0000-1700-000008000000}" uniqueName="8" name="defectorders" queryTableFieldId="8"/>
    <tableColumn id="9" xr3:uid="{00000000-0010-0000-1700-000009000000}" uniqueName="9" name="lateshipment" queryTableFieldId="9"/>
    <tableColumn id="10" xr3:uid="{00000000-0010-0000-1700-00000A000000}" uniqueName="10" name="csorders" queryTableFieldId="10"/>
    <tableColumn id="11" xr3:uid="{00000000-0010-0000-1700-00000B000000}" uniqueName="11" name="repacks" queryTableFieldId="11"/>
    <tableColumn id="12" xr3:uid="{00000000-0010-0000-1700-00000C000000}" uniqueName="12" name="invalid_address" queryTableFieldId="12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custfillrate_exp_old" displayName="custfillrate_exp_old" ref="HZ41:ID1032" tableType="queryTable" totalsRowShown="0" dataDxfId="19" dataCellStyle="Comma">
  <autoFilter ref="HZ41:ID1032" xr:uid="{00000000-0009-0000-0100-000019000000}"/>
  <tableColumns count="5">
    <tableColumn id="1" xr3:uid="{00000000-0010-0000-1800-000001000000}" uniqueName="1" name="yr" queryTableFieldId="1" dataDxfId="18" dataCellStyle="Comma"/>
    <tableColumn id="2" xr3:uid="{00000000-0010-0000-1800-000002000000}" uniqueName="2" name="wk" queryTableFieldId="2" dataDxfId="17" dataCellStyle="Comma"/>
    <tableColumn id="3" xr3:uid="{00000000-0010-0000-1800-000003000000}" uniqueName="3" name="siteflag" queryTableFieldId="3" dataDxfId="16" dataCellStyle="Comma"/>
    <tableColumn id="4" xr3:uid="{00000000-0010-0000-1800-000004000000}" uniqueName="4" name="units" queryTableFieldId="4" dataDxfId="15" dataCellStyle="Comma"/>
    <tableColumn id="5" xr3:uid="{00000000-0010-0000-1800-000005000000}" uniqueName="5" name="ontimeunits" queryTableFieldId="5" dataDxfId="14" dataCellStyle="Comma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whfillrate_exp_old" displayName="whfillrate_exp_old" ref="IG41:IK439" tableType="queryTable" totalsRowShown="0" dataDxfId="13" dataCellStyle="Comma">
  <autoFilter ref="IG41:IK439" xr:uid="{00000000-0009-0000-0100-00001A000000}"/>
  <tableColumns count="5">
    <tableColumn id="1" xr3:uid="{00000000-0010-0000-1900-000001000000}" uniqueName="1" name="yr" queryTableFieldId="1" dataDxfId="12" dataCellStyle="Comma"/>
    <tableColumn id="2" xr3:uid="{00000000-0010-0000-1900-000002000000}" uniqueName="2" name="wk" queryTableFieldId="2" dataDxfId="11" dataCellStyle="Comma"/>
    <tableColumn id="3" xr3:uid="{00000000-0010-0000-1900-000003000000}" uniqueName="3" name="siteflag" queryTableFieldId="3" dataDxfId="10" dataCellStyle="Comma"/>
    <tableColumn id="4" xr3:uid="{00000000-0010-0000-1900-000004000000}" uniqueName="4" name="units" queryTableFieldId="4" dataDxfId="9" dataCellStyle="Comma"/>
    <tableColumn id="5" xr3:uid="{00000000-0010-0000-1900-000005000000}" uniqueName="5" name="ontimeunits" queryTableFieldId="5" dataDxfId="8" dataCellStyle="Comma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145D753-C6AC-419E-9D2B-501A56E10AA4}" name="pps_uph" displayName="pps_uph" ref="FN41:FT251" tableType="queryTable" totalsRowShown="0" dataDxfId="7" dataCellStyle="Comma">
  <autoFilter ref="FN41:FT251" xr:uid="{E145D753-C6AC-419E-9D2B-501A56E10AA4}"/>
  <tableColumns count="7">
    <tableColumn id="15" xr3:uid="{45D12A47-8D57-4F27-BC2A-53B1AB5106D7}" uniqueName="15" name="yr" queryTableFieldId="1" dataDxfId="6" dataCellStyle="Comma"/>
    <tableColumn id="16" xr3:uid="{7A337BEA-B102-49D3-A16A-45E68DDBB6EA}" uniqueName="16" name="wk" queryTableFieldId="2" dataDxfId="5" dataCellStyle="Comma"/>
    <tableColumn id="17" xr3:uid="{91927B5D-93D2-43CF-8323-7D78B4FAC2D6}" uniqueName="17" name="site" queryTableFieldId="3" dataDxfId="4" dataCellStyle="Comma"/>
    <tableColumn id="18" xr3:uid="{46B22606-941C-4DF0-854B-2F3CCA736BA8}" uniqueName="18" name="outbound_units" queryTableFieldId="4" dataDxfId="3" dataCellStyle="Comma"/>
    <tableColumn id="19" xr3:uid="{BEE84814-73DC-4A94-94E9-D724C95EB082}" uniqueName="19" name="outbound_hrs" queryTableFieldId="5" dataDxfId="2" dataCellStyle="Comma"/>
    <tableColumn id="20" xr3:uid="{130C07D9-67FD-4C35-8EB7-EC1866C9CE2D}" uniqueName="20" name="inbound_units" queryTableFieldId="6" dataDxfId="1" dataCellStyle="Comma"/>
    <tableColumn id="21" xr3:uid="{66E942BE-5D6D-40D4-82AC-9C762B39DCB3}" uniqueName="21" name="inbound_hrs" queryTableFieldId="7" dataDxfId="0" dataCellStyle="Comm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26" Type="http://schemas.openxmlformats.org/officeDocument/2006/relationships/table" Target="../tables/table24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5" Type="http://schemas.openxmlformats.org/officeDocument/2006/relationships/table" Target="../tables/table23.xml"/><Relationship Id="rId2" Type="http://schemas.openxmlformats.org/officeDocument/2006/relationships/drawing" Target="../drawings/drawing4.x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24" Type="http://schemas.openxmlformats.org/officeDocument/2006/relationships/table" Target="../tables/table22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23" Type="http://schemas.openxmlformats.org/officeDocument/2006/relationships/table" Target="../tables/table21.xml"/><Relationship Id="rId28" Type="http://schemas.openxmlformats.org/officeDocument/2006/relationships/table" Target="../tables/table26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Relationship Id="rId22" Type="http://schemas.openxmlformats.org/officeDocument/2006/relationships/table" Target="../tables/table20.xml"/><Relationship Id="rId27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Y148"/>
  <sheetViews>
    <sheetView showGridLines="0" tabSelected="1" view="pageBreakPreview" topLeftCell="A125" zoomScale="85" zoomScaleNormal="40" zoomScaleSheetLayoutView="85" workbookViewId="0">
      <selection activeCell="T147" sqref="T147"/>
    </sheetView>
  </sheetViews>
  <sheetFormatPr defaultRowHeight="14.6" outlineLevelRow="1" outlineLevelCol="1" x14ac:dyDescent="0.4"/>
  <cols>
    <col min="1" max="1" width="3.15234375" customWidth="1"/>
    <col min="2" max="2" width="5.15234375" customWidth="1"/>
    <col min="3" max="3" width="2.53515625" customWidth="1"/>
    <col min="4" max="4" width="26.3046875" customWidth="1"/>
    <col min="5" max="5" width="19.15234375" hidden="1" customWidth="1" outlineLevel="1"/>
    <col min="6" max="6" width="15.15234375" hidden="1" customWidth="1" outlineLevel="1"/>
    <col min="7" max="7" width="11.3046875" hidden="1" customWidth="1" outlineLevel="1"/>
    <col min="8" max="8" width="15.53515625" hidden="1" customWidth="1" outlineLevel="1"/>
    <col min="9" max="16" width="8.15234375" hidden="1" customWidth="1" outlineLevel="1"/>
    <col min="17" max="17" width="13.15234375" customWidth="1" collapsed="1"/>
    <col min="18" max="23" width="13.15234375" customWidth="1"/>
    <col min="24" max="24" width="19.84375" customWidth="1"/>
    <col min="25" max="25" width="3.15234375" customWidth="1"/>
  </cols>
  <sheetData>
    <row r="2" spans="2:24" ht="13.4" customHeight="1" x14ac:dyDescent="0.75">
      <c r="B2" s="25"/>
      <c r="C2" s="26"/>
      <c r="D2" s="26"/>
      <c r="F2" t="s">
        <v>31</v>
      </c>
      <c r="G2">
        <v>0</v>
      </c>
    </row>
    <row r="3" spans="2:24" ht="30" customHeight="1" x14ac:dyDescent="0.7">
      <c r="B3" s="331" t="s">
        <v>58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W3" s="27"/>
      <c r="X3" s="28"/>
    </row>
    <row r="4" spans="2:24" ht="8.5" customHeight="1" thickBot="1" x14ac:dyDescent="0.6">
      <c r="B4" s="29"/>
      <c r="D4" s="30" t="s">
        <v>59</v>
      </c>
      <c r="W4" s="31"/>
      <c r="X4" s="32"/>
    </row>
    <row r="5" spans="2:24" ht="16.399999999999999" customHeight="1" thickTop="1" x14ac:dyDescent="0.55000000000000004">
      <c r="B5" s="29"/>
      <c r="D5" s="33" t="s">
        <v>60</v>
      </c>
      <c r="H5" s="33"/>
      <c r="I5" s="34">
        <f t="shared" ref="I5:R5" ca="1" si="0">IF(J6=1,J5-1,J5)</f>
        <v>2022</v>
      </c>
      <c r="J5" s="34">
        <f t="shared" ca="1" si="0"/>
        <v>2022</v>
      </c>
      <c r="K5" s="34">
        <f t="shared" ca="1" si="0"/>
        <v>2022</v>
      </c>
      <c r="L5" s="34">
        <f t="shared" ca="1" si="0"/>
        <v>2023</v>
      </c>
      <c r="M5" s="34">
        <f t="shared" ca="1" si="0"/>
        <v>2023</v>
      </c>
      <c r="N5" s="34">
        <f t="shared" ca="1" si="0"/>
        <v>2023</v>
      </c>
      <c r="O5" s="34">
        <f t="shared" ca="1" si="0"/>
        <v>2023</v>
      </c>
      <c r="P5" s="34">
        <f t="shared" ca="1" si="0"/>
        <v>2023</v>
      </c>
      <c r="Q5" s="35">
        <f t="shared" ca="1" si="0"/>
        <v>2023</v>
      </c>
      <c r="R5" s="36">
        <f t="shared" ca="1" si="0"/>
        <v>2023</v>
      </c>
      <c r="S5" s="36">
        <f ca="1">IF(T6=1,T5-1,T5)</f>
        <v>2023</v>
      </c>
      <c r="T5" s="37">
        <f ca="1">YEAR(TODAY()-11)</f>
        <v>2023</v>
      </c>
      <c r="U5" s="325"/>
    </row>
    <row r="6" spans="2:24" ht="16.399999999999999" customHeight="1" outlineLevel="1" x14ac:dyDescent="0.55000000000000004">
      <c r="B6" s="29"/>
      <c r="D6" s="33" t="s">
        <v>61</v>
      </c>
      <c r="H6" s="33"/>
      <c r="I6" s="34">
        <f t="shared" ref="I6:R6" ca="1" si="1">IF(J6=1, 52,J6-1)</f>
        <v>50</v>
      </c>
      <c r="J6" s="34">
        <f t="shared" ca="1" si="1"/>
        <v>51</v>
      </c>
      <c r="K6" s="34">
        <f t="shared" ca="1" si="1"/>
        <v>52</v>
      </c>
      <c r="L6" s="34">
        <f t="shared" ca="1" si="1"/>
        <v>1</v>
      </c>
      <c r="M6" s="34">
        <f t="shared" ca="1" si="1"/>
        <v>2</v>
      </c>
      <c r="N6" s="34">
        <f t="shared" ca="1" si="1"/>
        <v>3</v>
      </c>
      <c r="O6" s="34">
        <f t="shared" ca="1" si="1"/>
        <v>4</v>
      </c>
      <c r="P6" s="34">
        <f t="shared" ca="1" si="1"/>
        <v>5</v>
      </c>
      <c r="Q6" s="38">
        <f t="shared" ca="1" si="1"/>
        <v>6</v>
      </c>
      <c r="R6" s="34">
        <f t="shared" ca="1" si="1"/>
        <v>7</v>
      </c>
      <c r="S6" s="34">
        <f ca="1">IF(T6=1, 52,T6-1)</f>
        <v>8</v>
      </c>
      <c r="T6" s="39">
        <f ca="1">IF((WEEKNUM(TODAY())-1)&gt;0, WEEKNUM(TODAY())-1,52)</f>
        <v>9</v>
      </c>
      <c r="U6" s="34"/>
    </row>
    <row r="7" spans="2:24" ht="16.399999999999999" customHeight="1" x14ac:dyDescent="0.55000000000000004">
      <c r="B7" s="29"/>
      <c r="D7" s="289" t="s">
        <v>227</v>
      </c>
      <c r="E7" s="40" t="s">
        <v>418</v>
      </c>
      <c r="F7" s="40" t="s">
        <v>421</v>
      </c>
      <c r="G7" s="40"/>
      <c r="H7" s="40"/>
      <c r="I7" s="41">
        <f t="array" aca="1" ref="I7" ca="1">SUM(INDIRECT($E7&amp;"["&amp;$F7&amp;"]")*(INDIRECT($E7&amp;"[yr]")=I$5)*(INDIRECT($E7&amp;"[wk]")=I$6))</f>
        <v>45269</v>
      </c>
      <c r="J7" s="41">
        <f t="array" aca="1" ref="J7" ca="1">SUM(INDIRECT($E7&amp;"["&amp;$F7&amp;"]")*(INDIRECT($E7&amp;"[yr]")=J$5)*(INDIRECT($E7&amp;"[wk]")=J$6))</f>
        <v>45276</v>
      </c>
      <c r="K7" s="41">
        <f t="array" aca="1" ref="K7" ca="1">SUM(INDIRECT($E7&amp;"["&amp;$F7&amp;"]")*(INDIRECT($E7&amp;"[yr]")=K$5)*(INDIRECT($E7&amp;"[wk]")=K$6))</f>
        <v>45283</v>
      </c>
      <c r="L7" s="41">
        <f t="array" aca="1" ref="L7" ca="1">SUM(INDIRECT($E7&amp;"["&amp;$F7&amp;"]")*(INDIRECT($E7&amp;"[yr]")=L$5)*(INDIRECT($E7&amp;"[wk]")=L$6))</f>
        <v>45290</v>
      </c>
      <c r="M7" s="41">
        <f t="array" aca="1" ref="M7" ca="1">SUM(INDIRECT($E7&amp;"["&amp;$F7&amp;"]")*(INDIRECT($E7&amp;"[yr]")=M$5)*(INDIRECT($E7&amp;"[wk]")=M$6))</f>
        <v>44932</v>
      </c>
      <c r="N7" s="41">
        <f t="array" aca="1" ref="N7" ca="1">SUM(INDIRECT($E7&amp;"["&amp;$F7&amp;"]")*(INDIRECT($E7&amp;"[yr]")=N$5)*(INDIRECT($E7&amp;"[wk]")=N$6))</f>
        <v>44939</v>
      </c>
      <c r="O7" s="41">
        <f t="array" aca="1" ref="O7" ca="1">SUM(INDIRECT($E7&amp;"["&amp;$F7&amp;"]")*(INDIRECT($E7&amp;"[yr]")=O$5)*(INDIRECT($E7&amp;"[wk]")=O$6))</f>
        <v>44946</v>
      </c>
      <c r="P7" s="287">
        <f t="array" aca="1" ref="P7" ca="1">SUM(INDIRECT($E7&amp;"["&amp;$F7&amp;"]")*(INDIRECT($E7&amp;"[yr]")=P$5)*(INDIRECT($E7&amp;"[wk]")=P$6))</f>
        <v>44953</v>
      </c>
      <c r="Q7" s="41">
        <f t="array" aca="1" ref="Q7" ca="1">SUM(INDIRECT($E7&amp;"["&amp;$F7&amp;"]")*(INDIRECT($E7&amp;"[yr]")=Q$5)*(INDIRECT($E7&amp;"[wk]")=Q$6))</f>
        <v>44960</v>
      </c>
      <c r="R7" s="41">
        <f t="array" aca="1" ref="R7" ca="1">SUM(INDIRECT($E7&amp;"["&amp;$F7&amp;"]")*(INDIRECT($E7&amp;"[yr]")=R$5)*(INDIRECT($E7&amp;"[wk]")=R$6))</f>
        <v>44967</v>
      </c>
      <c r="S7" s="288">
        <f t="array" aca="1" ref="S7" ca="1">SUM(INDIRECT($E7&amp;"["&amp;$F7&amp;"]")*(INDIRECT($E7&amp;"[yr]")=S$5)*(INDIRECT($E7&amp;"[wk]")=S$6))</f>
        <v>44974</v>
      </c>
      <c r="T7" s="294">
        <f t="array" aca="1" ref="T7" ca="1">SUM(INDIRECT($E7&amp;"["&amp;$F7&amp;"]")*(INDIRECT($E7&amp;"[yr]")=T$5)*(INDIRECT($E7&amp;"[wk]")=T$6))</f>
        <v>44981</v>
      </c>
      <c r="U7" s="36" t="s">
        <v>62</v>
      </c>
      <c r="V7" s="42" t="s">
        <v>63</v>
      </c>
      <c r="W7" s="43" t="s">
        <v>64</v>
      </c>
      <c r="X7" s="44" t="s">
        <v>65</v>
      </c>
    </row>
    <row r="8" spans="2:24" ht="14.15" customHeight="1" x14ac:dyDescent="0.4">
      <c r="B8" s="328" t="s">
        <v>66</v>
      </c>
      <c r="D8" s="201" t="s">
        <v>527</v>
      </c>
      <c r="E8" t="s">
        <v>503</v>
      </c>
      <c r="F8" t="s">
        <v>291</v>
      </c>
      <c r="I8" s="45">
        <f t="array" aca="1" ref="I8" ca="1">IFERROR(IF($G$2=0,(SUM(INDIRECT($E8&amp;"["&amp;$F9&amp;"]")*(INDIRECT($E8&amp;"[yr]")=I$5)*(INDIRECT($E8&amp;"[wk]")=I$6))/SUM(INDIRECT($E8&amp;"["&amp;$F8&amp;"]")*(INDIRECT($E8&amp;"[yr]")=I$5)*(INDIRECT($E8&amp;"[wk]")=I$6))),(SUM(INDIRECT($E8&amp;"["&amp;$E9&amp;"]")*(INDIRECT($E8&amp;"[yr]")=I$5)*(INDIRECT($E8&amp;"[wk]")=I$6)*(INDIRECT($E8&amp;"[siteflag]")=$G$2)))),0)</f>
        <v>0.94059023341331915</v>
      </c>
      <c r="J8" s="45">
        <f t="array" aca="1" ref="J8" ca="1">IFERROR(IF($G$2=0,(SUM(INDIRECT($E8&amp;"["&amp;$F9&amp;"]")*(INDIRECT($E8&amp;"[yr]")=J$5)*(INDIRECT($E8&amp;"[wk]")=J$6))/SUM(INDIRECT($E8&amp;"["&amp;$F8&amp;"]")*(INDIRECT($E8&amp;"[yr]")=J$5)*(INDIRECT($E8&amp;"[wk]")=J$6))),(SUM(INDIRECT($E8&amp;"["&amp;$E9&amp;"]")*(INDIRECT($E8&amp;"[yr]")=J$5)*(INDIRECT($E8&amp;"[wk]")=J$6)*(INDIRECT($E8&amp;"[siteflag]")=$G$2)))),0)</f>
        <v>0.97401874915145359</v>
      </c>
      <c r="K8" s="45">
        <f t="array" aca="1" ref="K8" ca="1">IFERROR(IF($G$2=0,(SUM(INDIRECT($E8&amp;"["&amp;$F9&amp;"]")*(INDIRECT($E8&amp;"[yr]")=K$5)*(INDIRECT($E8&amp;"[wk]")=K$6))/SUM(INDIRECT($E8&amp;"["&amp;$F8&amp;"]")*(INDIRECT($E8&amp;"[yr]")=K$5)*(INDIRECT($E8&amp;"[wk]")=K$6))),(SUM(INDIRECT($E8&amp;"["&amp;$E9&amp;"]")*(INDIRECT($E8&amp;"[yr]")=K$5)*(INDIRECT($E8&amp;"[wk]")=K$6)*(INDIRECT($E8&amp;"[siteflag]")=$G$2)))),0)</f>
        <v>0.9905124029429726</v>
      </c>
      <c r="L8" s="45">
        <f t="array" aca="1" ref="L8" ca="1">IFERROR(IF($G$2=0,(SUM(INDIRECT($E8&amp;"["&amp;$F9&amp;"]")*(INDIRECT($E8&amp;"[yr]")=L$5)*(INDIRECT($E8&amp;"[wk]")=L$6))/SUM(INDIRECT($E8&amp;"["&amp;$F8&amp;"]")*(INDIRECT($E8&amp;"[yr]")=L$5)*(INDIRECT($E8&amp;"[wk]")=L$6))),(SUM(INDIRECT($E8&amp;"["&amp;$E9&amp;"]")*(INDIRECT($E8&amp;"[yr]")=L$5)*(INDIRECT($E8&amp;"[wk]")=L$6)*(INDIRECT($E8&amp;"[siteflag]")=$G$2)))),0)</f>
        <v>0.98898751549495312</v>
      </c>
      <c r="M8" s="45">
        <f t="array" aca="1" ref="M8" ca="1">IFERROR(IF($G$2=0,(SUM(INDIRECT($E8&amp;"["&amp;$F9&amp;"]")*(INDIRECT($E8&amp;"[yr]")=M$5)*(INDIRECT($E8&amp;"[wk]")=M$6))/SUM(INDIRECT($E8&amp;"["&amp;$F8&amp;"]")*(INDIRECT($E8&amp;"[yr]")=M$5)*(INDIRECT($E8&amp;"[wk]")=M$6))),(SUM(INDIRECT($E8&amp;"["&amp;$E9&amp;"]")*(INDIRECT($E8&amp;"[yr]")=M$5)*(INDIRECT($E8&amp;"[wk]")=M$6)*(INDIRECT($E8&amp;"[siteflag]")=$G$2)))),0)</f>
        <v>0.98702047526161474</v>
      </c>
      <c r="N8" s="45">
        <f t="array" aca="1" ref="N8" ca="1">IFERROR(IF($G$2=0,(SUM(INDIRECT($E8&amp;"["&amp;$F9&amp;"]")*(INDIRECT($E8&amp;"[yr]")=N$5)*(INDIRECT($E8&amp;"[wk]")=N$6))/SUM(INDIRECT($E8&amp;"["&amp;$F8&amp;"]")*(INDIRECT($E8&amp;"[yr]")=N$5)*(INDIRECT($E8&amp;"[wk]")=N$6))),(SUM(INDIRECT($E8&amp;"["&amp;$E9&amp;"]")*(INDIRECT($E8&amp;"[yr]")=N$5)*(INDIRECT($E8&amp;"[wk]")=N$6)*(INDIRECT($E8&amp;"[siteflag]")=$G$2)))),0)</f>
        <v>0.97930685289300101</v>
      </c>
      <c r="O8" s="45">
        <f t="array" aca="1" ref="O8" ca="1">IFERROR(IF($G$2=0,(SUM(INDIRECT($E8&amp;"["&amp;$F9&amp;"]")*(INDIRECT($E8&amp;"[yr]")=O$5)*(INDIRECT($E8&amp;"[wk]")=O$6))/SUM(INDIRECT($E8&amp;"["&amp;$F8&amp;"]")*(INDIRECT($E8&amp;"[yr]")=O$5)*(INDIRECT($E8&amp;"[wk]")=O$6))),(SUM(INDIRECT($E8&amp;"["&amp;$E9&amp;"]")*(INDIRECT($E8&amp;"[yr]")=O$5)*(INDIRECT($E8&amp;"[wk]")=O$6)*(INDIRECT($E8&amp;"[siteflag]")=$G$2)))),0)</f>
        <v>0.97200833794188968</v>
      </c>
      <c r="P8" s="47">
        <f t="array" aca="1" ref="P8" ca="1">IFERROR(IF($G$2=0,(SUM(INDIRECT($E8&amp;"["&amp;$F9&amp;"]")*(INDIRECT($E8&amp;"[yr]")=P$5)*(INDIRECT($E8&amp;"[wk]")=P$6))/SUM(INDIRECT($E8&amp;"["&amp;$F8&amp;"]")*(INDIRECT($E8&amp;"[yr]")=P$5)*(INDIRECT($E8&amp;"[wk]")=P$6))),(SUM(INDIRECT($E8&amp;"["&amp;$E9&amp;"]")*(INDIRECT($E8&amp;"[yr]")=P$5)*(INDIRECT($E8&amp;"[wk]")=P$6)*(INDIRECT($E8&amp;"[siteflag]")=$G$2)))),0)</f>
        <v>0.97693315493114785</v>
      </c>
      <c r="Q8" s="45">
        <f t="array" aca="1" ref="Q8" ca="1">IFERROR(IF($G$2=0,(SUM(INDIRECT($E8&amp;"["&amp;$F9&amp;"]")*(INDIRECT($E8&amp;"[yr]")=Q$5)*(INDIRECT($E8&amp;"[wk]")=Q$6))/SUM(INDIRECT($E8&amp;"["&amp;$F8&amp;"]")*(INDIRECT($E8&amp;"[yr]")=Q$5)*(INDIRECT($E8&amp;"[wk]")=Q$6))),(SUM(INDIRECT($E8&amp;"["&amp;$E9&amp;"]")*(INDIRECT($E8&amp;"[yr]")=Q$5)*(INDIRECT($E8&amp;"[wk]")=Q$6)*(INDIRECT($E8&amp;"[siteflag]")=$G$2)))),0)</f>
        <v>0.97344850888465462</v>
      </c>
      <c r="R8" s="45">
        <f t="array" aca="1" ref="R8" ca="1">IFERROR(IF($G$2=0,(SUM(INDIRECT($E8&amp;"["&amp;$F9&amp;"]")*(INDIRECT($E8&amp;"[yr]")=R$5)*(INDIRECT($E8&amp;"[wk]")=R$6))/SUM(INDIRECT($E8&amp;"["&amp;$F8&amp;"]")*(INDIRECT($E8&amp;"[yr]")=R$5)*(INDIRECT($E8&amp;"[wk]")=R$6))),(SUM(INDIRECT($E8&amp;"["&amp;$E9&amp;"]")*(INDIRECT($E8&amp;"[yr]")=R$5)*(INDIRECT($E8&amp;"[wk]")=R$6)*(INDIRECT($E8&amp;"[siteflag]")=$G$2)))),0)</f>
        <v>0.9772534505358933</v>
      </c>
      <c r="S8" s="163">
        <f t="array" aca="1" ref="S8" ca="1">IFERROR(IF($G$2=0,(SUM(INDIRECT($E8&amp;"["&amp;$F9&amp;"]")*(INDIRECT($E8&amp;"[yr]")=S$5)*(INDIRECT($E8&amp;"[wk]")=S$6))/SUM(INDIRECT($E8&amp;"["&amp;$F8&amp;"]")*(INDIRECT($E8&amp;"[yr]")=S$5)*(INDIRECT($E8&amp;"[wk]")=S$6))),(SUM(INDIRECT($E8&amp;"["&amp;$E9&amp;"]")*(INDIRECT($E8&amp;"[yr]")=S$5)*(INDIRECT($E8&amp;"[wk]")=S$6)*(INDIRECT($E8&amp;"[siteflag]")=$G$2)))),0)</f>
        <v>0.97438156479553306</v>
      </c>
      <c r="T8" s="295">
        <f t="array" aca="1" ref="T8" ca="1">IFERROR(IF($G$2=0,(SUM(INDIRECT($E8&amp;"["&amp;$F9&amp;"]")*(INDIRECT($E8&amp;"[yr]")=T$5)*(INDIRECT($E8&amp;"[wk]")=T$6))/SUM(INDIRECT($E8&amp;"["&amp;$F8&amp;"]")*(INDIRECT($E8&amp;"[yr]")=T$5)*(INDIRECT($E8&amp;"[wk]")=T$6))),(SUM(INDIRECT($E8&amp;"["&amp;$E9&amp;"]")*(INDIRECT($E8&amp;"[yr]")=T$5)*(INDIRECT($E8&amp;"[wk]")=T$6)*(INDIRECT($E8&amp;"[siteflag]")=$G$2)))),0)</f>
        <v>0.88022334827684012</v>
      </c>
      <c r="U8" s="293">
        <f t="array" aca="1" ref="U8" ca="1">SUM(Q8:T8*Q66:T66)/SUM(Q66:T66)</f>
        <v>0.95580776099122045</v>
      </c>
      <c r="V8" s="47">
        <f ca="1">SUM(T8/S8)-1</f>
        <v>-9.6633823874173297E-2</v>
      </c>
      <c r="W8" s="219">
        <v>0.99</v>
      </c>
      <c r="X8" s="49"/>
    </row>
    <row r="9" spans="2:24" ht="14.15" customHeight="1" x14ac:dyDescent="0.4">
      <c r="B9" s="329"/>
      <c r="D9" s="202" t="s">
        <v>67</v>
      </c>
      <c r="E9" s="40"/>
      <c r="F9" s="40" t="s">
        <v>372</v>
      </c>
      <c r="G9" s="40"/>
      <c r="H9" s="40"/>
      <c r="I9" s="50">
        <f t="array" aca="1" ref="I9" ca="1">IFERROR(I8/(IF($G$2=0,(SUM(INDIRECT($E8&amp;"["&amp;$F9&amp;"]")*(INDIRECT($E8&amp;"[yr]")=I$5-1)*(INDIRECT($E8&amp;"[wk]")=I$6))/SUM(INDIRECT($E8&amp;"["&amp;$F8&amp;"]")*(INDIRECT($E8&amp;"[yr]")=I$5-1)*(INDIRECT($E8&amp;"[wk]")=I$6))),(SUM(INDIRECT($E8&amp;"["&amp;$E9&amp;"]")*(INDIRECT($E8&amp;"[yr]")=I$5-1)*(INDIRECT($E8&amp;"[wk]")=I$6)*(INDIRECT($E8&amp;"[siteflag]")=$G$2)))))-1,0)</f>
        <v>-3.0034139380164415E-2</v>
      </c>
      <c r="J9" s="50">
        <f t="array" aca="1" ref="J9" ca="1">IFERROR(J8/(IF($G$2=0,(SUM(INDIRECT($E8&amp;"["&amp;$F9&amp;"]")*(INDIRECT($E8&amp;"[yr]")=J$5-1)*(INDIRECT($E8&amp;"[wk]")=J$6))/SUM(INDIRECT($E8&amp;"["&amp;$F8&amp;"]")*(INDIRECT($E8&amp;"[yr]")=J$5-1)*(INDIRECT($E8&amp;"[wk]")=J$6))),(SUM(INDIRECT($E8&amp;"["&amp;$E9&amp;"]")*(INDIRECT($E8&amp;"[yr]")=J$5-1)*(INDIRECT($E8&amp;"[wk]")=J$6)*(INDIRECT($E8&amp;"[siteflag]")=$G$2)))))-1,0)</f>
        <v>-1.239750185510835E-2</v>
      </c>
      <c r="K9" s="50">
        <f t="array" aca="1" ref="K9" ca="1">IFERROR(K8/(IF($G$2=0,(SUM(INDIRECT($E8&amp;"["&amp;$F9&amp;"]")*(INDIRECT($E8&amp;"[yr]")=K$5-1)*(INDIRECT($E8&amp;"[wk]")=K$6))/SUM(INDIRECT($E8&amp;"["&amp;$F8&amp;"]")*(INDIRECT($E8&amp;"[yr]")=K$5-1)*(INDIRECT($E8&amp;"[wk]")=K$6))),(SUM(INDIRECT($E8&amp;"["&amp;$E9&amp;"]")*(INDIRECT($E8&amp;"[yr]")=K$5-1)*(INDIRECT($E8&amp;"[wk]")=K$6)*(INDIRECT($E8&amp;"[siteflag]")=$G$2)))))-1,0)</f>
        <v>2.8391190799958776E-2</v>
      </c>
      <c r="L9" s="50">
        <f t="array" aca="1" ref="L9" ca="1">IFERROR(L8/(IF($G$2=0,(SUM(INDIRECT($E8&amp;"["&amp;$F9&amp;"]")*(INDIRECT($E8&amp;"[yr]")=L$5-1)*(INDIRECT($E8&amp;"[wk]")=L$6))/SUM(INDIRECT($E8&amp;"["&amp;$F8&amp;"]")*(INDIRECT($E8&amp;"[yr]")=L$5-1)*(INDIRECT($E8&amp;"[wk]")=L$6))),(SUM(INDIRECT($E8&amp;"["&amp;$E9&amp;"]")*(INDIRECT($E8&amp;"[yr]")=L$5-1)*(INDIRECT($E8&amp;"[wk]")=L$6)*(INDIRECT($E8&amp;"[siteflag]")=$G$2)))))-1,0)</f>
        <v>3.476031057284823E-2</v>
      </c>
      <c r="M9" s="50">
        <f t="array" aca="1" ref="M9" ca="1">IFERROR(M8/(IF($G$2=0,(SUM(INDIRECT($E8&amp;"["&amp;$F9&amp;"]")*(INDIRECT($E8&amp;"[yr]")=M$5-1)*(INDIRECT($E8&amp;"[wk]")=M$6))/SUM(INDIRECT($E8&amp;"["&amp;$F8&amp;"]")*(INDIRECT($E8&amp;"[yr]")=M$5-1)*(INDIRECT($E8&amp;"[wk]")=M$6))),(SUM(INDIRECT($E8&amp;"["&amp;$E9&amp;"]")*(INDIRECT($E8&amp;"[yr]")=M$5-1)*(INDIRECT($E8&amp;"[wk]")=M$6)*(INDIRECT($E8&amp;"[siteflag]")=$G$2)))))-1,0)</f>
        <v>4.6638216466407645E-2</v>
      </c>
      <c r="N9" s="50">
        <f t="array" aca="1" ref="N9" ca="1">IFERROR(N8/(IF($G$2=0,(SUM(INDIRECT($E8&amp;"["&amp;$F9&amp;"]")*(INDIRECT($E8&amp;"[yr]")=N$5-1)*(INDIRECT($E8&amp;"[wk]")=N$6))/SUM(INDIRECT($E8&amp;"["&amp;$F8&amp;"]")*(INDIRECT($E8&amp;"[yr]")=N$5-1)*(INDIRECT($E8&amp;"[wk]")=N$6))),(SUM(INDIRECT($E8&amp;"["&amp;$E9&amp;"]")*(INDIRECT($E8&amp;"[yr]")=N$5-1)*(INDIRECT($E8&amp;"[wk]")=N$6)*(INDIRECT($E8&amp;"[siteflag]")=$G$2)))))-1,0)</f>
        <v>0.14521021318527483</v>
      </c>
      <c r="O9" s="50">
        <f t="array" aca="1" ref="O9" ca="1">IFERROR(O8/(IF($G$2=0,(SUM(INDIRECT($E8&amp;"["&amp;$F9&amp;"]")*(INDIRECT($E8&amp;"[yr]")=O$5-1)*(INDIRECT($E8&amp;"[wk]")=O$6))/SUM(INDIRECT($E8&amp;"["&amp;$F8&amp;"]")*(INDIRECT($E8&amp;"[yr]")=O$5-1)*(INDIRECT($E8&amp;"[wk]")=O$6))),(SUM(INDIRECT($E8&amp;"["&amp;$E9&amp;"]")*(INDIRECT($E8&amp;"[yr]")=O$5-1)*(INDIRECT($E8&amp;"[wk]")=O$6)*(INDIRECT($E8&amp;"[siteflag]")=$G$2)))))-1,0)</f>
        <v>2.7986222159852137E-2</v>
      </c>
      <c r="P9" s="54">
        <f t="array" aca="1" ref="P9" ca="1">IFERROR(P8/(IF($G$2=0,(SUM(INDIRECT($E8&amp;"["&amp;$F9&amp;"]")*(INDIRECT($E8&amp;"[yr]")=P$5-1)*(INDIRECT($E8&amp;"[wk]")=P$6))/SUM(INDIRECT($E8&amp;"["&amp;$F8&amp;"]")*(INDIRECT($E8&amp;"[yr]")=P$5-1)*(INDIRECT($E8&amp;"[wk]")=P$6))),(SUM(INDIRECT($E8&amp;"["&amp;$E9&amp;"]")*(INDIRECT($E8&amp;"[yr]")=P$5-1)*(INDIRECT($E8&amp;"[wk]")=P$6)*(INDIRECT($E8&amp;"[siteflag]")=$G$2)))))-1,0)</f>
        <v>3.6237988298564394E-2</v>
      </c>
      <c r="Q9" s="50">
        <f t="array" aca="1" ref="Q9" ca="1">IFERROR(Q8/(IF($G$2=0,(SUM(INDIRECT($E8&amp;"["&amp;$F9&amp;"]")*(INDIRECT($E8&amp;"[yr]")=Q$5-1)*(INDIRECT($E8&amp;"[wk]")=Q$6))/SUM(INDIRECT($E8&amp;"["&amp;$F8&amp;"]")*(INDIRECT($E8&amp;"[yr]")=Q$5-1)*(INDIRECT($E8&amp;"[wk]")=Q$6))),(SUM(INDIRECT($E8&amp;"["&amp;$E9&amp;"]")*(INDIRECT($E8&amp;"[yr]")=Q$5-1)*(INDIRECT($E8&amp;"[wk]")=Q$6)*(INDIRECT($E8&amp;"[siteflag]")=$G$2)))))-1,0)</f>
        <v>7.1696917348766709E-2</v>
      </c>
      <c r="R9" s="50">
        <f t="array" aca="1" ref="R9" ca="1">IFERROR(R8/(IF($G$2=0,(SUM(INDIRECT($E8&amp;"["&amp;$F9&amp;"]")*(INDIRECT($E8&amp;"[yr]")=R$5-1)*(INDIRECT($E8&amp;"[wk]")=R$6))/SUM(INDIRECT($E8&amp;"["&amp;$F8&amp;"]")*(INDIRECT($E8&amp;"[yr]")=R$5-1)*(INDIRECT($E8&amp;"[wk]")=R$6))),(SUM(INDIRECT($E8&amp;"["&amp;$E9&amp;"]")*(INDIRECT($E8&amp;"[yr]")=R$5-1)*(INDIRECT($E8&amp;"[wk]")=R$6)*(INDIRECT($E8&amp;"[siteflag]")=$G$2)))))-1,0)</f>
        <v>4.3119019354824095E-2</v>
      </c>
      <c r="S9" s="66">
        <f t="array" aca="1" ref="S9" ca="1">IFERROR(S8/(IF($G$2=0,(SUM(INDIRECT($E8&amp;"["&amp;$F9&amp;"]")*(INDIRECT($E8&amp;"[yr]")=S$5-1)*(INDIRECT($E8&amp;"[wk]")=S$6))/SUM(INDIRECT($E8&amp;"["&amp;$F8&amp;"]")*(INDIRECT($E8&amp;"[yr]")=S$5-1)*(INDIRECT($E8&amp;"[wk]")=S$6))),(SUM(INDIRECT($E8&amp;"["&amp;$E9&amp;"]")*(INDIRECT($E8&amp;"[yr]")=S$5-1)*(INDIRECT($E8&amp;"[wk]")=S$6)*(INDIRECT($E8&amp;"[siteflag]")=$G$2)))))-1,0)</f>
        <v>1.2937668241087996E-2</v>
      </c>
      <c r="T9" s="50">
        <f t="array" aca="1" ref="T9" ca="1">IFERROR(T8/(IF($G$2=0,(SUM(INDIRECT($E8&amp;"["&amp;$F9&amp;"]")*(INDIRECT($E8&amp;"[yr]")=T$5-1)*(INDIRECT($E8&amp;"[wk]")=T$6))/SUM(INDIRECT($E8&amp;"["&amp;$F8&amp;"]")*(INDIRECT($E8&amp;"[yr]")=T$5-1)*(INDIRECT($E8&amp;"[wk]")=T$6))),(SUM(INDIRECT($E8&amp;"["&amp;$E9&amp;"]")*(INDIRECT($E8&amp;"[yr]")=T$5-1)*(INDIRECT($E8&amp;"[wk]")=T$6)*(INDIRECT($E8&amp;"[siteflag]")=$G$2)))))-1,0)</f>
        <v>5.5860746995851862E-2</v>
      </c>
      <c r="U9" s="53">
        <f t="array" aca="1" ref="U9" ca="1">SUM(Q9:T9*Q66:T66)/SUM(Q66:T66)</f>
        <v>4.5560782711879411E-2</v>
      </c>
      <c r="V9" s="54"/>
      <c r="W9" s="55"/>
      <c r="X9" s="56"/>
    </row>
    <row r="10" spans="2:24" ht="3" customHeight="1" x14ac:dyDescent="0.4">
      <c r="B10" s="329"/>
      <c r="D10" s="61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61"/>
      <c r="Q10" s="57"/>
      <c r="R10" s="57"/>
      <c r="S10" s="149"/>
      <c r="T10" s="149"/>
      <c r="U10" s="60"/>
      <c r="V10" s="61"/>
      <c r="W10" s="62"/>
      <c r="X10" s="61"/>
    </row>
    <row r="11" spans="2:24" ht="14.15" customHeight="1" x14ac:dyDescent="0.4">
      <c r="B11" s="329"/>
      <c r="D11" s="203" t="s">
        <v>528</v>
      </c>
      <c r="E11" t="s">
        <v>514</v>
      </c>
      <c r="F11" t="s">
        <v>291</v>
      </c>
      <c r="I11" s="45">
        <f t="array" aca="1" ref="I11" ca="1">IFERROR(IF($G$2=0,(SUM(INDIRECT($E11&amp;"["&amp;$F12&amp;"]")*(INDIRECT($E11&amp;"[yr]")=I$5)*(INDIRECT($E11&amp;"[wk]")=I$6))/SUM(INDIRECT($E11&amp;"["&amp;$F11&amp;"]")*(INDIRECT($E11&amp;"[yr]")=I$5)*(INDIRECT($E11&amp;"[wk]")=I$6))),(SUM(INDIRECT($E11&amp;"["&amp;$E12&amp;"]")*(INDIRECT($E11&amp;"[yr]")=I$5)*(INDIRECT($E11&amp;"[wk]")=I$6)*(INDIRECT($E11&amp;"[siteflag]")=$G$2)))),0)</f>
        <v>0.96038131147849015</v>
      </c>
      <c r="J11" s="45">
        <f t="array" aca="1" ref="J11" ca="1">IFERROR(IF($G$2=0,(SUM(INDIRECT($E11&amp;"["&amp;$F12&amp;"]")*(INDIRECT($E11&amp;"[yr]")=J$5)*(INDIRECT($E11&amp;"[wk]")=J$6))/SUM(INDIRECT($E11&amp;"["&amp;$F11&amp;"]")*(INDIRECT($E11&amp;"[yr]")=J$5)*(INDIRECT($E11&amp;"[wk]")=J$6))),(SUM(INDIRECT($E11&amp;"["&amp;$E12&amp;"]")*(INDIRECT($E11&amp;"[yr]")=J$5)*(INDIRECT($E11&amp;"[wk]")=J$6)*(INDIRECT($E11&amp;"[siteflag]")=$G$2)))),0)</f>
        <v>0.98729908033496205</v>
      </c>
      <c r="K11" s="45">
        <f t="array" aca="1" ref="K11" ca="1">IFERROR(IF($G$2=0,(SUM(INDIRECT($E11&amp;"["&amp;$F12&amp;"]")*(INDIRECT($E11&amp;"[yr]")=K$5)*(INDIRECT($E11&amp;"[wk]")=K$6))/SUM(INDIRECT($E11&amp;"["&amp;$F11&amp;"]")*(INDIRECT($E11&amp;"[yr]")=K$5)*(INDIRECT($E11&amp;"[wk]")=K$6))),(SUM(INDIRECT($E11&amp;"["&amp;$E12&amp;"]")*(INDIRECT($E11&amp;"[yr]")=K$5)*(INDIRECT($E11&amp;"[wk]")=K$6)*(INDIRECT($E11&amp;"[siteflag]")=$G$2)))),0)</f>
        <v>0.9959765883551609</v>
      </c>
      <c r="L11" s="45">
        <f t="array" aca="1" ref="L11" ca="1">IFERROR(IF($G$2=0,(SUM(INDIRECT($E11&amp;"["&amp;$F12&amp;"]")*(INDIRECT($E11&amp;"[yr]")=L$5)*(INDIRECT($E11&amp;"[wk]")=L$6))/SUM(INDIRECT($E11&amp;"["&amp;$F11&amp;"]")*(INDIRECT($E11&amp;"[yr]")=L$5)*(INDIRECT($E11&amp;"[wk]")=L$6))),(SUM(INDIRECT($E11&amp;"["&amp;$E12&amp;"]")*(INDIRECT($E11&amp;"[yr]")=L$5)*(INDIRECT($E11&amp;"[wk]")=L$6)*(INDIRECT($E11&amp;"[siteflag]")=$G$2)))),0)</f>
        <v>0.9966300278713881</v>
      </c>
      <c r="M11" s="45">
        <f t="array" aca="1" ref="M11" ca="1">IFERROR(IF($G$2=0,(SUM(INDIRECT($E11&amp;"["&amp;$F12&amp;"]")*(INDIRECT($E11&amp;"[yr]")=M$5)*(INDIRECT($E11&amp;"[wk]")=M$6))/SUM(INDIRECT($E11&amp;"["&amp;$F11&amp;"]")*(INDIRECT($E11&amp;"[yr]")=M$5)*(INDIRECT($E11&amp;"[wk]")=M$6))),(SUM(INDIRECT($E11&amp;"["&amp;$E12&amp;"]")*(INDIRECT($E11&amp;"[yr]")=M$5)*(INDIRECT($E11&amp;"[wk]")=M$6)*(INDIRECT($E11&amp;"[siteflag]")=$G$2)))),0)</f>
        <v>0.99507381517029014</v>
      </c>
      <c r="N11" s="45">
        <f t="array" aca="1" ref="N11" ca="1">IFERROR(IF($G$2=0,(SUM(INDIRECT($E11&amp;"["&amp;$F12&amp;"]")*(INDIRECT($E11&amp;"[yr]")=N$5)*(INDIRECT($E11&amp;"[wk]")=N$6))/SUM(INDIRECT($E11&amp;"["&amp;$F11&amp;"]")*(INDIRECT($E11&amp;"[yr]")=N$5)*(INDIRECT($E11&amp;"[wk]")=N$6))),(SUM(INDIRECT($E11&amp;"["&amp;$E12&amp;"]")*(INDIRECT($E11&amp;"[yr]")=N$5)*(INDIRECT($E11&amp;"[wk]")=N$6)*(INDIRECT($E11&amp;"[siteflag]")=$G$2)))),0)</f>
        <v>0.98939321897516552</v>
      </c>
      <c r="O11" s="45">
        <f t="array" aca="1" ref="O11" ca="1">IFERROR(IF($G$2=0,(SUM(INDIRECT($E11&amp;"["&amp;$F12&amp;"]")*(INDIRECT($E11&amp;"[yr]")=O$5)*(INDIRECT($E11&amp;"[wk]")=O$6))/SUM(INDIRECT($E11&amp;"["&amp;$F11&amp;"]")*(INDIRECT($E11&amp;"[yr]")=O$5)*(INDIRECT($E11&amp;"[wk]")=O$6))),(SUM(INDIRECT($E11&amp;"["&amp;$E12&amp;"]")*(INDIRECT($E11&amp;"[yr]")=O$5)*(INDIRECT($E11&amp;"[wk]")=O$6)*(INDIRECT($E11&amp;"[siteflag]")=$G$2)))),0)</f>
        <v>0.98606719208976068</v>
      </c>
      <c r="P11" s="89">
        <f t="array" aca="1" ref="P11" ca="1">IFERROR(IF($G$2=0,(SUM(INDIRECT($E11&amp;"["&amp;$F12&amp;"]")*(INDIRECT($E11&amp;"[yr]")=P$5)*(INDIRECT($E11&amp;"[wk]")=P$6))/SUM(INDIRECT($E11&amp;"["&amp;$F11&amp;"]")*(INDIRECT($E11&amp;"[yr]")=P$5)*(INDIRECT($E11&amp;"[wk]")=P$6))),(SUM(INDIRECT($E11&amp;"["&amp;$E12&amp;"]")*(INDIRECT($E11&amp;"[yr]")=P$5)*(INDIRECT($E11&amp;"[wk]")=P$6)*(INDIRECT($E11&amp;"[siteflag]")=$G$2)))),0)</f>
        <v>0.98835187273165837</v>
      </c>
      <c r="Q11" s="45">
        <f t="array" aca="1" ref="Q11" ca="1">IFERROR(IF($G$2=0,(SUM(INDIRECT($E11&amp;"["&amp;$F12&amp;"]")*(INDIRECT($E11&amp;"[yr]")=Q$5)*(INDIRECT($E11&amp;"[wk]")=Q$6))/SUM(INDIRECT($E11&amp;"["&amp;$F11&amp;"]")*(INDIRECT($E11&amp;"[yr]")=Q$5)*(INDIRECT($E11&amp;"[wk]")=Q$6))),(SUM(INDIRECT($E11&amp;"["&amp;$E12&amp;"]")*(INDIRECT($E11&amp;"[yr]")=Q$5)*(INDIRECT($E11&amp;"[wk]")=Q$6)*(INDIRECT($E11&amp;"[siteflag]")=$G$2)))),0)</f>
        <v>0.98201385694171439</v>
      </c>
      <c r="R11" s="45">
        <f t="array" aca="1" ref="R11" ca="1">IFERROR(IF($G$2=0,(SUM(INDIRECT($E11&amp;"["&amp;$F12&amp;"]")*(INDIRECT($E11&amp;"[yr]")=R$5)*(INDIRECT($E11&amp;"[wk]")=R$6))/SUM(INDIRECT($E11&amp;"["&amp;$F11&amp;"]")*(INDIRECT($E11&amp;"[yr]")=R$5)*(INDIRECT($E11&amp;"[wk]")=R$6))),(SUM(INDIRECT($E11&amp;"["&amp;$E12&amp;"]")*(INDIRECT($E11&amp;"[yr]")=R$5)*(INDIRECT($E11&amp;"[wk]")=R$6)*(INDIRECT($E11&amp;"[siteflag]")=$G$2)))),0)</f>
        <v>0.9906436885087776</v>
      </c>
      <c r="S11" s="164">
        <f t="array" aca="1" ref="S11" ca="1">IFERROR(IF($G$2=0,(SUM(INDIRECT($E11&amp;"["&amp;$F12&amp;"]")*(INDIRECT($E11&amp;"[yr]")=S$5)*(INDIRECT($E11&amp;"[wk]")=S$6))/SUM(INDIRECT($E11&amp;"["&amp;$F11&amp;"]")*(INDIRECT($E11&amp;"[yr]")=S$5)*(INDIRECT($E11&amp;"[wk]")=S$6))),(SUM(INDIRECT($E11&amp;"["&amp;$E12&amp;"]")*(INDIRECT($E11&amp;"[yr]")=S$5)*(INDIRECT($E11&amp;"[wk]")=S$6)*(INDIRECT($E11&amp;"[siteflag]")=$G$2)))),0)</f>
        <v>0.9842938586995742</v>
      </c>
      <c r="T11" s="162">
        <f t="array" aca="1" ref="T11" ca="1">IFERROR(IF($G$2=0,(SUM(INDIRECT($E11&amp;"["&amp;$F12&amp;"]")*(INDIRECT($E11&amp;"[yr]")=T$5)*(INDIRECT($E11&amp;"[wk]")=T$6))/SUM(INDIRECT($E11&amp;"["&amp;$F11&amp;"]")*(INDIRECT($E11&amp;"[yr]")=T$5)*(INDIRECT($E11&amp;"[wk]")=T$6))),(SUM(INDIRECT($E11&amp;"["&amp;$E12&amp;"]")*(INDIRECT($E11&amp;"[yr]")=T$5)*(INDIRECT($E11&amp;"[wk]")=T$6)*(INDIRECT($E11&amp;"[siteflag]")=$G$2)))),0)</f>
        <v>0.91051216348739361</v>
      </c>
      <c r="U11" s="46">
        <f t="array" aca="1" ref="U11" ca="1">SUM(Q11:T11*Q66:T66)/SUM(Q66:T66)</f>
        <v>0.97030473131156625</v>
      </c>
      <c r="V11" s="47">
        <f ca="1">SUM(T11/S11)-1</f>
        <v>-7.4959012047133178E-2</v>
      </c>
      <c r="W11" s="48">
        <v>0.995</v>
      </c>
      <c r="X11" s="49"/>
    </row>
    <row r="12" spans="2:24" ht="14.15" customHeight="1" x14ac:dyDescent="0.4">
      <c r="B12" s="329"/>
      <c r="D12" s="202" t="s">
        <v>67</v>
      </c>
      <c r="E12" s="40"/>
      <c r="F12" s="40" t="s">
        <v>372</v>
      </c>
      <c r="G12" s="40"/>
      <c r="H12" s="40"/>
      <c r="I12" s="50">
        <f t="array" aca="1" ref="I12" ca="1">IFERROR(I11/(IF($G$2=0,(SUM(INDIRECT($E11&amp;"["&amp;$F12&amp;"]")*(INDIRECT($E11&amp;"[yr]")=I$5-1)*(INDIRECT($E11&amp;"[wk]")=I$6))/SUM(INDIRECT($E11&amp;"["&amp;$F11&amp;"]")*(INDIRECT($E11&amp;"[yr]")=I$5-1)*(INDIRECT($E11&amp;"[wk]")=I$6))),(SUM(INDIRECT($E11&amp;"["&amp;$E12&amp;"]")*(INDIRECT($E11&amp;"[yr]")=I$5-1)*(INDIRECT($E11&amp;"[wk]")=I$6)*(INDIRECT($E11&amp;"[siteflag]")=$G$2)))))-1,0)</f>
        <v>-2.658921180444096E-2</v>
      </c>
      <c r="J12" s="50">
        <f t="array" aca="1" ref="J12" ca="1">IFERROR(J11/(IF($G$2=0,(SUM(INDIRECT($E11&amp;"["&amp;$F12&amp;"]")*(INDIRECT($E11&amp;"[yr]")=J$5-1)*(INDIRECT($E11&amp;"[wk]")=J$6))/SUM(INDIRECT($E11&amp;"["&amp;$F11&amp;"]")*(INDIRECT($E11&amp;"[yr]")=J$5-1)*(INDIRECT($E11&amp;"[wk]")=J$6))),(SUM(INDIRECT($E11&amp;"["&amp;$E12&amp;"]")*(INDIRECT($E11&amp;"[yr]")=J$5-1)*(INDIRECT($E11&amp;"[wk]")=J$6)*(INDIRECT($E11&amp;"[siteflag]")=$G$2)))))-1,0)</f>
        <v>-4.3223270275994929E-3</v>
      </c>
      <c r="K12" s="50">
        <f t="array" aca="1" ref="K12" ca="1">IFERROR(K11/(IF($G$2=0,(SUM(INDIRECT($E11&amp;"["&amp;$F12&amp;"]")*(INDIRECT($E11&amp;"[yr]")=K$5-1)*(INDIRECT($E11&amp;"[wk]")=K$6))/SUM(INDIRECT($E11&amp;"["&amp;$F11&amp;"]")*(INDIRECT($E11&amp;"[yr]")=K$5-1)*(INDIRECT($E11&amp;"[wk]")=K$6))),(SUM(INDIRECT($E11&amp;"["&amp;$E12&amp;"]")*(INDIRECT($E11&amp;"[yr]")=K$5-1)*(INDIRECT($E11&amp;"[wk]")=K$6)*(INDIRECT($E11&amp;"[siteflag]")=$G$2)))))-1,0)</f>
        <v>2.2004571950345442E-2</v>
      </c>
      <c r="L12" s="50">
        <f t="array" aca="1" ref="L12" ca="1">IFERROR(L11/(IF($G$2=0,(SUM(INDIRECT($E11&amp;"["&amp;$F12&amp;"]")*(INDIRECT($E11&amp;"[yr]")=L$5-1)*(INDIRECT($E11&amp;"[wk]")=L$6))/SUM(INDIRECT($E11&amp;"["&amp;$F11&amp;"]")*(INDIRECT($E11&amp;"[yr]")=L$5-1)*(INDIRECT($E11&amp;"[wk]")=L$6))),(SUM(INDIRECT($E11&amp;"["&amp;$E12&amp;"]")*(INDIRECT($E11&amp;"[yr]")=L$5-1)*(INDIRECT($E11&amp;"[wk]")=L$6)*(INDIRECT($E11&amp;"[siteflag]")=$G$2)))))-1,0)</f>
        <v>2.9537314700272876E-2</v>
      </c>
      <c r="M12" s="50">
        <f t="array" aca="1" ref="M12" ca="1">IFERROR(M11/(IF($G$2=0,(SUM(INDIRECT($E11&amp;"["&amp;$F12&amp;"]")*(INDIRECT($E11&amp;"[yr]")=M$5-1)*(INDIRECT($E11&amp;"[wk]")=M$6))/SUM(INDIRECT($E11&amp;"["&amp;$F11&amp;"]")*(INDIRECT($E11&amp;"[yr]")=M$5-1)*(INDIRECT($E11&amp;"[wk]")=M$6))),(SUM(INDIRECT($E11&amp;"["&amp;$E12&amp;"]")*(INDIRECT($E11&amp;"[yr]")=M$5-1)*(INDIRECT($E11&amp;"[wk]")=M$6)*(INDIRECT($E11&amp;"[siteflag]")=$G$2)))))-1,0)</f>
        <v>1.7583147615690464E-2</v>
      </c>
      <c r="N12" s="50">
        <f t="array" aca="1" ref="N12" ca="1">IFERROR(N11/(IF($G$2=0,(SUM(INDIRECT($E11&amp;"["&amp;$F12&amp;"]")*(INDIRECT($E11&amp;"[yr]")=N$5-1)*(INDIRECT($E11&amp;"[wk]")=N$6))/SUM(INDIRECT($E11&amp;"["&amp;$F11&amp;"]")*(INDIRECT($E11&amp;"[yr]")=N$5-1)*(INDIRECT($E11&amp;"[wk]")=N$6))),(SUM(INDIRECT($E11&amp;"["&amp;$E12&amp;"]")*(INDIRECT($E11&amp;"[yr]")=N$5-1)*(INDIRECT($E11&amp;"[wk]")=N$6)*(INDIRECT($E11&amp;"[siteflag]")=$G$2)))))-1,0)</f>
        <v>0.10969074138828883</v>
      </c>
      <c r="O12" s="50">
        <f t="array" aca="1" ref="O12" ca="1">IFERROR(O11/(IF($G$2=0,(SUM(INDIRECT($E11&amp;"["&amp;$F12&amp;"]")*(INDIRECT($E11&amp;"[yr]")=O$5-1)*(INDIRECT($E11&amp;"[wk]")=O$6))/SUM(INDIRECT($E11&amp;"["&amp;$F11&amp;"]")*(INDIRECT($E11&amp;"[yr]")=O$5-1)*(INDIRECT($E11&amp;"[wk]")=O$6))),(SUM(INDIRECT($E11&amp;"["&amp;$E12&amp;"]")*(INDIRECT($E11&amp;"[yr]")=O$5-1)*(INDIRECT($E11&amp;"[wk]")=O$6)*(INDIRECT($E11&amp;"[siteflag]")=$G$2)))))-1,0)</f>
        <v>2.8902504385796668E-2</v>
      </c>
      <c r="P12" s="54">
        <f t="array" aca="1" ref="P12" ca="1">IFERROR(P11/(IF($G$2=0,(SUM(INDIRECT($E11&amp;"["&amp;$F12&amp;"]")*(INDIRECT($E11&amp;"[yr]")=P$5-1)*(INDIRECT($E11&amp;"[wk]")=P$6))/SUM(INDIRECT($E11&amp;"["&amp;$F11&amp;"]")*(INDIRECT($E11&amp;"[yr]")=P$5-1)*(INDIRECT($E11&amp;"[wk]")=P$6))),(SUM(INDIRECT($E11&amp;"["&amp;$E12&amp;"]")*(INDIRECT($E11&amp;"[yr]")=P$5-1)*(INDIRECT($E11&amp;"[wk]")=P$6)*(INDIRECT($E11&amp;"[siteflag]")=$G$2)))))-1,0)</f>
        <v>1.6017874515523944E-2</v>
      </c>
      <c r="Q12" s="50">
        <f t="array" aca="1" ref="Q12" ca="1">IFERROR(Q11/(IF($G$2=0,(SUM(INDIRECT($E11&amp;"["&amp;$F12&amp;"]")*(INDIRECT($E11&amp;"[yr]")=Q$5-1)*(INDIRECT($E11&amp;"[wk]")=Q$6))/SUM(INDIRECT($E11&amp;"["&amp;$F11&amp;"]")*(INDIRECT($E11&amp;"[yr]")=Q$5-1)*(INDIRECT($E11&amp;"[wk]")=Q$6))),(SUM(INDIRECT($E11&amp;"["&amp;$E12&amp;"]")*(INDIRECT($E11&amp;"[yr]")=Q$5-1)*(INDIRECT($E11&amp;"[wk]")=Q$6)*(INDIRECT($E11&amp;"[siteflag]")=$G$2)))))-1,0)</f>
        <v>4.8372551892894577E-2</v>
      </c>
      <c r="R12" s="50">
        <f t="array" aca="1" ref="R12" ca="1">IFERROR(R11/(IF($G$2=0,(SUM(INDIRECT($E11&amp;"["&amp;$F12&amp;"]")*(INDIRECT($E11&amp;"[yr]")=R$5-1)*(INDIRECT($E11&amp;"[wk]")=R$6))/SUM(INDIRECT($E11&amp;"["&amp;$F11&amp;"]")*(INDIRECT($E11&amp;"[yr]")=R$5-1)*(INDIRECT($E11&amp;"[wk]")=R$6))),(SUM(INDIRECT($E11&amp;"["&amp;$E12&amp;"]")*(INDIRECT($E11&amp;"[yr]")=R$5-1)*(INDIRECT($E11&amp;"[wk]")=R$6)*(INDIRECT($E11&amp;"[siteflag]")=$G$2)))))-1,0)</f>
        <v>3.0198195487527668E-2</v>
      </c>
      <c r="S12" s="66">
        <f t="array" aca="1" ref="S12" ca="1">IFERROR(S11/(IF($G$2=0,(SUM(INDIRECT($E11&amp;"["&amp;$F12&amp;"]")*(INDIRECT($E11&amp;"[yr]")=S$5-1)*(INDIRECT($E11&amp;"[wk]")=S$6))/SUM(INDIRECT($E11&amp;"["&amp;$F11&amp;"]")*(INDIRECT($E11&amp;"[yr]")=S$5-1)*(INDIRECT($E11&amp;"[wk]")=S$6))),(SUM(INDIRECT($E11&amp;"["&amp;$E12&amp;"]")*(INDIRECT($E11&amp;"[yr]")=S$5-1)*(INDIRECT($E11&amp;"[wk]")=S$6)*(INDIRECT($E11&amp;"[siteflag]")=$G$2)))))-1,0)</f>
        <v>1.3135231709192841E-2</v>
      </c>
      <c r="T12" s="50">
        <f t="array" aca="1" ref="T12" ca="1">IFERROR(T11/(IF($G$2=0,(SUM(INDIRECT($E11&amp;"["&amp;$F12&amp;"]")*(INDIRECT($E11&amp;"[yr]")=T$5-1)*(INDIRECT($E11&amp;"[wk]")=T$6))/SUM(INDIRECT($E11&amp;"["&amp;$F11&amp;"]")*(INDIRECT($E11&amp;"[yr]")=T$5-1)*(INDIRECT($E11&amp;"[wk]")=T$6))),(SUM(INDIRECT($E11&amp;"["&amp;$E12&amp;"]")*(INDIRECT($E11&amp;"[yr]")=T$5-1)*(INDIRECT($E11&amp;"[wk]")=T$6)*(INDIRECT($E11&amp;"[siteflag]")=$G$2)))))-1,0)</f>
        <v>-1.5970600228882859E-2</v>
      </c>
      <c r="U12" s="53">
        <f t="array" aca="1" ref="U12" ca="1">SUM(Q12:T12*Q66:T66)/SUM(Q66:T66)</f>
        <v>2.1370907208457302E-2</v>
      </c>
      <c r="V12" s="54"/>
      <c r="W12" s="55"/>
      <c r="X12" s="56"/>
    </row>
    <row r="13" spans="2:24" ht="3" customHeight="1" x14ac:dyDescent="0.4">
      <c r="B13" s="329"/>
      <c r="D13" s="61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61"/>
      <c r="Q13" s="57"/>
      <c r="R13" s="57"/>
      <c r="S13" s="149"/>
      <c r="T13" s="149"/>
      <c r="U13" s="60"/>
      <c r="V13" s="61"/>
      <c r="W13" s="62"/>
      <c r="X13" s="61"/>
    </row>
    <row r="14" spans="2:24" ht="14.15" customHeight="1" x14ac:dyDescent="0.4">
      <c r="B14" s="329"/>
      <c r="D14" s="270" t="s">
        <v>529</v>
      </c>
      <c r="E14" t="s">
        <v>517</v>
      </c>
      <c r="F14" t="s">
        <v>291</v>
      </c>
      <c r="I14" s="45">
        <f t="array" aca="1" ref="I14" ca="1">IFERROR(IF($G$2=0,(SUM(INDIRECT($E14&amp;"["&amp;$F15&amp;"]")*(INDIRECT($E14&amp;"[yr]")=I$5)*(INDIRECT($E14&amp;"[wk]")=I$6))/SUM(INDIRECT($E14&amp;"["&amp;$F14&amp;"]")*(INDIRECT($E14&amp;"[yr]")=I$5)*(INDIRECT($E14&amp;"[wk]")=I$6))),(SUM(INDIRECT($E14&amp;"["&amp;$E15&amp;"]")*(INDIRECT($E14&amp;"[yr]")=I$5)*(INDIRECT($E14&amp;"[wk]")=I$6)*(INDIRECT($E14&amp;"[siteflag]")=$G$2)))),0)</f>
        <v>0.93257413997627525</v>
      </c>
      <c r="J14" s="45">
        <f t="array" aca="1" ref="J14" ca="1">IFERROR(IF($G$2=0,(SUM(INDIRECT($E14&amp;"["&amp;$F15&amp;"]")*(INDIRECT($E14&amp;"[yr]")=J$5)*(INDIRECT($E14&amp;"[wk]")=J$6))/SUM(INDIRECT($E14&amp;"["&amp;$F14&amp;"]")*(INDIRECT($E14&amp;"[yr]")=J$5)*(INDIRECT($E14&amp;"[wk]")=J$6))),(SUM(INDIRECT($E14&amp;"["&amp;$E15&amp;"]")*(INDIRECT($E14&amp;"[yr]")=J$5)*(INDIRECT($E14&amp;"[wk]")=J$6)*(INDIRECT($E14&amp;"[siteflag]")=$G$2)))),0)</f>
        <v>0.94484542051024745</v>
      </c>
      <c r="K14" s="45">
        <f t="array" aca="1" ref="K14" ca="1">IFERROR(IF($G$2=0,(SUM(INDIRECT($E14&amp;"["&amp;$F15&amp;"]")*(INDIRECT($E14&amp;"[yr]")=K$5)*(INDIRECT($E14&amp;"[wk]")=K$6))/SUM(INDIRECT($E14&amp;"["&amp;$F14&amp;"]")*(INDIRECT($E14&amp;"[yr]")=K$5)*(INDIRECT($E14&amp;"[wk]")=K$6))),(SUM(INDIRECT($E14&amp;"["&amp;$E15&amp;"]")*(INDIRECT($E14&amp;"[yr]")=K$5)*(INDIRECT($E14&amp;"[wk]")=K$6)*(INDIRECT($E14&amp;"[siteflag]")=$G$2)))),0)</f>
        <v>0.9815033725053891</v>
      </c>
      <c r="L14" s="45">
        <f t="array" aca="1" ref="L14" ca="1">IFERROR(IF($G$2=0,(SUM(INDIRECT($E14&amp;"["&amp;$F15&amp;"]")*(INDIRECT($E14&amp;"[yr]")=L$5)*(INDIRECT($E14&amp;"[wk]")=L$6))/SUM(INDIRECT($E14&amp;"["&amp;$F14&amp;"]")*(INDIRECT($E14&amp;"[yr]")=L$5)*(INDIRECT($E14&amp;"[wk]")=L$6))),(SUM(INDIRECT($E14&amp;"["&amp;$E15&amp;"]")*(INDIRECT($E14&amp;"[yr]")=L$5)*(INDIRECT($E14&amp;"[wk]")=L$6)*(INDIRECT($E14&amp;"[siteflag]")=$G$2)))),0)</f>
        <v>0.96700724927221871</v>
      </c>
      <c r="M14" s="45">
        <f t="array" aca="1" ref="M14" ca="1">IFERROR(IF($G$2=0,(SUM(INDIRECT($E14&amp;"["&amp;$F15&amp;"]")*(INDIRECT($E14&amp;"[yr]")=M$5)*(INDIRECT($E14&amp;"[wk]")=M$6))/SUM(INDIRECT($E14&amp;"["&amp;$F14&amp;"]")*(INDIRECT($E14&amp;"[yr]")=M$5)*(INDIRECT($E14&amp;"[wk]")=M$6))),(SUM(INDIRECT($E14&amp;"["&amp;$E15&amp;"]")*(INDIRECT($E14&amp;"[yr]")=M$5)*(INDIRECT($E14&amp;"[wk]")=M$6)*(INDIRECT($E14&amp;"[siteflag]")=$G$2)))),0)</f>
        <v>0.96111714201125042</v>
      </c>
      <c r="N14" s="45">
        <f t="array" aca="1" ref="N14" ca="1">IFERROR(IF($G$2=0,(SUM(INDIRECT($E14&amp;"["&amp;$F15&amp;"]")*(INDIRECT($E14&amp;"[yr]")=N$5)*(INDIRECT($E14&amp;"[wk]")=N$6))/SUM(INDIRECT($E14&amp;"["&amp;$F14&amp;"]")*(INDIRECT($E14&amp;"[yr]")=N$5)*(INDIRECT($E14&amp;"[wk]")=N$6))),(SUM(INDIRECT($E14&amp;"["&amp;$E15&amp;"]")*(INDIRECT($E14&amp;"[yr]")=N$5)*(INDIRECT($E14&amp;"[wk]")=N$6)*(INDIRECT($E14&amp;"[siteflag]")=$G$2)))),0)</f>
        <v>0.94891503267973853</v>
      </c>
      <c r="O14" s="45">
        <f t="array" aca="1" ref="O14" ca="1">IFERROR(IF($G$2=0,(SUM(INDIRECT($E14&amp;"["&amp;$F15&amp;"]")*(INDIRECT($E14&amp;"[yr]")=O$5)*(INDIRECT($E14&amp;"[wk]")=O$6))/SUM(INDIRECT($E14&amp;"["&amp;$F14&amp;"]")*(INDIRECT($E14&amp;"[yr]")=O$5)*(INDIRECT($E14&amp;"[wk]")=O$6))),(SUM(INDIRECT($E14&amp;"["&amp;$E15&amp;"]")*(INDIRECT($E14&amp;"[yr]")=O$5)*(INDIRECT($E14&amp;"[wk]")=O$6)*(INDIRECT($E14&amp;"[siteflag]")=$G$2)))),0)</f>
        <v>0.93575881550750051</v>
      </c>
      <c r="P14" s="47">
        <f t="array" aca="1" ref="P14" ca="1">IFERROR(IF($G$2=0,(SUM(INDIRECT($E14&amp;"["&amp;$F15&amp;"]")*(INDIRECT($E14&amp;"[yr]")=P$5)*(INDIRECT($E14&amp;"[wk]")=P$6))/SUM(INDIRECT($E14&amp;"["&amp;$F14&amp;"]")*(INDIRECT($E14&amp;"[yr]")=P$5)*(INDIRECT($E14&amp;"[wk]")=P$6))),(SUM(INDIRECT($E14&amp;"["&amp;$E15&amp;"]")*(INDIRECT($E14&amp;"[yr]")=P$5)*(INDIRECT($E14&amp;"[wk]")=P$6)*(INDIRECT($E14&amp;"[siteflag]")=$G$2)))),0)</f>
        <v>0.95473962571196092</v>
      </c>
      <c r="Q14" s="45">
        <f t="array" aca="1" ref="Q14" ca="1">IFERROR(IF($G$2=0,(SUM(INDIRECT($E14&amp;"["&amp;$F15&amp;"]")*(INDIRECT($E14&amp;"[yr]")=Q$5)*(INDIRECT($E14&amp;"[wk]")=Q$6))/SUM(INDIRECT($E14&amp;"["&amp;$F14&amp;"]")*(INDIRECT($E14&amp;"[yr]")=Q$5)*(INDIRECT($E14&amp;"[wk]")=Q$6))),(SUM(INDIRECT($E14&amp;"["&amp;$E15&amp;"]")*(INDIRECT($E14&amp;"[yr]")=Q$5)*(INDIRECT($E14&amp;"[wk]")=Q$6)*(INDIRECT($E14&amp;"[siteflag]")=$G$2)))),0)</f>
        <v>0.95260476148642714</v>
      </c>
      <c r="R14" s="45">
        <f t="array" aca="1" ref="R14" ca="1">IFERROR(IF($G$2=0,(SUM(INDIRECT($E14&amp;"["&amp;$F15&amp;"]")*(INDIRECT($E14&amp;"[yr]")=R$5)*(INDIRECT($E14&amp;"[wk]")=R$6))/SUM(INDIRECT($E14&amp;"["&amp;$F14&amp;"]")*(INDIRECT($E14&amp;"[yr]")=R$5)*(INDIRECT($E14&amp;"[wk]")=R$6))),(SUM(INDIRECT($E14&amp;"["&amp;$E15&amp;"]")*(INDIRECT($E14&amp;"[yr]")=R$5)*(INDIRECT($E14&amp;"[wk]")=R$6)*(INDIRECT($E14&amp;"[siteflag]")=$G$2)))),0)</f>
        <v>0.95084203593941108</v>
      </c>
      <c r="S14" s="163">
        <f t="array" aca="1" ref="S14" ca="1">IFERROR(IF($G$2=0,(SUM(INDIRECT($E14&amp;"["&amp;$F15&amp;"]")*(INDIRECT($E14&amp;"[yr]")=S$5)*(INDIRECT($E14&amp;"[wk]")=S$6))/SUM(INDIRECT($E14&amp;"["&amp;$F14&amp;"]")*(INDIRECT($E14&amp;"[yr]")=S$5)*(INDIRECT($E14&amp;"[wk]")=S$6))),(SUM(INDIRECT($E14&amp;"["&amp;$E15&amp;"]")*(INDIRECT($E14&amp;"[yr]")=S$5)*(INDIRECT($E14&amp;"[wk]")=S$6)*(INDIRECT($E14&amp;"[siteflag]")=$G$2)))),0)</f>
        <v>0.95301383399209483</v>
      </c>
      <c r="T14" s="162">
        <f t="array" aca="1" ref="T14" ca="1">IFERROR(IF($G$2=0,(SUM(INDIRECT($E14&amp;"["&amp;$F15&amp;"]")*(INDIRECT($E14&amp;"[yr]")=T$5)*(INDIRECT($E14&amp;"[wk]")=T$6))/SUM(INDIRECT($E14&amp;"["&amp;$F14&amp;"]")*(INDIRECT($E14&amp;"[yr]")=T$5)*(INDIRECT($E14&amp;"[wk]")=T$6))),(SUM(INDIRECT($E14&amp;"["&amp;$E15&amp;"]")*(INDIRECT($E14&amp;"[yr]")=T$5)*(INDIRECT($E14&amp;"[wk]")=T$6)*(INDIRECT($E14&amp;"[siteflag]")=$G$2)))),0)</f>
        <v>0.84488977955911826</v>
      </c>
      <c r="U14" s="46">
        <f t="array" aca="1" ref="U14" ca="1">SUM(Q14:T14*Q66:T66)/SUM(Q66:T66)</f>
        <v>0.93053486626506055</v>
      </c>
      <c r="V14" s="47">
        <f ca="1">SUM(T14/S14)-1</f>
        <v>-0.11345486348299272</v>
      </c>
      <c r="W14" s="219">
        <v>0.99</v>
      </c>
      <c r="X14" s="49"/>
    </row>
    <row r="15" spans="2:24" ht="14.15" customHeight="1" x14ac:dyDescent="0.4">
      <c r="B15" s="329"/>
      <c r="D15" s="202" t="s">
        <v>67</v>
      </c>
      <c r="E15" s="40"/>
      <c r="F15" s="40" t="s">
        <v>372</v>
      </c>
      <c r="G15" s="40"/>
      <c r="H15" s="40"/>
      <c r="I15" s="50">
        <f t="array" aca="1" ref="I15" ca="1">IFERROR(I14/(IF($G$2=0,(SUM(INDIRECT($E14&amp;"["&amp;$F15&amp;"]")*(INDIRECT($E14&amp;"[yr]")=I$5-1)*(INDIRECT($E14&amp;"[wk]")=I$6))/SUM(INDIRECT($E14&amp;"["&amp;$F14&amp;"]")*(INDIRECT($E14&amp;"[yr]")=I$5-1)*(INDIRECT($E14&amp;"[wk]")=I$6))),(SUM(INDIRECT($E14&amp;"["&amp;$E15&amp;"]")*(INDIRECT($E14&amp;"[yr]")=I$5-1)*(INDIRECT($E14&amp;"[wk]")=I$6)*(INDIRECT($E14&amp;"[siteflag]")=$G$2)))))-1,0)</f>
        <v>-1.2404097597975006E-2</v>
      </c>
      <c r="J15" s="50">
        <f t="array" aca="1" ref="J15" ca="1">IFERROR(J14/(IF($G$2=0,(SUM(INDIRECT($E14&amp;"["&amp;$F15&amp;"]")*(INDIRECT($E14&amp;"[yr]")=J$5-1)*(INDIRECT($E14&amp;"[wk]")=J$6))/SUM(INDIRECT($E14&amp;"["&amp;$F14&amp;"]")*(INDIRECT($E14&amp;"[yr]")=J$5-1)*(INDIRECT($E14&amp;"[wk]")=J$6))),(SUM(INDIRECT($E14&amp;"["&amp;$E15&amp;"]")*(INDIRECT($E14&amp;"[yr]")=J$5-1)*(INDIRECT($E14&amp;"[wk]")=J$6)*(INDIRECT($E14&amp;"[siteflag]")=$G$2)))))-1,0)</f>
        <v>-3.0808132364341878E-2</v>
      </c>
      <c r="K15" s="50">
        <f t="array" aca="1" ref="K15" ca="1">IFERROR(K14/(IF($G$2=0,(SUM(INDIRECT($E14&amp;"["&amp;$F15&amp;"]")*(INDIRECT($E14&amp;"[yr]")=K$5-1)*(INDIRECT($E14&amp;"[wk]")=K$6))/SUM(INDIRECT($E14&amp;"["&amp;$F14&amp;"]")*(INDIRECT($E14&amp;"[yr]")=K$5-1)*(INDIRECT($E14&amp;"[wk]")=K$6))),(SUM(INDIRECT($E14&amp;"["&amp;$E15&amp;"]")*(INDIRECT($E14&amp;"[yr]")=K$5-1)*(INDIRECT($E14&amp;"[wk]")=K$6)*(INDIRECT($E14&amp;"[siteflag]")=$G$2)))))-1,0)</f>
        <v>3.1511879627640793E-2</v>
      </c>
      <c r="L15" s="50">
        <f t="array" aca="1" ref="L15" ca="1">IFERROR(L14/(IF($G$2=0,(SUM(INDIRECT($E14&amp;"["&amp;$F15&amp;"]")*(INDIRECT($E14&amp;"[yr]")=L$5-1)*(INDIRECT($E14&amp;"[wk]")=L$6))/SUM(INDIRECT($E14&amp;"["&amp;$F14&amp;"]")*(INDIRECT($E14&amp;"[yr]")=L$5-1)*(INDIRECT($E14&amp;"[wk]")=L$6))),(SUM(INDIRECT($E14&amp;"["&amp;$E15&amp;"]")*(INDIRECT($E14&amp;"[yr]")=L$5-1)*(INDIRECT($E14&amp;"[wk]")=L$6)*(INDIRECT($E14&amp;"[siteflag]")=$G$2)))))-1,0)</f>
        <v>1.7085263416152907E-2</v>
      </c>
      <c r="M15" s="50">
        <f t="array" aca="1" ref="M15" ca="1">IFERROR(M14/(IF($G$2=0,(SUM(INDIRECT($E14&amp;"["&amp;$F15&amp;"]")*(INDIRECT($E14&amp;"[yr]")=M$5-1)*(INDIRECT($E14&amp;"[wk]")=M$6))/SUM(INDIRECT($E14&amp;"["&amp;$F14&amp;"]")*(INDIRECT($E14&amp;"[yr]")=M$5-1)*(INDIRECT($E14&amp;"[wk]")=M$6))),(SUM(INDIRECT($E14&amp;"["&amp;$E15&amp;"]")*(INDIRECT($E14&amp;"[yr]")=M$5-1)*(INDIRECT($E14&amp;"[wk]")=M$6)*(INDIRECT($E14&amp;"[siteflag]")=$G$2)))))-1,0)</f>
        <v>3.3857844378192281E-2</v>
      </c>
      <c r="N15" s="50">
        <f t="array" aca="1" ref="N15" ca="1">IFERROR(N14/(IF($G$2=0,(SUM(INDIRECT($E14&amp;"["&amp;$F15&amp;"]")*(INDIRECT($E14&amp;"[yr]")=N$5-1)*(INDIRECT($E14&amp;"[wk]")=N$6))/SUM(INDIRECT($E14&amp;"["&amp;$F14&amp;"]")*(INDIRECT($E14&amp;"[yr]")=N$5-1)*(INDIRECT($E14&amp;"[wk]")=N$6))),(SUM(INDIRECT($E14&amp;"["&amp;$E15&amp;"]")*(INDIRECT($E14&amp;"[yr]")=N$5-1)*(INDIRECT($E14&amp;"[wk]")=N$6)*(INDIRECT($E14&amp;"[siteflag]")=$G$2)))))-1,0)</f>
        <v>0.10722786651711136</v>
      </c>
      <c r="O15" s="50">
        <f t="array" aca="1" ref="O15" ca="1">IFERROR(O14/(IF($G$2=0,(SUM(INDIRECT($E14&amp;"["&amp;$F15&amp;"]")*(INDIRECT($E14&amp;"[yr]")=O$5-1)*(INDIRECT($E14&amp;"[wk]")=O$6))/SUM(INDIRECT($E14&amp;"["&amp;$F14&amp;"]")*(INDIRECT($E14&amp;"[yr]")=O$5-1)*(INDIRECT($E14&amp;"[wk]")=O$6))),(SUM(INDIRECT($E14&amp;"["&amp;$E15&amp;"]")*(INDIRECT($E14&amp;"[yr]")=O$5-1)*(INDIRECT($E14&amp;"[wk]")=O$6)*(INDIRECT($E14&amp;"[siteflag]")=$G$2)))))-1,0)</f>
        <v>1.2266120443719108E-2</v>
      </c>
      <c r="P15" s="54">
        <f t="array" aca="1" ref="P15" ca="1">IFERROR(P14/(IF($G$2=0,(SUM(INDIRECT($E14&amp;"["&amp;$F15&amp;"]")*(INDIRECT($E14&amp;"[yr]")=P$5-1)*(INDIRECT($E14&amp;"[wk]")=P$6))/SUM(INDIRECT($E14&amp;"["&amp;$F14&amp;"]")*(INDIRECT($E14&amp;"[yr]")=P$5-1)*(INDIRECT($E14&amp;"[wk]")=P$6))),(SUM(INDIRECT($E14&amp;"["&amp;$E15&amp;"]")*(INDIRECT($E14&amp;"[yr]")=P$5-1)*(INDIRECT($E14&amp;"[wk]")=P$6)*(INDIRECT($E14&amp;"[siteflag]")=$G$2)))))-1,0)</f>
        <v>2.9855029847980719E-2</v>
      </c>
      <c r="Q15" s="50">
        <f t="array" aca="1" ref="Q15" ca="1">IFERROR(Q14/(IF($G$2=0,(SUM(INDIRECT($E14&amp;"["&amp;$F15&amp;"]")*(INDIRECT($E14&amp;"[yr]")=Q$5-1)*(INDIRECT($E14&amp;"[wk]")=Q$6))/SUM(INDIRECT($E14&amp;"["&amp;$F14&amp;"]")*(INDIRECT($E14&amp;"[yr]")=Q$5-1)*(INDIRECT($E14&amp;"[wk]")=Q$6))),(SUM(INDIRECT($E14&amp;"["&amp;$E15&amp;"]")*(INDIRECT($E14&amp;"[yr]")=Q$5-1)*(INDIRECT($E14&amp;"[wk]")=Q$6)*(INDIRECT($E14&amp;"[siteflag]")=$G$2)))))-1,0)</f>
        <v>3.7187581364719779E-2</v>
      </c>
      <c r="R15" s="50">
        <f t="array" aca="1" ref="R15" ca="1">IFERROR(R14/(IF($G$2=0,(SUM(INDIRECT($E14&amp;"["&amp;$F15&amp;"]")*(INDIRECT($E14&amp;"[yr]")=R$5-1)*(INDIRECT($E14&amp;"[wk]")=R$6))/SUM(INDIRECT($E14&amp;"["&amp;$F14&amp;"]")*(INDIRECT($E14&amp;"[yr]")=R$5-1)*(INDIRECT($E14&amp;"[wk]")=R$6))),(SUM(INDIRECT($E14&amp;"["&amp;$E15&amp;"]")*(INDIRECT($E14&amp;"[yr]")=R$5-1)*(INDIRECT($E14&amp;"[wk]")=R$6)*(INDIRECT($E14&amp;"[siteflag]")=$G$2)))))-1,0)</f>
        <v>2.4169411722395173E-2</v>
      </c>
      <c r="S15" s="66">
        <f t="array" aca="1" ref="S15" ca="1">IFERROR(S14/(IF($G$2=0,(SUM(INDIRECT($E14&amp;"["&amp;$F15&amp;"]")*(INDIRECT($E14&amp;"[yr]")=S$5-1)*(INDIRECT($E14&amp;"[wk]")=S$6))/SUM(INDIRECT($E14&amp;"["&amp;$F14&amp;"]")*(INDIRECT($E14&amp;"[yr]")=S$5-1)*(INDIRECT($E14&amp;"[wk]")=S$6))),(SUM(INDIRECT($E14&amp;"["&amp;$E15&amp;"]")*(INDIRECT($E14&amp;"[yr]")=S$5-1)*(INDIRECT($E14&amp;"[wk]")=S$6)*(INDIRECT($E14&amp;"[siteflag]")=$G$2)))))-1,0)</f>
        <v>3.4734461725328458E-2</v>
      </c>
      <c r="T15" s="50">
        <f t="array" aca="1" ref="T15" ca="1">IFERROR(T14/(IF($G$2=0,(SUM(INDIRECT($E14&amp;"["&amp;$F15&amp;"]")*(INDIRECT($E14&amp;"[yr]")=T$5-1)*(INDIRECT($E14&amp;"[wk]")=T$6))/SUM(INDIRECT($E14&amp;"["&amp;$F14&amp;"]")*(INDIRECT($E14&amp;"[yr]")=T$5-1)*(INDIRECT($E14&amp;"[wk]")=T$6))),(SUM(INDIRECT($E14&amp;"["&amp;$E15&amp;"]")*(INDIRECT($E14&amp;"[yr]")=T$5-1)*(INDIRECT($E14&amp;"[wk]")=T$6)*(INDIRECT($E14&amp;"[siteflag]")=$G$2)))))-1,0)</f>
        <v>-2.8245035555493736E-2</v>
      </c>
      <c r="U15" s="53">
        <f t="array" aca="1" ref="U15" ca="1">SUM(Q15:T15*Q66:T66)/SUM(Q66:T66)</f>
        <v>2.0126867364392002E-2</v>
      </c>
      <c r="V15" s="54"/>
      <c r="W15" s="55"/>
      <c r="X15" s="56"/>
    </row>
    <row r="16" spans="2:24" ht="3" customHeight="1" x14ac:dyDescent="0.4">
      <c r="B16" s="329"/>
      <c r="D16" s="61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61"/>
      <c r="Q16" s="57"/>
      <c r="R16" s="57"/>
      <c r="S16" s="149"/>
      <c r="T16" s="149"/>
      <c r="U16" s="60"/>
      <c r="V16" s="61"/>
      <c r="W16" s="62"/>
      <c r="X16" s="61"/>
    </row>
    <row r="17" spans="2:24" ht="14.15" customHeight="1" x14ac:dyDescent="0.4">
      <c r="B17" s="329"/>
      <c r="D17" s="271" t="s">
        <v>530</v>
      </c>
      <c r="E17" t="s">
        <v>518</v>
      </c>
      <c r="F17" t="s">
        <v>291</v>
      </c>
      <c r="I17" s="45">
        <f t="array" aca="1" ref="I17" ca="1">IFERROR(IF($G$2=0,(SUM(INDIRECT($E17&amp;"["&amp;$F18&amp;"]")*(INDIRECT($E17&amp;"[yr]")=I$5)*(INDIRECT($E17&amp;"[wk]")=I$6))/SUM(INDIRECT($E17&amp;"["&amp;$F17&amp;"]")*(INDIRECT($E17&amp;"[yr]")=I$5)*(INDIRECT($E17&amp;"[wk]")=I$6))),(SUM(INDIRECT($E17&amp;"["&amp;$E18&amp;"]")*(INDIRECT($E17&amp;"[yr]")=I$5)*(INDIRECT($E17&amp;"[wk]")=I$6)*(INDIRECT($E17&amp;"[siteflag]")=$G$2)))),0)</f>
        <v>0.97657935285053932</v>
      </c>
      <c r="J17" s="45">
        <f t="array" aca="1" ref="J17" ca="1">IFERROR(IF($G$2=0,(SUM(INDIRECT($E17&amp;"["&amp;$F18&amp;"]")*(INDIRECT($E17&amp;"[yr]")=J$5)*(INDIRECT($E17&amp;"[wk]")=J$6))/SUM(INDIRECT($E17&amp;"["&amp;$F17&amp;"]")*(INDIRECT($E17&amp;"[yr]")=J$5)*(INDIRECT($E17&amp;"[wk]")=J$6))),(SUM(INDIRECT($E17&amp;"["&amp;$E18&amp;"]")*(INDIRECT($E17&amp;"[yr]")=J$5)*(INDIRECT($E17&amp;"[wk]")=J$6)*(INDIRECT($E17&amp;"[siteflag]")=$G$2)))),0)</f>
        <v>0.98159195500255669</v>
      </c>
      <c r="K17" s="45">
        <f t="array" aca="1" ref="K17" ca="1">IFERROR(IF($G$2=0,(SUM(INDIRECT($E17&amp;"["&amp;$F18&amp;"]")*(INDIRECT($E17&amp;"[yr]")=K$5)*(INDIRECT($E17&amp;"[wk]")=K$6))/SUM(INDIRECT($E17&amp;"["&amp;$F17&amp;"]")*(INDIRECT($E17&amp;"[yr]")=K$5)*(INDIRECT($E17&amp;"[wk]")=K$6))),(SUM(INDIRECT($E17&amp;"["&amp;$E18&amp;"]")*(INDIRECT($E17&amp;"[yr]")=K$5)*(INDIRECT($E17&amp;"[wk]")=K$6)*(INDIRECT($E17&amp;"[siteflag]")=$G$2)))),0)</f>
        <v>0.99495804504637131</v>
      </c>
      <c r="L17" s="45">
        <f t="array" aca="1" ref="L17" ca="1">IFERROR(IF($G$2=0,(SUM(INDIRECT($E17&amp;"["&amp;$F18&amp;"]")*(INDIRECT($E17&amp;"[yr]")=L$5)*(INDIRECT($E17&amp;"[wk]")=L$6))/SUM(INDIRECT($E17&amp;"["&amp;$F17&amp;"]")*(INDIRECT($E17&amp;"[yr]")=L$5)*(INDIRECT($E17&amp;"[wk]")=L$6))),(SUM(INDIRECT($E17&amp;"["&amp;$E18&amp;"]")*(INDIRECT($E17&amp;"[yr]")=L$5)*(INDIRECT($E17&amp;"[wk]")=L$6)*(INDIRECT($E17&amp;"[siteflag]")=$G$2)))),0)</f>
        <v>0.99523782844977304</v>
      </c>
      <c r="M17" s="45">
        <f t="array" aca="1" ref="M17" ca="1">IFERROR(IF($G$2=0,(SUM(INDIRECT($E17&amp;"["&amp;$F18&amp;"]")*(INDIRECT($E17&amp;"[yr]")=M$5)*(INDIRECT($E17&amp;"[wk]")=M$6))/SUM(INDIRECT($E17&amp;"["&amp;$F17&amp;"]")*(INDIRECT($E17&amp;"[yr]")=M$5)*(INDIRECT($E17&amp;"[wk]")=M$6))),(SUM(INDIRECT($E17&amp;"["&amp;$E18&amp;"]")*(INDIRECT($E17&amp;"[yr]")=M$5)*(INDIRECT($E17&amp;"[wk]")=M$6)*(INDIRECT($E17&amp;"[siteflag]")=$G$2)))),0)</f>
        <v>0.99239824737370008</v>
      </c>
      <c r="N17" s="45">
        <f t="array" aca="1" ref="N17" ca="1">IFERROR(IF($G$2=0,(SUM(INDIRECT($E17&amp;"["&amp;$F18&amp;"]")*(INDIRECT($E17&amp;"[yr]")=N$5)*(INDIRECT($E17&amp;"[wk]")=N$6))/SUM(INDIRECT($E17&amp;"["&amp;$F17&amp;"]")*(INDIRECT($E17&amp;"[yr]")=N$5)*(INDIRECT($E17&amp;"[wk]")=N$6))),(SUM(INDIRECT($E17&amp;"["&amp;$E18&amp;"]")*(INDIRECT($E17&amp;"[yr]")=N$5)*(INDIRECT($E17&amp;"[wk]")=N$6)*(INDIRECT($E17&amp;"[siteflag]")=$G$2)))),0)</f>
        <v>0.9846030104561645</v>
      </c>
      <c r="O17" s="45">
        <f t="array" aca="1" ref="O17" ca="1">IFERROR(IF($G$2=0,(SUM(INDIRECT($E17&amp;"["&amp;$F18&amp;"]")*(INDIRECT($E17&amp;"[yr]")=O$5)*(INDIRECT($E17&amp;"[wk]")=O$6))/SUM(INDIRECT($E17&amp;"["&amp;$F17&amp;"]")*(INDIRECT($E17&amp;"[yr]")=O$5)*(INDIRECT($E17&amp;"[wk]")=O$6))),(SUM(INDIRECT($E17&amp;"["&amp;$E18&amp;"]")*(INDIRECT($E17&amp;"[yr]")=O$5)*(INDIRECT($E17&amp;"[wk]")=O$6)*(INDIRECT($E17&amp;"[siteflag]")=$G$2)))),0)</f>
        <v>0.98421192052980133</v>
      </c>
      <c r="P17" s="89">
        <f t="array" aca="1" ref="P17" ca="1">IFERROR(IF($G$2=0,(SUM(INDIRECT($E17&amp;"["&amp;$F18&amp;"]")*(INDIRECT($E17&amp;"[yr]")=P$5)*(INDIRECT($E17&amp;"[wk]")=P$6))/SUM(INDIRECT($E17&amp;"["&amp;$F17&amp;"]")*(INDIRECT($E17&amp;"[yr]")=P$5)*(INDIRECT($E17&amp;"[wk]")=P$6))),(SUM(INDIRECT($E17&amp;"["&amp;$E18&amp;"]")*(INDIRECT($E17&amp;"[yr]")=P$5)*(INDIRECT($E17&amp;"[wk]")=P$6)*(INDIRECT($E17&amp;"[siteflag]")=$G$2)))),0)</f>
        <v>0.98746394497448409</v>
      </c>
      <c r="Q17" s="45">
        <f t="array" aca="1" ref="Q17" ca="1">IFERROR(IF($G$2=0,(SUM(INDIRECT($E17&amp;"["&amp;$F18&amp;"]")*(INDIRECT($E17&amp;"[yr]")=Q$5)*(INDIRECT($E17&amp;"[wk]")=Q$6))/SUM(INDIRECT($E17&amp;"["&amp;$F17&amp;"]")*(INDIRECT($E17&amp;"[yr]")=Q$5)*(INDIRECT($E17&amp;"[wk]")=Q$6))),(SUM(INDIRECT($E17&amp;"["&amp;$E18&amp;"]")*(INDIRECT($E17&amp;"[yr]")=Q$5)*(INDIRECT($E17&amp;"[wk]")=Q$6)*(INDIRECT($E17&amp;"[siteflag]")=$G$2)))),0)</f>
        <v>0.97776722090261281</v>
      </c>
      <c r="R17" s="45">
        <f t="array" aca="1" ref="R17" ca="1">IFERROR(IF($G$2=0,(SUM(INDIRECT($E17&amp;"["&amp;$F18&amp;"]")*(INDIRECT($E17&amp;"[yr]")=R$5)*(INDIRECT($E17&amp;"[wk]")=R$6))/SUM(INDIRECT($E17&amp;"["&amp;$F17&amp;"]")*(INDIRECT($E17&amp;"[yr]")=R$5)*(INDIRECT($E17&amp;"[wk]")=R$6))),(SUM(INDIRECT($E17&amp;"["&amp;$E18&amp;"]")*(INDIRECT($E17&amp;"[yr]")=R$5)*(INDIRECT($E17&amp;"[wk]")=R$6)*(INDIRECT($E17&amp;"[siteflag]")=$G$2)))),0)</f>
        <v>0.98522671867381761</v>
      </c>
      <c r="S17" s="164">
        <f t="array" aca="1" ref="S17" ca="1">IFERROR(IF($G$2=0,(SUM(INDIRECT($E17&amp;"["&amp;$F18&amp;"]")*(INDIRECT($E17&amp;"[yr]")=S$5)*(INDIRECT($E17&amp;"[wk]")=S$6))/SUM(INDIRECT($E17&amp;"["&amp;$F17&amp;"]")*(INDIRECT($E17&amp;"[yr]")=S$5)*(INDIRECT($E17&amp;"[wk]")=S$6))),(SUM(INDIRECT($E17&amp;"["&amp;$E18&amp;"]")*(INDIRECT($E17&amp;"[yr]")=S$5)*(INDIRECT($E17&amp;"[wk]")=S$6)*(INDIRECT($E17&amp;"[siteflag]")=$G$2)))),0)</f>
        <v>0.98701366433712323</v>
      </c>
      <c r="T17" s="162">
        <f t="array" aca="1" ref="T17" ca="1">IFERROR(IF($G$2=0,(SUM(INDIRECT($E17&amp;"["&amp;$F18&amp;"]")*(INDIRECT($E17&amp;"[yr]")=T$5)*(INDIRECT($E17&amp;"[wk]")=T$6))/SUM(INDIRECT($E17&amp;"["&amp;$F17&amp;"]")*(INDIRECT($E17&amp;"[yr]")=T$5)*(INDIRECT($E17&amp;"[wk]")=T$6))),(SUM(INDIRECT($E17&amp;"["&amp;$E18&amp;"]")*(INDIRECT($E17&amp;"[yr]")=T$5)*(INDIRECT($E17&amp;"[wk]")=T$6)*(INDIRECT($E17&amp;"[siteflag]")=$G$2)))),0)</f>
        <v>0.89566631159948418</v>
      </c>
      <c r="U17" s="46">
        <f t="array" aca="1" ref="U17" ca="1">SUM(Q17:T17*Q66:T66)/SUM(Q66:T66)</f>
        <v>0.96552306512723851</v>
      </c>
      <c r="V17" s="47">
        <f ca="1">SUM(T17/S17)-1</f>
        <v>-9.2549228078810608E-2</v>
      </c>
      <c r="W17" s="48">
        <v>0.995</v>
      </c>
      <c r="X17" s="49"/>
    </row>
    <row r="18" spans="2:24" ht="14.15" customHeight="1" x14ac:dyDescent="0.4">
      <c r="B18" s="329"/>
      <c r="D18" s="202" t="s">
        <v>67</v>
      </c>
      <c r="E18" s="40"/>
      <c r="F18" s="40" t="s">
        <v>372</v>
      </c>
      <c r="G18" s="40"/>
      <c r="H18" s="40"/>
      <c r="I18" s="50">
        <f t="array" aca="1" ref="I18" ca="1">IFERROR(I17/(IF($G$2=0,(SUM(INDIRECT($E17&amp;"["&amp;$F18&amp;"]")*(INDIRECT($E17&amp;"[yr]")=I$5-1)*(INDIRECT($E17&amp;"[wk]")=I$6))/SUM(INDIRECT($E17&amp;"["&amp;$F17&amp;"]")*(INDIRECT($E17&amp;"[yr]")=I$5-1)*(INDIRECT($E17&amp;"[wk]")=I$6))),(SUM(INDIRECT($E17&amp;"["&amp;$E18&amp;"]")*(INDIRECT($E17&amp;"[yr]")=I$5-1)*(INDIRECT($E17&amp;"[wk]")=I$6)*(INDIRECT($E17&amp;"[siteflag]")=$G$2)))))-1,0)</f>
        <v>-1.2622935998455875E-2</v>
      </c>
      <c r="J18" s="50">
        <f t="array" aca="1" ref="J18" ca="1">IFERROR(J17/(IF($G$2=0,(SUM(INDIRECT($E17&amp;"["&amp;$F18&amp;"]")*(INDIRECT($E17&amp;"[yr]")=J$5-1)*(INDIRECT($E17&amp;"[wk]")=J$6))/SUM(INDIRECT($E17&amp;"["&amp;$F17&amp;"]")*(INDIRECT($E17&amp;"[yr]")=J$5-1)*(INDIRECT($E17&amp;"[wk]")=J$6))),(SUM(INDIRECT($E17&amp;"["&amp;$E18&amp;"]")*(INDIRECT($E17&amp;"[yr]")=J$5-1)*(INDIRECT($E17&amp;"[wk]")=J$6)*(INDIRECT($E17&amp;"[siteflag]")=$G$2)))))-1,0)</f>
        <v>-8.7046844300001647E-3</v>
      </c>
      <c r="K18" s="50">
        <f t="array" aca="1" ref="K18" ca="1">IFERROR(K17/(IF($G$2=0,(SUM(INDIRECT($E17&amp;"["&amp;$F18&amp;"]")*(INDIRECT($E17&amp;"[yr]")=K$5-1)*(INDIRECT($E17&amp;"[wk]")=K$6))/SUM(INDIRECT($E17&amp;"["&amp;$F17&amp;"]")*(INDIRECT($E17&amp;"[yr]")=K$5-1)*(INDIRECT($E17&amp;"[wk]")=K$6))),(SUM(INDIRECT($E17&amp;"["&amp;$E18&amp;"]")*(INDIRECT($E17&amp;"[yr]")=K$5-1)*(INDIRECT($E17&amp;"[wk]")=K$6)*(INDIRECT($E17&amp;"[siteflag]")=$G$2)))))-1,0)</f>
        <v>2.7326828137100856E-2</v>
      </c>
      <c r="L18" s="50">
        <f t="array" aca="1" ref="L18" ca="1">IFERROR(L17/(IF($G$2=0,(SUM(INDIRECT($E17&amp;"["&amp;$F18&amp;"]")*(INDIRECT($E17&amp;"[yr]")=L$5-1)*(INDIRECT($E17&amp;"[wk]")=L$6))/SUM(INDIRECT($E17&amp;"["&amp;$F17&amp;"]")*(INDIRECT($E17&amp;"[yr]")=L$5-1)*(INDIRECT($E17&amp;"[wk]")=L$6))),(SUM(INDIRECT($E17&amp;"["&amp;$E18&amp;"]")*(INDIRECT($E17&amp;"[yr]")=L$5-1)*(INDIRECT($E17&amp;"[wk]")=L$6)*(INDIRECT($E17&amp;"[siteflag]")=$G$2)))))-1,0)</f>
        <v>2.555100220039952E-2</v>
      </c>
      <c r="M18" s="50">
        <f t="array" aca="1" ref="M18" ca="1">IFERROR(M17/(IF($G$2=0,(SUM(INDIRECT($E17&amp;"["&amp;$F18&amp;"]")*(INDIRECT($E17&amp;"[yr]")=M$5-1)*(INDIRECT($E17&amp;"[wk]")=M$6))/SUM(INDIRECT($E17&amp;"["&amp;$F17&amp;"]")*(INDIRECT($E17&amp;"[yr]")=M$5-1)*(INDIRECT($E17&amp;"[wk]")=M$6))),(SUM(INDIRECT($E17&amp;"["&amp;$E18&amp;"]")*(INDIRECT($E17&amp;"[yr]")=M$5-1)*(INDIRECT($E17&amp;"[wk]")=M$6)*(INDIRECT($E17&amp;"[siteflag]")=$G$2)))))-1,0)</f>
        <v>5.7053256818682119E-3</v>
      </c>
      <c r="N18" s="50">
        <f t="array" aca="1" ref="N18" ca="1">IFERROR(N17/(IF($G$2=0,(SUM(INDIRECT($E17&amp;"["&amp;$F18&amp;"]")*(INDIRECT($E17&amp;"[yr]")=N$5-1)*(INDIRECT($E17&amp;"[wk]")=N$6))/SUM(INDIRECT($E17&amp;"["&amp;$F17&amp;"]")*(INDIRECT($E17&amp;"[yr]")=N$5-1)*(INDIRECT($E17&amp;"[wk]")=N$6))),(SUM(INDIRECT($E17&amp;"["&amp;$E18&amp;"]")*(INDIRECT($E17&amp;"[yr]")=N$5-1)*(INDIRECT($E17&amp;"[wk]")=N$6)*(INDIRECT($E17&amp;"[siteflag]")=$G$2)))))-1,0)</f>
        <v>6.7873204701279555E-2</v>
      </c>
      <c r="O18" s="50">
        <f t="array" aca="1" ref="O18" ca="1">IFERROR(O17/(IF($G$2=0,(SUM(INDIRECT($E17&amp;"["&amp;$F18&amp;"]")*(INDIRECT($E17&amp;"[yr]")=O$5-1)*(INDIRECT($E17&amp;"[wk]")=O$6))/SUM(INDIRECT($E17&amp;"["&amp;$F17&amp;"]")*(INDIRECT($E17&amp;"[yr]")=O$5-1)*(INDIRECT($E17&amp;"[wk]")=O$6))),(SUM(INDIRECT($E17&amp;"["&amp;$E18&amp;"]")*(INDIRECT($E17&amp;"[yr]")=O$5-1)*(INDIRECT($E17&amp;"[wk]")=O$6)*(INDIRECT($E17&amp;"[siteflag]")=$G$2)))))-1,0)</f>
        <v>3.7772028695959303E-2</v>
      </c>
      <c r="P18" s="54">
        <f t="array" aca="1" ref="P18" ca="1">IFERROR(P17/(IF($G$2=0,(SUM(INDIRECT($E17&amp;"["&amp;$F18&amp;"]")*(INDIRECT($E17&amp;"[yr]")=P$5-1)*(INDIRECT($E17&amp;"[wk]")=P$6))/SUM(INDIRECT($E17&amp;"["&amp;$F17&amp;"]")*(INDIRECT($E17&amp;"[yr]")=P$5-1)*(INDIRECT($E17&amp;"[wk]")=P$6))),(SUM(INDIRECT($E17&amp;"["&amp;$E18&amp;"]")*(INDIRECT($E17&amp;"[yr]")=P$5-1)*(INDIRECT($E17&amp;"[wk]")=P$6)*(INDIRECT($E17&amp;"[siteflag]")=$G$2)))))-1,0)</f>
        <v>1.832219325493667E-2</v>
      </c>
      <c r="Q18" s="50">
        <f t="array" aca="1" ref="Q18" ca="1">IFERROR(Q17/(IF($G$2=0,(SUM(INDIRECT($E17&amp;"["&amp;$F18&amp;"]")*(INDIRECT($E17&amp;"[yr]")=Q$5-1)*(INDIRECT($E17&amp;"[wk]")=Q$6))/SUM(INDIRECT($E17&amp;"["&amp;$F17&amp;"]")*(INDIRECT($E17&amp;"[yr]")=Q$5-1)*(INDIRECT($E17&amp;"[wk]")=Q$6))),(SUM(INDIRECT($E17&amp;"["&amp;$E18&amp;"]")*(INDIRECT($E17&amp;"[yr]")=Q$5-1)*(INDIRECT($E17&amp;"[wk]")=Q$6)*(INDIRECT($E17&amp;"[siteflag]")=$G$2)))))-1,0)</f>
        <v>6.9183054016128676E-3</v>
      </c>
      <c r="R18" s="50">
        <f t="array" aca="1" ref="R18" ca="1">IFERROR(R17/(IF($G$2=0,(SUM(INDIRECT($E17&amp;"["&amp;$F18&amp;"]")*(INDIRECT($E17&amp;"[yr]")=R$5-1)*(INDIRECT($E17&amp;"[wk]")=R$6))/SUM(INDIRECT($E17&amp;"["&amp;$F17&amp;"]")*(INDIRECT($E17&amp;"[yr]")=R$5-1)*(INDIRECT($E17&amp;"[wk]")=R$6))),(SUM(INDIRECT($E17&amp;"["&amp;$E18&amp;"]")*(INDIRECT($E17&amp;"[yr]")=R$5-1)*(INDIRECT($E17&amp;"[wk]")=R$6)*(INDIRECT($E17&amp;"[siteflag]")=$G$2)))))-1,0)</f>
        <v>1.4243364216997678E-2</v>
      </c>
      <c r="S18" s="66">
        <f t="array" aca="1" ref="S18" ca="1">IFERROR(S17/(IF($G$2=0,(SUM(INDIRECT($E17&amp;"["&amp;$F18&amp;"]")*(INDIRECT($E17&amp;"[yr]")=S$5-1)*(INDIRECT($E17&amp;"[wk]")=S$6))/SUM(INDIRECT($E17&amp;"["&amp;$F17&amp;"]")*(INDIRECT($E17&amp;"[yr]")=S$5-1)*(INDIRECT($E17&amp;"[wk]")=S$6))),(SUM(INDIRECT($E17&amp;"["&amp;$E18&amp;"]")*(INDIRECT($E17&amp;"[yr]")=S$5-1)*(INDIRECT($E17&amp;"[wk]")=S$6)*(INDIRECT($E17&amp;"[siteflag]")=$G$2)))))-1,0)</f>
        <v>5.0563611165555855E-2</v>
      </c>
      <c r="T18" s="50">
        <f t="array" aca="1" ref="T18" ca="1">IFERROR(T17/(IF($G$2=0,(SUM(INDIRECT($E17&amp;"["&amp;$F18&amp;"]")*(INDIRECT($E17&amp;"[yr]")=T$5-1)*(INDIRECT($E17&amp;"[wk]")=T$6))/SUM(INDIRECT($E17&amp;"["&amp;$F17&amp;"]")*(INDIRECT($E17&amp;"[yr]")=T$5-1)*(INDIRECT($E17&amp;"[wk]")=T$6))),(SUM(INDIRECT($E17&amp;"["&amp;$E18&amp;"]")*(INDIRECT($E17&amp;"[yr]")=T$5-1)*(INDIRECT($E17&amp;"[wk]")=T$6)*(INDIRECT($E17&amp;"[siteflag]")=$G$2)))))-1,0)</f>
        <v>-3.8830881749635116E-2</v>
      </c>
      <c r="U18" s="53">
        <f t="array" aca="1" ref="U18" ca="1">SUM(Q18:T18*Q66:T66)/SUM(Q66:T66)</f>
        <v>1.1320287520295879E-2</v>
      </c>
      <c r="V18" s="54"/>
      <c r="W18" s="55"/>
      <c r="X18" s="56"/>
    </row>
    <row r="19" spans="2:24" ht="3" customHeight="1" x14ac:dyDescent="0.4">
      <c r="B19" s="329"/>
      <c r="D19" s="61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61"/>
      <c r="Q19" s="57"/>
      <c r="R19" s="57"/>
      <c r="S19" s="149"/>
      <c r="T19" s="149"/>
      <c r="U19" s="60"/>
      <c r="V19" s="61"/>
      <c r="W19" s="62"/>
      <c r="X19" s="61"/>
    </row>
    <row r="20" spans="2:24" ht="14.15" customHeight="1" x14ac:dyDescent="0.4">
      <c r="B20" s="329"/>
      <c r="D20" s="201" t="s">
        <v>531</v>
      </c>
      <c r="E20" t="s">
        <v>29</v>
      </c>
      <c r="F20" t="s">
        <v>291</v>
      </c>
      <c r="I20" s="45">
        <f t="array" aca="1" ref="I20" ca="1">IFERROR(IF($G$2=0,(SUM(INDIRECT($E20&amp;"["&amp;$F21&amp;"]")*(INDIRECT($E20&amp;"[yr]")=I$5)*(INDIRECT($E20&amp;"[wk]")=I$6))/SUM(INDIRECT($E20&amp;"["&amp;$F20&amp;"]")*(INDIRECT($E20&amp;"[yr]")=I$5)*(INDIRECT($E20&amp;"[wk]")=I$6))),(SUM(INDIRECT($E20&amp;"["&amp;$E21&amp;"]")*(INDIRECT($E20&amp;"[yr]")=I$5)*(INDIRECT($E20&amp;"[wk]")=I$6)*(INDIRECT($E20&amp;"[siteflag]")=$G$2)))),0)</f>
        <v>0.93948559025459655</v>
      </c>
      <c r="J20" s="45">
        <f t="array" aca="1" ref="J20" ca="1">IFERROR(IF($G$2=0,(SUM(INDIRECT($E20&amp;"["&amp;$F21&amp;"]")*(INDIRECT($E20&amp;"[yr]")=J$5)*(INDIRECT($E20&amp;"[wk]")=J$6))/SUM(INDIRECT($E20&amp;"["&amp;$F20&amp;"]")*(INDIRECT($E20&amp;"[yr]")=J$5)*(INDIRECT($E20&amp;"[wk]")=J$6))),(SUM(INDIRECT($E20&amp;"["&amp;$E21&amp;"]")*(INDIRECT($E20&amp;"[yr]")=J$5)*(INDIRECT($E20&amp;"[wk]")=J$6)*(INDIRECT($E20&amp;"[siteflag]")=$G$2)))),0)</f>
        <v>0.95796663387814396</v>
      </c>
      <c r="K20" s="45">
        <f t="array" aca="1" ref="K20" ca="1">IFERROR(IF($G$2=0,(SUM(INDIRECT($E20&amp;"["&amp;$F21&amp;"]")*(INDIRECT($E20&amp;"[yr]")=K$5)*(INDIRECT($E20&amp;"[wk]")=K$6))/SUM(INDIRECT($E20&amp;"["&amp;$F20&amp;"]")*(INDIRECT($E20&amp;"[yr]")=K$5)*(INDIRECT($E20&amp;"[wk]")=K$6))),(SUM(INDIRECT($E20&amp;"["&amp;$E21&amp;"]")*(INDIRECT($E20&amp;"[yr]")=K$5)*(INDIRECT($E20&amp;"[wk]")=K$6)*(INDIRECT($E20&amp;"[siteflag]")=$G$2)))),0)</f>
        <v>0.97819259456088103</v>
      </c>
      <c r="L20" s="45">
        <f t="array" aca="1" ref="L20" ca="1">IFERROR(IF($G$2=0,(SUM(INDIRECT($E20&amp;"["&amp;$F21&amp;"]")*(INDIRECT($E20&amp;"[yr]")=L$5)*(INDIRECT($E20&amp;"[wk]")=L$6))/SUM(INDIRECT($E20&amp;"["&amp;$F20&amp;"]")*(INDIRECT($E20&amp;"[yr]")=L$5)*(INDIRECT($E20&amp;"[wk]")=L$6))),(SUM(INDIRECT($E20&amp;"["&amp;$E21&amp;"]")*(INDIRECT($E20&amp;"[yr]")=L$5)*(INDIRECT($E20&amp;"[wk]")=L$6)*(INDIRECT($E20&amp;"[siteflag]")=$G$2)))),0)</f>
        <v>0.97747489080138261</v>
      </c>
      <c r="M20" s="45">
        <f t="array" aca="1" ref="M20" ca="1">IFERROR(IF($G$2=0,(SUM(INDIRECT($E20&amp;"["&amp;$F21&amp;"]")*(INDIRECT($E20&amp;"[yr]")=M$5)*(INDIRECT($E20&amp;"[wk]")=M$6))/SUM(INDIRECT($E20&amp;"["&amp;$F20&amp;"]")*(INDIRECT($E20&amp;"[yr]")=M$5)*(INDIRECT($E20&amp;"[wk]")=M$6))),(SUM(INDIRECT($E20&amp;"["&amp;$E21&amp;"]")*(INDIRECT($E20&amp;"[yr]")=M$5)*(INDIRECT($E20&amp;"[wk]")=M$6)*(INDIRECT($E20&amp;"[siteflag]")=$G$2)))),0)</f>
        <v>0.9761353276002267</v>
      </c>
      <c r="N20" s="45">
        <f t="array" aca="1" ref="N20" ca="1">IFERROR(IF($G$2=0,(SUM(INDIRECT($E20&amp;"["&amp;$F21&amp;"]")*(INDIRECT($E20&amp;"[yr]")=N$5)*(INDIRECT($E20&amp;"[wk]")=N$6))/SUM(INDIRECT($E20&amp;"["&amp;$F20&amp;"]")*(INDIRECT($E20&amp;"[yr]")=N$5)*(INDIRECT($E20&amp;"[wk]")=N$6))),(SUM(INDIRECT($E20&amp;"["&amp;$E21&amp;"]")*(INDIRECT($E20&amp;"[yr]")=N$5)*(INDIRECT($E20&amp;"[wk]")=N$6)*(INDIRECT($E20&amp;"[siteflag]")=$G$2)))),0)</f>
        <v>0.97181888190716414</v>
      </c>
      <c r="O20" s="45">
        <f t="array" aca="1" ref="O20" ca="1">IFERROR(IF($G$2=0,(SUM(INDIRECT($E20&amp;"["&amp;$F21&amp;"]")*(INDIRECT($E20&amp;"[yr]")=O$5)*(INDIRECT($E20&amp;"[wk]")=O$6))/SUM(INDIRECT($E20&amp;"["&amp;$F20&amp;"]")*(INDIRECT($E20&amp;"[yr]")=O$5)*(INDIRECT($E20&amp;"[wk]")=O$6))),(SUM(INDIRECT($E20&amp;"["&amp;$E21&amp;"]")*(INDIRECT($E20&amp;"[yr]")=O$5)*(INDIRECT($E20&amp;"[wk]")=O$6)*(INDIRECT($E20&amp;"[siteflag]")=$G$2)))),0)</f>
        <v>0.96568165452389021</v>
      </c>
      <c r="P20" s="47">
        <f t="array" aca="1" ref="P20" ca="1">IFERROR(IF($G$2=0,(SUM(INDIRECT($E20&amp;"["&amp;$F21&amp;"]")*(INDIRECT($E20&amp;"[yr]")=P$5)*(INDIRECT($E20&amp;"[wk]")=P$6))/SUM(INDIRECT($E20&amp;"["&amp;$F20&amp;"]")*(INDIRECT($E20&amp;"[yr]")=P$5)*(INDIRECT($E20&amp;"[wk]")=P$6))),(SUM(INDIRECT($E20&amp;"["&amp;$E21&amp;"]")*(INDIRECT($E20&amp;"[yr]")=P$5)*(INDIRECT($E20&amp;"[wk]")=P$6)*(INDIRECT($E20&amp;"[siteflag]")=$G$2)))),0)</f>
        <v>0.96443704979425127</v>
      </c>
      <c r="Q20" s="45">
        <f t="array" aca="1" ref="Q20" ca="1">IFERROR(IF($G$2=0,(SUM(INDIRECT($E20&amp;"["&amp;$F21&amp;"]")*(INDIRECT($E20&amp;"[yr]")=Q$5)*(INDIRECT($E20&amp;"[wk]")=Q$6))/SUM(INDIRECT($E20&amp;"["&amp;$F20&amp;"]")*(INDIRECT($E20&amp;"[yr]")=Q$5)*(INDIRECT($E20&amp;"[wk]")=Q$6))),(SUM(INDIRECT($E20&amp;"["&amp;$E21&amp;"]")*(INDIRECT($E20&amp;"[yr]")=Q$5)*(INDIRECT($E20&amp;"[wk]")=Q$6)*(INDIRECT($E20&amp;"[siteflag]")=$G$2)))),0)</f>
        <v>0.95829116489674138</v>
      </c>
      <c r="R20" s="45">
        <f t="array" aca="1" ref="R20" ca="1">IFERROR(IF($G$2=0,(SUM(INDIRECT($E20&amp;"["&amp;$F21&amp;"]")*(INDIRECT($E20&amp;"[yr]")=R$5)*(INDIRECT($E20&amp;"[wk]")=R$6))/SUM(INDIRECT($E20&amp;"["&amp;$F20&amp;"]")*(INDIRECT($E20&amp;"[yr]")=R$5)*(INDIRECT($E20&amp;"[wk]")=R$6))),(SUM(INDIRECT($E20&amp;"["&amp;$E21&amp;"]")*(INDIRECT($E20&amp;"[yr]")=R$5)*(INDIRECT($E20&amp;"[wk]")=R$6)*(INDIRECT($E20&amp;"[siteflag]")=$G$2)))),0)</f>
        <v>0.96422193877551021</v>
      </c>
      <c r="S20" s="163">
        <f t="array" aca="1" ref="S20" ca="1">IFERROR(IF($G$2=0,(SUM(INDIRECT($E20&amp;"["&amp;$F21&amp;"]")*(INDIRECT($E20&amp;"[yr]")=S$5)*(INDIRECT($E20&amp;"[wk]")=S$6))/SUM(INDIRECT($E20&amp;"["&amp;$F20&amp;"]")*(INDIRECT($E20&amp;"[yr]")=S$5)*(INDIRECT($E20&amp;"[wk]")=S$6))),(SUM(INDIRECT($E20&amp;"["&amp;$E21&amp;"]")*(INDIRECT($E20&amp;"[yr]")=S$5)*(INDIRECT($E20&amp;"[wk]")=S$6)*(INDIRECT($E20&amp;"[siteflag]")=$G$2)))),0)</f>
        <v>0.95988352352836237</v>
      </c>
      <c r="T20" s="295">
        <f t="array" aca="1" ref="T20" ca="1">IFERROR(IF($G$2=0,(SUM(INDIRECT($E20&amp;"["&amp;$F21&amp;"]")*(INDIRECT($E20&amp;"[yr]")=T$5)*(INDIRECT($E20&amp;"[wk]")=T$6))/SUM(INDIRECT($E20&amp;"["&amp;$F20&amp;"]")*(INDIRECT($E20&amp;"[yr]")=T$5)*(INDIRECT($E20&amp;"[wk]")=T$6))),(SUM(INDIRECT($E20&amp;"["&amp;$E21&amp;"]")*(INDIRECT($E20&amp;"[yr]")=T$5)*(INDIRECT($E20&amp;"[wk]")=T$6)*(INDIRECT($E20&amp;"[siteflag]")=$G$2)))),0)</f>
        <v>0.88806976983308461</v>
      </c>
      <c r="U20" s="293">
        <f t="array" aca="1" ref="U20" ca="1">SUM(Q20:T20*Q66:T66)/SUM(Q66:T66)</f>
        <v>0.94599405993837604</v>
      </c>
      <c r="V20" s="47">
        <f ca="1">SUM(T20/S20)-1</f>
        <v>-7.4815070719521315E-2</v>
      </c>
      <c r="W20" s="219">
        <v>0.99</v>
      </c>
      <c r="X20" s="49"/>
    </row>
    <row r="21" spans="2:24" ht="14.15" customHeight="1" x14ac:dyDescent="0.4">
      <c r="B21" s="329"/>
      <c r="D21" s="202" t="s">
        <v>67</v>
      </c>
      <c r="E21" s="40"/>
      <c r="F21" s="40" t="s">
        <v>372</v>
      </c>
      <c r="G21" s="40"/>
      <c r="H21" s="40"/>
      <c r="I21" s="50">
        <f t="array" aca="1" ref="I21" ca="1">IFERROR(I20/(IF($G$2=0,(SUM(INDIRECT($E20&amp;"["&amp;$F21&amp;"]")*(INDIRECT($E20&amp;"[yr]")=I$5-1)*(INDIRECT($E20&amp;"[wk]")=I$6))/SUM(INDIRECT($E20&amp;"["&amp;$F20&amp;"]")*(INDIRECT($E20&amp;"[yr]")=I$5-1)*(INDIRECT($E20&amp;"[wk]")=I$6))),(SUM(INDIRECT($E20&amp;"["&amp;$E21&amp;"]")*(INDIRECT($E20&amp;"[yr]")=I$5-1)*(INDIRECT($E20&amp;"[wk]")=I$6)*(INDIRECT($E20&amp;"[siteflag]")=$G$2)))))-1,0)</f>
        <v>0.47451095074166827</v>
      </c>
      <c r="J21" s="50">
        <f t="array" aca="1" ref="J21" ca="1">IFERROR(J20/(IF($G$2=0,(SUM(INDIRECT($E20&amp;"["&amp;$F21&amp;"]")*(INDIRECT($E20&amp;"[yr]")=J$5-1)*(INDIRECT($E20&amp;"[wk]")=J$6))/SUM(INDIRECT($E20&amp;"["&amp;$F20&amp;"]")*(INDIRECT($E20&amp;"[yr]")=J$5-1)*(INDIRECT($E20&amp;"[wk]")=J$6))),(SUM(INDIRECT($E20&amp;"["&amp;$E21&amp;"]")*(INDIRECT($E20&amp;"[yr]")=J$5-1)*(INDIRECT($E20&amp;"[wk]")=J$6)*(INDIRECT($E20&amp;"[siteflag]")=$G$2)))))-1,0)</f>
        <v>0.55142921197939621</v>
      </c>
      <c r="K21" s="50">
        <f t="array" aca="1" ref="K21" ca="1">IFERROR(K20/(IF($G$2=0,(SUM(INDIRECT($E20&amp;"["&amp;$F21&amp;"]")*(INDIRECT($E20&amp;"[yr]")=K$5-1)*(INDIRECT($E20&amp;"[wk]")=K$6))/SUM(INDIRECT($E20&amp;"["&amp;$F20&amp;"]")*(INDIRECT($E20&amp;"[yr]")=K$5-1)*(INDIRECT($E20&amp;"[wk]")=K$6))),(SUM(INDIRECT($E20&amp;"["&amp;$E21&amp;"]")*(INDIRECT($E20&amp;"[yr]")=K$5-1)*(INDIRECT($E20&amp;"[wk]")=K$6)*(INDIRECT($E20&amp;"[siteflag]")=$G$2)))))-1,0)</f>
        <v>0.62489223784271353</v>
      </c>
      <c r="L21" s="50">
        <f t="array" aca="1" ref="L21" ca="1">IFERROR(L20/(IF($G$2=0,(SUM(INDIRECT($E20&amp;"["&amp;$F21&amp;"]")*(INDIRECT($E20&amp;"[yr]")=L$5-1)*(INDIRECT($E20&amp;"[wk]")=L$6))/SUM(INDIRECT($E20&amp;"["&amp;$F20&amp;"]")*(INDIRECT($E20&amp;"[yr]")=L$5-1)*(INDIRECT($E20&amp;"[wk]")=L$6))),(SUM(INDIRECT($E20&amp;"["&amp;$E21&amp;"]")*(INDIRECT($E20&amp;"[yr]")=L$5-1)*(INDIRECT($E20&amp;"[wk]")=L$6)*(INDIRECT($E20&amp;"[siteflag]")=$G$2)))))-1,0)</f>
        <v>0.573783960022761</v>
      </c>
      <c r="M21" s="50">
        <f t="array" aca="1" ref="M21" ca="1">IFERROR(M20/(IF($G$2=0,(SUM(INDIRECT($E20&amp;"["&amp;$F21&amp;"]")*(INDIRECT($E20&amp;"[yr]")=M$5-1)*(INDIRECT($E20&amp;"[wk]")=M$6))/SUM(INDIRECT($E20&amp;"["&amp;$F20&amp;"]")*(INDIRECT($E20&amp;"[yr]")=M$5-1)*(INDIRECT($E20&amp;"[wk]")=M$6))),(SUM(INDIRECT($E20&amp;"["&amp;$E21&amp;"]")*(INDIRECT($E20&amp;"[yr]")=M$5-1)*(INDIRECT($E20&amp;"[wk]")=M$6)*(INDIRECT($E20&amp;"[siteflag]")=$G$2)))))-1,0)</f>
        <v>0.46707683803512179</v>
      </c>
      <c r="N21" s="50">
        <f t="array" aca="1" ref="N21" ca="1">IFERROR(N20/(IF($G$2=0,(SUM(INDIRECT($E20&amp;"["&amp;$F21&amp;"]")*(INDIRECT($E20&amp;"[yr]")=N$5-1)*(INDIRECT($E20&amp;"[wk]")=N$6))/SUM(INDIRECT($E20&amp;"["&amp;$F20&amp;"]")*(INDIRECT($E20&amp;"[yr]")=N$5-1)*(INDIRECT($E20&amp;"[wk]")=N$6))),(SUM(INDIRECT($E20&amp;"["&amp;$E21&amp;"]")*(INDIRECT($E20&amp;"[yr]")=N$5-1)*(INDIRECT($E20&amp;"[wk]")=N$6)*(INDIRECT($E20&amp;"[siteflag]")=$G$2)))))-1,0)</f>
        <v>0.54859298945660817</v>
      </c>
      <c r="O21" s="50">
        <f t="array" aca="1" ref="O21" ca="1">IFERROR(O20/(IF($G$2=0,(SUM(INDIRECT($E20&amp;"["&amp;$F21&amp;"]")*(INDIRECT($E20&amp;"[yr]")=O$5-1)*(INDIRECT($E20&amp;"[wk]")=O$6))/SUM(INDIRECT($E20&amp;"["&amp;$F20&amp;"]")*(INDIRECT($E20&amp;"[yr]")=O$5-1)*(INDIRECT($E20&amp;"[wk]")=O$6))),(SUM(INDIRECT($E20&amp;"["&amp;$E21&amp;"]")*(INDIRECT($E20&amp;"[yr]")=O$5-1)*(INDIRECT($E20&amp;"[wk]")=O$6)*(INDIRECT($E20&amp;"[siteflag]")=$G$2)))))-1,0)</f>
        <v>0.49539740045884706</v>
      </c>
      <c r="P21" s="54">
        <f t="array" aca="1" ref="P21" ca="1">IFERROR(P20/(IF($G$2=0,(SUM(INDIRECT($E20&amp;"["&amp;$F21&amp;"]")*(INDIRECT($E20&amp;"[yr]")=P$5-1)*(INDIRECT($E20&amp;"[wk]")=P$6))/SUM(INDIRECT($E20&amp;"["&amp;$F20&amp;"]")*(INDIRECT($E20&amp;"[yr]")=P$5-1)*(INDIRECT($E20&amp;"[wk]")=P$6))),(SUM(INDIRECT($E20&amp;"["&amp;$E21&amp;"]")*(INDIRECT($E20&amp;"[yr]")=P$5-1)*(INDIRECT($E20&amp;"[wk]")=P$6)*(INDIRECT($E20&amp;"[siteflag]")=$G$2)))))-1,0)</f>
        <v>0.52545462281324595</v>
      </c>
      <c r="Q21" s="50">
        <f t="array" aca="1" ref="Q21" ca="1">IFERROR(Q20/(IF($G$2=0,(SUM(INDIRECT($E20&amp;"["&amp;$F21&amp;"]")*(INDIRECT($E20&amp;"[yr]")=Q$5-1)*(INDIRECT($E20&amp;"[wk]")=Q$6))/SUM(INDIRECT($E20&amp;"["&amp;$F20&amp;"]")*(INDIRECT($E20&amp;"[yr]")=Q$5-1)*(INDIRECT($E20&amp;"[wk]")=Q$6))),(SUM(INDIRECT($E20&amp;"["&amp;$E21&amp;"]")*(INDIRECT($E20&amp;"[yr]")=Q$5-1)*(INDIRECT($E20&amp;"[wk]")=Q$6)*(INDIRECT($E20&amp;"[siteflag]")=$G$2)))))-1,0)</f>
        <v>0.55452740696954539</v>
      </c>
      <c r="R21" s="50">
        <f t="array" aca="1" ref="R21" ca="1">IFERROR(R20/(IF($G$2=0,(SUM(INDIRECT($E20&amp;"["&amp;$F21&amp;"]")*(INDIRECT($E20&amp;"[yr]")=R$5-1)*(INDIRECT($E20&amp;"[wk]")=R$6))/SUM(INDIRECT($E20&amp;"["&amp;$F20&amp;"]")*(INDIRECT($E20&amp;"[yr]")=R$5-1)*(INDIRECT($E20&amp;"[wk]")=R$6))),(SUM(INDIRECT($E20&amp;"["&amp;$E21&amp;"]")*(INDIRECT($E20&amp;"[yr]")=R$5-1)*(INDIRECT($E20&amp;"[wk]")=R$6)*(INDIRECT($E20&amp;"[siteflag]")=$G$2)))))-1,0)</f>
        <v>0.44103503258224896</v>
      </c>
      <c r="S21" s="66">
        <f t="array" aca="1" ref="S21" ca="1">IFERROR(S20/(IF($G$2=0,(SUM(INDIRECT($E20&amp;"["&amp;$F21&amp;"]")*(INDIRECT($E20&amp;"[yr]")=S$5-1)*(INDIRECT($E20&amp;"[wk]")=S$6))/SUM(INDIRECT($E20&amp;"["&amp;$F20&amp;"]")*(INDIRECT($E20&amp;"[yr]")=S$5-1)*(INDIRECT($E20&amp;"[wk]")=S$6))),(SUM(INDIRECT($E20&amp;"["&amp;$E21&amp;"]")*(INDIRECT($E20&amp;"[yr]")=S$5-1)*(INDIRECT($E20&amp;"[wk]")=S$6)*(INDIRECT($E20&amp;"[siteflag]")=$G$2)))))-1,0)</f>
        <v>0.39476095592660032</v>
      </c>
      <c r="T21" s="50">
        <f t="array" aca="1" ref="T21" ca="1">IFERROR(T20/(IF($G$2=0,(SUM(INDIRECT($E20&amp;"["&amp;$F21&amp;"]")*(INDIRECT($E20&amp;"[yr]")=T$5-1)*(INDIRECT($E20&amp;"[wk]")=T$6))/SUM(INDIRECT($E20&amp;"["&amp;$F20&amp;"]")*(INDIRECT($E20&amp;"[yr]")=T$5-1)*(INDIRECT($E20&amp;"[wk]")=T$6))),(SUM(INDIRECT($E20&amp;"["&amp;$E21&amp;"]")*(INDIRECT($E20&amp;"[yr]")=T$5-1)*(INDIRECT($E20&amp;"[wk]")=T$6)*(INDIRECT($E20&amp;"[siteflag]")=$G$2)))))-1,0)</f>
        <v>0.33177292522712865</v>
      </c>
      <c r="U21" s="53">
        <f t="array" aca="1" ref="U21" ca="1">SUM(Q21:T21*Q66:T66)/SUM(Q66:T66)</f>
        <v>0.43842962547555542</v>
      </c>
      <c r="V21" s="54"/>
      <c r="W21" s="55"/>
      <c r="X21" s="56"/>
    </row>
    <row r="22" spans="2:24" ht="3" customHeight="1" x14ac:dyDescent="0.4">
      <c r="B22" s="329"/>
      <c r="D22" s="61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61"/>
      <c r="Q22" s="57"/>
      <c r="R22" s="57"/>
      <c r="S22" s="149"/>
      <c r="T22" s="149"/>
      <c r="U22" s="60"/>
      <c r="V22" s="61"/>
      <c r="W22" s="62"/>
      <c r="X22" s="61"/>
    </row>
    <row r="23" spans="2:24" ht="14.15" customHeight="1" x14ac:dyDescent="0.4">
      <c r="B23" s="329"/>
      <c r="D23" s="270" t="s">
        <v>532</v>
      </c>
      <c r="E23" t="s">
        <v>404</v>
      </c>
      <c r="F23" t="s">
        <v>291</v>
      </c>
      <c r="I23" s="45">
        <f t="array" aca="1" ref="I23" ca="1">IFERROR(IF($G$2=0,(SUM(INDIRECT($E23&amp;"["&amp;$F24&amp;"]")*(INDIRECT($E23&amp;"[yr]")=I$5)*(INDIRECT($E23&amp;"[wk]")=I$6))/SUM(INDIRECT($E23&amp;"["&amp;$F23&amp;"]")*(INDIRECT($E23&amp;"[yr]")=I$5)*(INDIRECT($E23&amp;"[wk]")=I$6))),(SUM(INDIRECT($E23&amp;"["&amp;$E24&amp;"]")*(INDIRECT($E23&amp;"[yr]")=I$5)*(INDIRECT($E23&amp;"[wk]")=I$6)*(INDIRECT($E23&amp;"[siteflag]")=$G$2)))),0)</f>
        <v>0.8931114104290937</v>
      </c>
      <c r="J23" s="45">
        <f t="array" aca="1" ref="J23" ca="1">IFERROR(IF($G$2=0,(SUM(INDIRECT($E23&amp;"["&amp;$F24&amp;"]")*(INDIRECT($E23&amp;"[yr]")=J$5)*(INDIRECT($E23&amp;"[wk]")=J$6))/SUM(INDIRECT($E23&amp;"["&amp;$F23&amp;"]")*(INDIRECT($E23&amp;"[yr]")=J$5)*(INDIRECT($E23&amp;"[wk]")=J$6))),(SUM(INDIRECT($E23&amp;"["&amp;$E24&amp;"]")*(INDIRECT($E23&amp;"[yr]")=J$5)*(INDIRECT($E23&amp;"[wk]")=J$6)*(INDIRECT($E23&amp;"[siteflag]")=$G$2)))),0)</f>
        <v>0.89090029431923556</v>
      </c>
      <c r="K23" s="45">
        <f t="array" aca="1" ref="K23" ca="1">IFERROR(IF($G$2=0,(SUM(INDIRECT($E23&amp;"["&amp;$F24&amp;"]")*(INDIRECT($E23&amp;"[yr]")=K$5)*(INDIRECT($E23&amp;"[wk]")=K$6))/SUM(INDIRECT($E23&amp;"["&amp;$F23&amp;"]")*(INDIRECT($E23&amp;"[yr]")=K$5)*(INDIRECT($E23&amp;"[wk]")=K$6))),(SUM(INDIRECT($E23&amp;"["&amp;$E24&amp;"]")*(INDIRECT($E23&amp;"[yr]")=K$5)*(INDIRECT($E23&amp;"[wk]")=K$6)*(INDIRECT($E23&amp;"[siteflag]")=$G$2)))),0)</f>
        <v>0.9394302215022714</v>
      </c>
      <c r="L23" s="45">
        <f t="array" aca="1" ref="L23" ca="1">IFERROR(IF($G$2=0,(SUM(INDIRECT($E23&amp;"["&amp;$F24&amp;"]")*(INDIRECT($E23&amp;"[yr]")=L$5)*(INDIRECT($E23&amp;"[wk]")=L$6))/SUM(INDIRECT($E23&amp;"["&amp;$F23&amp;"]")*(INDIRECT($E23&amp;"[yr]")=L$5)*(INDIRECT($E23&amp;"[wk]")=L$6))),(SUM(INDIRECT($E23&amp;"["&amp;$E24&amp;"]")*(INDIRECT($E23&amp;"[yr]")=L$5)*(INDIRECT($E23&amp;"[wk]")=L$6)*(INDIRECT($E23&amp;"[siteflag]")=$G$2)))),0)</f>
        <v>0.92100901274215274</v>
      </c>
      <c r="M23" s="45">
        <f t="array" aca="1" ref="M23" ca="1">IFERROR(IF($G$2=0,(SUM(INDIRECT($E23&amp;"["&amp;$F24&amp;"]")*(INDIRECT($E23&amp;"[yr]")=M$5)*(INDIRECT($E23&amp;"[wk]")=M$6))/SUM(INDIRECT($E23&amp;"["&amp;$F23&amp;"]")*(INDIRECT($E23&amp;"[yr]")=M$5)*(INDIRECT($E23&amp;"[wk]")=M$6))),(SUM(INDIRECT($E23&amp;"["&amp;$E24&amp;"]")*(INDIRECT($E23&amp;"[yr]")=M$5)*(INDIRECT($E23&amp;"[wk]")=M$6)*(INDIRECT($E23&amp;"[siteflag]")=$G$2)))),0)</f>
        <v>0.89764977184632744</v>
      </c>
      <c r="N23" s="45">
        <f t="array" aca="1" ref="N23" ca="1">IFERROR(IF($G$2=0,(SUM(INDIRECT($E23&amp;"["&amp;$F24&amp;"]")*(INDIRECT($E23&amp;"[yr]")=N$5)*(INDIRECT($E23&amp;"[wk]")=N$6))/SUM(INDIRECT($E23&amp;"["&amp;$F23&amp;"]")*(INDIRECT($E23&amp;"[yr]")=N$5)*(INDIRECT($E23&amp;"[wk]")=N$6))),(SUM(INDIRECT($E23&amp;"["&amp;$E24&amp;"]")*(INDIRECT($E23&amp;"[yr]")=N$5)*(INDIRECT($E23&amp;"[wk]")=N$6)*(INDIRECT($E23&amp;"[siteflag]")=$G$2)))),0)</f>
        <v>0.91938286556790061</v>
      </c>
      <c r="O23" s="45">
        <f t="array" aca="1" ref="O23" ca="1">IFERROR(IF($G$2=0,(SUM(INDIRECT($E23&amp;"["&amp;$F24&amp;"]")*(INDIRECT($E23&amp;"[yr]")=O$5)*(INDIRECT($E23&amp;"[wk]")=O$6))/SUM(INDIRECT($E23&amp;"["&amp;$F23&amp;"]")*(INDIRECT($E23&amp;"[yr]")=O$5)*(INDIRECT($E23&amp;"[wk]")=O$6))),(SUM(INDIRECT($E23&amp;"["&amp;$E24&amp;"]")*(INDIRECT($E23&amp;"[yr]")=O$5)*(INDIRECT($E23&amp;"[wk]")=O$6)*(INDIRECT($E23&amp;"[siteflag]")=$G$2)))),0)</f>
        <v>0.89894058487526241</v>
      </c>
      <c r="P23" s="47">
        <f t="array" aca="1" ref="P23" ca="1">IFERROR(IF($G$2=0,(SUM(INDIRECT($E23&amp;"["&amp;$F24&amp;"]")*(INDIRECT($E23&amp;"[yr]")=P$5)*(INDIRECT($E23&amp;"[wk]")=P$6))/SUM(INDIRECT($E23&amp;"["&amp;$F23&amp;"]")*(INDIRECT($E23&amp;"[yr]")=P$5)*(INDIRECT($E23&amp;"[wk]")=P$6))),(SUM(INDIRECT($E23&amp;"["&amp;$E24&amp;"]")*(INDIRECT($E23&amp;"[yr]")=P$5)*(INDIRECT($E23&amp;"[wk]")=P$6)*(INDIRECT($E23&amp;"[siteflag]")=$G$2)))),0)</f>
        <v>0.90747788520880479</v>
      </c>
      <c r="Q23" s="45">
        <f t="array" aca="1" ref="Q23" ca="1">IFERROR(IF($G$2=0,(SUM(INDIRECT($E23&amp;"["&amp;$F24&amp;"]")*(INDIRECT($E23&amp;"[yr]")=Q$5)*(INDIRECT($E23&amp;"[wk]")=Q$6))/SUM(INDIRECT($E23&amp;"["&amp;$F23&amp;"]")*(INDIRECT($E23&amp;"[yr]")=Q$5)*(INDIRECT($E23&amp;"[wk]")=Q$6))),(SUM(INDIRECT($E23&amp;"["&amp;$E24&amp;"]")*(INDIRECT($E23&amp;"[yr]")=Q$5)*(INDIRECT($E23&amp;"[wk]")=Q$6)*(INDIRECT($E23&amp;"[siteflag]")=$G$2)))),0)</f>
        <v>0.91290633488127571</v>
      </c>
      <c r="R23" s="45">
        <f t="array" aca="1" ref="R23" ca="1">IFERROR(IF($G$2=0,(SUM(INDIRECT($E23&amp;"["&amp;$F24&amp;"]")*(INDIRECT($E23&amp;"[yr]")=R$5)*(INDIRECT($E23&amp;"[wk]")=R$6))/SUM(INDIRECT($E23&amp;"["&amp;$F23&amp;"]")*(INDIRECT($E23&amp;"[yr]")=R$5)*(INDIRECT($E23&amp;"[wk]")=R$6))),(SUM(INDIRECT($E23&amp;"["&amp;$E24&amp;"]")*(INDIRECT($E23&amp;"[yr]")=R$5)*(INDIRECT($E23&amp;"[wk]")=R$6)*(INDIRECT($E23&amp;"[siteflag]")=$G$2)))),0)</f>
        <v>0.90392265704505503</v>
      </c>
      <c r="S23" s="163">
        <f t="array" aca="1" ref="S23" ca="1">IFERROR(IF($G$2=0,(SUM(INDIRECT($E23&amp;"["&amp;$F24&amp;"]")*(INDIRECT($E23&amp;"[yr]")=S$5)*(INDIRECT($E23&amp;"[wk]")=S$6))/SUM(INDIRECT($E23&amp;"["&amp;$F23&amp;"]")*(INDIRECT($E23&amp;"[yr]")=S$5)*(INDIRECT($E23&amp;"[wk]")=S$6))),(SUM(INDIRECT($E23&amp;"["&amp;$E24&amp;"]")*(INDIRECT($E23&amp;"[yr]")=S$5)*(INDIRECT($E23&amp;"[wk]")=S$6)*(INDIRECT($E23&amp;"[siteflag]")=$G$2)))),0)</f>
        <v>0.919406674907293</v>
      </c>
      <c r="T23" s="162">
        <f t="array" aca="1" ref="T23" ca="1">IFERROR(IF($G$2=0,(SUM(INDIRECT($E23&amp;"["&amp;$F24&amp;"]")*(INDIRECT($E23&amp;"[yr]")=T$5)*(INDIRECT($E23&amp;"[wk]")=T$6))/SUM(INDIRECT($E23&amp;"["&amp;$F23&amp;"]")*(INDIRECT($E23&amp;"[yr]")=T$5)*(INDIRECT($E23&amp;"[wk]")=T$6))),(SUM(INDIRECT($E23&amp;"["&amp;$E24&amp;"]")*(INDIRECT($E23&amp;"[yr]")=T$5)*(INDIRECT($E23&amp;"[wk]")=T$6)*(INDIRECT($E23&amp;"[siteflag]")=$G$2)))),0)</f>
        <v>0.82780987681238416</v>
      </c>
      <c r="U23" s="46">
        <f t="array" aca="1" ref="U23" ca="1">SUM(Q23:T23*Q66:T66)/SUM(Q66:T66)</f>
        <v>0.895292066709094</v>
      </c>
      <c r="V23" s="47">
        <f ca="1">SUM(T23/S23)-1</f>
        <v>-9.9625987710111885E-2</v>
      </c>
      <c r="W23" s="219">
        <v>0.99</v>
      </c>
      <c r="X23" s="49"/>
    </row>
    <row r="24" spans="2:24" ht="14.15" customHeight="1" x14ac:dyDescent="0.4">
      <c r="B24" s="329"/>
      <c r="D24" s="202" t="s">
        <v>67</v>
      </c>
      <c r="E24" s="40"/>
      <c r="F24" s="40" t="s">
        <v>372</v>
      </c>
      <c r="G24" s="40"/>
      <c r="H24" s="40"/>
      <c r="I24" s="50">
        <f t="array" aca="1" ref="I24" ca="1">IFERROR(I23/(IF($G$2=0,(SUM(INDIRECT($E23&amp;"["&amp;$F24&amp;"]")*(INDIRECT($E23&amp;"[yr]")=I$5-1)*(INDIRECT($E23&amp;"[wk]")=I$6))/SUM(INDIRECT($E23&amp;"["&amp;$F23&amp;"]")*(INDIRECT($E23&amp;"[yr]")=I$5-1)*(INDIRECT($E23&amp;"[wk]")=I$6))),(SUM(INDIRECT($E23&amp;"["&amp;$E24&amp;"]")*(INDIRECT($E23&amp;"[yr]")=I$5-1)*(INDIRECT($E23&amp;"[wk]")=I$6)*(INDIRECT($E23&amp;"[siteflag]")=$G$2)))))-1,0)</f>
        <v>-1.3846525279566979E-2</v>
      </c>
      <c r="J24" s="50">
        <f t="array" aca="1" ref="J24" ca="1">IFERROR(J23/(IF($G$2=0,(SUM(INDIRECT($E23&amp;"["&amp;$F24&amp;"]")*(INDIRECT($E23&amp;"[yr]")=J$5-1)*(INDIRECT($E23&amp;"[wk]")=J$6))/SUM(INDIRECT($E23&amp;"["&amp;$F23&amp;"]")*(INDIRECT($E23&amp;"[yr]")=J$5-1)*(INDIRECT($E23&amp;"[wk]")=J$6))),(SUM(INDIRECT($E23&amp;"["&amp;$E24&amp;"]")*(INDIRECT($E23&amp;"[yr]")=J$5-1)*(INDIRECT($E23&amp;"[wk]")=J$6)*(INDIRECT($E23&amp;"[siteflag]")=$G$2)))))-1,0)</f>
        <v>-3.6669892246940061E-2</v>
      </c>
      <c r="K24" s="50">
        <f t="array" aca="1" ref="K24" ca="1">IFERROR(K23/(IF($G$2=0,(SUM(INDIRECT($E23&amp;"["&amp;$F24&amp;"]")*(INDIRECT($E23&amp;"[yr]")=K$5-1)*(INDIRECT($E23&amp;"[wk]")=K$6))/SUM(INDIRECT($E23&amp;"["&amp;$F23&amp;"]")*(INDIRECT($E23&amp;"[yr]")=K$5-1)*(INDIRECT($E23&amp;"[wk]")=K$6))),(SUM(INDIRECT($E23&amp;"["&amp;$E24&amp;"]")*(INDIRECT($E23&amp;"[yr]")=K$5-1)*(INDIRECT($E23&amp;"[wk]")=K$6)*(INDIRECT($E23&amp;"[siteflag]")=$G$2)))))-1,0)</f>
        <v>2.8200918752247839E-2</v>
      </c>
      <c r="L24" s="50">
        <f t="array" aca="1" ref="L24" ca="1">IFERROR(L23/(IF($G$2=0,(SUM(INDIRECT($E23&amp;"["&amp;$F24&amp;"]")*(INDIRECT($E23&amp;"[yr]")=L$5-1)*(INDIRECT($E23&amp;"[wk]")=L$6))/SUM(INDIRECT($E23&amp;"["&amp;$F23&amp;"]")*(INDIRECT($E23&amp;"[yr]")=L$5-1)*(INDIRECT($E23&amp;"[wk]")=L$6))),(SUM(INDIRECT($E23&amp;"["&amp;$E24&amp;"]")*(INDIRECT($E23&amp;"[yr]")=L$5-1)*(INDIRECT($E23&amp;"[wk]")=L$6)*(INDIRECT($E23&amp;"[siteflag]")=$G$2)))))-1,0)</f>
        <v>3.6964290944077494E-2</v>
      </c>
      <c r="M24" s="50">
        <f t="array" aca="1" ref="M24" ca="1">IFERROR(M23/(IF($G$2=0,(SUM(INDIRECT($E23&amp;"["&amp;$F24&amp;"]")*(INDIRECT($E23&amp;"[yr]")=M$5-1)*(INDIRECT($E23&amp;"[wk]")=M$6))/SUM(INDIRECT($E23&amp;"["&amp;$F23&amp;"]")*(INDIRECT($E23&amp;"[yr]")=M$5-1)*(INDIRECT($E23&amp;"[wk]")=M$6))),(SUM(INDIRECT($E23&amp;"["&amp;$E24&amp;"]")*(INDIRECT($E23&amp;"[yr]")=M$5-1)*(INDIRECT($E23&amp;"[wk]")=M$6)*(INDIRECT($E23&amp;"[siteflag]")=$G$2)))))-1,0)</f>
        <v>-2.3067360831364181E-2</v>
      </c>
      <c r="N24" s="50">
        <f t="array" aca="1" ref="N24" ca="1">IFERROR(N23/(IF($G$2=0,(SUM(INDIRECT($E23&amp;"["&amp;$F24&amp;"]")*(INDIRECT($E23&amp;"[yr]")=N$5-1)*(INDIRECT($E23&amp;"[wk]")=N$6))/SUM(INDIRECT($E23&amp;"["&amp;$F23&amp;"]")*(INDIRECT($E23&amp;"[yr]")=N$5-1)*(INDIRECT($E23&amp;"[wk]")=N$6))),(SUM(INDIRECT($E23&amp;"["&amp;$E24&amp;"]")*(INDIRECT($E23&amp;"[yr]")=N$5-1)*(INDIRECT($E23&amp;"[wk]")=N$6)*(INDIRECT($E23&amp;"[siteflag]")=$G$2)))))-1,0)</f>
        <v>5.2882833235244675E-2</v>
      </c>
      <c r="O24" s="50">
        <f t="array" aca="1" ref="O24" ca="1">IFERROR(O23/(IF($G$2=0,(SUM(INDIRECT($E23&amp;"["&amp;$F24&amp;"]")*(INDIRECT($E23&amp;"[yr]")=O$5-1)*(INDIRECT($E23&amp;"[wk]")=O$6))/SUM(INDIRECT($E23&amp;"["&amp;$F23&amp;"]")*(INDIRECT($E23&amp;"[yr]")=O$5-1)*(INDIRECT($E23&amp;"[wk]")=O$6))),(SUM(INDIRECT($E23&amp;"["&amp;$E24&amp;"]")*(INDIRECT($E23&amp;"[yr]")=O$5-1)*(INDIRECT($E23&amp;"[wk]")=O$6)*(INDIRECT($E23&amp;"[siteflag]")=$G$2)))))-1,0)</f>
        <v>3.287587920266577E-2</v>
      </c>
      <c r="P24" s="54">
        <f t="array" aca="1" ref="P24" ca="1">IFERROR(P23/(IF($G$2=0,(SUM(INDIRECT($E23&amp;"["&amp;$F24&amp;"]")*(INDIRECT($E23&amp;"[yr]")=P$5-1)*(INDIRECT($E23&amp;"[wk]")=P$6))/SUM(INDIRECT($E23&amp;"["&amp;$F23&amp;"]")*(INDIRECT($E23&amp;"[yr]")=P$5-1)*(INDIRECT($E23&amp;"[wk]")=P$6))),(SUM(INDIRECT($E23&amp;"["&amp;$E24&amp;"]")*(INDIRECT($E23&amp;"[yr]")=P$5-1)*(INDIRECT($E23&amp;"[wk]")=P$6)*(INDIRECT($E23&amp;"[siteflag]")=$G$2)))))-1,0)</f>
        <v>1.963522053537381E-2</v>
      </c>
      <c r="Q24" s="50">
        <f t="array" aca="1" ref="Q24" ca="1">IFERROR(Q23/(IF($G$2=0,(SUM(INDIRECT($E23&amp;"["&amp;$F24&amp;"]")*(INDIRECT($E23&amp;"[yr]")=Q$5-1)*(INDIRECT($E23&amp;"[wk]")=Q$6))/SUM(INDIRECT($E23&amp;"["&amp;$F23&amp;"]")*(INDIRECT($E23&amp;"[yr]")=Q$5-1)*(INDIRECT($E23&amp;"[wk]")=Q$6))),(SUM(INDIRECT($E23&amp;"["&amp;$E24&amp;"]")*(INDIRECT($E23&amp;"[yr]")=Q$5-1)*(INDIRECT($E23&amp;"[wk]")=Q$6)*(INDIRECT($E23&amp;"[siteflag]")=$G$2)))))-1,0)</f>
        <v>2.2292747811639035E-2</v>
      </c>
      <c r="R24" s="50">
        <f t="array" aca="1" ref="R24" ca="1">IFERROR(R23/(IF($G$2=0,(SUM(INDIRECT($E23&amp;"["&amp;$F24&amp;"]")*(INDIRECT($E23&amp;"[yr]")=R$5-1)*(INDIRECT($E23&amp;"[wk]")=R$6))/SUM(INDIRECT($E23&amp;"["&amp;$F23&amp;"]")*(INDIRECT($E23&amp;"[yr]")=R$5-1)*(INDIRECT($E23&amp;"[wk]")=R$6))),(SUM(INDIRECT($E23&amp;"["&amp;$E24&amp;"]")*(INDIRECT($E23&amp;"[yr]")=R$5-1)*(INDIRECT($E23&amp;"[wk]")=R$6)*(INDIRECT($E23&amp;"[siteflag]")=$G$2)))))-1,0)</f>
        <v>4.4303679583590494E-4</v>
      </c>
      <c r="S24" s="66">
        <f t="array" aca="1" ref="S24" ca="1">IFERROR(S23/(IF($G$2=0,(SUM(INDIRECT($E23&amp;"["&amp;$F24&amp;"]")*(INDIRECT($E23&amp;"[yr]")=S$5-1)*(INDIRECT($E23&amp;"[wk]")=S$6))/SUM(INDIRECT($E23&amp;"["&amp;$F23&amp;"]")*(INDIRECT($E23&amp;"[yr]")=S$5-1)*(INDIRECT($E23&amp;"[wk]")=S$6))),(SUM(INDIRECT($E23&amp;"["&amp;$E24&amp;"]")*(INDIRECT($E23&amp;"[yr]")=S$5-1)*(INDIRECT($E23&amp;"[wk]")=S$6)*(INDIRECT($E23&amp;"[siteflag]")=$G$2)))))-1,0)</f>
        <v>2.8058493482808089E-2</v>
      </c>
      <c r="T24" s="50">
        <f t="array" aca="1" ref="T24" ca="1">IFERROR(T23/(IF($G$2=0,(SUM(INDIRECT($E23&amp;"["&amp;$F24&amp;"]")*(INDIRECT($E23&amp;"[yr]")=T$5-1)*(INDIRECT($E23&amp;"[wk]")=T$6))/SUM(INDIRECT($E23&amp;"["&amp;$F23&amp;"]")*(INDIRECT($E23&amp;"[yr]")=T$5-1)*(INDIRECT($E23&amp;"[wk]")=T$6))),(SUM(INDIRECT($E23&amp;"["&amp;$E24&amp;"]")*(INDIRECT($E23&amp;"[yr]")=T$5-1)*(INDIRECT($E23&amp;"[wk]")=T$6)*(INDIRECT($E23&amp;"[siteflag]")=$G$2)))))-1,0)</f>
        <v>-5.1058728120292773E-2</v>
      </c>
      <c r="U24" s="53">
        <f t="array" aca="1" ref="U24" ca="1">SUM(Q24:T24*Q66:T66)/SUM(Q66:T66)</f>
        <v>3.7053737676540121E-3</v>
      </c>
      <c r="V24" s="54"/>
      <c r="W24" s="55"/>
      <c r="X24" s="56"/>
    </row>
    <row r="25" spans="2:24" ht="3" customHeight="1" x14ac:dyDescent="0.4">
      <c r="B25" s="329"/>
      <c r="D25" s="61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61"/>
      <c r="Q25" s="57"/>
      <c r="R25" s="57"/>
      <c r="S25" s="149"/>
      <c r="T25" s="149"/>
      <c r="U25" s="60"/>
      <c r="V25" s="61"/>
      <c r="W25" s="62"/>
      <c r="X25" s="61"/>
    </row>
    <row r="26" spans="2:24" ht="14.15" customHeight="1" outlineLevel="1" x14ac:dyDescent="0.4">
      <c r="B26" s="329"/>
      <c r="D26" s="203" t="s">
        <v>533</v>
      </c>
      <c r="E26" t="s">
        <v>34</v>
      </c>
      <c r="F26" t="s">
        <v>291</v>
      </c>
      <c r="I26" s="45">
        <f t="array" aca="1" ref="I26" ca="1">IFERROR(IF($G$2=0,(SUM(INDIRECT($E26&amp;"["&amp;$F27&amp;"]")*(INDIRECT($E26&amp;"[yr]")=I$5)*(INDIRECT($E26&amp;"[wk]")=I$6))/SUM(INDIRECT($E26&amp;"["&amp;$F26&amp;"]")*(INDIRECT($E26&amp;"[yr]")=I$5)*(INDIRECT($E26&amp;"[wk]")=I$6))),(SUM(INDIRECT($E26&amp;"["&amp;$E27&amp;"]")*(INDIRECT($E26&amp;"[yr]")=I$5)*(INDIRECT($E26&amp;"[wk]")=I$6)*(INDIRECT($E26&amp;"[siteflag]")=$G$2)))),0)</f>
        <v>0.9458476864497195</v>
      </c>
      <c r="J26" s="45">
        <f t="array" aca="1" ref="J26" ca="1">IFERROR(IF($G$2=0,(SUM(INDIRECT($E26&amp;"["&amp;$F27&amp;"]")*(INDIRECT($E26&amp;"[yr]")=J$5)*(INDIRECT($E26&amp;"[wk]")=J$6))/SUM(INDIRECT($E26&amp;"["&amp;$F26&amp;"]")*(INDIRECT($E26&amp;"[yr]")=J$5)*(INDIRECT($E26&amp;"[wk]")=J$6))),(SUM(INDIRECT($E26&amp;"["&amp;$E27&amp;"]")*(INDIRECT($E26&amp;"[yr]")=J$5)*(INDIRECT($E26&amp;"[wk]")=J$6)*(INDIRECT($E26&amp;"[siteflag]")=$G$2)))),0)</f>
        <v>0.96265834813324513</v>
      </c>
      <c r="K26" s="45">
        <f t="array" aca="1" ref="K26" ca="1">IFERROR(IF($G$2=0,(SUM(INDIRECT($E26&amp;"["&amp;$F27&amp;"]")*(INDIRECT($E26&amp;"[yr]")=K$5)*(INDIRECT($E26&amp;"[wk]")=K$6))/SUM(INDIRECT($E26&amp;"["&amp;$F26&amp;"]")*(INDIRECT($E26&amp;"[yr]")=K$5)*(INDIRECT($E26&amp;"[wk]")=K$6))),(SUM(INDIRECT($E26&amp;"["&amp;$E27&amp;"]")*(INDIRECT($E26&amp;"[yr]")=K$5)*(INDIRECT($E26&amp;"[wk]")=K$6)*(INDIRECT($E26&amp;"[siteflag]")=$G$2)))),0)</f>
        <v>0.98172174410441748</v>
      </c>
      <c r="L26" s="45">
        <f t="array" aca="1" ref="L26" ca="1">IFERROR(IF($G$2=0,(SUM(INDIRECT($E26&amp;"["&amp;$F27&amp;"]")*(INDIRECT($E26&amp;"[yr]")=L$5)*(INDIRECT($E26&amp;"[wk]")=L$6))/SUM(INDIRECT($E26&amp;"["&amp;$F26&amp;"]")*(INDIRECT($E26&amp;"[yr]")=L$5)*(INDIRECT($E26&amp;"[wk]")=L$6))),(SUM(INDIRECT($E26&amp;"["&amp;$E27&amp;"]")*(INDIRECT($E26&amp;"[yr]")=L$5)*(INDIRECT($E26&amp;"[wk]")=L$6)*(INDIRECT($E26&amp;"[siteflag]")=$G$2)))),0)</f>
        <v>0.98254715924784075</v>
      </c>
      <c r="M26" s="45">
        <f t="array" aca="1" ref="M26" ca="1">IFERROR(IF($G$2=0,(SUM(INDIRECT($E26&amp;"["&amp;$F27&amp;"]")*(INDIRECT($E26&amp;"[yr]")=M$5)*(INDIRECT($E26&amp;"[wk]")=M$6))/SUM(INDIRECT($E26&amp;"["&amp;$F26&amp;"]")*(INDIRECT($E26&amp;"[yr]")=M$5)*(INDIRECT($E26&amp;"[wk]")=M$6))),(SUM(INDIRECT($E26&amp;"["&amp;$E27&amp;"]")*(INDIRECT($E26&amp;"[yr]")=M$5)*(INDIRECT($E26&amp;"[wk]")=M$6)*(INDIRECT($E26&amp;"[siteflag]")=$G$2)))),0)</f>
        <v>0.98109785587618892</v>
      </c>
      <c r="N26" s="45">
        <f t="array" aca="1" ref="N26" ca="1">IFERROR(IF($G$2=0,(SUM(INDIRECT($E26&amp;"["&amp;$F27&amp;"]")*(INDIRECT($E26&amp;"[yr]")=N$5)*(INDIRECT($E26&amp;"[wk]")=N$6))/SUM(INDIRECT($E26&amp;"["&amp;$F26&amp;"]")*(INDIRECT($E26&amp;"[yr]")=N$5)*(INDIRECT($E26&amp;"[wk]")=N$6))),(SUM(INDIRECT($E26&amp;"["&amp;$E27&amp;"]")*(INDIRECT($E26&amp;"[yr]")=N$5)*(INDIRECT($E26&amp;"[wk]")=N$6)*(INDIRECT($E26&amp;"[siteflag]")=$G$2)))),0)</f>
        <v>0.97615119792032601</v>
      </c>
      <c r="O26" s="45">
        <f t="array" aca="1" ref="O26" ca="1">IFERROR(IF($G$2=0,(SUM(INDIRECT($E26&amp;"["&amp;$F27&amp;"]")*(INDIRECT($E26&amp;"[yr]")=O$5)*(INDIRECT($E26&amp;"[wk]")=O$6))/SUM(INDIRECT($E26&amp;"["&amp;$F26&amp;"]")*(INDIRECT($E26&amp;"[yr]")=O$5)*(INDIRECT($E26&amp;"[wk]")=O$6))),(SUM(INDIRECT($E26&amp;"["&amp;$E27&amp;"]")*(INDIRECT($E26&amp;"[yr]")=O$5)*(INDIRECT($E26&amp;"[wk]")=O$6)*(INDIRECT($E26&amp;"[siteflag]")=$G$2)))),0)</f>
        <v>0.97209301082882016</v>
      </c>
      <c r="P26" s="89">
        <f t="array" aca="1" ref="P26" ca="1">IFERROR(IF($G$2=0,(SUM(INDIRECT($E26&amp;"["&amp;$F27&amp;"]")*(INDIRECT($E26&amp;"[yr]")=P$5)*(INDIRECT($E26&amp;"[wk]")=P$6))/SUM(INDIRECT($E26&amp;"["&amp;$F26&amp;"]")*(INDIRECT($E26&amp;"[yr]")=P$5)*(INDIRECT($E26&amp;"[wk]")=P$6))),(SUM(INDIRECT($E26&amp;"["&amp;$E27&amp;"]")*(INDIRECT($E26&amp;"[yr]")=P$5)*(INDIRECT($E26&amp;"[wk]")=P$6)*(INDIRECT($E26&amp;"[siteflag]")=$G$2)))),0)</f>
        <v>0.9699799717082872</v>
      </c>
      <c r="Q26" s="45">
        <f t="array" aca="1" ref="Q26" ca="1">IFERROR(IF($G$2=0,(SUM(INDIRECT($E26&amp;"["&amp;$F27&amp;"]")*(INDIRECT($E26&amp;"[yr]")=Q$5)*(INDIRECT($E26&amp;"[wk]")=Q$6))/SUM(INDIRECT($E26&amp;"["&amp;$F26&amp;"]")*(INDIRECT($E26&amp;"[yr]")=Q$5)*(INDIRECT($E26&amp;"[wk]")=Q$6))),(SUM(INDIRECT($E26&amp;"["&amp;$E27&amp;"]")*(INDIRECT($E26&amp;"[yr]")=Q$5)*(INDIRECT($E26&amp;"[wk]")=Q$6)*(INDIRECT($E26&amp;"[siteflag]")=$G$2)))),0)</f>
        <v>0.96235145329240235</v>
      </c>
      <c r="R26" s="45">
        <f t="array" aca="1" ref="R26" ca="1">IFERROR(IF($G$2=0,(SUM(INDIRECT($E26&amp;"["&amp;$F27&amp;"]")*(INDIRECT($E26&amp;"[yr]")=R$5)*(INDIRECT($E26&amp;"[wk]")=R$6))/SUM(INDIRECT($E26&amp;"["&amp;$F26&amp;"]")*(INDIRECT($E26&amp;"[yr]")=R$5)*(INDIRECT($E26&amp;"[wk]")=R$6))),(SUM(INDIRECT($E26&amp;"["&amp;$E27&amp;"]")*(INDIRECT($E26&amp;"[yr]")=R$5)*(INDIRECT($E26&amp;"[wk]")=R$6)*(INDIRECT($E26&amp;"[siteflag]")=$G$2)))),0)</f>
        <v>0.97304994140593648</v>
      </c>
      <c r="S26" s="164">
        <f t="array" aca="1" ref="S26" ca="1">IFERROR(IF($G$2=0,(SUM(INDIRECT($E26&amp;"["&amp;$F27&amp;"]")*(INDIRECT($E26&amp;"[yr]")=S$5)*(INDIRECT($E26&amp;"[wk]")=S$6))/SUM(INDIRECT($E26&amp;"["&amp;$F26&amp;"]")*(INDIRECT($E26&amp;"[yr]")=S$5)*(INDIRECT($E26&amp;"[wk]")=S$6))),(SUM(INDIRECT($E26&amp;"["&amp;$E27&amp;"]")*(INDIRECT($E26&amp;"[yr]")=S$5)*(INDIRECT($E26&amp;"[wk]")=S$6)*(INDIRECT($E26&amp;"[siteflag]")=$G$2)))),0)</f>
        <v>0.96336132321391499</v>
      </c>
      <c r="T26" s="162">
        <f t="array" aca="1" ref="T26" ca="1">IFERROR(IF($G$2=0,(SUM(INDIRECT($E26&amp;"["&amp;$F27&amp;"]")*(INDIRECT($E26&amp;"[yr]")=T$5)*(INDIRECT($E26&amp;"[wk]")=T$6))/SUM(INDIRECT($E26&amp;"["&amp;$F26&amp;"]")*(INDIRECT($E26&amp;"[yr]")=T$5)*(INDIRECT($E26&amp;"[wk]")=T$6))),(SUM(INDIRECT($E26&amp;"["&amp;$E27&amp;"]")*(INDIRECT($E26&amp;"[yr]")=T$5)*(INDIRECT($E26&amp;"[wk]")=T$6)*(INDIRECT($E26&amp;"[siteflag]")=$G$2)))),0)</f>
        <v>0.89475232212829348</v>
      </c>
      <c r="U26" s="46">
        <f t="array" aca="1" ref="U26" ca="1">SUM(Q26:T26*Q66:T66)/SUM(Q66:T66)</f>
        <v>0.9515912252304588</v>
      </c>
      <c r="V26" s="47">
        <f ca="1">SUM(T26/S26)-1</f>
        <v>-7.1218347085734934E-2</v>
      </c>
      <c r="W26" s="48">
        <v>0.995</v>
      </c>
      <c r="X26" s="49"/>
    </row>
    <row r="27" spans="2:24" ht="14.15" customHeight="1" outlineLevel="1" x14ac:dyDescent="0.4">
      <c r="B27" s="329"/>
      <c r="D27" s="202" t="s">
        <v>67</v>
      </c>
      <c r="E27" s="40"/>
      <c r="F27" s="40" t="s">
        <v>372</v>
      </c>
      <c r="G27" s="40"/>
      <c r="H27" s="40"/>
      <c r="I27" s="50">
        <f t="array" aca="1" ref="I27" ca="1">IFERROR(I26/(IF($G$2=0,(SUM(INDIRECT($E26&amp;"["&amp;$F27&amp;"]")*(INDIRECT($E26&amp;"[yr]")=I$5-1)*(INDIRECT($E26&amp;"[wk]")=I$6))/SUM(INDIRECT($E26&amp;"["&amp;$F26&amp;"]")*(INDIRECT($E26&amp;"[yr]")=I$5-1)*(INDIRECT($E26&amp;"[wk]")=I$6))),(SUM(INDIRECT($E26&amp;"["&amp;$E27&amp;"]")*(INDIRECT($E26&amp;"[yr]")=I$5-1)*(INDIRECT($E26&amp;"[wk]")=I$6)*(INDIRECT($E26&amp;"[siteflag]")=$G$2)))))-1,0)</f>
        <v>0.47030115372682446</v>
      </c>
      <c r="J27" s="50">
        <f t="array" aca="1" ref="J27" ca="1">IFERROR(J26/(IF($G$2=0,(SUM(INDIRECT($E26&amp;"["&amp;$F27&amp;"]")*(INDIRECT($E26&amp;"[yr]")=J$5-1)*(INDIRECT($E26&amp;"[wk]")=J$6))/SUM(INDIRECT($E26&amp;"["&amp;$F26&amp;"]")*(INDIRECT($E26&amp;"[yr]")=J$5-1)*(INDIRECT($E26&amp;"[wk]")=J$6))),(SUM(INDIRECT($E26&amp;"["&amp;$E27&amp;"]")*(INDIRECT($E26&amp;"[yr]")=J$5-1)*(INDIRECT($E26&amp;"[wk]")=J$6)*(INDIRECT($E26&amp;"[siteflag]")=$G$2)))))-1,0)</f>
        <v>0.55564495601106323</v>
      </c>
      <c r="K27" s="50">
        <f t="array" aca="1" ref="K27" ca="1">IFERROR(K26/(IF($G$2=0,(SUM(INDIRECT($E26&amp;"["&amp;$F27&amp;"]")*(INDIRECT($E26&amp;"[yr]")=K$5-1)*(INDIRECT($E26&amp;"[wk]")=K$6))/SUM(INDIRECT($E26&amp;"["&amp;$F26&amp;"]")*(INDIRECT($E26&amp;"[yr]")=K$5-1)*(INDIRECT($E26&amp;"[wk]")=K$6))),(SUM(INDIRECT($E26&amp;"["&amp;$E27&amp;"]")*(INDIRECT($E26&amp;"[yr]")=K$5-1)*(INDIRECT($E26&amp;"[wk]")=K$6)*(INDIRECT($E26&amp;"[siteflag]")=$G$2)))))-1,0)</f>
        <v>0.62541535755530031</v>
      </c>
      <c r="L27" s="50">
        <f t="array" aca="1" ref="L27" ca="1">IFERROR(L26/(IF($G$2=0,(SUM(INDIRECT($E26&amp;"["&amp;$F27&amp;"]")*(INDIRECT($E26&amp;"[yr]")=L$5-1)*(INDIRECT($E26&amp;"[wk]")=L$6))/SUM(INDIRECT($E26&amp;"["&amp;$F26&amp;"]")*(INDIRECT($E26&amp;"[yr]")=L$5-1)*(INDIRECT($E26&amp;"[wk]")=L$6))),(SUM(INDIRECT($E26&amp;"["&amp;$E27&amp;"]")*(INDIRECT($E26&amp;"[yr]")=L$5-1)*(INDIRECT($E26&amp;"[wk]")=L$6)*(INDIRECT($E26&amp;"[siteflag]")=$G$2)))))-1,0)</f>
        <v>0.57876822247525661</v>
      </c>
      <c r="M27" s="50">
        <f t="array" aca="1" ref="M27" ca="1">IFERROR(M26/(IF($G$2=0,(SUM(INDIRECT($E26&amp;"["&amp;$F27&amp;"]")*(INDIRECT($E26&amp;"[yr]")=M$5-1)*(INDIRECT($E26&amp;"[wk]")=M$6))/SUM(INDIRECT($E26&amp;"["&amp;$F26&amp;"]")*(INDIRECT($E26&amp;"[yr]")=M$5-1)*(INDIRECT($E26&amp;"[wk]")=M$6))),(SUM(INDIRECT($E26&amp;"["&amp;$E27&amp;"]")*(INDIRECT($E26&amp;"[yr]")=M$5-1)*(INDIRECT($E26&amp;"[wk]")=M$6)*(INDIRECT($E26&amp;"[siteflag]")=$G$2)))))-1,0)</f>
        <v>0.46488285719877309</v>
      </c>
      <c r="N27" s="50">
        <f t="array" aca="1" ref="N27" ca="1">IFERROR(N26/(IF($G$2=0,(SUM(INDIRECT($E26&amp;"["&amp;$F27&amp;"]")*(INDIRECT($E26&amp;"[yr]")=N$5-1)*(INDIRECT($E26&amp;"[wk]")=N$6))/SUM(INDIRECT($E26&amp;"["&amp;$F26&amp;"]")*(INDIRECT($E26&amp;"[yr]")=N$5-1)*(INDIRECT($E26&amp;"[wk]")=N$6))),(SUM(INDIRECT($E26&amp;"["&amp;$E27&amp;"]")*(INDIRECT($E26&amp;"[yr]")=N$5-1)*(INDIRECT($E26&amp;"[wk]")=N$6)*(INDIRECT($E26&amp;"[siteflag]")=$G$2)))))-1,0)</f>
        <v>0.53253429606225544</v>
      </c>
      <c r="O27" s="50">
        <f t="array" aca="1" ref="O27" ca="1">IFERROR(O26/(IF($G$2=0,(SUM(INDIRECT($E26&amp;"["&amp;$F27&amp;"]")*(INDIRECT($E26&amp;"[yr]")=O$5-1)*(INDIRECT($E26&amp;"[wk]")=O$6))/SUM(INDIRECT($E26&amp;"["&amp;$F26&amp;"]")*(INDIRECT($E26&amp;"[yr]")=O$5-1)*(INDIRECT($E26&amp;"[wk]")=O$6))),(SUM(INDIRECT($E26&amp;"["&amp;$E27&amp;"]")*(INDIRECT($E26&amp;"[yr]")=O$5-1)*(INDIRECT($E26&amp;"[wk]")=O$6)*(INDIRECT($E26&amp;"[siteflag]")=$G$2)))))-1,0)</f>
        <v>0.48726575746849776</v>
      </c>
      <c r="P27" s="54">
        <f t="array" aca="1" ref="P27" ca="1">IFERROR(P26/(IF($G$2=0,(SUM(INDIRECT($E26&amp;"["&amp;$F27&amp;"]")*(INDIRECT($E26&amp;"[yr]")=P$5-1)*(INDIRECT($E26&amp;"[wk]")=P$6))/SUM(INDIRECT($E26&amp;"["&amp;$F26&amp;"]")*(INDIRECT($E26&amp;"[yr]")=P$5-1)*(INDIRECT($E26&amp;"[wk]")=P$6))),(SUM(INDIRECT($E26&amp;"["&amp;$E27&amp;"]")*(INDIRECT($E26&amp;"[yr]")=P$5-1)*(INDIRECT($E26&amp;"[wk]")=P$6)*(INDIRECT($E26&amp;"[siteflag]")=$G$2)))))-1,0)</f>
        <v>0.5063581135059303</v>
      </c>
      <c r="Q27" s="50">
        <f t="array" aca="1" ref="Q27" ca="1">IFERROR(Q26/(IF($G$2=0,(SUM(INDIRECT($E26&amp;"["&amp;$F27&amp;"]")*(INDIRECT($E26&amp;"[yr]")=Q$5-1)*(INDIRECT($E26&amp;"[wk]")=Q$6))/SUM(INDIRECT($E26&amp;"["&amp;$F26&amp;"]")*(INDIRECT($E26&amp;"[yr]")=Q$5-1)*(INDIRECT($E26&amp;"[wk]")=Q$6))),(SUM(INDIRECT($E26&amp;"["&amp;$E27&amp;"]")*(INDIRECT($E26&amp;"[yr]")=Q$5-1)*(INDIRECT($E26&amp;"[wk]")=Q$6)*(INDIRECT($E26&amp;"[siteflag]")=$G$2)))))-1,0)</f>
        <v>0.54822253829698187</v>
      </c>
      <c r="R27" s="50">
        <f t="array" aca="1" ref="R27" ca="1">IFERROR(R26/(IF($G$2=0,(SUM(INDIRECT($E26&amp;"["&amp;$F27&amp;"]")*(INDIRECT($E26&amp;"[yr]")=R$5-1)*(INDIRECT($E26&amp;"[wk]")=R$6))/SUM(INDIRECT($E26&amp;"["&amp;$F26&amp;"]")*(INDIRECT($E26&amp;"[yr]")=R$5-1)*(INDIRECT($E26&amp;"[wk]")=R$6))),(SUM(INDIRECT($E26&amp;"["&amp;$E27&amp;"]")*(INDIRECT($E26&amp;"[yr]")=R$5-1)*(INDIRECT($E26&amp;"[wk]")=R$6)*(INDIRECT($E26&amp;"[siteflag]")=$G$2)))))-1,0)</f>
        <v>0.44115277560622523</v>
      </c>
      <c r="S27" s="66">
        <f t="array" aca="1" ref="S27" ca="1">IFERROR(S26/(IF($G$2=0,(SUM(INDIRECT($E26&amp;"["&amp;$F27&amp;"]")*(INDIRECT($E26&amp;"[yr]")=S$5-1)*(INDIRECT($E26&amp;"[wk]")=S$6))/SUM(INDIRECT($E26&amp;"["&amp;$F26&amp;"]")*(INDIRECT($E26&amp;"[yr]")=S$5-1)*(INDIRECT($E26&amp;"[wk]")=S$6))),(SUM(INDIRECT($E26&amp;"["&amp;$E27&amp;"]")*(INDIRECT($E26&amp;"[yr]")=S$5-1)*(INDIRECT($E26&amp;"[wk]")=S$6)*(INDIRECT($E26&amp;"[siteflag]")=$G$2)))))-1,0)</f>
        <v>0.39712814511218797</v>
      </c>
      <c r="T27" s="50">
        <f t="array" aca="1" ref="T27" ca="1">IFERROR(T26/(IF($G$2=0,(SUM(INDIRECT($E26&amp;"["&amp;$F27&amp;"]")*(INDIRECT($E26&amp;"[yr]")=T$5-1)*(INDIRECT($E26&amp;"[wk]")=T$6))/SUM(INDIRECT($E26&amp;"["&amp;$F26&amp;"]")*(INDIRECT($E26&amp;"[yr]")=T$5-1)*(INDIRECT($E26&amp;"[wk]")=T$6))),(SUM(INDIRECT($E26&amp;"["&amp;$E27&amp;"]")*(INDIRECT($E26&amp;"[yr]")=T$5-1)*(INDIRECT($E26&amp;"[wk]")=T$6)*(INDIRECT($E26&amp;"[siteflag]")=$G$2)))))-1,0)</f>
        <v>0.31716878064231802</v>
      </c>
      <c r="U27" s="53">
        <f t="array" aca="1" ref="U27" ca="1">SUM(Q27:T27*Q66:T66)/SUM(Q66:T66)</f>
        <v>0.43437336554675393</v>
      </c>
      <c r="V27" s="54"/>
      <c r="W27" s="55"/>
      <c r="X27" s="56"/>
    </row>
    <row r="28" spans="2:24" ht="3" customHeight="1" outlineLevel="1" x14ac:dyDescent="0.4">
      <c r="B28" s="329"/>
      <c r="D28" s="61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61"/>
      <c r="Q28" s="57"/>
      <c r="R28" s="57"/>
      <c r="S28" s="149"/>
      <c r="T28" s="149"/>
      <c r="U28" s="60"/>
      <c r="V28" s="61"/>
      <c r="W28" s="62"/>
      <c r="X28" s="61"/>
    </row>
    <row r="29" spans="2:24" ht="14.15" customHeight="1" outlineLevel="1" x14ac:dyDescent="0.4">
      <c r="B29" s="329"/>
      <c r="D29" s="271" t="s">
        <v>534</v>
      </c>
      <c r="E29" t="s">
        <v>405</v>
      </c>
      <c r="F29" t="s">
        <v>291</v>
      </c>
      <c r="I29" s="45">
        <f t="array" aca="1" ref="I29" ca="1">IFERROR(IF($G$2=0,(SUM(INDIRECT($E29&amp;"["&amp;$F30&amp;"]")*(INDIRECT($E29&amp;"[yr]")=I$5)*(INDIRECT($E29&amp;"[wk]")=I$6))/SUM(INDIRECT($E29&amp;"["&amp;$F29&amp;"]")*(INDIRECT($E29&amp;"[yr]")=I$5)*(INDIRECT($E29&amp;"[wk]")=I$6))),(SUM(INDIRECT($E29&amp;"["&amp;$E30&amp;"]")*(INDIRECT($E29&amp;"[yr]")=I$5)*(INDIRECT($E29&amp;"[wk]")=I$6)*(INDIRECT($E29&amp;"[siteflag]")=$G$2)))),0)</f>
        <v>0.91350727980394986</v>
      </c>
      <c r="J29" s="45">
        <f t="array" aca="1" ref="J29" ca="1">IFERROR(IF($G$2=0,(SUM(INDIRECT($E29&amp;"["&amp;$F30&amp;"]")*(INDIRECT($E29&amp;"[yr]")=J$5)*(INDIRECT($E29&amp;"[wk]")=J$6))/SUM(INDIRECT($E29&amp;"["&amp;$F29&amp;"]")*(INDIRECT($E29&amp;"[yr]")=J$5)*(INDIRECT($E29&amp;"[wk]")=J$6))),(SUM(INDIRECT($E29&amp;"["&amp;$E30&amp;"]")*(INDIRECT($E29&amp;"[yr]")=J$5)*(INDIRECT($E29&amp;"[wk]")=J$6)*(INDIRECT($E29&amp;"[siteflag]")=$G$2)))),0)</f>
        <v>0.90914568020243403</v>
      </c>
      <c r="K29" s="45">
        <f t="array" aca="1" ref="K29" ca="1">IFERROR(IF($G$2=0,(SUM(INDIRECT($E29&amp;"["&amp;$F30&amp;"]")*(INDIRECT($E29&amp;"[yr]")=K$5)*(INDIRECT($E29&amp;"[wk]")=K$6))/SUM(INDIRECT($E29&amp;"["&amp;$F29&amp;"]")*(INDIRECT($E29&amp;"[yr]")=K$5)*(INDIRECT($E29&amp;"[wk]")=K$6))),(SUM(INDIRECT($E29&amp;"["&amp;$E30&amp;"]")*(INDIRECT($E29&amp;"[yr]")=K$5)*(INDIRECT($E29&amp;"[wk]")=K$6)*(INDIRECT($E29&amp;"[siteflag]")=$G$2)))),0)</f>
        <v>0.94871161313095653</v>
      </c>
      <c r="L29" s="45">
        <f t="array" aca="1" ref="L29" ca="1">IFERROR(IF($G$2=0,(SUM(INDIRECT($E29&amp;"["&amp;$F30&amp;"]")*(INDIRECT($E29&amp;"[yr]")=L$5)*(INDIRECT($E29&amp;"[wk]")=L$6))/SUM(INDIRECT($E29&amp;"["&amp;$F29&amp;"]")*(INDIRECT($E29&amp;"[yr]")=L$5)*(INDIRECT($E29&amp;"[wk]")=L$6))),(SUM(INDIRECT($E29&amp;"["&amp;$E30&amp;"]")*(INDIRECT($E29&amp;"[yr]")=L$5)*(INDIRECT($E29&amp;"[wk]")=L$6)*(INDIRECT($E29&amp;"[siteflag]")=$G$2)))),0)</f>
        <v>0.9421664148387433</v>
      </c>
      <c r="M29" s="45">
        <f t="array" aca="1" ref="M29" ca="1">IFERROR(IF($G$2=0,(SUM(INDIRECT($E29&amp;"["&amp;$F30&amp;"]")*(INDIRECT($E29&amp;"[yr]")=M$5)*(INDIRECT($E29&amp;"[wk]")=M$6))/SUM(INDIRECT($E29&amp;"["&amp;$F29&amp;"]")*(INDIRECT($E29&amp;"[yr]")=M$5)*(INDIRECT($E29&amp;"[wk]")=M$6))),(SUM(INDIRECT($E29&amp;"["&amp;$E30&amp;"]")*(INDIRECT($E29&amp;"[yr]")=M$5)*(INDIRECT($E29&amp;"[wk]")=M$6)*(INDIRECT($E29&amp;"[siteflag]")=$G$2)))),0)</f>
        <v>0.91890440386680983</v>
      </c>
      <c r="N29" s="45">
        <f t="array" aca="1" ref="N29" ca="1">IFERROR(IF($G$2=0,(SUM(INDIRECT($E29&amp;"["&amp;$F30&amp;"]")*(INDIRECT($E29&amp;"[yr]")=N$5)*(INDIRECT($E29&amp;"[wk]")=N$6))/SUM(INDIRECT($E29&amp;"["&amp;$F29&amp;"]")*(INDIRECT($E29&amp;"[yr]")=N$5)*(INDIRECT($E29&amp;"[wk]")=N$6))),(SUM(INDIRECT($E29&amp;"["&amp;$E30&amp;"]")*(INDIRECT($E29&amp;"[yr]")=N$5)*(INDIRECT($E29&amp;"[wk]")=N$6)*(INDIRECT($E29&amp;"[siteflag]")=$G$2)))),0)</f>
        <v>0.93711882229232391</v>
      </c>
      <c r="O29" s="45">
        <f t="array" aca="1" ref="O29" ca="1">IFERROR(IF($G$2=0,(SUM(INDIRECT($E29&amp;"["&amp;$F30&amp;"]")*(INDIRECT($E29&amp;"[yr]")=O$5)*(INDIRECT($E29&amp;"[wk]")=O$6))/SUM(INDIRECT($E29&amp;"["&amp;$F29&amp;"]")*(INDIRECT($E29&amp;"[yr]")=O$5)*(INDIRECT($E29&amp;"[wk]")=O$6))),(SUM(INDIRECT($E29&amp;"["&amp;$E30&amp;"]")*(INDIRECT($E29&amp;"[yr]")=O$5)*(INDIRECT($E29&amp;"[wk]")=O$6)*(INDIRECT($E29&amp;"[siteflag]")=$G$2)))),0)</f>
        <v>0.92193162895484382</v>
      </c>
      <c r="P29" s="89">
        <f t="array" aca="1" ref="P29" ca="1">IFERROR(IF($G$2=0,(SUM(INDIRECT($E29&amp;"["&amp;$F30&amp;"]")*(INDIRECT($E29&amp;"[yr]")=P$5)*(INDIRECT($E29&amp;"[wk]")=P$6))/SUM(INDIRECT($E29&amp;"["&amp;$F29&amp;"]")*(INDIRECT($E29&amp;"[yr]")=P$5)*(INDIRECT($E29&amp;"[wk]")=P$6))),(SUM(INDIRECT($E29&amp;"["&amp;$E30&amp;"]")*(INDIRECT($E29&amp;"[yr]")=P$5)*(INDIRECT($E29&amp;"[wk]")=P$6)*(INDIRECT($E29&amp;"[siteflag]")=$G$2)))),0)</f>
        <v>0.91831404281470863</v>
      </c>
      <c r="Q29" s="45">
        <f t="array" aca="1" ref="Q29" ca="1">IFERROR(IF($G$2=0,(SUM(INDIRECT($E29&amp;"["&amp;$F30&amp;"]")*(INDIRECT($E29&amp;"[yr]")=Q$5)*(INDIRECT($E29&amp;"[wk]")=Q$6))/SUM(INDIRECT($E29&amp;"["&amp;$F29&amp;"]")*(INDIRECT($E29&amp;"[yr]")=Q$5)*(INDIRECT($E29&amp;"[wk]")=Q$6))),(SUM(INDIRECT($E29&amp;"["&amp;$E30&amp;"]")*(INDIRECT($E29&amp;"[yr]")=Q$5)*(INDIRECT($E29&amp;"[wk]")=Q$6)*(INDIRECT($E29&amp;"[siteflag]")=$G$2)))),0)</f>
        <v>0.92591771590707572</v>
      </c>
      <c r="R29" s="45">
        <f t="array" aca="1" ref="R29" ca="1">IFERROR(IF($G$2=0,(SUM(INDIRECT($E29&amp;"["&amp;$F30&amp;"]")*(INDIRECT($E29&amp;"[yr]")=R$5)*(INDIRECT($E29&amp;"[wk]")=R$6))/SUM(INDIRECT($E29&amp;"["&amp;$F29&amp;"]")*(INDIRECT($E29&amp;"[yr]")=R$5)*(INDIRECT($E29&amp;"[wk]")=R$6))),(SUM(INDIRECT($E29&amp;"["&amp;$E30&amp;"]")*(INDIRECT($E29&amp;"[yr]")=R$5)*(INDIRECT($E29&amp;"[wk]")=R$6)*(INDIRECT($E29&amp;"[siteflag]")=$G$2)))),0)</f>
        <v>0.92810215600999357</v>
      </c>
      <c r="S29" s="164">
        <f t="array" aca="1" ref="S29" ca="1">IFERROR(IF($G$2=0,(SUM(INDIRECT($E29&amp;"["&amp;$F30&amp;"]")*(INDIRECT($E29&amp;"[yr]")=S$5)*(INDIRECT($E29&amp;"[wk]")=S$6))/SUM(INDIRECT($E29&amp;"["&amp;$F29&amp;"]")*(INDIRECT($E29&amp;"[yr]")=S$5)*(INDIRECT($E29&amp;"[wk]")=S$6))),(SUM(INDIRECT($E29&amp;"["&amp;$E30&amp;"]")*(INDIRECT($E29&amp;"[yr]")=S$5)*(INDIRECT($E29&amp;"[wk]")=S$6)*(INDIRECT($E29&amp;"[siteflag]")=$G$2)))),0)</f>
        <v>0.93755203996669445</v>
      </c>
      <c r="T29" s="162">
        <f t="array" aca="1" ref="T29" ca="1">IFERROR(IF($G$2=0,(SUM(INDIRECT($E29&amp;"["&amp;$F30&amp;"]")*(INDIRECT($E29&amp;"[yr]")=T$5)*(INDIRECT($E29&amp;"[wk]")=T$6))/SUM(INDIRECT($E29&amp;"["&amp;$F29&amp;"]")*(INDIRECT($E29&amp;"[yr]")=T$5)*(INDIRECT($E29&amp;"[wk]")=T$6))),(SUM(INDIRECT($E29&amp;"["&amp;$E30&amp;"]")*(INDIRECT($E29&amp;"[yr]")=T$5)*(INDIRECT($E29&amp;"[wk]")=T$6)*(INDIRECT($E29&amp;"[siteflag]")=$G$2)))),0)</f>
        <v>0.84510137919665917</v>
      </c>
      <c r="U29" s="46">
        <f t="array" aca="1" ref="U29" ca="1">SUM(Q29:T29*Q66:T66)/SUM(Q66:T66)</f>
        <v>0.91329167151667057</v>
      </c>
      <c r="V29" s="47">
        <f ca="1">SUM(T29/S29)-1</f>
        <v>-9.8608564462533188E-2</v>
      </c>
      <c r="W29" s="48">
        <v>0.995</v>
      </c>
      <c r="X29" s="49"/>
    </row>
    <row r="30" spans="2:24" ht="14.15" customHeight="1" outlineLevel="1" x14ac:dyDescent="0.4">
      <c r="B30" s="329"/>
      <c r="D30" s="202" t="s">
        <v>67</v>
      </c>
      <c r="E30" s="40"/>
      <c r="F30" s="40" t="s">
        <v>372</v>
      </c>
      <c r="G30" s="40"/>
      <c r="H30" s="40"/>
      <c r="I30" s="50">
        <f t="array" aca="1" ref="I30" ca="1">IFERROR(I29/(IF($G$2=0,(SUM(INDIRECT($E29&amp;"["&amp;$F30&amp;"]")*(INDIRECT($E29&amp;"[yr]")=I$5-1)*(INDIRECT($E29&amp;"[wk]")=I$6))/SUM(INDIRECT($E29&amp;"["&amp;$F29&amp;"]")*(INDIRECT($E29&amp;"[yr]")=I$5-1)*(INDIRECT($E29&amp;"[wk]")=I$6))),(SUM(INDIRECT($E29&amp;"["&amp;$E30&amp;"]")*(INDIRECT($E29&amp;"[yr]")=I$5-1)*(INDIRECT($E29&amp;"[wk]")=I$6)*(INDIRECT($E29&amp;"[siteflag]")=$G$2)))))-1,0)</f>
        <v>-1.370836665919728E-2</v>
      </c>
      <c r="J30" s="50">
        <f t="array" aca="1" ref="J30" ca="1">IFERROR(J29/(IF($G$2=0,(SUM(INDIRECT($E29&amp;"["&amp;$F30&amp;"]")*(INDIRECT($E29&amp;"[yr]")=J$5-1)*(INDIRECT($E29&amp;"[wk]")=J$6))/SUM(INDIRECT($E29&amp;"["&amp;$F29&amp;"]")*(INDIRECT($E29&amp;"[yr]")=J$5-1)*(INDIRECT($E29&amp;"[wk]")=J$6))),(SUM(INDIRECT($E29&amp;"["&amp;$E30&amp;"]")*(INDIRECT($E29&amp;"[yr]")=J$5-1)*(INDIRECT($E29&amp;"[wk]")=J$6)*(INDIRECT($E29&amp;"[siteflag]")=$G$2)))))-1,0)</f>
        <v>-2.3993994179674849E-2</v>
      </c>
      <c r="K30" s="50">
        <f t="array" aca="1" ref="K30" ca="1">IFERROR(K29/(IF($G$2=0,(SUM(INDIRECT($E29&amp;"["&amp;$F30&amp;"]")*(INDIRECT($E29&amp;"[yr]")=K$5-1)*(INDIRECT($E29&amp;"[wk]")=K$6))/SUM(INDIRECT($E29&amp;"["&amp;$F29&amp;"]")*(INDIRECT($E29&amp;"[yr]")=K$5-1)*(INDIRECT($E29&amp;"[wk]")=K$6))),(SUM(INDIRECT($E29&amp;"["&amp;$E30&amp;"]")*(INDIRECT($E29&amp;"[yr]")=K$5-1)*(INDIRECT($E29&amp;"[wk]")=K$6)*(INDIRECT($E29&amp;"[siteflag]")=$G$2)))))-1,0)</f>
        <v>2.7968908033169537E-2</v>
      </c>
      <c r="L30" s="50">
        <f t="array" aca="1" ref="L30" ca="1">IFERROR(L29/(IF($G$2=0,(SUM(INDIRECT($E29&amp;"["&amp;$F30&amp;"]")*(INDIRECT($E29&amp;"[yr]")=L$5-1)*(INDIRECT($E29&amp;"[wk]")=L$6))/SUM(INDIRECT($E29&amp;"["&amp;$F29&amp;"]")*(INDIRECT($E29&amp;"[yr]")=L$5-1)*(INDIRECT($E29&amp;"[wk]")=L$6))),(SUM(INDIRECT($E29&amp;"["&amp;$E30&amp;"]")*(INDIRECT($E29&amp;"[yr]")=L$5-1)*(INDIRECT($E29&amp;"[wk]")=L$6)*(INDIRECT($E29&amp;"[siteflag]")=$G$2)))))-1,0)</f>
        <v>5.2556485242192696E-2</v>
      </c>
      <c r="M30" s="50">
        <f t="array" aca="1" ref="M30" ca="1">IFERROR(M29/(IF($G$2=0,(SUM(INDIRECT($E29&amp;"["&amp;$F30&amp;"]")*(INDIRECT($E29&amp;"[yr]")=M$5-1)*(INDIRECT($E29&amp;"[wk]")=M$6))/SUM(INDIRECT($E29&amp;"["&amp;$F29&amp;"]")*(INDIRECT($E29&amp;"[yr]")=M$5-1)*(INDIRECT($E29&amp;"[wk]")=M$6))),(SUM(INDIRECT($E29&amp;"["&amp;$E30&amp;"]")*(INDIRECT($E29&amp;"[yr]")=M$5-1)*(INDIRECT($E29&amp;"[wk]")=M$6)*(INDIRECT($E29&amp;"[siteflag]")=$G$2)))))-1,0)</f>
        <v>-1.2142289399116102E-2</v>
      </c>
      <c r="N30" s="50">
        <f t="array" aca="1" ref="N30" ca="1">IFERROR(N29/(IF($G$2=0,(SUM(INDIRECT($E29&amp;"["&amp;$F30&amp;"]")*(INDIRECT($E29&amp;"[yr]")=N$5-1)*(INDIRECT($E29&amp;"[wk]")=N$6))/SUM(INDIRECT($E29&amp;"["&amp;$F29&amp;"]")*(INDIRECT($E29&amp;"[yr]")=N$5-1)*(INDIRECT($E29&amp;"[wk]")=N$6))),(SUM(INDIRECT($E29&amp;"["&amp;$E30&amp;"]")*(INDIRECT($E29&amp;"[yr]")=N$5-1)*(INDIRECT($E29&amp;"[wk]")=N$6)*(INDIRECT($E29&amp;"[siteflag]")=$G$2)))))-1,0)</f>
        <v>3.3185209058409715E-2</v>
      </c>
      <c r="O30" s="50">
        <f t="array" aca="1" ref="O30" ca="1">IFERROR(O29/(IF($G$2=0,(SUM(INDIRECT($E29&amp;"["&amp;$F30&amp;"]")*(INDIRECT($E29&amp;"[yr]")=O$5-1)*(INDIRECT($E29&amp;"[wk]")=O$6))/SUM(INDIRECT($E29&amp;"["&amp;$F29&amp;"]")*(INDIRECT($E29&amp;"[yr]")=O$5-1)*(INDIRECT($E29&amp;"[wk]")=O$6))),(SUM(INDIRECT($E29&amp;"["&amp;$E30&amp;"]")*(INDIRECT($E29&amp;"[yr]")=O$5-1)*(INDIRECT($E29&amp;"[wk]")=O$6)*(INDIRECT($E29&amp;"[siteflag]")=$G$2)))))-1,0)</f>
        <v>3.0776361376495975E-2</v>
      </c>
      <c r="P30" s="54">
        <f t="array" aca="1" ref="P30" ca="1">IFERROR(P29/(IF($G$2=0,(SUM(INDIRECT($E29&amp;"["&amp;$F30&amp;"]")*(INDIRECT($E29&amp;"[yr]")=P$5-1)*(INDIRECT($E29&amp;"[wk]")=P$6))/SUM(INDIRECT($E29&amp;"["&amp;$F29&amp;"]")*(INDIRECT($E29&amp;"[yr]")=P$5-1)*(INDIRECT($E29&amp;"[wk]")=P$6))),(SUM(INDIRECT($E29&amp;"["&amp;$E30&amp;"]")*(INDIRECT($E29&amp;"[yr]")=P$5-1)*(INDIRECT($E29&amp;"[wk]")=P$6)*(INDIRECT($E29&amp;"[siteflag]")=$G$2)))))-1,0)</f>
        <v>1.2166401213704603E-2</v>
      </c>
      <c r="Q30" s="50">
        <f t="array" aca="1" ref="Q30" ca="1">IFERROR(Q29/(IF($G$2=0,(SUM(INDIRECT($E29&amp;"["&amp;$F30&amp;"]")*(INDIRECT($E29&amp;"[yr]")=Q$5-1)*(INDIRECT($E29&amp;"[wk]")=Q$6))/SUM(INDIRECT($E29&amp;"["&amp;$F29&amp;"]")*(INDIRECT($E29&amp;"[yr]")=Q$5-1)*(INDIRECT($E29&amp;"[wk]")=Q$6))),(SUM(INDIRECT($E29&amp;"["&amp;$E30&amp;"]")*(INDIRECT($E29&amp;"[yr]")=Q$5-1)*(INDIRECT($E29&amp;"[wk]")=Q$6)*(INDIRECT($E29&amp;"[siteflag]")=$G$2)))))-1,0)</f>
        <v>1.8876167958968848E-2</v>
      </c>
      <c r="R30" s="50">
        <f t="array" aca="1" ref="R30" ca="1">IFERROR(R29/(IF($G$2=0,(SUM(INDIRECT($E29&amp;"["&amp;$F30&amp;"]")*(INDIRECT($E29&amp;"[yr]")=R$5-1)*(INDIRECT($E29&amp;"[wk]")=R$6))/SUM(INDIRECT($E29&amp;"["&amp;$F29&amp;"]")*(INDIRECT($E29&amp;"[yr]")=R$5-1)*(INDIRECT($E29&amp;"[wk]")=R$6))),(SUM(INDIRECT($E29&amp;"["&amp;$E30&amp;"]")*(INDIRECT($E29&amp;"[yr]")=R$5-1)*(INDIRECT($E29&amp;"[wk]")=R$6)*(INDIRECT($E29&amp;"[siteflag]")=$G$2)))))-1,0)</f>
        <v>6.1629142164563167E-3</v>
      </c>
      <c r="S30" s="66">
        <f t="array" aca="1" ref="S30" ca="1">IFERROR(S29/(IF($G$2=0,(SUM(INDIRECT($E29&amp;"["&amp;$F30&amp;"]")*(INDIRECT($E29&amp;"[yr]")=S$5-1)*(INDIRECT($E29&amp;"[wk]")=S$6))/SUM(INDIRECT($E29&amp;"["&amp;$F29&amp;"]")*(INDIRECT($E29&amp;"[yr]")=S$5-1)*(INDIRECT($E29&amp;"[wk]")=S$6))),(SUM(INDIRECT($E29&amp;"["&amp;$E30&amp;"]")*(INDIRECT($E29&amp;"[yr]")=S$5-1)*(INDIRECT($E29&amp;"[wk]")=S$6)*(INDIRECT($E29&amp;"[siteflag]")=$G$2)))))-1,0)</f>
        <v>4.341418989039969E-2</v>
      </c>
      <c r="T30" s="50">
        <f t="array" aca="1" ref="T30" ca="1">IFERROR(T29/(IF($G$2=0,(SUM(INDIRECT($E29&amp;"["&amp;$F30&amp;"]")*(INDIRECT($E29&amp;"[yr]")=T$5-1)*(INDIRECT($E29&amp;"[wk]")=T$6))/SUM(INDIRECT($E29&amp;"["&amp;$F29&amp;"]")*(INDIRECT($E29&amp;"[yr]")=T$5-1)*(INDIRECT($E29&amp;"[wk]")=T$6))),(SUM(INDIRECT($E29&amp;"["&amp;$E30&amp;"]")*(INDIRECT($E29&amp;"[yr]")=T$5-1)*(INDIRECT($E29&amp;"[wk]")=T$6)*(INDIRECT($E29&amp;"[siteflag]")=$G$2)))))-1,0)</f>
        <v>-5.0914907876318249E-2</v>
      </c>
      <c r="U30" s="53">
        <f t="array" aca="1" ref="U30" ca="1">SUM(Q30:T30*Q66:T66)/SUM(Q66:T66)</f>
        <v>8.337624472950618E-3</v>
      </c>
      <c r="V30" s="54"/>
      <c r="W30" s="55"/>
      <c r="X30" s="56"/>
    </row>
    <row r="31" spans="2:24" ht="3" customHeight="1" outlineLevel="1" x14ac:dyDescent="0.4">
      <c r="B31" s="329"/>
      <c r="D31" s="61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61"/>
      <c r="Q31" s="57"/>
      <c r="R31" s="57"/>
      <c r="S31" s="149"/>
      <c r="T31" s="149"/>
      <c r="U31" s="60"/>
      <c r="V31" s="61"/>
      <c r="W31" s="62"/>
      <c r="X31" s="61"/>
    </row>
    <row r="32" spans="2:24" ht="14.15" customHeight="1" x14ac:dyDescent="0.4">
      <c r="B32" s="329"/>
      <c r="D32" s="201" t="s">
        <v>68</v>
      </c>
      <c r="E32" s="63"/>
      <c r="F32" s="63"/>
      <c r="G32" s="63"/>
      <c r="H32" s="63"/>
      <c r="I32" s="64">
        <f t="shared" ref="I32:S32" ca="1" si="2">I35/I38</f>
        <v>0.10847978740594506</v>
      </c>
      <c r="J32" s="64">
        <f t="shared" ca="1" si="2"/>
        <v>8.4505639497396867E-2</v>
      </c>
      <c r="K32" s="64">
        <f t="shared" ca="1" si="2"/>
        <v>5.0112319058201689E-2</v>
      </c>
      <c r="L32" s="64">
        <f t="shared" ca="1" si="2"/>
        <v>4.7500835048102902E-2</v>
      </c>
      <c r="M32" s="64">
        <f t="shared" ca="1" si="2"/>
        <v>2.4947526236881554E-2</v>
      </c>
      <c r="N32" s="64">
        <f t="shared" ca="1" si="2"/>
        <v>5.9519065646840189E-2</v>
      </c>
      <c r="O32" s="64">
        <f t="shared" ca="1" si="2"/>
        <v>7.2820656039587553E-2</v>
      </c>
      <c r="P32" s="47">
        <f t="shared" ca="1" si="2"/>
        <v>4.7560439050984421E-2</v>
      </c>
      <c r="Q32" s="64">
        <f t="shared" ca="1" si="2"/>
        <v>4.2112101170852186E-2</v>
      </c>
      <c r="R32" s="64">
        <f t="shared" ca="1" si="2"/>
        <v>2.45448436590502E-2</v>
      </c>
      <c r="S32" s="163">
        <f t="shared" ca="1" si="2"/>
        <v>4.7047880635845717E-2</v>
      </c>
      <c r="T32" s="162">
        <f ca="1">T35/T38</f>
        <v>1.9329735496354656E-2</v>
      </c>
      <c r="U32" s="46">
        <f ca="1">AVERAGE(Q32:T32)</f>
        <v>3.3258640240525696E-2</v>
      </c>
      <c r="V32" s="47">
        <f t="array" aca="1" ref="V32" ca="1">SUM(T32/S32)-1</f>
        <v>-0.58914758252410304</v>
      </c>
      <c r="W32" s="65">
        <v>0.04</v>
      </c>
      <c r="X32" s="49"/>
    </row>
    <row r="33" spans="2:24" ht="14.15" customHeight="1" x14ac:dyDescent="0.4">
      <c r="B33" s="329"/>
      <c r="D33" s="202" t="s">
        <v>67</v>
      </c>
      <c r="E33" s="40"/>
      <c r="F33" s="40"/>
      <c r="G33" s="40"/>
      <c r="H33" s="40"/>
      <c r="I33" s="50">
        <f ca="1">IFERROR(I32/(SUM(INDIRECT($E35&amp;"["&amp;$F35&amp;"]")*(INDIRECT($E35&amp;"[yr]")=(I$5-1))*(INDIRECT($E35&amp;"[wk]")=I$6))/SUM(INDIRECT($E38&amp;"["&amp;$F38&amp;"]")*(INDIRECT($E38&amp;"[yr]")=(I$5-1))*(INDIRECT($E38&amp;"[wk]")=I$6)))-1,0)</f>
        <v>0</v>
      </c>
      <c r="J33" s="50">
        <f t="shared" ref="J33:S33" ca="1" si="3">IFERROR(J32/(SUM(INDIRECT($E35&amp;"["&amp;$F35&amp;"]")*(INDIRECT($E35&amp;"[yr]")=(J$5-1))*(INDIRECT($E35&amp;"[wk]")=J$6))/SUM(INDIRECT($E38&amp;"["&amp;$F38&amp;"]")*(INDIRECT($E38&amp;"[yr]")=(J$5-1))*(INDIRECT($E38&amp;"[wk]")=J$6)))-1,0)</f>
        <v>0</v>
      </c>
      <c r="K33" s="50">
        <f t="shared" ca="1" si="3"/>
        <v>0</v>
      </c>
      <c r="L33" s="50">
        <f t="shared" ca="1" si="3"/>
        <v>0</v>
      </c>
      <c r="M33" s="50">
        <f t="shared" ca="1" si="3"/>
        <v>0</v>
      </c>
      <c r="N33" s="50">
        <f t="shared" ca="1" si="3"/>
        <v>0</v>
      </c>
      <c r="O33" s="50">
        <f t="shared" ca="1" si="3"/>
        <v>0</v>
      </c>
      <c r="P33" s="54">
        <f t="shared" ca="1" si="3"/>
        <v>0</v>
      </c>
      <c r="Q33" s="50">
        <f t="shared" ca="1" si="3"/>
        <v>0</v>
      </c>
      <c r="R33" s="50">
        <f t="shared" ca="1" si="3"/>
        <v>0</v>
      </c>
      <c r="S33" s="66">
        <f t="shared" ca="1" si="3"/>
        <v>0</v>
      </c>
      <c r="T33" s="50">
        <f ca="1">IFERROR(T32/(SUM(INDIRECT($E35&amp;"["&amp;$F35&amp;"]")*(INDIRECT($E35&amp;"[yr]")=(T$5-1))*(INDIRECT($E35&amp;"[wk]")=T$6))/SUM(INDIRECT($E38&amp;"["&amp;$F38&amp;"]")*(INDIRECT($E38&amp;"[yr]")=(T$5-1))*(INDIRECT($E38&amp;"[wk]")=T$6)))-1,0)</f>
        <v>0</v>
      </c>
      <c r="U33" s="53">
        <f ca="1">IFERROR(AVERAGE(Q33:T33),0)</f>
        <v>0</v>
      </c>
      <c r="V33" s="50"/>
      <c r="W33" s="67"/>
      <c r="X33" s="56"/>
    </row>
    <row r="34" spans="2:24" ht="3" customHeight="1" x14ac:dyDescent="0.4">
      <c r="B34" s="329"/>
      <c r="D34" s="202"/>
      <c r="E34" s="40"/>
      <c r="F34" s="40"/>
      <c r="G34" s="40"/>
      <c r="H34" s="40"/>
      <c r="I34" s="50"/>
      <c r="J34" s="50"/>
      <c r="K34" s="50"/>
      <c r="L34" s="50"/>
      <c r="M34" s="50"/>
      <c r="N34" s="50"/>
      <c r="O34" s="50"/>
      <c r="P34" s="50"/>
      <c r="Q34" s="51"/>
      <c r="R34" s="50"/>
      <c r="S34" s="66"/>
      <c r="T34" s="66"/>
      <c r="U34" s="53"/>
      <c r="V34" s="54"/>
      <c r="W34" s="55"/>
      <c r="X34" s="68"/>
    </row>
    <row r="35" spans="2:24" ht="14.15" customHeight="1" x14ac:dyDescent="0.4">
      <c r="B35" s="329"/>
      <c r="D35" s="201" t="s">
        <v>69</v>
      </c>
      <c r="E35" s="63" t="s">
        <v>371</v>
      </c>
      <c r="F35" t="s">
        <v>38</v>
      </c>
      <c r="I35" s="69">
        <f t="array" aca="1" ref="I35" ca="1">SUM(INDIRECT($E35&amp;"["&amp;$F35&amp;"]")*(INDIRECT($E35&amp;"[yr]")=I$5)*(INDIRECT($E35&amp;"[wk]")=I$6)/1000*(IF($G$2=0,1,(INDIRECT($E35&amp;"[siteflag]")=$G$2))))</f>
        <v>2.47051</v>
      </c>
      <c r="J35" s="69">
        <f t="array" aca="1" ref="J35" ca="1">SUM(INDIRECT($E35&amp;"["&amp;$F35&amp;"]")*(INDIRECT($E35&amp;"[yr]")=J$5)*(INDIRECT($E35&amp;"[wk]")=J$6)/1000*(IF($G$2=0,1,(INDIRECT($E35&amp;"[siteflag]")=$G$2))))</f>
        <v>1.9515199999999999</v>
      </c>
      <c r="K35" s="69">
        <f t="array" aca="1" ref="K35" ca="1">SUM(INDIRECT($E35&amp;"["&amp;$F35&amp;"]")*(INDIRECT($E35&amp;"[yr]")=K$5)*(INDIRECT($E35&amp;"[wk]")=K$6)/1000*(IF($G$2=0,1,(INDIRECT($E35&amp;"[siteflag]")=$G$2))))</f>
        <v>1.0428999999999999</v>
      </c>
      <c r="L35" s="69">
        <f t="array" aca="1" ref="L35" ca="1">SUM(INDIRECT($E35&amp;"["&amp;$F35&amp;"]")*(INDIRECT($E35&amp;"[yr]")=L$5)*(INDIRECT($E35&amp;"[wk]")=L$6)/1000*(IF($G$2=0,1,(INDIRECT($E35&amp;"[siteflag]")=$G$2))))</f>
        <v>0.8063300000000001</v>
      </c>
      <c r="M35" s="69">
        <f t="array" aca="1" ref="M35" ca="1">SUM(INDIRECT($E35&amp;"["&amp;$F35&amp;"]")*(INDIRECT($E35&amp;"[yr]")=M$5)*(INDIRECT($E35&amp;"[wk]")=M$6)/1000*(IF($G$2=0,1,(INDIRECT($E35&amp;"[siteflag]")=$G$2))))</f>
        <v>0.56159999999999988</v>
      </c>
      <c r="N35" s="69">
        <f t="array" aca="1" ref="N35" ca="1">SUM(INDIRECT($E35&amp;"["&amp;$F35&amp;"]")*(INDIRECT($E35&amp;"[yr]")=N$5)*(INDIRECT($E35&amp;"[wk]")=N$6)/1000*(IF($G$2=0,1,(INDIRECT($E35&amp;"[siteflag]")=$G$2))))</f>
        <v>1.3368</v>
      </c>
      <c r="O35" s="69">
        <f t="array" aca="1" ref="O35" ca="1">SUM(INDIRECT($E35&amp;"["&amp;$F35&amp;"]")*(INDIRECT($E35&amp;"[yr]")=O$5)*(INDIRECT($E35&amp;"[wk]")=O$6)/1000*(IF($G$2=0,1,(INDIRECT($E35&amp;"[siteflag]")=$G$2))))</f>
        <v>1.6687800000000002</v>
      </c>
      <c r="P35" s="69">
        <f t="array" aca="1" ref="P35" ca="1">SUM(INDIRECT($E35&amp;"["&amp;$F35&amp;"]")*(INDIRECT($E35&amp;"[yr]")=P$5)*(INDIRECT($E35&amp;"[wk]")=P$6)/1000*(IF($G$2=0,1,(INDIRECT($E35&amp;"[siteflag]")=$G$2))))</f>
        <v>1.0669199999999999</v>
      </c>
      <c r="Q35" s="70">
        <f t="array" aca="1" ref="Q35" ca="1">SUM(INDIRECT($E35&amp;"["&amp;$F35&amp;"]")*(INDIRECT($E35&amp;"[yr]")=Q$5)*(INDIRECT($E35&amp;"[wk]")=Q$6)/1000*(IF($G$2=0,1,(INDIRECT($E35&amp;"[siteflag]")=$G$2))))</f>
        <v>0.94971000000000005</v>
      </c>
      <c r="R35" s="69">
        <f t="array" aca="1" ref="R35" ca="1">SUM(INDIRECT($E35&amp;"["&amp;$F35&amp;"]")*(INDIRECT($E35&amp;"[yr]")=R$5)*(INDIRECT($E35&amp;"[wk]")=R$6)/1000*(IF($G$2=0,1,(INDIRECT($E35&amp;"[siteflag]")=$G$2))))</f>
        <v>0.54607000000000006</v>
      </c>
      <c r="S35" s="69">
        <f t="array" aca="1" ref="S35" ca="1">SUM(INDIRECT($E35&amp;"["&amp;$F35&amp;"]")*(INDIRECT($E35&amp;"[yr]")=S$5)*(INDIRECT($E35&amp;"[wk]")=S$6)/1000*(IF($G$2=0,1,(INDIRECT($E35&amp;"[siteflag]")=$G$2))))</f>
        <v>1.0966</v>
      </c>
      <c r="T35" s="71">
        <f t="array" aca="1" ref="T35" ca="1">SUM(INDIRECT($E35&amp;"["&amp;$F35&amp;"]")*(INDIRECT($E35&amp;"[yr]")=T$5)*(INDIRECT($E35&amp;"[wk]")=T$6)/1000*(IF($G$2=0,1,(INDIRECT($E35&amp;"[siteflag]")=$G$2))))</f>
        <v>0.35803000000000007</v>
      </c>
      <c r="U35" s="72">
        <f t="array" aca="1" ref="U35" ca="1">SUM(Q35:T35)</f>
        <v>2.9504100000000006</v>
      </c>
      <c r="V35" s="49">
        <f t="array" aca="1" ref="V35" ca="1">SUM(T35/S35)-1</f>
        <v>-0.67350902790443179</v>
      </c>
      <c r="W35" s="73"/>
      <c r="X35" s="49"/>
    </row>
    <row r="36" spans="2:24" ht="14.15" customHeight="1" x14ac:dyDescent="0.4">
      <c r="B36" s="329"/>
      <c r="D36" s="202" t="s">
        <v>67</v>
      </c>
      <c r="I36" s="74">
        <f t="array" aca="1" ref="I36" ca="1">IFERROR((I35/SUM(INDIRECT($E35&amp;"["&amp;$F35&amp;"]")*(INDIRECT($E35&amp;"[yr]")=(I$5-1))*(INDIRECT($E35&amp;"[wk]")=I$6)/1000*(IF($G$2=0,1,(INDIRECT($E35&amp;"[siteflag]")=$G$2))))-1),0)</f>
        <v>0.17309281189754899</v>
      </c>
      <c r="J36" s="74">
        <f t="array" aca="1" ref="J36" ca="1">IFERROR((J35/SUM(INDIRECT($E35&amp;"["&amp;$F35&amp;"]")*(INDIRECT($E35&amp;"[yr]")=(J$5-1))*(INDIRECT($E35&amp;"[wk]")=J$6)/1000*(IF($G$2=0,1,(INDIRECT($E35&amp;"[siteflag]")=$G$2))))-1),0)</f>
        <v>0.17487131633605246</v>
      </c>
      <c r="K36" s="74">
        <f t="array" aca="1" ref="K36" ca="1">IFERROR((K35/SUM(INDIRECT($E35&amp;"["&amp;$F35&amp;"]")*(INDIRECT($E35&amp;"[yr]")=(K$5-1))*(INDIRECT($E35&amp;"[wk]")=K$6)/1000*(IF($G$2=0,1,(INDIRECT($E35&amp;"[siteflag]")=$G$2))))-1),0)</f>
        <v>-0.3677439693481015</v>
      </c>
      <c r="L36" s="74">
        <f t="array" aca="1" ref="L36" ca="1">IFERROR((L35/SUM(INDIRECT($E35&amp;"["&amp;$F35&amp;"]")*(INDIRECT($E35&amp;"[yr]")=(L$5-1))*(INDIRECT($E35&amp;"[wk]")=L$6)/1000*(IF($G$2=0,1,(INDIRECT($E35&amp;"[siteflag]")=$G$2))))-1),0)</f>
        <v>-0.39094342472996446</v>
      </c>
      <c r="M36" s="74">
        <f t="array" aca="1" ref="M36" ca="1">IFERROR((M35/SUM(INDIRECT($E35&amp;"["&amp;$F35&amp;"]")*(INDIRECT($E35&amp;"[yr]")=(M$5-1))*(INDIRECT($E35&amp;"[wk]")=M$6)/1000*(IF($G$2=0,1,(INDIRECT($E35&amp;"[siteflag]")=$G$2))))-1),0)</f>
        <v>-0.66336586184573343</v>
      </c>
      <c r="N36" s="74">
        <f t="array" aca="1" ref="N36" ca="1">IFERROR((N35/SUM(INDIRECT($E35&amp;"["&amp;$F35&amp;"]")*(INDIRECT($E35&amp;"[yr]")=(N$5-1))*(INDIRECT($E35&amp;"[wk]")=N$6)/1000*(IF($G$2=0,1,(INDIRECT($E35&amp;"[siteflag]")=$G$2))))-1),0)</f>
        <v>-0.40770147587251948</v>
      </c>
      <c r="O36" s="74">
        <f t="array" aca="1" ref="O36" ca="1">IFERROR((O35/SUM(INDIRECT($E35&amp;"["&amp;$F35&amp;"]")*(INDIRECT($E35&amp;"[yr]")=(O$5-1))*(INDIRECT($E35&amp;"[wk]")=O$6)/1000*(IF($G$2=0,1,(INDIRECT($E35&amp;"[siteflag]")=$G$2))))-1),0)</f>
        <v>-0.30668273125740042</v>
      </c>
      <c r="P36" s="74">
        <f t="array" aca="1" ref="P36" ca="1">IFERROR((P35/SUM(INDIRECT($E35&amp;"["&amp;$F35&amp;"]")*(INDIRECT($E35&amp;"[yr]")=(P$5-1))*(INDIRECT($E35&amp;"[wk]")=P$6)/1000*(IF($G$2=0,1,(INDIRECT($E35&amp;"[siteflag]")=$G$2))))-1),0)</f>
        <v>-0.55008855528379874</v>
      </c>
      <c r="Q36" s="75">
        <f t="array" aca="1" ref="Q36" ca="1">IFERROR((Q35/SUM(INDIRECT($E35&amp;"["&amp;$F35&amp;"]")*(INDIRECT($E35&amp;"[yr]")=(Q$5-1))*(INDIRECT($E35&amp;"[wk]")=Q$6)/1000*(IF($G$2=0,1,(INDIRECT($E35&amp;"[siteflag]")=$G$2))))-1),0)</f>
        <v>-0.64425540522317615</v>
      </c>
      <c r="R36" s="74">
        <f t="array" aca="1" ref="R36" ca="1">IFERROR((R35/SUM(INDIRECT($E35&amp;"["&amp;$F35&amp;"]")*(INDIRECT($E35&amp;"[yr]")=(R$5-1))*(INDIRECT($E35&amp;"[wk]")=R$6)/1000*(IF($G$2=0,1,(INDIRECT($E35&amp;"[siteflag]")=$G$2))))-1),0)</f>
        <v>-0.78196185220825165</v>
      </c>
      <c r="S36" s="74">
        <f t="array" aca="1" ref="S36" ca="1">IFERROR((S35/SUM(INDIRECT($E35&amp;"["&amp;$F35&amp;"]")*(INDIRECT($E35&amp;"[yr]")=(S$5-1))*(INDIRECT($E35&amp;"[wk]")=S$6)/1000*(IF($G$2=0,1,(INDIRECT($E35&amp;"[siteflag]")=$G$2))))-1),0)</f>
        <v>-0.48197347039038585</v>
      </c>
      <c r="T36" s="76">
        <f t="array" aca="1" ref="T36" ca="1">IFERROR((T35/SUM(INDIRECT($E35&amp;"["&amp;$F35&amp;"]")*(INDIRECT($E35&amp;"[yr]")=(T$5-1))*(INDIRECT($E35&amp;"[wk]")=T$6)/1000*(IF($G$2=0,1,(INDIRECT($E35&amp;"[siteflag]")=$G$2))))-1),0)</f>
        <v>-0.87035179518748529</v>
      </c>
      <c r="U36" s="77">
        <f ca="1">SUMPRODUCT(Q36:T36,$Q$35:$T$35)/SUM($Q$35:$T$35)</f>
        <v>-0.63686262939419769</v>
      </c>
      <c r="V36" s="78"/>
      <c r="W36" s="67"/>
      <c r="X36" s="56"/>
    </row>
    <row r="37" spans="2:24" ht="3" customHeight="1" x14ac:dyDescent="0.4">
      <c r="B37" s="329"/>
      <c r="D37" s="61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8"/>
      <c r="R37" s="57"/>
      <c r="S37" s="57"/>
      <c r="T37" s="59"/>
      <c r="U37" s="60"/>
      <c r="V37" s="61"/>
      <c r="W37" s="62"/>
      <c r="X37" s="61"/>
    </row>
    <row r="38" spans="2:24" ht="14.15" customHeight="1" x14ac:dyDescent="0.4">
      <c r="B38" s="329"/>
      <c r="D38" s="203" t="s">
        <v>70</v>
      </c>
      <c r="E38" s="63" t="s">
        <v>371</v>
      </c>
      <c r="F38" t="s">
        <v>37</v>
      </c>
      <c r="I38" s="69">
        <f t="array" aca="1" ref="I38" ca="1">SUM(INDIRECT($E38&amp;"["&amp;$F38&amp;"]")*(INDIRECT($E38&amp;"[yr]")=I$5)*(INDIRECT($E38&amp;"[wk]")=I$6)*(IF($G$2=0,1,(INDIRECT($E38&amp;"[siteflag]")=$G$2))))/1000</f>
        <v>22.773919999999997</v>
      </c>
      <c r="J38" s="69">
        <f t="array" aca="1" ref="J38" ca="1">SUM(INDIRECT($E38&amp;"["&amp;$F38&amp;"]")*(INDIRECT($E38&amp;"[yr]")=J$5)*(INDIRECT($E38&amp;"[wk]")=J$6)*(IF($G$2=0,1,(INDIRECT($E38&amp;"[siteflag]")=$G$2))))/1000</f>
        <v>23.09337</v>
      </c>
      <c r="K38" s="69">
        <f t="array" aca="1" ref="K38" ca="1">SUM(INDIRECT($E38&amp;"["&amp;$F38&amp;"]")*(INDIRECT($E38&amp;"[yr]")=K$5)*(INDIRECT($E38&amp;"[wk]")=K$6)*(IF($G$2=0,1,(INDIRECT($E38&amp;"[siteflag]")=$G$2))))/1000</f>
        <v>20.811250000000001</v>
      </c>
      <c r="L38" s="69">
        <f t="array" aca="1" ref="L38" ca="1">SUM(INDIRECT($E38&amp;"["&amp;$F38&amp;"]")*(INDIRECT($E38&amp;"[yr]")=L$5)*(INDIRECT($E38&amp;"[wk]")=L$6)*(IF($G$2=0,1,(INDIRECT($E38&amp;"[siteflag]")=$G$2))))/1000</f>
        <v>16.975069999999999</v>
      </c>
      <c r="M38" s="69">
        <f t="array" aca="1" ref="M38" ca="1">SUM(INDIRECT($E38&amp;"["&amp;$F38&amp;"]")*(INDIRECT($E38&amp;"[yr]")=M$5)*(INDIRECT($E38&amp;"[wk]")=M$6)*(IF($G$2=0,1,(INDIRECT($E38&amp;"[siteflag]")=$G$2))))/1000</f>
        <v>22.51125</v>
      </c>
      <c r="N38" s="69">
        <f t="array" aca="1" ref="N38" ca="1">SUM(INDIRECT($E38&amp;"["&amp;$F38&amp;"]")*(INDIRECT($E38&amp;"[yr]")=N$5)*(INDIRECT($E38&amp;"[wk]")=N$6)*(IF($G$2=0,1,(INDIRECT($E38&amp;"[siteflag]")=$G$2))))/1000</f>
        <v>22.46003</v>
      </c>
      <c r="O38" s="69">
        <f t="array" aca="1" ref="O38" ca="1">SUM(INDIRECT($E38&amp;"["&amp;$F38&amp;"]")*(INDIRECT($E38&amp;"[yr]")=O$5)*(INDIRECT($E38&amp;"[wk]")=O$6)*(IF($G$2=0,1,(INDIRECT($E38&amp;"[siteflag]")=$G$2))))/1000</f>
        <v>22.9163</v>
      </c>
      <c r="P38" s="69">
        <f t="array" aca="1" ref="P38" ca="1">SUM(INDIRECT($E38&amp;"["&amp;$F38&amp;"]")*(INDIRECT($E38&amp;"[yr]")=P$5)*(INDIRECT($E38&amp;"[wk]")=P$6)*(IF($G$2=0,1,(INDIRECT($E38&amp;"[siteflag]")=$G$2))))/1000</f>
        <v>22.432929999999999</v>
      </c>
      <c r="Q38" s="70">
        <f t="array" aca="1" ref="Q38" ca="1">SUM(INDIRECT($E38&amp;"["&amp;$F38&amp;"]")*(INDIRECT($E38&amp;"[yr]")=Q$5)*(INDIRECT($E38&amp;"[wk]")=Q$6)*(IF($G$2=0,1,(INDIRECT($E38&amp;"[siteflag]")=$G$2))))/1000</f>
        <v>22.551950000000001</v>
      </c>
      <c r="R38" s="69">
        <f t="array" aca="1" ref="R38" ca="1">SUM(INDIRECT($E38&amp;"["&amp;$F38&amp;"]")*(INDIRECT($E38&amp;"[yr]")=R$5)*(INDIRECT($E38&amp;"[wk]")=R$6)*(IF($G$2=0,1,(INDIRECT($E38&amp;"[siteflag]")=$G$2))))/1000</f>
        <v>22.247850000000003</v>
      </c>
      <c r="S38" s="69">
        <f t="array" aca="1" ref="S38" ca="1">SUM(INDIRECT($E38&amp;"["&amp;$F38&amp;"]")*(INDIRECT($E38&amp;"[yr]")=S$5)*(INDIRECT($E38&amp;"[wk]")=S$6)*(IF($G$2=0,1,(INDIRECT($E38&amp;"[siteflag]")=$G$2))))/1000</f>
        <v>23.30817</v>
      </c>
      <c r="T38" s="79">
        <f t="array" aca="1" ref="T38" ca="1">SUM(INDIRECT($E38&amp;"["&amp;$F38&amp;"]")*(INDIRECT($E38&amp;"[yr]")=T$5)*(INDIRECT($E38&amp;"[wk]")=T$6)*(IF($G$2=0,1,(INDIRECT($E38&amp;"[siteflag]")=$G$2))))/1000</f>
        <v>18.52224</v>
      </c>
      <c r="U38" s="72">
        <f ca="1">AVERAGE(Q38:T38)</f>
        <v>21.657552500000001</v>
      </c>
      <c r="V38" s="49">
        <f t="array" aca="1" ref="V38" ca="1">SUM(T38/S38)-1</f>
        <v>-0.20533272238875899</v>
      </c>
      <c r="W38" s="80"/>
      <c r="X38" s="49"/>
    </row>
    <row r="39" spans="2:24" ht="14.15" customHeight="1" x14ac:dyDescent="0.4">
      <c r="B39" s="329"/>
      <c r="D39" s="204" t="s">
        <v>67</v>
      </c>
      <c r="I39" s="74">
        <f t="array" aca="1" ref="I39" ca="1">IFERROR((I38/SUM(INDIRECT($E38&amp;"["&amp;$F38&amp;"]")*(INDIRECT($E38&amp;"[yr]")=(I$5-1))*(INDIRECT($E38&amp;"[wk]")=I$6)*(IF($G$2=0,1,(INDIRECT($E38&amp;"[siteflag]")=$G$2)))/1000)-1),0)</f>
        <v>0.29876191182257283</v>
      </c>
      <c r="J39" s="74">
        <f t="array" aca="1" ref="J39" ca="1">IFERROR((J38/SUM(INDIRECT($E38&amp;"["&amp;$F38&amp;"]")*(INDIRECT($E38&amp;"[yr]")=(J$5-1))*(INDIRECT($E38&amp;"[wk]")=J$6)*(IF($G$2=0,1,(INDIRECT($E38&amp;"[siteflag]")=$G$2)))/1000)-1),0)</f>
        <v>0.28392937361840653</v>
      </c>
      <c r="K39" s="74">
        <f t="array" aca="1" ref="K39" ca="1">IFERROR((K38/SUM(INDIRECT($E38&amp;"["&amp;$F38&amp;"]")*(INDIRECT($E38&amp;"[yr]")=(K$5-1))*(INDIRECT($E38&amp;"[wk]")=K$6)*(IF($G$2=0,1,(INDIRECT($E38&amp;"[siteflag]")=$G$2)))/1000)-1),0)</f>
        <v>0.36634220450439092</v>
      </c>
      <c r="L39" s="74">
        <f t="array" aca="1" ref="L39" ca="1">IFERROR((L38/SUM(INDIRECT($E38&amp;"["&amp;$F38&amp;"]")*(INDIRECT($E38&amp;"[yr]")=(L$5-1))*(INDIRECT($E38&amp;"[wk]")=L$6)*(IF($G$2=0,1,(INDIRECT($E38&amp;"[siteflag]")=$G$2)))/1000)-1),0)</f>
        <v>0.28887351780156667</v>
      </c>
      <c r="M39" s="74">
        <f t="array" aca="1" ref="M39" ca="1">IFERROR((M38/SUM(INDIRECT($E38&amp;"["&amp;$F38&amp;"]")*(INDIRECT($E38&amp;"[yr]")=(M$5-1))*(INDIRECT($E38&amp;"[wk]")=M$6)*(IF($G$2=0,1,(INDIRECT($E38&amp;"[siteflag]")=$G$2)))/1000)-1),0)</f>
        <v>0.46927422797222684</v>
      </c>
      <c r="N39" s="74">
        <f t="array" aca="1" ref="N39" ca="1">IFERROR((N38/SUM(INDIRECT($E38&amp;"["&amp;$F38&amp;"]")*(INDIRECT($E38&amp;"[yr]")=(N$5-1))*(INDIRECT($E38&amp;"[wk]")=N$6)*(IF($G$2=0,1,(INDIRECT($E38&amp;"[siteflag]")=$G$2)))/1000)-1),0)</f>
        <v>0.34709152173156776</v>
      </c>
      <c r="O39" s="74">
        <f t="array" aca="1" ref="O39" ca="1">IFERROR((O38/SUM(INDIRECT($E38&amp;"["&amp;$F38&amp;"]")*(INDIRECT($E38&amp;"[yr]")=(O$5-1))*(INDIRECT($E38&amp;"[wk]")=O$6)*(IF($G$2=0,1,(INDIRECT($E38&amp;"[siteflag]")=$G$2)))/1000)-1),0)</f>
        <v>0.37833037513841172</v>
      </c>
      <c r="P39" s="74">
        <f t="array" aca="1" ref="P39" ca="1">IFERROR((P38/SUM(INDIRECT($E38&amp;"["&amp;$F38&amp;"]")*(INDIRECT($E38&amp;"[yr]")=(P$5-1))*(INDIRECT($E38&amp;"[wk]")=P$6)*(IF($G$2=0,1,(INDIRECT($E38&amp;"[siteflag]")=$G$2)))/1000)-1),0)</f>
        <v>0.27549694102663236</v>
      </c>
      <c r="Q39" s="75">
        <f t="array" aca="1" ref="Q39" ca="1">IFERROR((Q38/SUM(INDIRECT($E38&amp;"["&amp;$F38&amp;"]")*(INDIRECT($E38&amp;"[yr]")=(Q$5-1))*(INDIRECT($E38&amp;"[wk]")=Q$6)*(IF($G$2=0,1,(INDIRECT($E38&amp;"[siteflag]")=$G$2)))/1000)-1),0)</f>
        <v>0.25224885558238164</v>
      </c>
      <c r="R39" s="74">
        <f t="array" aca="1" ref="R39" ca="1">IFERROR((R38/SUM(INDIRECT($E38&amp;"["&amp;$F38&amp;"]")*(INDIRECT($E38&amp;"[yr]")=(R$5-1))*(INDIRECT($E38&amp;"[wk]")=R$6)*(IF($G$2=0,1,(INDIRECT($E38&amp;"[siteflag]")=$G$2)))/1000)-1),0)</f>
        <v>0.23063498604684618</v>
      </c>
      <c r="S39" s="74">
        <f t="array" aca="1" ref="S39" ca="1">IFERROR((S38/SUM(INDIRECT($E38&amp;"["&amp;$F38&amp;"]")*(INDIRECT($E38&amp;"[yr]")=(S$5-1))*(INDIRECT($E38&amp;"[wk]")=S$6)*(IF($G$2=0,1,(INDIRECT($E38&amp;"[siteflag]")=$G$2)))/1000)-1),0)</f>
        <v>0.27303953723482399</v>
      </c>
      <c r="T39" s="76">
        <f t="array" aca="1" ref="T39" ca="1">IFERROR((T38/SUM(INDIRECT($E38&amp;"["&amp;$F38&amp;"]")*(INDIRECT($E38&amp;"[yr]")=(T$5-1))*(INDIRECT($E38&amp;"[wk]")=T$6)*(IF($G$2=0,1,(INDIRECT($E38&amp;"[siteflag]")=$G$2)))/1000)-1),0)</f>
        <v>-5.3799211049798235E-2</v>
      </c>
      <c r="U39" s="77">
        <f ca="1">SUMPRODUCT(Q39:T39,$Q$38:$T$38)/SUM($Q$38:$T$38)</f>
        <v>0.18685636574918854</v>
      </c>
      <c r="V39" s="81"/>
      <c r="W39" s="82"/>
      <c r="X39" s="81"/>
    </row>
    <row r="40" spans="2:24" ht="14.15" customHeight="1" x14ac:dyDescent="0.4">
      <c r="B40" s="329"/>
      <c r="D40" s="210" t="s">
        <v>71</v>
      </c>
      <c r="E40" s="223" t="s">
        <v>371</v>
      </c>
      <c r="F40" s="40" t="s">
        <v>72</v>
      </c>
      <c r="G40" s="40"/>
      <c r="H40" s="40"/>
      <c r="I40" s="50">
        <f t="array" aca="1" ref="I40" ca="1">SUM(INDIRECT($E40&amp;"["&amp;$F40&amp;"]")*(INDIRECT($E40&amp;"[yr]")=I$5)*(INDIRECT($E40&amp;"[wk]")=I$6)*(IF($G$2=0,1,(INDIRECT($E40&amp;"[siteflag]")=$G$2))))/SUM(INDIRECT($E38&amp;"["&amp;$F38&amp;"]")*(INDIRECT($E38&amp;"[yr]")=I$5)*(INDIRECT($E38&amp;"[wk]")=I$6)*(IF($G$2=0,1,(INDIRECT($E38&amp;"[siteflag]")=$G$2))))</f>
        <v>0</v>
      </c>
      <c r="J40" s="50">
        <f t="array" aca="1" ref="J40" ca="1">SUM(INDIRECT($E40&amp;"["&amp;$F40&amp;"]")*(INDIRECT($E40&amp;"[yr]")=J$5)*(INDIRECT($E40&amp;"[wk]")=J$6)*(IF($G$2=0,1,(INDIRECT($E40&amp;"[siteflag]")=$G$2))))/SUM(INDIRECT($E38&amp;"["&amp;$F38&amp;"]")*(INDIRECT($E38&amp;"[yr]")=J$5)*(INDIRECT($E38&amp;"[wk]")=J$6)*(IF($G$2=0,1,(INDIRECT($E38&amp;"[siteflag]")=$G$2))))</f>
        <v>0</v>
      </c>
      <c r="K40" s="50">
        <f t="array" aca="1" ref="K40" ca="1">SUM(INDIRECT($E40&amp;"["&amp;$F40&amp;"]")*(INDIRECT($E40&amp;"[yr]")=K$5)*(INDIRECT($E40&amp;"[wk]")=K$6)*(IF($G$2=0,1,(INDIRECT($E40&amp;"[siteflag]")=$G$2))))/SUM(INDIRECT($E38&amp;"["&amp;$F38&amp;"]")*(INDIRECT($E38&amp;"[yr]")=K$5)*(INDIRECT($E38&amp;"[wk]")=K$6)*(IF($G$2=0,1,(INDIRECT($E38&amp;"[siteflag]")=$G$2))))</f>
        <v>0</v>
      </c>
      <c r="L40" s="50">
        <f t="array" aca="1" ref="L40" ca="1">SUM(INDIRECT($E40&amp;"["&amp;$F40&amp;"]")*(INDIRECT($E40&amp;"[yr]")=L$5)*(INDIRECT($E40&amp;"[wk]")=L$6)*(IF($G$2=0,1,(INDIRECT($E40&amp;"[siteflag]")=$G$2))))/SUM(INDIRECT($E38&amp;"["&amp;$F38&amp;"]")*(INDIRECT($E38&amp;"[yr]")=L$5)*(INDIRECT($E38&amp;"[wk]")=L$6)*(IF($G$2=0,1,(INDIRECT($E38&amp;"[siteflag]")=$G$2))))</f>
        <v>0</v>
      </c>
      <c r="M40" s="50">
        <f t="array" aca="1" ref="M40" ca="1">SUM(INDIRECT($E40&amp;"["&amp;$F40&amp;"]")*(INDIRECT($E40&amp;"[yr]")=M$5)*(INDIRECT($E40&amp;"[wk]")=M$6)*(IF($G$2=0,1,(INDIRECT($E40&amp;"[siteflag]")=$G$2))))/SUM(INDIRECT($E38&amp;"["&amp;$F38&amp;"]")*(INDIRECT($E38&amp;"[yr]")=M$5)*(INDIRECT($E38&amp;"[wk]")=M$6)*(IF($G$2=0,1,(INDIRECT($E38&amp;"[siteflag]")=$G$2))))</f>
        <v>0</v>
      </c>
      <c r="N40" s="50">
        <f t="array" aca="1" ref="N40" ca="1">SUM(INDIRECT($E40&amp;"["&amp;$F40&amp;"]")*(INDIRECT($E40&amp;"[yr]")=N$5)*(INDIRECT($E40&amp;"[wk]")=N$6)*(IF($G$2=0,1,(INDIRECT($E40&amp;"[siteflag]")=$G$2))))/SUM(INDIRECT($E38&amp;"["&amp;$F38&amp;"]")*(INDIRECT($E38&amp;"[yr]")=N$5)*(INDIRECT($E38&amp;"[wk]")=N$6)*(IF($G$2=0,1,(INDIRECT($E38&amp;"[siteflag]")=$G$2))))</f>
        <v>0</v>
      </c>
      <c r="O40" s="50">
        <f t="array" aca="1" ref="O40" ca="1">SUM(INDIRECT($E40&amp;"["&amp;$F40&amp;"]")*(INDIRECT($E40&amp;"[yr]")=O$5)*(INDIRECT($E40&amp;"[wk]")=O$6)*(IF($G$2=0,1,(INDIRECT($E40&amp;"[siteflag]")=$G$2))))/SUM(INDIRECT($E38&amp;"["&amp;$F38&amp;"]")*(INDIRECT($E38&amp;"[yr]")=O$5)*(INDIRECT($E38&amp;"[wk]")=O$6)*(IF($G$2=0,1,(INDIRECT($E38&amp;"[siteflag]")=$G$2))))</f>
        <v>0</v>
      </c>
      <c r="P40" s="54">
        <f t="array" aca="1" ref="P40" ca="1">SUM(INDIRECT($E40&amp;"["&amp;$F40&amp;"]")*(INDIRECT($E40&amp;"[yr]")=P$5)*(INDIRECT($E40&amp;"[wk]")=P$6)*(IF($G$2=0,1,(INDIRECT($E40&amp;"[siteflag]")=$G$2))))/SUM(INDIRECT($E38&amp;"["&amp;$F38&amp;"]")*(INDIRECT($E38&amp;"[yr]")=P$5)*(INDIRECT($E38&amp;"[wk]")=P$6)*(IF($G$2=0,1,(INDIRECT($E38&amp;"[siteflag]")=$G$2))))</f>
        <v>0</v>
      </c>
      <c r="Q40" s="75">
        <f t="array" aca="1" ref="Q40" ca="1">SUM(INDIRECT($E40&amp;"["&amp;$F40&amp;"]")*(INDIRECT($E40&amp;"[yr]")=Q$5)*(INDIRECT($E40&amp;"[wk]")=Q$6)*(IF($G$2=0,1,(INDIRECT($E40&amp;"[siteflag]")=$G$2))))/SUM(INDIRECT($E38&amp;"["&amp;$F38&amp;"]")*(INDIRECT($E38&amp;"[yr]")=Q$5)*(INDIRECT($E38&amp;"[wk]")=Q$6)*(IF($G$2=0,1,(INDIRECT($E38&amp;"[siteflag]")=$G$2))))</f>
        <v>0</v>
      </c>
      <c r="R40" s="74">
        <f t="array" aca="1" ref="R40" ca="1">SUM(INDIRECT($E40&amp;"["&amp;$F40&amp;"]")*(INDIRECT($E40&amp;"[yr]")=R$5)*(INDIRECT($E40&amp;"[wk]")=R$6)*(IF($G$2=0,1,(INDIRECT($E40&amp;"[siteflag]")=$G$2))))/SUM(INDIRECT($E38&amp;"["&amp;$F38&amp;"]")*(INDIRECT($E38&amp;"[yr]")=R$5)*(INDIRECT($E38&amp;"[wk]")=R$6)*(IF($G$2=0,1,(INDIRECT($E38&amp;"[siteflag]")=$G$2))))</f>
        <v>0</v>
      </c>
      <c r="S40" s="74">
        <f t="array" aca="1" ref="S40" ca="1">SUM(INDIRECT($E40&amp;"["&amp;$F40&amp;"]")*(INDIRECT($E40&amp;"[yr]")=S$5)*(INDIRECT($E40&amp;"[wk]")=S$6)*(IF($G$2=0,1,(INDIRECT($E40&amp;"[siteflag]")=$G$2))))/SUM(INDIRECT($E38&amp;"["&amp;$F38&amp;"]")*(INDIRECT($E38&amp;"[yr]")=S$5)*(INDIRECT($E38&amp;"[wk]")=S$6)*(IF($G$2=0,1,(INDIRECT($E38&amp;"[siteflag]")=$G$2))))</f>
        <v>0</v>
      </c>
      <c r="T40" s="76">
        <f t="array" aca="1" ref="T40" ca="1">SUM(INDIRECT($E40&amp;"["&amp;$F40&amp;"]")*(INDIRECT($E40&amp;"[yr]")=T$5)*(INDIRECT($E40&amp;"[wk]")=T$6)*(IF($G$2=0,1,(INDIRECT($E40&amp;"[siteflag]")=$G$2))))/SUM(INDIRECT($E38&amp;"["&amp;$F38&amp;"]")*(INDIRECT($E38&amp;"[yr]")=T$5)*(INDIRECT($E38&amp;"[wk]")=T$6)*(IF($G$2=0,1,(INDIRECT($E38&amp;"[siteflag]")=$G$2))))</f>
        <v>0</v>
      </c>
      <c r="U40" s="77">
        <f ca="1">SUMPRODUCT(Q38:T38,Q40:T40)/SUM(Q38:T38)</f>
        <v>0</v>
      </c>
      <c r="V40" s="81">
        <f ca="1">IFERROR(SUM(T40/S40)-1,0)</f>
        <v>0</v>
      </c>
      <c r="W40" s="80"/>
      <c r="X40" s="89"/>
    </row>
    <row r="41" spans="2:24" ht="3" customHeight="1" x14ac:dyDescent="0.4">
      <c r="B41" s="329"/>
      <c r="D41" s="205"/>
      <c r="I41" s="74"/>
      <c r="J41" s="74"/>
      <c r="K41" s="74"/>
      <c r="L41" s="74"/>
      <c r="M41" s="74"/>
      <c r="N41" s="74"/>
      <c r="O41" s="74"/>
      <c r="P41" s="74"/>
      <c r="Q41" s="85"/>
      <c r="R41" s="84"/>
      <c r="S41" s="84"/>
      <c r="T41" s="86"/>
      <c r="U41" s="87"/>
      <c r="V41" s="68"/>
      <c r="W41" s="62"/>
      <c r="X41" s="68"/>
    </row>
    <row r="42" spans="2:24" ht="14.15" customHeight="1" x14ac:dyDescent="0.4">
      <c r="B42" s="329"/>
      <c r="D42" s="201" t="s">
        <v>357</v>
      </c>
      <c r="E42" s="63" t="s">
        <v>371</v>
      </c>
      <c r="F42" s="63" t="s">
        <v>356</v>
      </c>
      <c r="G42" s="63"/>
      <c r="H42" s="63"/>
      <c r="I42" s="197">
        <f t="array" aca="1" ref="I42" ca="1">SUM(INDIRECT($E42&amp;"["&amp;$F42&amp;"]")*(INDIRECT($E42&amp;"[yr]")=I$5)*(INDIRECT($E42&amp;"[wk]")=I$6)*(IF($G$2=0,1,(INDIRECT($E42&amp;"[siteflag]")=$G$2))))</f>
        <v>2</v>
      </c>
      <c r="J42" s="197">
        <f t="array" aca="1" ref="J42" ca="1">SUM(INDIRECT($E42&amp;"["&amp;$F42&amp;"]")*(INDIRECT($E42&amp;"[yr]")=J$5)*(INDIRECT($E42&amp;"[wk]")=J$6)*(IF($G$2=0,1,(INDIRECT($E42&amp;"[siteflag]")=$G$2))))</f>
        <v>6</v>
      </c>
      <c r="K42" s="197">
        <f t="array" aca="1" ref="K42" ca="1">SUM(INDIRECT($E42&amp;"["&amp;$F42&amp;"]")*(INDIRECT($E42&amp;"[yr]")=K$5)*(INDIRECT($E42&amp;"[wk]")=K$6)*(IF($G$2=0,1,(INDIRECT($E42&amp;"[siteflag]")=$G$2))))</f>
        <v>5</v>
      </c>
      <c r="L42" s="197">
        <f t="array" aca="1" ref="L42" ca="1">SUM(INDIRECT($E42&amp;"["&amp;$F42&amp;"]")*(INDIRECT($E42&amp;"[yr]")=L$5)*(INDIRECT($E42&amp;"[wk]")=L$6)*(IF($G$2=0,1,(INDIRECT($E42&amp;"[siteflag]")=$G$2))))</f>
        <v>6</v>
      </c>
      <c r="M42" s="197">
        <f t="array" aca="1" ref="M42" ca="1">SUM(INDIRECT($E42&amp;"["&amp;$F42&amp;"]")*(INDIRECT($E42&amp;"[yr]")=M$5)*(INDIRECT($E42&amp;"[wk]")=M$6)*(IF($G$2=0,1,(INDIRECT($E42&amp;"[siteflag]")=$G$2))))</f>
        <v>2</v>
      </c>
      <c r="N42" s="197">
        <f t="array" aca="1" ref="N42" ca="1">SUM(INDIRECT($E42&amp;"["&amp;$F42&amp;"]")*(INDIRECT($E42&amp;"[yr]")=N$5)*(INDIRECT($E42&amp;"[wk]")=N$6)*(IF($G$2=0,1,(INDIRECT($E42&amp;"[siteflag]")=$G$2))))</f>
        <v>3</v>
      </c>
      <c r="O42" s="197">
        <f t="array" aca="1" ref="O42" ca="1">SUM(INDIRECT($E42&amp;"["&amp;$F42&amp;"]")*(INDIRECT($E42&amp;"[yr]")=O$5)*(INDIRECT($E42&amp;"[wk]")=O$6)*(IF($G$2=0,1,(INDIRECT($E42&amp;"[siteflag]")=$G$2))))</f>
        <v>3</v>
      </c>
      <c r="P42" s="197">
        <f t="array" aca="1" ref="P42" ca="1">SUM(INDIRECT($E42&amp;"["&amp;$F42&amp;"]")*(INDIRECT($E42&amp;"[yr]")=P$5)*(INDIRECT($E42&amp;"[wk]")=P$6)*(IF($G$2=0,1,(INDIRECT($E42&amp;"[siteflag]")=$G$2))))</f>
        <v>2</v>
      </c>
      <c r="Q42" s="106">
        <f t="array" aca="1" ref="Q42" ca="1">SUM(INDIRECT($E42&amp;"["&amp;$F42&amp;"]")*(INDIRECT($E42&amp;"[yr]")=Q$5)*(INDIRECT($E42&amp;"[wk]")=Q$6)*(IF($G$2=0,1,(INDIRECT($E42&amp;"[siteflag]")=$G$2))))</f>
        <v>1</v>
      </c>
      <c r="R42" s="92">
        <f t="array" aca="1" ref="R42" ca="1">SUM(INDIRECT($E42&amp;"["&amp;$F42&amp;"]")*(INDIRECT($E42&amp;"[yr]")=R$5)*(INDIRECT($E42&amp;"[wk]")=R$6)*(IF($G$2=0,1,(INDIRECT($E42&amp;"[siteflag]")=$G$2))))</f>
        <v>5</v>
      </c>
      <c r="S42" s="92">
        <f t="array" aca="1" ref="S42" ca="1">SUM(INDIRECT($E42&amp;"["&amp;$F42&amp;"]")*(INDIRECT($E42&amp;"[yr]")=S$5)*(INDIRECT($E42&amp;"[wk]")=S$6)*(IF($G$2=0,1,(INDIRECT($E42&amp;"[siteflag]")=$G$2))))</f>
        <v>2</v>
      </c>
      <c r="T42" s="95">
        <f t="array" aca="1" ref="T42" ca="1">SUM(INDIRECT($E42&amp;"["&amp;$F42&amp;"]")*(INDIRECT($E42&amp;"[yr]")=T$5)*(INDIRECT($E42&amp;"[wk]")=T$6)*(IF($G$2=0,1,(INDIRECT($E42&amp;"[siteflag]")=$G$2))))</f>
        <v>43</v>
      </c>
      <c r="U42" s="72">
        <f t="array" aca="1" ref="U42" ca="1">SUM(Q42:T42)</f>
        <v>51</v>
      </c>
      <c r="V42" s="49">
        <f ca="1">IFERROR(SUM(T42/S42)-1,0)</f>
        <v>20.5</v>
      </c>
      <c r="W42" s="73"/>
      <c r="X42" s="49"/>
    </row>
    <row r="43" spans="2:24" ht="14.15" customHeight="1" x14ac:dyDescent="0.4">
      <c r="B43" s="329"/>
      <c r="D43" s="202" t="s">
        <v>67</v>
      </c>
      <c r="I43" s="74">
        <f t="array" aca="1" ref="I43" ca="1">IFERROR((I42/SUM(INDIRECT($E42&amp;"["&amp;$F42&amp;"]")*(INDIRECT($E42&amp;"[yr]")=(I$5-1))*(INDIRECT($E42&amp;"[wk]")=I$6)*(IF($G$2=0,1,(INDIRECT($E42&amp;"[siteflag]")=$G$2))))-1),0)</f>
        <v>0</v>
      </c>
      <c r="J43" s="74">
        <f t="array" aca="1" ref="J43" ca="1">IFERROR((J42/SUM(INDIRECT($E42&amp;"["&amp;$F42&amp;"]")*(INDIRECT($E42&amp;"[yr]")=(J$5-1))*(INDIRECT($E42&amp;"[wk]")=J$6)*(IF($G$2=0,1,(INDIRECT($E42&amp;"[siteflag]")=$G$2))))-1),0)</f>
        <v>2</v>
      </c>
      <c r="K43" s="74">
        <f t="array" aca="1" ref="K43" ca="1">IFERROR((K42/SUM(INDIRECT($E42&amp;"["&amp;$F42&amp;"]")*(INDIRECT($E42&amp;"[yr]")=(K$5-1))*(INDIRECT($E42&amp;"[wk]")=K$6)*(IF($G$2=0,1,(INDIRECT($E42&amp;"[siteflag]")=$G$2))))-1),0)</f>
        <v>4</v>
      </c>
      <c r="L43" s="74">
        <f t="array" aca="1" ref="L43" ca="1">IFERROR((L42/SUM(INDIRECT($E42&amp;"["&amp;$F42&amp;"]")*(INDIRECT($E42&amp;"[yr]")=(L$5-1))*(INDIRECT($E42&amp;"[wk]")=L$6)*(IF($G$2=0,1,(INDIRECT($E42&amp;"[siteflag]")=$G$2))))-1),0)</f>
        <v>0</v>
      </c>
      <c r="M43" s="74">
        <f t="array" aca="1" ref="M43" ca="1">IFERROR((M42/SUM(INDIRECT($E42&amp;"["&amp;$F42&amp;"]")*(INDIRECT($E42&amp;"[yr]")=(M$5-1))*(INDIRECT($E42&amp;"[wk]")=M$6)*(IF($G$2=0,1,(INDIRECT($E42&amp;"[siteflag]")=$G$2))))-1),0)</f>
        <v>0</v>
      </c>
      <c r="N43" s="74">
        <f t="array" aca="1" ref="N43" ca="1">IFERROR((N42/SUM(INDIRECT($E42&amp;"["&amp;$F42&amp;"]")*(INDIRECT($E42&amp;"[yr]")=(N$5-1))*(INDIRECT($E42&amp;"[wk]")=N$6)*(IF($G$2=0,1,(INDIRECT($E42&amp;"[siteflag]")=$G$2))))-1),0)</f>
        <v>0</v>
      </c>
      <c r="O43" s="74">
        <f t="array" aca="1" ref="O43" ca="1">IFERROR((O42/SUM(INDIRECT($E42&amp;"["&amp;$F42&amp;"]")*(INDIRECT($E42&amp;"[yr]")=(O$5-1))*(INDIRECT($E42&amp;"[wk]")=O$6)*(IF($G$2=0,1,(INDIRECT($E42&amp;"[siteflag]")=$G$2))))-1),0)</f>
        <v>0</v>
      </c>
      <c r="P43" s="74">
        <f t="array" aca="1" ref="P43" ca="1">IFERROR((P42/SUM(INDIRECT($E42&amp;"["&amp;$F42&amp;"]")*(INDIRECT($E42&amp;"[yr]")=(P$5-1))*(INDIRECT($E42&amp;"[wk]")=P$6)*(IF($G$2=0,1,(INDIRECT($E42&amp;"[siteflag]")=$G$2))))-1),0)</f>
        <v>-0.5</v>
      </c>
      <c r="Q43" s="75">
        <f t="array" aca="1" ref="Q43" ca="1">IFERROR((Q42/SUM(INDIRECT($E42&amp;"["&amp;$F42&amp;"]")*(INDIRECT($E42&amp;"[yr]")=(Q$5-1))*(INDIRECT($E42&amp;"[wk]")=Q$6)*(IF($G$2=0,1,(INDIRECT($E42&amp;"[siteflag]")=$G$2))))-1),0)</f>
        <v>-0.75</v>
      </c>
      <c r="R43" s="74">
        <f t="array" aca="1" ref="R43" ca="1">IFERROR((R42/SUM(INDIRECT($E42&amp;"["&amp;$F42&amp;"]")*(INDIRECT($E42&amp;"[yr]")=(R$5-1))*(INDIRECT($E42&amp;"[wk]")=R$6)*(IF($G$2=0,1,(INDIRECT($E42&amp;"[siteflag]")=$G$2))))-1),0)</f>
        <v>0.66666666666666674</v>
      </c>
      <c r="S43" s="74">
        <f t="array" aca="1" ref="S43" ca="1">IFERROR((S42/SUM(INDIRECT($E42&amp;"["&amp;$F42&amp;"]")*(INDIRECT($E42&amp;"[yr]")=(S$5-1))*(INDIRECT($E42&amp;"[wk]")=S$6)*(IF($G$2=0,1,(INDIRECT($E42&amp;"[siteflag]")=$G$2))))-1),0)</f>
        <v>-0.33333333333333337</v>
      </c>
      <c r="T43" s="76">
        <f t="array" aca="1" ref="T43" ca="1">IFERROR((T42/SUM(INDIRECT($E42&amp;"["&amp;$F42&amp;"]")*(INDIRECT($E42&amp;"[yr]")=(T$5-1))*(INDIRECT($E42&amp;"[wk]")=T$6)*(IF($G$2=0,1,(INDIRECT($E42&amp;"[siteflag]")=$G$2))))-1),0)</f>
        <v>7.6</v>
      </c>
      <c r="U43" s="77">
        <f ca="1">SUMPRODUCT(Q43:T43,$Q$35:$T$35)/SUM($Q$35:$T$35)</f>
        <v>0.68033216852347067</v>
      </c>
      <c r="V43" s="78"/>
      <c r="W43" s="67"/>
      <c r="X43" s="56"/>
    </row>
    <row r="44" spans="2:24" ht="3" customHeight="1" x14ac:dyDescent="0.4">
      <c r="B44" s="329"/>
      <c r="D44" s="206"/>
      <c r="E44" s="57"/>
      <c r="F44" s="57"/>
      <c r="G44" s="57"/>
      <c r="H44" s="57"/>
      <c r="I44" s="84"/>
      <c r="J44" s="84"/>
      <c r="K44" s="84"/>
      <c r="L44" s="84"/>
      <c r="M44" s="84"/>
      <c r="N44" s="84"/>
      <c r="O44" s="84"/>
      <c r="P44" s="84"/>
      <c r="Q44" s="85"/>
      <c r="R44" s="84"/>
      <c r="S44" s="84"/>
      <c r="T44" s="86"/>
      <c r="U44" s="87"/>
      <c r="V44" s="88"/>
      <c r="W44" s="62"/>
      <c r="X44" s="68"/>
    </row>
    <row r="45" spans="2:24" ht="14.15" customHeight="1" x14ac:dyDescent="0.4">
      <c r="B45" s="329"/>
      <c r="D45" s="203" t="s">
        <v>73</v>
      </c>
      <c r="E45" t="s">
        <v>45</v>
      </c>
      <c r="F45" t="s">
        <v>47</v>
      </c>
      <c r="I45" s="69">
        <f t="array" aca="1" ref="I45" ca="1">IF($G$2=0,(SUM(INDIRECT($E45&amp;"["&amp;$E46&amp;"]")*(INDIRECT($E45&amp;"[yr]")=I$5)*(INDIRECT($E45&amp;"[wk]")=I$6))/SUM(INDIRECT($E45&amp;"["&amp;$F46&amp;"]")*(INDIRECT($E45&amp;"[yr]")=I$5)*(INDIRECT($E45&amp;"[wk]")=I$6))),(SUM(INDIRECT($E45&amp;"["&amp;$F45&amp;"]")*(INDIRECT($E45&amp;"[yr]")=I$5)*(INDIRECT($E45&amp;"[wk]")=I$6)*(INDIRECT($E45&amp;"[siteflag]")=$G$2))))</f>
        <v>5.1055715318252419E-2</v>
      </c>
      <c r="J45" s="69">
        <f t="array" aca="1" ref="J45" ca="1">IF($G$2=0,(SUM(INDIRECT($E45&amp;"["&amp;$E46&amp;"]")*(INDIRECT($E45&amp;"[yr]")=J$5)*(INDIRECT($E45&amp;"[wk]")=J$6))/SUM(INDIRECT($E45&amp;"["&amp;$F46&amp;"]")*(INDIRECT($E45&amp;"[yr]")=J$5)*(INDIRECT($E45&amp;"[wk]")=J$6))),(SUM(INDIRECT($E45&amp;"["&amp;$F45&amp;"]")*(INDIRECT($E45&amp;"[yr]")=J$5)*(INDIRECT($E45&amp;"[wk]")=J$6)*(INDIRECT($E45&amp;"[siteflag]")=$G$2))))</f>
        <v>6.7751989004820073E-2</v>
      </c>
      <c r="K45" s="69">
        <f t="array" aca="1" ref="K45" ca="1">IF($G$2=0,(SUM(INDIRECT($E45&amp;"["&amp;$E46&amp;"]")*(INDIRECT($E45&amp;"[yr]")=K$5)*(INDIRECT($E45&amp;"[wk]")=K$6))/SUM(INDIRECT($E45&amp;"["&amp;$F46&amp;"]")*(INDIRECT($E45&amp;"[yr]")=K$5)*(INDIRECT($E45&amp;"[wk]")=K$6))),(SUM(INDIRECT($E45&amp;"["&amp;$F45&amp;"]")*(INDIRECT($E45&amp;"[yr]")=K$5)*(INDIRECT($E45&amp;"[wk]")=K$6)*(INDIRECT($E45&amp;"[siteflag]")=$G$2))))</f>
        <v>5.9993572117273151E-2</v>
      </c>
      <c r="L45" s="69">
        <f t="array" aca="1" ref="L45" ca="1">IF($G$2=0,(SUM(INDIRECT($E45&amp;"["&amp;$E46&amp;"]")*(INDIRECT($E45&amp;"[yr]")=L$5)*(INDIRECT($E45&amp;"[wk]")=L$6))/SUM(INDIRECT($E45&amp;"["&amp;$F46&amp;"]")*(INDIRECT($E45&amp;"[yr]")=L$5)*(INDIRECT($E45&amp;"[wk]")=L$6))),(SUM(INDIRECT($E45&amp;"["&amp;$F45&amp;"]")*(INDIRECT($E45&amp;"[yr]")=L$5)*(INDIRECT($E45&amp;"[wk]")=L$6)*(INDIRECT($E45&amp;"[siteflag]")=$G$2))))</f>
        <v>4.9804960864934036E-2</v>
      </c>
      <c r="M45" s="69">
        <f t="array" aca="1" ref="M45" ca="1">IF($G$2=0,(SUM(INDIRECT($E45&amp;"["&amp;$E46&amp;"]")*(INDIRECT($E45&amp;"[yr]")=M$5)*(INDIRECT($E45&amp;"[wk]")=M$6))/SUM(INDIRECT($E45&amp;"["&amp;$F46&amp;"]")*(INDIRECT($E45&amp;"[yr]")=M$5)*(INDIRECT($E45&amp;"[wk]")=M$6))),(SUM(INDIRECT($E45&amp;"["&amp;$F45&amp;"]")*(INDIRECT($E45&amp;"[yr]")=M$5)*(INDIRECT($E45&amp;"[wk]")=M$6)*(INDIRECT($E45&amp;"[siteflag]")=$G$2))))</f>
        <v>4.6463073924560866E-2</v>
      </c>
      <c r="N45" s="69">
        <f t="array" aca="1" ref="N45" ca="1">IF($G$2=0,(SUM(INDIRECT($E45&amp;"["&amp;$E46&amp;"]")*(INDIRECT($E45&amp;"[yr]")=N$5)*(INDIRECT($E45&amp;"[wk]")=N$6))/SUM(INDIRECT($E45&amp;"["&amp;$F46&amp;"]")*(INDIRECT($E45&amp;"[yr]")=N$5)*(INDIRECT($E45&amp;"[wk]")=N$6))),(SUM(INDIRECT($E45&amp;"["&amp;$F45&amp;"]")*(INDIRECT($E45&amp;"[yr]")=N$5)*(INDIRECT($E45&amp;"[wk]")=N$6)*(INDIRECT($E45&amp;"[siteflag]")=$G$2))))</f>
        <v>6.068392422710002E-2</v>
      </c>
      <c r="O45" s="69">
        <f t="array" aca="1" ref="O45" ca="1">IF($G$2=0,(SUM(INDIRECT($E45&amp;"["&amp;$E46&amp;"]")*(INDIRECT($E45&amp;"[yr]")=O$5)*(INDIRECT($E45&amp;"[wk]")=O$6))/SUM(INDIRECT($E45&amp;"["&amp;$F46&amp;"]")*(INDIRECT($E45&amp;"[yr]")=O$5)*(INDIRECT($E45&amp;"[wk]")=O$6))),(SUM(INDIRECT($E45&amp;"["&amp;$F45&amp;"]")*(INDIRECT($E45&amp;"[yr]")=O$5)*(INDIRECT($E45&amp;"[wk]")=O$6)*(INDIRECT($E45&amp;"[siteflag]")=$G$2))))</f>
        <v>5.8657197343328728E-2</v>
      </c>
      <c r="P45" s="69">
        <f t="array" aca="1" ref="P45" ca="1">IF($G$2=0,(SUM(INDIRECT($E45&amp;"["&amp;$E46&amp;"]")*(INDIRECT($E45&amp;"[yr]")=P$5)*(INDIRECT($E45&amp;"[wk]")=P$6))/SUM(INDIRECT($E45&amp;"["&amp;$F46&amp;"]")*(INDIRECT($E45&amp;"[yr]")=P$5)*(INDIRECT($E45&amp;"[wk]")=P$6))),(SUM(INDIRECT($E45&amp;"["&amp;$F45&amp;"]")*(INDIRECT($E45&amp;"[yr]")=P$5)*(INDIRECT($E45&amp;"[wk]")=P$6)*(INDIRECT($E45&amp;"[siteflag]")=$G$2))))</f>
        <v>5.4220382460119121E-2</v>
      </c>
      <c r="Q45" s="70">
        <f t="array" aca="1" ref="Q45" ca="1">IF($G$2=0,(SUM(INDIRECT($E45&amp;"["&amp;$E46&amp;"]")*(INDIRECT($E45&amp;"[yr]")=Q$5)*(INDIRECT($E45&amp;"[wk]")=Q$6))/SUM(INDIRECT($E45&amp;"["&amp;$F46&amp;"]")*(INDIRECT($E45&amp;"[yr]")=Q$5)*(INDIRECT($E45&amp;"[wk]")=Q$6))),(SUM(INDIRECT($E45&amp;"["&amp;$F45&amp;"]")*(INDIRECT($E45&amp;"[yr]")=Q$5)*(INDIRECT($E45&amp;"[wk]")=Q$6)*(INDIRECT($E45&amp;"[siteflag]")=$G$2))))</f>
        <v>4.494714599326341E-2</v>
      </c>
      <c r="R45" s="69">
        <f t="array" aca="1" ref="R45" ca="1">IF($G$2=0,(SUM(INDIRECT($E45&amp;"["&amp;$E46&amp;"]")*(INDIRECT($E45&amp;"[yr]")=R$5)*(INDIRECT($E45&amp;"[wk]")=R$6))/SUM(INDIRECT($E45&amp;"["&amp;$F46&amp;"]")*(INDIRECT($E45&amp;"[yr]")=R$5)*(INDIRECT($E45&amp;"[wk]")=R$6))),(SUM(INDIRECT($E45&amp;"["&amp;$F45&amp;"]")*(INDIRECT($E45&amp;"[yr]")=R$5)*(INDIRECT($E45&amp;"[wk]")=R$6)*(INDIRECT($E45&amp;"[siteflag]")=$G$2))))</f>
        <v>5.2142421494054181E-2</v>
      </c>
      <c r="S45" s="69">
        <f t="array" aca="1" ref="S45" ca="1">IF($G$2=0,(SUM(INDIRECT($E45&amp;"["&amp;$E46&amp;"]")*(INDIRECT($E45&amp;"[yr]")=S$5)*(INDIRECT($E45&amp;"[wk]")=S$6))/SUM(INDIRECT($E45&amp;"["&amp;$F46&amp;"]")*(INDIRECT($E45&amp;"[yr]")=S$5)*(INDIRECT($E45&amp;"[wk]")=S$6))),(SUM(INDIRECT($E45&amp;"["&amp;$F45&amp;"]")*(INDIRECT($E45&amp;"[yr]")=S$5)*(INDIRECT($E45&amp;"[wk]")=S$6)*(INDIRECT($E45&amp;"[siteflag]")=$G$2))))</f>
        <v>3.9979698252518577E-2</v>
      </c>
      <c r="T45" s="158">
        <f t="array" aca="1" ref="T45" ca="1">IF($G$2=0,(SUM(INDIRECT($E45&amp;"["&amp;$E46&amp;"]")*(INDIRECT($E45&amp;"[yr]")=T$5)*(INDIRECT($E45&amp;"[wk]")=T$6))/SUM(INDIRECT($E45&amp;"["&amp;$F46&amp;"]")*(INDIRECT($E45&amp;"[yr]")=T$5)*(INDIRECT($E45&amp;"[wk]")=T$6))),(SUM(INDIRECT($E45&amp;"["&amp;$F45&amp;"]")*(INDIRECT($E45&amp;"[yr]")=T$5)*(INDIRECT($E45&amp;"[wk]")=T$6)*(INDIRECT($E45&amp;"[siteflag]")=$G$2))))</f>
        <v>1.5069763175395663E-2</v>
      </c>
      <c r="U45" s="159">
        <f ca="1">AVERAGE(Q45:T45)</f>
        <v>3.8034757228807954E-2</v>
      </c>
      <c r="V45" s="89">
        <f t="array" aca="1" ref="V45" ca="1">SUM(T45/S45)-1</f>
        <v>-0.62306460943720798</v>
      </c>
      <c r="W45" s="90">
        <v>0.04</v>
      </c>
      <c r="X45" s="49"/>
    </row>
    <row r="46" spans="2:24" ht="14.15" customHeight="1" x14ac:dyDescent="0.4">
      <c r="B46" s="329"/>
      <c r="D46" s="204" t="s">
        <v>67</v>
      </c>
      <c r="E46" t="s">
        <v>48</v>
      </c>
      <c r="F46" t="s">
        <v>74</v>
      </c>
      <c r="I46" s="74">
        <f t="array" aca="1" ref="I46" ca="1">IFERROR(I45/(IF($G$2=0,(SUM(INDIRECT($E45&amp;"["&amp;$E46&amp;"]")*(INDIRECT($E45&amp;"[yr]")=(I$5-1))*(INDIRECT($E45&amp;"[wk]")=I$6))/SUM(INDIRECT($E45&amp;"["&amp;$F46&amp;"]")*(INDIRECT($E45&amp;"[yr]")=(I$5-1))*(INDIRECT($E45&amp;"[wk]")=I$6))),(SUM(INDIRECT($E45&amp;"["&amp;$E46&amp;"]")*(INDIRECT($E45&amp;"[yr]")=(I$5-1))*(INDIRECT($E45&amp;"[wk]")=I$6)*(INDIRECT($E45&amp;"[siteflag]")=$G$2))/SUM(INDIRECT($E45&amp;"["&amp;$F46&amp;"]")*(INDIRECT($E45&amp;"[yr]")=(I$5-1))*(INDIRECT($E45&amp;"[wk]")=I$6)*(INDIRECT($E45&amp;"[siteflag]")=$G$2)))))-1,0)</f>
        <v>-0.37871329908454665</v>
      </c>
      <c r="J46" s="74">
        <f t="array" aca="1" ref="J46" ca="1">IFERROR(J45/(IF($G$2=0,(SUM(INDIRECT($E45&amp;"["&amp;$E46&amp;"]")*(INDIRECT($E45&amp;"[yr]")=(J$5-1))*(INDIRECT($E45&amp;"[wk]")=J$6))/SUM(INDIRECT($E45&amp;"["&amp;$F46&amp;"]")*(INDIRECT($E45&amp;"[yr]")=(J$5-1))*(INDIRECT($E45&amp;"[wk]")=J$6))),(SUM(INDIRECT($E45&amp;"["&amp;$E46&amp;"]")*(INDIRECT($E45&amp;"[yr]")=(J$5-1))*(INDIRECT($E45&amp;"[wk]")=J$6)*(INDIRECT($E45&amp;"[siteflag]")=$G$2))/SUM(INDIRECT($E45&amp;"["&amp;$F46&amp;"]")*(INDIRECT($E45&amp;"[yr]")=(J$5-1))*(INDIRECT($E45&amp;"[wk]")=J$6)*(INDIRECT($E45&amp;"[siteflag]")=$G$2)))))-1,0)</f>
        <v>-0.37527620776672554</v>
      </c>
      <c r="K46" s="74">
        <f t="array" aca="1" ref="K46" ca="1">IFERROR(K45/(IF($G$2=0,(SUM(INDIRECT($E45&amp;"["&amp;$E46&amp;"]")*(INDIRECT($E45&amp;"[yr]")=(K$5-1))*(INDIRECT($E45&amp;"[wk]")=K$6))/SUM(INDIRECT($E45&amp;"["&amp;$F46&amp;"]")*(INDIRECT($E45&amp;"[yr]")=(K$5-1))*(INDIRECT($E45&amp;"[wk]")=K$6))),(SUM(INDIRECT($E45&amp;"["&amp;$E46&amp;"]")*(INDIRECT($E45&amp;"[yr]")=(K$5-1))*(INDIRECT($E45&amp;"[wk]")=K$6)*(INDIRECT($E45&amp;"[siteflag]")=$G$2))/SUM(INDIRECT($E45&amp;"["&amp;$F46&amp;"]")*(INDIRECT($E45&amp;"[yr]")=(K$5-1))*(INDIRECT($E45&amp;"[wk]")=K$6)*(INDIRECT($E45&amp;"[siteflag]")=$G$2)))))-1,0)</f>
        <v>-0.75454589664388072</v>
      </c>
      <c r="L46" s="74">
        <f t="array" aca="1" ref="L46" ca="1">IFERROR(L45/(IF($G$2=0,(SUM(INDIRECT($E45&amp;"["&amp;$E46&amp;"]")*(INDIRECT($E45&amp;"[yr]")=(L$5-1))*(INDIRECT($E45&amp;"[wk]")=L$6))/SUM(INDIRECT($E45&amp;"["&amp;$F46&amp;"]")*(INDIRECT($E45&amp;"[yr]")=(L$5-1))*(INDIRECT($E45&amp;"[wk]")=L$6))),(SUM(INDIRECT($E45&amp;"["&amp;$E46&amp;"]")*(INDIRECT($E45&amp;"[yr]")=(L$5-1))*(INDIRECT($E45&amp;"[wk]")=L$6)*(INDIRECT($E45&amp;"[siteflag]")=$G$2))/SUM(INDIRECT($E45&amp;"["&amp;$F46&amp;"]")*(INDIRECT($E45&amp;"[yr]")=(L$5-1))*(INDIRECT($E45&amp;"[wk]")=L$6)*(INDIRECT($E45&amp;"[siteflag]")=$G$2)))))-1,0)</f>
        <v>-0.25642104495010765</v>
      </c>
      <c r="M46" s="74">
        <f t="array" aca="1" ref="M46" ca="1">IFERROR(M45/(IF($G$2=0,(SUM(INDIRECT($E45&amp;"["&amp;$E46&amp;"]")*(INDIRECT($E45&amp;"[yr]")=(M$5-1))*(INDIRECT($E45&amp;"[wk]")=M$6))/SUM(INDIRECT($E45&amp;"["&amp;$F46&amp;"]")*(INDIRECT($E45&amp;"[yr]")=(M$5-1))*(INDIRECT($E45&amp;"[wk]")=M$6))),(SUM(INDIRECT($E45&amp;"["&amp;$E46&amp;"]")*(INDIRECT($E45&amp;"[yr]")=(M$5-1))*(INDIRECT($E45&amp;"[wk]")=M$6)*(INDIRECT($E45&amp;"[siteflag]")=$G$2))/SUM(INDIRECT($E45&amp;"["&amp;$F46&amp;"]")*(INDIRECT($E45&amp;"[yr]")=(M$5-1))*(INDIRECT($E45&amp;"[wk]")=M$6)*(INDIRECT($E45&amp;"[siteflag]")=$G$2)))))-1,0)</f>
        <v>-0.43087574345946744</v>
      </c>
      <c r="N46" s="74">
        <f t="array" aca="1" ref="N46" ca="1">IFERROR(N45/(IF($G$2=0,(SUM(INDIRECT($E45&amp;"["&amp;$E46&amp;"]")*(INDIRECT($E45&amp;"[yr]")=(N$5-1))*(INDIRECT($E45&amp;"[wk]")=N$6))/SUM(INDIRECT($E45&amp;"["&amp;$F46&amp;"]")*(INDIRECT($E45&amp;"[yr]")=(N$5-1))*(INDIRECT($E45&amp;"[wk]")=N$6))),(SUM(INDIRECT($E45&amp;"["&amp;$E46&amp;"]")*(INDIRECT($E45&amp;"[yr]")=(N$5-1))*(INDIRECT($E45&amp;"[wk]")=N$6)*(INDIRECT($E45&amp;"[siteflag]")=$G$2))/SUM(INDIRECT($E45&amp;"["&amp;$F46&amp;"]")*(INDIRECT($E45&amp;"[yr]")=(N$5-1))*(INDIRECT($E45&amp;"[wk]")=N$6)*(INDIRECT($E45&amp;"[siteflag]")=$G$2)))))-1,0)</f>
        <v>0.16248751337381795</v>
      </c>
      <c r="O46" s="74">
        <f t="array" aca="1" ref="O46" ca="1">IFERROR(O45/(IF($G$2=0,(SUM(INDIRECT($E45&amp;"["&amp;$E46&amp;"]")*(INDIRECT($E45&amp;"[yr]")=(O$5-1))*(INDIRECT($E45&amp;"[wk]")=O$6))/SUM(INDIRECT($E45&amp;"["&amp;$F46&amp;"]")*(INDIRECT($E45&amp;"[yr]")=(O$5-1))*(INDIRECT($E45&amp;"[wk]")=O$6))),(SUM(INDIRECT($E45&amp;"["&amp;$E46&amp;"]")*(INDIRECT($E45&amp;"[yr]")=(O$5-1))*(INDIRECT($E45&amp;"[wk]")=O$6)*(INDIRECT($E45&amp;"[siteflag]")=$G$2))/SUM(INDIRECT($E45&amp;"["&amp;$F46&amp;"]")*(INDIRECT($E45&amp;"[yr]")=(O$5-1))*(INDIRECT($E45&amp;"[wk]")=O$6)*(INDIRECT($E45&amp;"[siteflag]")=$G$2)))))-1,0)</f>
        <v>-4.9130734327814674E-2</v>
      </c>
      <c r="P46" s="74">
        <f t="array" aca="1" ref="P46" ca="1">IFERROR(P45/(IF($G$2=0,(SUM(INDIRECT($E45&amp;"["&amp;$E46&amp;"]")*(INDIRECT($E45&amp;"[yr]")=(P$5-1))*(INDIRECT($E45&amp;"[wk]")=P$6))/SUM(INDIRECT($E45&amp;"["&amp;$F46&amp;"]")*(INDIRECT($E45&amp;"[yr]")=(P$5-1))*(INDIRECT($E45&amp;"[wk]")=P$6))),(SUM(INDIRECT($E45&amp;"["&amp;$E46&amp;"]")*(INDIRECT($E45&amp;"[yr]")=(P$5-1))*(INDIRECT($E45&amp;"[wk]")=P$6)*(INDIRECT($E45&amp;"[siteflag]")=$G$2))/SUM(INDIRECT($E45&amp;"["&amp;$F46&amp;"]")*(INDIRECT($E45&amp;"[yr]")=(P$5-1))*(INDIRECT($E45&amp;"[wk]")=P$6)*(INDIRECT($E45&amp;"[siteflag]")=$G$2)))))-1,0)</f>
        <v>0.57455990664185919</v>
      </c>
      <c r="Q46" s="51">
        <f t="array" aca="1" ref="Q46" ca="1">IFERROR(Q45/(IF($G$2=0,(SUM(INDIRECT($E45&amp;"["&amp;$E46&amp;"]")*(INDIRECT($E45&amp;"[yr]")=(Q$5-1))*(INDIRECT($E45&amp;"[wk]")=Q$6))/SUM(INDIRECT($E45&amp;"["&amp;$F46&amp;"]")*(INDIRECT($E45&amp;"[yr]")=(Q$5-1))*(INDIRECT($E45&amp;"[wk]")=Q$6))),(SUM(INDIRECT($E45&amp;"["&amp;$E46&amp;"]")*(INDIRECT($E45&amp;"[yr]")=(Q$5-1))*(INDIRECT($E45&amp;"[wk]")=Q$6)*(INDIRECT($E45&amp;"[siteflag]")=$G$2))/SUM(INDIRECT($E45&amp;"["&amp;$F46&amp;"]")*(INDIRECT($E45&amp;"[yr]")=(Q$5-1))*(INDIRECT($E45&amp;"[wk]")=Q$6)*(INDIRECT($E45&amp;"[siteflag]")=$G$2)))))-1,0)</f>
        <v>8.2438104096944409E-2</v>
      </c>
      <c r="R46" s="74">
        <f t="array" aca="1" ref="R46" ca="1">IFERROR(R45/(IF($G$2=0,(SUM(INDIRECT($E45&amp;"["&amp;$E46&amp;"]")*(INDIRECT($E45&amp;"[yr]")=(R$5-1))*(INDIRECT($E45&amp;"[wk]")=R$6))/SUM(INDIRECT($E45&amp;"["&amp;$F46&amp;"]")*(INDIRECT($E45&amp;"[yr]")=(R$5-1))*(INDIRECT($E45&amp;"[wk]")=R$6))),(SUM(INDIRECT($E45&amp;"["&amp;$E46&amp;"]")*(INDIRECT($E45&amp;"[yr]")=(R$5-1))*(INDIRECT($E45&amp;"[wk]")=R$6)*(INDIRECT($E45&amp;"[siteflag]")=$G$2))/SUM(INDIRECT($E45&amp;"["&amp;$F46&amp;"]")*(INDIRECT($E45&amp;"[yr]")=(R$5-1))*(INDIRECT($E45&amp;"[wk]")=R$6)*(INDIRECT($E45&amp;"[siteflag]")=$G$2)))))-1,0)</f>
        <v>7.3708426209497135E-2</v>
      </c>
      <c r="S46" s="74">
        <f t="array" aca="1" ref="S46" ca="1">IFERROR(S45/(IF($G$2=0,(SUM(INDIRECT($E45&amp;"["&amp;$E46&amp;"]")*(INDIRECT($E45&amp;"[yr]")=(S$5-1))*(INDIRECT($E45&amp;"[wk]")=S$6))/SUM(INDIRECT($E45&amp;"["&amp;$F46&amp;"]")*(INDIRECT($E45&amp;"[yr]")=(S$5-1))*(INDIRECT($E45&amp;"[wk]")=S$6))),(SUM(INDIRECT($E45&amp;"["&amp;$E46&amp;"]")*(INDIRECT($E45&amp;"[yr]")=(S$5-1))*(INDIRECT($E45&amp;"[wk]")=S$6)*(INDIRECT($E45&amp;"[siteflag]")=$G$2))/SUM(INDIRECT($E45&amp;"["&amp;$F46&amp;"]")*(INDIRECT($E45&amp;"[yr]")=(S$5-1))*(INDIRECT($E45&amp;"[wk]")=S$6)*(INDIRECT($E45&amp;"[siteflag]")=$G$2)))))-1,0)</f>
        <v>-0.93165582140959347</v>
      </c>
      <c r="T46" s="76">
        <f t="array" aca="1" ref="T46" ca="1">IFERROR(T45/(IF($G$2=0,(SUM(INDIRECT($E45&amp;"["&amp;$E46&amp;"]")*(INDIRECT($E45&amp;"[yr]")=(T$5-1))*(INDIRECT($E45&amp;"[wk]")=T$6))/SUM(INDIRECT($E45&amp;"["&amp;$F46&amp;"]")*(INDIRECT($E45&amp;"[yr]")=(T$5-1))*(INDIRECT($E45&amp;"[wk]")=T$6))),(SUM(INDIRECT($E45&amp;"["&amp;$E46&amp;"]")*(INDIRECT($E45&amp;"[yr]")=(T$5-1))*(INDIRECT($E45&amp;"[wk]")=T$6)*(INDIRECT($E45&amp;"[siteflag]")=$G$2))/SUM(INDIRECT($E45&amp;"["&amp;$F46&amp;"]")*(INDIRECT($E45&amp;"[yr]")=(T$5-1))*(INDIRECT($E45&amp;"[wk]")=T$6)*(INDIRECT($E45&amp;"[siteflag]")=$G$2)))))-1,0)</f>
        <v>-0.79040852071064494</v>
      </c>
      <c r="U46" s="77">
        <f ca="1">SUMPRODUCT(Q45:T45,Q46:T46)/SUM(Q45:T45)</f>
        <v>-0.27349914616540605</v>
      </c>
      <c r="V46" s="91"/>
      <c r="W46" s="80"/>
      <c r="X46" s="56"/>
    </row>
    <row r="47" spans="2:24" ht="3" customHeight="1" x14ac:dyDescent="0.4">
      <c r="B47" s="329"/>
      <c r="D47" s="206"/>
      <c r="E47" s="57"/>
      <c r="F47" s="57"/>
      <c r="G47" s="57"/>
      <c r="H47" s="57"/>
      <c r="I47" s="84"/>
      <c r="J47" s="84"/>
      <c r="K47" s="84"/>
      <c r="L47" s="84"/>
      <c r="M47" s="84"/>
      <c r="N47" s="84"/>
      <c r="O47" s="84"/>
      <c r="P47" s="84"/>
      <c r="Q47" s="85"/>
      <c r="R47" s="84"/>
      <c r="S47" s="84"/>
      <c r="T47" s="86"/>
      <c r="U47" s="87"/>
      <c r="V47" s="88"/>
      <c r="W47" s="62"/>
      <c r="X47" s="68"/>
    </row>
    <row r="48" spans="2:24" ht="14.15" customHeight="1" x14ac:dyDescent="0.4">
      <c r="B48" s="329"/>
      <c r="D48" s="203" t="s">
        <v>75</v>
      </c>
      <c r="I48" s="92">
        <f t="array" aca="1" ref="I48" ca="1">IF($G$2=0,(SUM(INDIRECT($E49&amp;"["&amp;$F49&amp;"]")*(INDIRECT($E49&amp;"[yr]")=I$5)*(INDIRECT($E49&amp;"[wk]")=I$6))),(SUM(INDIRECT($E49&amp;"["&amp;$F49&amp;"]")*(INDIRECT($E49&amp;"[yr]")=I$5)*(INDIRECT($E49&amp;"[wk]")=I$6)*(INDIRECT($E49&amp;"[siteflag]")=$G$2))))/100</f>
        <v>166</v>
      </c>
      <c r="J48" s="92">
        <f t="array" aca="1" ref="J48" ca="1">IF($G$2=0,(SUM(INDIRECT($E49&amp;"["&amp;$F49&amp;"]")*(INDIRECT($E49&amp;"[yr]")=J$5)*(INDIRECT($E49&amp;"[wk]")=J$6))),(SUM(INDIRECT($E49&amp;"["&amp;$F49&amp;"]")*(INDIRECT($E49&amp;"[yr]")=J$5)*(INDIRECT($E49&amp;"[wk]")=J$6)*(INDIRECT($E49&amp;"[siteflag]")=$G$2))))/100</f>
        <v>210</v>
      </c>
      <c r="K48" s="92">
        <f t="array" aca="1" ref="K48" ca="1">IF($G$2=0,(SUM(INDIRECT($E49&amp;"["&amp;$F49&amp;"]")*(INDIRECT($E49&amp;"[yr]")=K$5)*(INDIRECT($E49&amp;"[wk]")=K$6))),(SUM(INDIRECT($E49&amp;"["&amp;$F49&amp;"]")*(INDIRECT($E49&amp;"[yr]")=K$5)*(INDIRECT($E49&amp;"[wk]")=K$6)*(INDIRECT($E49&amp;"[siteflag]")=$G$2))))/100</f>
        <v>168</v>
      </c>
      <c r="L48" s="92">
        <f t="array" aca="1" ref="L48" ca="1">IF($G$2=0,(SUM(INDIRECT($E49&amp;"["&amp;$F49&amp;"]")*(INDIRECT($E49&amp;"[yr]")=L$5)*(INDIRECT($E49&amp;"[wk]")=L$6))),(SUM(INDIRECT($E49&amp;"["&amp;$F49&amp;"]")*(INDIRECT($E49&amp;"[yr]")=L$5)*(INDIRECT($E49&amp;"[wk]")=L$6)*(INDIRECT($E49&amp;"[siteflag]")=$G$2))))/100</f>
        <v>137</v>
      </c>
      <c r="M48" s="92">
        <f t="array" aca="1" ref="M48" ca="1">IF($G$2=0,(SUM(INDIRECT($E49&amp;"["&amp;$F49&amp;"]")*(INDIRECT($E49&amp;"[yr]")=M$5)*(INDIRECT($E49&amp;"[wk]")=M$6))),(SUM(INDIRECT($E49&amp;"["&amp;$F49&amp;"]")*(INDIRECT($E49&amp;"[yr]")=M$5)*(INDIRECT($E49&amp;"[wk]")=M$6)*(INDIRECT($E49&amp;"[siteflag]")=$G$2))))/100</f>
        <v>154</v>
      </c>
      <c r="N48" s="92">
        <f t="array" aca="1" ref="N48" ca="1">IF($G$2=0,(SUM(INDIRECT($E49&amp;"["&amp;$F49&amp;"]")*(INDIRECT($E49&amp;"[yr]")=N$5)*(INDIRECT($E49&amp;"[wk]")=N$6))),(SUM(INDIRECT($E49&amp;"["&amp;$F49&amp;"]")*(INDIRECT($E49&amp;"[yr]")=N$5)*(INDIRECT($E49&amp;"[wk]")=N$6)*(INDIRECT($E49&amp;"[siteflag]")=$G$2))))/100</f>
        <v>222</v>
      </c>
      <c r="O48" s="92">
        <f t="array" aca="1" ref="O48" ca="1">IF($G$2=0,(SUM(INDIRECT($E49&amp;"["&amp;$F49&amp;"]")*(INDIRECT($E49&amp;"[yr]")=O$5)*(INDIRECT($E49&amp;"[wk]")=O$6))),(SUM(INDIRECT($E49&amp;"["&amp;$F49&amp;"]")*(INDIRECT($E49&amp;"[yr]")=O$5)*(INDIRECT($E49&amp;"[wk]")=O$6)*(INDIRECT($E49&amp;"[siteflag]")=$G$2))))/100</f>
        <v>223</v>
      </c>
      <c r="P48" s="93">
        <f t="array" aca="1" ref="P48" ca="1">IF($G$2=0,(SUM(INDIRECT($E49&amp;"["&amp;$F49&amp;"]")*(INDIRECT($E49&amp;"[yr]")=P$5)*(INDIRECT($E49&amp;"[wk]")=P$6))),(SUM(INDIRECT($E49&amp;"["&amp;$F49&amp;"]")*(INDIRECT($E49&amp;"[yr]")=P$5)*(INDIRECT($E49&amp;"[wk]")=P$6)*(INDIRECT($E49&amp;"[siteflag]")=$G$2))))/100</f>
        <v>197</v>
      </c>
      <c r="Q48" s="94">
        <f t="array" aca="1" ref="Q48" ca="1">IF($G$2=0,(SUM(INDIRECT($E49&amp;"["&amp;$F49&amp;"]")*(INDIRECT($E49&amp;"[yr]")=Q$5)*(INDIRECT($E49&amp;"[wk]")=Q$6))),(SUM(INDIRECT($E49&amp;"["&amp;$F49&amp;"]")*(INDIRECT($E49&amp;"[yr]")=Q$5)*(INDIRECT($E49&amp;"[wk]")=Q$6)*(INDIRECT($E49&amp;"[siteflag]")=$G$2))))/100</f>
        <v>164</v>
      </c>
      <c r="R48" s="92">
        <f t="array" aca="1" ref="R48" ca="1">IF($G$2=0,(SUM(INDIRECT($E49&amp;"["&amp;$F49&amp;"]")*(INDIRECT($E49&amp;"[yr]")=R$5)*(INDIRECT($E49&amp;"[wk]")=R$6))),(SUM(INDIRECT($E49&amp;"["&amp;$F49&amp;"]")*(INDIRECT($E49&amp;"[yr]")=R$5)*(INDIRECT($E49&amp;"[wk]")=R$6)*(INDIRECT($E49&amp;"[siteflag]")=$G$2))))/100</f>
        <v>165</v>
      </c>
      <c r="S48" s="92">
        <f t="array" aca="1" ref="S48" ca="1">IF($G$2=0,(SUM(INDIRECT($E49&amp;"["&amp;$F49&amp;"]")*(INDIRECT($E49&amp;"[yr]")=S$5)*(INDIRECT($E49&amp;"[wk]")=S$6))),(SUM(INDIRECT($E49&amp;"["&amp;$F49&amp;"]")*(INDIRECT($E49&amp;"[yr]")=S$5)*(INDIRECT($E49&amp;"[wk]")=S$6)*(INDIRECT($E49&amp;"[siteflag]")=$G$2))))/100</f>
        <v>141</v>
      </c>
      <c r="T48" s="160">
        <f t="array" aca="1" ref="T48" ca="1">IF($G$2=0,(SUM(INDIRECT($E49&amp;"["&amp;$F49&amp;"]")*(INDIRECT($E49&amp;"[yr]")=T$5)*(INDIRECT($E49&amp;"[wk]")=T$6))),(SUM(INDIRECT($E49&amp;"["&amp;$F49&amp;"]")*(INDIRECT($E49&amp;"[yr]")=T$5)*(INDIRECT($E49&amp;"[wk]")=T$6)*(INDIRECT($E49&amp;"[siteflag]")=$G$2))))/100</f>
        <v>46</v>
      </c>
      <c r="U48" s="161">
        <f ca="1">AVERAGE(Q48:T48)</f>
        <v>129</v>
      </c>
      <c r="V48" s="81">
        <f t="array" aca="1" ref="V48" ca="1">SUM(T48/S48)-1</f>
        <v>-0.67375886524822692</v>
      </c>
      <c r="W48" s="97">
        <f ca="1">ROUNDUP(S66*W45*10,0)</f>
        <v>140</v>
      </c>
      <c r="X48" s="49"/>
    </row>
    <row r="49" spans="2:24" ht="14.15" customHeight="1" x14ac:dyDescent="0.4">
      <c r="B49" s="329"/>
      <c r="D49" s="204" t="s">
        <v>67</v>
      </c>
      <c r="E49" t="s">
        <v>45</v>
      </c>
      <c r="F49" t="s">
        <v>48</v>
      </c>
      <c r="I49" s="276">
        <f t="array" aca="1" ref="I49" ca="1">IFERROR(I48/(IF($G$2=0,(SUM(INDIRECT($E49&amp;"["&amp;$F49&amp;"]")*(INDIRECT($E49&amp;"[yr]")=(I$5-1))*(INDIRECT($E49&amp;"[wk]")=I$6))),(SUM(INDIRECT($E49&amp;"["&amp;$F49&amp;"]")*(INDIRECT($E49&amp;"[yr]")=(I$5-1))*(INDIRECT($E49&amp;"[wk]")=I$6)*(INDIRECT($E49&amp;"[siteflag]")=$G$2))))/100)-1,0)</f>
        <v>-0.28755364806866957</v>
      </c>
      <c r="J49" s="276">
        <f t="array" aca="1" ref="J49" ca="1">IFERROR(J48/(IF($G$2=0,(SUM(INDIRECT($E49&amp;"["&amp;$F49&amp;"]")*(INDIRECT($E49&amp;"[yr]")=(J$5-1))*(INDIRECT($E49&amp;"[wk]")=J$6))),(SUM(INDIRECT($E49&amp;"["&amp;$F49&amp;"]")*(INDIRECT($E49&amp;"[yr]")=(J$5-1))*(INDIRECT($E49&amp;"[wk]")=J$6)*(INDIRECT($E49&amp;"[siteflag]")=$G$2))))/100)-1,0)</f>
        <v>-0.25531914893617025</v>
      </c>
      <c r="K49" s="276">
        <f t="array" aca="1" ref="K49" ca="1">IFERROR(K48/(IF($G$2=0,(SUM(INDIRECT($E49&amp;"["&amp;$F49&amp;"]")*(INDIRECT($E49&amp;"[yr]")=(K$5-1))*(INDIRECT($E49&amp;"[wk]")=K$6))),(SUM(INDIRECT($E49&amp;"["&amp;$F49&amp;"]")*(INDIRECT($E49&amp;"[yr]")=(K$5-1))*(INDIRECT($E49&amp;"[wk]")=K$6)*(INDIRECT($E49&amp;"[siteflag]")=$G$2))))/100)-1,0)</f>
        <v>-0.71859296482412061</v>
      </c>
      <c r="L49" s="276">
        <f t="array" aca="1" ref="L49" ca="1">IFERROR(L48/(IF($G$2=0,(SUM(INDIRECT($E49&amp;"["&amp;$F49&amp;"]")*(INDIRECT($E49&amp;"[yr]")=(L$5-1))*(INDIRECT($E49&amp;"[wk]")=L$6))),(SUM(INDIRECT($E49&amp;"["&amp;$F49&amp;"]")*(INDIRECT($E49&amp;"[yr]")=(L$5-1))*(INDIRECT($E49&amp;"[wk]")=L$6)*(INDIRECT($E49&amp;"[siteflag]")=$G$2))))/100)-1,0)</f>
        <v>-0.16463414634146345</v>
      </c>
      <c r="M49" s="276">
        <f t="array" aca="1" ref="M49" ca="1">IFERROR(M48/(IF($G$2=0,(SUM(INDIRECT($E49&amp;"["&amp;$F49&amp;"]")*(INDIRECT($E49&amp;"[yr]")=(M$5-1))*(INDIRECT($E49&amp;"[wk]")=M$6))),(SUM(INDIRECT($E49&amp;"["&amp;$F49&amp;"]")*(INDIRECT($E49&amp;"[yr]")=(M$5-1))*(INDIRECT($E49&amp;"[wk]")=M$6)*(INDIRECT($E49&amp;"[siteflag]")=$G$2))))/100)-1,0)</f>
        <v>-0.35833333333333328</v>
      </c>
      <c r="N49" s="276">
        <f t="array" aca="1" ref="N49" ca="1">IFERROR(N48/(IF($G$2=0,(SUM(INDIRECT($E49&amp;"["&amp;$F49&amp;"]")*(INDIRECT($E49&amp;"[yr]")=(N$5-1))*(INDIRECT($E49&amp;"[wk]")=N$6))),(SUM(INDIRECT($E49&amp;"["&amp;$F49&amp;"]")*(INDIRECT($E49&amp;"[yr]")=(N$5-1))*(INDIRECT($E49&amp;"[wk]")=N$6)*(INDIRECT($E49&amp;"[siteflag]")=$G$2))))/100)-1,0)</f>
        <v>0.29824561403508776</v>
      </c>
      <c r="O49" s="276">
        <f t="array" aca="1" ref="O49" ca="1">IFERROR(O48/(IF($G$2=0,(SUM(INDIRECT($E49&amp;"["&amp;$F49&amp;"]")*(INDIRECT($E49&amp;"[yr]")=(O$5-1))*(INDIRECT($E49&amp;"[wk]")=O$6))),(SUM(INDIRECT($E49&amp;"["&amp;$F49&amp;"]")*(INDIRECT($E49&amp;"[yr]")=(O$5-1))*(INDIRECT($E49&amp;"[wk]")=O$6)*(INDIRECT($E49&amp;"[siteflag]")=$G$2))))/100)-1,0)</f>
        <v>0.14358974358974352</v>
      </c>
      <c r="P49" s="277">
        <f t="array" aca="1" ref="P49" ca="1">IFERROR(P48/(IF($G$2=0,(SUM(INDIRECT($E49&amp;"["&amp;$F49&amp;"]")*(INDIRECT($E49&amp;"[yr]")=(P$5-1))*(INDIRECT($E49&amp;"[wk]")=P$6))),(SUM(INDIRECT($E49&amp;"["&amp;$F49&amp;"]")*(INDIRECT($E49&amp;"[yr]")=(P$5-1))*(INDIRECT($E49&amp;"[wk]")=P$6)*(INDIRECT($E49&amp;"[siteflag]")=$G$2))))/100)-1,0)</f>
        <v>0.71304347826086967</v>
      </c>
      <c r="Q49" s="276">
        <f t="array" aca="1" ref="Q49" ca="1">IFERROR(Q48/(IF($G$2=0,(SUM(INDIRECT($E49&amp;"["&amp;$F49&amp;"]")*(INDIRECT($E49&amp;"[yr]")=(Q$5-1))*(INDIRECT($E49&amp;"[wk]")=Q$6))),(SUM(INDIRECT($E49&amp;"["&amp;$F49&amp;"]")*(INDIRECT($E49&amp;"[yr]")=(Q$5-1))*(INDIRECT($E49&amp;"[wk]")=Q$6)*(INDIRECT($E49&amp;"[siteflag]")=$G$2))))/100)-1,0)</f>
        <v>0.12328767123287676</v>
      </c>
      <c r="R49" s="276">
        <f t="array" aca="1" ref="R49" ca="1">IFERROR(R48/(IF($G$2=0,(SUM(INDIRECT($E49&amp;"["&amp;$F49&amp;"]")*(INDIRECT($E49&amp;"[yr]")=(R$5-1))*(INDIRECT($E49&amp;"[wk]")=R$6))),(SUM(INDIRECT($E49&amp;"["&amp;$F49&amp;"]")*(INDIRECT($E49&amp;"[yr]")=(R$5-1))*(INDIRECT($E49&amp;"[wk]")=R$6)*(INDIRECT($E49&amp;"[siteflag]")=$G$2))))/100)-1,0)</f>
        <v>1.2269938650306678E-2</v>
      </c>
      <c r="S49" s="283">
        <f t="array" aca="1" ref="S49" ca="1">IFERROR(S48/(IF($G$2=0,(SUM(INDIRECT($E49&amp;"["&amp;$F49&amp;"]")*(INDIRECT($E49&amp;"[yr]")=(S$5-1))*(INDIRECT($E49&amp;"[wk]")=S$6))),(SUM(INDIRECT($E49&amp;"["&amp;$F49&amp;"]")*(INDIRECT($E49&amp;"[yr]")=(S$5-1))*(INDIRECT($E49&amp;"[wk]")=S$6)*(INDIRECT($E49&amp;"[siteflag]")=$G$2))))/100)-1,0)</f>
        <v>-0.92911010558069385</v>
      </c>
      <c r="T49" s="99">
        <f t="array" aca="1" ref="T49" ca="1">IFERROR(T48/(IF($G$2=0,(SUM(INDIRECT($E49&amp;"["&amp;$F49&amp;"]")*(INDIRECT($E49&amp;"[yr]")=(T$5-1))*(INDIRECT($E49&amp;"[wk]")=T$6))),(SUM(INDIRECT($E49&amp;"["&amp;$F49&amp;"]")*(INDIRECT($E49&amp;"[yr]")=(T$5-1))*(INDIRECT($E49&amp;"[wk]")=T$6)*(INDIRECT($E49&amp;"[siteflag]")=$G$2))))/100)-1,0)</f>
        <v>-0.85758513931888547</v>
      </c>
      <c r="U49" s="77">
        <f ca="1">SUMPRODUCT(Q48:T48,Q49:T49)/SUM(Q48:T48)</f>
        <v>-0.28722814600010504</v>
      </c>
      <c r="V49" s="91"/>
      <c r="W49" s="80"/>
      <c r="X49" s="56"/>
    </row>
    <row r="50" spans="2:24" ht="3" customHeight="1" x14ac:dyDescent="0.4">
      <c r="B50" s="329"/>
      <c r="D50" s="207"/>
      <c r="E50" s="57"/>
      <c r="F50" s="57"/>
      <c r="G50" s="57"/>
      <c r="H50" s="57"/>
      <c r="I50" s="100"/>
      <c r="J50" s="100"/>
      <c r="K50" s="100"/>
      <c r="L50" s="100"/>
      <c r="M50" s="100"/>
      <c r="N50" s="100"/>
      <c r="O50" s="100"/>
      <c r="P50" s="100"/>
      <c r="Q50" s="101"/>
      <c r="R50" s="100"/>
      <c r="S50" s="100"/>
      <c r="T50" s="102"/>
      <c r="U50" s="103"/>
      <c r="V50" s="104"/>
      <c r="W50" s="105"/>
      <c r="X50" s="104"/>
    </row>
    <row r="51" spans="2:24" ht="14.15" customHeight="1" x14ac:dyDescent="0.4">
      <c r="B51" s="329"/>
      <c r="D51" s="203" t="s">
        <v>76</v>
      </c>
      <c r="E51" t="s">
        <v>371</v>
      </c>
      <c r="F51" t="s">
        <v>77</v>
      </c>
      <c r="I51" s="92">
        <f t="array" aca="1" ref="I51" ca="1">IF(AND(I5=2013,I6=52),SUM(INDIRECT($E51&amp;"["&amp;$F51&amp;"]")*(INDIRECT($E51&amp;"[yr]")=I$5)*(INDIRECT($E51&amp;"[wk]")=I$6)*(IF($G$2=0,1,(INDIRECT($E51&amp;"[siteflag]")=$G$2))))/2,SUM(INDIRECT($E51&amp;"["&amp;$F51&amp;"]")*(INDIRECT($E51&amp;"[yr]")=I$5)*(INDIRECT($E51&amp;"[wk]")=I$6)*(IF($G$2=0,1,(INDIRECT($E51&amp;"[siteflag]")=$G$2)))))</f>
        <v>569</v>
      </c>
      <c r="J51" s="92">
        <f t="array" aca="1" ref="J51" ca="1">IF(AND(J5=2013,J6=52),SUM(INDIRECT($E51&amp;"["&amp;$F51&amp;"]")*(INDIRECT($E51&amp;"[yr]")=J$5)*(INDIRECT($E51&amp;"[wk]")=J$6)*(IF($G$2=0,1,(INDIRECT($E51&amp;"[siteflag]")=$G$2))))/2,SUM(INDIRECT($E51&amp;"["&amp;$F51&amp;"]")*(INDIRECT($E51&amp;"[yr]")=J$5)*(INDIRECT($E51&amp;"[wk]")=J$6)*(IF($G$2=0,1,(INDIRECT($E51&amp;"[siteflag]")=$G$2)))))</f>
        <v>572</v>
      </c>
      <c r="K51" s="92">
        <f t="array" aca="1" ref="K51" ca="1">IF(AND(K5=2013,K6=52),SUM(INDIRECT($E51&amp;"["&amp;$F51&amp;"]")*(INDIRECT($E51&amp;"[yr]")=K$5)*(INDIRECT($E51&amp;"[wk]")=K$6)*(IF($G$2=0,1,(INDIRECT($E51&amp;"[siteflag]")=$G$2))))/2,SUM(INDIRECT($E51&amp;"["&amp;$F51&amp;"]")*(INDIRECT($E51&amp;"[yr]")=K$5)*(INDIRECT($E51&amp;"[wk]")=K$6)*(IF($G$2=0,1,(INDIRECT($E51&amp;"[siteflag]")=$G$2)))))</f>
        <v>559</v>
      </c>
      <c r="L51" s="92">
        <f t="array" aca="1" ref="L51" ca="1">IF(AND(L5=2013,L6=52),SUM(INDIRECT($E51&amp;"["&amp;$F51&amp;"]")*(INDIRECT($E51&amp;"[yr]")=L$5)*(INDIRECT($E51&amp;"[wk]")=L$6)*(IF($G$2=0,1,(INDIRECT($E51&amp;"[siteflag]")=$G$2))))/2,SUM(INDIRECT($E51&amp;"["&amp;$F51&amp;"]")*(INDIRECT($E51&amp;"[yr]")=L$5)*(INDIRECT($E51&amp;"[wk]")=L$6)*(IF($G$2=0,1,(INDIRECT($E51&amp;"[siteflag]")=$G$2)))))</f>
        <v>564</v>
      </c>
      <c r="M51" s="92">
        <f t="array" aca="1" ref="M51" ca="1">IF(AND(M5=2013,M6=52),SUM(INDIRECT($E51&amp;"["&amp;$F51&amp;"]")*(INDIRECT($E51&amp;"[yr]")=M$5)*(INDIRECT($E51&amp;"[wk]")=M$6)*(IF($G$2=0,1,(INDIRECT($E51&amp;"[siteflag]")=$G$2))))/2,SUM(INDIRECT($E51&amp;"["&amp;$F51&amp;"]")*(INDIRECT($E51&amp;"[yr]")=M$5)*(INDIRECT($E51&amp;"[wk]")=M$6)*(IF($G$2=0,1,(INDIRECT($E51&amp;"[siteflag]")=$G$2)))))</f>
        <v>570</v>
      </c>
      <c r="N51" s="92">
        <f t="array" aca="1" ref="N51" ca="1">IF(AND(N5=2013,N6=52),SUM(INDIRECT($E51&amp;"["&amp;$F51&amp;"]")*(INDIRECT($E51&amp;"[yr]")=N$5)*(INDIRECT($E51&amp;"[wk]")=N$6)*(IF($G$2=0,1,(INDIRECT($E51&amp;"[siteflag]")=$G$2))))/2,SUM(INDIRECT($E51&amp;"["&amp;$F51&amp;"]")*(INDIRECT($E51&amp;"[yr]")=N$5)*(INDIRECT($E51&amp;"[wk]")=N$6)*(IF($G$2=0,1,(INDIRECT($E51&amp;"[siteflag]")=$G$2)))))</f>
        <v>569</v>
      </c>
      <c r="O51" s="92">
        <f t="array" aca="1" ref="O51" ca="1">IF(AND(O5=2013,O6=52),SUM(INDIRECT($E51&amp;"["&amp;$F51&amp;"]")*(INDIRECT($E51&amp;"[yr]")=O$5)*(INDIRECT($E51&amp;"[wk]")=O$6)*(IF($G$2=0,1,(INDIRECT($E51&amp;"[siteflag]")=$G$2))))/2,SUM(INDIRECT($E51&amp;"["&amp;$F51&amp;"]")*(INDIRECT($E51&amp;"[yr]")=O$5)*(INDIRECT($E51&amp;"[wk]")=O$6)*(IF($G$2=0,1,(INDIRECT($E51&amp;"[siteflag]")=$G$2)))))</f>
        <v>571</v>
      </c>
      <c r="P51" s="92">
        <f t="array" aca="1" ref="P51" ca="1">IF(AND(P5=2013,P6=52),SUM(INDIRECT($E51&amp;"["&amp;$F51&amp;"]")*(INDIRECT($E51&amp;"[yr]")=P$5)*(INDIRECT($E51&amp;"[wk]")=P$6)*(IF($G$2=0,1,(INDIRECT($E51&amp;"[siteflag]")=$G$2))))/2,SUM(INDIRECT($E51&amp;"["&amp;$F51&amp;"]")*(INDIRECT($E51&amp;"[yr]")=P$5)*(INDIRECT($E51&amp;"[wk]")=P$6)*(IF($G$2=0,1,(INDIRECT($E51&amp;"[siteflag]")=$G$2)))))</f>
        <v>579</v>
      </c>
      <c r="Q51" s="106">
        <f t="array" aca="1" ref="Q51" ca="1">IF(AND(Q5=2013,Q6=52),SUM(INDIRECT($E51&amp;"["&amp;$F51&amp;"]")*(INDIRECT($E51&amp;"[yr]")=Q$5)*(INDIRECT($E51&amp;"[wk]")=Q$6)*(IF($G$2=0,1,(INDIRECT($E51&amp;"[siteflag]")=$G$2))))/2,SUM(INDIRECT($E51&amp;"["&amp;$F51&amp;"]")*(INDIRECT($E51&amp;"[yr]")=Q$5)*(INDIRECT($E51&amp;"[wk]")=Q$6)*(IF($G$2=0,1,(INDIRECT($E51&amp;"[siteflag]")=$G$2)))))</f>
        <v>586</v>
      </c>
      <c r="R51" s="92">
        <f t="array" aca="1" ref="R51" ca="1">IF(AND(R5=2013,R6=52),SUM(INDIRECT($E51&amp;"["&amp;$F51&amp;"]")*(INDIRECT($E51&amp;"[yr]")=R$5)*(INDIRECT($E51&amp;"[wk]")=R$6)*(IF($G$2=0,1,(INDIRECT($E51&amp;"[siteflag]")=$G$2))))/2,SUM(INDIRECT($E51&amp;"["&amp;$F51&amp;"]")*(INDIRECT($E51&amp;"[yr]")=R$5)*(INDIRECT($E51&amp;"[wk]")=R$6)*(IF($G$2=0,1,(INDIRECT($E51&amp;"[siteflag]")=$G$2)))))</f>
        <v>594</v>
      </c>
      <c r="S51" s="92">
        <f t="array" aca="1" ref="S51" ca="1">IF(AND(S5=2013,S6=52),SUM(INDIRECT($E51&amp;"["&amp;$F51&amp;"]")*(INDIRECT($E51&amp;"[yr]")=S$5)*(INDIRECT($E51&amp;"[wk]")=S$6)*(IF($G$2=0,1,(INDIRECT($E51&amp;"[siteflag]")=$G$2))))/2,SUM(INDIRECT($E51&amp;"["&amp;$F51&amp;"]")*(INDIRECT($E51&amp;"[yr]")=S$5)*(INDIRECT($E51&amp;"[wk]")=S$6)*(IF($G$2=0,1,(INDIRECT($E51&amp;"[siteflag]")=$G$2)))))</f>
        <v>601</v>
      </c>
      <c r="T51" s="107">
        <f t="array" aca="1" ref="T51" ca="1">IF(AND(T5=2013,T6=52),SUM(INDIRECT($E51&amp;"["&amp;$F51&amp;"]")*(INDIRECT($E51&amp;"[yr]")=T$5)*(INDIRECT($E51&amp;"[wk]")=T$6)*(IF($G$2=0,1,(INDIRECT($E51&amp;"[siteflag]")=$G$2))))/2,SUM(INDIRECT($E51&amp;"["&amp;$F51&amp;"]")*(INDIRECT($E51&amp;"[yr]")=T$5)*(INDIRECT($E51&amp;"[wk]")=T$6)*(IF($G$2=0,1,(INDIRECT($E51&amp;"[siteflag]")=$G$2)))))</f>
        <v>599</v>
      </c>
      <c r="U51" s="92">
        <f t="array" aca="1" ref="U51" ca="1">AVERAGE(Q51:T51)</f>
        <v>595</v>
      </c>
      <c r="V51" s="49">
        <f t="array" aca="1" ref="V51" ca="1">SUM(T51/S51)-1</f>
        <v>-3.3277870216306127E-3</v>
      </c>
      <c r="W51" s="82"/>
      <c r="X51" s="49"/>
    </row>
    <row r="52" spans="2:24" ht="14.15" customHeight="1" x14ac:dyDescent="0.4">
      <c r="B52" s="329"/>
      <c r="D52" s="204" t="s">
        <v>67</v>
      </c>
      <c r="I52" s="74">
        <f t="array" aca="1" ref="I52" ca="1">IFERROR(I51/SUM(INDIRECT($E51&amp;"["&amp;$F51&amp;"]")*(INDIRECT($E51&amp;"[yr]")=(I$5-1))*(INDIRECT($E51&amp;"[wk]")=I$6)*(IF($G$2=0,1,(INDIRECT($E51&amp;"[siteflag]")=$G$2))))-1,0)</f>
        <v>0.35799522673031037</v>
      </c>
      <c r="J52" s="74">
        <f t="array" aca="1" ref="J52" ca="1">IFERROR(J51/SUM(INDIRECT($E51&amp;"["&amp;$F51&amp;"]")*(INDIRECT($E51&amp;"[yr]")=(J$5-1))*(INDIRECT($E51&amp;"[wk]")=J$6)*(IF($G$2=0,1,(INDIRECT($E51&amp;"[siteflag]")=$G$2))))-1,0)</f>
        <v>0.3783132530120481</v>
      </c>
      <c r="K52" s="74">
        <f t="array" aca="1" ref="K52" ca="1">IFERROR(K51/SUM(INDIRECT($E51&amp;"["&amp;$F51&amp;"]")*(INDIRECT($E51&amp;"[yr]")=(K$5-1))*(INDIRECT($E51&amp;"[wk]")=K$6)*(IF($G$2=0,1,(INDIRECT($E51&amp;"[siteflag]")=$G$2))))-1,0)</f>
        <v>0.40100250626566414</v>
      </c>
      <c r="L52" s="74">
        <f t="array" aca="1" ref="L52" ca="1">IFERROR(L51/SUM(INDIRECT($E51&amp;"["&amp;$F51&amp;"]")*(INDIRECT($E51&amp;"[yr]")=(L$5-1))*(INDIRECT($E51&amp;"[wk]")=L$6)*(IF($G$2=0,1,(INDIRECT($E51&amp;"[siteflag]")=$G$2))))-1,0)</f>
        <v>0.44987146529562971</v>
      </c>
      <c r="M52" s="74">
        <f t="array" aca="1" ref="M52" ca="1">IFERROR(M51/SUM(INDIRECT($E51&amp;"["&amp;$F51&amp;"]")*(INDIRECT($E51&amp;"[yr]")=(M$5-1))*(INDIRECT($E51&amp;"[wk]")=M$6)*(IF($G$2=0,1,(INDIRECT($E51&amp;"[siteflag]")=$G$2))))-1,0)</f>
        <v>0.45408163265306123</v>
      </c>
      <c r="N52" s="74">
        <f t="array" aca="1" ref="N52" ca="1">IFERROR(N51/SUM(INDIRECT($E51&amp;"["&amp;$F51&amp;"]")*(INDIRECT($E51&amp;"[yr]")=(N$5-1))*(INDIRECT($E51&amp;"[wk]")=N$6)*(IF($G$2=0,1,(INDIRECT($E51&amp;"[siteflag]")=$G$2))))-1,0)</f>
        <v>0.40841584158415833</v>
      </c>
      <c r="O52" s="74">
        <f t="array" aca="1" ref="O52" ca="1">IFERROR(O51/SUM(INDIRECT($E51&amp;"["&amp;$F51&amp;"]")*(INDIRECT($E51&amp;"[yr]")=(O$5-1))*(INDIRECT($E51&amp;"[wk]")=O$6)*(IF($G$2=0,1,(INDIRECT($E51&amp;"[siteflag]")=$G$2))))-1,0)</f>
        <v>0.42394014962593518</v>
      </c>
      <c r="P52" s="74">
        <f t="array" aca="1" ref="P52" ca="1">IFERROR(P51/SUM(INDIRECT($E51&amp;"["&amp;$F51&amp;"]")*(INDIRECT($E51&amp;"[yr]")=(P$5-1))*(INDIRECT($E51&amp;"[wk]")=P$6)*(IF($G$2=0,1,(INDIRECT($E51&amp;"[siteflag]")=$G$2))))-1,0)</f>
        <v>0.39855072463768115</v>
      </c>
      <c r="Q52" s="75">
        <f t="array" aca="1" ref="Q52" ca="1">IFERROR(Q51/SUM(INDIRECT($E51&amp;"["&amp;$F51&amp;"]")*(INDIRECT($E51&amp;"[yr]")=(Q$5-1))*(INDIRECT($E51&amp;"[wk]")=Q$6)*(IF($G$2=0,1,(INDIRECT($E51&amp;"[siteflag]")=$G$2))))-1,0)</f>
        <v>0.4120481927710844</v>
      </c>
      <c r="R52" s="74">
        <f t="array" aca="1" ref="R52" ca="1">IFERROR(R51/SUM(INDIRECT($E51&amp;"["&amp;$F51&amp;"]")*(INDIRECT($E51&amp;"[yr]")=(R$5-1))*(INDIRECT($E51&amp;"[wk]")=R$6)*(IF($G$2=0,1,(INDIRECT($E51&amp;"[siteflag]")=$G$2))))-1,0)</f>
        <v>0.38139534883720927</v>
      </c>
      <c r="S52" s="74">
        <f t="array" aca="1" ref="S52" ca="1">IFERROR(S51/SUM(INDIRECT($E51&amp;"["&amp;$F51&amp;"]")*(INDIRECT($E51&amp;"[yr]")=(S$5-1))*(INDIRECT($E51&amp;"[wk]")=S$6)*(IF($G$2=0,1,(INDIRECT($E51&amp;"[siteflag]")=$G$2))))-1,0)</f>
        <v>0.37528604118993125</v>
      </c>
      <c r="T52" s="76">
        <f t="array" aca="1" ref="T52" ca="1">IFERROR(T51/(SUM(INDIRECT($E51&amp;"["&amp;$F51&amp;"]")*(INDIRECT($E51&amp;"[yr]")=(T$5-1))*(INDIRECT($E51&amp;"[wk]")=T$6)*(IF($G$2=0,1,(INDIRECT($E51&amp;"[siteflag]")=$G$2)))))-1,0)</f>
        <v>0.3370535714285714</v>
      </c>
      <c r="U52" s="77">
        <f ca="1">AVERAGE(Q52:T52)</f>
        <v>0.37644578855669908</v>
      </c>
      <c r="V52" s="108"/>
      <c r="W52" s="108"/>
      <c r="X52" s="56"/>
    </row>
    <row r="53" spans="2:24" ht="3" customHeight="1" x14ac:dyDescent="0.4">
      <c r="B53" s="329"/>
      <c r="D53" s="61"/>
      <c r="E53" s="57"/>
      <c r="F53" s="57"/>
      <c r="G53" s="57"/>
      <c r="H53" s="57"/>
      <c r="I53" s="109"/>
      <c r="J53" s="109"/>
      <c r="K53" s="109"/>
      <c r="L53" s="109"/>
      <c r="M53" s="109"/>
      <c r="N53" s="109"/>
      <c r="O53" s="109"/>
      <c r="P53" s="109"/>
      <c r="Q53" s="110"/>
      <c r="R53" s="109"/>
      <c r="S53" s="109"/>
      <c r="T53" s="111"/>
      <c r="U53" s="112"/>
      <c r="V53" s="113"/>
      <c r="W53" s="105"/>
      <c r="X53" s="114"/>
    </row>
    <row r="54" spans="2:24" ht="14.15" customHeight="1" x14ac:dyDescent="0.4">
      <c r="B54" s="329"/>
      <c r="D54" s="203" t="s">
        <v>78</v>
      </c>
      <c r="E54" t="s">
        <v>79</v>
      </c>
      <c r="F54" t="s">
        <v>79</v>
      </c>
      <c r="I54" s="124">
        <f t="array" aca="1" ref="I54" ca="1">SUM(INDIRECT($E54&amp;"["&amp;$F54&amp;"]")*(INDIRECT($E54&amp;"[yr]")=I$5)*(INDIRECT($E54&amp;"[wk]")=I$6)*(IF($G$2=0,1,(INDIRECT($E54&amp;"[siteflag]")=$G$2))))</f>
        <v>3224.4648571428561</v>
      </c>
      <c r="J54" s="124">
        <f t="array" aca="1" ref="J54" ca="1">SUM(INDIRECT($E54&amp;"["&amp;$F54&amp;"]")*(INDIRECT($E54&amp;"[yr]")=J$5)*(INDIRECT($E54&amp;"[wk]")=J$6)*(IF($G$2=0,1,(INDIRECT($E54&amp;"[siteflag]")=$G$2))))</f>
        <v>3213.2201428571461</v>
      </c>
      <c r="K54" s="124">
        <f t="array" aca="1" ref="K54" ca="1">SUM(INDIRECT($E54&amp;"["&amp;$F54&amp;"]")*(INDIRECT($E54&amp;"[yr]")=K$5)*(INDIRECT($E54&amp;"[wk]")=K$6)*(IF($G$2=0,1,(INDIRECT($E54&amp;"[siteflag]")=$G$2))))</f>
        <v>3215.0989999999956</v>
      </c>
      <c r="L54" s="124">
        <f t="array" aca="1" ref="L54" ca="1">SUM(INDIRECT($E54&amp;"["&amp;$F54&amp;"]")*(INDIRECT($E54&amp;"[yr]")=L$5)*(INDIRECT($E54&amp;"[wk]")=L$6)*(IF($G$2=0,1,(INDIRECT($E54&amp;"[siteflag]")=$G$2))))</f>
        <v>3124.2067142857159</v>
      </c>
      <c r="M54" s="124">
        <f t="array" aca="1" ref="M54" ca="1">SUM(INDIRECT($E54&amp;"["&amp;$F54&amp;"]")*(INDIRECT($E54&amp;"[yr]")=M$5)*(INDIRECT($E54&amp;"[wk]")=M$6)*(IF($G$2=0,1,(INDIRECT($E54&amp;"[siteflag]")=$G$2))))</f>
        <v>3077.751571428571</v>
      </c>
      <c r="N54" s="124">
        <f t="array" aca="1" ref="N54" ca="1">SUM(INDIRECT($E54&amp;"["&amp;$F54&amp;"]")*(INDIRECT($E54&amp;"[yr]")=N$5)*(INDIRECT($E54&amp;"[wk]")=N$6)*(IF($G$2=0,1,(INDIRECT($E54&amp;"[siteflag]")=$G$2))))</f>
        <v>3033.6461428571438</v>
      </c>
      <c r="O54" s="124">
        <f t="array" aca="1" ref="O54" ca="1">SUM(INDIRECT($E54&amp;"["&amp;$F54&amp;"]")*(INDIRECT($E54&amp;"[yr]")=O$5)*(INDIRECT($E54&amp;"[wk]")=O$6)*(IF($G$2=0,1,(INDIRECT($E54&amp;"[siteflag]")=$G$2))))</f>
        <v>3002.5834285714259</v>
      </c>
      <c r="P54" s="124">
        <f t="array" aca="1" ref="P54" ca="1">SUM(INDIRECT($E54&amp;"["&amp;$F54&amp;"]")*(INDIRECT($E54&amp;"[yr]")=P$5)*(INDIRECT($E54&amp;"[wk]")=P$6)*(IF($G$2=0,1,(INDIRECT($E54&amp;"[siteflag]")=$G$2))))</f>
        <v>2949.0755714285688</v>
      </c>
      <c r="Q54" s="125">
        <f t="array" aca="1" ref="Q54" ca="1">SUM(INDIRECT($E54&amp;"["&amp;$F54&amp;"]")*(INDIRECT($E54&amp;"[yr]")=Q$5)*(INDIRECT($E54&amp;"[wk]")=Q$6)*(IF($G$2=0,1,(INDIRECT($E54&amp;"[siteflag]")=$G$2))))</f>
        <v>2877.3001428571456</v>
      </c>
      <c r="R54" s="124">
        <f t="array" aca="1" ref="R54" ca="1">SUM(INDIRECT($E54&amp;"["&amp;$F54&amp;"]")*(INDIRECT($E54&amp;"[yr]")=R$5)*(INDIRECT($E54&amp;"[wk]")=R$6)*(IF($G$2=0,1,(INDIRECT($E54&amp;"[siteflag]")=$G$2))))</f>
        <v>2829.9270000000001</v>
      </c>
      <c r="S54" s="124">
        <f t="array" aca="1" ref="S54" ca="1">SUM(INDIRECT($E54&amp;"["&amp;$F54&amp;"]")*(INDIRECT($E54&amp;"[yr]")=S$5)*(INDIRECT($E54&amp;"[wk]")=S$6)*(IF($G$2=0,1,(INDIRECT($E54&amp;"[siteflag]")=$G$2))))</f>
        <v>2791.3284285714331</v>
      </c>
      <c r="T54" s="115">
        <f t="array" aca="1" ref="T54" ca="1">SUM(INDIRECT($E54&amp;"["&amp;$F54&amp;"]")*(INDIRECT($E54&amp;"[yr]")=T$5)*(INDIRECT($E54&amp;"[wk]")=T$6)*(IF($G$2=0,1,(INDIRECT($E54&amp;"[siteflag]")=$G$2))))</f>
        <v>2756.5544285714259</v>
      </c>
      <c r="U54" s="116">
        <f ca="1">AVERAGE(Q54:T54)</f>
        <v>2813.7775000000011</v>
      </c>
      <c r="V54" s="49">
        <f t="array" aca="1" ref="V54" ca="1">SUM(T54/S54)-1</f>
        <v>-1.2457867603134054E-2</v>
      </c>
      <c r="W54" s="73"/>
      <c r="X54" s="49"/>
    </row>
    <row r="55" spans="2:24" ht="14.15" customHeight="1" x14ac:dyDescent="0.4">
      <c r="B55" s="329"/>
      <c r="D55" s="204" t="s">
        <v>67</v>
      </c>
      <c r="I55" s="74">
        <f t="array" aca="1" ref="I55" ca="1">IFERROR(I54/SUM(INDIRECT($E54&amp;"["&amp;$F54&amp;"]")*(INDIRECT($E54&amp;"[yr]")=(I$5-1))*(INDIRECT($E54&amp;"[wk]")=I$6)*(IF($G$2=0,1,(INDIRECT($E54&amp;"[siteflag]")=$G$2))))-1,0)</f>
        <v>0.18469845142218699</v>
      </c>
      <c r="J55" s="74">
        <f t="array" aca="1" ref="J55" ca="1">IFERROR(J54/SUM(INDIRECT($E54&amp;"["&amp;$F54&amp;"]")*(INDIRECT($E54&amp;"[yr]")=(J$5-1))*(INDIRECT($E54&amp;"[wk]")=J$6)*(IF($G$2=0,1,(INDIRECT($E54&amp;"[siteflag]")=$G$2))))-1,0)</f>
        <v>0.17252773947698552</v>
      </c>
      <c r="K55" s="74">
        <f t="array" aca="1" ref="K55" ca="1">IFERROR(K54/SUM(INDIRECT($E54&amp;"["&amp;$F54&amp;"]")*(INDIRECT($E54&amp;"[yr]")=(K$5-1))*(INDIRECT($E54&amp;"[wk]")=K$6)*(IF($G$2=0,1,(INDIRECT($E54&amp;"[siteflag]")=$G$2))))-1,0)</f>
        <v>0.16030300066615188</v>
      </c>
      <c r="L55" s="74">
        <f t="array" aca="1" ref="L55" ca="1">IFERROR(L54/SUM(INDIRECT($E54&amp;"["&amp;$F54&amp;"]")*(INDIRECT($E54&amp;"[yr]")=(L$5-1))*(INDIRECT($E54&amp;"[wk]")=L$6)*(IF($G$2=0,1,(INDIRECT($E54&amp;"[siteflag]")=$G$2))))-1,0)</f>
        <v>0.13792132055908746</v>
      </c>
      <c r="M55" s="74">
        <f t="array" aca="1" ref="M55" ca="1">IFERROR(M54/SUM(INDIRECT($E54&amp;"["&amp;$F54&amp;"]")*(INDIRECT($E54&amp;"[yr]")=(M$5-1))*(INDIRECT($E54&amp;"[wk]")=M$6)*(IF($G$2=0,1,(INDIRECT($E54&amp;"[siteflag]")=$G$2))))-1,0)</f>
        <v>0.1141289322808734</v>
      </c>
      <c r="N55" s="74">
        <f t="array" aca="1" ref="N55" ca="1">IFERROR(N54/SUM(INDIRECT($E54&amp;"["&amp;$F54&amp;"]")*(INDIRECT($E54&amp;"[yr]")=(N$5-1))*(INDIRECT($E54&amp;"[wk]")=N$6)*(IF($G$2=0,1,(INDIRECT($E54&amp;"[siteflag]")=$G$2))))-1,0)</f>
        <v>0.10525264433054882</v>
      </c>
      <c r="O55" s="74">
        <f t="array" aca="1" ref="O55" ca="1">IFERROR(O54/SUM(INDIRECT($E54&amp;"["&amp;$F54&amp;"]")*(INDIRECT($E54&amp;"[yr]")=(O$5-1))*(INDIRECT($E54&amp;"[wk]")=O$6)*(IF($G$2=0,1,(INDIRECT($E54&amp;"[siteflag]")=$G$2))))-1,0)</f>
        <v>9.9769257632031261E-2</v>
      </c>
      <c r="P55" s="74">
        <f t="array" aca="1" ref="P55" ca="1">IFERROR(P54/SUM(INDIRECT($E54&amp;"["&amp;$F54&amp;"]")*(INDIRECT($E54&amp;"[yr]")=(P$5-1))*(INDIRECT($E54&amp;"[wk]")=P$6)*(IF($G$2=0,1,(INDIRECT($E54&amp;"[siteflag]")=$G$2))))-1,0)</f>
        <v>6.8506582019247642E-2</v>
      </c>
      <c r="Q55" s="51">
        <f t="array" aca="1" ref="Q55" ca="1">IFERROR(Q54/SUM(INDIRECT($E54&amp;"["&amp;$F54&amp;"]")*(INDIRECT($E54&amp;"[yr]")=(Q$5-1))*(INDIRECT($E54&amp;"[wk]")=Q$6)*(IF($G$2=0,1,(INDIRECT($E54&amp;"[siteflag]")=$G$2))))-1,0)</f>
        <v>4.3825147804093412E-2</v>
      </c>
      <c r="R55" s="74">
        <f t="array" aca="1" ref="R55" ca="1">IFERROR(R54/SUM(INDIRECT($E54&amp;"["&amp;$F54&amp;"]")*(INDIRECT($E54&amp;"[yr]")=(R$5-1))*(INDIRECT($E54&amp;"[wk]")=R$6)*(IF($G$2=0,1,(INDIRECT($E54&amp;"[siteflag]")=$G$2))))-1,0)</f>
        <v>2.6501682189991493E-2</v>
      </c>
      <c r="S55" s="74">
        <f t="array" aca="1" ref="S55" ca="1">IFERROR(S54/SUM(INDIRECT($E54&amp;"["&amp;$F54&amp;"]")*(INDIRECT($E54&amp;"[yr]")=(S$5-1))*(INDIRECT($E54&amp;"[wk]")=S$6)*(IF($G$2=0,1,(INDIRECT($E54&amp;"[siteflag]")=$G$2))))-1,0)</f>
        <v>1.1894380330471632E-2</v>
      </c>
      <c r="T55" s="76">
        <f t="array" aca="1" ref="T55" ca="1">IFERROR(T54/SUM(INDIRECT($E54&amp;"["&amp;$F54&amp;"]")*(INDIRECT($E54&amp;"[yr]")=(T$5-1))*(INDIRECT($E54&amp;"[wk]")=T$6)*(IF($G$2=0,1,(INDIRECT($E54&amp;"[siteflag]")=$G$2))))-1,0)</f>
        <v>1.6638956701622298E-3</v>
      </c>
      <c r="U55" s="53">
        <f ca="1">AVERAGE(Q55:T55)</f>
        <v>2.0971276498679692E-2</v>
      </c>
      <c r="V55" s="91"/>
      <c r="W55" s="80"/>
      <c r="X55" s="56"/>
    </row>
    <row r="56" spans="2:24" ht="3" customHeight="1" x14ac:dyDescent="0.4">
      <c r="B56" s="329"/>
      <c r="D56" s="61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109"/>
      <c r="Q56" s="110"/>
      <c r="R56" s="57"/>
      <c r="S56" s="109"/>
      <c r="T56" s="111"/>
      <c r="U56" s="112"/>
      <c r="V56" s="113"/>
      <c r="W56" s="105"/>
      <c r="X56" s="57"/>
    </row>
    <row r="57" spans="2:24" ht="14.15" customHeight="1" x14ac:dyDescent="0.4">
      <c r="B57" s="329"/>
      <c r="D57" s="203" t="s">
        <v>442</v>
      </c>
      <c r="E57" t="s">
        <v>459</v>
      </c>
      <c r="F57" t="s">
        <v>79</v>
      </c>
      <c r="I57" s="118">
        <f t="array" aca="1" ref="I57" ca="1">SUM(INDIRECT($E57&amp;"["&amp;$F57&amp;"]")*(INDIRECT($E57&amp;"[yr]")=I$5)*(INDIRECT($E57&amp;"[wk]")=I$6)*(IF($G$2=0,1,(INDIRECT($E57&amp;"[siteflag]")=$G$2))))</f>
        <v>39.832857142857137</v>
      </c>
      <c r="J57" s="118">
        <f t="array" aca="1" ref="J57" ca="1">SUM(INDIRECT($E57&amp;"["&amp;$F57&amp;"]")*(INDIRECT($E57&amp;"[yr]")=J$5)*(INDIRECT($E57&amp;"[wk]")=J$6)*(IF($G$2=0,1,(INDIRECT($E57&amp;"[siteflag]")=$G$2))))</f>
        <v>40.266142857142874</v>
      </c>
      <c r="K57" s="118">
        <f t="array" aca="1" ref="K57" ca="1">SUM(INDIRECT($E57&amp;"["&amp;$F57&amp;"]")*(INDIRECT($E57&amp;"[yr]")=K$5)*(INDIRECT($E57&amp;"[wk]")=K$6)*(IF($G$2=0,1,(INDIRECT($E57&amp;"[siteflag]")=$G$2))))</f>
        <v>41.194000000000003</v>
      </c>
      <c r="L57" s="118">
        <f t="array" aca="1" ref="L57" ca="1">SUM(INDIRECT($E57&amp;"["&amp;$F57&amp;"]")*(INDIRECT($E57&amp;"[yr]")=L$5)*(INDIRECT($E57&amp;"[wk]")=L$6)*(IF($G$2=0,1,(INDIRECT($E57&amp;"[siteflag]")=$G$2))))</f>
        <v>43.358142857142894</v>
      </c>
      <c r="M57" s="118">
        <f t="array" aca="1" ref="M57" ca="1">SUM(INDIRECT($E57&amp;"["&amp;$F57&amp;"]")*(INDIRECT($E57&amp;"[yr]")=M$5)*(INDIRECT($E57&amp;"[wk]")=M$6)*(IF($G$2=0,1,(INDIRECT($E57&amp;"[siteflag]")=$G$2))))</f>
        <v>46.760571428571396</v>
      </c>
      <c r="N57" s="118">
        <f t="array" aca="1" ref="N57" ca="1">SUM(INDIRECT($E57&amp;"["&amp;$F57&amp;"]")*(INDIRECT($E57&amp;"[yr]")=N$5)*(INDIRECT($E57&amp;"[wk]")=N$6)*(IF($G$2=0,1,(INDIRECT($E57&amp;"[siteflag]")=$G$2))))</f>
        <v>48.07414285714281</v>
      </c>
      <c r="O57" s="118">
        <f t="array" aca="1" ref="O57" ca="1">SUM(INDIRECT($E57&amp;"["&amp;$F57&amp;"]")*(INDIRECT($E57&amp;"[yr]")=O$5)*(INDIRECT($E57&amp;"[wk]")=O$6)*(IF($G$2=0,1,(INDIRECT($E57&amp;"[siteflag]")=$G$2))))</f>
        <v>48.370571428571395</v>
      </c>
      <c r="P57" s="118">
        <f t="array" aca="1" ref="P57" ca="1">SUM(INDIRECT($E57&amp;"["&amp;$F57&amp;"]")*(INDIRECT($E57&amp;"[yr]")=P$5)*(INDIRECT($E57&amp;"[wk]")=P$6)*(IF($G$2=0,1,(INDIRECT($E57&amp;"[siteflag]")=$G$2))))</f>
        <v>48.818428571428541</v>
      </c>
      <c r="Q57" s="119">
        <f t="array" aca="1" ref="Q57" ca="1">SUM(INDIRECT($E57&amp;"["&amp;$F57&amp;"]")*(INDIRECT($E57&amp;"[yr]")=Q$5)*(INDIRECT($E57&amp;"[wk]")=Q$6)*(IF($G$2=0,1,(INDIRECT($E57&amp;"[siteflag]")=$G$2))))</f>
        <v>48.829142857142891</v>
      </c>
      <c r="R57" s="118">
        <f t="array" aca="1" ref="R57" ca="1">SUM(INDIRECT($E57&amp;"["&amp;$F57&amp;"]")*(INDIRECT($E57&amp;"[yr]")=R$5)*(INDIRECT($E57&amp;"[wk]")=R$6)*(IF($G$2=0,1,(INDIRECT($E57&amp;"[siteflag]")=$G$2))))</f>
        <v>48.834000000000003</v>
      </c>
      <c r="S57" s="118">
        <f t="array" aca="1" ref="S57" ca="1">SUM(INDIRECT($E57&amp;"["&amp;$F57&amp;"]")*(INDIRECT($E57&amp;"[yr]")=S$5)*(INDIRECT($E57&amp;"[wk]")=S$6)*(IF($G$2=0,1,(INDIRECT($E57&amp;"[siteflag]")=$G$2))))</f>
        <v>48.91128571428569</v>
      </c>
      <c r="T57" s="120">
        <f t="array" aca="1" ref="T57" ca="1">SUM(INDIRECT($E57&amp;"["&amp;$F57&amp;"]")*(INDIRECT($E57&amp;"[yr]")=T$5)*(INDIRECT($E57&amp;"[wk]")=T$6)*(IF($G$2=0,1,(INDIRECT($E57&amp;"[siteflag]")=$G$2))))</f>
        <v>49.064714285714295</v>
      </c>
      <c r="U57" s="121">
        <f ca="1">AVERAGE(Q57:T57)</f>
        <v>48.909785714285725</v>
      </c>
      <c r="V57" s="49">
        <f t="array" aca="1" ref="V57" ca="1">SUM(T57/S57)-1</f>
        <v>3.1368746330826536E-3</v>
      </c>
      <c r="W57" s="73"/>
      <c r="X57" s="49"/>
    </row>
    <row r="58" spans="2:24" ht="14.15" customHeight="1" x14ac:dyDescent="0.4">
      <c r="B58" s="329"/>
      <c r="D58" s="204" t="s">
        <v>67</v>
      </c>
      <c r="I58" s="74">
        <f t="array" aca="1" ref="I58" ca="1">IFERROR(I57/SUM(INDIRECT($E57&amp;"["&amp;$F57&amp;"]")*(INDIRECT($E57&amp;"[yr]")=(I$5-1))*(INDIRECT($E57&amp;"[wk]")=I$6)*(IF($G$2=0,1,(INDIRECT($E57&amp;"[siteflag]")=$G$2))))-1,0)</f>
        <v>0.39245816333154981</v>
      </c>
      <c r="J58" s="74">
        <f t="array" aca="1" ref="J58" ca="1">IFERROR(J57/SUM(INDIRECT($E57&amp;"["&amp;$F57&amp;"]")*(INDIRECT($E57&amp;"[yr]")=(J$5-1))*(INDIRECT($E57&amp;"[wk]")=J$6)*(IF($G$2=0,1,(INDIRECT($E57&amp;"[siteflag]")=$G$2))))-1,0)</f>
        <v>1.3241640898783769</v>
      </c>
      <c r="K58" s="74">
        <f t="array" aca="1" ref="K58" ca="1">IFERROR(K57/SUM(INDIRECT($E57&amp;"["&amp;$F57&amp;"]")*(INDIRECT($E57&amp;"[yr]")=(K$5-1))*(INDIRECT($E57&amp;"[wk]")=K$6)*(IF($G$2=0,1,(INDIRECT($E57&amp;"[siteflag]")=$G$2))))-1,0)</f>
        <v>2.1631728480380792</v>
      </c>
      <c r="L58" s="74">
        <f t="array" aca="1" ref="L58" ca="1">IFERROR(L57/SUM(INDIRECT($E57&amp;"["&amp;$F57&amp;"]")*(INDIRECT($E57&amp;"[yr]")=(L$5-1))*(INDIRECT($E57&amp;"[wk]")=L$6)*(IF($G$2=0,1,(INDIRECT($E57&amp;"[siteflag]")=$G$2))))-1,0)</f>
        <v>5.230129731505051</v>
      </c>
      <c r="M58" s="74">
        <f t="array" aca="1" ref="M58" ca="1">IFERROR(M57/SUM(INDIRECT($E57&amp;"["&amp;$F57&amp;"]")*(INDIRECT($E57&amp;"[yr]")=(M$5-1))*(INDIRECT($E57&amp;"[wk]")=M$6)*(IF($G$2=0,1,(INDIRECT($E57&amp;"[siteflag]")=$G$2))))-1,0)</f>
        <v>5.7392217418159301</v>
      </c>
      <c r="N58" s="74">
        <f t="array" aca="1" ref="N58" ca="1">IFERROR(N57/SUM(INDIRECT($E57&amp;"["&amp;$F57&amp;"]")*(INDIRECT($E57&amp;"[yr]")=(N$5-1))*(INDIRECT($E57&amp;"[wk]")=N$6)*(IF($G$2=0,1,(INDIRECT($E57&amp;"[siteflag]")=$G$2))))-1,0)</f>
        <v>5.9219804179693893</v>
      </c>
      <c r="O58" s="74">
        <f t="array" aca="1" ref="O58" ca="1">IFERROR(O57/SUM(INDIRECT($E57&amp;"["&amp;$F57&amp;"]")*(INDIRECT($E57&amp;"[yr]")=(O$5-1))*(INDIRECT($E57&amp;"[wk]")=O$6)*(IF($G$2=0,1,(INDIRECT($E57&amp;"[siteflag]")=$G$2))))-1,0)</f>
        <v>5.8361397133050676</v>
      </c>
      <c r="P58" s="74">
        <f t="array" aca="1" ref="P58" ca="1">IFERROR(P57/SUM(INDIRECT($E57&amp;"["&amp;$F57&amp;"]")*(INDIRECT($E57&amp;"[yr]")=(P$5-1))*(INDIRECT($E57&amp;"[wk]")=P$6)*(IF($G$2=0,1,(INDIRECT($E57&amp;"[siteflag]")=$G$2))))-1,0)</f>
        <v>5.8145452370032098</v>
      </c>
      <c r="Q58" s="51">
        <f t="array" aca="1" ref="Q58" ca="1">IFERROR(Q57/SUM(INDIRECT($E57&amp;"["&amp;$F57&amp;"]")*(INDIRECT($E57&amp;"[yr]")=(Q$5-1))*(INDIRECT($E57&amp;"[wk]")=Q$6)*(IF($G$2=0,1,(INDIRECT($E57&amp;"[siteflag]")=$G$2))))-1,0)</f>
        <v>5.7206197526494851</v>
      </c>
      <c r="R58" s="74">
        <f t="array" aca="1" ref="R58" ca="1">IFERROR(R57/SUM(INDIRECT($E57&amp;"["&amp;$F57&amp;"]")*(INDIRECT($E57&amp;"[yr]")=(R$5-1))*(INDIRECT($E57&amp;"[wk]")=R$6)*(IF($G$2=0,1,(INDIRECT($E57&amp;"[siteflag]")=$G$2))))-1,0)</f>
        <v>5.6847488120147878</v>
      </c>
      <c r="S58" s="74">
        <f t="array" aca="1" ref="S58" ca="1">IFERROR(S57/SUM(INDIRECT($E57&amp;"["&amp;$F57&amp;"]")*(INDIRECT($E57&amp;"[yr]")=(S$5-1))*(INDIRECT($E57&amp;"[wk]")=S$6)*(IF($G$2=0,1,(INDIRECT($E57&amp;"[siteflag]")=$G$2))))-1,0)</f>
        <v>5.7657148503112321</v>
      </c>
      <c r="T58" s="76">
        <f t="array" aca="1" ref="T58" ca="1">IFERROR(T57/SUM(INDIRECT($E57&amp;"["&amp;$F57&amp;"]")*(INDIRECT($E57&amp;"[yr]")=(T$5-1))*(INDIRECT($E57&amp;"[wk]")=T$6)*(IF($G$2=0,1,(INDIRECT($E57&amp;"[siteflag]")=$G$2))))-1,0)</f>
        <v>5.7771616875172622</v>
      </c>
      <c r="U58" s="53">
        <f ca="1">AVERAGE(Q58:T58)</f>
        <v>5.7370612756231925</v>
      </c>
      <c r="V58" s="91"/>
      <c r="W58" s="80"/>
      <c r="X58" s="56"/>
    </row>
    <row r="59" spans="2:24" ht="3" customHeight="1" x14ac:dyDescent="0.4">
      <c r="B59" s="329"/>
      <c r="D59" s="61"/>
      <c r="E59" s="57"/>
      <c r="F59" s="57"/>
      <c r="G59" s="57"/>
      <c r="H59" s="57"/>
      <c r="I59" s="109"/>
      <c r="J59" s="109"/>
      <c r="K59" s="109"/>
      <c r="L59" s="109"/>
      <c r="M59" s="109"/>
      <c r="N59" s="109"/>
      <c r="O59" s="109"/>
      <c r="P59" s="109"/>
      <c r="Q59" s="110"/>
      <c r="R59" s="109"/>
      <c r="S59" s="109"/>
      <c r="T59" s="111"/>
      <c r="U59" s="112"/>
      <c r="V59" s="113"/>
      <c r="W59" s="105"/>
      <c r="X59" s="114"/>
    </row>
    <row r="60" spans="2:24" ht="14.15" customHeight="1" x14ac:dyDescent="0.4">
      <c r="B60" s="329"/>
      <c r="D60" s="203" t="s">
        <v>80</v>
      </c>
      <c r="E60" t="s">
        <v>51</v>
      </c>
      <c r="F60" t="s">
        <v>52</v>
      </c>
      <c r="I60" s="118">
        <f t="array" aca="1" ref="I60" ca="1">SUM(INDIRECT($E60&amp;"["&amp;$F60&amp;"]")*(INDIRECT($E60&amp;"[yr]")=I$5)*(INDIRECT($E60&amp;"[wk]")=I$6)*(IF($G$2=0,1,(INDIRECT($E60&amp;"[site]")=$G$2))))/1000</f>
        <v>173.49299999999999</v>
      </c>
      <c r="J60" s="118">
        <f t="array" aca="1" ref="J60" ca="1">SUM(INDIRECT($E60&amp;"["&amp;$F60&amp;"]")*(INDIRECT($E60&amp;"[yr]")=J$5)*(INDIRECT($E60&amp;"[wk]")=J$6)*(IF($G$2=0,1,(INDIRECT($E60&amp;"[site]")=$G$2))))/1000</f>
        <v>164.90100000000001</v>
      </c>
      <c r="K60" s="118">
        <f t="array" aca="1" ref="K60" ca="1">SUM(INDIRECT($E60&amp;"["&amp;$F60&amp;"]")*(INDIRECT($E60&amp;"[yr]")=K$5)*(INDIRECT($E60&amp;"[wk]")=K$6)*(IF($G$2=0,1,(INDIRECT($E60&amp;"[site]")=$G$2))))/1000</f>
        <v>147.40600000000001</v>
      </c>
      <c r="L60" s="118">
        <f t="array" aca="1" ref="L60" ca="1">SUM(INDIRECT($E60&amp;"["&amp;$F60&amp;"]")*(INDIRECT($E60&amp;"[yr]")=L$5)*(INDIRECT($E60&amp;"[wk]")=L$6)*(IF($G$2=0,1,(INDIRECT($E60&amp;"[site]")=$G$2))))/1000</f>
        <v>140.27099999999999</v>
      </c>
      <c r="M60" s="118">
        <f t="array" aca="1" ref="M60" ca="1">SUM(INDIRECT($E60&amp;"["&amp;$F60&amp;"]")*(INDIRECT($E60&amp;"[yr]")=M$5)*(INDIRECT($E60&amp;"[wk]")=M$6)*(IF($G$2=0,1,(INDIRECT($E60&amp;"[site]")=$G$2))))/1000</f>
        <v>172.97</v>
      </c>
      <c r="N60" s="118">
        <f t="array" aca="1" ref="N60" ca="1">SUM(INDIRECT($E60&amp;"["&amp;$F60&amp;"]")*(INDIRECT($E60&amp;"[yr]")=N$5)*(INDIRECT($E60&amp;"[wk]")=N$6)*(IF($G$2=0,1,(INDIRECT($E60&amp;"[site]")=$G$2))))/1000</f>
        <v>189.58699999999999</v>
      </c>
      <c r="O60" s="118">
        <f t="array" aca="1" ref="O60" ca="1">SUM(INDIRECT($E60&amp;"["&amp;$F60&amp;"]")*(INDIRECT($E60&amp;"[yr]")=O$5)*(INDIRECT($E60&amp;"[wk]")=O$6)*(IF($G$2=0,1,(INDIRECT($E60&amp;"[site]")=$G$2))))/1000</f>
        <v>198.9</v>
      </c>
      <c r="P60" s="118">
        <f t="array" aca="1" ref="P60" ca="1">SUM(INDIRECT($E60&amp;"["&amp;$F60&amp;"]")*(INDIRECT($E60&amp;"[yr]")=P$5)*(INDIRECT($E60&amp;"[wk]")=P$6)*(IF($G$2=0,1,(INDIRECT($E60&amp;"[site]")=$G$2))))/1000</f>
        <v>195.22900000000001</v>
      </c>
      <c r="Q60" s="119">
        <f t="array" aca="1" ref="Q60" ca="1">SUM(INDIRECT($E60&amp;"["&amp;$F60&amp;"]")*(INDIRECT($E60&amp;"[yr]")=Q$5)*(INDIRECT($E60&amp;"[wk]")=Q$6)*(IF($G$2=0,1,(INDIRECT($E60&amp;"[site]")=$G$2))))/1000</f>
        <v>198.001</v>
      </c>
      <c r="R60" s="118">
        <f t="array" aca="1" ref="R60" ca="1">SUM(INDIRECT($E60&amp;"["&amp;$F60&amp;"]")*(INDIRECT($E60&amp;"[yr]")=R$5)*(INDIRECT($E60&amp;"[wk]")=R$6)*(IF($G$2=0,1,(INDIRECT($E60&amp;"[site]")=$G$2))))/1000</f>
        <v>177.601</v>
      </c>
      <c r="S60" s="118">
        <f t="array" aca="1" ref="S60" ca="1">SUM(INDIRECT($E60&amp;"["&amp;$F60&amp;"]")*(INDIRECT($E60&amp;"[yr]")=S$5)*(INDIRECT($E60&amp;"[wk]")=S$6)*(IF($G$2=0,1,(INDIRECT($E60&amp;"[site]")=$G$2))))/1000</f>
        <v>203.773</v>
      </c>
      <c r="T60" s="120">
        <f t="array" aca="1" ref="T60" ca="1">SUM(INDIRECT($E60&amp;"["&amp;$F60&amp;"]")*(INDIRECT($E60&amp;"[yr]")=T$5)*(INDIRECT($E60&amp;"[wk]")=T$6)*(IF($G$2=0,1,(INDIRECT($E60&amp;"[site]")=$G$2))))/1000</f>
        <v>171.25</v>
      </c>
      <c r="U60" s="121">
        <f ca="1">AVERAGE(Q60:T60)</f>
        <v>187.65625</v>
      </c>
      <c r="V60" s="49">
        <f t="array" aca="1" ref="V60" ca="1">SUM(T60/S60)-1</f>
        <v>-0.15960406923390247</v>
      </c>
      <c r="W60" s="73"/>
      <c r="X60" s="49"/>
    </row>
    <row r="61" spans="2:24" ht="14.15" customHeight="1" x14ac:dyDescent="0.4">
      <c r="B61" s="329"/>
      <c r="D61" s="204" t="s">
        <v>67</v>
      </c>
      <c r="I61" s="74">
        <f t="array" aca="1" ref="I61" ca="1">IFERROR(I60/SUM(INDIRECT($E60&amp;"["&amp;$F60&amp;"]")*(INDIRECT($E60&amp;"[yr]")=(I$5-1))*(INDIRECT($E60&amp;"[wk]")=I$6)*(IF($G$2=0,1,(INDIRECT($E60&amp;"[site]")=$G$2)))/1000)-1,0)</f>
        <v>0.16497676667293382</v>
      </c>
      <c r="J61" s="74">
        <f t="array" aca="1" ref="J61" ca="1">IFERROR(J60/SUM(INDIRECT($E60&amp;"["&amp;$F60&amp;"]")*(INDIRECT($E60&amp;"[yr]")=(J$5-1))*(INDIRECT($E60&amp;"[wk]")=J$6)*(IF($G$2=0,1,(INDIRECT($E60&amp;"[site]")=$G$2)))/1000)-1,0)</f>
        <v>0.2145613905870225</v>
      </c>
      <c r="K61" s="74">
        <f t="array" aca="1" ref="K61" ca="1">IFERROR(K60/SUM(INDIRECT($E60&amp;"["&amp;$F60&amp;"]")*(INDIRECT($E60&amp;"[yr]")=(K$5-1))*(INDIRECT($E60&amp;"[wk]")=K$6)*(IF($G$2=0,1,(INDIRECT($E60&amp;"[site]")=$G$2)))/1000)-1,0)</f>
        <v>0.16674977639525412</v>
      </c>
      <c r="L61" s="74">
        <f t="array" aca="1" ref="L61" ca="1">IFERROR(L60/SUM(INDIRECT($E60&amp;"["&amp;$F60&amp;"]")*(INDIRECT($E60&amp;"[yr]")=(L$5-1))*(INDIRECT($E60&amp;"[wk]")=L$6)*(IF($G$2=0,1,(INDIRECT($E60&amp;"[site]")=$G$2)))/1000)-1,0)</f>
        <v>0.11956166045446204</v>
      </c>
      <c r="M61" s="74">
        <f t="array" aca="1" ref="M61" ca="1">IFERROR(M60/SUM(INDIRECT($E60&amp;"["&amp;$F60&amp;"]")*(INDIRECT($E60&amp;"[yr]")=(M$5-1))*(INDIRECT($E60&amp;"[wk]")=M$6)*(IF($G$2=0,1,(INDIRECT($E60&amp;"[site]")=$G$2)))/1000)-1,0)</f>
        <v>0.16654864272466696</v>
      </c>
      <c r="N61" s="74">
        <f t="array" aca="1" ref="N61" ca="1">IFERROR(N60/SUM(INDIRECT($E60&amp;"["&amp;$F60&amp;"]")*(INDIRECT($E60&amp;"[yr]")=(N$5-1))*(INDIRECT($E60&amp;"[wk]")=N$6)*(IF($G$2=0,1,(INDIRECT($E60&amp;"[site]")=$G$2)))/1000)-1,0)</f>
        <v>0.14453801805065059</v>
      </c>
      <c r="O61" s="74">
        <f t="array" aca="1" ref="O61" ca="1">IFERROR(O60/SUM(INDIRECT($E60&amp;"["&amp;$F60&amp;"]")*(INDIRECT($E60&amp;"[yr]")=(O$5-1))*(INDIRECT($E60&amp;"[wk]")=O$6)*(IF($G$2=0,1,(INDIRECT($E60&amp;"[site]")=$G$2)))/1000)-1,0)</f>
        <v>0.22932581769635818</v>
      </c>
      <c r="P61" s="74">
        <f t="array" aca="1" ref="P61" ca="1">IFERROR(P60/SUM(INDIRECT($E60&amp;"["&amp;$F60&amp;"]")*(INDIRECT($E60&amp;"[yr]")=(P$5-1))*(INDIRECT($E60&amp;"[wk]")=P$6)*(IF($G$2=0,1,(INDIRECT($E60&amp;"[site]")=$G$2)))/1000)-1,0)</f>
        <v>9.8662329696055595E-2</v>
      </c>
      <c r="Q61" s="51">
        <f t="array" aca="1" ref="Q61" ca="1">IFERROR(Q60/SUM(INDIRECT($E60&amp;"["&amp;$F60&amp;"]")*(INDIRECT($E60&amp;"[yr]")=(Q$5-1))*(INDIRECT($E60&amp;"[wk]")=Q$6)*(IF($G$2=0,1,(INDIRECT($E60&amp;"[site]")=$G$2)))/1000)-1,0)</f>
        <v>7.3624222575275233E-2</v>
      </c>
      <c r="R61" s="74">
        <f t="array" aca="1" ref="R61" ca="1">IFERROR(R60/SUM(INDIRECT($E60&amp;"["&amp;$F60&amp;"]")*(INDIRECT($E60&amp;"[yr]")=(R$5-1))*(INDIRECT($E60&amp;"[wk]")=R$6)*(IF($G$2=0,1,(INDIRECT($E60&amp;"[site]")=$G$2)))/1000)-1,0)</f>
        <v>-1.1631077794658662E-2</v>
      </c>
      <c r="S61" s="74">
        <f t="array" aca="1" ref="S61" ca="1">IFERROR(S60/SUM(INDIRECT($E60&amp;"["&amp;$F60&amp;"]")*(INDIRECT($E60&amp;"[yr]")=(S$5-1))*(INDIRECT($E60&amp;"[wk]")=S$6)*(IF($G$2=0,1,(INDIRECT($E60&amp;"[site]")=$G$2)))/1000)-1,0)</f>
        <v>0.15062931613748409</v>
      </c>
      <c r="T61" s="76">
        <f t="array" aca="1" ref="T61" ca="1">IFERROR(T60/SUM(INDIRECT($E60&amp;"["&amp;$F60&amp;"]")*(INDIRECT($E60&amp;"[yr]")=(T$5-1))*(INDIRECT($E60&amp;"[wk]")=T$6)*(IF($G$2=0,1,(INDIRECT($E60&amp;"[site]")=$G$2)))/1000)-1,0)</f>
        <v>-0.21760067252076498</v>
      </c>
      <c r="U61" s="53">
        <f ca="1">AVERAGE(Q61:T61)</f>
        <v>-1.2445529006660794E-3</v>
      </c>
      <c r="V61" s="91"/>
      <c r="W61" s="80"/>
      <c r="X61" s="56"/>
    </row>
    <row r="62" spans="2:24" ht="3" customHeight="1" x14ac:dyDescent="0.4">
      <c r="B62" s="329"/>
      <c r="D62" s="61"/>
      <c r="E62" s="57"/>
      <c r="F62" s="57"/>
      <c r="G62" s="57"/>
      <c r="H62" s="57"/>
      <c r="I62" s="109"/>
      <c r="J62" s="109"/>
      <c r="K62" s="109"/>
      <c r="L62" s="109"/>
      <c r="M62" s="109"/>
      <c r="N62" s="109"/>
      <c r="O62" s="109"/>
      <c r="P62" s="109"/>
      <c r="Q62" s="110"/>
      <c r="R62" s="109"/>
      <c r="S62" s="109"/>
      <c r="T62" s="111"/>
      <c r="U62" s="112"/>
      <c r="V62" s="113"/>
      <c r="W62" s="105"/>
      <c r="X62" s="114"/>
    </row>
    <row r="63" spans="2:24" ht="14.15" customHeight="1" x14ac:dyDescent="0.4">
      <c r="B63" s="329"/>
      <c r="D63" s="203" t="s">
        <v>81</v>
      </c>
      <c r="E63" t="s">
        <v>51</v>
      </c>
      <c r="F63" t="s">
        <v>53</v>
      </c>
      <c r="I63" s="117">
        <f t="array" aca="1" ref="I63" ca="1">SUM(INDIRECT($E63&amp;"["&amp;$F63&amp;"]")*(INDIRECT($E63&amp;"[yr]")=I$5)*(INDIRECT($E63&amp;"[wk]")=I$6)*(IF($G$2=0,1,(INDIRECT($E63&amp;"[site]")=$G$2))))/1000</f>
        <v>172.61500000000001</v>
      </c>
      <c r="J63" s="118">
        <f t="array" aca="1" ref="J63" ca="1">SUM(INDIRECT($E63&amp;"["&amp;$F63&amp;"]")*(INDIRECT($E63&amp;"[yr]")=J$5)*(INDIRECT($E63&amp;"[wk]")=J$6)*(IF($G$2=0,1,(INDIRECT($E63&amp;"[site]")=$G$2))))/1000</f>
        <v>164.12100000000001</v>
      </c>
      <c r="K63" s="118">
        <f t="array" aca="1" ref="K63" ca="1">SUM(INDIRECT($E63&amp;"["&amp;$F63&amp;"]")*(INDIRECT($E63&amp;"[yr]")=K$5)*(INDIRECT($E63&amp;"[wk]")=K$6)*(IF($G$2=0,1,(INDIRECT($E63&amp;"[site]")=$G$2))))/1000</f>
        <v>146.63499999999999</v>
      </c>
      <c r="L63" s="118">
        <f t="array" aca="1" ref="L63" ca="1">SUM(INDIRECT($E63&amp;"["&amp;$F63&amp;"]")*(INDIRECT($E63&amp;"[yr]")=L$5)*(INDIRECT($E63&amp;"[wk]")=L$6)*(IF($G$2=0,1,(INDIRECT($E63&amp;"[site]")=$G$2))))/1000</f>
        <v>138.77099999999999</v>
      </c>
      <c r="M63" s="118">
        <f t="array" aca="1" ref="M63" ca="1">SUM(INDIRECT($E63&amp;"["&amp;$F63&amp;"]")*(INDIRECT($E63&amp;"[yr]")=M$5)*(INDIRECT($E63&amp;"[wk]")=M$6)*(IF($G$2=0,1,(INDIRECT($E63&amp;"[site]")=$G$2))))/1000</f>
        <v>171.46</v>
      </c>
      <c r="N63" s="118">
        <f t="array" aca="1" ref="N63" ca="1">SUM(INDIRECT($E63&amp;"["&amp;$F63&amp;"]")*(INDIRECT($E63&amp;"[yr]")=N$5)*(INDIRECT($E63&amp;"[wk]")=N$6)*(IF($G$2=0,1,(INDIRECT($E63&amp;"[site]")=$G$2))))/1000</f>
        <v>187.541</v>
      </c>
      <c r="O63" s="118">
        <f t="array" aca="1" ref="O63" ca="1">SUM(INDIRECT($E63&amp;"["&amp;$F63&amp;"]")*(INDIRECT($E63&amp;"[yr]")=O$5)*(INDIRECT($E63&amp;"[wk]")=O$6)*(IF($G$2=0,1,(INDIRECT($E63&amp;"[site]")=$G$2))))/1000</f>
        <v>196.26300000000001</v>
      </c>
      <c r="P63" s="118">
        <f t="array" aca="1" ref="P63" ca="1">SUM(INDIRECT($E63&amp;"["&amp;$F63&amp;"]")*(INDIRECT($E63&amp;"[yr]")=P$5)*(INDIRECT($E63&amp;"[wk]")=P$6)*(IF($G$2=0,1,(INDIRECT($E63&amp;"[site]")=$G$2))))/1000</f>
        <v>191.33099999999999</v>
      </c>
      <c r="Q63" s="119">
        <f t="array" aca="1" ref="Q63" ca="1">SUM(INDIRECT($E63&amp;"["&amp;$F63&amp;"]")*(INDIRECT($E63&amp;"[yr]")=Q$5)*(INDIRECT($E63&amp;"[wk]")=Q$6)*(IF($G$2=0,1,(INDIRECT($E63&amp;"[site]")=$G$2))))/1000</f>
        <v>192.43</v>
      </c>
      <c r="R63" s="118">
        <f t="array" aca="1" ref="R63" ca="1">SUM(INDIRECT($E63&amp;"["&amp;$F63&amp;"]")*(INDIRECT($E63&amp;"[yr]")=R$5)*(INDIRECT($E63&amp;"[wk]")=R$6)*(IF($G$2=0,1,(INDIRECT($E63&amp;"[site]")=$G$2))))/1000</f>
        <v>169.476</v>
      </c>
      <c r="S63" s="118">
        <f t="array" aca="1" ref="S63" ca="1">SUM(INDIRECT($E63&amp;"["&amp;$F63&amp;"]")*(INDIRECT($E63&amp;"[yr]")=S$5)*(INDIRECT($E63&amp;"[wk]")=S$6)*(IF($G$2=0,1,(INDIRECT($E63&amp;"[site]")=$G$2))))/1000</f>
        <v>188.05699999999999</v>
      </c>
      <c r="T63" s="120">
        <f t="array" aca="1" ref="T63" ca="1">SUM(INDIRECT($E63&amp;"["&amp;$F63&amp;"]")*(INDIRECT($E63&amp;"[yr]")=T$5)*(INDIRECT($E63&amp;"[wk]")=T$6)*(IF($G$2=0,1,(INDIRECT($E63&amp;"[site]")=$G$2))))/1000</f>
        <v>131.505</v>
      </c>
      <c r="U63" s="121">
        <f ca="1">AVERAGE(Q63:T63)</f>
        <v>170.36699999999999</v>
      </c>
      <c r="V63" s="49">
        <f t="array" aca="1" ref="V63" ca="1">SUM(T63/S63)-1</f>
        <v>-0.30071733570140968</v>
      </c>
      <c r="W63" s="73"/>
      <c r="X63" s="49"/>
    </row>
    <row r="64" spans="2:24" ht="14.15" customHeight="1" x14ac:dyDescent="0.4">
      <c r="B64" s="330"/>
      <c r="D64" s="204" t="s">
        <v>67</v>
      </c>
      <c r="I64" s="74">
        <f t="array" aca="1" ref="I64" ca="1">IFERROR(I63/SUM(INDIRECT($E63&amp;"["&amp;$F63&amp;"]")*(INDIRECT($E63&amp;"[yr]")=(I$5-1))*(INDIRECT($E63&amp;"[wk]")=I$6)*(IF($G$2=0,1,(INDIRECT($E63&amp;"[site]")=$G$2)))/1000)-1,0)</f>
        <v>0.16264110784815577</v>
      </c>
      <c r="J64" s="74">
        <f t="array" aca="1" ref="J64" ca="1">IFERROR(J63/SUM(INDIRECT($E63&amp;"["&amp;$F63&amp;"]")*(INDIRECT($E63&amp;"[yr]")=(J$5-1))*(INDIRECT($E63&amp;"[wk]")=J$6)*(IF($G$2=0,1,(INDIRECT($E63&amp;"[site]")=$G$2)))/1000)-1,0)</f>
        <v>0.21248679437643614</v>
      </c>
      <c r="K64" s="74">
        <f t="array" aca="1" ref="K64" ca="1">IFERROR(K63/SUM(INDIRECT($E63&amp;"["&amp;$F63&amp;"]")*(INDIRECT($E63&amp;"[yr]")=(K$5-1))*(INDIRECT($E63&amp;"[wk]")=K$6)*(IF($G$2=0,1,(INDIRECT($E63&amp;"[site]")=$G$2)))/1000)-1,0)</f>
        <v>0.16771783968018861</v>
      </c>
      <c r="L64" s="74">
        <f t="array" aca="1" ref="L64" ca="1">IFERROR(L63/SUM(INDIRECT($E63&amp;"["&amp;$F63&amp;"]")*(INDIRECT($E63&amp;"[yr]")=(L$5-1))*(INDIRECT($E63&amp;"[wk]")=L$6)*(IF($G$2=0,1,(INDIRECT($E63&amp;"[site]")=$G$2)))/1000)-1,0)</f>
        <v>0.11174222699342251</v>
      </c>
      <c r="M64" s="74">
        <f t="array" aca="1" ref="M64" ca="1">IFERROR(M63/SUM(INDIRECT($E63&amp;"["&amp;$F63&amp;"]")*(INDIRECT($E63&amp;"[yr]")=(M$5-1))*(INDIRECT($E63&amp;"[wk]")=M$6)*(IF($G$2=0,1,(INDIRECT($E63&amp;"[site]")=$G$2)))/1000)-1,0)</f>
        <v>0.16040308881354082</v>
      </c>
      <c r="N64" s="74">
        <f t="array" aca="1" ref="N64" ca="1">IFERROR(N63/SUM(INDIRECT($E63&amp;"["&amp;$F63&amp;"]")*(INDIRECT($E63&amp;"[yr]")=(N$5-1))*(INDIRECT($E63&amp;"[wk]")=N$6)*(IF($G$2=0,1,(INDIRECT($E63&amp;"[site]")=$G$2)))/1000)-1,0)</f>
        <v>0.13699111825153865</v>
      </c>
      <c r="O64" s="74">
        <f t="array" aca="1" ref="O64" ca="1">IFERROR(O63/SUM(INDIRECT($E63&amp;"["&amp;$F63&amp;"]")*(INDIRECT($E63&amp;"[yr]")=(O$5-1))*(INDIRECT($E63&amp;"[wk]")=O$6)*(IF($G$2=0,1,(INDIRECT($E63&amp;"[site]")=$G$2)))/1000)-1,0)</f>
        <v>0.21796574407347657</v>
      </c>
      <c r="P64" s="74">
        <f t="array" aca="1" ref="P64" ca="1">IFERROR(P63/SUM(INDIRECT($E63&amp;"["&amp;$F63&amp;"]")*(INDIRECT($E63&amp;"[yr]")=(P$5-1))*(INDIRECT($E63&amp;"[wk]")=P$6)*(IF($G$2=0,1,(INDIRECT($E63&amp;"[site]")=$G$2)))/1000)-1,0)</f>
        <v>8.0203246294989095E-2</v>
      </c>
      <c r="Q64" s="51">
        <f t="array" aca="1" ref="Q64" ca="1">IFERROR(Q63/SUM(INDIRECT($E63&amp;"["&amp;$F63&amp;"]")*(INDIRECT($E63&amp;"[yr]")=(Q$5-1))*(INDIRECT($E63&amp;"[wk]")=Q$6)*(IF($G$2=0,1,(INDIRECT($E63&amp;"[site]")=$G$2)))/1000)-1,0)</f>
        <v>4.7021568328726504E-2</v>
      </c>
      <c r="R64" s="74">
        <f t="array" aca="1" ref="R64" ca="1">IFERROR(R63/SUM(INDIRECT($E63&amp;"["&amp;$F63&amp;"]")*(INDIRECT($E63&amp;"[yr]")=(R$5-1))*(INDIRECT($E63&amp;"[wk]")=R$6)*(IF($G$2=0,1,(INDIRECT($E63&amp;"[site]")=$G$2)))/1000)-1,0)</f>
        <v>-5.361380858513376E-2</v>
      </c>
      <c r="S64" s="74">
        <f t="array" aca="1" ref="S64" ca="1">IFERROR(S63/SUM(INDIRECT($E63&amp;"["&amp;$F63&amp;"]")*(INDIRECT($E63&amp;"[yr]")=(S$5-1))*(INDIRECT($E63&amp;"[wk]")=S$6)*(IF($G$2=0,1,(INDIRECT($E63&amp;"[site]")=$G$2)))/1000)-1,0)</f>
        <v>7.9503119851670689E-2</v>
      </c>
      <c r="T64" s="76">
        <f t="array" aca="1" ref="T64" ca="1">IFERROR(T63/SUM(INDIRECT($E63&amp;"["&amp;$F63&amp;"]")*(INDIRECT($E63&amp;"[yr]")=(T$5-1))*(INDIRECT($E63&amp;"[wk]")=T$6)*(IF($G$2=0,1,(INDIRECT($E63&amp;"[site]")=$G$2)))/1000)-1,0)</f>
        <v>-0.3963119043684239</v>
      </c>
      <c r="U64" s="53">
        <f ca="1">AVERAGE(Q64:T64)</f>
        <v>-8.0850256193290115E-2</v>
      </c>
      <c r="V64" s="91"/>
      <c r="W64" s="80"/>
      <c r="X64" s="56"/>
    </row>
    <row r="65" spans="2:24" ht="3" customHeight="1" x14ac:dyDescent="0.4">
      <c r="B65" s="122"/>
      <c r="D65" s="61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61"/>
      <c r="Q65" s="57"/>
      <c r="R65" s="57"/>
      <c r="S65" s="149"/>
      <c r="T65" s="59"/>
      <c r="U65" s="61"/>
      <c r="V65" s="114"/>
      <c r="W65" s="62"/>
      <c r="X65" s="57"/>
    </row>
    <row r="66" spans="2:24" ht="14.15" customHeight="1" x14ac:dyDescent="0.4">
      <c r="B66" s="328" t="s">
        <v>92</v>
      </c>
      <c r="D66" s="203" t="s">
        <v>93</v>
      </c>
      <c r="E66" t="s">
        <v>94</v>
      </c>
      <c r="F66" t="s">
        <v>95</v>
      </c>
      <c r="I66" s="126">
        <f t="array" aca="1" ref="I66" ca="1">SUM(INDIRECT($E66&amp;"["&amp;$F66&amp;"]")*(INDIRECT($E66&amp;"[yr]")=I$5)*(INDIRECT($E66&amp;"[wk]")=I$6)/1000*(IF($G$2=0,1,(INDIRECT($E66&amp;"[siteflag]")=$G$2))))</f>
        <v>323.88599999999997</v>
      </c>
      <c r="J66" s="126">
        <f t="array" aca="1" ref="J66" ca="1">SUM(INDIRECT($E66&amp;"["&amp;$F66&amp;"]")*(INDIRECT($E66&amp;"[yr]")=J$5)*(INDIRECT($E66&amp;"[wk]")=J$6)/1000*(IF($G$2=0,1,(INDIRECT($E66&amp;"[siteflag]")=$G$2))))</f>
        <v>308.98199999999997</v>
      </c>
      <c r="K66" s="126">
        <f t="array" aca="1" ref="K66" ca="1">SUM(INDIRECT($E66&amp;"["&amp;$F66&amp;"]")*(INDIRECT($E66&amp;"[yr]")=K$5)*(INDIRECT($E66&amp;"[wk]")=K$6)/1000*(IF($G$2=0,1,(INDIRECT($E66&amp;"[siteflag]")=$G$2))))</f>
        <v>279.19599999999997</v>
      </c>
      <c r="L66" s="126">
        <f t="array" aca="1" ref="L66" ca="1">SUM(INDIRECT($E66&amp;"["&amp;$F66&amp;"]")*(INDIRECT($E66&amp;"[yr]")=L$5)*(INDIRECT($E66&amp;"[wk]")=L$6)/1000*(IF($G$2=0,1,(INDIRECT($E66&amp;"[siteflag]")=$G$2))))</f>
        <v>272.43</v>
      </c>
      <c r="M66" s="126">
        <f t="array" aca="1" ref="M66" ca="1">SUM(INDIRECT($E66&amp;"["&amp;$F66&amp;"]")*(INDIRECT($E66&amp;"[yr]")=M$5)*(INDIRECT($E66&amp;"[wk]")=M$6)/1000*(IF($G$2=0,1,(INDIRECT($E66&amp;"[siteflag]")=$G$2))))</f>
        <v>330.57099999999997</v>
      </c>
      <c r="N66" s="126">
        <f t="array" aca="1" ref="N66" ca="1">SUM(INDIRECT($E66&amp;"["&amp;$F66&amp;"]")*(INDIRECT($E66&amp;"[yr]")=N$5)*(INDIRECT($E66&amp;"[wk]")=N$6)/1000*(IF($G$2=0,1,(INDIRECT($E66&amp;"[siteflag]")=$G$2))))</f>
        <v>363.37299999999999</v>
      </c>
      <c r="O66" s="126">
        <f t="array" aca="1" ref="O66" ca="1">SUM(INDIRECT($E66&amp;"["&amp;$F66&amp;"]")*(INDIRECT($E66&amp;"[yr]")=O$5)*(INDIRECT($E66&amp;"[wk]")=O$6)/1000*(IF($G$2=0,1,(INDIRECT($E66&amp;"[siteflag]")=$G$2))))</f>
        <v>378.61900000000003</v>
      </c>
      <c r="P66" s="147">
        <f t="array" aca="1" ref="P66" ca="1">SUM(INDIRECT($E66&amp;"["&amp;$F66&amp;"]")*(INDIRECT($E66&amp;"[yr]")=P$5)*(INDIRECT($E66&amp;"[wk]")=P$6)/1000*(IF($G$2=0,1,(INDIRECT($E66&amp;"[siteflag]")=$G$2))))</f>
        <v>361.83199999999999</v>
      </c>
      <c r="Q66" s="126">
        <f t="array" aca="1" ref="Q66" ca="1">SUM(INDIRECT($E66&amp;"["&amp;$F66&amp;"]")*(INDIRECT($E66&amp;"[yr]")=Q$5)*(INDIRECT($E66&amp;"[wk]")=Q$6)/1000*(IF($G$2=0,1,(INDIRECT($E66&amp;"[siteflag]")=$G$2))))</f>
        <v>363.43599999999998</v>
      </c>
      <c r="R66" s="126">
        <f t="array" aca="1" ref="R66" ca="1">SUM(INDIRECT($E66&amp;"["&amp;$F66&amp;"]")*(INDIRECT($E66&amp;"[yr]")=R$5)*(INDIRECT($E66&amp;"[wk]")=R$6)/1000*(IF($G$2=0,1,(INDIRECT($E66&amp;"[siteflag]")=$G$2))))</f>
        <v>314.90999999999997</v>
      </c>
      <c r="S66" s="148">
        <f t="array" aca="1" ref="S66" ca="1">SUM(INDIRECT($E66&amp;"["&amp;$F66&amp;"]")*(INDIRECT($E66&amp;"[yr]")=S$5)*(INDIRECT($E66&amp;"[wk]")=S$6)/1000*(IF($G$2=0,1,(INDIRECT($E66&amp;"[siteflag]")=$G$2))))</f>
        <v>349.72200000000004</v>
      </c>
      <c r="T66" s="120">
        <f t="array" aca="1" ref="T66" ca="1">SUM(INDIRECT($E66&amp;"["&amp;$F66&amp;"]")*(INDIRECT($E66&amp;"[yr]")=T$5)*(INDIRECT($E66&amp;"[wk]")=T$6)/1000*(IF($G$2=0,1,(INDIRECT($E66&amp;"[siteflag]")=$G$2))))</f>
        <v>260.11200000000002</v>
      </c>
      <c r="U66" s="150">
        <f ca="1">SUM(Q66:T66)</f>
        <v>1288.18</v>
      </c>
      <c r="V66" s="49">
        <f t="array" aca="1" ref="V66" ca="1">SUM(T66/S66)-1</f>
        <v>-0.25623209291951898</v>
      </c>
      <c r="W66" s="127"/>
      <c r="X66" s="49"/>
    </row>
    <row r="67" spans="2:24" ht="14.15" customHeight="1" x14ac:dyDescent="0.4">
      <c r="B67" s="329"/>
      <c r="D67" s="202" t="s">
        <v>67</v>
      </c>
      <c r="E67" s="40"/>
      <c r="F67" s="40"/>
      <c r="G67" s="40"/>
      <c r="H67" s="40"/>
      <c r="I67" s="50">
        <f t="array" aca="1" ref="I67" ca="1">IFERROR(I66/SUM(INDIRECT($E66&amp;"["&amp;$F66&amp;"]")*(INDIRECT($E66&amp;"[yr]")=(I$5-1))*(INDIRECT($E66&amp;"[wk]")=I$6)*(IF($G$2=0,1,(INDIRECT($E66&amp;"[siteflag]")=$G$2)))/1000)-1,0)</f>
        <v>0.14516140437718761</v>
      </c>
      <c r="J67" s="50">
        <f t="array" aca="1" ref="J67" ca="1">IFERROR(J66/SUM(INDIRECT($E66&amp;"["&amp;$F66&amp;"]")*(INDIRECT($E66&amp;"[yr]")=(J$5-1))*(INDIRECT($E66&amp;"[wk]")=J$6)*(IF($G$2=0,1,(INDIRECT($E66&amp;"[siteflag]")=$G$2)))/1000)-1,0)</f>
        <v>0.1908426955466056</v>
      </c>
      <c r="K67" s="50">
        <f t="array" aca="1" ref="K67" ca="1">IFERROR(K66/SUM(INDIRECT($E66&amp;"["&amp;$F66&amp;"]")*(INDIRECT($E66&amp;"[yr]")=(K$5-1))*(INDIRECT($E66&amp;"[wk]")=K$6)*(IF($G$2=0,1,(INDIRECT($E66&amp;"[siteflag]")=$G$2)))/1000)-1,0)</f>
        <v>0.14851045274667407</v>
      </c>
      <c r="L67" s="50">
        <f t="array" aca="1" ref="L67" ca="1">IFERROR(L66/SUM(INDIRECT($E66&amp;"["&amp;$F66&amp;"]")*(INDIRECT($E66&amp;"[yr]")=(L$5-1))*(INDIRECT($E66&amp;"[wk]")=L$6)*(IF($G$2=0,1,(INDIRECT($E66&amp;"[siteflag]")=$G$2)))/1000)-1,0)</f>
        <v>0.11583500239607791</v>
      </c>
      <c r="M67" s="50">
        <f t="array" aca="1" ref="M67" ca="1">IFERROR(M66/SUM(INDIRECT($E66&amp;"["&amp;$F66&amp;"]")*(INDIRECT($E66&amp;"[yr]")=(M$5-1))*(INDIRECT($E66&amp;"[wk]")=M$6)*(IF($G$2=0,1,(INDIRECT($E66&amp;"[siteflag]")=$G$2)))/1000)-1,0)</f>
        <v>0.12747829942529698</v>
      </c>
      <c r="N67" s="50">
        <f t="array" aca="1" ref="N67" ca="1">IFERROR(N66/SUM(INDIRECT($E66&amp;"["&amp;$F66&amp;"]")*(INDIRECT($E66&amp;"[yr]")=(N$5-1))*(INDIRECT($E66&amp;"[wk]")=N$6)*(IF($G$2=0,1,(INDIRECT($E66&amp;"[siteflag]")=$G$2)))/1000)-1,0)</f>
        <v>0.11353781376121219</v>
      </c>
      <c r="O67" s="50">
        <f t="array" aca="1" ref="O67" ca="1">IFERROR(O66/SUM(INDIRECT($E66&amp;"["&amp;$F66&amp;"]")*(INDIRECT($E66&amp;"[yr]")=(O$5-1))*(INDIRECT($E66&amp;"[wk]")=O$6)*(IF($G$2=0,1,(INDIRECT($E66&amp;"[siteflag]")=$G$2)))/1000)-1,0)</f>
        <v>0.20187350805018034</v>
      </c>
      <c r="P67" s="54">
        <f t="array" aca="1" ref="P67" ca="1">IFERROR(P66/SUM(INDIRECT($E66&amp;"["&amp;$F66&amp;"]")*(INDIRECT($E66&amp;"[yr]")=(P$5-1))*(INDIRECT($E66&amp;"[wk]")=P$6)*(IF($G$2=0,1,(INDIRECT($E66&amp;"[siteflag]")=$G$2)))/1000)-1,0)</f>
        <v>8.6259640527290404E-2</v>
      </c>
      <c r="Q67" s="50">
        <f t="array" aca="1" ref="Q67" ca="1">IFERROR(Q66/SUM(INDIRECT($E66&amp;"["&amp;$F66&amp;"]")*(INDIRECT($E66&amp;"[yr]")=(Q$5-1))*(INDIRECT($E66&amp;"[wk]")=Q$6)*(IF($G$2=0,1,(INDIRECT($E66&amp;"[siteflag]")=$G$2)))/1000)-1,0)</f>
        <v>3.6821489805408447E-2</v>
      </c>
      <c r="R67" s="50">
        <f t="array" aca="1" ref="R67" ca="1">IFERROR(R66/SUM(INDIRECT($E66&amp;"["&amp;$F66&amp;"]")*(INDIRECT($E66&amp;"[yr]")=(R$5-1))*(INDIRECT($E66&amp;"[wk]")=R$6)*(IF($G$2=0,1,(INDIRECT($E66&amp;"[siteflag]")=$G$2)))/1000)-1,0)</f>
        <v>-5.8610051537146379E-2</v>
      </c>
      <c r="S67" s="50">
        <f t="array" aca="1" ref="S67" ca="1">IFERROR(S66/SUM(INDIRECT($E66&amp;"["&amp;$F66&amp;"]")*(INDIRECT($E66&amp;"[yr]")=(S$5-1))*(INDIRECT($E66&amp;"[wk]")=S$6)*(IF($G$2=0,1,(INDIRECT($E66&amp;"[siteflag]")=$G$2)))/1000)-1,0)</f>
        <v>4.4682223895042616E-2</v>
      </c>
      <c r="T67" s="52">
        <f t="array" aca="1" ref="T67" ca="1">IFERROR(T66/SUM(INDIRECT($E66&amp;"["&amp;$F66&amp;"]")*(INDIRECT($E66&amp;"[yr]")=(T$5-1))*(INDIRECT($E66&amp;"[wk]")=T$6)*(IF($H$2=0,1,(INDIRECT($E66&amp;"[siteflag]")=$H$2)))/1000)-1,0)</f>
        <v>-0.41714600704053351</v>
      </c>
      <c r="U67" s="53">
        <f t="array" aca="1" ref="U67" ca="1">SUMPRODUCT(Q67:T67,$Q$66:$T$66)/SUM($Q$66:$T$66)</f>
        <v>-7.6039809528908611E-2</v>
      </c>
      <c r="V67" s="54"/>
      <c r="W67" s="55"/>
      <c r="X67" s="56"/>
    </row>
    <row r="68" spans="2:24" ht="3" customHeight="1" x14ac:dyDescent="0.4">
      <c r="B68" s="329"/>
      <c r="D68" s="206"/>
      <c r="E68" s="57"/>
      <c r="F68" s="57"/>
      <c r="G68" s="57"/>
      <c r="H68" s="57"/>
      <c r="I68" s="84"/>
      <c r="J68" s="84"/>
      <c r="K68" s="84"/>
      <c r="L68" s="84"/>
      <c r="M68" s="84"/>
      <c r="N68" s="84"/>
      <c r="O68" s="84"/>
      <c r="P68" s="88"/>
      <c r="Q68" s="84"/>
      <c r="R68" s="84"/>
      <c r="S68" s="84"/>
      <c r="T68" s="86"/>
      <c r="U68" s="53"/>
      <c r="V68" s="91"/>
      <c r="W68" s="80"/>
      <c r="X68" s="83"/>
    </row>
    <row r="69" spans="2:24" ht="14.15" customHeight="1" x14ac:dyDescent="0.4">
      <c r="B69" s="329"/>
      <c r="D69" s="203" t="s">
        <v>340</v>
      </c>
      <c r="E69" t="s">
        <v>318</v>
      </c>
      <c r="F69" t="s">
        <v>319</v>
      </c>
      <c r="I69" s="246">
        <f t="array" aca="1" ref="I69" ca="1">SUM(INDIRECT($E69&amp;"["&amp;$F69&amp;"]")*(INDIRECT($E69&amp;"[yr]")=I$5)*(INDIRECT($E69&amp;"[wk]")=I$6))/1000</f>
        <v>16.63</v>
      </c>
      <c r="J69" s="246">
        <f t="array" aca="1" ref="J69" ca="1">SUM(INDIRECT($E69&amp;"["&amp;$F69&amp;"]")*(INDIRECT($E69&amp;"[yr]")=J$5)*(INDIRECT($E69&amp;"[wk]")=J$6))/1000</f>
        <v>16.753</v>
      </c>
      <c r="K69" s="246">
        <f t="array" aca="1" ref="K69" ca="1">SUM(INDIRECT($E69&amp;"["&amp;$F69&amp;"]")*(INDIRECT($E69&amp;"[yr]")=K$5)*(INDIRECT($E69&amp;"[wk]")=K$6))/1000</f>
        <v>13.590999999999999</v>
      </c>
      <c r="L69" s="246">
        <f t="array" aca="1" ref="L69" ca="1">SUM(INDIRECT($E69&amp;"["&amp;$F69&amp;"]")*(INDIRECT($E69&amp;"[yr]")=L$5)*(INDIRECT($E69&amp;"[wk]")=L$6))/1000</f>
        <v>13.311999999999999</v>
      </c>
      <c r="M69" s="246">
        <f t="array" aca="1" ref="M69" ca="1">SUM(INDIRECT($E69&amp;"["&amp;$F69&amp;"]")*(INDIRECT($E69&amp;"[yr]")=M$5)*(INDIRECT($E69&amp;"[wk]")=M$6))/1000</f>
        <v>15.762</v>
      </c>
      <c r="N69" s="246">
        <f t="array" aca="1" ref="N69" ca="1">SUM(INDIRECT($E69&amp;"["&amp;$F69&amp;"]")*(INDIRECT($E69&amp;"[yr]")=N$5)*(INDIRECT($E69&amp;"[wk]")=N$6))/1000</f>
        <v>16.946999999999999</v>
      </c>
      <c r="O69" s="246">
        <f t="array" aca="1" ref="O69" ca="1">SUM(INDIRECT($E69&amp;"["&amp;$F69&amp;"]")*(INDIRECT($E69&amp;"[yr]")=O$5)*(INDIRECT($E69&amp;"[wk]")=O$6))/1000</f>
        <v>17.689</v>
      </c>
      <c r="P69" s="249">
        <f t="array" aca="1" ref="P69" ca="1">SUM(INDIRECT($E69&amp;"["&amp;$F69&amp;"]")*(INDIRECT($E69&amp;"[yr]")=P$5)*(INDIRECT($E69&amp;"[wk]")=P$6))/1000</f>
        <v>17.337</v>
      </c>
      <c r="Q69" s="246">
        <f t="array" aca="1" ref="Q69" ca="1">SUM(INDIRECT($E69&amp;"["&amp;$F69&amp;"]")*(INDIRECT($E69&amp;"[yr]")=Q$5)*(INDIRECT($E69&amp;"[wk]")=Q$6))/1000</f>
        <v>18.663</v>
      </c>
      <c r="R69" s="246">
        <f t="array" aca="1" ref="R69" ca="1">SUM(INDIRECT($E69&amp;"["&amp;$F69&amp;"]")*(INDIRECT($E69&amp;"[yr]")=R$5)*(INDIRECT($E69&amp;"[wk]")=R$6))/1000</f>
        <v>15.353999999999999</v>
      </c>
      <c r="S69" s="246">
        <f t="array" aca="1" ref="S69" ca="1">SUM(INDIRECT($E69&amp;"["&amp;$F69&amp;"]")*(INDIRECT($E69&amp;"[yr]")=S$5)*(INDIRECT($E69&amp;"[wk]")=S$6))/1000</f>
        <v>20.097000000000001</v>
      </c>
      <c r="T69" s="247">
        <f t="array" aca="1" ref="T69" ca="1">SUM(INDIRECT($E69&amp;"["&amp;$F69&amp;"]")*(INDIRECT($E69&amp;"[yr]")=T$5)*(INDIRECT($E69&amp;"[wk]")=T$6))/1000</f>
        <v>12.574999999999999</v>
      </c>
      <c r="U69" s="248">
        <f t="array" aca="1" ref="U69" ca="1">AVERAGE(Q69:T69)</f>
        <v>16.672249999999998</v>
      </c>
      <c r="V69" s="49">
        <f t="array" aca="1" ref="V69" ca="1">SUM(T69/S69)-1</f>
        <v>-0.37428471911230543</v>
      </c>
      <c r="W69" s="127"/>
      <c r="X69" s="49"/>
    </row>
    <row r="70" spans="2:24" ht="14.15" customHeight="1" x14ac:dyDescent="0.4">
      <c r="B70" s="329"/>
      <c r="D70" s="204" t="s">
        <v>67</v>
      </c>
      <c r="I70" s="74">
        <f t="array" aca="1" ref="I70" ca="1">IFERROR(I69/(SUM(INDIRECT($E69&amp;"["&amp;$F69&amp;"]")*(INDIRECT($E69&amp;"[yr]")=I$5-1)*(INDIRECT($E69&amp;"[wk]")=I$6))/1000)-1, 0)</f>
        <v>0.37279181112762072</v>
      </c>
      <c r="J70" s="74">
        <f t="array" aca="1" ref="J70" ca="1">IFERROR(J69/(SUM(INDIRECT($E69&amp;"["&amp;$F69&amp;"]")*(INDIRECT($E69&amp;"[yr]")=J$5-1)*(INDIRECT($E69&amp;"[wk]")=J$6))/1000)-1, 0)</f>
        <v>0.41113544474393526</v>
      </c>
      <c r="K70" s="74">
        <f t="array" aca="1" ref="K70" ca="1">IFERROR(K69/(SUM(INDIRECT($E69&amp;"["&amp;$F69&amp;"]")*(INDIRECT($E69&amp;"[yr]")=K$5-1)*(INDIRECT($E69&amp;"[wk]")=K$6))/1000)-1, 0)</f>
        <v>0.13126352588646584</v>
      </c>
      <c r="L70" s="74">
        <f t="array" aca="1" ref="L70" ca="1">IFERROR(L69/(SUM(INDIRECT($E69&amp;"["&amp;$F69&amp;"]")*(INDIRECT($E69&amp;"[yr]")=L$5-1)*(INDIRECT($E69&amp;"[wk]")=L$6))/1000)-1, 0)</f>
        <v>0.10776400099858541</v>
      </c>
      <c r="M70" s="74">
        <f t="array" aca="1" ref="M70" ca="1">IFERROR(M69/(SUM(INDIRECT($E69&amp;"["&amp;$F69&amp;"]")*(INDIRECT($E69&amp;"[yr]")=M$5-1)*(INDIRECT($E69&amp;"[wk]")=M$6))/1000)-1, 0)</f>
        <v>0.35191697401149313</v>
      </c>
      <c r="N70" s="74">
        <f t="array" aca="1" ref="N70" ca="1">IFERROR(N69/(SUM(INDIRECT($E69&amp;"["&amp;$F69&amp;"]")*(INDIRECT($E69&amp;"[yr]")=N$5-1)*(INDIRECT($E69&amp;"[wk]")=N$6))/1000)-1, 0)</f>
        <v>0.25005532197388791</v>
      </c>
      <c r="O70" s="74">
        <f t="array" aca="1" ref="O70" ca="1">IFERROR(O69/(SUM(INDIRECT($E69&amp;"["&amp;$F69&amp;"]")*(INDIRECT($E69&amp;"[yr]")=O$5-1)*(INDIRECT($E69&amp;"[wk]")=O$6))/1000)-1, 0)</f>
        <v>0.43836396161977564</v>
      </c>
      <c r="P70" s="54">
        <f t="array" aca="1" ref="P70" ca="1">IFERROR(P69/(SUM(INDIRECT($E69&amp;"["&amp;$F69&amp;"]")*(INDIRECT($E69&amp;"[yr]")=P$5-1)*(INDIRECT($E69&amp;"[wk]")=P$6))/1000)-1, 0)</f>
        <v>0.2619740864754696</v>
      </c>
      <c r="Q70" s="51">
        <f t="array" aca="1" ref="Q70" ca="1">IFERROR(Q69/(SUM(INDIRECT($E69&amp;"["&amp;$F69&amp;"]")*(INDIRECT($E69&amp;"[yr]")=Q$5-1)*(INDIRECT($E69&amp;"[wk]")=Q$6))/1000)-1, 0)</f>
        <v>0.15396030421072182</v>
      </c>
      <c r="R70" s="74">
        <f t="array" aca="1" ref="R70" ca="1">IFERROR(R69/(SUM(INDIRECT($E69&amp;"["&amp;$F69&amp;"]")*(INDIRECT($E69&amp;"[yr]")=R$5-1)*(INDIRECT($E69&amp;"[wk]")=R$6))/1000)-1, 0)</f>
        <v>1.2389957613301306E-3</v>
      </c>
      <c r="S70" s="74">
        <f t="array" aca="1" ref="S70" ca="1">IFERROR(S69/(SUM(INDIRECT($E69&amp;"["&amp;$F69&amp;"]")*(INDIRECT($E69&amp;"[yr]")=S$5-1)*(INDIRECT($E69&amp;"[wk]")=S$6))/1000)-1, 0)</f>
        <v>0.35561551433389571</v>
      </c>
      <c r="T70" s="76">
        <f t="array" aca="1" ref="T70" ca="1">IFERROR(T69/(SUM(INDIRECT($E69&amp;"["&amp;$F69&amp;"]")*(INDIRECT($E69&amp;"[yr]")=T$5-1)*(INDIRECT($E69&amp;"[wk]")=T$6))/1000)-1, 0)</f>
        <v>-0.23870928683860038</v>
      </c>
      <c r="U70" s="53">
        <f t="array" aca="1" ref="U70" ca="1">SUMPRODUCT(Q70:T70,$Q$69:$T$69)/SUM($Q$69:$T$69)</f>
        <v>0.10552595492475624</v>
      </c>
      <c r="V70" s="190"/>
      <c r="W70" s="55"/>
      <c r="X70" s="56"/>
    </row>
    <row r="71" spans="2:24" ht="3" customHeight="1" x14ac:dyDescent="0.4">
      <c r="B71" s="329"/>
      <c r="D71" s="206"/>
      <c r="E71" s="57"/>
      <c r="F71" s="57"/>
      <c r="G71" s="57"/>
      <c r="H71" s="57"/>
      <c r="I71" s="84"/>
      <c r="J71" s="84"/>
      <c r="K71" s="84"/>
      <c r="L71" s="84"/>
      <c r="M71" s="84"/>
      <c r="N71" s="84"/>
      <c r="O71" s="84"/>
      <c r="P71" s="88"/>
      <c r="Q71" s="84"/>
      <c r="R71" s="84"/>
      <c r="S71" s="84"/>
      <c r="T71" s="86"/>
      <c r="U71" s="53"/>
      <c r="V71" s="91"/>
      <c r="W71" s="80"/>
      <c r="X71" s="83"/>
    </row>
    <row r="72" spans="2:24" ht="14.15" customHeight="1" x14ac:dyDescent="0.4">
      <c r="B72" s="329"/>
      <c r="D72" s="203" t="s">
        <v>322</v>
      </c>
      <c r="E72" t="s">
        <v>318</v>
      </c>
      <c r="F72" t="s">
        <v>319</v>
      </c>
      <c r="I72" s="244">
        <f t="array" aca="1" ref="I72" ca="1">(SUM(INDIRECT($E72&amp;"["&amp;$F72&amp;"]")*(INDIRECT($E72&amp;"[yr]")=I$5)*(INDIRECT($E72&amp;"[wk]")=I$6)) -
   SUM(INDIRECT($E72&amp;"["&amp;$F73&amp;"]")*(INDIRECT($E72&amp;"[yr]")=I$5)*(INDIRECT($E72&amp;"[wk]")=I$6))) /
  (SUM(INDIRECT($E72&amp;"["&amp;$F72&amp;"]")*(INDIRECT($E72&amp;"[yr]")=I$5)*(INDIRECT($E72&amp;"[wk]")=I$6)) -
   SUM(INDIRECT($E72&amp;"["&amp;$E73&amp;"]")*(INDIRECT($E72&amp;"[yr]")=I$5)*(INDIRECT($E72&amp;"[wk]")=I$6)))</f>
        <v>0.97159841479524434</v>
      </c>
      <c r="J72" s="244">
        <f t="array" aca="1" ref="J72" ca="1">(SUM(INDIRECT($E72&amp;"["&amp;$F72&amp;"]")*(INDIRECT($E72&amp;"[yr]")=J$5)*(INDIRECT($E72&amp;"[wk]")=J$6)) -
   SUM(INDIRECT($E72&amp;"["&amp;$F73&amp;"]")*(INDIRECT($E72&amp;"[yr]")=J$5)*(INDIRECT($E72&amp;"[wk]")=J$6))) /
  (SUM(INDIRECT($E72&amp;"["&amp;$F72&amp;"]")*(INDIRECT($E72&amp;"[yr]")=J$5)*(INDIRECT($E72&amp;"[wk]")=J$6)) -
   SUM(INDIRECT($E72&amp;"["&amp;$E73&amp;"]")*(INDIRECT($E72&amp;"[yr]")=J$5)*(INDIRECT($E72&amp;"[wk]")=J$6)))</f>
        <v>0.97445374497227955</v>
      </c>
      <c r="K72" s="244">
        <f t="array" aca="1" ref="K72" ca="1">(SUM(INDIRECT($E72&amp;"["&amp;$F72&amp;"]")*(INDIRECT($E72&amp;"[yr]")=K$5)*(INDIRECT($E72&amp;"[wk]")=K$6)) -
   SUM(INDIRECT($E72&amp;"["&amp;$F73&amp;"]")*(INDIRECT($E72&amp;"[yr]")=K$5)*(INDIRECT($E72&amp;"[wk]")=K$6))) /
  (SUM(INDIRECT($E72&amp;"["&amp;$F72&amp;"]")*(INDIRECT($E72&amp;"[yr]")=K$5)*(INDIRECT($E72&amp;"[wk]")=K$6)) -
   SUM(INDIRECT($E72&amp;"["&amp;$E73&amp;"]")*(INDIRECT($E72&amp;"[yr]")=K$5)*(INDIRECT($E72&amp;"[wk]")=K$6)))</f>
        <v>0.99126226643366044</v>
      </c>
      <c r="L72" s="244">
        <f t="array" aca="1" ref="L72" ca="1">(SUM(INDIRECT($E72&amp;"["&amp;$F72&amp;"]")*(INDIRECT($E72&amp;"[yr]")=L$5)*(INDIRECT($E72&amp;"[wk]")=L$6)) -
   SUM(INDIRECT($E72&amp;"["&amp;$F73&amp;"]")*(INDIRECT($E72&amp;"[yr]")=L$5)*(INDIRECT($E72&amp;"[wk]")=L$6))) /
  (SUM(INDIRECT($E72&amp;"["&amp;$F72&amp;"]")*(INDIRECT($E72&amp;"[yr]")=L$5)*(INDIRECT($E72&amp;"[wk]")=L$6)) -
   SUM(INDIRECT($E72&amp;"["&amp;$E73&amp;"]")*(INDIRECT($E72&amp;"[yr]")=L$5)*(INDIRECT($E72&amp;"[wk]")=L$6)))</f>
        <v>0.97343427391603576</v>
      </c>
      <c r="M72" s="244">
        <f t="array" aca="1" ref="M72" ca="1">(SUM(INDIRECT($E72&amp;"["&amp;$F72&amp;"]")*(INDIRECT($E72&amp;"[yr]")=M$5)*(INDIRECT($E72&amp;"[wk]")=M$6)) -
   SUM(INDIRECT($E72&amp;"["&amp;$F73&amp;"]")*(INDIRECT($E72&amp;"[yr]")=M$5)*(INDIRECT($E72&amp;"[wk]")=M$6))) /
  (SUM(INDIRECT($E72&amp;"["&amp;$F72&amp;"]")*(INDIRECT($E72&amp;"[yr]")=M$5)*(INDIRECT($E72&amp;"[wk]")=M$6)) -
   SUM(INDIRECT($E72&amp;"["&amp;$E73&amp;"]")*(INDIRECT($E72&amp;"[yr]")=M$5)*(INDIRECT($E72&amp;"[wk]")=M$6)))</f>
        <v>0.97849337363403854</v>
      </c>
      <c r="N72" s="244">
        <f t="array" aca="1" ref="N72" ca="1">(SUM(INDIRECT($E72&amp;"["&amp;$F72&amp;"]")*(INDIRECT($E72&amp;"[yr]")=N$5)*(INDIRECT($E72&amp;"[wk]")=N$6)) -
   SUM(INDIRECT($E72&amp;"["&amp;$F73&amp;"]")*(INDIRECT($E72&amp;"[yr]")=N$5)*(INDIRECT($E72&amp;"[wk]")=N$6))) /
  (SUM(INDIRECT($E72&amp;"["&amp;$F72&amp;"]")*(INDIRECT($E72&amp;"[yr]")=N$5)*(INDIRECT($E72&amp;"[wk]")=N$6)) -
   SUM(INDIRECT($E72&amp;"["&amp;$E73&amp;"]")*(INDIRECT($E72&amp;"[yr]")=N$5)*(INDIRECT($E72&amp;"[wk]")=N$6)))</f>
        <v>0.96945493793847815</v>
      </c>
      <c r="O72" s="244">
        <f t="array" aca="1" ref="O72" ca="1">(SUM(INDIRECT($E72&amp;"["&amp;$F72&amp;"]")*(INDIRECT($E72&amp;"[yr]")=O$5)*(INDIRECT($E72&amp;"[wk]")=O$6)) -
   SUM(INDIRECT($E72&amp;"["&amp;$F73&amp;"]")*(INDIRECT($E72&amp;"[yr]")=O$5)*(INDIRECT($E72&amp;"[wk]")=O$6))) /
  (SUM(INDIRECT($E72&amp;"["&amp;$F72&amp;"]")*(INDIRECT($E72&amp;"[yr]")=O$5)*(INDIRECT($E72&amp;"[wk]")=O$6)) -
   SUM(INDIRECT($E72&amp;"["&amp;$E73&amp;"]")*(INDIRECT($E72&amp;"[yr]")=O$5)*(INDIRECT($E72&amp;"[wk]")=O$6)))</f>
        <v>0.95994188459941887</v>
      </c>
      <c r="P72" s="245">
        <f t="array" aca="1" ref="P72" ca="1">(SUM(INDIRECT($E72&amp;"["&amp;$F72&amp;"]")*(INDIRECT($E72&amp;"[yr]")=P$5)*(INDIRECT($E72&amp;"[wk]")=P$6)) -
   SUM(INDIRECT($E72&amp;"["&amp;$F73&amp;"]")*(INDIRECT($E72&amp;"[yr]")=P$5)*(INDIRECT($E72&amp;"[wk]")=P$6))) /
  (SUM(INDIRECT($E72&amp;"["&amp;$F72&amp;"]")*(INDIRECT($E72&amp;"[yr]")=P$5)*(INDIRECT($E72&amp;"[wk]")=P$6)) -
   SUM(INDIRECT($E72&amp;"["&amp;$E73&amp;"]")*(INDIRECT($E72&amp;"[yr]")=P$5)*(INDIRECT($E72&amp;"[wk]")=P$6)))</f>
        <v>0.97337526205450731</v>
      </c>
      <c r="Q72" s="244">
        <f t="array" aca="1" ref="Q72" ca="1">(SUM(INDIRECT($E72&amp;"["&amp;$F72&amp;"]")*(INDIRECT($E72&amp;"[yr]")=Q$5)*(INDIRECT($E72&amp;"[wk]")=Q$6)) -
   SUM(INDIRECT($E72&amp;"["&amp;$F73&amp;"]")*(INDIRECT($E72&amp;"[yr]")=Q$5)*(INDIRECT($E72&amp;"[wk]")=Q$6))) /
  (SUM(INDIRECT($E72&amp;"["&amp;$F72&amp;"]")*(INDIRECT($E72&amp;"[yr]")=Q$5)*(INDIRECT($E72&amp;"[wk]")=Q$6)) -
   SUM(INDIRECT($E72&amp;"["&amp;$E73&amp;"]")*(INDIRECT($E72&amp;"[yr]")=Q$5)*(INDIRECT($E72&amp;"[wk]")=Q$6)))</f>
        <v>0.97136714550962577</v>
      </c>
      <c r="R72" s="244">
        <f t="array" aca="1" ref="R72" ca="1">(SUM(INDIRECT($E72&amp;"["&amp;$F72&amp;"]")*(INDIRECT($E72&amp;"[yr]")=R$5)*(INDIRECT($E72&amp;"[wk]")=R$6)) -
   SUM(INDIRECT($E72&amp;"["&amp;$F73&amp;"]")*(INDIRECT($E72&amp;"[yr]")=R$5)*(INDIRECT($E72&amp;"[wk]")=R$6))) /
  (SUM(INDIRECT($E72&amp;"["&amp;$F72&amp;"]")*(INDIRECT($E72&amp;"[yr]")=R$5)*(INDIRECT($E72&amp;"[wk]")=R$6)) -
   SUM(INDIRECT($E72&amp;"["&amp;$E73&amp;"]")*(INDIRECT($E72&amp;"[yr]")=R$5)*(INDIRECT($E72&amp;"[wk]")=R$6)))</f>
        <v>0.98045718346559285</v>
      </c>
      <c r="S72" s="244">
        <f t="array" aca="1" ref="S72" ca="1">(SUM(INDIRECT($E72&amp;"["&amp;$F72&amp;"]")*(INDIRECT($E72&amp;"[yr]")=S$5)*(INDIRECT($E72&amp;"[wk]")=S$6)) -
   SUM(INDIRECT($E72&amp;"["&amp;$F73&amp;"]")*(INDIRECT($E72&amp;"[yr]")=S$5)*(INDIRECT($E72&amp;"[wk]")=S$6))) /
  (SUM(INDIRECT($E72&amp;"["&amp;$F72&amp;"]")*(INDIRECT($E72&amp;"[yr]")=S$5)*(INDIRECT($E72&amp;"[wk]")=S$6)) -
   SUM(INDIRECT($E72&amp;"["&amp;$E73&amp;"]")*(INDIRECT($E72&amp;"[yr]")=S$5)*(INDIRECT($E72&amp;"[wk]")=S$6)))</f>
        <v>0.97647164072284842</v>
      </c>
      <c r="T72" s="241">
        <f t="array" aca="1" ref="T72" ca="1">(SUM(INDIRECT($E72&amp;"["&amp;$F72&amp;"]")*(INDIRECT($E72&amp;"[yr]")=T$5)*(INDIRECT($E72&amp;"[wk]")=T$6)) -
   SUM(INDIRECT($E72&amp;"["&amp;$F73&amp;"]")*(INDIRECT($E72&amp;"[yr]")=T$5)*(INDIRECT($E72&amp;"[wk]")=T$6))) /
  (SUM(INDIRECT($E72&amp;"["&amp;$F72&amp;"]")*(INDIRECT($E72&amp;"[yr]")=T$5)*(INDIRECT($E72&amp;"[wk]")=T$6)) -
   SUM(INDIRECT($E72&amp;"["&amp;$E73&amp;"]")*(INDIRECT($E72&amp;"[yr]")=T$5)*(INDIRECT($E72&amp;"[wk]")=T$6)))</f>
        <v>0.98896151053013803</v>
      </c>
      <c r="U72" s="245">
        <f t="array" aca="1" ref="U72" ca="1">AVERAGE(Q72:T72)</f>
        <v>0.97931437005705124</v>
      </c>
      <c r="V72" s="49">
        <f t="array" aca="1" ref="V72" ca="1">SUM(T72/S72)-1</f>
        <v>1.279081673897231E-2</v>
      </c>
      <c r="W72" s="251">
        <v>0.9</v>
      </c>
      <c r="X72" s="49"/>
    </row>
    <row r="73" spans="2:24" ht="14.15" customHeight="1" x14ac:dyDescent="0.4">
      <c r="B73" s="329"/>
      <c r="D73" s="204" t="s">
        <v>67</v>
      </c>
      <c r="E73" t="s">
        <v>320</v>
      </c>
      <c r="F73" t="s">
        <v>321</v>
      </c>
      <c r="I73" s="74">
        <f t="array" aca="1" ref="I73" ca="1">IFERROR(I72/((SUM(INDIRECT($E72&amp;"["&amp;$F72&amp;"]")*(INDIRECT($E72&amp;"[yr]")=I$5-1)*(INDIRECT($E72&amp;"[wk]")=I$6))-
SUM(INDIRECT($E72&amp;"["&amp;$F73&amp;"]")*(INDIRECT($E72&amp;"[yr]")=I$5-1)*(INDIRECT($E72&amp;"[wk]")=I$6)))/
(SUM(INDIRECT($E72&amp;"["&amp;$F72&amp;"]")*(INDIRECT($E72&amp;"[yr]")=I$5-1)*(INDIRECT($E72&amp;"[wk]")=I$6))-
SUM(INDIRECT($E72&amp;"["&amp;$E73&amp;"]")*(INDIRECT($E72&amp;"[yr]")=I$5-1)*(INDIRECT($E72&amp;"[wk]")=I$6))))-1,0)</f>
        <v>3.6843292164180586E-2</v>
      </c>
      <c r="J73" s="74">
        <f t="array" aca="1" ref="J73" ca="1">IFERROR(J72/((SUM(INDIRECT($E72&amp;"["&amp;$F72&amp;"]")*(INDIRECT($E72&amp;"[yr]")=J$5-1)*(INDIRECT($E72&amp;"[wk]")=J$6))-
SUM(INDIRECT($E72&amp;"["&amp;$F73&amp;"]")*(INDIRECT($E72&amp;"[yr]")=J$5-1)*(INDIRECT($E72&amp;"[wk]")=J$6)))/
(SUM(INDIRECT($E72&amp;"["&amp;$F72&amp;"]")*(INDIRECT($E72&amp;"[yr]")=J$5-1)*(INDIRECT($E72&amp;"[wk]")=J$6))-
SUM(INDIRECT($E72&amp;"["&amp;$E73&amp;"]")*(INDIRECT($E72&amp;"[yr]")=J$5-1)*(INDIRECT($E72&amp;"[wk]")=J$6))))-1,0)</f>
        <v>2.4096326706707138E-2</v>
      </c>
      <c r="K73" s="74">
        <f t="array" aca="1" ref="K73" ca="1">IFERROR(K72/((SUM(INDIRECT($E72&amp;"["&amp;$F72&amp;"]")*(INDIRECT($E72&amp;"[yr]")=K$5-1)*(INDIRECT($E72&amp;"[wk]")=K$6))-
SUM(INDIRECT($E72&amp;"["&amp;$F73&amp;"]")*(INDIRECT($E72&amp;"[yr]")=K$5-1)*(INDIRECT($E72&amp;"[wk]")=K$6)))/
(SUM(INDIRECT($E72&amp;"["&amp;$F72&amp;"]")*(INDIRECT($E72&amp;"[yr]")=K$5-1)*(INDIRECT($E72&amp;"[wk]")=K$6))-
SUM(INDIRECT($E72&amp;"["&amp;$E73&amp;"]")*(INDIRECT($E72&amp;"[yr]")=K$5-1)*(INDIRECT($E72&amp;"[wk]")=K$6))))-1,0)</f>
        <v>6.7050324868128897E-2</v>
      </c>
      <c r="L73" s="74">
        <f t="array" aca="1" ref="L73" ca="1">IFERROR(L72/((SUM(INDIRECT($E72&amp;"["&amp;$F72&amp;"]")*(INDIRECT($E72&amp;"[yr]")=L$5-1)*(INDIRECT($E72&amp;"[wk]")=L$6))-
SUM(INDIRECT($E72&amp;"["&amp;$F73&amp;"]")*(INDIRECT($E72&amp;"[yr]")=L$5-1)*(INDIRECT($E72&amp;"[wk]")=L$6)))/
(SUM(INDIRECT($E72&amp;"["&amp;$F72&amp;"]")*(INDIRECT($E72&amp;"[yr]")=L$5-1)*(INDIRECT($E72&amp;"[wk]")=L$6))-
SUM(INDIRECT($E72&amp;"["&amp;$E73&amp;"]")*(INDIRECT($E72&amp;"[yr]")=L$5-1)*(INDIRECT($E72&amp;"[wk]")=L$6))))-1,0)</f>
        <v>4.2523862623083053E-2</v>
      </c>
      <c r="M73" s="74">
        <f t="array" aca="1" ref="M73" ca="1">IFERROR(M72/((SUM(INDIRECT($E72&amp;"["&amp;$F72&amp;"]")*(INDIRECT($E72&amp;"[yr]")=M$5-1)*(INDIRECT($E72&amp;"[wk]")=M$6))-
SUM(INDIRECT($E72&amp;"["&amp;$F73&amp;"]")*(INDIRECT($E72&amp;"[yr]")=M$5-1)*(INDIRECT($E72&amp;"[wk]")=M$6)))/
(SUM(INDIRECT($E72&amp;"["&amp;$F72&amp;"]")*(INDIRECT($E72&amp;"[yr]")=M$5-1)*(INDIRECT($E72&amp;"[wk]")=M$6))-
SUM(INDIRECT($E72&amp;"["&amp;$E73&amp;"]")*(INDIRECT($E72&amp;"[yr]")=M$5-1)*(INDIRECT($E72&amp;"[wk]")=M$6))))-1,0)</f>
        <v>2.2809778478638965E-2</v>
      </c>
      <c r="N73" s="74">
        <f t="array" aca="1" ref="N73" ca="1">IFERROR(N72/((SUM(INDIRECT($E72&amp;"["&amp;$F72&amp;"]")*(INDIRECT($E72&amp;"[yr]")=N$5-1)*(INDIRECT($E72&amp;"[wk]")=N$6))-
SUM(INDIRECT($E72&amp;"["&amp;$F73&amp;"]")*(INDIRECT($E72&amp;"[yr]")=N$5-1)*(INDIRECT($E72&amp;"[wk]")=N$6)))/
(SUM(INDIRECT($E72&amp;"["&amp;$F72&amp;"]")*(INDIRECT($E72&amp;"[yr]")=N$5-1)*(INDIRECT($E72&amp;"[wk]")=N$6))-
SUM(INDIRECT($E72&amp;"["&amp;$E73&amp;"]")*(INDIRECT($E72&amp;"[yr]")=N$5-1)*(INDIRECT($E72&amp;"[wk]")=N$6))))-1,0)</f>
        <v>6.6617960888183614E-2</v>
      </c>
      <c r="O73" s="74">
        <f t="array" aca="1" ref="O73" ca="1">IFERROR(O72/((SUM(INDIRECT($E72&amp;"["&amp;$F72&amp;"]")*(INDIRECT($E72&amp;"[yr]")=O$5-1)*(INDIRECT($E72&amp;"[wk]")=O$6))-
SUM(INDIRECT($E72&amp;"["&amp;$F73&amp;"]")*(INDIRECT($E72&amp;"[yr]")=O$5-1)*(INDIRECT($E72&amp;"[wk]")=O$6)))/
(SUM(INDIRECT($E72&amp;"["&amp;$F72&amp;"]")*(INDIRECT($E72&amp;"[yr]")=O$5-1)*(INDIRECT($E72&amp;"[wk]")=O$6))-
SUM(INDIRECT($E72&amp;"["&amp;$E73&amp;"]")*(INDIRECT($E72&amp;"[yr]")=O$5-1)*(INDIRECT($E72&amp;"[wk]")=O$6))))-1,0)</f>
        <v>5.655172399669639E-2</v>
      </c>
      <c r="P73" s="54">
        <f t="array" aca="1" ref="P73" ca="1">IFERROR(P72/((SUM(INDIRECT($E72&amp;"["&amp;$F72&amp;"]")*(INDIRECT($E72&amp;"[yr]")=P$5-1)*(INDIRECT($E72&amp;"[wk]")=P$6))-
SUM(INDIRECT($E72&amp;"["&amp;$F73&amp;"]")*(INDIRECT($E72&amp;"[yr]")=P$5-1)*(INDIRECT($E72&amp;"[wk]")=P$6)))/
(SUM(INDIRECT($E72&amp;"["&amp;$F72&amp;"]")*(INDIRECT($E72&amp;"[yr]")=P$5-1)*(INDIRECT($E72&amp;"[wk]")=P$6))-
SUM(INDIRECT($E72&amp;"["&amp;$E73&amp;"]")*(INDIRECT($E72&amp;"[yr]")=P$5-1)*(INDIRECT($E72&amp;"[wk]")=P$6))))-1,0)</f>
        <v>5.8901363296431253E-2</v>
      </c>
      <c r="Q73" s="74">
        <f t="array" aca="1" ref="Q73" ca="1">IFERROR(Q72/((SUM(INDIRECT($E72&amp;"["&amp;$F72&amp;"]")*(INDIRECT($E72&amp;"[yr]")=Q$5-1)*(INDIRECT($E72&amp;"[wk]")=Q$6))-
SUM(INDIRECT($E72&amp;"["&amp;$F73&amp;"]")*(INDIRECT($E72&amp;"[yr]")=Q$5-1)*(INDIRECT($E72&amp;"[wk]")=Q$6)))/
(SUM(INDIRECT($E72&amp;"["&amp;$F72&amp;"]")*(INDIRECT($E72&amp;"[yr]")=Q$5-1)*(INDIRECT($E72&amp;"[wk]")=Q$6))-
SUM(INDIRECT($E72&amp;"["&amp;$E73&amp;"]")*(INDIRECT($E72&amp;"[yr]")=Q$5-1)*(INDIRECT($E72&amp;"[wk]")=Q$6))))-1,0)</f>
        <v>6.8029666561090441E-2</v>
      </c>
      <c r="R73" s="74">
        <f t="array" aca="1" ref="R73" ca="1">IFERROR(R72/((SUM(INDIRECT($E72&amp;"["&amp;$F72&amp;"]")*(INDIRECT($E72&amp;"[yr]")=R$5-1)*(INDIRECT($E72&amp;"[wk]")=R$6))-
SUM(INDIRECT($E72&amp;"["&amp;$F73&amp;"]")*(INDIRECT($E72&amp;"[yr]")=R$5-1)*(INDIRECT($E72&amp;"[wk]")=R$6)))/
(SUM(INDIRECT($E72&amp;"["&amp;$F72&amp;"]")*(INDIRECT($E72&amp;"[yr]")=R$5-1)*(INDIRECT($E72&amp;"[wk]")=R$6))-
SUM(INDIRECT($E72&amp;"["&amp;$E73&amp;"]")*(INDIRECT($E72&amp;"[yr]")=R$5-1)*(INDIRECT($E72&amp;"[wk]")=R$6))))-1,0)</f>
        <v>9.9585580267264495E-2</v>
      </c>
      <c r="S73" s="74">
        <f t="array" aca="1" ref="S73" ca="1">IFERROR(S72/((SUM(INDIRECT($E72&amp;"["&amp;$F72&amp;"]")*(INDIRECT($E72&amp;"[yr]")=S$5-1)*(INDIRECT($E72&amp;"[wk]")=S$6))-
SUM(INDIRECT($E72&amp;"["&amp;$F73&amp;"]")*(INDIRECT($E72&amp;"[yr]")=S$5-1)*(INDIRECT($E72&amp;"[wk]")=S$6)))/
(SUM(INDIRECT($E72&amp;"["&amp;$F72&amp;"]")*(INDIRECT($E72&amp;"[yr]")=S$5-1)*(INDIRECT($E72&amp;"[wk]")=S$6))-
SUM(INDIRECT($E72&amp;"["&amp;$E73&amp;"]")*(INDIRECT($E72&amp;"[yr]")=S$5-1)*(INDIRECT($E72&amp;"[wk]")=S$6))))-1,0)</f>
        <v>3.0841171342216533E-2</v>
      </c>
      <c r="T73" s="76">
        <f t="array" aca="1" ref="T73" ca="1">IFERROR(T72/((SUM(INDIRECT($E72&amp;"["&amp;$F72&amp;"]")*(INDIRECT($E72&amp;"[yr]")=T$5-1)*(INDIRECT($E72&amp;"[wk]")=T$6))-
SUM(INDIRECT($E72&amp;"["&amp;$F73&amp;"]")*(INDIRECT($E72&amp;"[yr]")=T$5-1)*(INDIRECT($E72&amp;"[wk]")=T$6)))/
(SUM(INDIRECT($E72&amp;"["&amp;$F72&amp;"]")*(INDIRECT($E72&amp;"[yr]")=T$5-1)*(INDIRECT($E72&amp;"[wk]")=T$6))-
SUM(INDIRECT($E72&amp;"["&amp;$E73&amp;"]")*(INDIRECT($E72&amp;"[yr]")=T$5-1)*(INDIRECT($E72&amp;"[wk]")=T$6))))-1,0)</f>
        <v>0.15261642112853191</v>
      </c>
      <c r="U73" s="53"/>
      <c r="V73" s="91"/>
      <c r="W73" s="80"/>
      <c r="X73" s="56"/>
    </row>
    <row r="74" spans="2:24" ht="3" customHeight="1" x14ac:dyDescent="0.4">
      <c r="B74" s="329"/>
      <c r="D74" s="61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8"/>
      <c r="R74" s="57"/>
      <c r="S74" s="57"/>
      <c r="T74" s="59"/>
      <c r="U74" s="60"/>
      <c r="V74" s="61"/>
      <c r="W74" s="62"/>
      <c r="X74" s="61"/>
    </row>
    <row r="75" spans="2:24" ht="14.15" customHeight="1" x14ac:dyDescent="0.4">
      <c r="B75" s="329"/>
      <c r="D75" s="201" t="s">
        <v>424</v>
      </c>
      <c r="E75" s="63" t="s">
        <v>399</v>
      </c>
      <c r="F75" s="63" t="s">
        <v>57</v>
      </c>
      <c r="G75" s="63"/>
      <c r="H75" s="63"/>
      <c r="I75" s="128" t="e">
        <f t="array" aca="1" ref="I75" ca="1">IF($G$2=0,
(SUM(INDIRECT($E75&amp;"["&amp;$F75&amp;"]")*(INDIRECT($E75&amp;"[yr]")=I$5)*(INDIRECT($E75&amp;"[wk]")=I$6))/
SUM(INDIRECT($E75&amp;"["&amp;$E76&amp;"]")*(INDIRECT($E75&amp;"[yr]")=I$5)*(INDIRECT($E75&amp;"[wk]")=I$6))),
(SUM(INDIRECT($E75&amp;"["&amp;$F75&amp;"]")*(INDIRECT($E75&amp;"[yr]")=I$5)*(INDIRECT($E75&amp;"[wk]")=I$6)*(INDIRECT($E75&amp;"[site]")=$G$2))/
SUM(INDIRECT($E75&amp;"["&amp;$E76&amp;"]")*(INDIRECT($E75&amp;"[yr]")=I$5)*(INDIRECT($E75&amp;"[wk]")=I$6)*(INDIRECT($E75&amp;"[site]")=$G$2))) )</f>
        <v>#REF!</v>
      </c>
      <c r="J75" s="128" t="e">
        <f t="array" aca="1" ref="J75" ca="1">IF($G$2=0,
(SUM(INDIRECT($E75&amp;"["&amp;$F75&amp;"]")*(INDIRECT($E75&amp;"[yr]")=J$5)*(INDIRECT($E75&amp;"[wk]")=J$6))/
SUM(INDIRECT($E75&amp;"["&amp;$E76&amp;"]")*(INDIRECT($E75&amp;"[yr]")=J$5)*(INDIRECT($E75&amp;"[wk]")=J$6))),
(SUM(INDIRECT($E75&amp;"["&amp;$F75&amp;"]")*(INDIRECT($E75&amp;"[yr]")=J$5)*(INDIRECT($E75&amp;"[wk]")=J$6)*(INDIRECT($E75&amp;"[site]")=$G$2))/
SUM(INDIRECT($E75&amp;"["&amp;$E76&amp;"]")*(INDIRECT($E75&amp;"[yr]")=J$5)*(INDIRECT($E75&amp;"[wk]")=J$6)*(INDIRECT($E75&amp;"[site]")=$G$2))) )</f>
        <v>#REF!</v>
      </c>
      <c r="K75" s="128" t="e">
        <f t="array" aca="1" ref="K75" ca="1">IF($G$2=0,
(SUM(INDIRECT($E75&amp;"["&amp;$F75&amp;"]")*(INDIRECT($E75&amp;"[yr]")=K$5)*(INDIRECT($E75&amp;"[wk]")=K$6))/
SUM(INDIRECT($E75&amp;"["&amp;$E76&amp;"]")*(INDIRECT($E75&amp;"[yr]")=K$5)*(INDIRECT($E75&amp;"[wk]")=K$6))),
(SUM(INDIRECT($E75&amp;"["&amp;$F75&amp;"]")*(INDIRECT($E75&amp;"[yr]")=K$5)*(INDIRECT($E75&amp;"[wk]")=K$6)*(INDIRECT($E75&amp;"[site]")=$G$2))/
SUM(INDIRECT($E75&amp;"["&amp;$E76&amp;"]")*(INDIRECT($E75&amp;"[yr]")=K$5)*(INDIRECT($E75&amp;"[wk]")=K$6)*(INDIRECT($E75&amp;"[site]")=$G$2))) )</f>
        <v>#REF!</v>
      </c>
      <c r="L75" s="128" t="e">
        <f t="array" aca="1" ref="L75" ca="1">IF($G$2=0,
(SUM(INDIRECT($E75&amp;"["&amp;$F75&amp;"]")*(INDIRECT($E75&amp;"[yr]")=L$5)*(INDIRECT($E75&amp;"[wk]")=L$6))/
SUM(INDIRECT($E75&amp;"["&amp;$E76&amp;"]")*(INDIRECT($E75&amp;"[yr]")=L$5)*(INDIRECT($E75&amp;"[wk]")=L$6))),
(SUM(INDIRECT($E75&amp;"["&amp;$F75&amp;"]")*(INDIRECT($E75&amp;"[yr]")=L$5)*(INDIRECT($E75&amp;"[wk]")=L$6)*(INDIRECT($E75&amp;"[site]")=$G$2))/
SUM(INDIRECT($E75&amp;"["&amp;$E76&amp;"]")*(INDIRECT($E75&amp;"[yr]")=L$5)*(INDIRECT($E75&amp;"[wk]")=L$6)*(INDIRECT($E75&amp;"[site]")=$G$2))) )</f>
        <v>#REF!</v>
      </c>
      <c r="M75" s="128" t="e">
        <f t="array" aca="1" ref="M75" ca="1">IF($G$2=0,
(SUM(INDIRECT($E75&amp;"["&amp;$F75&amp;"]")*(INDIRECT($E75&amp;"[yr]")=M$5)*(INDIRECT($E75&amp;"[wk]")=M$6))/
SUM(INDIRECT($E75&amp;"["&amp;$E76&amp;"]")*(INDIRECT($E75&amp;"[yr]")=M$5)*(INDIRECT($E75&amp;"[wk]")=M$6))),
(SUM(INDIRECT($E75&amp;"["&amp;$F75&amp;"]")*(INDIRECT($E75&amp;"[yr]")=M$5)*(INDIRECT($E75&amp;"[wk]")=M$6)*(INDIRECT($E75&amp;"[site]")=$G$2))/
SUM(INDIRECT($E75&amp;"["&amp;$E76&amp;"]")*(INDIRECT($E75&amp;"[yr]")=M$5)*(INDIRECT($E75&amp;"[wk]")=M$6)*(INDIRECT($E75&amp;"[site]")=$G$2))) )</f>
        <v>#REF!</v>
      </c>
      <c r="N75" s="128" t="e">
        <f t="array" aca="1" ref="N75" ca="1">IF($G$2=0,
(SUM(INDIRECT($E75&amp;"["&amp;$F75&amp;"]")*(INDIRECT($E75&amp;"[yr]")=N$5)*(INDIRECT($E75&amp;"[wk]")=N$6))/
SUM(INDIRECT($E75&amp;"["&amp;$E76&amp;"]")*(INDIRECT($E75&amp;"[yr]")=N$5)*(INDIRECT($E75&amp;"[wk]")=N$6))),
(SUM(INDIRECT($E75&amp;"["&amp;$F75&amp;"]")*(INDIRECT($E75&amp;"[yr]")=N$5)*(INDIRECT($E75&amp;"[wk]")=N$6)*(INDIRECT($E75&amp;"[site]")=$G$2))/
SUM(INDIRECT($E75&amp;"["&amp;$E76&amp;"]")*(INDIRECT($E75&amp;"[yr]")=N$5)*(INDIRECT($E75&amp;"[wk]")=N$6)*(INDIRECT($E75&amp;"[site]")=$G$2))) )</f>
        <v>#REF!</v>
      </c>
      <c r="O75" s="128" t="e">
        <f t="array" aca="1" ref="O75" ca="1">IF($G$2=0,
(SUM(INDIRECT($E75&amp;"["&amp;$F75&amp;"]")*(INDIRECT($E75&amp;"[yr]")=O$5)*(INDIRECT($E75&amp;"[wk]")=O$6))/
SUM(INDIRECT($E75&amp;"["&amp;$E76&amp;"]")*(INDIRECT($E75&amp;"[yr]")=O$5)*(INDIRECT($E75&amp;"[wk]")=O$6))),
(SUM(INDIRECT($E75&amp;"["&amp;$F75&amp;"]")*(INDIRECT($E75&amp;"[yr]")=O$5)*(INDIRECT($E75&amp;"[wk]")=O$6)*(INDIRECT($E75&amp;"[site]")=$G$2))/
SUM(INDIRECT($E75&amp;"["&amp;$E76&amp;"]")*(INDIRECT($E75&amp;"[yr]")=O$5)*(INDIRECT($E75&amp;"[wk]")=O$6)*(INDIRECT($E75&amp;"[site]")=$G$2))) )</f>
        <v>#REF!</v>
      </c>
      <c r="P75" s="154" t="e">
        <f t="array" aca="1" ref="P75" ca="1">IF($G$2=0,
(SUM(INDIRECT($E75&amp;"["&amp;$F75&amp;"]")*(INDIRECT($E75&amp;"[yr]")=P$5)*(INDIRECT($E75&amp;"[wk]")=P$6))/
SUM(INDIRECT($E75&amp;"["&amp;$E76&amp;"]")*(INDIRECT($E75&amp;"[yr]")=P$5)*(INDIRECT($E75&amp;"[wk]")=P$6))),
(SUM(INDIRECT($E75&amp;"["&amp;$F75&amp;"]")*(INDIRECT($E75&amp;"[yr]")=P$5)*(INDIRECT($E75&amp;"[wk]")=P$6)*(INDIRECT($E75&amp;"[site]")=$G$2))/
SUM(INDIRECT($E75&amp;"["&amp;$E76&amp;"]")*(INDIRECT($E75&amp;"[yr]")=P$5)*(INDIRECT($E75&amp;"[wk]")=P$6)*(INDIRECT($E75&amp;"[site]")=$G$2))) )</f>
        <v>#REF!</v>
      </c>
      <c r="Q75" s="128" t="e">
        <f t="array" aca="1" ref="Q75" ca="1">IF($G$2=0,
(SUM(INDIRECT($E75&amp;"["&amp;$F75&amp;"]")*(INDIRECT($E75&amp;"[yr]")=Q$5)*(INDIRECT($E75&amp;"[wk]")=Q$6))/
SUM(INDIRECT($E75&amp;"["&amp;$E76&amp;"]")*(INDIRECT($E75&amp;"[yr]")=Q$5)*(INDIRECT($E75&amp;"[wk]")=Q$6))),
(SUM(INDIRECT($E75&amp;"["&amp;$F75&amp;"]")*(INDIRECT($E75&amp;"[yr]")=Q$5)*(INDIRECT($E75&amp;"[wk]")=Q$6)*(INDIRECT($E75&amp;"[site]")=$G$2))/
SUM(INDIRECT($E75&amp;"["&amp;$E76&amp;"]")*(INDIRECT($E75&amp;"[yr]")=Q$5)*(INDIRECT($E75&amp;"[wk]")=Q$6)*(INDIRECT($E75&amp;"[site]")=$G$2))) )</f>
        <v>#REF!</v>
      </c>
      <c r="R75" s="128" t="e">
        <f t="array" aca="1" ref="R75" ca="1">IF($G$2=0,
(SUM(INDIRECT($E75&amp;"["&amp;$F75&amp;"]")*(INDIRECT($E75&amp;"[yr]")=R$5)*(INDIRECT($E75&amp;"[wk]")=R$6))/
SUM(INDIRECT($E75&amp;"["&amp;$E76&amp;"]")*(INDIRECT($E75&amp;"[yr]")=R$5)*(INDIRECT($E75&amp;"[wk]")=R$6))),
(SUM(INDIRECT($E75&amp;"["&amp;$F75&amp;"]")*(INDIRECT($E75&amp;"[yr]")=R$5)*(INDIRECT($E75&amp;"[wk]")=R$6)*(INDIRECT($E75&amp;"[site]")=$G$2))/
SUM(INDIRECT($E75&amp;"["&amp;$E76&amp;"]")*(INDIRECT($E75&amp;"[yr]")=R$5)*(INDIRECT($E75&amp;"[wk]")=R$6)*(INDIRECT($E75&amp;"[site]")=$G$2))) )</f>
        <v>#REF!</v>
      </c>
      <c r="S75" s="128" t="e">
        <f t="array" aca="1" ref="S75" ca="1">IF($G$2=0,
(SUM(INDIRECT($E75&amp;"["&amp;$F75&amp;"]")*(INDIRECT($E75&amp;"[yr]")=S$5)*(INDIRECT($E75&amp;"[wk]")=S$6))/
SUM(INDIRECT($E75&amp;"["&amp;$E76&amp;"]")*(INDIRECT($E75&amp;"[yr]")=S$5)*(INDIRECT($E75&amp;"[wk]")=S$6))),
(SUM(INDIRECT($E75&amp;"["&amp;$F75&amp;"]")*(INDIRECT($E75&amp;"[yr]")=S$5)*(INDIRECT($E75&amp;"[wk]")=S$6)*(INDIRECT($E75&amp;"[site]")=$G$2))/
SUM(INDIRECT($E75&amp;"["&amp;$E76&amp;"]")*(INDIRECT($E75&amp;"[yr]")=S$5)*(INDIRECT($E75&amp;"[wk]")=S$6)*(INDIRECT($E75&amp;"[site]")=$G$2))) )</f>
        <v>#REF!</v>
      </c>
      <c r="T75" s="129" t="e">
        <f t="array" aca="1" ref="T75" ca="1">IF($G$2=0,
(SUM(INDIRECT($E75&amp;"["&amp;$F75&amp;"]")*(INDIRECT($E75&amp;"[yr]")=T$5)*(INDIRECT($E75&amp;"[wk]")=T$6))/
SUM(INDIRECT($E75&amp;"["&amp;$E76&amp;"]")*(INDIRECT($E75&amp;"[yr]")=T$5)*(INDIRECT($E75&amp;"[wk]")=T$6))),
(SUM(INDIRECT($E75&amp;"["&amp;$F75&amp;"]")*(INDIRECT($E75&amp;"[yr]")=T$5)*(INDIRECT($E75&amp;"[wk]")=T$6)*(INDIRECT($E75&amp;"[site]")=$G$2))/
SUM(INDIRECT($E75&amp;"["&amp;$E76&amp;"]")*(INDIRECT($E75&amp;"[yr]")=T$5)*(INDIRECT($E75&amp;"[wk]")=T$6)*(INDIRECT($E75&amp;"[site]")=$G$2))) )</f>
        <v>#REF!</v>
      </c>
      <c r="U75" s="130" t="e">
        <f t="array" aca="1" ref="U75" ca="1">SUM(Q75:T75*$Q$66:$T$66)/SUM($Q$66:$T$66)</f>
        <v>#REF!</v>
      </c>
      <c r="V75" s="47" t="e">
        <f t="array" aca="1" ref="V75" ca="1">SUM(T75/S75)-1</f>
        <v>#REF!</v>
      </c>
      <c r="W75" s="131">
        <v>75</v>
      </c>
      <c r="X75" s="49"/>
    </row>
    <row r="76" spans="2:24" ht="14.15" customHeight="1" x14ac:dyDescent="0.4">
      <c r="B76" s="329"/>
      <c r="D76" s="204" t="s">
        <v>67</v>
      </c>
      <c r="E76" s="40" t="s">
        <v>401</v>
      </c>
      <c r="I76" s="74">
        <f t="array" aca="1" ref="I76" ca="1">IFERROR(I75/
(IF($G$2=0,
(SUM(INDIRECT($E75&amp;"["&amp;$F75&amp;"]")*(INDIRECT($E75&amp;"[yr]")=I$5-1)*(INDIRECT($E75&amp;"[wk]")=I$6))/
SUM(INDIRECT($E75&amp;"["&amp;$E76&amp;"]")*(INDIRECT($E75&amp;"[yr]")=I$5-1)*(INDIRECT($E75&amp;"[wk]")=I$6))),
(SUM(INDIRECT($E75&amp;"["&amp;$F75&amp;"]")*(INDIRECT($E75&amp;"[yr]")=I$5-1)*(INDIRECT($E75&amp;"[wk]")=I$6)*(INDIRECT($E75&amp;"[site]")=$G$2))/
SUM(INDIRECT($E75&amp;"["&amp;$E76&amp;"]")*(INDIRECT($E75&amp;"[yr]")=I$5-1)*(INDIRECT($E75&amp;"[wk]")=I$6)*(INDIRECT($E75&amp;"[site]")=$G$2))) ))
-1,0)</f>
        <v>0</v>
      </c>
      <c r="J76" s="74">
        <f t="array" aca="1" ref="J76" ca="1">IFERROR(J75/
(IF($G$2=0,
(SUM(INDIRECT($E75&amp;"["&amp;$F75&amp;"]")*(INDIRECT($E75&amp;"[yr]")=J$5-1)*(INDIRECT($E75&amp;"[wk]")=J$6))/
SUM(INDIRECT($E75&amp;"["&amp;$E76&amp;"]")*(INDIRECT($E75&amp;"[yr]")=J$5-1)*(INDIRECT($E75&amp;"[wk]")=J$6))),
(SUM(INDIRECT($E75&amp;"["&amp;$F75&amp;"]")*(INDIRECT($E75&amp;"[yr]")=J$5-1)*(INDIRECT($E75&amp;"[wk]")=J$6)*(INDIRECT($E75&amp;"[site]")=$G$2))/
SUM(INDIRECT($E75&amp;"["&amp;$E76&amp;"]")*(INDIRECT($E75&amp;"[yr]")=J$5-1)*(INDIRECT($E75&amp;"[wk]")=J$6)*(INDIRECT($E75&amp;"[site]")=$G$2))) ))
-1,0)</f>
        <v>0</v>
      </c>
      <c r="K76" s="74">
        <f t="array" aca="1" ref="K76" ca="1">IFERROR(K75/
(IF($G$2=0,
(SUM(INDIRECT($E75&amp;"["&amp;$F75&amp;"]")*(INDIRECT($E75&amp;"[yr]")=K$5-1)*(INDIRECT($E75&amp;"[wk]")=K$6))/
SUM(INDIRECT($E75&amp;"["&amp;$E76&amp;"]")*(INDIRECT($E75&amp;"[yr]")=K$5-1)*(INDIRECT($E75&amp;"[wk]")=K$6))),
(SUM(INDIRECT($E75&amp;"["&amp;$F75&amp;"]")*(INDIRECT($E75&amp;"[yr]")=K$5-1)*(INDIRECT($E75&amp;"[wk]")=K$6)*(INDIRECT($E75&amp;"[site]")=$G$2))/
SUM(INDIRECT($E75&amp;"["&amp;$E76&amp;"]")*(INDIRECT($E75&amp;"[yr]")=K$5-1)*(INDIRECT($E75&amp;"[wk]")=K$6)*(INDIRECT($E75&amp;"[site]")=$G$2))) ))
-1,0)</f>
        <v>0</v>
      </c>
      <c r="L76" s="74">
        <f t="array" aca="1" ref="L76" ca="1">IFERROR(L75/
(IF($G$2=0,
(SUM(INDIRECT($E75&amp;"["&amp;$F75&amp;"]")*(INDIRECT($E75&amp;"[yr]")=L$5-1)*(INDIRECT($E75&amp;"[wk]")=L$6))/
SUM(INDIRECT($E75&amp;"["&amp;$E76&amp;"]")*(INDIRECT($E75&amp;"[yr]")=L$5-1)*(INDIRECT($E75&amp;"[wk]")=L$6))),
(SUM(INDIRECT($E75&amp;"["&amp;$F75&amp;"]")*(INDIRECT($E75&amp;"[yr]")=L$5-1)*(INDIRECT($E75&amp;"[wk]")=L$6)*(INDIRECT($E75&amp;"[site]")=$G$2))/
SUM(INDIRECT($E75&amp;"["&amp;$E76&amp;"]")*(INDIRECT($E75&amp;"[yr]")=L$5-1)*(INDIRECT($E75&amp;"[wk]")=L$6)*(INDIRECT($E75&amp;"[site]")=$G$2))) ))
-1,0)</f>
        <v>0</v>
      </c>
      <c r="M76" s="74">
        <f t="array" aca="1" ref="M76" ca="1">IFERROR(M75/
(IF($G$2=0,
(SUM(INDIRECT($E75&amp;"["&amp;$F75&amp;"]")*(INDIRECT($E75&amp;"[yr]")=M$5-1)*(INDIRECT($E75&amp;"[wk]")=M$6))/
SUM(INDIRECT($E75&amp;"["&amp;$E76&amp;"]")*(INDIRECT($E75&amp;"[yr]")=M$5-1)*(INDIRECT($E75&amp;"[wk]")=M$6))),
(SUM(INDIRECT($E75&amp;"["&amp;$F75&amp;"]")*(INDIRECT($E75&amp;"[yr]")=M$5-1)*(INDIRECT($E75&amp;"[wk]")=M$6)*(INDIRECT($E75&amp;"[site]")=$G$2))/
SUM(INDIRECT($E75&amp;"["&amp;$E76&amp;"]")*(INDIRECT($E75&amp;"[yr]")=M$5-1)*(INDIRECT($E75&amp;"[wk]")=M$6)*(INDIRECT($E75&amp;"[site]")=$G$2))) ))
-1,0)</f>
        <v>0</v>
      </c>
      <c r="N76" s="74">
        <f t="array" aca="1" ref="N76" ca="1">IFERROR(N75/
(IF($G$2=0,
(SUM(INDIRECT($E75&amp;"["&amp;$F75&amp;"]")*(INDIRECT($E75&amp;"[yr]")=N$5-1)*(INDIRECT($E75&amp;"[wk]")=N$6))/
SUM(INDIRECT($E75&amp;"["&amp;$E76&amp;"]")*(INDIRECT($E75&amp;"[yr]")=N$5-1)*(INDIRECT($E75&amp;"[wk]")=N$6))),
(SUM(INDIRECT($E75&amp;"["&amp;$F75&amp;"]")*(INDIRECT($E75&amp;"[yr]")=N$5-1)*(INDIRECT($E75&amp;"[wk]")=N$6)*(INDIRECT($E75&amp;"[site]")=$G$2))/
SUM(INDIRECT($E75&amp;"["&amp;$E76&amp;"]")*(INDIRECT($E75&amp;"[yr]")=N$5-1)*(INDIRECT($E75&amp;"[wk]")=N$6)*(INDIRECT($E75&amp;"[site]")=$G$2))) ))
-1,0)</f>
        <v>0</v>
      </c>
      <c r="O76" s="74">
        <f t="array" aca="1" ref="O76" ca="1">IFERROR(O75/
(IF($G$2=0,
(SUM(INDIRECT($E75&amp;"["&amp;$F75&amp;"]")*(INDIRECT($E75&amp;"[yr]")=O$5-1)*(INDIRECT($E75&amp;"[wk]")=O$6))/
SUM(INDIRECT($E75&amp;"["&amp;$E76&amp;"]")*(INDIRECT($E75&amp;"[yr]")=O$5-1)*(INDIRECT($E75&amp;"[wk]")=O$6))),
(SUM(INDIRECT($E75&amp;"["&amp;$F75&amp;"]")*(INDIRECT($E75&amp;"[yr]")=O$5-1)*(INDIRECT($E75&amp;"[wk]")=O$6)*(INDIRECT($E75&amp;"[site]")=$G$2))/
SUM(INDIRECT($E75&amp;"["&amp;$E76&amp;"]")*(INDIRECT($E75&amp;"[yr]")=O$5-1)*(INDIRECT($E75&amp;"[wk]")=O$6)*(INDIRECT($E75&amp;"[site]")=$G$2))) ))
-1,0)</f>
        <v>0</v>
      </c>
      <c r="P76" s="54">
        <f t="array" aca="1" ref="P76" ca="1">IFERROR(P75/
(IF($G$2=0,
(SUM(INDIRECT($E75&amp;"["&amp;$F75&amp;"]")*(INDIRECT($E75&amp;"[yr]")=P$5-1)*(INDIRECT($E75&amp;"[wk]")=P$6))/
SUM(INDIRECT($E75&amp;"["&amp;$E76&amp;"]")*(INDIRECT($E75&amp;"[yr]")=P$5-1)*(INDIRECT($E75&amp;"[wk]")=P$6))),
(SUM(INDIRECT($E75&amp;"["&amp;$F75&amp;"]")*(INDIRECT($E75&amp;"[yr]")=P$5-1)*(INDIRECT($E75&amp;"[wk]")=P$6)*(INDIRECT($E75&amp;"[site]")=$G$2))/
SUM(INDIRECT($E75&amp;"["&amp;$E76&amp;"]")*(INDIRECT($E75&amp;"[yr]")=P$5-1)*(INDIRECT($E75&amp;"[wk]")=P$6)*(INDIRECT($E75&amp;"[site]")=$G$2))) ))
-1,0)</f>
        <v>0</v>
      </c>
      <c r="Q76" s="74">
        <f t="array" aca="1" ref="Q76" ca="1">IFERROR(Q75/
(IF($G$2=0,
(SUM(INDIRECT($E75&amp;"["&amp;$F75&amp;"]")*(INDIRECT($E75&amp;"[yr]")=Q$5-1)*(INDIRECT($E75&amp;"[wk]")=Q$6))/
SUM(INDIRECT($E75&amp;"["&amp;$E76&amp;"]")*(INDIRECT($E75&amp;"[yr]")=Q$5-1)*(INDIRECT($E75&amp;"[wk]")=Q$6))),
(SUM(INDIRECT($E75&amp;"["&amp;$F75&amp;"]")*(INDIRECT($E75&amp;"[yr]")=Q$5-1)*(INDIRECT($E75&amp;"[wk]")=Q$6)*(INDIRECT($E75&amp;"[site]")=$G$2))/
SUM(INDIRECT($E75&amp;"["&amp;$E76&amp;"]")*(INDIRECT($E75&amp;"[yr]")=Q$5-1)*(INDIRECT($E75&amp;"[wk]")=Q$6)*(INDIRECT($E75&amp;"[site]")=$G$2))) ))
-1,0)</f>
        <v>0</v>
      </c>
      <c r="R76" s="74">
        <f t="array" aca="1" ref="R76" ca="1">IFERROR(R75/
(IF($G$2=0,
(SUM(INDIRECT($E75&amp;"["&amp;$F75&amp;"]")*(INDIRECT($E75&amp;"[yr]")=R$5-1)*(INDIRECT($E75&amp;"[wk]")=R$6))/
SUM(INDIRECT($E75&amp;"["&amp;$E76&amp;"]")*(INDIRECT($E75&amp;"[yr]")=R$5-1)*(INDIRECT($E75&amp;"[wk]")=R$6))),
(SUM(INDIRECT($E75&amp;"["&amp;$F75&amp;"]")*(INDIRECT($E75&amp;"[yr]")=R$5-1)*(INDIRECT($E75&amp;"[wk]")=R$6)*(INDIRECT($E75&amp;"[site]")=$G$2))/
SUM(INDIRECT($E75&amp;"["&amp;$E76&amp;"]")*(INDIRECT($E75&amp;"[yr]")=R$5-1)*(INDIRECT($E75&amp;"[wk]")=R$6)*(INDIRECT($E75&amp;"[site]")=$G$2))) ))
-1,0)</f>
        <v>0</v>
      </c>
      <c r="S76" s="74">
        <f t="array" aca="1" ref="S76" ca="1">IFERROR(S75/
(IF($G$2=0,
(SUM(INDIRECT($E75&amp;"["&amp;$F75&amp;"]")*(INDIRECT($E75&amp;"[yr]")=S$5-1)*(INDIRECT($E75&amp;"[wk]")=S$6))/
SUM(INDIRECT($E75&amp;"["&amp;$E76&amp;"]")*(INDIRECT($E75&amp;"[yr]")=S$5-1)*(INDIRECT($E75&amp;"[wk]")=S$6))),
(SUM(INDIRECT($E75&amp;"["&amp;$F75&amp;"]")*(INDIRECT($E75&amp;"[yr]")=S$5-1)*(INDIRECT($E75&amp;"[wk]")=S$6)*(INDIRECT($E75&amp;"[site]")=$G$2))/
SUM(INDIRECT($E75&amp;"["&amp;$E76&amp;"]")*(INDIRECT($E75&amp;"[yr]")=S$5-1)*(INDIRECT($E75&amp;"[wk]")=S$6)*(INDIRECT($E75&amp;"[site]")=$G$2))) ))
-1,0)</f>
        <v>0</v>
      </c>
      <c r="T76" s="76">
        <f t="array" aca="1" ref="T76" ca="1">IFERROR(T75/
(IF($G$2=0,
(SUM(INDIRECT($E75&amp;"["&amp;$F75&amp;"]")*(INDIRECT($E75&amp;"[yr]")=T$5-1)*(INDIRECT($E75&amp;"[wk]")=T$6))/
SUM(INDIRECT($E75&amp;"["&amp;$E76&amp;"]")*(INDIRECT($E75&amp;"[yr]")=T$5-1)*(INDIRECT($E75&amp;"[wk]")=T$6))),
(SUM(INDIRECT($E75&amp;"["&amp;$F75&amp;"]")*(INDIRECT($E75&amp;"[yr]")=T$5-1)*(INDIRECT($E75&amp;"[wk]")=T$6)*(INDIRECT($E75&amp;"[site]")=$G$2))/
SUM(INDIRECT($E75&amp;"["&amp;$E76&amp;"]")*(INDIRECT($E75&amp;"[yr]")=T$5-1)*(INDIRECT($E75&amp;"[wk]")=T$6)*(INDIRECT($E75&amp;"[site]")=$G$2)))))
-1,0)</f>
        <v>0</v>
      </c>
      <c r="U76" s="53">
        <f t="array" aca="1" ref="U76" ca="1">SUM(Q76:T76*$Q$66:$T$66)/SUM($Q$66:$T$66)</f>
        <v>0</v>
      </c>
      <c r="V76" s="91"/>
      <c r="W76" s="80"/>
      <c r="X76" s="56"/>
    </row>
    <row r="77" spans="2:24" ht="3" customHeight="1" x14ac:dyDescent="0.4">
      <c r="B77" s="329"/>
      <c r="D77" s="61"/>
      <c r="E77" s="40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61"/>
      <c r="Q77" s="57"/>
      <c r="R77" s="57"/>
      <c r="S77" s="149"/>
      <c r="T77" s="57"/>
      <c r="U77" s="60"/>
      <c r="V77" s="61"/>
      <c r="W77" s="62"/>
      <c r="X77" s="61"/>
    </row>
    <row r="78" spans="2:24" ht="14.15" customHeight="1" x14ac:dyDescent="0.4">
      <c r="B78" s="329"/>
      <c r="D78" s="203" t="s">
        <v>425</v>
      </c>
      <c r="E78" s="63" t="s">
        <v>399</v>
      </c>
      <c r="F78" t="s">
        <v>402</v>
      </c>
      <c r="I78" s="128" t="e">
        <f t="array" aca="1" ref="I78" ca="1">IF($G$2=0,
(SUM(INDIRECT($E78&amp;"["&amp;$F78&amp;"]")*(INDIRECT($E78&amp;"[yr]")=I$5)*(INDIRECT($E78&amp;"[wk]")=I$6))/
SUM(INDIRECT($E78&amp;"["&amp;$E79&amp;"]")*(INDIRECT($E78&amp;"[yr]")=I$5)*(INDIRECT($E78&amp;"[wk]")=I$6))),
(SUM(INDIRECT($E78&amp;"["&amp;$F78&amp;"]")*(INDIRECT($E78&amp;"[yr]")=I$5)*(INDIRECT($E78&amp;"[wk]")=I$6)*(INDIRECT($E78&amp;"[site]")=$G$2))/
SUM(INDIRECT($E78&amp;"["&amp;$E79&amp;"]")*(INDIRECT($E78&amp;"[yr]")=I$5)*(INDIRECT($E78&amp;"[wk]")=I$6)*(INDIRECT($E78&amp;"[site]")=$G$2))) )</f>
        <v>#REF!</v>
      </c>
      <c r="J78" s="128" t="e">
        <f t="array" aca="1" ref="J78" ca="1">IF($G$2=0,
(SUM(INDIRECT($E78&amp;"["&amp;$F78&amp;"]")*(INDIRECT($E78&amp;"[yr]")=J$5)*(INDIRECT($E78&amp;"[wk]")=J$6))/
SUM(INDIRECT($E78&amp;"["&amp;$E79&amp;"]")*(INDIRECT($E78&amp;"[yr]")=J$5)*(INDIRECT($E78&amp;"[wk]")=J$6))),
(SUM(INDIRECT($E78&amp;"["&amp;$F78&amp;"]")*(INDIRECT($E78&amp;"[yr]")=J$5)*(INDIRECT($E78&amp;"[wk]")=J$6)*(INDIRECT($E78&amp;"[site]")=$G$2))/
SUM(INDIRECT($E78&amp;"["&amp;$E79&amp;"]")*(INDIRECT($E78&amp;"[yr]")=J$5)*(INDIRECT($E78&amp;"[wk]")=J$6)*(INDIRECT($E78&amp;"[site]")=$G$2))) )</f>
        <v>#REF!</v>
      </c>
      <c r="K78" s="128" t="e">
        <f t="array" aca="1" ref="K78" ca="1">IF($G$2=0,
(SUM(INDIRECT($E78&amp;"["&amp;$F78&amp;"]")*(INDIRECT($E78&amp;"[yr]")=K$5)*(INDIRECT($E78&amp;"[wk]")=K$6))/
SUM(INDIRECT($E78&amp;"["&amp;$E79&amp;"]")*(INDIRECT($E78&amp;"[yr]")=K$5)*(INDIRECT($E78&amp;"[wk]")=K$6))),
(SUM(INDIRECT($E78&amp;"["&amp;$F78&amp;"]")*(INDIRECT($E78&amp;"[yr]")=K$5)*(INDIRECT($E78&amp;"[wk]")=K$6)*(INDIRECT($E78&amp;"[site]")=$G$2))/
SUM(INDIRECT($E78&amp;"["&amp;$E79&amp;"]")*(INDIRECT($E78&amp;"[yr]")=K$5)*(INDIRECT($E78&amp;"[wk]")=K$6)*(INDIRECT($E78&amp;"[site]")=$G$2))) )</f>
        <v>#REF!</v>
      </c>
      <c r="L78" s="128" t="e">
        <f t="array" aca="1" ref="L78" ca="1">IF($G$2=0,
(SUM(INDIRECT($E78&amp;"["&amp;$F78&amp;"]")*(INDIRECT($E78&amp;"[yr]")=L$5)*(INDIRECT($E78&amp;"[wk]")=L$6))/
SUM(INDIRECT($E78&amp;"["&amp;$E79&amp;"]")*(INDIRECT($E78&amp;"[yr]")=L$5)*(INDIRECT($E78&amp;"[wk]")=L$6))),
(SUM(INDIRECT($E78&amp;"["&amp;$F78&amp;"]")*(INDIRECT($E78&amp;"[yr]")=L$5)*(INDIRECT($E78&amp;"[wk]")=L$6)*(INDIRECT($E78&amp;"[site]")=$G$2))/
SUM(INDIRECT($E78&amp;"["&amp;$E79&amp;"]")*(INDIRECT($E78&amp;"[yr]")=L$5)*(INDIRECT($E78&amp;"[wk]")=L$6)*(INDIRECT($E78&amp;"[site]")=$G$2))) )</f>
        <v>#REF!</v>
      </c>
      <c r="M78" s="128" t="e">
        <f t="array" aca="1" ref="M78" ca="1">IF($G$2=0,
(SUM(INDIRECT($E78&amp;"["&amp;$F78&amp;"]")*(INDIRECT($E78&amp;"[yr]")=M$5)*(INDIRECT($E78&amp;"[wk]")=M$6))/
SUM(INDIRECT($E78&amp;"["&amp;$E79&amp;"]")*(INDIRECT($E78&amp;"[yr]")=M$5)*(INDIRECT($E78&amp;"[wk]")=M$6))),
(SUM(INDIRECT($E78&amp;"["&amp;$F78&amp;"]")*(INDIRECT($E78&amp;"[yr]")=M$5)*(INDIRECT($E78&amp;"[wk]")=M$6)*(INDIRECT($E78&amp;"[site]")=$G$2))/
SUM(INDIRECT($E78&amp;"["&amp;$E79&amp;"]")*(INDIRECT($E78&amp;"[yr]")=M$5)*(INDIRECT($E78&amp;"[wk]")=M$6)*(INDIRECT($E78&amp;"[site]")=$G$2))) )</f>
        <v>#REF!</v>
      </c>
      <c r="N78" s="128" t="e">
        <f t="array" aca="1" ref="N78" ca="1">IF($G$2=0,
(SUM(INDIRECT($E78&amp;"["&amp;$F78&amp;"]")*(INDIRECT($E78&amp;"[yr]")=N$5)*(INDIRECT($E78&amp;"[wk]")=N$6))/
SUM(INDIRECT($E78&amp;"["&amp;$E79&amp;"]")*(INDIRECT($E78&amp;"[yr]")=N$5)*(INDIRECT($E78&amp;"[wk]")=N$6))),
(SUM(INDIRECT($E78&amp;"["&amp;$F78&amp;"]")*(INDIRECT($E78&amp;"[yr]")=N$5)*(INDIRECT($E78&amp;"[wk]")=N$6)*(INDIRECT($E78&amp;"[site]")=$G$2))/
SUM(INDIRECT($E78&amp;"["&amp;$E79&amp;"]")*(INDIRECT($E78&amp;"[yr]")=N$5)*(INDIRECT($E78&amp;"[wk]")=N$6)*(INDIRECT($E78&amp;"[site]")=$G$2))) )</f>
        <v>#REF!</v>
      </c>
      <c r="O78" s="128" t="e">
        <f t="array" aca="1" ref="O78" ca="1">IF($G$2=0,
(SUM(INDIRECT($E78&amp;"["&amp;$F78&amp;"]")*(INDIRECT($E78&amp;"[yr]")=O$5)*(INDIRECT($E78&amp;"[wk]")=O$6))/
SUM(INDIRECT($E78&amp;"["&amp;$E79&amp;"]")*(INDIRECT($E78&amp;"[yr]")=O$5)*(INDIRECT($E78&amp;"[wk]")=O$6))),
(SUM(INDIRECT($E78&amp;"["&amp;$F78&amp;"]")*(INDIRECT($E78&amp;"[yr]")=O$5)*(INDIRECT($E78&amp;"[wk]")=O$6)*(INDIRECT($E78&amp;"[site]")=$G$2))/
SUM(INDIRECT($E78&amp;"["&amp;$E79&amp;"]")*(INDIRECT($E78&amp;"[yr]")=O$5)*(INDIRECT($E78&amp;"[wk]")=O$6)*(INDIRECT($E78&amp;"[site]")=$G$2))) )</f>
        <v>#REF!</v>
      </c>
      <c r="P78" s="154" t="e">
        <f t="array" aca="1" ref="P78" ca="1">IF($G$2=0,
(SUM(INDIRECT($E78&amp;"["&amp;$F78&amp;"]")*(INDIRECT($E78&amp;"[yr]")=P$5)*(INDIRECT($E78&amp;"[wk]")=P$6))/
SUM(INDIRECT($E78&amp;"["&amp;$E79&amp;"]")*(INDIRECT($E78&amp;"[yr]")=P$5)*(INDIRECT($E78&amp;"[wk]")=P$6))),
(SUM(INDIRECT($E78&amp;"["&amp;$F78&amp;"]")*(INDIRECT($E78&amp;"[yr]")=P$5)*(INDIRECT($E78&amp;"[wk]")=P$6)*(INDIRECT($E78&amp;"[site]")=$G$2))/
SUM(INDIRECT($E78&amp;"["&amp;$E79&amp;"]")*(INDIRECT($E78&amp;"[yr]")=P$5)*(INDIRECT($E78&amp;"[wk]")=P$6)*(INDIRECT($E78&amp;"[site]")=$G$2))) )</f>
        <v>#REF!</v>
      </c>
      <c r="Q78" s="128" t="e">
        <f t="array" aca="1" ref="Q78" ca="1">IF($G$2=0,
(SUM(INDIRECT($E78&amp;"["&amp;$F78&amp;"]")*(INDIRECT($E78&amp;"[yr]")=Q$5)*(INDIRECT($E78&amp;"[wk]")=Q$6))/
SUM(INDIRECT($E78&amp;"["&amp;$E79&amp;"]")*(INDIRECT($E78&amp;"[yr]")=Q$5)*(INDIRECT($E78&amp;"[wk]")=Q$6))),
(SUM(INDIRECT($E78&amp;"["&amp;$F78&amp;"]")*(INDIRECT($E78&amp;"[yr]")=Q$5)*(INDIRECT($E78&amp;"[wk]")=Q$6)*(INDIRECT($E78&amp;"[site]")=$G$2))/
SUM(INDIRECT($E78&amp;"["&amp;$E79&amp;"]")*(INDIRECT($E78&amp;"[yr]")=Q$5)*(INDIRECT($E78&amp;"[wk]")=Q$6)*(INDIRECT($E78&amp;"[site]")=$G$2))) )</f>
        <v>#REF!</v>
      </c>
      <c r="R78" s="128" t="e">
        <f t="array" aca="1" ref="R78" ca="1">IF($G$2=0,
(SUM(INDIRECT($E78&amp;"["&amp;$F78&amp;"]")*(INDIRECT($E78&amp;"[yr]")=R$5)*(INDIRECT($E78&amp;"[wk]")=R$6))/
SUM(INDIRECT($E78&amp;"["&amp;$E79&amp;"]")*(INDIRECT($E78&amp;"[yr]")=R$5)*(INDIRECT($E78&amp;"[wk]")=R$6))),
(SUM(INDIRECT($E78&amp;"["&amp;$F78&amp;"]")*(INDIRECT($E78&amp;"[yr]")=R$5)*(INDIRECT($E78&amp;"[wk]")=R$6)*(INDIRECT($E78&amp;"[site]")=$G$2))/
SUM(INDIRECT($E78&amp;"["&amp;$E79&amp;"]")*(INDIRECT($E78&amp;"[yr]")=R$5)*(INDIRECT($E78&amp;"[wk]")=R$6)*(INDIRECT($E78&amp;"[site]")=$G$2))) )</f>
        <v>#REF!</v>
      </c>
      <c r="S78" s="128" t="e">
        <f t="array" aca="1" ref="S78" ca="1">IF($G$2=0,
(SUM(INDIRECT($E78&amp;"["&amp;$F78&amp;"]")*(INDIRECT($E78&amp;"[yr]")=S$5)*(INDIRECT($E78&amp;"[wk]")=S$6))/
SUM(INDIRECT($E78&amp;"["&amp;$E79&amp;"]")*(INDIRECT($E78&amp;"[yr]")=S$5)*(INDIRECT($E78&amp;"[wk]")=S$6))),
(SUM(INDIRECT($E78&amp;"["&amp;$F78&amp;"]")*(INDIRECT($E78&amp;"[yr]")=S$5)*(INDIRECT($E78&amp;"[wk]")=S$6)*(INDIRECT($E78&amp;"[site]")=$G$2))/
SUM(INDIRECT($E78&amp;"["&amp;$E79&amp;"]")*(INDIRECT($E78&amp;"[yr]")=S$5)*(INDIRECT($E78&amp;"[wk]")=S$6)*(INDIRECT($E78&amp;"[site]")=$G$2))) )</f>
        <v>#REF!</v>
      </c>
      <c r="T78" s="129" t="e">
        <f t="array" aca="1" ref="T78" ca="1">IF($G$2=0,
(SUM(INDIRECT($E78&amp;"["&amp;$F78&amp;"]")*(INDIRECT($E78&amp;"[yr]")=T$5)*(INDIRECT($E78&amp;"[wk]")=T$6))/
SUM(INDIRECT($E78&amp;"["&amp;$E79&amp;"]")*(INDIRECT($E78&amp;"[yr]")=T$5)*(INDIRECT($E78&amp;"[wk]")=T$6))),
(SUM(INDIRECT($E78&amp;"["&amp;$F78&amp;"]")*(INDIRECT($E78&amp;"[yr]")=T$5)*(INDIRECT($E78&amp;"[wk]")=T$6)*(INDIRECT($E78&amp;"[site]")=$G$2))/
SUM(INDIRECT($E78&amp;"["&amp;$E79&amp;"]")*(INDIRECT($E78&amp;"[yr]")=T$5)*(INDIRECT($E78&amp;"[wk]")=T$6)*(INDIRECT($E78&amp;"[site]")=$G$2))) )</f>
        <v>#REF!</v>
      </c>
      <c r="U78" s="130" t="e">
        <f t="array" aca="1" ref="U78" ca="1">SUM(Q78:T78*$Q$66:$T$66)/SUM($Q$66:$T$66)</f>
        <v>#REF!</v>
      </c>
      <c r="V78" s="49" t="e">
        <f t="array" aca="1" ref="V78" ca="1">SUM(T78/S78)-1</f>
        <v>#REF!</v>
      </c>
      <c r="W78" s="131">
        <v>95</v>
      </c>
      <c r="X78" s="49"/>
    </row>
    <row r="79" spans="2:24" ht="14.15" customHeight="1" x14ac:dyDescent="0.4">
      <c r="B79" s="329"/>
      <c r="D79" s="208" t="s">
        <v>67</v>
      </c>
      <c r="E79" t="s">
        <v>403</v>
      </c>
      <c r="F79" s="40"/>
      <c r="G79" s="40"/>
      <c r="H79" s="40"/>
      <c r="I79" s="74">
        <f t="array" aca="1" ref="I79" ca="1">IFERROR(I78/
(IF($G$2=0,
(SUM(INDIRECT($E78&amp;"["&amp;$F78&amp;"]")*(INDIRECT($E78&amp;"[yr]")=I$5-1)*(INDIRECT($E78&amp;"[wk]")=I$6))/
SUM(INDIRECT($E78&amp;"["&amp;$E79&amp;"]")*(INDIRECT($E78&amp;"[yr]")=I$5-1)*(INDIRECT($E78&amp;"[wk]")=I$6))),
(SUM(INDIRECT($E78&amp;"["&amp;$F78&amp;"]")*(INDIRECT($E78&amp;"[yr]")=I$5-1)*(INDIRECT($E78&amp;"[wk]")=I$6)*(INDIRECT($E78&amp;"[site]")=$G$2))/
SUM(INDIRECT($E78&amp;"["&amp;$E79&amp;"]")*(INDIRECT($E78&amp;"[yr]")=I$5-1)*(INDIRECT($E78&amp;"[wk]")=I$6)*(INDIRECT($E78&amp;"[site]")=$G$2))) ))
-1,0)</f>
        <v>0</v>
      </c>
      <c r="J79" s="74">
        <f t="array" aca="1" ref="J79" ca="1">IFERROR(J78/
(IF($G$2=0,
(SUM(INDIRECT($E78&amp;"["&amp;$F78&amp;"]")*(INDIRECT($E78&amp;"[yr]")=J$5-1)*(INDIRECT($E78&amp;"[wk]")=J$6))/
SUM(INDIRECT($E78&amp;"["&amp;$E79&amp;"]")*(INDIRECT($E78&amp;"[yr]")=J$5-1)*(INDIRECT($E78&amp;"[wk]")=J$6))),
(SUM(INDIRECT($E78&amp;"["&amp;$F78&amp;"]")*(INDIRECT($E78&amp;"[yr]")=J$5-1)*(INDIRECT($E78&amp;"[wk]")=J$6)*(INDIRECT($E78&amp;"[site]")=$G$2))/
SUM(INDIRECT($E78&amp;"["&amp;$E79&amp;"]")*(INDIRECT($E78&amp;"[yr]")=J$5-1)*(INDIRECT($E78&amp;"[wk]")=J$6)*(INDIRECT($E78&amp;"[site]")=$G$2))) ))
-1,0)</f>
        <v>0</v>
      </c>
      <c r="K79" s="74">
        <f t="array" aca="1" ref="K79" ca="1">IFERROR(K78/
(IF($G$2=0,
(SUM(INDIRECT($E78&amp;"["&amp;$F78&amp;"]")*(INDIRECT($E78&amp;"[yr]")=K$5-1)*(INDIRECT($E78&amp;"[wk]")=K$6))/
SUM(INDIRECT($E78&amp;"["&amp;$E79&amp;"]")*(INDIRECT($E78&amp;"[yr]")=K$5-1)*(INDIRECT($E78&amp;"[wk]")=K$6))),
(SUM(INDIRECT($E78&amp;"["&amp;$F78&amp;"]")*(INDIRECT($E78&amp;"[yr]")=K$5-1)*(INDIRECT($E78&amp;"[wk]")=K$6)*(INDIRECT($E78&amp;"[site]")=$G$2))/
SUM(INDIRECT($E78&amp;"["&amp;$E79&amp;"]")*(INDIRECT($E78&amp;"[yr]")=K$5-1)*(INDIRECT($E78&amp;"[wk]")=K$6)*(INDIRECT($E78&amp;"[site]")=$G$2))) ))
-1,0)</f>
        <v>0</v>
      </c>
      <c r="L79" s="74">
        <f t="array" aca="1" ref="L79" ca="1">IFERROR(L78/
(IF($G$2=0,
(SUM(INDIRECT($E78&amp;"["&amp;$F78&amp;"]")*(INDIRECT($E78&amp;"[yr]")=L$5-1)*(INDIRECT($E78&amp;"[wk]")=L$6))/
SUM(INDIRECT($E78&amp;"["&amp;$E79&amp;"]")*(INDIRECT($E78&amp;"[yr]")=L$5-1)*(INDIRECT($E78&amp;"[wk]")=L$6))),
(SUM(INDIRECT($E78&amp;"["&amp;$F78&amp;"]")*(INDIRECT($E78&amp;"[yr]")=L$5-1)*(INDIRECT($E78&amp;"[wk]")=L$6)*(INDIRECT($E78&amp;"[site]")=$G$2))/
SUM(INDIRECT($E78&amp;"["&amp;$E79&amp;"]")*(INDIRECT($E78&amp;"[yr]")=L$5-1)*(INDIRECT($E78&amp;"[wk]")=L$6)*(INDIRECT($E78&amp;"[site]")=$G$2))) ))
-1,0)</f>
        <v>0</v>
      </c>
      <c r="M79" s="74">
        <f t="array" aca="1" ref="M79" ca="1">IFERROR(M78/
(IF($G$2=0,
(SUM(INDIRECT($E78&amp;"["&amp;$F78&amp;"]")*(INDIRECT($E78&amp;"[yr]")=M$5-1)*(INDIRECT($E78&amp;"[wk]")=M$6))/
SUM(INDIRECT($E78&amp;"["&amp;$E79&amp;"]")*(INDIRECT($E78&amp;"[yr]")=M$5-1)*(INDIRECT($E78&amp;"[wk]")=M$6))),
(SUM(INDIRECT($E78&amp;"["&amp;$F78&amp;"]")*(INDIRECT($E78&amp;"[yr]")=M$5-1)*(INDIRECT($E78&amp;"[wk]")=M$6)*(INDIRECT($E78&amp;"[siteflag]")=$G$2))/
SUM(INDIRECT($E78&amp;"["&amp;$E79&amp;"]")*(INDIRECT($E78&amp;"[yr]")=M$5-1)*(INDIRECT($E78&amp;"[wk]")=M$6)*(INDIRECT($E78&amp;"[siteflag]")=$G$2))) ))
-1,0)</f>
        <v>0</v>
      </c>
      <c r="N79" s="74">
        <f t="array" aca="1" ref="N79" ca="1">IFERROR(N78/
(IF($G$2=0,
(SUM(INDIRECT($E78&amp;"["&amp;$F78&amp;"]")*(INDIRECT($E78&amp;"[yr]")=N$5-1)*(INDIRECT($E78&amp;"[wk]")=N$6))/
SUM(INDIRECT($E78&amp;"["&amp;$E79&amp;"]")*(INDIRECT($E78&amp;"[yr]")=N$5-1)*(INDIRECT($E78&amp;"[wk]")=N$6))),
(SUM(INDIRECT($E78&amp;"["&amp;$F78&amp;"]")*(INDIRECT($E78&amp;"[yr]")=N$5-1)*(INDIRECT($E78&amp;"[wk]")=N$6)*(INDIRECT($E78&amp;"[site]")=$G$2))/
SUM(INDIRECT($E78&amp;"["&amp;$E79&amp;"]")*(INDIRECT($E78&amp;"[yr]")=N$5-1)*(INDIRECT($E78&amp;"[wk]")=N$6)*(INDIRECT($E78&amp;"[site]")=$G$2))) ))
-1,0)</f>
        <v>0</v>
      </c>
      <c r="O79" s="74">
        <f t="array" aca="1" ref="O79" ca="1">IFERROR(O78/
(IF($G$2=0,
(SUM(INDIRECT($E78&amp;"["&amp;$F78&amp;"]")*(INDIRECT($E78&amp;"[yr]")=O$5-1)*(INDIRECT($E78&amp;"[wk]")=O$6))/
SUM(INDIRECT($E78&amp;"["&amp;$E79&amp;"]")*(INDIRECT($E78&amp;"[yr]")=O$5-1)*(INDIRECT($E78&amp;"[wk]")=O$6))),
(SUM(INDIRECT($E78&amp;"["&amp;$F78&amp;"]")*(INDIRECT($E78&amp;"[yr]")=O$5-1)*(INDIRECT($E78&amp;"[wk]")=O$6)*(INDIRECT($E78&amp;"[site]")=$G$2))/
SUM(INDIRECT($E78&amp;"["&amp;$E79&amp;"]")*(INDIRECT($E78&amp;"[yr]")=O$5-1)*(INDIRECT($E78&amp;"[wk]")=O$6)*(INDIRECT($E78&amp;"[site]")=$G$2))) ))
-1,0)</f>
        <v>0</v>
      </c>
      <c r="P79" s="54">
        <f t="array" aca="1" ref="P79" ca="1">IFERROR(P78/
(IF($G$2=0,
(SUM(INDIRECT($E78&amp;"["&amp;$F78&amp;"]")*(INDIRECT($E78&amp;"[yr]")=P$5-1)*(INDIRECT($E78&amp;"[wk]")=P$6))/
SUM(INDIRECT($E78&amp;"["&amp;$E79&amp;"]")*(INDIRECT($E78&amp;"[yr]")=P$5-1)*(INDIRECT($E78&amp;"[wk]")=P$6))),
(SUM(INDIRECT($E78&amp;"["&amp;$F78&amp;"]")*(INDIRECT($E78&amp;"[yr]")=P$5-1)*(INDIRECT($E78&amp;"[wk]")=P$6)*(INDIRECT($E78&amp;"[site]")=$G$2))/
SUM(INDIRECT($E78&amp;"["&amp;$E79&amp;"]")*(INDIRECT($E78&amp;"[yr]")=P$5-1)*(INDIRECT($E78&amp;"[wk]")=P$6)*(INDIRECT($E78&amp;"[site]")=$G$2))) ))
-1,0)</f>
        <v>0</v>
      </c>
      <c r="Q79" s="74">
        <f t="array" aca="1" ref="Q79" ca="1">IFERROR(Q78/
(IF($G$2=0,
(SUM(INDIRECT($E78&amp;"["&amp;$F78&amp;"]")*(INDIRECT($E78&amp;"[yr]")=Q$5-1)*(INDIRECT($E78&amp;"[wk]")=Q$6))/
SUM(INDIRECT($E78&amp;"["&amp;$E79&amp;"]")*(INDIRECT($E78&amp;"[yr]")=Q$5-1)*(INDIRECT($E78&amp;"[wk]")=Q$6))),
(SUM(INDIRECT($E78&amp;"["&amp;$F78&amp;"]")*(INDIRECT($E78&amp;"[yr]")=Q$5-1)*(INDIRECT($E78&amp;"[wk]")=Q$6)*(INDIRECT($E78&amp;"[site]")=$G$2))/
SUM(INDIRECT($E78&amp;"["&amp;$E79&amp;"]")*(INDIRECT($E78&amp;"[yr]")=Q$5-1)*(INDIRECT($E78&amp;"[wk]")=Q$6)*(INDIRECT($E78&amp;"[site]")=$G$2))) ))
-1,0)</f>
        <v>0</v>
      </c>
      <c r="R79" s="74">
        <f t="array" aca="1" ref="R79" ca="1">IFERROR(R78/
(IF($G$2=0,
(SUM(INDIRECT($E78&amp;"["&amp;$F78&amp;"]")*(INDIRECT($E78&amp;"[yr]")=R$5-1)*(INDIRECT($E78&amp;"[wk]")=R$6))/
SUM(INDIRECT($E78&amp;"["&amp;$E79&amp;"]")*(INDIRECT($E78&amp;"[yr]")=R$5-1)*(INDIRECT($E78&amp;"[wk]")=R$6))),
(SUM(INDIRECT($E78&amp;"["&amp;$F78&amp;"]")*(INDIRECT($E78&amp;"[yr]")=R$5-1)*(INDIRECT($E78&amp;"[wk]")=R$6)*(INDIRECT($E78&amp;"[site]")=$G$2))/
SUM(INDIRECT($E78&amp;"["&amp;$E79&amp;"]")*(INDIRECT($E78&amp;"[yr]")=R$5-1)*(INDIRECT($E78&amp;"[wk]")=R$6)*(INDIRECT($E78&amp;"[site]")=$G$2))) ))
-1,0)</f>
        <v>0</v>
      </c>
      <c r="S79" s="74">
        <f t="array" aca="1" ref="S79" ca="1">IFERROR(S78/
(IF($G$2=0,
(SUM(INDIRECT($E78&amp;"["&amp;$F78&amp;"]")*(INDIRECT($E78&amp;"[yr]")=S$5-1)*(INDIRECT($E78&amp;"[wk]")=S$6))/
SUM(INDIRECT($E78&amp;"["&amp;$E79&amp;"]")*(INDIRECT($E78&amp;"[yr]")=S$5-1)*(INDIRECT($E78&amp;"[wk]")=S$6))),
(SUM(INDIRECT($E78&amp;"["&amp;$F78&amp;"]")*(INDIRECT($E78&amp;"[yr]")=S$5-1)*(INDIRECT($E78&amp;"[wk]")=S$6)*(INDIRECT($E78&amp;"[site]")=$G$2))/
SUM(INDIRECT($E78&amp;"["&amp;$E79&amp;"]")*(INDIRECT($E78&amp;"[yr]")=S$5-1)*(INDIRECT($E78&amp;"[wk]")=S$6)*(INDIRECT($E78&amp;"[site]")=$G$2))) ))
-1,0)</f>
        <v>0</v>
      </c>
      <c r="T79" s="76">
        <f t="array" aca="1" ref="T79" ca="1">IFERROR(T78/
(IF($G$2=0,
(SUM(INDIRECT($E78&amp;"["&amp;$F78&amp;"]")*(INDIRECT($E78&amp;"[yr]")=T$5-1)*(INDIRECT($E78&amp;"[wk]")=T$6))/
SUM(INDIRECT($E78&amp;"["&amp;$E79&amp;"]")*(INDIRECT($E78&amp;"[yr]")=T$5-1)*(INDIRECT($E78&amp;"[wk]")=T$6))),
(SUM(INDIRECT($E78&amp;"["&amp;$F78&amp;"]")*(INDIRECT($E78&amp;"[yr]")=T$5-1)*(INDIRECT($E78&amp;"[wk]")=T$6)*(INDIRECT($E78&amp;"[site]")=$G$2))/
SUM(INDIRECT($E78&amp;"["&amp;$E79&amp;"]")*(INDIRECT($E78&amp;"[yr]")=T$5-1)*(INDIRECT($E78&amp;"[wk]")=T$6)*(INDIRECT($E78&amp;"[site]")=$G$2))) ))
-1,0)</f>
        <v>0</v>
      </c>
      <c r="U79" s="53">
        <f t="array" aca="1" ref="U79" ca="1">SUM(Q79:T79*$Q$66:$T$66)/SUM($Q$66:$T$66)</f>
        <v>0</v>
      </c>
      <c r="V79" s="91"/>
      <c r="W79" s="80"/>
      <c r="X79" s="56"/>
    </row>
    <row r="80" spans="2:24" ht="3" customHeight="1" x14ac:dyDescent="0.4">
      <c r="B80" s="329"/>
      <c r="D80" s="61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61"/>
      <c r="Q80" s="57"/>
      <c r="R80" s="57"/>
      <c r="S80" s="149"/>
      <c r="T80" s="149"/>
      <c r="U80" s="60"/>
      <c r="V80" s="61"/>
      <c r="W80" s="62"/>
      <c r="X80" s="61"/>
    </row>
    <row r="81" spans="2:25" ht="14.15" customHeight="1" x14ac:dyDescent="0.4">
      <c r="B81" s="329"/>
      <c r="D81" s="201" t="s">
        <v>100</v>
      </c>
      <c r="E81" s="63" t="s">
        <v>101</v>
      </c>
      <c r="F81" s="63" t="s">
        <v>102</v>
      </c>
      <c r="G81" s="63"/>
      <c r="H81" s="63"/>
      <c r="I81" s="132">
        <f t="array" aca="1" ref="I81" ca="1">SUM(INDIRECT($E81&amp;"["&amp;$F81&amp;"]")*(INDIRECT($E81&amp;"[yr]")=I$5)*(INDIRECT($E81&amp;"[wk]")=I$6)*(IF($G$2=0,1,(INDIRECT($E81&amp;"[siteflag]")=$G$2))))</f>
        <v>2</v>
      </c>
      <c r="J81" s="132">
        <f t="array" aca="1" ref="J81" ca="1">SUM(INDIRECT($E81&amp;"["&amp;$F81&amp;"]")*(INDIRECT($E81&amp;"[yr]")=J$5)*(INDIRECT($E81&amp;"[wk]")=J$6)*(IF($G$2=0,1,(INDIRECT($E81&amp;"[siteflag]")=$G$2))))</f>
        <v>5</v>
      </c>
      <c r="K81" s="132">
        <f t="array" aca="1" ref="K81" ca="1">SUM(INDIRECT($E81&amp;"["&amp;$F81&amp;"]")*(INDIRECT($E81&amp;"[yr]")=K$5)*(INDIRECT($E81&amp;"[wk]")=K$6)*(IF($G$2=0,1,(INDIRECT($E81&amp;"[siteflag]")=$G$2))))</f>
        <v>5</v>
      </c>
      <c r="L81" s="132">
        <f t="array" aca="1" ref="L81" ca="1">SUM(INDIRECT($E81&amp;"["&amp;$F81&amp;"]")*(INDIRECT($E81&amp;"[yr]")=L$5)*(INDIRECT($E81&amp;"[wk]")=L$6)*(IF($G$2=0,1,(INDIRECT($E81&amp;"[siteflag]")=$G$2))))</f>
        <v>4</v>
      </c>
      <c r="M81" s="132">
        <f t="array" aca="1" ref="M81" ca="1">SUM(INDIRECT($E81&amp;"["&amp;$F81&amp;"]")*(INDIRECT($E81&amp;"[yr]")=M$5)*(INDIRECT($E81&amp;"[wk]")=M$6)*(IF($G$2=0,1,(INDIRECT($E81&amp;"[siteflag]")=$G$2))))</f>
        <v>26</v>
      </c>
      <c r="N81" s="132">
        <f t="array" aca="1" ref="N81" ca="1">SUM(INDIRECT($E81&amp;"["&amp;$F81&amp;"]")*(INDIRECT($E81&amp;"[yr]")=N$5)*(INDIRECT($E81&amp;"[wk]")=N$6)*(IF($G$2=0,1,(INDIRECT($E81&amp;"[siteflag]")=$G$2))))</f>
        <v>68</v>
      </c>
      <c r="O81" s="132">
        <f t="array" aca="1" ref="O81" ca="1">SUM(INDIRECT($E81&amp;"["&amp;$F81&amp;"]")*(INDIRECT($E81&amp;"[yr]")=O$5)*(INDIRECT($E81&amp;"[wk]")=O$6)*(IF($G$2=0,1,(INDIRECT($E81&amp;"[siteflag]")=$G$2))))</f>
        <v>68</v>
      </c>
      <c r="P81" s="156">
        <f t="array" aca="1" ref="P81" ca="1">SUM(INDIRECT($E81&amp;"["&amp;$F81&amp;"]")*(INDIRECT($E81&amp;"[yr]")=P$5)*(INDIRECT($E81&amp;"[wk]")=P$6)*(IF($G$2=0,1,(INDIRECT($E81&amp;"[siteflag]")=$G$2))))</f>
        <v>81</v>
      </c>
      <c r="Q81" s="132">
        <f t="array" aca="1" ref="Q81" ca="1">SUM(INDIRECT($E81&amp;"["&amp;$F81&amp;"]")*(INDIRECT($E81&amp;"[yr]")=Q$5)*(INDIRECT($E81&amp;"[wk]")=Q$6)*(IF($G$2=0,1,(INDIRECT($E81&amp;"[siteflag]")=$G$2))))</f>
        <v>70</v>
      </c>
      <c r="R81" s="132">
        <f t="array" aca="1" ref="R81" ca="1">SUM(INDIRECT($E81&amp;"["&amp;$F81&amp;"]")*(INDIRECT($E81&amp;"[yr]")=R$5)*(INDIRECT($E81&amp;"[wk]")=R$6)*(IF($G$2=0,1,(INDIRECT($E81&amp;"[siteflag]")=$G$2))))</f>
        <v>14</v>
      </c>
      <c r="S81" s="153">
        <f t="array" aca="1" ref="S81" ca="1">SUM(INDIRECT($E81&amp;"["&amp;$F81&amp;"]")*(INDIRECT($E81&amp;"[yr]")=S$5)*(INDIRECT($E81&amp;"[wk]")=S$6)*(IF($G$2=0,1,(INDIRECT($E81&amp;"[siteflag]")=$G$2))))</f>
        <v>5</v>
      </c>
      <c r="T81" s="132">
        <f t="array" aca="1" ref="T81" ca="1">SUM(INDIRECT($E81&amp;"["&amp;$F81&amp;"]")*(INDIRECT($E81&amp;"[yr]")=T$5)*(INDIRECT($E81&amp;"[wk]")=T$6)*(IF($G$2=0,1,(INDIRECT($E81&amp;"[siteflag]")=$G$2))))</f>
        <v>3</v>
      </c>
      <c r="U81" s="116">
        <f ca="1">SUM(Q81:T81)</f>
        <v>92</v>
      </c>
      <c r="V81" s="49">
        <f t="array" aca="1" ref="V81" ca="1">IFERROR((SUM(T81/S81)-1),0)</f>
        <v>-0.4</v>
      </c>
      <c r="W81" s="127"/>
      <c r="X81" s="49"/>
    </row>
    <row r="82" spans="2:25" ht="14.15" customHeight="1" x14ac:dyDescent="0.4">
      <c r="B82" s="329"/>
      <c r="D82" s="209" t="s">
        <v>323</v>
      </c>
      <c r="E82" t="s">
        <v>125</v>
      </c>
      <c r="F82" t="s">
        <v>104</v>
      </c>
      <c r="I82" s="133">
        <f t="array" aca="1" ref="I82" ca="1">IFERROR(SUM(INDIRECT($E81&amp;"["&amp;$F81&amp;"]")*(INDIRECT($E81&amp;"[yr]")=I$5)*(INDIRECT($E81&amp;"[wk]")=I$6)*(IF($G$2=0,1,(INDIRECT($E81&amp;"[site]")=$G$2))))/SUM(INDIRECT($E82&amp;"["&amp;$F82&amp;"]")*(INDIRECT($E82&amp;"[yr]")=I$5)*(INDIRECT($E82&amp;"[wk]")=I$6)*(IF($G$2=0,1,(INDIRECT($E82&amp;"[siteflag]")=$G$2)))),0)</f>
        <v>1.2437192179493557E-5</v>
      </c>
      <c r="J82" s="133">
        <f t="array" aca="1" ref="J82" ca="1">IFERROR(SUM(INDIRECT($E81&amp;"["&amp;$F81&amp;"]")*(INDIRECT($E81&amp;"[yr]")=J$5)*(INDIRECT($E81&amp;"[wk]")=J$6)*(IF($G$2=0,1,(INDIRECT($E81&amp;"[site]")=$G$2))))/SUM(INDIRECT($E82&amp;"["&amp;$F82&amp;"]")*(INDIRECT($E82&amp;"[yr]")=J$5)*(INDIRECT($E82&amp;"[wk]")=J$6)*(IF($G$2=0,1,(INDIRECT($E82&amp;"[siteflag]")=$G$2)))),0)</f>
        <v>3.2880676026699108E-5</v>
      </c>
      <c r="K82" s="133">
        <f t="array" aca="1" ref="K82" ca="1">IFERROR(SUM(INDIRECT($E81&amp;"["&amp;$F81&amp;"]")*(INDIRECT($E81&amp;"[yr]")=K$5)*(INDIRECT($E81&amp;"[wk]")=K$6)*(IF($G$2=0,1,(INDIRECT($E81&amp;"[site]")=$G$2))))/SUM(INDIRECT($E82&amp;"["&amp;$F82&amp;"]")*(INDIRECT($E82&amp;"[yr]")=K$5)*(INDIRECT($E82&amp;"[wk]")=K$6)*(IF($G$2=0,1,(INDIRECT($E82&amp;"[siteflag]")=$G$2)))),0)</f>
        <v>3.8021078886134476E-5</v>
      </c>
      <c r="L82" s="133">
        <f t="array" aca="1" ref="L82" ca="1">IFERROR(SUM(INDIRECT($E81&amp;"["&amp;$F81&amp;"]")*(INDIRECT($E81&amp;"[yr]")=L$5)*(INDIRECT($E81&amp;"[wk]")=L$6)*(IF($G$2=0,1,(INDIRECT($E81&amp;"[site]")=$G$2))))/SUM(INDIRECT($E82&amp;"["&amp;$F82&amp;"]")*(INDIRECT($E82&amp;"[yr]")=L$5)*(INDIRECT($E82&amp;"[wk]")=L$6)*(IF($G$2=0,1,(INDIRECT($E82&amp;"[siteflag]")=$G$2)))),0)</f>
        <v>3.1542756206037287E-5</v>
      </c>
      <c r="M82" s="133">
        <f t="array" aca="1" ref="M82" ca="1">IFERROR(SUM(INDIRECT($E81&amp;"["&amp;$F81&amp;"]")*(INDIRECT($E81&amp;"[yr]")=M$5)*(INDIRECT($E81&amp;"[wk]")=M$6)*(IF($G$2=0,1,(INDIRECT($E81&amp;"[site]")=$G$2))))/SUM(INDIRECT($E82&amp;"["&amp;$F82&amp;"]")*(INDIRECT($E82&amp;"[yr]")=M$5)*(INDIRECT($E82&amp;"[wk]")=M$6)*(IF($G$2=0,1,(INDIRECT($E82&amp;"[siteflag]")=$G$2)))),0)</f>
        <v>1.6862422092367159E-4</v>
      </c>
      <c r="N82" s="133">
        <f t="array" aca="1" ref="N82" ca="1">IFERROR(SUM(INDIRECT($E81&amp;"["&amp;$F81&amp;"]")*(INDIRECT($E81&amp;"[yr]")=N$5)*(INDIRECT($E81&amp;"[wk]")=N$6)*(IF($G$2=0,1,(INDIRECT($E81&amp;"[site]")=$G$2))))/SUM(INDIRECT($E82&amp;"["&amp;$F82&amp;"]")*(INDIRECT($E82&amp;"[yr]")=N$5)*(INDIRECT($E82&amp;"[wk]")=N$6)*(IF($G$2=0,1,(INDIRECT($E82&amp;"[siteflag]")=$G$2)))),0)</f>
        <v>3.9887610790771883E-4</v>
      </c>
      <c r="O82" s="133">
        <f t="array" aca="1" ref="O82" ca="1">IFERROR(SUM(INDIRECT($E81&amp;"["&amp;$F81&amp;"]")*(INDIRECT($E81&amp;"[yr]")=O$5)*(INDIRECT($E81&amp;"[wk]")=O$6)*(IF($G$2=0,1,(INDIRECT($E81&amp;"[site]")=$G$2))))/SUM(INDIRECT($E82&amp;"["&amp;$F82&amp;"]")*(INDIRECT($E82&amp;"[yr]")=O$5)*(INDIRECT($E82&amp;"[wk]")=O$6)*(IF($G$2=0,1,(INDIRECT($E82&amp;"[siteflag]")=$G$2)))),0)</f>
        <v>3.8154446956902309E-4</v>
      </c>
      <c r="P82" s="142">
        <f t="array" aca="1" ref="P82" ca="1">IFERROR(SUM(INDIRECT($E81&amp;"["&amp;$F81&amp;"]")*(INDIRECT($E81&amp;"[yr]")=P$5)*(INDIRECT($E81&amp;"[wk]")=P$6)*(IF($G$2=0,1,(INDIRECT($E81&amp;"[site]")=$G$2))))/SUM(INDIRECT($E82&amp;"["&amp;$F82&amp;"]")*(INDIRECT($E82&amp;"[yr]")=P$5)*(INDIRECT($E82&amp;"[wk]")=P$6)*(IF($G$2=0,1,(INDIRECT($E82&amp;"[siteflag]")=$G$2)))),0)</f>
        <v>4.6163052460604679E-4</v>
      </c>
      <c r="Q82" s="133">
        <f t="array" aca="1" ref="Q82" ca="1">IFERROR(SUM(INDIRECT($E81&amp;"["&amp;$F81&amp;"]")*(INDIRECT($E81&amp;"[yr]")=Q$5)*(INDIRECT($E81&amp;"[wk]")=Q$6)*(IF($G$2=0,1,(INDIRECT($E81&amp;"[site]")=$G$2))))/SUM(INDIRECT($E82&amp;"["&amp;$F82&amp;"]")*(INDIRECT($E82&amp;"[yr]")=Q$5)*(INDIRECT($E82&amp;"[wk]")=Q$6)*(IF($G$2=0,1,(INDIRECT($E82&amp;"[siteflag]")=$G$2)))),0)</f>
        <v>3.9304203303799033E-4</v>
      </c>
      <c r="R82" s="133">
        <f t="array" aca="1" ref="R82" ca="1">IFERROR(SUM(INDIRECT($E81&amp;"["&amp;$F81&amp;"]")*(INDIRECT($E81&amp;"[yr]")=R$5)*(INDIRECT($E81&amp;"[wk]")=R$6)*(IF($G$2=0,1,(INDIRECT($E81&amp;"[site]")=$G$2))))/SUM(INDIRECT($E82&amp;"["&amp;$F82&amp;"]")*(INDIRECT($E82&amp;"[yr]")=R$5)*(INDIRECT($E82&amp;"[wk]")=R$6)*(IF($G$2=0,1,(INDIRECT($E82&amp;"[siteflag]")=$G$2)))),0)</f>
        <v>8.9987016159097041E-5</v>
      </c>
      <c r="S82" s="135">
        <f t="array" aca="1" ref="S82" ca="1">IFERROR(SUM(INDIRECT($E81&amp;"["&amp;$F81&amp;"]")*(INDIRECT($E81&amp;"[yr]")=S$5)*(INDIRECT($E81&amp;"[wk]")=S$6)*(IF($G$2=0,1,(INDIRECT($E81&amp;"[site]")=$G$2))))/SUM(INDIRECT($E82&amp;"["&amp;$F82&amp;"]")*(INDIRECT($E82&amp;"[yr]")=S$5)*(INDIRECT($E82&amp;"[wk]")=S$6)*(IF($G$2=0,1,(INDIRECT($E82&amp;"[siteflag]")=$G$2)))),0)</f>
        <v>2.8818776008945349E-5</v>
      </c>
      <c r="T82" s="152">
        <f t="array" aca="1" ref="T82" ca="1">IFERROR(SUM(INDIRECT($E81&amp;"["&amp;$F81&amp;"]")*(INDIRECT($E81&amp;"[yr]")=T$5)*(INDIRECT($E81&amp;"[wk]")=T$6)*(IF($G$2=0,1,(INDIRECT($E81&amp;"[site]")=$G$2))))/SUM(INDIRECT($E82&amp;"["&amp;$F82&amp;"]")*(INDIRECT($E82&amp;"[yr]")=T$5)*(INDIRECT($E82&amp;"[wk]")=T$6)*(IF($G$2=0,1,(INDIRECT($E82&amp;"[siteflag]")=$G$2)))),0)</f>
        <v>2.6949577340795372E-5</v>
      </c>
      <c r="U82" s="136">
        <f t="array" aca="1" ref="U82" ca="1">SUM(Q82:T82*$Q$66:$T$66)/SUM($Q$66:$T$66)</f>
        <v>1.4615341336034221E-4</v>
      </c>
      <c r="V82" s="137"/>
      <c r="W82" s="138">
        <v>2.5000000000000001E-2</v>
      </c>
      <c r="X82" s="56"/>
    </row>
    <row r="83" spans="2:25" ht="3" customHeight="1" x14ac:dyDescent="0.4">
      <c r="B83" s="329"/>
      <c r="D83" s="61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8"/>
      <c r="R83" s="57"/>
      <c r="S83" s="57"/>
      <c r="T83" s="59"/>
      <c r="U83" s="60"/>
      <c r="V83" s="61"/>
      <c r="W83" s="62"/>
      <c r="X83" s="61"/>
    </row>
    <row r="84" spans="2:25" ht="14.15" customHeight="1" x14ac:dyDescent="0.4">
      <c r="B84" s="329"/>
      <c r="D84" s="201" t="s">
        <v>105</v>
      </c>
      <c r="E84" s="63" t="s">
        <v>101</v>
      </c>
      <c r="F84" s="63" t="s">
        <v>102</v>
      </c>
      <c r="G84" s="63"/>
      <c r="H84" s="63"/>
      <c r="I84" s="132">
        <f t="array" aca="1" ref="I84" ca="1">IFERROR(SUM((INDIRECT($E84&amp;"["&amp;$F84&amp;"]")*(INDIRECT($E84&amp;"[yr]")=I$5)*(INDIRECT($E84&amp;"[wk]")=I$6)*(INDIRECT($E84&amp;"["&amp;$E85&amp;"]")=$F85)*(IF($G$2=0,1,(INDIRECT($E84&amp;"[siteflag]")=$G$2))))),0)</f>
        <v>0</v>
      </c>
      <c r="J84" s="132">
        <f t="array" aca="1" ref="J84" ca="1">IFERROR(SUM((INDIRECT($E84&amp;"["&amp;$F84&amp;"]")*(INDIRECT($E84&amp;"[yr]")=J$5)*(INDIRECT($E84&amp;"[wk]")=J$6)*(INDIRECT($E84&amp;"["&amp;$E85&amp;"]")=$F85)*(IF($G$2=0,1,(INDIRECT($E84&amp;"[siteflag]")=$G$2))))),0)</f>
        <v>2</v>
      </c>
      <c r="K84" s="132">
        <f t="array" aca="1" ref="K84" ca="1">IFERROR(SUM((INDIRECT($E84&amp;"["&amp;$F84&amp;"]")*(INDIRECT($E84&amp;"[yr]")=K$5)*(INDIRECT($E84&amp;"[wk]")=K$6)*(INDIRECT($E84&amp;"["&amp;$E85&amp;"]")=$F85)*(IF($G$2=0,1,(INDIRECT($E84&amp;"[siteflag]")=$G$2))))),0)</f>
        <v>3</v>
      </c>
      <c r="L84" s="132">
        <f t="array" aca="1" ref="L84" ca="1">IFERROR(SUM((INDIRECT($E84&amp;"["&amp;$F84&amp;"]")*(INDIRECT($E84&amp;"[yr]")=L$5)*(INDIRECT($E84&amp;"[wk]")=L$6)*(INDIRECT($E84&amp;"["&amp;$E85&amp;"]")=$F85)*(IF($G$2=0,1,(INDIRECT($E84&amp;"[siteflag]")=$G$2))))),0)</f>
        <v>2</v>
      </c>
      <c r="M84" s="132">
        <f t="array" aca="1" ref="M84" ca="1">IFERROR(SUM((INDIRECT($E84&amp;"["&amp;$F84&amp;"]")*(INDIRECT($E84&amp;"[yr]")=M$5)*(INDIRECT($E84&amp;"[wk]")=M$6)*(INDIRECT($E84&amp;"["&amp;$E85&amp;"]")=$F85)*(IF($G$2=0,1,(INDIRECT($E84&amp;"[siteflag]")=$G$2))))),0)</f>
        <v>0</v>
      </c>
      <c r="N84" s="132">
        <f t="array" aca="1" ref="N84" ca="1">IFERROR(SUM((INDIRECT($E84&amp;"["&amp;$F84&amp;"]")*(INDIRECT($E84&amp;"[yr]")=N$5)*(INDIRECT($E84&amp;"[wk]")=N$6)*(INDIRECT($E84&amp;"["&amp;$E85&amp;"]")=$F85)*(IF($G$2=0,1,(INDIRECT($E84&amp;"[siteflag]")=$G$2))))),0)</f>
        <v>8</v>
      </c>
      <c r="O84" s="132">
        <f t="array" aca="1" ref="O84" ca="1">IFERROR(SUM((INDIRECT($E84&amp;"["&amp;$F84&amp;"]")*(INDIRECT($E84&amp;"[yr]")=O$5)*(INDIRECT($E84&amp;"[wk]")=O$6)*(INDIRECT($E84&amp;"["&amp;$E85&amp;"]")=$F85)*(IF($G$2=0,1,(INDIRECT($E84&amp;"[siteflag]")=$G$2))))),0)</f>
        <v>7</v>
      </c>
      <c r="P84" s="156">
        <f t="array" aca="1" ref="P84" ca="1">IFERROR(SUM((INDIRECT($E84&amp;"["&amp;$F84&amp;"]")*(INDIRECT($E84&amp;"[yr]")=P$5)*(INDIRECT($E84&amp;"[wk]")=P$6)*(INDIRECT($E84&amp;"["&amp;$E85&amp;"]")=$F85)*(IF($G$2=0,1,(INDIRECT($E84&amp;"[siteflag]")=$G$2))))),0)</f>
        <v>2</v>
      </c>
      <c r="Q84" s="132">
        <f t="array" aca="1" ref="Q84" ca="1">IFERROR(SUM((INDIRECT($E84&amp;"["&amp;$F84&amp;"]")*(INDIRECT($E84&amp;"[yr]")=Q$5)*(INDIRECT($E84&amp;"[wk]")=Q$6)*(INDIRECT($E84&amp;"["&amp;$E85&amp;"]")=$F85)*(IF($G$2=0,1,(INDIRECT($E84&amp;"[siteflag]")=$G$2))))),0)</f>
        <v>5</v>
      </c>
      <c r="R84" s="132">
        <f t="array" aca="1" ref="R84" ca="1">IFERROR(SUM((INDIRECT($E84&amp;"["&amp;$F84&amp;"]")*(INDIRECT($E84&amp;"[yr]")=R$5)*(INDIRECT($E84&amp;"[wk]")=R$6)*(INDIRECT($E84&amp;"["&amp;$E85&amp;"]")=$F85)*(IF($G$2=0,1,(INDIRECT($E84&amp;"[siteflag]")=$G$2))))),0)</f>
        <v>2</v>
      </c>
      <c r="S84" s="153">
        <f t="array" aca="1" ref="S84" ca="1">IFERROR(SUM((INDIRECT($E84&amp;"["&amp;$F84&amp;"]")*(INDIRECT($E84&amp;"[yr]")=S$5)*(INDIRECT($E84&amp;"[wk]")=S$6)*(INDIRECT($E84&amp;"["&amp;$E85&amp;"]")=$F85)*(IF($G$2=0,1,(INDIRECT($E84&amp;"[siteflag]")=$G$2))))),0)</f>
        <v>2</v>
      </c>
      <c r="T84" s="132">
        <f t="array" aca="1" ref="T84" ca="1">IFERROR(SUM((INDIRECT($E84&amp;"["&amp;$F84&amp;"]")*(INDIRECT($E84&amp;"[yr]")=T$5)*(INDIRECT($E84&amp;"[wk]")=T$6)*(INDIRECT($E84&amp;"["&amp;$E85&amp;"]")=$F85)*(IF($G$2=0,1,(INDIRECT($E84&amp;"[siteflag]")=$G$2))))),0)</f>
        <v>0</v>
      </c>
      <c r="U84" s="116">
        <f t="array" aca="1" ref="U84" ca="1">SUM(Q84:T84)</f>
        <v>9</v>
      </c>
      <c r="V84" s="49">
        <f t="array" aca="1" ref="V84" ca="1">IFERROR(SUM(T84/S84)-1,0)</f>
        <v>-1</v>
      </c>
      <c r="W84" s="127"/>
      <c r="X84" s="49"/>
    </row>
    <row r="85" spans="2:25" ht="14.15" customHeight="1" x14ac:dyDescent="0.4">
      <c r="B85" s="329"/>
      <c r="D85" s="210" t="s">
        <v>106</v>
      </c>
      <c r="E85" s="40" t="s">
        <v>107</v>
      </c>
      <c r="F85" s="40" t="s">
        <v>108</v>
      </c>
      <c r="G85" s="40"/>
      <c r="H85" s="40"/>
      <c r="I85" s="134">
        <f t="array" aca="1" ref="I85" ca="1">IFERROR((I84/I81),0)</f>
        <v>0</v>
      </c>
      <c r="J85" s="134">
        <f t="array" aca="1" ref="J85" ca="1">IFERROR((J84/J81),0)</f>
        <v>0.4</v>
      </c>
      <c r="K85" s="134">
        <f t="array" aca="1" ref="K85" ca="1">IFERROR((K84/K81),0)</f>
        <v>0.6</v>
      </c>
      <c r="L85" s="134">
        <f t="array" aca="1" ref="L85" ca="1">IFERROR((L84/L81),0)</f>
        <v>0.5</v>
      </c>
      <c r="M85" s="134">
        <f t="array" aca="1" ref="M85" ca="1">IFERROR((M84/M81),0)</f>
        <v>0</v>
      </c>
      <c r="N85" s="134">
        <f t="array" aca="1" ref="N85" ca="1">IFERROR((N84/N81),0)</f>
        <v>0.11764705882352941</v>
      </c>
      <c r="O85" s="134">
        <f t="array" aca="1" ref="O85" ca="1">IFERROR((O84/O81),0)</f>
        <v>0.10294117647058823</v>
      </c>
      <c r="P85" s="142">
        <f t="array" aca="1" ref="P85" ca="1">IFERROR((P84/P81),0)</f>
        <v>2.4691358024691357E-2</v>
      </c>
      <c r="Q85" s="134">
        <f t="array" aca="1" ref="Q85" ca="1">IFERROR((Q84/Q81),0)</f>
        <v>7.1428571428571425E-2</v>
      </c>
      <c r="R85" s="134">
        <f t="array" aca="1" ref="R85" ca="1">IFERROR((R84/R81),0)</f>
        <v>0.14285714285714285</v>
      </c>
      <c r="S85" s="134">
        <f t="array" aca="1" ref="S85" ca="1">IFERROR((S84/S81),0)</f>
        <v>0.4</v>
      </c>
      <c r="T85" s="140">
        <f t="array" aca="1" ref="T85" ca="1">IFERROR((T84/T81),0)</f>
        <v>0</v>
      </c>
      <c r="U85" s="141">
        <f t="array" aca="1" ref="U85" ca="1">IFERROR(SUMPRODUCT(Q85:T85,$Q$81:$T$81)/SUM($Q$81:$T$81),0)</f>
        <v>9.7826086956521743E-2</v>
      </c>
      <c r="V85" s="142"/>
      <c r="W85" s="55"/>
      <c r="X85" s="56"/>
    </row>
    <row r="86" spans="2:25" ht="14.15" customHeight="1" x14ac:dyDescent="0.4">
      <c r="B86" s="329"/>
      <c r="D86" s="203" t="s">
        <v>109</v>
      </c>
      <c r="E86" t="s">
        <v>56</v>
      </c>
      <c r="F86" t="s">
        <v>110</v>
      </c>
      <c r="G86" s="63"/>
      <c r="H86" s="63"/>
      <c r="I86" s="124">
        <f t="array" aca="1" ref="I86" ca="1">SUM(INDIRECT($E86&amp;"["&amp;$F86&amp;"]")*(INDIRECT($E86&amp;"[yr]")=I$5)*(INDIRECT($E86&amp;"[wk]")=I$6)*(IF($G$2=0,1,(INDIRECT($E86&amp;"[siteflag]")=$G$2))))</f>
        <v>601</v>
      </c>
      <c r="J86" s="124">
        <f t="array" aca="1" ref="J86" ca="1">SUM(INDIRECT($E86&amp;"["&amp;$F86&amp;"]")*(INDIRECT($E86&amp;"[yr]")=J$5)*(INDIRECT($E86&amp;"[wk]")=J$6)*(IF($G$2=0,1,(INDIRECT($E86&amp;"[siteflag]")=$G$2))))</f>
        <v>509</v>
      </c>
      <c r="K86" s="124">
        <f t="array" aca="1" ref="K86" ca="1">SUM(INDIRECT($E86&amp;"["&amp;$F86&amp;"]")*(INDIRECT($E86&amp;"[yr]")=K$5)*(INDIRECT($E86&amp;"[wk]")=K$6)*(IF($G$2=0,1,(INDIRECT($E86&amp;"[siteflag]")=$G$2))))</f>
        <v>357</v>
      </c>
      <c r="L86" s="124">
        <f t="array" aca="1" ref="L86" ca="1">SUM(INDIRECT($E86&amp;"["&amp;$F86&amp;"]")*(INDIRECT($E86&amp;"[yr]")=L$5)*(INDIRECT($E86&amp;"[wk]")=L$6)*(IF($G$2=0,1,(INDIRECT($E86&amp;"[siteflag]")=$G$2))))</f>
        <v>340</v>
      </c>
      <c r="M86" s="124">
        <f t="array" aca="1" ref="M86" ca="1">SUM(INDIRECT($E86&amp;"["&amp;$F86&amp;"]")*(INDIRECT($E86&amp;"[yr]")=M$5)*(INDIRECT($E86&amp;"[wk]")=M$6)*(IF($G$2=0,1,(INDIRECT($E86&amp;"[siteflag]")=$G$2))))</f>
        <v>424</v>
      </c>
      <c r="N86" s="124">
        <f t="array" aca="1" ref="N86" ca="1">SUM(INDIRECT($E86&amp;"["&amp;$F86&amp;"]")*(INDIRECT($E86&amp;"[yr]")=N$5)*(INDIRECT($E86&amp;"[wk]")=N$6)*(IF($G$2=0,1,(INDIRECT($E86&amp;"[siteflag]")=$G$2))))</f>
        <v>490</v>
      </c>
      <c r="O86" s="124">
        <f t="array" aca="1" ref="O86" ca="1">SUM(INDIRECT($E86&amp;"["&amp;$F86&amp;"]")*(INDIRECT($E86&amp;"[yr]")=O$5)*(INDIRECT($E86&amp;"[wk]")=O$6)*(IF($G$2=0,1,(INDIRECT($E86&amp;"[siteflag]")=$G$2))))</f>
        <v>544</v>
      </c>
      <c r="P86" s="157">
        <f t="array" aca="1" ref="P86" ca="1">SUM(INDIRECT($E86&amp;"["&amp;$F86&amp;"]")*(INDIRECT($E86&amp;"[yr]")=P$5)*(INDIRECT($E86&amp;"[wk]")=P$6)*(IF($G$2=0,1,(INDIRECT($E86&amp;"[siteflag]")=$G$2))))</f>
        <v>566</v>
      </c>
      <c r="Q86" s="124">
        <f t="array" aca="1" ref="Q86" ca="1">SUM(INDIRECT($E86&amp;"["&amp;$F86&amp;"]")*(INDIRECT($E86&amp;"[yr]")=Q$5)*(INDIRECT($E86&amp;"[wk]")=Q$6)*(IF($G$2=0,1,(INDIRECT($E86&amp;"[siteflag]")=$G$2))))</f>
        <v>464</v>
      </c>
      <c r="R86" s="124">
        <f t="array" aca="1" ref="R86" ca="1">SUM(INDIRECT($E86&amp;"["&amp;$F86&amp;"]")*(INDIRECT($E86&amp;"[yr]")=R$5)*(INDIRECT($E86&amp;"[wk]")=R$6)*(IF($G$2=0,1,(INDIRECT($E86&amp;"[siteflag]")=$G$2))))</f>
        <v>409</v>
      </c>
      <c r="S86" s="124">
        <f t="array" aca="1" ref="S86" ca="1">SUM(INDIRECT($E86&amp;"["&amp;$F86&amp;"]")*(INDIRECT($E86&amp;"[yr]")=S$5)*(INDIRECT($E86&amp;"[wk]")=S$6)*(IF($G$2=0,1,(INDIRECT($E86&amp;"[siteflag]")=$G$2))))</f>
        <v>487</v>
      </c>
      <c r="T86" s="95">
        <f t="array" aca="1" ref="T86" ca="1">SUM(INDIRECT($E86&amp;"["&amp;$F86&amp;"]")*(INDIRECT($E86&amp;"[yr]")=T$5)*(INDIRECT($E86&amp;"[wk]")=T$6)*(IF($G$2=0,1,(INDIRECT($E86&amp;"[siteflag]")=$G$2))))</f>
        <v>264</v>
      </c>
      <c r="U86" s="96">
        <f ca="1">AVERAGE(Q86:T86)</f>
        <v>406</v>
      </c>
      <c r="V86" s="49">
        <f t="array" aca="1" ref="V86" ca="1">SUM(T86/S86)-1</f>
        <v>-0.4579055441478439</v>
      </c>
      <c r="W86" s="143">
        <f ca="1">ROUNDUP(T66*4,0)</f>
        <v>1041</v>
      </c>
      <c r="X86" s="49"/>
      <c r="Y86" s="146"/>
    </row>
    <row r="87" spans="2:25" ht="14.15" customHeight="1" x14ac:dyDescent="0.4">
      <c r="B87" s="329"/>
      <c r="C87" s="145"/>
      <c r="D87" s="205" t="s">
        <v>111</v>
      </c>
      <c r="I87" s="133">
        <f t="array" aca="1" ref="I87" ca="1">I86/(I66*1000)</f>
        <v>1.8555911647925509E-3</v>
      </c>
      <c r="J87" s="133">
        <f t="array" aca="1" ref="J87" ca="1">J86/(J66*1000)</f>
        <v>1.6473451527920721E-3</v>
      </c>
      <c r="K87" s="133">
        <f t="array" aca="1" ref="K87" ca="1">K86/(K66*1000)</f>
        <v>1.2786716142065076E-3</v>
      </c>
      <c r="L87" s="133">
        <f t="array" aca="1" ref="L87" ca="1">L86/(L66*1000)</f>
        <v>1.2480270161142311E-3</v>
      </c>
      <c r="M87" s="133">
        <f t="array" aca="1" ref="M87" ca="1">M86/(M66*1000)</f>
        <v>1.2826291477473829E-3</v>
      </c>
      <c r="N87" s="133">
        <f t="array" aca="1" ref="N87" ca="1">N86/(N66*1000)</f>
        <v>1.348476634202321E-3</v>
      </c>
      <c r="O87" s="133">
        <f t="array" aca="1" ref="O87" ca="1">O86/(O66*1000)</f>
        <v>1.4368005831720014E-3</v>
      </c>
      <c r="P87" s="137">
        <f t="array" aca="1" ref="P87" ca="1">P86/(P66*1000)</f>
        <v>1.5642618673859692E-3</v>
      </c>
      <c r="Q87" s="133">
        <f t="array" aca="1" ref="Q87" ca="1">Q86/(Q66*1000)</f>
        <v>1.2767034636084482E-3</v>
      </c>
      <c r="R87" s="133">
        <f t="array" aca="1" ref="R87" ca="1">R86/(R66*1000)</f>
        <v>1.2987837794925536E-3</v>
      </c>
      <c r="S87" s="133">
        <f t="array" aca="1" ref="S87" ca="1">S86/(S66*1000)</f>
        <v>1.3925346418012018E-3</v>
      </c>
      <c r="T87" s="140">
        <f t="array" aca="1" ref="T87" ca="1">T86/(T66*1000)</f>
        <v>1.0149474072707141E-3</v>
      </c>
      <c r="U87" s="144">
        <f ca="1">U86/(AVERAGE(Q66:T66)*1000)</f>
        <v>1.2606933813597478E-3</v>
      </c>
      <c r="V87" s="89"/>
      <c r="W87" s="80"/>
      <c r="X87" s="81"/>
    </row>
    <row r="88" spans="2:25" ht="14.15" customHeight="1" x14ac:dyDescent="0.4">
      <c r="B88" s="330"/>
      <c r="D88" s="202" t="s">
        <v>67</v>
      </c>
      <c r="I88" s="74">
        <f t="array" aca="1" ref="I88" ca="1">IFERROR(I86/SUM(INDIRECT($E86&amp;"["&amp;$F86&amp;"]")*(INDIRECT($E86&amp;"[yr]")=(I$5-1))*(INDIRECT($E86&amp;"[wk]")=I$6)*(IF($G$2=0,1,(INDIRECT($E86&amp;"[siteflag]")=$G$2))))-1,0)</f>
        <v>99.166666666666671</v>
      </c>
      <c r="J88" s="74">
        <f t="array" aca="1" ref="J88" ca="1">IFERROR(J86/SUM(INDIRECT($E86&amp;"["&amp;$F86&amp;"]")*(INDIRECT($E86&amp;"[yr]")=(J$5-1))*(INDIRECT($E86&amp;"[wk]")=J$6)*(IF($G$2=0,1,(INDIRECT($E86&amp;"[siteflag]")=$G$2))))-1,0)</f>
        <v>168.66666666666666</v>
      </c>
      <c r="K88" s="74">
        <f t="array" aca="1" ref="K88" ca="1">IFERROR(K86/SUM(INDIRECT($E86&amp;"["&amp;$F86&amp;"]")*(INDIRECT($E86&amp;"[yr]")=(K$5-1))*(INDIRECT($E86&amp;"[wk]")=K$6)*(IF($G$2=0,1,(INDIRECT($E86&amp;"[siteflag]")=$G$2))))-1,0)</f>
        <v>177.5</v>
      </c>
      <c r="L88" s="74">
        <f t="array" aca="1" ref="L88" ca="1">IFERROR(L86/SUM(INDIRECT($E86&amp;"["&amp;$F86&amp;"]")*(INDIRECT($E86&amp;"[yr]")=(L$5-1))*(INDIRECT($E86&amp;"[wk]")=L$6)*(IF($G$2=0,1,(INDIRECT($E86&amp;"[siteflag]")=$G$2))))-1,0)</f>
        <v>339</v>
      </c>
      <c r="M88" s="74">
        <f t="array" aca="1" ref="M88" ca="1">IFERROR(M86/SUM(INDIRECT($E86&amp;"["&amp;$F86&amp;"]")*(INDIRECT($E86&amp;"[yr]")=(M$5-1))*(INDIRECT($E86&amp;"[wk]")=M$6)*(IF($G$2=0,1,(INDIRECT($E86&amp;"[siteflag]")=$G$2))))-1,0)</f>
        <v>423</v>
      </c>
      <c r="N88" s="74">
        <f t="array" aca="1" ref="N88" ca="1">IFERROR(N86/SUM(INDIRECT($E86&amp;"["&amp;$F86&amp;"]")*(INDIRECT($E86&amp;"[yr]")=(N$5-1))*(INDIRECT($E86&amp;"[wk]")=N$6)*(IF($G$2=0,1,(INDIRECT($E86&amp;"[siteflag]")=$G$2))))-1,0)</f>
        <v>121.5</v>
      </c>
      <c r="O88" s="74">
        <f t="array" aca="1" ref="O88" ca="1">IFERROR(O86/SUM(INDIRECT($E86&amp;"["&amp;$F86&amp;"]")*(INDIRECT($E86&amp;"[yr]")=(O$5-1))*(INDIRECT($E86&amp;"[wk]")=O$6)*(IF($G$2=0,1,(INDIRECT($E86&amp;"[siteflag]")=$G$2))))-1,0)</f>
        <v>543</v>
      </c>
      <c r="P88" s="91">
        <f t="array" aca="1" ref="P88" ca="1">IFERROR(P86/SUM(INDIRECT($E86&amp;"["&amp;$F86&amp;"]")*(INDIRECT($E86&amp;"[yr]")=(P$5-1))*(INDIRECT($E86&amp;"[wk]")=P$6)*(IF($G$2=0,1,(INDIRECT($E86&amp;"[siteflag]")=$G$2))))-1,0)</f>
        <v>0</v>
      </c>
      <c r="Q88" s="74">
        <f t="array" aca="1" ref="Q88" ca="1">IFERROR(Q86/SUM(INDIRECT($E86&amp;"["&amp;$F86&amp;"]")*(INDIRECT($E86&amp;"[yr]")=(Q$5-1))*(INDIRECT($E86&amp;"[wk]")=Q$6)*(IF($G$2=0,1,(INDIRECT($E86&amp;"[siteflag]")=$G$2))))-1,0)</f>
        <v>91.8</v>
      </c>
      <c r="R88" s="74">
        <f t="array" aca="1" ref="R88" ca="1">IFERROR(R86/SUM(INDIRECT($E86&amp;"["&amp;$F86&amp;"]")*(INDIRECT($E86&amp;"[yr]")=(R$5-1))*(INDIRECT($E86&amp;"[wk]")=R$6)*(IF($G$2=0,1,(INDIRECT($E86&amp;"[siteflag]")=$G$2))))-1,0)</f>
        <v>101.25</v>
      </c>
      <c r="S88" s="151">
        <f t="array" aca="1" ref="S88" ca="1">IFERROR(S86/SUM(INDIRECT($E86&amp;"["&amp;$F86&amp;"]")*(INDIRECT($E86&amp;"[yr]")=(S$5-1))*(INDIRECT($E86&amp;"[wk]")=S$6)*(IF($G$2=0,1,(INDIRECT($E86&amp;"[siteflag]")=$G$2))))-1,0)</f>
        <v>242.5</v>
      </c>
      <c r="T88" s="151">
        <f t="array" aca="1" ref="T88" ca="1">IFERROR(T86/SUM(INDIRECT($E86&amp;"["&amp;$F86&amp;"]")*(INDIRECT($E86&amp;"[yr]")=(T$5-1))*(INDIRECT($E86&amp;"[wk]")=T$6)*(IF($G$2=0,1,(INDIRECT($E86&amp;"[siteflag]")=$G$2))))-1,0)</f>
        <v>25.4</v>
      </c>
      <c r="U88" s="54">
        <f t="array" aca="1" ref="U88" ca="1">SUM(Q88:T88*$Q$66:$T$66)/SUM($Q$66:$T$66)</f>
        <v>121.61537370553805</v>
      </c>
      <c r="V88" s="54"/>
      <c r="W88" s="55"/>
      <c r="X88" s="56"/>
    </row>
    <row r="89" spans="2:25" ht="3" customHeight="1" x14ac:dyDescent="0.4">
      <c r="D89" s="61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61"/>
      <c r="Q89" s="57"/>
      <c r="R89" s="57"/>
      <c r="S89" s="149"/>
      <c r="T89" s="149"/>
      <c r="U89" s="57"/>
      <c r="V89" s="57"/>
      <c r="W89" s="57"/>
      <c r="X89" s="62"/>
    </row>
    <row r="90" spans="2:25" ht="13.5" customHeight="1" x14ac:dyDescent="0.4">
      <c r="B90" s="328" t="s">
        <v>131</v>
      </c>
      <c r="D90" s="203" t="s">
        <v>132</v>
      </c>
      <c r="E90" s="63" t="s">
        <v>125</v>
      </c>
      <c r="F90" t="s">
        <v>133</v>
      </c>
      <c r="I90" s="126">
        <f t="array" aca="1" ref="I90" ca="1">SUM(INDIRECT($E90&amp;"["&amp;$F90&amp;"]")*(INDIRECT($E90&amp;"[yr]")=I$5)*(INDIRECT($E90&amp;"[wk]")=I$6)/1000)</f>
        <v>155.12300000000002</v>
      </c>
      <c r="J90" s="126">
        <f t="array" aca="1" ref="J90" ca="1">SUM(INDIRECT($E90&amp;"["&amp;$F90&amp;"]")*(INDIRECT($E90&amp;"[yr]")=J$5)*(INDIRECT($E90&amp;"[wk]")=J$6)/1000)</f>
        <v>159.899</v>
      </c>
      <c r="K90" s="126">
        <f t="array" aca="1" ref="K90" ca="1">SUM(INDIRECT($E90&amp;"["&amp;$F90&amp;"]")*(INDIRECT($E90&amp;"[yr]")=K$5)*(INDIRECT($E90&amp;"[wk]")=K$6)/1000)</f>
        <v>163.41</v>
      </c>
      <c r="L90" s="126">
        <f t="array" aca="1" ref="L90" ca="1">SUM(INDIRECT($E90&amp;"["&amp;$F90&amp;"]")*(INDIRECT($E90&amp;"[yr]")=L$5)*(INDIRECT($E90&amp;"[wk]")=L$6)/1000)</f>
        <v>77.167000000000002</v>
      </c>
      <c r="M90" s="126">
        <f t="array" aca="1" ref="M90" ca="1">SUM(INDIRECT($E90&amp;"["&amp;$F90&amp;"]")*(INDIRECT($E90&amp;"[yr]")=M$5)*(INDIRECT($E90&amp;"[wk]")=M$6)/1000)</f>
        <v>137.66</v>
      </c>
      <c r="N90" s="126">
        <f t="array" aca="1" ref="N90" ca="1">SUM(INDIRECT($E90&amp;"["&amp;$F90&amp;"]")*(INDIRECT($E90&amp;"[yr]")=N$5)*(INDIRECT($E90&amp;"[wk]")=N$6)/1000)</f>
        <v>155.15400000000002</v>
      </c>
      <c r="O90" s="126">
        <f t="array" aca="1" ref="O90" ca="1">SUM(INDIRECT($E90&amp;"["&amp;$F90&amp;"]")*(INDIRECT($E90&amp;"[yr]")=O$5)*(INDIRECT($E90&amp;"[wk]")=O$6)/1000)</f>
        <v>159.21700000000001</v>
      </c>
      <c r="P90" s="147">
        <f t="array" aca="1" ref="P90" ca="1">SUM(INDIRECT($E90&amp;"["&amp;$F90&amp;"]")*(INDIRECT($E90&amp;"[yr]")=P$5)*(INDIRECT($E90&amp;"[wk]")=P$6)/1000)</f>
        <v>165.16</v>
      </c>
      <c r="Q90" s="126">
        <f t="array" aca="1" ref="Q90" ca="1">SUM(INDIRECT($E90&amp;"["&amp;$F90&amp;"]")*(INDIRECT($E90&amp;"[yr]")=Q$5)*(INDIRECT($E90&amp;"[wk]")=Q$6)/1000)</f>
        <v>141.68799999999999</v>
      </c>
      <c r="R90" s="126">
        <f t="array" aca="1" ref="R90" ca="1">SUM(INDIRECT($E90&amp;"["&amp;$F90&amp;"]")*(INDIRECT($E90&amp;"[yr]")=R$5)*(INDIRECT($E90&amp;"[wk]")=R$6)/1000)</f>
        <v>145.52199999999999</v>
      </c>
      <c r="S90" s="194">
        <f t="array" aca="1" ref="S90" ca="1">SUM(INDIRECT($E90&amp;"["&amp;$F90&amp;"]")*(INDIRECT($E90&amp;"[yr]")=S$5)*(INDIRECT($E90&amp;"[wk]")=S$6)/1000)</f>
        <v>135.07599999999999</v>
      </c>
      <c r="T90" s="194">
        <f t="array" aca="1" ref="T90" ca="1">SUM(INDIRECT($E90&amp;"["&amp;$F90&amp;"]")*(INDIRECT($E90&amp;"[yr]")=T$5)*(INDIRECT($E90&amp;"[wk]")=T$6)/1000)</f>
        <v>125.11199999999999</v>
      </c>
      <c r="U90" s="150">
        <f ca="1">SUM(Q90:T90)</f>
        <v>547.39799999999991</v>
      </c>
      <c r="V90" s="49">
        <f t="array" aca="1" ref="V90" ca="1">SUM(T90/S90)-1</f>
        <v>-7.3765879949065694E-2</v>
      </c>
      <c r="W90" s="127"/>
      <c r="X90" s="49"/>
    </row>
    <row r="91" spans="2:25" ht="13.5" customHeight="1" x14ac:dyDescent="0.4">
      <c r="B91" s="329"/>
      <c r="D91" s="204" t="s">
        <v>67</v>
      </c>
      <c r="I91" s="74">
        <f t="array" aca="1" ref="I91" ca="1">I90/SUM(INDIRECT($E90&amp;"["&amp;$F90&amp;"]")*(INDIRECT($E90&amp;"[yr]")=(I$5-1))*(INDIRECT($E90&amp;"[wk]")=I$6)/1000)-1</f>
        <v>-0.33616487715949783</v>
      </c>
      <c r="J91" s="74">
        <f t="array" aca="1" ref="J91" ca="1">J90/SUM(INDIRECT($E90&amp;"["&amp;$F90&amp;"]")*(INDIRECT($E90&amp;"[yr]")=(J$5-1))*(INDIRECT($E90&amp;"[wk]")=J$6)/1000)-1</f>
        <v>-0.20465669206740822</v>
      </c>
      <c r="K91" s="74">
        <f t="array" aca="1" ref="K91" ca="1">K90/SUM(INDIRECT($E90&amp;"["&amp;$F90&amp;"]")*(INDIRECT($E90&amp;"[yr]")=(K$5-1))*(INDIRECT($E90&amp;"[wk]")=K$6)/1000)-1</f>
        <v>9.2970369874924907E-2</v>
      </c>
      <c r="L91" s="74">
        <f t="array" aca="1" ref="L91" ca="1">L90/SUM(INDIRECT($E90&amp;"["&amp;$F90&amp;"]")*(INDIRECT($E90&amp;"[yr]")=(L$5-1))*(INDIRECT($E90&amp;"[wk]")=L$6)/1000)-1</f>
        <v>-0.3977491785750521</v>
      </c>
      <c r="M91" s="74">
        <f t="array" aca="1" ref="M91" ca="1">M90/SUM(INDIRECT($E90&amp;"["&amp;$F90&amp;"]")*(INDIRECT($E90&amp;"[yr]")=(M$5-1))*(INDIRECT($E90&amp;"[wk]")=M$6)/1000)-1</f>
        <v>-0.10792280674468935</v>
      </c>
      <c r="N91" s="74">
        <f t="array" aca="1" ref="N91" ca="1">N90/SUM(INDIRECT($E90&amp;"["&amp;$F90&amp;"]")*(INDIRECT($E90&amp;"[yr]")=(N$5-1))*(INDIRECT($E90&amp;"[wk]")=N$6)/1000)-1</f>
        <v>2.6021862332114454E-2</v>
      </c>
      <c r="O91" s="74">
        <f t="array" aca="1" ref="O91" ca="1">O90/SUM(INDIRECT($E90&amp;"["&amp;$F90&amp;"]")*(INDIRECT($E90&amp;"[yr]")=(O$5-1))*(INDIRECT($E90&amp;"[wk]")=O$6)/1000)-1</f>
        <v>1.5919909138474519E-2</v>
      </c>
      <c r="P91" s="91">
        <f t="array" aca="1" ref="P91" ca="1">P90/SUM(INDIRECT($E90&amp;"["&amp;$F90&amp;"]")*(INDIRECT($E90&amp;"[yr]")=(P$5-1))*(INDIRECT($E90&amp;"[wk]")=P$6)/1000)-1</f>
        <v>-3.8621612968945618E-2</v>
      </c>
      <c r="Q91" s="74">
        <f t="array" aca="1" ref="Q91" ca="1">Q90/SUM(INDIRECT($E90&amp;"["&amp;$F90&amp;"]")*(INDIRECT($E90&amp;"[yr]")=(Q$5-1))*(INDIRECT($E90&amp;"[wk]")=Q$6)/1000)-1</f>
        <v>-0.23976112419717455</v>
      </c>
      <c r="R91" s="74">
        <f t="array" aca="1" ref="R91" ca="1">R90/SUM(INDIRECT($E90&amp;"["&amp;$F90&amp;"]")*(INDIRECT($E90&amp;"[yr]")=(R$5-1))*(INDIRECT($E90&amp;"[wk]")=R$6)/1000)-1</f>
        <v>-0.32942569731488269</v>
      </c>
      <c r="S91" s="74">
        <f t="array" aca="1" ref="S91" ca="1">S90/SUM(INDIRECT($E90&amp;"["&amp;$F90&amp;"]")*(INDIRECT($E90&amp;"[yr]")=(S$5-1))*(INDIRECT($E90&amp;"[wk]")=S$6)/1000)-1</f>
        <v>-0.27710791790425726</v>
      </c>
      <c r="T91" s="76">
        <f t="array" aca="1" ref="T91" ca="1">T90/SUM(INDIRECT($E90&amp;"["&amp;$F90&amp;"]")*(INDIRECT($E90&amp;"[yr]")=(T$5-1))*(INDIRECT($E90&amp;"[wk]")=T$6)/1000)-1</f>
        <v>-0.35343972217628583</v>
      </c>
      <c r="U91" s="53">
        <f t="array" aca="1" ref="U91" ca="1">SUMPRODUCT(Q91:T91,Q90:T90)/SUM(Q90:T90)</f>
        <v>-0.29879564801051622</v>
      </c>
      <c r="V91" s="91"/>
      <c r="W91" s="80"/>
      <c r="X91" s="56"/>
    </row>
    <row r="92" spans="2:25" ht="3" customHeight="1" x14ac:dyDescent="0.4">
      <c r="B92" s="329"/>
      <c r="D92" s="61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61"/>
      <c r="Q92" s="57"/>
      <c r="R92" s="57"/>
      <c r="S92" s="57"/>
      <c r="T92" s="59"/>
      <c r="U92" s="60"/>
      <c r="V92" s="61"/>
      <c r="W92" s="62"/>
      <c r="X92" s="61"/>
    </row>
    <row r="93" spans="2:25" ht="13.5" customHeight="1" x14ac:dyDescent="0.4">
      <c r="B93" s="329"/>
      <c r="D93" s="201" t="s">
        <v>426</v>
      </c>
      <c r="E93" s="63" t="s">
        <v>125</v>
      </c>
      <c r="F93" s="63" t="s">
        <v>134</v>
      </c>
      <c r="G93" s="63"/>
      <c r="H93" s="63"/>
      <c r="I93" s="128">
        <f t="array" aca="1" ref="I93" ca="1">SUM(INDIRECT($E90&amp;"["&amp;$F90&amp;"]")*(INDIRECT($E90&amp;"[yr]")=I$5)*(INDIRECT($E90&amp;"[wk]")=I$6))/SUM(INDIRECT($E93&amp;"["&amp;$F93&amp;"]")*(INDIRECT($E93&amp;"[yr]")=I$5)*(INDIRECT($E93&amp;"[wk]")=I$6))</f>
        <v>83.759719222462209</v>
      </c>
      <c r="J93" s="128">
        <f t="array" aca="1" ref="J93" ca="1">SUM(INDIRECT($E90&amp;"["&amp;$F90&amp;"]")*(INDIRECT($E90&amp;"[yr]")=J$5)*(INDIRECT($E90&amp;"[wk]")=J$6))/SUM(INDIRECT($E93&amp;"["&amp;$F93&amp;"]")*(INDIRECT($E93&amp;"[yr]")=J$5)*(INDIRECT($E93&amp;"[wk]")=J$6))</f>
        <v>79.240299321076364</v>
      </c>
      <c r="K93" s="128">
        <f t="array" aca="1" ref="K93" ca="1">SUM(INDIRECT($E90&amp;"["&amp;$F90&amp;"]")*(INDIRECT($E90&amp;"[yr]")=K$5)*(INDIRECT($E90&amp;"[wk]")=K$6))/SUM(INDIRECT($E93&amp;"["&amp;$F93&amp;"]")*(INDIRECT($E93&amp;"[yr]")=K$5)*(INDIRECT($E93&amp;"[wk]")=K$6))</f>
        <v>92.400339270568281</v>
      </c>
      <c r="L93" s="128">
        <f t="array" aca="1" ref="L93" ca="1">SUM(INDIRECT($E90&amp;"["&amp;$F90&amp;"]")*(INDIRECT($E90&amp;"[yr]")=L$5)*(INDIRECT($E90&amp;"[wk]")=L$6))/SUM(INDIRECT($E93&amp;"["&amp;$F93&amp;"]")*(INDIRECT($E93&amp;"[yr]")=L$5)*(INDIRECT($E93&amp;"[wk]")=L$6))</f>
        <v>76.607763327707744</v>
      </c>
      <c r="M93" s="128">
        <f t="array" aca="1" ref="M93" ca="1">SUM(INDIRECT($E90&amp;"["&amp;$F90&amp;"]")*(INDIRECT($E90&amp;"[yr]")=M$5)*(INDIRECT($E90&amp;"[wk]")=M$6))/SUM(INDIRECT($E93&amp;"["&amp;$F93&amp;"]")*(INDIRECT($E93&amp;"[yr]")=M$5)*(INDIRECT($E93&amp;"[wk]")=M$6))</f>
        <v>82.763181626886308</v>
      </c>
      <c r="N93" s="128">
        <f t="array" aca="1" ref="N93" ca="1">SUM(INDIRECT($E90&amp;"["&amp;$F90&amp;"]")*(INDIRECT($E90&amp;"[yr]")=N$5)*(INDIRECT($E90&amp;"[wk]")=N$6))/SUM(INDIRECT($E93&amp;"["&amp;$F93&amp;"]")*(INDIRECT($E93&amp;"[yr]")=N$5)*(INDIRECT($E93&amp;"[wk]")=N$6))</f>
        <v>97.913669064748191</v>
      </c>
      <c r="O93" s="128">
        <f t="array" aca="1" ref="O93" ca="1">SUM(INDIRECT($E90&amp;"["&amp;$F90&amp;"]")*(INDIRECT($E90&amp;"[yr]")=O$5)*(INDIRECT($E90&amp;"[wk]")=O$6))/SUM(INDIRECT($E93&amp;"["&amp;$F93&amp;"]")*(INDIRECT($E93&amp;"[yr]")=O$5)*(INDIRECT($E93&amp;"[wk]")=O$6))</f>
        <v>97.79914004914005</v>
      </c>
      <c r="P93" s="154">
        <f t="array" aca="1" ref="P93" ca="1">SUM(INDIRECT($E90&amp;"["&amp;$F90&amp;"]")*(INDIRECT($E90&amp;"[yr]")=P$5)*(INDIRECT($E90&amp;"[wk]")=P$6))/SUM(INDIRECT($E93&amp;"["&amp;$F93&amp;"]")*(INDIRECT($E93&amp;"[yr]")=P$5)*(INDIRECT($E93&amp;"[wk]")=P$6))</f>
        <v>96.562207670720312</v>
      </c>
      <c r="Q93" s="128">
        <f t="array" aca="1" ref="Q93" ca="1">SUM(INDIRECT($E90&amp;"["&amp;$F90&amp;"]")*(INDIRECT($E90&amp;"[yr]")=Q$5)*(INDIRECT($E90&amp;"[wk]")=Q$6))/SUM(INDIRECT($E93&amp;"["&amp;$F93&amp;"]")*(INDIRECT($E93&amp;"[yr]")=Q$5)*(INDIRECT($E93&amp;"[wk]")=Q$6))</f>
        <v>90.936396893652528</v>
      </c>
      <c r="R93" s="128">
        <f t="array" aca="1" ref="R93" ca="1">SUM(INDIRECT($E90&amp;"["&amp;$F90&amp;"]")*(INDIRECT($E90&amp;"[yr]")=R$5)*(INDIRECT($E90&amp;"[wk]")=R$6))/SUM(INDIRECT($E93&amp;"["&amp;$F93&amp;"]")*(INDIRECT($E93&amp;"[yr]")=R$5)*(INDIRECT($E93&amp;"[wk]")=R$6))</f>
        <v>95.149731921014777</v>
      </c>
      <c r="S93" s="128">
        <f t="array" aca="1" ref="S93" ca="1">SUM(INDIRECT($E90&amp;"["&amp;$F90&amp;"]")*(INDIRECT($E90&amp;"[yr]")=S$5)*(INDIRECT($E90&amp;"[wk]")=S$6))/SUM(INDIRECT($E93&amp;"["&amp;$F93&amp;"]")*(INDIRECT($E93&amp;"[yr]")=S$5)*(INDIRECT($E93&amp;"[wk]")=S$6))</f>
        <v>89.117899320446</v>
      </c>
      <c r="T93" s="129">
        <f t="array" aca="1" ref="T93" ca="1">SUM(INDIRECT($E90&amp;"["&amp;$F90&amp;"]")*(INDIRECT($E90&amp;"[yr]")=T$5)*(INDIRECT($E90&amp;"[wk]")=T$6))/SUM(INDIRECT($E93&amp;"["&amp;$F93&amp;"]")*(INDIRECT($E93&amp;"[yr]")=T$5)*(INDIRECT($E93&amp;"[wk]")=T$6))</f>
        <v>97.038703172264022</v>
      </c>
      <c r="U93" s="130">
        <f ca="1">AVERAGE(Q93:T93)</f>
        <v>93.060682826844328</v>
      </c>
      <c r="V93" s="47">
        <f t="array" aca="1" ref="V93" ca="1">SUM(T93/S93)-1</f>
        <v>8.8880055659040558E-2</v>
      </c>
      <c r="W93" s="131">
        <v>120</v>
      </c>
      <c r="X93" s="49"/>
    </row>
    <row r="94" spans="2:25" ht="13.5" customHeight="1" x14ac:dyDescent="0.4">
      <c r="B94" s="329"/>
      <c r="D94" s="204" t="s">
        <v>67</v>
      </c>
      <c r="I94" s="74">
        <f t="array" aca="1" ref="I94" ca="1">I93/(SUM(INDIRECT($E90&amp;"["&amp;$F90&amp;"]")*(INDIRECT($E90&amp;"[yr]")=(I$5-1))*(INDIRECT($E90&amp;"[wk]")=I$6))/SUM(INDIRECT($E93&amp;"["&amp;$F93&amp;"]")*(INDIRECT($E93&amp;"[yr]")=(I$5-1))*(INDIRECT($E93&amp;"[wk]")=I$6)))-1</f>
        <v>-0.1832892400690691</v>
      </c>
      <c r="J94" s="74">
        <f t="array" aca="1" ref="J94" ca="1">J93/(SUM(INDIRECT($E90&amp;"["&amp;$F90&amp;"]")*(INDIRECT($E90&amp;"[yr]")=(J$5-1))*(INDIRECT($E90&amp;"[wk]")=J$6))/SUM(INDIRECT($E93&amp;"["&amp;$F93&amp;"]")*(INDIRECT($E93&amp;"[yr]")=(J$5-1))*(INDIRECT($E93&amp;"[wk]")=J$6)))-1</f>
        <v>-9.3389822634150521E-2</v>
      </c>
      <c r="K94" s="74">
        <f t="array" aca="1" ref="K94" ca="1">K93/(SUM(INDIRECT($E90&amp;"["&amp;$F90&amp;"]")*(INDIRECT($E90&amp;"[yr]")=(K$5-1))*(INDIRECT($E90&amp;"[wk]")=K$6))/SUM(INDIRECT($E93&amp;"["&amp;$F93&amp;"]")*(INDIRECT($E93&amp;"[yr]")=(K$5-1))*(INDIRECT($E93&amp;"[wk]")=K$6)))-1</f>
        <v>0.14383350894232994</v>
      </c>
      <c r="L94" s="74">
        <f t="array" aca="1" ref="L94" ca="1">L93/(SUM(INDIRECT($E90&amp;"["&amp;$F90&amp;"]")*(INDIRECT($E90&amp;"[yr]")=(L$5-1))*(INDIRECT($E90&amp;"[wk]")=L$6))/SUM(INDIRECT($E93&amp;"["&amp;$F93&amp;"]")*(INDIRECT($E93&amp;"[yr]")=(L$5-1))*(INDIRECT($E93&amp;"[wk]")=L$6)))-1</f>
        <v>-0.15195814046545586</v>
      </c>
      <c r="M94" s="74">
        <f t="array" aca="1" ref="M94" ca="1">M93/(SUM(INDIRECT($E90&amp;"["&amp;$F90&amp;"]")*(INDIRECT($E90&amp;"[yr]")=(M$5-1))*(INDIRECT($E90&amp;"[wk]")=M$6))/SUM(INDIRECT($E93&amp;"["&amp;$F93&amp;"]")*(INDIRECT($E93&amp;"[yr]")=(M$5-1))*(INDIRECT($E93&amp;"[wk]")=M$6)))-1</f>
        <v>-8.3466172335717959E-2</v>
      </c>
      <c r="N94" s="74">
        <f t="array" aca="1" ref="N94" ca="1">N93/(SUM(INDIRECT($E90&amp;"["&amp;$F90&amp;"]")*(INDIRECT($E90&amp;"[yr]")=(N$5-1))*(INDIRECT($E90&amp;"[wk]")=N$6))/SUM(INDIRECT($E93&amp;"["&amp;$F93&amp;"]")*(INDIRECT($E93&amp;"[yr]")=(N$5-1))*(INDIRECT($E93&amp;"[wk]")=N$6)))-1</f>
        <v>6.3058622729310621E-2</v>
      </c>
      <c r="O94" s="74">
        <f t="array" aca="1" ref="O94" ca="1">O93/(SUM(INDIRECT($E90&amp;"["&amp;$F90&amp;"]")*(INDIRECT($E90&amp;"[yr]")=(O$5-1))*(INDIRECT($E90&amp;"[wk]")=O$6))/SUM(INDIRECT($E93&amp;"["&amp;$F93&amp;"]")*(INDIRECT($E93&amp;"[yr]")=(O$5-1))*(INDIRECT($E93&amp;"[wk]")=O$6)))-1</f>
        <v>2.6216394704067003E-2</v>
      </c>
      <c r="P94" s="54">
        <f t="array" aca="1" ref="P94" ca="1">P93/(SUM(INDIRECT($E90&amp;"["&amp;$F90&amp;"]")*(INDIRECT($E90&amp;"[yr]")=(P$5-1))*(INDIRECT($E90&amp;"[wk]")=P$6))/SUM(INDIRECT($E93&amp;"["&amp;$F93&amp;"]")*(INDIRECT($E93&amp;"[yr]")=(P$5-1))*(INDIRECT($E93&amp;"[wk]")=P$6)))-1</f>
        <v>0.13404878021156197</v>
      </c>
      <c r="Q94" s="74">
        <f t="array" aca="1" ref="Q94" ca="1">Q93/(SUM(INDIRECT($E90&amp;"["&amp;$F90&amp;"]")*(INDIRECT($E90&amp;"[yr]")=(Q$5-1))*(INDIRECT($E90&amp;"[wk]")=Q$6))/SUM(INDIRECT($E93&amp;"["&amp;$F93&amp;"]")*(INDIRECT($E93&amp;"[yr]")=(Q$5-1))*(INDIRECT($E93&amp;"[wk]")=Q$6)))-1</f>
        <v>3.4704267865290905E-3</v>
      </c>
      <c r="R94" s="74">
        <f t="array" aca="1" ref="R94" ca="1">R93/(SUM(INDIRECT($E90&amp;"["&amp;$F90&amp;"]")*(INDIRECT($E90&amp;"[yr]")=(R$5-1))*(INDIRECT($E90&amp;"[wk]")=R$6))/SUM(INDIRECT($E93&amp;"["&amp;$F93&amp;"]")*(INDIRECT($E93&amp;"[yr]")=(R$5-1))*(INDIRECT($E93&amp;"[wk]")=R$6)))-1</f>
        <v>-8.4679668964658728E-2</v>
      </c>
      <c r="S94" s="74">
        <f t="array" aca="1" ref="S94" ca="1">S93/(SUM(INDIRECT($E90&amp;"["&amp;$F90&amp;"]")*(INDIRECT($E90&amp;"[yr]")=(S$5-1))*(INDIRECT($E90&amp;"[wk]")=S$6))/SUM(INDIRECT($E93&amp;"["&amp;$F93&amp;"]")*(INDIRECT($E93&amp;"[yr]")=(S$5-1))*(INDIRECT($E93&amp;"[wk]")=S$6)))-1</f>
        <v>-7.7176295014150242E-2</v>
      </c>
      <c r="T94" s="76">
        <f t="array" aca="1" ref="T94" ca="1">T93/(SUM(INDIRECT($E90&amp;"["&amp;$F90&amp;"]")*(INDIRECT($E90&amp;"[yr]")=(T$5-1))*(INDIRECT($E90&amp;"[wk]")=T$6))/SUM(INDIRECT($E93&amp;"["&amp;$F93&amp;"]")*(INDIRECT($E93&amp;"[yr]")=(T$5-1))*(INDIRECT($E93&amp;"[wk]")=T$6)))-1</f>
        <v>7.9338932723167943E-2</v>
      </c>
      <c r="U94" s="53">
        <f t="array" aca="1" ref="U94" ca="1">SUMPRODUCT(Q94:T94,Q93:T93)/SUM(Q93:T93)</f>
        <v>-1.8591368636426579E-2</v>
      </c>
      <c r="V94" s="91"/>
      <c r="W94" s="80"/>
      <c r="X94" s="56"/>
    </row>
    <row r="95" spans="2:25" ht="3" customHeight="1" x14ac:dyDescent="0.4">
      <c r="B95" s="329"/>
      <c r="D95" s="61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61"/>
      <c r="Q95" s="57"/>
      <c r="R95" s="57"/>
      <c r="S95" s="57"/>
      <c r="T95" s="59"/>
      <c r="U95" s="60"/>
      <c r="V95" s="61"/>
      <c r="W95" s="62"/>
      <c r="X95" s="61"/>
    </row>
    <row r="96" spans="2:25" ht="13.5" customHeight="1" x14ac:dyDescent="0.4">
      <c r="B96" s="329"/>
      <c r="D96" s="201" t="s">
        <v>135</v>
      </c>
      <c r="E96" s="63" t="s">
        <v>192</v>
      </c>
      <c r="F96" s="63" t="s">
        <v>143</v>
      </c>
      <c r="H96" s="63"/>
      <c r="I96" s="128">
        <f t="array" aca="1" ref="I96" ca="1">SUM(INDIRECT($E96&amp;"["&amp;$F96&amp;"]")*(INDIRECT($E96&amp;"[yr]")=I$5)*(INDIRECT($E96&amp;"[wk]")=I$6)*(IF($G$2=0,1,(INDIRECT($E96&amp;"[siteflag]")=$G$2))))/1000</f>
        <v>42.853999999999999</v>
      </c>
      <c r="J96" s="128">
        <f t="array" aca="1" ref="J96" ca="1">SUM(INDIRECT($E96&amp;"["&amp;$F96&amp;"]")*(INDIRECT($E96&amp;"[yr]")=J$5)*(INDIRECT($E96&amp;"[wk]")=J$6)*(IF($G$2=0,1,(INDIRECT($E96&amp;"[siteflag]")=$G$2))))/1000</f>
        <v>32.279000000000003</v>
      </c>
      <c r="K96" s="128">
        <f t="array" aca="1" ref="K96" ca="1">SUM(INDIRECT($E96&amp;"["&amp;$F96&amp;"]")*(INDIRECT($E96&amp;"[yr]")=K$5)*(INDIRECT($E96&amp;"[wk]")=K$6)*(IF($G$2=0,1,(INDIRECT($E96&amp;"[siteflag]")=$G$2))))/1000</f>
        <v>26.672000000000001</v>
      </c>
      <c r="L96" s="128">
        <f t="array" aca="1" ref="L96" ca="1">SUM(INDIRECT($E96&amp;"["&amp;$F96&amp;"]")*(INDIRECT($E96&amp;"[yr]")=L$5)*(INDIRECT($E96&amp;"[wk]")=L$6)*(IF($G$2=0,1,(INDIRECT($E96&amp;"[siteflag]")=$G$2))))/1000</f>
        <v>14.413</v>
      </c>
      <c r="M96" s="128">
        <f t="array" aca="1" ref="M96" ca="1">SUM(INDIRECT($E96&amp;"["&amp;$F96&amp;"]")*(INDIRECT($E96&amp;"[yr]")=M$5)*(INDIRECT($E96&amp;"[wk]")=M$6)*(IF($G$2=0,1,(INDIRECT($E96&amp;"[siteflag]")=$G$2))))/1000</f>
        <v>25.079000000000001</v>
      </c>
      <c r="N96" s="128">
        <f t="array" aca="1" ref="N96" ca="1">SUM(INDIRECT($E96&amp;"["&amp;$F96&amp;"]")*(INDIRECT($E96&amp;"[yr]")=N$5)*(INDIRECT($E96&amp;"[wk]")=N$6)*(IF($G$2=0,1,(INDIRECT($E96&amp;"[siteflag]")=$G$2))))/1000</f>
        <v>24.844000000000001</v>
      </c>
      <c r="O96" s="128">
        <f t="array" aca="1" ref="O96" ca="1">SUM(INDIRECT($E96&amp;"["&amp;$F96&amp;"]")*(INDIRECT($E96&amp;"[yr]")=O$5)*(INDIRECT($E96&amp;"[wk]")=O$6)*(IF($G$2=0,1,(INDIRECT($E96&amp;"[siteflag]")=$G$2))))/1000</f>
        <v>43.531999999999996</v>
      </c>
      <c r="P96" s="154">
        <f t="array" aca="1" ref="P96" ca="1">SUM(INDIRECT($E96&amp;"["&amp;$F96&amp;"]")*(INDIRECT($E96&amp;"[yr]")=P$5)*(INDIRECT($E96&amp;"[wk]")=P$6)*(IF($G$2=0,1,(INDIRECT($E96&amp;"[siteflag]")=$G$2))))/1000</f>
        <v>36.744</v>
      </c>
      <c r="Q96" s="128">
        <f t="array" aca="1" ref="Q96" ca="1">SUM(INDIRECT($E96&amp;"["&amp;$F96&amp;"]")*(INDIRECT($E96&amp;"[yr]")=Q$5)*(INDIRECT($E96&amp;"[wk]")=Q$6)*(IF($G$2=0,1,(INDIRECT($E96&amp;"[siteflag]")=$G$2))))/1000</f>
        <v>19.986000000000001</v>
      </c>
      <c r="R96" s="128">
        <f t="array" aca="1" ref="R96" ca="1">SUM(INDIRECT($E96&amp;"["&amp;$F96&amp;"]")*(INDIRECT($E96&amp;"[yr]")=R$5)*(INDIRECT($E96&amp;"[wk]")=R$6)*(IF($G$2=0,1,(INDIRECT($E96&amp;"[siteflag]")=$G$2))))/1000</f>
        <v>24.457000000000001</v>
      </c>
      <c r="S96" s="128">
        <f t="array" aca="1" ref="S96" ca="1">SUM(INDIRECT($E96&amp;"["&amp;$F96&amp;"]")*(INDIRECT($E96&amp;"[yr]")=S$5)*(INDIRECT($E96&amp;"[wk]")=S$6)*(IF($G$2=0,1,(INDIRECT($E96&amp;"[siteflag]")=$G$2))))/1000</f>
        <v>13.56</v>
      </c>
      <c r="T96" s="166">
        <f t="array" aca="1" ref="T96" ca="1">SUM(INDIRECT($E96&amp;"["&amp;$F96&amp;"]")*(INDIRECT($E96&amp;"[yr]")=T$5)*(INDIRECT($E96&amp;"[wk]")=T$6)*(IF($H$2=0,1,(INDIRECT($E96&amp;"[siteflag]")=$H$2))))/1000</f>
        <v>19.524999999999999</v>
      </c>
      <c r="U96" s="167">
        <f ca="1">AVERAGE(Q96:T96)</f>
        <v>19.381999999999998</v>
      </c>
      <c r="V96" s="47">
        <f t="array" aca="1" ref="V96" ca="1">SUM(T96/S96)-1</f>
        <v>0.43989675516224169</v>
      </c>
      <c r="W96" s="131"/>
      <c r="X96" s="49"/>
    </row>
    <row r="97" spans="2:24" ht="13.5" customHeight="1" x14ac:dyDescent="0.4">
      <c r="B97" s="329"/>
      <c r="D97" s="211" t="s">
        <v>136</v>
      </c>
      <c r="E97" s="40"/>
      <c r="F97" s="40" t="s">
        <v>350</v>
      </c>
      <c r="G97" s="40"/>
      <c r="H97" s="40"/>
      <c r="I97" s="168">
        <f t="array" aca="1" ref="I97" ca="1">I96*1000/SUM(INDIRECT($E96&amp;"["&amp;$F97&amp;"]")*(INDIRECT($E96&amp;"[yr]")=I$5)*(INDIRECT($E96&amp;"[wk]")=I$6)*(IF($G$2=0,1,(INDIRECT($E96&amp;"[siteflag]")=$G$2))))</f>
        <v>1.4029332809533164</v>
      </c>
      <c r="J97" s="168">
        <f t="array" aca="1" ref="J97" ca="1">J96*1000/SUM(INDIRECT($E96&amp;"["&amp;$F97&amp;"]")*(INDIRECT($E96&amp;"[yr]")=J$5)*(INDIRECT($E96&amp;"[wk]")=J$6)*(IF($G$2=0,1,(INDIRECT($E96&amp;"[siteflag]")=$G$2))))</f>
        <v>1.1090153233010378</v>
      </c>
      <c r="K97" s="168">
        <f t="array" aca="1" ref="K97" ca="1">K96*1000/SUM(INDIRECT($E96&amp;"["&amp;$F97&amp;"]")*(INDIRECT($E96&amp;"[yr]")=K$5)*(INDIRECT($E96&amp;"[wk]")=K$6)*(IF($G$2=0,1,(INDIRECT($E96&amp;"[siteflag]")=$G$2))))</f>
        <v>0.78001988652980059</v>
      </c>
      <c r="L97" s="168">
        <f t="array" aca="1" ref="L97" ca="1">L96*1000/SUM(INDIRECT($E96&amp;"["&amp;$F97&amp;"]")*(INDIRECT($E96&amp;"[yr]")=L$5)*(INDIRECT($E96&amp;"[wk]")=L$6)*(IF($G$2=0,1,(INDIRECT($E96&amp;"[siteflag]")=$G$2))))</f>
        <v>0.71045497116379952</v>
      </c>
      <c r="M97" s="168">
        <f t="array" aca="1" ref="M97" ca="1">M96*1000/SUM(INDIRECT($E96&amp;"["&amp;$F97&amp;"]")*(INDIRECT($E96&amp;"[yr]")=M$5)*(INDIRECT($E96&amp;"[wk]")=M$6)*(IF($G$2=0,1,(INDIRECT($E96&amp;"[siteflag]")=$G$2))))</f>
        <v>1.1132368607954546</v>
      </c>
      <c r="N97" s="168">
        <f t="array" aca="1" ref="N97" ca="1">N96*1000/SUM(INDIRECT($E96&amp;"["&amp;$F97&amp;"]")*(INDIRECT($E96&amp;"[yr]")=N$5)*(INDIRECT($E96&amp;"[wk]")=N$6)*(IF($G$2=0,1,(INDIRECT($E96&amp;"[siteflag]")=$G$2))))</f>
        <v>0.77047604279733295</v>
      </c>
      <c r="O97" s="168">
        <f t="array" aca="1" ref="O97" ca="1">O96*1000/SUM(INDIRECT($E96&amp;"["&amp;$F97&amp;"]")*(INDIRECT($E96&amp;"[yr]")=O$5)*(INDIRECT($E96&amp;"[wk]")=O$6)*(IF($G$2=0,1,(INDIRECT($E96&amp;"[siteflag]")=$G$2))))</f>
        <v>1.7146008113750049</v>
      </c>
      <c r="P97" s="224">
        <f t="array" aca="1" ref="P97" ca="1">P96*1000/SUM(INDIRECT($E96&amp;"["&amp;$F97&amp;"]")*(INDIRECT($E96&amp;"[yr]")=P$5)*(INDIRECT($E96&amp;"[wk]")=P$6)*(IF($G$2=0,1,(INDIRECT($E96&amp;"[siteflag]")=$G$2))))</f>
        <v>1.2246367151046527</v>
      </c>
      <c r="Q97" s="168">
        <f t="array" aca="1" ref="Q97" ca="1">Q96*1000/SUM(INDIRECT($E96&amp;"["&amp;$F97&amp;"]")*(INDIRECT($E96&amp;"[yr]")=Q$5)*(INDIRECT($E96&amp;"[wk]")=Q$6)*(IF($G$2=0,1,(INDIRECT($E96&amp;"[siteflag]")=$G$2))))</f>
        <v>0.65849560146288422</v>
      </c>
      <c r="R97" s="168">
        <f t="array" aca="1" ref="R97" ca="1">R96*1000/SUM(INDIRECT($E96&amp;"["&amp;$F97&amp;"]")*(INDIRECT($E96&amp;"[yr]")=R$5)*(INDIRECT($E96&amp;"[wk]")=R$6)*(IF($G$2=0,1,(INDIRECT($E96&amp;"[siteflag]")=$G$2))))</f>
        <v>0.84415987850338259</v>
      </c>
      <c r="S97" s="168">
        <f t="array" aca="1" ref="S97" ca="1">S96*1000/SUM(INDIRECT($E96&amp;"["&amp;$F97&amp;"]")*(INDIRECT($E96&amp;"[yr]")=S$5)*(INDIRECT($E96&amp;"[wk]")=S$6)*(IF($G$2=0,1,(INDIRECT($E96&amp;"[siteflag]")=$G$2))))</f>
        <v>0.48419925013390464</v>
      </c>
      <c r="T97" s="169">
        <f t="array" aca="1" ref="T97" ca="1">T96*1000/SUM(INDIRECT($E96&amp;"["&amp;$F97&amp;"]")*(INDIRECT($E96&amp;"[yr]")=T$5)*(INDIRECT($E96&amp;"[wk]")=T$6)*(IF($G$2=0,1,(INDIRECT($E96&amp;"[siteflag]")=$G$2))))</f>
        <v>0.56630314983467722</v>
      </c>
      <c r="U97" s="170">
        <f ca="1">AVERAGE(Q97:T97)</f>
        <v>0.63828946998371217</v>
      </c>
      <c r="V97" s="83">
        <f t="array" aca="1" ref="V97" ca="1">SUM(T97/S97)-1</f>
        <v>0.16956635037759127</v>
      </c>
      <c r="W97" s="171"/>
      <c r="X97" s="56"/>
    </row>
    <row r="98" spans="2:24" ht="3" customHeight="1" x14ac:dyDescent="0.4">
      <c r="B98" s="329"/>
      <c r="D98" s="61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61"/>
      <c r="Q98" s="57"/>
      <c r="R98" s="57"/>
      <c r="S98" s="57"/>
      <c r="T98" s="59"/>
      <c r="U98" s="60"/>
      <c r="V98" s="61"/>
      <c r="W98" s="62"/>
      <c r="X98" s="61"/>
    </row>
    <row r="99" spans="2:24" ht="13.5" customHeight="1" x14ac:dyDescent="0.4">
      <c r="B99" s="329"/>
      <c r="D99" s="203" t="s">
        <v>427</v>
      </c>
      <c r="E99" s="63" t="s">
        <v>125</v>
      </c>
      <c r="I99" s="124">
        <f t="array" aca="1" ref="I99" ca="1">SUM(INDIRECT($E99&amp;"["&amp;$E100&amp;"]")*(INDIRECT($E99&amp;"[yr]")=I$5)*(INDIRECT($E99&amp;"[wk]")=I$6))/SUM(INDIRECT($E99&amp;"["&amp;$F100&amp;"]")*(INDIRECT($E99&amp;"[yr]")=I$5)*(INDIRECT($E99&amp;"[wk]")=I$6))</f>
        <v>130.26992722964968</v>
      </c>
      <c r="J99" s="124">
        <f t="array" aca="1" ref="J99" ca="1">SUM(INDIRECT($E99&amp;"["&amp;$E100&amp;"]")*(INDIRECT($E99&amp;"[yr]")=J$5)*(INDIRECT($E99&amp;"[wk]")=J$6))/SUM(INDIRECT($E99&amp;"["&amp;$F100&amp;"]")*(INDIRECT($E99&amp;"[yr]")=J$5)*(INDIRECT($E99&amp;"[wk]")=J$6))</f>
        <v>117.89756420634338</v>
      </c>
      <c r="K99" s="124">
        <f t="array" aca="1" ref="K99" ca="1">SUM(INDIRECT($E99&amp;"["&amp;$E100&amp;"]")*(INDIRECT($E99&amp;"[yr]")=K$5)*(INDIRECT($E99&amp;"[wk]")=K$6))/SUM(INDIRECT($E99&amp;"["&amp;$F100&amp;"]")*(INDIRECT($E99&amp;"[yr]")=K$5)*(INDIRECT($E99&amp;"[wk]")=K$6))</f>
        <v>123.21154436598094</v>
      </c>
      <c r="L99" s="124">
        <f t="array" aca="1" ref="L99" ca="1">SUM(INDIRECT($E99&amp;"["&amp;$E100&amp;"]")*(INDIRECT($E99&amp;"[yr]")=L$5)*(INDIRECT($E99&amp;"[wk]")=L$6))/SUM(INDIRECT($E99&amp;"["&amp;$F100&amp;"]")*(INDIRECT($E99&amp;"[yr]")=L$5)*(INDIRECT($E99&amp;"[wk]")=L$6))</f>
        <v>83.476526891522326</v>
      </c>
      <c r="M99" s="124">
        <f t="array" aca="1" ref="M99" ca="1">SUM(INDIRECT($E99&amp;"["&amp;$E100&amp;"]")*(INDIRECT($E99&amp;"[yr]")=M$5)*(INDIRECT($E99&amp;"[wk]")=M$6))/SUM(INDIRECT($E99&amp;"["&amp;$F100&amp;"]")*(INDIRECT($E99&amp;"[yr]")=M$5)*(INDIRECT($E99&amp;"[wk]")=M$6))</f>
        <v>115.72361723786901</v>
      </c>
      <c r="N99" s="124">
        <f t="array" aca="1" ref="N99" ca="1">SUM(INDIRECT($E99&amp;"["&amp;$E100&amp;"]")*(INDIRECT($E99&amp;"[yr]")=N$5)*(INDIRECT($E99&amp;"[wk]")=N$6))/SUM(INDIRECT($E99&amp;"["&amp;$F100&amp;"]")*(INDIRECT($E99&amp;"[yr]")=N$5)*(INDIRECT($E99&amp;"[wk]")=N$6))</f>
        <v>118.46653510935701</v>
      </c>
      <c r="O99" s="124">
        <f t="array" aca="1" ref="O99" ca="1">SUM(INDIRECT($E99&amp;"["&amp;$E100&amp;"]")*(INDIRECT($E99&amp;"[yr]")=O$5)*(INDIRECT($E99&amp;"[wk]")=O$6))/SUM(INDIRECT($E99&amp;"["&amp;$F100&amp;"]")*(INDIRECT($E99&amp;"[yr]")=O$5)*(INDIRECT($E99&amp;"[wk]")=O$6))</f>
        <v>133.86206307153233</v>
      </c>
      <c r="P99" s="195">
        <f t="array" aca="1" ref="P99" ca="1">SUM(INDIRECT($E99&amp;"["&amp;$E100&amp;"]")*(INDIRECT($E99&amp;"[yr]")=P$5)*(INDIRECT($E99&amp;"[wk]")=P$6))/SUM(INDIRECT($E99&amp;"["&amp;$F100&amp;"]")*(INDIRECT($E99&amp;"[yr]")=P$5)*(INDIRECT($E99&amp;"[wk]")=P$6))</f>
        <v>137.88709116214335</v>
      </c>
      <c r="Q99" s="124">
        <f t="array" aca="1" ref="Q99" ca="1">SUM(INDIRECT($E99&amp;"["&amp;$E100&amp;"]")*(INDIRECT($E99&amp;"[yr]")=Q$5)*(INDIRECT($E99&amp;"[wk]")=Q$6))/SUM(INDIRECT($E99&amp;"["&amp;$F100&amp;"]")*(INDIRECT($E99&amp;"[yr]")=Q$5)*(INDIRECT($E99&amp;"[wk]")=Q$6))</f>
        <v>125.97592883307171</v>
      </c>
      <c r="R99" s="124">
        <f t="array" aca="1" ref="R99" ca="1">SUM(INDIRECT($E99&amp;"["&amp;$E100&amp;"]")*(INDIRECT($E99&amp;"[yr]")=R$5)*(INDIRECT($E99&amp;"[wk]")=R$6))/SUM(INDIRECT($E99&amp;"["&amp;$F100&amp;"]")*(INDIRECT($E99&amp;"[yr]")=R$5)*(INDIRECT($E99&amp;"[wk]")=R$6))</f>
        <v>131.20017636684304</v>
      </c>
      <c r="S99" s="124">
        <f t="array" aca="1" ref="S99" ca="1">SUM(INDIRECT($E99&amp;"["&amp;$E100&amp;"]")*(INDIRECT($E99&amp;"[yr]")=S$5)*(INDIRECT($E99&amp;"[wk]")=S$6))/SUM(INDIRECT($E99&amp;"["&amp;$F100&amp;"]")*(INDIRECT($E99&amp;"[yr]")=S$5)*(INDIRECT($E99&amp;"[wk]")=S$6))</f>
        <v>100.84595464176411</v>
      </c>
      <c r="T99" s="172">
        <f t="array" aca="1" ref="T99" ca="1">SUM(INDIRECT($E99&amp;"["&amp;$E100&amp;"]")*(INDIRECT($E99&amp;"[yr]")=T$5)*(INDIRECT($E99&amp;"[wk]")=T$6))/SUM(INDIRECT($E99&amp;"["&amp;$F100&amp;"]")*(INDIRECT($E99&amp;"[yr]")=T$5)*(INDIRECT($E99&amp;"[wk]")=T$6))</f>
        <v>121.51963284038756</v>
      </c>
      <c r="U99" s="173">
        <f ca="1">AVERAGE(Q99:T99)</f>
        <v>119.88542317051659</v>
      </c>
      <c r="V99" s="47">
        <f t="array" aca="1" ref="V99" ca="1">SUM(T99/S99)-1</f>
        <v>0.20500255337026374</v>
      </c>
      <c r="W99" s="174">
        <v>250</v>
      </c>
      <c r="X99" s="49"/>
    </row>
    <row r="100" spans="2:24" ht="13.5" customHeight="1" x14ac:dyDescent="0.4">
      <c r="B100" s="330"/>
      <c r="D100" s="204" t="s">
        <v>67</v>
      </c>
      <c r="E100" t="s">
        <v>138</v>
      </c>
      <c r="F100" t="s">
        <v>137</v>
      </c>
      <c r="I100" s="74">
        <f t="array" aca="1" ref="I100" ca="1">IFERROR(I99/(IF($G$2=0,(SUM(INDIRECT($E99&amp;"["&amp;$E100&amp;"]")*(INDIRECT($E99&amp;"[yr]")=(I$5-1))*(INDIRECT($E99&amp;"[wk]")=I$6))/SUM(INDIRECT($E99&amp;"["&amp;$F100&amp;"]")*(INDIRECT($E99&amp;"[yr]")=(I$5-1))*(INDIRECT($E99&amp;"[wk]")=I$6))),(SUM(INDIRECT($E99&amp;"["&amp;$E100&amp;"]")*(INDIRECT($E99&amp;"[yr]")=(I$5-1))*(INDIRECT($E99&amp;"[wk]")=I$6)*(INDIRECT($E99&amp;"[siteflag]")=$G$2))/SUM(INDIRECT($E99&amp;"["&amp;$F100&amp;"]")*(INDIRECT($E99&amp;"[yr]")=(I$5-1))*(INDIRECT($E99&amp;"[wk]")=I$6)*(INDIRECT($E99&amp;"[siteflag]")=$G$2)))))-1,0)</f>
        <v>-0.39316147292928405</v>
      </c>
      <c r="J100" s="74">
        <f t="array" aca="1" ref="J100" ca="1">IFERROR(J99/(IF($G$2=0,(SUM(INDIRECT($E99&amp;"["&amp;$E100&amp;"]")*(INDIRECT($E99&amp;"[yr]")=(J$5-1))*(INDIRECT($E99&amp;"[wk]")=J$6))/SUM(INDIRECT($E99&amp;"["&amp;$F100&amp;"]")*(INDIRECT($E99&amp;"[yr]")=(J$5-1))*(INDIRECT($E99&amp;"[wk]")=J$6))),(SUM(INDIRECT($E99&amp;"["&amp;$E100&amp;"]")*(INDIRECT($E99&amp;"[yr]")=(J$5-1))*(INDIRECT($E99&amp;"[wk]")=J$6)*(INDIRECT($E99&amp;"[siteflag]")=$G$2))/SUM(INDIRECT($E99&amp;"["&amp;$F100&amp;"]")*(INDIRECT($E99&amp;"[yr]")=(J$5-1))*(INDIRECT($E99&amp;"[wk]")=J$6)*(INDIRECT($E99&amp;"[siteflag]")=$G$2)))))-1,0)</f>
        <v>-0.37938565743273112</v>
      </c>
      <c r="K100" s="74">
        <f t="array" aca="1" ref="K100" ca="1">IFERROR(K99/(IF($G$2=0,(SUM(INDIRECT($E99&amp;"["&amp;$E100&amp;"]")*(INDIRECT($E99&amp;"[yr]")=(K$5-1))*(INDIRECT($E99&amp;"[wk]")=K$6))/SUM(INDIRECT($E99&amp;"["&amp;$F100&amp;"]")*(INDIRECT($E99&amp;"[yr]")=(K$5-1))*(INDIRECT($E99&amp;"[wk]")=K$6))),(SUM(INDIRECT($E99&amp;"["&amp;$E100&amp;"]")*(INDIRECT($E99&amp;"[yr]")=(K$5-1))*(INDIRECT($E99&amp;"[wk]")=K$6)*(INDIRECT($E99&amp;"[siteflag]")=$G$2))/SUM(INDIRECT($E99&amp;"["&amp;$F100&amp;"]")*(INDIRECT($E99&amp;"[yr]")=(K$5-1))*(INDIRECT($E99&amp;"[wk]")=K$6)*(INDIRECT($E99&amp;"[siteflag]")=$G$2)))))-1,0)</f>
        <v>-0.25249492018818998</v>
      </c>
      <c r="L100" s="74">
        <f t="array" aca="1" ref="L100" ca="1">IFERROR(L99/(IF($G$2=0,(SUM(INDIRECT($E99&amp;"["&amp;$E100&amp;"]")*(INDIRECT($E99&amp;"[yr]")=(L$5-1))*(INDIRECT($E99&amp;"[wk]")=L$6))/SUM(INDIRECT($E99&amp;"["&amp;$F100&amp;"]")*(INDIRECT($E99&amp;"[yr]")=(L$5-1))*(INDIRECT($E99&amp;"[wk]")=L$6))),(SUM(INDIRECT($E99&amp;"["&amp;$E100&amp;"]")*(INDIRECT($E99&amp;"[yr]")=(L$5-1))*(INDIRECT($E99&amp;"[wk]")=L$6)*(INDIRECT($E99&amp;"[siteflag]")=$G$2))/SUM(INDIRECT($E99&amp;"["&amp;$F100&amp;"]")*(INDIRECT($E99&amp;"[yr]")=(L$5-1))*(INDIRECT($E99&amp;"[wk]")=L$6)*(INDIRECT($E99&amp;"[siteflag]")=$G$2)))))-1,0)</f>
        <v>-0.50311074060095984</v>
      </c>
      <c r="M100" s="74">
        <f t="array" aca="1" ref="M100" ca="1">IFERROR(M99/(IF($G$2=0,(SUM(INDIRECT($E99&amp;"["&amp;$E100&amp;"]")*(INDIRECT($E99&amp;"[yr]")=(M$5-1))*(INDIRECT($E99&amp;"[wk]")=M$6))/SUM(INDIRECT($E99&amp;"["&amp;$F100&amp;"]")*(INDIRECT($E99&amp;"[yr]")=(M$5-1))*(INDIRECT($E99&amp;"[wk]")=M$6))),(SUM(INDIRECT($E99&amp;"["&amp;$E100&amp;"]")*(INDIRECT($E99&amp;"[yr]")=(M$5-1))*(INDIRECT($E99&amp;"[wk]")=M$6)*(INDIRECT($E99&amp;"[siteflag]")=$G$2))/SUM(INDIRECT($E99&amp;"["&amp;$F100&amp;"]")*(INDIRECT($E99&amp;"[yr]")=(M$5-1))*(INDIRECT($E99&amp;"[wk]")=M$6)*(INDIRECT($E99&amp;"[siteflag]")=$G$2)))))-1,0)</f>
        <v>-0.35226583183174243</v>
      </c>
      <c r="N100" s="74">
        <f t="array" aca="1" ref="N100" ca="1">IFERROR(N99/(IF($G$2=0,(SUM(INDIRECT($E99&amp;"["&amp;$E100&amp;"]")*(INDIRECT($E99&amp;"[yr]")=(N$5-1))*(INDIRECT($E99&amp;"[wk]")=N$6))/SUM(INDIRECT($E99&amp;"["&amp;$F100&amp;"]")*(INDIRECT($E99&amp;"[yr]")=(N$5-1))*(INDIRECT($E99&amp;"[wk]")=N$6))),(SUM(INDIRECT($E99&amp;"["&amp;$E100&amp;"]")*(INDIRECT($E99&amp;"[yr]")=(N$5-1))*(INDIRECT($E99&amp;"[wk]")=N$6)*(INDIRECT($E99&amp;"[siteflag]")=$G$2))/SUM(INDIRECT($E99&amp;"["&amp;$F100&amp;"]")*(INDIRECT($E99&amp;"[yr]")=(N$5-1))*(INDIRECT($E99&amp;"[wk]")=N$6)*(INDIRECT($E99&amp;"[siteflag]")=$G$2)))))-1,0)</f>
        <v>-0.35574921080322985</v>
      </c>
      <c r="O100" s="74">
        <f t="array" aca="1" ref="O100" ca="1">IFERROR(O99/(IF($G$2=0,(SUM(INDIRECT($E99&amp;"["&amp;$E100&amp;"]")*(INDIRECT($E99&amp;"[yr]")=(O$5-1))*(INDIRECT($E99&amp;"[wk]")=O$6))/SUM(INDIRECT($E99&amp;"["&amp;$F100&amp;"]")*(INDIRECT($E99&amp;"[yr]")=(O$5-1))*(INDIRECT($E99&amp;"[wk]")=O$6))),(SUM(INDIRECT($E99&amp;"["&amp;$E100&amp;"]")*(INDIRECT($E99&amp;"[yr]")=(O$5-1))*(INDIRECT($E99&amp;"[wk]")=O$6)*(INDIRECT($E99&amp;"[siteflag]")=$G$2))/SUM(INDIRECT($E99&amp;"["&amp;$F100&amp;"]")*(INDIRECT($E99&amp;"[yr]")=(O$5-1))*(INDIRECT($E99&amp;"[wk]")=O$6)*(INDIRECT($E99&amp;"[siteflag]")=$G$2)))))-1,0)</f>
        <v>-0.20233552532673427</v>
      </c>
      <c r="P100" s="91">
        <f t="array" aca="1" ref="P100" ca="1">IFERROR(P99/(IF($G$2=0,(SUM(INDIRECT($E99&amp;"["&amp;$E100&amp;"]")*(INDIRECT($E99&amp;"[yr]")=(P$5-1))*(INDIRECT($E99&amp;"[wk]")=P$6))/SUM(INDIRECT($E99&amp;"["&amp;$F100&amp;"]")*(INDIRECT($E99&amp;"[yr]")=(P$5-1))*(INDIRECT($E99&amp;"[wk]")=P$6))),(SUM(INDIRECT($E99&amp;"["&amp;$E100&amp;"]")*(INDIRECT($E99&amp;"[yr]")=(P$5-1))*(INDIRECT($E99&amp;"[wk]")=P$6)*(INDIRECT($E99&amp;"[siteflag]")=$G$2))/SUM(INDIRECT($E99&amp;"["&amp;$F100&amp;"]")*(INDIRECT($E99&amp;"[yr]")=(P$5-1))*(INDIRECT($E99&amp;"[wk]")=P$6)*(INDIRECT($E99&amp;"[siteflag]")=$G$2)))))-1,0)</f>
        <v>-7.9636471619446425E-2</v>
      </c>
      <c r="Q100" s="74">
        <f t="array" aca="1" ref="Q100" ca="1">IFERROR(Q99/(IF($G$2=0,(SUM(INDIRECT($E99&amp;"["&amp;$E100&amp;"]")*(INDIRECT($E99&amp;"[yr]")=(Q$5-1))*(INDIRECT($E99&amp;"[wk]")=Q$6))/SUM(INDIRECT($E99&amp;"["&amp;$F100&amp;"]")*(INDIRECT($E99&amp;"[yr]")=(Q$5-1))*(INDIRECT($E99&amp;"[wk]")=Q$6))),(SUM(INDIRECT($E99&amp;"["&amp;$E100&amp;"]")*(INDIRECT($E99&amp;"[yr]")=(Q$5-1))*(INDIRECT($E99&amp;"[wk]")=Q$6)*(INDIRECT($E99&amp;"[siteflag]")=$G$2))/SUM(INDIRECT($E99&amp;"["&amp;$F100&amp;"]")*(INDIRECT($E99&amp;"[yr]")=(Q$5-1))*(INDIRECT($E99&amp;"[wk]")=Q$6)*(INDIRECT($E99&amp;"[siteflag]")=$G$2)))))-1,0)</f>
        <v>-0.25475914690073798</v>
      </c>
      <c r="R100" s="74">
        <f t="array" aca="1" ref="R100" ca="1">IFERROR(R99/(IF($G$2=0,(SUM(INDIRECT($E99&amp;"["&amp;$E100&amp;"]")*(INDIRECT($E99&amp;"[yr]")=(R$5-1))*(INDIRECT($E99&amp;"[wk]")=R$6))/SUM(INDIRECT($E99&amp;"["&amp;$F100&amp;"]")*(INDIRECT($E99&amp;"[yr]")=(R$5-1))*(INDIRECT($E99&amp;"[wk]")=R$6))),(SUM(INDIRECT($E99&amp;"["&amp;$E100&amp;"]")*(INDIRECT($E99&amp;"[yr]")=(R$5-1))*(INDIRECT($E99&amp;"[wk]")=R$6)*(INDIRECT($E99&amp;"[siteflag]")=$G$2))/SUM(INDIRECT($E99&amp;"["&amp;$F100&amp;"]")*(INDIRECT($E99&amp;"[yr]")=(R$5-1))*(INDIRECT($E99&amp;"[wk]")=R$6)*(INDIRECT($E99&amp;"[siteflag]")=$G$2)))))-1,0)</f>
        <v>-0.36630148320942912</v>
      </c>
      <c r="S100" s="74">
        <f t="array" aca="1" ref="S100" ca="1">IFERROR(S99/(IF($G$2=0,(SUM(INDIRECT($E99&amp;"["&amp;$E100&amp;"]")*(INDIRECT($E99&amp;"[yr]")=(S$5-1))*(INDIRECT($E99&amp;"[wk]")=S$6))/SUM(INDIRECT($E99&amp;"["&amp;$F100&amp;"]")*(INDIRECT($E99&amp;"[yr]")=(S$5-1))*(INDIRECT($E99&amp;"[wk]")=S$6))),(SUM(INDIRECT($E99&amp;"["&amp;$E100&amp;"]")*(INDIRECT($E99&amp;"[yr]")=(S$5-1))*(INDIRECT($E99&amp;"[wk]")=S$6)*(INDIRECT($E99&amp;"[siteflag]")=$G$2))/SUM(INDIRECT($E99&amp;"["&amp;$F100&amp;"]")*(INDIRECT($E99&amp;"[yr]")=(S$5-1))*(INDIRECT($E99&amp;"[wk]")=S$6)*(INDIRECT($E99&amp;"[siteflag]")=$G$2)))))-1,0)</f>
        <v>-0.40738986652937725</v>
      </c>
      <c r="T100" s="76">
        <f t="array" aca="1" ref="T100" ca="1">IFERROR(T99/(IF($H$2=0,(SUM(INDIRECT($E99&amp;"["&amp;$E100&amp;"]")*(INDIRECT($E99&amp;"[yr]")=(T$5-1))*(INDIRECT($E99&amp;"[wk]")=T$6))/SUM(INDIRECT($E99&amp;"["&amp;$F100&amp;"]")*(INDIRECT($E99&amp;"[yr]")=(T$5-1))*(INDIRECT($E99&amp;"[wk]")=T$6))),(SUM(INDIRECT($E99&amp;"["&amp;$E100&amp;"]")*(INDIRECT($E99&amp;"[yr]")=(T$5-1))*(INDIRECT($E99&amp;"[wk]")=T$6)*(INDIRECT($E99&amp;"[siteflag]")=$H$2))/SUM(INDIRECT($E99&amp;"["&amp;$F100&amp;"]")*(INDIRECT($E99&amp;"[yr]")=(T$5-1))*(INDIRECT($E99&amp;"[wk]")=T$6)*(INDIRECT($E99&amp;"[siteflag]")=$H$2)))))-1,0)</f>
        <v>-0.28189173373830312</v>
      </c>
      <c r="U100" s="53">
        <f ca="1">SUMPRODUCT(Q100:T100,Q99:T99)/SUM(Q99:T99)</f>
        <v>-0.32424988633741064</v>
      </c>
      <c r="V100" s="91"/>
      <c r="W100" s="80"/>
      <c r="X100" s="56"/>
    </row>
    <row r="101" spans="2:24" ht="3" customHeight="1" x14ac:dyDescent="0.4">
      <c r="D101" s="61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61"/>
      <c r="Q101" s="57"/>
      <c r="R101" s="57"/>
      <c r="S101" s="57"/>
      <c r="T101" s="59"/>
      <c r="U101" s="57"/>
      <c r="V101" s="57"/>
      <c r="W101" s="123"/>
      <c r="X101" s="57"/>
    </row>
    <row r="102" spans="2:24" ht="14.15" customHeight="1" x14ac:dyDescent="0.4">
      <c r="B102" s="328" t="s">
        <v>139</v>
      </c>
      <c r="D102" s="203" t="s">
        <v>140</v>
      </c>
      <c r="E102" s="63" t="s">
        <v>125</v>
      </c>
      <c r="F102" t="s">
        <v>183</v>
      </c>
      <c r="I102" s="126">
        <f t="array" aca="1" ref="I102" ca="1">SUM(INDIRECT($E102&amp;"["&amp;$F102&amp;"]")*(INDIRECT($E102&amp;"[yr]")=I$5)*(INDIRECT($E102&amp;"[wk]")=I$6)/1000)</f>
        <v>98.48299999999999</v>
      </c>
      <c r="J102" s="126">
        <f t="array" aca="1" ref="J102" ca="1">SUM(INDIRECT($E102&amp;"["&amp;$F102&amp;"]")*(INDIRECT($E102&amp;"[yr]")=J$5)*(INDIRECT($E102&amp;"[wk]")=J$6)/1000)</f>
        <v>107.35899999999999</v>
      </c>
      <c r="K102" s="126">
        <f t="array" aca="1" ref="K102" ca="1">SUM(INDIRECT($E102&amp;"["&amp;$F102&amp;"]")*(INDIRECT($E102&amp;"[yr]")=K$5)*(INDIRECT($E102&amp;"[wk]")=K$6)/1000)</f>
        <v>75.38900000000001</v>
      </c>
      <c r="L102" s="126">
        <f t="array" aca="1" ref="L102" ca="1">SUM(INDIRECT($E102&amp;"["&amp;$F102&amp;"]")*(INDIRECT($E102&amp;"[yr]")=L$5)*(INDIRECT($E102&amp;"[wk]")=L$6)/1000)</f>
        <v>56.212000000000003</v>
      </c>
      <c r="M102" s="126">
        <f t="array" aca="1" ref="M102" ca="1">SUM(INDIRECT($E102&amp;"["&amp;$F102&amp;"]")*(INDIRECT($E102&amp;"[yr]")=M$5)*(INDIRECT($E102&amp;"[wk]")=M$6)/1000)</f>
        <v>101.02199999999999</v>
      </c>
      <c r="N102" s="126">
        <f t="array" aca="1" ref="N102" ca="1">SUM(INDIRECT($E102&amp;"["&amp;$F102&amp;"]")*(INDIRECT($E102&amp;"[yr]")=N$5)*(INDIRECT($E102&amp;"[wk]")=N$6)/1000)</f>
        <v>103.631</v>
      </c>
      <c r="O102" s="126">
        <f t="array" aca="1" ref="O102" ca="1">SUM(INDIRECT($E102&amp;"["&amp;$F102&amp;"]")*(INDIRECT($E102&amp;"[yr]")=O$5)*(INDIRECT($E102&amp;"[wk]")=O$6)/1000)</f>
        <v>95.587000000000003</v>
      </c>
      <c r="P102" s="196">
        <f t="array" aca="1" ref="P102" ca="1">SUM(INDIRECT($E102&amp;"["&amp;$F102&amp;"]")*(INDIRECT($E102&amp;"[yr]")=P$5)*(INDIRECT($E102&amp;"[wk]")=P$6)/1000)</f>
        <v>95.664999999999992</v>
      </c>
      <c r="Q102" s="126">
        <f t="array" aca="1" ref="Q102" ca="1">SUM(INDIRECT($E102&amp;"["&amp;$F102&amp;"]")*(INDIRECT($E102&amp;"[yr]")=Q$5)*(INDIRECT($E102&amp;"[wk]")=Q$6)/1000)</f>
        <v>98.602000000000004</v>
      </c>
      <c r="R102" s="126">
        <f t="array" aca="1" ref="R102" ca="1">SUM(INDIRECT($E102&amp;"["&amp;$F102&amp;"]")*(INDIRECT($E102&amp;"[yr]")=R$5)*(INDIRECT($E102&amp;"[wk]")=R$6)/1000)</f>
        <v>102.71899999999999</v>
      </c>
      <c r="S102" s="126">
        <f t="array" aca="1" ref="S102" ca="1">SUM(INDIRECT($E102&amp;"["&amp;$F102&amp;"]")*(INDIRECT($E102&amp;"[yr]")=S$5)*(INDIRECT($E102&amp;"[wk]")=S$6)/1000)</f>
        <v>118.703</v>
      </c>
      <c r="T102" s="120">
        <f t="array" aca="1" ref="T102" ca="1">SUM(INDIRECT($E102&amp;"["&amp;$F102&amp;"]")*(INDIRECT($E102&amp;"[yr]")=T$5)*(INDIRECT($E102&amp;"[wk]")=T$6)/1000)</f>
        <v>61.058</v>
      </c>
      <c r="U102" s="116">
        <f ca="1">SUM(Q102:T102)</f>
        <v>381.08199999999999</v>
      </c>
      <c r="V102" s="47">
        <f t="array" aca="1" ref="V102" ca="1">SUM(T102/S102)-1</f>
        <v>-0.48562378372913917</v>
      </c>
      <c r="W102" s="127"/>
      <c r="X102" s="49"/>
    </row>
    <row r="103" spans="2:24" ht="14.15" customHeight="1" x14ac:dyDescent="0.4">
      <c r="B103" s="329"/>
      <c r="D103" s="202" t="s">
        <v>67</v>
      </c>
      <c r="E103" s="40"/>
      <c r="F103" s="40"/>
      <c r="G103" s="40"/>
      <c r="H103" s="40"/>
      <c r="I103" s="50">
        <f t="array" aca="1" ref="I103" ca="1">I102/SUM(INDIRECT($E102&amp;"["&amp;$F102&amp;"]")*(INDIRECT($E102&amp;"[yr]")=(I$5-1))*(INDIRECT($E102&amp;"[wk]")=I$6)/1000)-1</f>
        <v>1.6484604006992063</v>
      </c>
      <c r="J103" s="50">
        <f t="array" aca="1" ref="J103" ca="1">J102/SUM(INDIRECT($E102&amp;"["&amp;$F102&amp;"]")*(INDIRECT($E102&amp;"[yr]")=(J$5-1))*(INDIRECT($E102&amp;"[wk]")=J$6)/1000)-1</f>
        <v>2.0812214792067274</v>
      </c>
      <c r="K103" s="50">
        <f t="array" aca="1" ref="K103" ca="1">K102/SUM(INDIRECT($E102&amp;"["&amp;$F102&amp;"]")*(INDIRECT($E102&amp;"[yr]")=(K$5-1))*(INDIRECT($E102&amp;"[wk]")=K$6)/1000)-1</f>
        <v>2.0537934945517886</v>
      </c>
      <c r="L103" s="50">
        <f t="array" aca="1" ref="L103" ca="1">L102/SUM(INDIRECT($E102&amp;"["&amp;$F102&amp;"]")*(INDIRECT($E102&amp;"[yr]")=(L$5-1))*(INDIRECT($E102&amp;"[wk]")=L$6)/1000)-1</f>
        <v>1.0425872093023258</v>
      </c>
      <c r="M103" s="50">
        <f t="array" aca="1" ref="M103" ca="1">M102/SUM(INDIRECT($E102&amp;"["&amp;$F102&amp;"]")*(INDIRECT($E102&amp;"[yr]")=(M$5-1))*(INDIRECT($E102&amp;"[wk]")=M$6)/1000)-1</f>
        <v>1.5386877088935238</v>
      </c>
      <c r="N103" s="50">
        <f t="array" aca="1" ref="N103" ca="1">N102/SUM(INDIRECT($E102&amp;"["&amp;$F102&amp;"]")*(INDIRECT($E102&amp;"[yr]")=(N$5-1))*(INDIRECT($E102&amp;"[wk]")=N$6)/1000)-1</f>
        <v>1.2700707542003462</v>
      </c>
      <c r="O103" s="50">
        <f t="array" aca="1" ref="O103" ca="1">O102/SUM(INDIRECT($E102&amp;"["&amp;$F102&amp;"]")*(INDIRECT($E102&amp;"[yr]")=(O$5-1))*(INDIRECT($E102&amp;"[wk]")=O$6)/1000)-1</f>
        <v>0.9809545520485774</v>
      </c>
      <c r="P103" s="54">
        <f t="array" aca="1" ref="P103" ca="1">P102/SUM(INDIRECT($E102&amp;"["&amp;$F102&amp;"]")*(INDIRECT($E102&amp;"[yr]")=(P$5-1))*(INDIRECT($E102&amp;"[wk]")=P$6)/1000)-1</f>
        <v>1.0208923063923274</v>
      </c>
      <c r="Q103" s="50">
        <f t="array" aca="1" ref="Q103" ca="1">Q102/SUM(INDIRECT($E102&amp;"["&amp;$F102&amp;"]")*(INDIRECT($E102&amp;"[yr]")=(Q$5-1))*(INDIRECT($E102&amp;"[wk]")=Q$6)/1000)-1</f>
        <v>0.97243448689737955</v>
      </c>
      <c r="R103" s="50">
        <f t="array" aca="1" ref="R103" ca="1">R102/SUM(INDIRECT($E102&amp;"["&amp;$F102&amp;"]")*(INDIRECT($E102&amp;"[yr]")=(R$5-1))*(INDIRECT($E102&amp;"[wk]")=R$6)/1000)-1</f>
        <v>0.97225528973541708</v>
      </c>
      <c r="S103" s="50">
        <f t="array" aca="1" ref="S103" ca="1">S102/SUM(INDIRECT($E102&amp;"["&amp;$F102&amp;"]")*(INDIRECT($E102&amp;"[yr]")=(S$5-1))*(INDIRECT($E102&amp;"[wk]")=S$6)/1000)-1</f>
        <v>1.2536262150668289</v>
      </c>
      <c r="T103" s="52">
        <f t="array" aca="1" ref="T103" ca="1">T102/SUM(INDIRECT($E102&amp;"["&amp;$F102&amp;"]")*(INDIRECT($E102&amp;"[yr]")=(T$5-1))*(INDIRECT($E102&amp;"[wk]")=T$6)/1000)-1</f>
        <v>0.20034600035386396</v>
      </c>
      <c r="U103" s="53">
        <f ca="1">SUMPRODUCT(Q103:T103,Q102:T102)/SUM(Q102:T102)</f>
        <v>0.93626829679720314</v>
      </c>
      <c r="V103" s="91"/>
      <c r="W103" s="80"/>
      <c r="X103" s="56"/>
    </row>
    <row r="104" spans="2:24" ht="1.5" hidden="1" customHeight="1" x14ac:dyDescent="0.4">
      <c r="B104" s="329"/>
      <c r="D104" s="61"/>
      <c r="P104" s="78"/>
      <c r="T104" s="175"/>
      <c r="U104" s="60"/>
      <c r="V104" s="61"/>
      <c r="W104" s="62"/>
      <c r="X104" s="61"/>
    </row>
    <row r="105" spans="2:24" ht="13.5" hidden="1" customHeight="1" x14ac:dyDescent="0.4">
      <c r="B105" s="329"/>
      <c r="D105" s="201" t="s">
        <v>428</v>
      </c>
      <c r="E105" s="63" t="s">
        <v>125</v>
      </c>
      <c r="F105" s="63" t="s">
        <v>130</v>
      </c>
      <c r="G105" s="63"/>
      <c r="H105" s="63"/>
      <c r="I105" s="128">
        <f t="array" aca="1" ref="I105" ca="1">SUM(INDIRECT($E102&amp;"["&amp;$F102&amp;"]")*(INDIRECT($E102&amp;"[yr]")=I$5)*(INDIRECT($E102&amp;"[wk]")=I$6))/SUM(INDIRECT($E105&amp;"["&amp;$F105&amp;"]")*(INDIRECT($E105&amp;"[yr]")=I$5)*(INDIRECT($E105&amp;"[wk]")=I$6))</f>
        <v>25.902264538018464</v>
      </c>
      <c r="J105" s="128">
        <f t="array" aca="1" ref="J105" ca="1">SUM(INDIRECT($E102&amp;"["&amp;$F102&amp;"]")*(INDIRECT($E102&amp;"[yr]")=J$5)*(INDIRECT($E102&amp;"[wk]")=J$6))/SUM(INDIRECT($E105&amp;"["&amp;$F105&amp;"]")*(INDIRECT($E105&amp;"[yr]")=J$5)*(INDIRECT($E105&amp;"[wk]")=J$6))</f>
        <v>25.859668561518447</v>
      </c>
      <c r="K105" s="128">
        <f t="array" aca="1" ref="K105" ca="1">SUM(INDIRECT($E102&amp;"["&amp;$F102&amp;"]")*(INDIRECT($E102&amp;"[yr]")=K$5)*(INDIRECT($E102&amp;"[wk]")=K$6))/SUM(INDIRECT($E105&amp;"["&amp;$F105&amp;"]")*(INDIRECT($E105&amp;"[yr]")=K$5)*(INDIRECT($E105&amp;"[wk]")=K$6))</f>
        <v>24.554278083574896</v>
      </c>
      <c r="L105" s="128">
        <f t="array" aca="1" ref="L105" ca="1">SUM(INDIRECT($E102&amp;"["&amp;$F102&amp;"]")*(INDIRECT($E102&amp;"[yr]")=L$5)*(INDIRECT($E102&amp;"[wk]")=L$6))/SUM(INDIRECT($E105&amp;"["&amp;$F105&amp;"]")*(INDIRECT($E105&amp;"[yr]")=L$5)*(INDIRECT($E105&amp;"[wk]")=L$6))</f>
        <v>23.947514165211093</v>
      </c>
      <c r="M105" s="128">
        <f t="array" aca="1" ref="M105" ca="1">SUM(INDIRECT($E102&amp;"["&amp;$F102&amp;"]")*(INDIRECT($E102&amp;"[yr]")=M$5)*(INDIRECT($E102&amp;"[wk]")=M$6))/SUM(INDIRECT($E105&amp;"["&amp;$F105&amp;"]")*(INDIRECT($E105&amp;"[yr]")=M$5)*(INDIRECT($E105&amp;"[wk]")=M$6))</f>
        <v>26.389592748360805</v>
      </c>
      <c r="N105" s="128">
        <f t="array" aca="1" ref="N105" ca="1">SUM(INDIRECT($E102&amp;"["&amp;$F102&amp;"]")*(INDIRECT($E102&amp;"[yr]")=N$5)*(INDIRECT($E102&amp;"[wk]")=N$6))/SUM(INDIRECT($E105&amp;"["&amp;$F105&amp;"]")*(INDIRECT($E105&amp;"[yr]")=N$5)*(INDIRECT($E105&amp;"[wk]")=N$6))</f>
        <v>26.519013255540205</v>
      </c>
      <c r="O105" s="128">
        <f t="array" aca="1" ref="O105" ca="1">SUM(INDIRECT($E102&amp;"["&amp;$F102&amp;"]")*(INDIRECT($E102&amp;"[yr]")=O$5)*(INDIRECT($E102&amp;"[wk]")=O$6))/SUM(INDIRECT($E105&amp;"["&amp;$F105&amp;"]")*(INDIRECT($E105&amp;"[yr]")=O$5)*(INDIRECT($E105&amp;"[wk]")=O$6))</f>
        <v>24.389416207389264</v>
      </c>
      <c r="P105" s="154">
        <f t="array" aca="1" ref="P105" ca="1">SUM(INDIRECT($E102&amp;"["&amp;$F102&amp;"]")*(INDIRECT($E102&amp;"[yr]")=P$5)*(INDIRECT($E102&amp;"[wk]")=P$6))/SUM(INDIRECT($E105&amp;"["&amp;$F105&amp;"]")*(INDIRECT($E105&amp;"[yr]")=P$5)*(INDIRECT($E105&amp;"[wk]")=P$6))</f>
        <v>24.443621125788894</v>
      </c>
      <c r="Q105" s="128">
        <f t="array" aca="1" ref="Q105" ca="1">SUM(INDIRECT($E102&amp;"["&amp;$F102&amp;"]")*(INDIRECT($E102&amp;"[yr]")=Q$5)*(INDIRECT($E102&amp;"[wk]")=Q$6))/SUM(INDIRECT($E105&amp;"["&amp;$F105&amp;"]")*(INDIRECT($E105&amp;"[yr]")=Q$5)*(INDIRECT($E105&amp;"[wk]")=Q$6))</f>
        <v>26.727203729805918</v>
      </c>
      <c r="R105" s="128">
        <f t="array" aca="1" ref="R105" ca="1">SUM(INDIRECT($E102&amp;"["&amp;$F102&amp;"]")*(INDIRECT($E102&amp;"[yr]")=R$5)*(INDIRECT($E102&amp;"[wk]")=R$6))/SUM(INDIRECT($E105&amp;"["&amp;$F105&amp;"]")*(INDIRECT($E105&amp;"[yr]")=R$5)*(INDIRECT($E105&amp;"[wk]")=R$6))</f>
        <v>28.124469512362072</v>
      </c>
      <c r="S105" s="128">
        <f t="array" aca="1" ref="S105" ca="1">SUM(INDIRECT($E102&amp;"["&amp;$F102&amp;"]")*(INDIRECT($E102&amp;"[yr]")=S$5)*(INDIRECT($E102&amp;"[wk]")=S$6))/SUM(INDIRECT($E105&amp;"["&amp;$F105&amp;"]")*(INDIRECT($E105&amp;"[yr]")=S$5)*(INDIRECT($E105&amp;"[wk]")=S$6))</f>
        <v>25.977240398293031</v>
      </c>
      <c r="T105" s="129">
        <f t="array" aca="1" ref="T105" ca="1">SUM(INDIRECT($E102&amp;"["&amp;$F102&amp;"]")*(INDIRECT($E102&amp;"[yr]")=T$5)*(INDIRECT($E102&amp;"[wk]")=T$6))/SUM(INDIRECT($E105&amp;"["&amp;$F105&amp;"]")*(INDIRECT($E105&amp;"[yr]")=T$5)*(INDIRECT($E105&amp;"[wk]")=T$6))</f>
        <v>22.7531209241662</v>
      </c>
      <c r="U105" s="130">
        <f ca="1">AVERAGE(Q105:T105)</f>
        <v>25.895508641156805</v>
      </c>
      <c r="V105" s="47">
        <f t="array" aca="1" ref="V105" ca="1">SUM(T105/S105)-1</f>
        <v>-0.12411324007836833</v>
      </c>
      <c r="W105" s="131">
        <v>35</v>
      </c>
      <c r="X105" s="49"/>
    </row>
    <row r="106" spans="2:24" ht="13.5" hidden="1" customHeight="1" x14ac:dyDescent="0.4">
      <c r="B106" s="329"/>
      <c r="D106" s="204" t="s">
        <v>67</v>
      </c>
      <c r="I106" s="74">
        <f t="array" aca="1" ref="I106" ca="1">I105/(SUM(INDIRECT($E102&amp;"["&amp;$F102&amp;"]")*(INDIRECT($E102&amp;"[yr]")=(I$5-1))*(INDIRECT($E102&amp;"[wk]")=I$6))/SUM(INDIRECT($E105&amp;"["&amp;$F105&amp;"]")*(INDIRECT($E105&amp;"[yr]")=(I$5-1))*(INDIRECT($E105&amp;"[wk]")=I$6)))-1</f>
        <v>-0.13916852182107775</v>
      </c>
      <c r="J106" s="74">
        <f t="array" aca="1" ref="J106" ca="1">J105/(SUM(INDIRECT($E102&amp;"["&amp;$F102&amp;"]")*(INDIRECT($E102&amp;"[yr]")=(J$5-1))*(INDIRECT($E102&amp;"[wk]")=J$6))/SUM(INDIRECT($E105&amp;"["&amp;$F105&amp;"]")*(INDIRECT($E105&amp;"[yr]")=(J$5-1))*(INDIRECT($E105&amp;"[wk]")=J$6)))-1</f>
        <v>-0.13469599127875442</v>
      </c>
      <c r="K106" s="74">
        <f t="array" aca="1" ref="K106" ca="1">K105/(SUM(INDIRECT($E102&amp;"["&amp;$F102&amp;"]")*(INDIRECT($E102&amp;"[yr]")=(K$5-1))*(INDIRECT($E102&amp;"[wk]")=K$6))/SUM(INDIRECT($E105&amp;"["&amp;$F105&amp;"]")*(INDIRECT($E105&amp;"[yr]")=(K$5-1))*(INDIRECT($E105&amp;"[wk]")=K$6)))-1</f>
        <v>-9.6981039734368446E-2</v>
      </c>
      <c r="L106" s="74">
        <f t="array" aca="1" ref="L106" ca="1">L105/(SUM(INDIRECT($E102&amp;"["&amp;$F102&amp;"]")*(INDIRECT($E102&amp;"[yr]")=(L$5-1))*(INDIRECT($E102&amp;"[wk]")=L$6))/SUM(INDIRECT($E105&amp;"["&amp;$F105&amp;"]")*(INDIRECT($E105&amp;"[yr]")=(L$5-1))*(INDIRECT($E105&amp;"[wk]")=L$6)))-1</f>
        <v>-0.16453458030453605</v>
      </c>
      <c r="M106" s="74">
        <f t="array" aca="1" ref="M106" ca="1">M105/(SUM(INDIRECT($E102&amp;"["&amp;$F102&amp;"]")*(INDIRECT($E102&amp;"[yr]")=(M$5-1))*(INDIRECT($E102&amp;"[wk]")=M$6))/SUM(INDIRECT($E105&amp;"["&amp;$F105&amp;"]")*(INDIRECT($E105&amp;"[yr]")=(M$5-1))*(INDIRECT($E105&amp;"[wk]")=M$6)))-1</f>
        <v>-8.1175564726110205E-2</v>
      </c>
      <c r="N106" s="74">
        <f t="array" aca="1" ref="N106" ca="1">N105/(SUM(INDIRECT($E102&amp;"["&amp;$F102&amp;"]")*(INDIRECT($E102&amp;"[yr]")=(N$5-1))*(INDIRECT($E102&amp;"[wk]")=N$6))/SUM(INDIRECT($E105&amp;"["&amp;$F105&amp;"]")*(INDIRECT($E105&amp;"[yr]")=(N$5-1))*(INDIRECT($E105&amp;"[wk]")=N$6)))-1</f>
        <v>-0.21211501000001798</v>
      </c>
      <c r="O106" s="74">
        <f t="array" aca="1" ref="O106" ca="1">O105/(SUM(INDIRECT($E102&amp;"["&amp;$F102&amp;"]")*(INDIRECT($E102&amp;"[yr]")=(O$5-1))*(INDIRECT($E102&amp;"[wk]")=O$6))/SUM(INDIRECT($E105&amp;"["&amp;$F105&amp;"]")*(INDIRECT($E105&amp;"[yr]")=(O$5-1))*(INDIRECT($E105&amp;"[wk]")=O$6)))-1</f>
        <v>-0.31218540660652583</v>
      </c>
      <c r="P106" s="91">
        <f t="array" aca="1" ref="P106" ca="1">P105/(SUM(INDIRECT($E102&amp;"["&amp;$F102&amp;"]")*(INDIRECT($E102&amp;"[yr]")=(P$5-1))*(INDIRECT($E102&amp;"[wk]")=P$6))/SUM(INDIRECT($E105&amp;"["&amp;$F105&amp;"]")*(INDIRECT($E105&amp;"[yr]")=(P$5-1))*(INDIRECT($E105&amp;"[wk]")=P$6)))-1</f>
        <v>-0.25106620303256988</v>
      </c>
      <c r="Q106" s="74">
        <f t="array" aca="1" ref="Q106" ca="1">Q105/(SUM(INDIRECT($E102&amp;"["&amp;$F102&amp;"]")*(INDIRECT($E102&amp;"[yr]")=(Q$5-1))*(INDIRECT($E102&amp;"[wk]")=Q$6))/SUM(INDIRECT($E105&amp;"["&amp;$F105&amp;"]")*(INDIRECT($E105&amp;"[yr]")=(Q$5-1))*(INDIRECT($E105&amp;"[wk]")=Q$6)))-1</f>
        <v>-0.16760185063142974</v>
      </c>
      <c r="R106" s="74">
        <f t="array" aca="1" ref="R106" ca="1">R105/(SUM(INDIRECT($E102&amp;"["&amp;$F102&amp;"]")*(INDIRECT($E102&amp;"[yr]")=(R$5-1))*(INDIRECT($E102&amp;"[wk]")=R$6))/SUM(INDIRECT($E105&amp;"["&amp;$F105&amp;"]")*(INDIRECT($E105&amp;"[yr]")=(R$5-1))*(INDIRECT($E105&amp;"[wk]")=R$6)))-1</f>
        <v>-0.10019193678336236</v>
      </c>
      <c r="S106" s="74">
        <f t="array" aca="1" ref="S106" ca="1">S105/(SUM(INDIRECT($E102&amp;"["&amp;$F102&amp;"]")*(INDIRECT($E102&amp;"[yr]")=(S$5-1))*(INDIRECT($E102&amp;"[wk]")=S$6))/SUM(INDIRECT($E105&amp;"["&amp;$F105&amp;"]")*(INDIRECT($E105&amp;"[yr]")=(S$5-1))*(INDIRECT($E105&amp;"[wk]")=S$6)))-1</f>
        <v>-0.18835919419291391</v>
      </c>
      <c r="T106" s="76">
        <f t="array" aca="1" ref="T106" ca="1">T105/(SUM(INDIRECT($E102&amp;"["&amp;$F102&amp;"]")*(INDIRECT($E102&amp;"[yr]")=(T$5-1))*(INDIRECT($E102&amp;"[wk]")=T$6))/SUM(INDIRECT($E105&amp;"["&amp;$F105&amp;"]")*(INDIRECT($E105&amp;"[yr]")=(T$5-1))*(INDIRECT($E105&amp;"[wk]")=T$6)))-1</f>
        <v>-0.24687066860599927</v>
      </c>
      <c r="U106" s="53">
        <f ca="1">SUMPRODUCT(Q106:T106,Q105:T105)/SUM(Q105:T105)</f>
        <v>-0.17191691781123047</v>
      </c>
      <c r="V106" s="91"/>
      <c r="W106" s="80"/>
      <c r="X106" s="56"/>
    </row>
    <row r="107" spans="2:24" ht="3" customHeight="1" x14ac:dyDescent="0.4">
      <c r="B107" s="329"/>
      <c r="D107" s="61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61"/>
      <c r="Q107" s="57"/>
      <c r="R107" s="57"/>
      <c r="S107" s="57"/>
      <c r="T107" s="59"/>
      <c r="U107" s="57"/>
      <c r="V107" s="114"/>
      <c r="W107" s="114"/>
      <c r="X107" s="61"/>
    </row>
    <row r="108" spans="2:24" ht="14.15" customHeight="1" x14ac:dyDescent="0.4">
      <c r="B108" s="329"/>
      <c r="D108" s="201" t="s">
        <v>141</v>
      </c>
      <c r="E108" s="63" t="s">
        <v>142</v>
      </c>
      <c r="F108" s="63" t="s">
        <v>143</v>
      </c>
      <c r="G108" s="63"/>
      <c r="H108" s="63"/>
      <c r="I108" s="128">
        <f t="array" aca="1" ref="I108" ca="1">SUM(INDIRECT($E108&amp;"["&amp;$F108&amp;"]")*(INDIRECT($E108&amp;"[yr]")=I$5)*(INDIRECT($E108&amp;"[wk]")=I$6))/1000</f>
        <v>4.4720000000000004</v>
      </c>
      <c r="J108" s="128">
        <f t="array" aca="1" ref="J108" ca="1">SUM(INDIRECT($E108&amp;"["&amp;$F108&amp;"]")*(INDIRECT($E108&amp;"[yr]")=J$5)*(INDIRECT($E108&amp;"[wk]")=J$6))/1000</f>
        <v>3.657</v>
      </c>
      <c r="K108" s="128">
        <f t="array" aca="1" ref="K108" ca="1">SUM(INDIRECT($E108&amp;"["&amp;$F108&amp;"]")*(INDIRECT($E108&amp;"[yr]")=K$5)*(INDIRECT($E108&amp;"[wk]")=K$6))/1000</f>
        <v>3.02</v>
      </c>
      <c r="L108" s="128">
        <f t="array" aca="1" ref="L108" ca="1">SUM(INDIRECT($E108&amp;"["&amp;$F108&amp;"]")*(INDIRECT($E108&amp;"[yr]")=L$5)*(INDIRECT($E108&amp;"[wk]")=L$6))/1000</f>
        <v>4.6109999999999998</v>
      </c>
      <c r="M108" s="128">
        <f t="array" aca="1" ref="M108" ca="1">SUM(INDIRECT($E108&amp;"["&amp;$F108&amp;"]")*(INDIRECT($E108&amp;"[yr]")=M$5)*(INDIRECT($E108&amp;"[wk]")=M$6))/1000</f>
        <v>4.2560000000000002</v>
      </c>
      <c r="N108" s="128">
        <f t="array" aca="1" ref="N108" ca="1">SUM(INDIRECT($E108&amp;"["&amp;$F108&amp;"]")*(INDIRECT($E108&amp;"[yr]")=N$5)*(INDIRECT($E108&amp;"[wk]")=N$6))/1000</f>
        <v>5.48</v>
      </c>
      <c r="O108" s="128">
        <f t="array" aca="1" ref="O108" ca="1">SUM(INDIRECT($E108&amp;"["&amp;$F108&amp;"]")*(INDIRECT($E108&amp;"[yr]")=O$5)*(INDIRECT($E108&amp;"[wk]")=O$6))/1000</f>
        <v>4.9370000000000003</v>
      </c>
      <c r="P108" s="154">
        <f t="array" aca="1" ref="P108" ca="1">SUM(INDIRECT($E108&amp;"["&amp;$F108&amp;"]")*(INDIRECT($E108&amp;"[yr]")=P$5)*(INDIRECT($E108&amp;"[wk]")=P$6))/1000</f>
        <v>4.88</v>
      </c>
      <c r="Q108" s="128">
        <f t="array" aca="1" ref="Q108" ca="1">SUM(INDIRECT($E108&amp;"["&amp;$F108&amp;"]")*(INDIRECT($E108&amp;"[yr]")=Q$5)*(INDIRECT($E108&amp;"[wk]")=Q$6))/1000</f>
        <v>4.5860000000000003</v>
      </c>
      <c r="R108" s="128">
        <f t="array" aca="1" ref="R108" ca="1">SUM(INDIRECT($E108&amp;"["&amp;$F108&amp;"]")*(INDIRECT($E108&amp;"[yr]")=R$5)*(INDIRECT($E108&amp;"[wk]")=R$6))/1000</f>
        <v>4.6440000000000001</v>
      </c>
      <c r="S108" s="128">
        <f t="array" aca="1" ref="S108" ca="1">SUM(INDIRECT($E108&amp;"["&amp;$F108&amp;"]")*(INDIRECT($E108&amp;"[yr]")=S$5)*(INDIRECT($E108&amp;"[wk]")=S$6))/1000</f>
        <v>3.968</v>
      </c>
      <c r="T108" s="166">
        <f t="array" aca="1" ref="T108" ca="1">SUM(INDIRECT($E108&amp;"["&amp;$F108&amp;"]")*(INDIRECT($E108&amp;"[yr]")=T$5)*(INDIRECT($E108&amp;"[wk]")=T$6))/1000</f>
        <v>3.9260000000000002</v>
      </c>
      <c r="U108" s="167" t="e">
        <f t="array" aca="1" ref="U108" ca="1">SUM(Q108:T108*$R$76:$U$76)/SUM($R$76:$U$76)</f>
        <v>#DIV/0!</v>
      </c>
      <c r="V108" s="47">
        <f t="array" aca="1" ref="V108" ca="1">SUM(T108/S108)-1</f>
        <v>-1.058467741935476E-2</v>
      </c>
      <c r="W108" s="131"/>
      <c r="X108" s="49"/>
    </row>
    <row r="109" spans="2:24" ht="14.15" customHeight="1" outlineLevel="1" x14ac:dyDescent="0.4">
      <c r="B109" s="329"/>
      <c r="D109" s="212" t="s">
        <v>144</v>
      </c>
      <c r="E109" t="s">
        <v>145</v>
      </c>
      <c r="F109" t="s">
        <v>146</v>
      </c>
      <c r="I109" s="92">
        <f t="array" aca="1" ref="I109" ca="1">SUM(INDIRECT($E109&amp;"["&amp;$F109&amp;"]")*(INDIRECT($E109&amp;"[yr]")=I$5)*(INDIRECT($E109&amp;"[wk]")=I$6)*(INDIRECT($E109&amp;"["&amp;$E110&amp;"]")=$F$110))</f>
        <v>117</v>
      </c>
      <c r="J109" s="92">
        <f t="array" aca="1" ref="J109" ca="1">SUM(INDIRECT($E109&amp;"["&amp;$F109&amp;"]")*(INDIRECT($E109&amp;"[yr]")=J$5)*(INDIRECT($E109&amp;"[wk]")=J$6)*(INDIRECT($E109&amp;"["&amp;$E110&amp;"]")=$F$110))</f>
        <v>120</v>
      </c>
      <c r="K109" s="92">
        <f t="array" aca="1" ref="K109" ca="1">SUM(INDIRECT($E109&amp;"["&amp;$F109&amp;"]")*(INDIRECT($E109&amp;"[yr]")=K$5)*(INDIRECT($E109&amp;"[wk]")=K$6)*(INDIRECT($E109&amp;"["&amp;$E110&amp;"]")=$F$110))</f>
        <v>115</v>
      </c>
      <c r="L109" s="92">
        <f t="array" aca="1" ref="L109" ca="1">SUM(INDIRECT($E109&amp;"["&amp;$F109&amp;"]")*(INDIRECT($E109&amp;"[yr]")=L$5)*(INDIRECT($E109&amp;"[wk]")=L$6)*(INDIRECT($E109&amp;"["&amp;$E110&amp;"]")=$F$110))</f>
        <v>114</v>
      </c>
      <c r="M109" s="92">
        <f t="array" aca="1" ref="M109" ca="1">SUM(INDIRECT($E109&amp;"["&amp;$F109&amp;"]")*(INDIRECT($E109&amp;"[yr]")=M$5)*(INDIRECT($E109&amp;"[wk]")=M$6)*(INDIRECT($E109&amp;"["&amp;$E110&amp;"]")=$F$110))</f>
        <v>113</v>
      </c>
      <c r="N109" s="92">
        <f t="array" aca="1" ref="N109" ca="1">SUM(INDIRECT($E109&amp;"["&amp;$F109&amp;"]")*(INDIRECT($E109&amp;"[yr]")=N$5)*(INDIRECT($E109&amp;"[wk]")=N$6)*(INDIRECT($E109&amp;"["&amp;$E110&amp;"]")=$F$110))</f>
        <v>115</v>
      </c>
      <c r="O109" s="92">
        <f t="array" aca="1" ref="O109" ca="1">SUM(INDIRECT($E109&amp;"["&amp;$F109&amp;"]")*(INDIRECT($E109&amp;"[yr]")=O$5)*(INDIRECT($E109&amp;"[wk]")=O$6)*(INDIRECT($E109&amp;"["&amp;$E110&amp;"]")=$F$110))</f>
        <v>116</v>
      </c>
      <c r="P109" s="199">
        <f t="array" aca="1" ref="P109" ca="1">SUM(INDIRECT($E109&amp;"["&amp;$F109&amp;"]")*(INDIRECT($E109&amp;"[yr]")=P$5)*(INDIRECT($E109&amp;"[wk]")=P$6)*(INDIRECT($E109&amp;"["&amp;$E110&amp;"]")=$F$110))</f>
        <v>119</v>
      </c>
      <c r="Q109" s="92">
        <f t="array" aca="1" ref="Q109" ca="1">SUM(INDIRECT($E109&amp;"["&amp;$F109&amp;"]")*(INDIRECT($E109&amp;"[yr]")=Q$5)*(INDIRECT($E109&amp;"[wk]")=Q$6)*(INDIRECT($E109&amp;"["&amp;$E110&amp;"]")=$F$110))</f>
        <v>126</v>
      </c>
      <c r="R109" s="92">
        <f t="array" aca="1" ref="R109" ca="1">SUM(INDIRECT($E109&amp;"["&amp;$F109&amp;"]")*(INDIRECT($E109&amp;"[yr]")=R$5)*(INDIRECT($E109&amp;"[wk]")=R$6)*(INDIRECT($E109&amp;"["&amp;$E110&amp;"]")=$F$110))</f>
        <v>133</v>
      </c>
      <c r="S109" s="92">
        <f t="array" aca="1" ref="S109" ca="1">SUM(INDIRECT($E109&amp;"["&amp;$F109&amp;"]")*(INDIRECT($E109&amp;"[yr]")=S$5)*(INDIRECT($E109&amp;"[wk]")=S$6)*(INDIRECT($E109&amp;"["&amp;$E110&amp;"]")=$F$110))</f>
        <v>139</v>
      </c>
      <c r="T109" s="176">
        <f t="array" aca="1" ref="T109" ca="1">SUM(INDIRECT($E109&amp;"["&amp;$F109&amp;"]")*(INDIRECT($E109&amp;"[yr]")=T$5)*(INDIRECT($E109&amp;"[wk]")=T$6)*(INDIRECT($E109&amp;"["&amp;$E110&amp;"]")=$F$110))</f>
        <v>135</v>
      </c>
      <c r="U109" s="177" t="e">
        <f t="array" aca="1" ref="U109" ca="1">SUM(Q109:T109*$R$76:$U$76)/SUM($R$76:$U$76)</f>
        <v>#DIV/0!</v>
      </c>
      <c r="V109" s="89"/>
      <c r="W109" s="178"/>
      <c r="X109" s="81"/>
    </row>
    <row r="110" spans="2:24" ht="14.15" customHeight="1" outlineLevel="1" x14ac:dyDescent="0.4">
      <c r="B110" s="329"/>
      <c r="D110" s="212" t="s">
        <v>147</v>
      </c>
      <c r="E110" t="s">
        <v>148</v>
      </c>
      <c r="F110" t="s">
        <v>149</v>
      </c>
      <c r="I110" s="98">
        <f t="array" aca="1" ref="I110" ca="1">SUM(INDIRECT($E109&amp;"["&amp;$E111&amp;"]")*(INDIRECT($E109&amp;"[yr]")=I$5)*(INDIRECT($E109&amp;"[wk]")=I$6)*(INDIRECT($E109&amp;"["&amp;$E110&amp;"]")=$F$110))/I109/8/5</f>
        <v>0.75568376068376075</v>
      </c>
      <c r="J110" s="98">
        <f t="array" aca="1" ref="J110" ca="1">SUM(INDIRECT($E109&amp;"["&amp;$E111&amp;"]")*(INDIRECT($E109&amp;"[yr]")=J$5)*(INDIRECT($E109&amp;"[wk]")=J$6)*(INDIRECT($E109&amp;"["&amp;$E110&amp;"]")=$F$110))/J109/8/5</f>
        <v>0.81141666666666679</v>
      </c>
      <c r="K110" s="98">
        <f t="array" aca="1" ref="K110" ca="1">SUM(INDIRECT($E109&amp;"["&amp;$E111&amp;"]")*(INDIRECT($E109&amp;"[yr]")=K$5)*(INDIRECT($E109&amp;"[wk]")=K$6)*(INDIRECT($E109&amp;"["&amp;$E110&amp;"]")=$F$110))/K109/8/5</f>
        <v>0.62645652173913047</v>
      </c>
      <c r="L110" s="98">
        <f t="array" aca="1" ref="L110" ca="1">SUM(INDIRECT($E109&amp;"["&amp;$E111&amp;"]")*(INDIRECT($E109&amp;"[yr]")=L$5)*(INDIRECT($E109&amp;"[wk]")=L$6)*(INDIRECT($E109&amp;"["&amp;$E110&amp;"]")=$F$110))/L109/8/5</f>
        <v>0.48462719298245621</v>
      </c>
      <c r="M110" s="98">
        <f t="array" aca="1" ref="M110" ca="1">SUM(INDIRECT($E109&amp;"["&amp;$E111&amp;"]")*(INDIRECT($E109&amp;"[yr]")=M$5)*(INDIRECT($E109&amp;"[wk]")=M$6)*(INDIRECT($E109&amp;"["&amp;$E110&amp;"]")=$F$110))/M109/8/5</f>
        <v>0.79163716814159291</v>
      </c>
      <c r="N110" s="98">
        <f t="array" aca="1" ref="N110" ca="1">SUM(INDIRECT($E109&amp;"["&amp;$E111&amp;"]")*(INDIRECT($E109&amp;"[yr]")=N$5)*(INDIRECT($E109&amp;"[wk]")=N$6)*(INDIRECT($E109&amp;"["&amp;$E110&amp;"]")=$F$110))/N109/8/5</f>
        <v>0.77963043478260874</v>
      </c>
      <c r="O110" s="98">
        <f t="array" aca="1" ref="O110" ca="1">SUM(INDIRECT($E109&amp;"["&amp;$E111&amp;"]")*(INDIRECT($E109&amp;"[yr]")=O$5)*(INDIRECT($E109&amp;"[wk]")=O$6)*(INDIRECT($E109&amp;"["&amp;$E110&amp;"]")=$F$110))/O109/8/5</f>
        <v>0.7909051724137931</v>
      </c>
      <c r="P110" s="200">
        <f t="array" aca="1" ref="P110" ca="1">SUM(INDIRECT($E109&amp;"["&amp;$E111&amp;"]")*(INDIRECT($E109&amp;"[yr]")=P$5)*(INDIRECT($E109&amp;"[wk]")=P$6)*(INDIRECT($E109&amp;"["&amp;$E110&amp;"]")=$F$110))/P109/8/5</f>
        <v>0.77212184873949574</v>
      </c>
      <c r="Q110" s="98">
        <f t="array" aca="1" ref="Q110" ca="1">SUM(INDIRECT($E109&amp;"["&amp;$E111&amp;"]")*(INDIRECT($E109&amp;"[yr]")=Q$5)*(INDIRECT($E109&amp;"[wk]")=Q$6)*(INDIRECT($E109&amp;"["&amp;$E110&amp;"]")=$F$110))/Q109/8/5</f>
        <v>0.6828373015873016</v>
      </c>
      <c r="R110" s="98">
        <f t="array" aca="1" ref="R110" ca="1">SUM(INDIRECT($E109&amp;"["&amp;$E111&amp;"]")*(INDIRECT($E109&amp;"[yr]")=R$5)*(INDIRECT($E109&amp;"[wk]")=R$6)*(INDIRECT($E109&amp;"["&amp;$E110&amp;"]")=$F$110))/R109/8/5</f>
        <v>0.64577067669172927</v>
      </c>
      <c r="S110" s="98">
        <f t="array" aca="1" ref="S110" ca="1">SUM(INDIRECT($E109&amp;"["&amp;$E111&amp;"]")*(INDIRECT($E109&amp;"[yr]")=S$5)*(INDIRECT($E109&amp;"[wk]")=S$6)*(INDIRECT($E109&amp;"["&amp;$E110&amp;"]")=$F$110))/S109/8/5</f>
        <v>0.7680755395683454</v>
      </c>
      <c r="T110" s="179">
        <f t="array" aca="1" ref="T110" ca="1">SUM(INDIRECT($E109&amp;"["&amp;$E111&amp;"]")*(INDIRECT($E109&amp;"[yr]")=T$5)*(INDIRECT($E109&amp;"[wk]")=T$6)*(INDIRECT($E109&amp;"["&amp;$E110&amp;"]")=$F$110))/T109/8/5</f>
        <v>0.47338888888888891</v>
      </c>
      <c r="U110" s="180"/>
      <c r="V110" s="89"/>
      <c r="W110" s="178"/>
      <c r="X110" s="81"/>
    </row>
    <row r="111" spans="2:24" ht="14.15" customHeight="1" outlineLevel="1" x14ac:dyDescent="0.4">
      <c r="B111" s="329"/>
      <c r="D111" s="212" t="s">
        <v>150</v>
      </c>
      <c r="E111" t="s">
        <v>151</v>
      </c>
      <c r="F111" t="s">
        <v>152</v>
      </c>
      <c r="I111" s="98">
        <f t="array" aca="1" ref="I111" ca="1">SUM(INDIRECT($E109&amp;"["&amp;$F111&amp;"]")*(INDIRECT($E109&amp;"[yr]")=I$5)*(INDIRECT($E109&amp;"[wk]")=I$6)*(INDIRECT($E109&amp;"["&amp;$E110&amp;"]")=$F$110))/SUM(INDIRECT($E109&amp;"["&amp;$E111&amp;"]")*(INDIRECT($E109&amp;"[yr]")=I$5)*(INDIRECT($E109&amp;"[wk]")=I$6)*(INDIRECT($E109&amp;"["&amp;$E110&amp;"]")=$F$110))</f>
        <v>0.12964429112707118</v>
      </c>
      <c r="J111" s="98">
        <f t="array" aca="1" ref="J111" ca="1">SUM(INDIRECT($E109&amp;"["&amp;$F111&amp;"]")*(INDIRECT($E109&amp;"[yr]")=J$5)*(INDIRECT($E109&amp;"[wk]")=J$6)*(INDIRECT($E109&amp;"["&amp;$E110&amp;"]")=$F$110))/SUM(INDIRECT($E109&amp;"["&amp;$E111&amp;"]")*(INDIRECT($E109&amp;"[yr]")=J$5)*(INDIRECT($E109&amp;"[wk]")=J$6)*(INDIRECT($E109&amp;"["&amp;$E110&amp;"]")=$F$110))</f>
        <v>0.11772106398274622</v>
      </c>
      <c r="K111" s="98">
        <f t="array" aca="1" ref="K111" ca="1">SUM(INDIRECT($E109&amp;"["&amp;$F111&amp;"]")*(INDIRECT($E109&amp;"[yr]")=K$5)*(INDIRECT($E109&amp;"[wk]")=K$6)*(INDIRECT($E109&amp;"["&amp;$E110&amp;"]")=$F$110))/SUM(INDIRECT($E109&amp;"["&amp;$E111&amp;"]")*(INDIRECT($E109&amp;"[yr]")=K$5)*(INDIRECT($E109&amp;"[wk]")=K$6)*(INDIRECT($E109&amp;"["&amp;$E110&amp;"]")=$F$110))</f>
        <v>7.8668841308949577E-2</v>
      </c>
      <c r="L111" s="98">
        <f t="array" aca="1" ref="L111" ca="1">SUM(INDIRECT($E109&amp;"["&amp;$F111&amp;"]")*(INDIRECT($E109&amp;"[yr]")=L$5)*(INDIRECT($E109&amp;"[wk]")=L$6)*(INDIRECT($E109&amp;"["&amp;$E110&amp;"]")=$F$110))/SUM(INDIRECT($E109&amp;"["&amp;$E111&amp;"]")*(INDIRECT($E109&amp;"[yr]")=L$5)*(INDIRECT($E109&amp;"[wk]")=L$6)*(INDIRECT($E109&amp;"["&amp;$E110&amp;"]")=$F$110))</f>
        <v>3.2716412507353271E-2</v>
      </c>
      <c r="M111" s="98">
        <f t="array" aca="1" ref="M111" ca="1">SUM(INDIRECT($E109&amp;"["&amp;$F111&amp;"]")*(INDIRECT($E109&amp;"[yr]")=M$5)*(INDIRECT($E109&amp;"[wk]")=M$6)*(INDIRECT($E109&amp;"["&amp;$E110&amp;"]")=$F$110))/SUM(INDIRECT($E109&amp;"["&amp;$E111&amp;"]")*(INDIRECT($E109&amp;"[yr]")=M$5)*(INDIRECT($E109&amp;"[wk]")=M$6)*(INDIRECT($E109&amp;"["&amp;$E110&amp;"]")=$F$110))</f>
        <v>3.0406349561231904E-2</v>
      </c>
      <c r="N111" s="98">
        <f t="array" aca="1" ref="N111" ca="1">SUM(INDIRECT($E109&amp;"["&amp;$F111&amp;"]")*(INDIRECT($E109&amp;"[yr]")=N$5)*(INDIRECT($E109&amp;"[wk]")=N$6)*(INDIRECT($E109&amp;"["&amp;$E110&amp;"]")=$F$110))/SUM(INDIRECT($E109&amp;"["&amp;$E111&amp;"]")*(INDIRECT($E109&amp;"[yr]")=N$5)*(INDIRECT($E109&amp;"[wk]")=N$6)*(INDIRECT($E109&amp;"["&amp;$E110&amp;"]")=$F$110))</f>
        <v>0.1056520648021638</v>
      </c>
      <c r="O111" s="98">
        <f t="array" aca="1" ref="O111" ca="1">SUM(INDIRECT($E109&amp;"["&amp;$F111&amp;"]")*(INDIRECT($E109&amp;"[yr]")=O$5)*(INDIRECT($E109&amp;"[wk]")=O$6)*(INDIRECT($E109&amp;"["&amp;$E110&amp;"]")=$F$110))/SUM(INDIRECT($E109&amp;"["&amp;$E111&amp;"]")*(INDIRECT($E109&amp;"[yr]")=O$5)*(INDIRECT($E109&amp;"[wk]")=O$6)*(INDIRECT($E109&amp;"["&amp;$E110&amp;"]")=$F$110))</f>
        <v>9.2293857975911497E-2</v>
      </c>
      <c r="P111" s="200">
        <f t="array" aca="1" ref="P111" ca="1">SUM(INDIRECT($E109&amp;"["&amp;$F111&amp;"]")*(INDIRECT($E109&amp;"[yr]")=P$5)*(INDIRECT($E109&amp;"[wk]")=P$6)*(INDIRECT($E109&amp;"["&amp;$E110&amp;"]")=$F$110))/SUM(INDIRECT($E109&amp;"["&amp;$E111&amp;"]")*(INDIRECT($E109&amp;"[yr]")=P$5)*(INDIRECT($E109&amp;"[wk]")=P$6)*(INDIRECT($E109&amp;"["&amp;$E110&amp;"]")=$F$110))</f>
        <v>0.10197806981742988</v>
      </c>
      <c r="Q111" s="98">
        <f t="array" aca="1" ref="Q111" ca="1">SUM(INDIRECT($E109&amp;"["&amp;$F111&amp;"]")*(INDIRECT($E109&amp;"[yr]")=Q$5)*(INDIRECT($E109&amp;"[wk]")=Q$6)*(INDIRECT($E109&amp;"["&amp;$E110&amp;"]")=$F$110))/SUM(INDIRECT($E109&amp;"["&amp;$E111&amp;"]")*(INDIRECT($E109&amp;"[yr]")=Q$5)*(INDIRECT($E109&amp;"[wk]")=Q$6)*(INDIRECT($E109&amp;"["&amp;$E110&amp;"]")=$F$110))</f>
        <v>9.3098939415952334E-2</v>
      </c>
      <c r="R111" s="98">
        <f t="array" aca="1" ref="R111" ca="1">SUM(INDIRECT($E109&amp;"["&amp;$F111&amp;"]")*(INDIRECT($E109&amp;"[yr]")=R$5)*(INDIRECT($E109&amp;"[wk]")=R$6)*(INDIRECT($E109&amp;"["&amp;$E110&amp;"]")=$F$110))/SUM(INDIRECT($E109&amp;"["&amp;$E111&amp;"]")*(INDIRECT($E109&amp;"[yr]")=R$5)*(INDIRECT($E109&amp;"[wk]")=R$6)*(INDIRECT($E109&amp;"["&amp;$E110&amp;"]")=$F$110))</f>
        <v>7.0266336777761604E-2</v>
      </c>
      <c r="S111" s="98">
        <f t="array" aca="1" ref="S111" ca="1">SUM(INDIRECT($E109&amp;"["&amp;$F111&amp;"]")*(INDIRECT($E109&amp;"[yr]")=S$5)*(INDIRECT($E109&amp;"[wk]")=S$6)*(INDIRECT($E109&amp;"["&amp;$E110&amp;"]")=$F$110))/SUM(INDIRECT($E109&amp;"["&amp;$E111&amp;"]")*(INDIRECT($E109&amp;"[yr]")=S$5)*(INDIRECT($E109&amp;"[wk]")=S$6)*(INDIRECT($E109&amp;"["&amp;$E110&amp;"]")=$F$110))</f>
        <v>9.5726495726495733E-2</v>
      </c>
      <c r="T111" s="179">
        <f t="array" aca="1" ref="T111" ca="1">SUM(INDIRECT($E109&amp;"["&amp;$F111&amp;"]")*(INDIRECT($E109&amp;"[yr]")=T$5)*(INDIRECT($E109&amp;"[wk]")=T$6)*(INDIRECT($E109&amp;"["&amp;$E110&amp;"]")=$F$110))/SUM(INDIRECT($E109&amp;"["&amp;$E111&amp;"]")*(INDIRECT($E109&amp;"[yr]")=T$5)*(INDIRECT($E109&amp;"[wk]")=T$6)*(INDIRECT($E109&amp;"["&amp;$E110&amp;"]")=$F$110))</f>
        <v>3.4346516449555997E-2</v>
      </c>
      <c r="U111" s="180"/>
      <c r="V111" s="89"/>
      <c r="W111" s="178"/>
      <c r="X111" s="81"/>
    </row>
    <row r="112" spans="2:24" ht="14.15" customHeight="1" outlineLevel="1" x14ac:dyDescent="0.4">
      <c r="B112" s="329"/>
      <c r="D112" s="212" t="s">
        <v>153</v>
      </c>
      <c r="E112" t="s">
        <v>125</v>
      </c>
      <c r="F112" t="s">
        <v>151</v>
      </c>
      <c r="I112" s="117">
        <f t="array" aca="1" ref="I112" ca="1">SUM(INDIRECT($E112&amp;"["&amp;$F112&amp;"]")*(INDIRECT($E112&amp;"[yr]")=I$5)*(INDIRECT($E112&amp;"[wk]")=I$6))/40</f>
        <v>95.052499999999995</v>
      </c>
      <c r="J112" s="117">
        <f t="array" aca="1" ref="J112" ca="1">SUM(INDIRECT($E112&amp;"["&amp;$F112&amp;"]")*(INDIRECT($E112&amp;"[yr]")=J$5)*(INDIRECT($E112&amp;"[wk]")=J$6))/40</f>
        <v>103.79</v>
      </c>
      <c r="K112" s="117">
        <f t="array" aca="1" ref="K112" ca="1">SUM(INDIRECT($E112&amp;"["&amp;$F112&amp;"]")*(INDIRECT($E112&amp;"[yr]")=K$5)*(INDIRECT($E112&amp;"[wk]")=K$6))/40</f>
        <v>76.757499999999993</v>
      </c>
      <c r="L112" s="117">
        <f t="array" aca="1" ref="L112" ca="1">SUM(INDIRECT($E112&amp;"["&amp;$F112&amp;"]")*(INDIRECT($E112&amp;"[yr]")=L$5)*(INDIRECT($E112&amp;"[wk]")=L$6))/40</f>
        <v>58.682500000000005</v>
      </c>
      <c r="M112" s="117">
        <f t="array" aca="1" ref="M112" ca="1">SUM(INDIRECT($E112&amp;"["&amp;$F112&amp;"]")*(INDIRECT($E112&amp;"[yr]")=M$5)*(INDIRECT($E112&amp;"[wk]")=M$6))/40</f>
        <v>95.702500000000001</v>
      </c>
      <c r="N112" s="117">
        <f t="array" aca="1" ref="N112" ca="1">SUM(INDIRECT($E112&amp;"["&amp;$F112&amp;"]")*(INDIRECT($E112&amp;"[yr]")=N$5)*(INDIRECT($E112&amp;"[wk]")=N$6))/40</f>
        <v>97.694999999999993</v>
      </c>
      <c r="O112" s="117">
        <f t="array" aca="1" ref="O112" ca="1">SUM(INDIRECT($E112&amp;"["&amp;$F112&amp;"]")*(INDIRECT($E112&amp;"[yr]")=O$5)*(INDIRECT($E112&amp;"[wk]")=O$6))/40</f>
        <v>97.97999999999999</v>
      </c>
      <c r="P112" s="155">
        <f t="array" aca="1" ref="P112" ca="1">SUM(INDIRECT($E112&amp;"["&amp;$F112&amp;"]")*(INDIRECT($E112&amp;"[yr]")=P$5)*(INDIRECT($E112&amp;"[wk]")=P$6))/40</f>
        <v>97.842500000000001</v>
      </c>
      <c r="Q112" s="117">
        <f t="array" aca="1" ref="Q112" ca="1">SUM(INDIRECT($E112&amp;"["&amp;$F112&amp;"]")*(INDIRECT($E112&amp;"[yr]")=Q$5)*(INDIRECT($E112&amp;"[wk]")=Q$6))/40</f>
        <v>92.23</v>
      </c>
      <c r="R112" s="117">
        <f t="array" aca="1" ref="R112" ca="1">SUM(INDIRECT($E112&amp;"["&amp;$F112&amp;"]")*(INDIRECT($E112&amp;"[yr]")=R$5)*(INDIRECT($E112&amp;"[wk]")=R$6))/40</f>
        <v>91.307500000000005</v>
      </c>
      <c r="S112" s="117">
        <f t="array" aca="1" ref="S112" ca="1">SUM(INDIRECT($E112&amp;"["&amp;$F112&amp;"]")*(INDIRECT($E112&amp;"[yr]")=S$5)*(INDIRECT($E112&amp;"[wk]")=S$6))/40</f>
        <v>114.2375</v>
      </c>
      <c r="T112" s="183">
        <f t="array" aca="1" ref="T112" ca="1">SUM(INDIRECT($E112&amp;"["&amp;$F112&amp;"]")*(INDIRECT($E112&amp;"[yr]")=T$5)*(INDIRECT($E112&amp;"[wk]")=T$6))/40</f>
        <v>67.087500000000006</v>
      </c>
      <c r="U112" s="180"/>
      <c r="V112" s="89"/>
      <c r="W112" s="178"/>
      <c r="X112" s="81"/>
    </row>
    <row r="113" spans="2:24" ht="14.15" customHeight="1" x14ac:dyDescent="0.4">
      <c r="B113" s="329"/>
      <c r="D113" s="203" t="s">
        <v>136</v>
      </c>
      <c r="I113" s="117">
        <f ca="1">I108/I114</f>
        <v>0.83339545285128602</v>
      </c>
      <c r="J113" s="117">
        <f t="shared" ref="J113:S113" ca="1" si="4">J108/J114</f>
        <v>0.76957070707070707</v>
      </c>
      <c r="K113" s="117">
        <f t="shared" ca="1" si="4"/>
        <v>0.5527086383601757</v>
      </c>
      <c r="L113" s="117">
        <f t="shared" ca="1" si="4"/>
        <v>1.1023189098732966</v>
      </c>
      <c r="M113" s="117">
        <f t="shared" ca="1" si="4"/>
        <v>0.96420480289986421</v>
      </c>
      <c r="N113" s="117">
        <f t="shared" ca="1" si="4"/>
        <v>0.9047383192999835</v>
      </c>
      <c r="O113" s="117">
        <f t="shared" ca="1" si="4"/>
        <v>0.83353030558838426</v>
      </c>
      <c r="P113" s="155">
        <f t="shared" ca="1" si="4"/>
        <v>0.83906464924346635</v>
      </c>
      <c r="Q113" s="117">
        <f t="shared" ca="1" si="4"/>
        <v>0.68092056421677805</v>
      </c>
      <c r="R113" s="117">
        <f t="shared" ca="1" si="4"/>
        <v>0.92106307021023415</v>
      </c>
      <c r="S113" s="117">
        <f t="shared" ca="1" si="4"/>
        <v>0.62213860144245847</v>
      </c>
      <c r="T113" s="184">
        <f ca="1">T108/T114</f>
        <v>0.57939787485242034</v>
      </c>
      <c r="U113" s="185" t="e">
        <f t="array" aca="1" ref="U113" ca="1">U108/U114</f>
        <v>#DIV/0!</v>
      </c>
      <c r="V113" s="89">
        <f t="array" aca="1" ref="V113" ca="1">SUM(T113/S113)-1</f>
        <v>-6.8699686036104657E-2</v>
      </c>
      <c r="W113" s="178"/>
      <c r="X113" s="81"/>
    </row>
    <row r="114" spans="2:24" ht="14.15" customHeight="1" x14ac:dyDescent="0.4">
      <c r="B114" s="329"/>
      <c r="D114" s="222" t="s">
        <v>257</v>
      </c>
      <c r="E114" s="223" t="s">
        <v>142</v>
      </c>
      <c r="F114" s="40" t="s">
        <v>256</v>
      </c>
      <c r="I114" s="117">
        <f t="array" aca="1" ref="I114" ca="1">SUM(INDIRECT($E114&amp;"["&amp;$F114&amp;"]")*(INDIRECT($E114&amp;"[yr]")=I$5)*(INDIRECT($E114&amp;"[wk]")=I$6))/1000</f>
        <v>5.3659999999999997</v>
      </c>
      <c r="J114" s="117">
        <f t="array" aca="1" ref="J114" ca="1">SUM(INDIRECT($E114&amp;"["&amp;$F114&amp;"]")*(INDIRECT($E114&amp;"[yr]")=J$5)*(INDIRECT($E114&amp;"[wk]")=J$6))/1000</f>
        <v>4.7519999999999998</v>
      </c>
      <c r="K114" s="117">
        <f t="array" aca="1" ref="K114" ca="1">SUM(INDIRECT($E114&amp;"["&amp;$F114&amp;"]")*(INDIRECT($E114&amp;"[yr]")=K$5)*(INDIRECT($E114&amp;"[wk]")=K$6))/1000</f>
        <v>5.4640000000000004</v>
      </c>
      <c r="L114" s="117">
        <f t="array" aca="1" ref="L114" ca="1">SUM(INDIRECT($E114&amp;"["&amp;$F114&amp;"]")*(INDIRECT($E114&amp;"[yr]")=L$5)*(INDIRECT($E114&amp;"[wk]")=L$6))/1000</f>
        <v>4.1829999999999998</v>
      </c>
      <c r="M114" s="117">
        <f t="array" aca="1" ref="M114" ca="1">SUM(INDIRECT($E114&amp;"["&amp;$F114&amp;"]")*(INDIRECT($E114&amp;"[yr]")=M$5)*(INDIRECT($E114&amp;"[wk]")=M$6))/1000</f>
        <v>4.4139999999999997</v>
      </c>
      <c r="N114" s="117">
        <f t="array" aca="1" ref="N114" ca="1">SUM(INDIRECT($E114&amp;"["&amp;$F114&amp;"]")*(INDIRECT($E114&amp;"[yr]")=N$5)*(INDIRECT($E114&amp;"[wk]")=N$6))/1000</f>
        <v>6.0570000000000004</v>
      </c>
      <c r="O114" s="117">
        <f t="array" aca="1" ref="O114" ca="1">SUM(INDIRECT($E114&amp;"["&amp;$F114&amp;"]")*(INDIRECT($E114&amp;"[yr]")=O$5)*(INDIRECT($E114&amp;"[wk]")=O$6))/1000</f>
        <v>5.923</v>
      </c>
      <c r="P114" s="224">
        <f t="array" aca="1" ref="P114" ca="1">SUM(INDIRECT($E114&amp;"["&amp;$F114&amp;"]")*(INDIRECT($E114&amp;"[yr]")=P$5)*(INDIRECT($E114&amp;"[wk]")=P$6))/1000</f>
        <v>5.8159999999999998</v>
      </c>
      <c r="Q114" s="117">
        <f t="array" aca="1" ref="Q114" ca="1">SUM(INDIRECT($E114&amp;"["&amp;$F114&amp;"]")*(INDIRECT($E114&amp;"[yr]")=Q$5)*(INDIRECT($E114&amp;"[wk]")=Q$6))/1000</f>
        <v>6.7350000000000003</v>
      </c>
      <c r="R114" s="117">
        <f t="array" aca="1" ref="R114" ca="1">SUM(INDIRECT($E114&amp;"["&amp;$F114&amp;"]")*(INDIRECT($E114&amp;"[yr]")=R$5)*(INDIRECT($E114&amp;"[wk]")=R$6))/1000</f>
        <v>5.0419999999999998</v>
      </c>
      <c r="S114" s="117">
        <f t="array" aca="1" ref="S114" ca="1">SUM(INDIRECT($E114&amp;"["&amp;$F114&amp;"]")*(INDIRECT($E114&amp;"[yr]")=S$5)*(INDIRECT($E114&amp;"[wk]")=S$6))/1000</f>
        <v>6.3780000000000001</v>
      </c>
      <c r="T114" s="225">
        <f t="array" aca="1" ref="T114" ca="1">SUM(INDIRECT($E114&amp;"["&amp;$F114&amp;"]")*(INDIRECT($E114&amp;"[yr]")=T$5)*(INDIRECT($E114&amp;"[wk]")=T$6))/1000</f>
        <v>6.7759999999999998</v>
      </c>
      <c r="U114" s="185">
        <f ca="1">AVERAGE(Q114:T114)</f>
        <v>6.2327500000000002</v>
      </c>
      <c r="V114" s="89">
        <f t="array" aca="1" ref="V114" ca="1">SUM(T114/S114)-1</f>
        <v>6.2402006898714335E-2</v>
      </c>
      <c r="W114" s="178"/>
      <c r="X114" s="56"/>
    </row>
    <row r="115" spans="2:24" ht="3" customHeight="1" x14ac:dyDescent="0.4">
      <c r="B115" s="329"/>
      <c r="D115" s="61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61"/>
      <c r="Q115" s="57"/>
      <c r="R115" s="57"/>
      <c r="S115" s="57"/>
      <c r="T115" s="59"/>
      <c r="U115" s="60"/>
      <c r="V115" s="61"/>
      <c r="W115" s="62"/>
      <c r="X115" s="61"/>
    </row>
    <row r="116" spans="2:24" ht="14.15" customHeight="1" x14ac:dyDescent="0.4">
      <c r="B116" s="329"/>
      <c r="D116" s="203" t="s">
        <v>154</v>
      </c>
      <c r="E116" s="63" t="s">
        <v>125</v>
      </c>
      <c r="F116" t="s">
        <v>155</v>
      </c>
      <c r="I116" s="126">
        <f t="array" aca="1" ref="I116" ca="1">SUM(INDIRECT($E116&amp;"["&amp;$F116&amp;"]")*(INDIRECT($E116&amp;"[yr]")=I$5)*(INDIRECT($E116&amp;"[wk]")=I$6)/1000)</f>
        <v>119.867</v>
      </c>
      <c r="J116" s="126">
        <f t="array" aca="1" ref="J116" ca="1">SUM(INDIRECT($E116&amp;"["&amp;$F116&amp;"]")*(INDIRECT($E116&amp;"[yr]")=J$5)*(INDIRECT($E116&amp;"[wk]")=J$6)/1000)</f>
        <v>126.845</v>
      </c>
      <c r="K116" s="126">
        <f t="array" aca="1" ref="K116" ca="1">SUM(INDIRECT($E116&amp;"["&amp;$F116&amp;"]")*(INDIRECT($E116&amp;"[yr]")=K$5)*(INDIRECT($E116&amp;"[wk]")=K$6)/1000)</f>
        <v>100.16</v>
      </c>
      <c r="L116" s="126">
        <f t="array" aca="1" ref="L116" ca="1">SUM(INDIRECT($E116&amp;"["&amp;$F116&amp;"]")*(INDIRECT($E116&amp;"[yr]")=L$5)*(INDIRECT($E116&amp;"[wk]")=L$6)/1000)</f>
        <v>69.191000000000003</v>
      </c>
      <c r="M116" s="126">
        <f t="array" aca="1" ref="M116" ca="1">SUM(INDIRECT($E116&amp;"["&amp;$F116&amp;"]")*(INDIRECT($E116&amp;"[yr]")=M$5)*(INDIRECT($E116&amp;"[wk]")=M$6)/1000)</f>
        <v>124.13300000000001</v>
      </c>
      <c r="N116" s="126">
        <f t="array" aca="1" ref="N116" ca="1">SUM(INDIRECT($E116&amp;"["&amp;$F116&amp;"]")*(INDIRECT($E116&amp;"[yr]")=N$5)*(INDIRECT($E116&amp;"[wk]")=N$6)/1000)</f>
        <v>120.03700000000001</v>
      </c>
      <c r="O116" s="126">
        <f t="array" aca="1" ref="O116" ca="1">SUM(INDIRECT($E116&amp;"["&amp;$F116&amp;"]")*(INDIRECT($E116&amp;"[yr]")=O$5)*(INDIRECT($E116&amp;"[wk]")=O$6)/1000)</f>
        <v>118.78400000000001</v>
      </c>
      <c r="P116" s="196">
        <f t="array" aca="1" ref="P116" ca="1">SUM(INDIRECT($E116&amp;"["&amp;$F116&amp;"]")*(INDIRECT($E116&amp;"[yr]")=P$5)*(INDIRECT($E116&amp;"[wk]")=P$6)/1000)</f>
        <v>110.47999999999999</v>
      </c>
      <c r="Q116" s="126">
        <f t="array" aca="1" ref="Q116" ca="1">SUM(INDIRECT($E116&amp;"["&amp;$F116&amp;"]")*(INDIRECT($E116&amp;"[yr]")=Q$5)*(INDIRECT($E116&amp;"[wk]")=Q$6)/1000)</f>
        <v>110.657</v>
      </c>
      <c r="R116" s="126">
        <f t="array" aca="1" ref="R116" ca="1">SUM(INDIRECT($E116&amp;"["&amp;$F116&amp;"]")*(INDIRECT($E116&amp;"[yr]")=R$5)*(INDIRECT($E116&amp;"[wk]")=R$6)/1000)</f>
        <v>70.768000000000001</v>
      </c>
      <c r="S116" s="126">
        <f t="array" aca="1" ref="S116" ca="1">SUM(INDIRECT($E116&amp;"["&amp;$F116&amp;"]")*(INDIRECT($E116&amp;"[yr]")=S$5)*(INDIRECT($E116&amp;"[wk]")=S$6)/1000)</f>
        <v>51.669999999999995</v>
      </c>
      <c r="T116" s="120">
        <f t="array" aca="1" ref="T116" ca="1">SUM(INDIRECT($E116&amp;"["&amp;$F116&amp;"]")*(INDIRECT($E116&amp;"[yr]")=T$5)*(INDIRECT($E116&amp;"[wk]")=T$6)/1000)</f>
        <v>25.436</v>
      </c>
      <c r="U116" s="116">
        <f ca="1">AVERAGE(Q116:T116)</f>
        <v>64.632750000000001</v>
      </c>
      <c r="V116" s="47">
        <f t="array" aca="1" ref="V116" ca="1">SUM(T116/S116)-1</f>
        <v>-0.5077220824462938</v>
      </c>
      <c r="W116" s="80"/>
      <c r="X116" s="49"/>
    </row>
    <row r="117" spans="2:24" ht="14.15" customHeight="1" x14ac:dyDescent="0.4">
      <c r="B117" s="329"/>
      <c r="D117" s="204" t="s">
        <v>67</v>
      </c>
      <c r="I117" s="50">
        <f t="array" aca="1" ref="I117" ca="1">I116/SUM(INDIRECT($E116&amp;"["&amp;$F116&amp;"]")*(INDIRECT($E116&amp;"[yr]")=(I$5-1))*(INDIRECT($E116&amp;"[wk]")=I$6)/1000)-1</f>
        <v>1.5904866874135548</v>
      </c>
      <c r="J117" s="50">
        <f t="array" aca="1" ref="J117" ca="1">J116/SUM(INDIRECT($E116&amp;"["&amp;$F116&amp;"]")*(INDIRECT($E116&amp;"[yr]")=(J$5-1))*(INDIRECT($E116&amp;"[wk]")=J$6)/1000)-1</f>
        <v>1.6325128673418559</v>
      </c>
      <c r="K117" s="50">
        <f t="array" aca="1" ref="K117" ca="1">K116/SUM(INDIRECT($E116&amp;"["&amp;$F116&amp;"]")*(INDIRECT($E116&amp;"[yr]")=(K$5-1))*(INDIRECT($E116&amp;"[wk]")=K$6)/1000)-1</f>
        <v>1.4514771030667939</v>
      </c>
      <c r="L117" s="50">
        <f t="array" aca="1" ref="L117" ca="1">L116/SUM(INDIRECT($E116&amp;"["&amp;$F116&amp;"]")*(INDIRECT($E116&amp;"[yr]")=(L$5-1))*(INDIRECT($E116&amp;"[wk]")=L$6)/1000)-1</f>
        <v>0.9726585887384176</v>
      </c>
      <c r="M117" s="50">
        <f t="array" aca="1" ref="M117" ca="1">M116/SUM(INDIRECT($E116&amp;"["&amp;$F116&amp;"]")*(INDIRECT($E116&amp;"[yr]")=(M$5-1))*(INDIRECT($E116&amp;"[wk]")=M$6)/1000)-1</f>
        <v>1.3249798655204064</v>
      </c>
      <c r="N117" s="50">
        <f t="array" aca="1" ref="N117" ca="1">N116/SUM(INDIRECT($E116&amp;"["&amp;$F116&amp;"]")*(INDIRECT($E116&amp;"[yr]")=(N$5-1))*(INDIRECT($E116&amp;"[wk]")=N$6)/1000)-1</f>
        <v>1.0930236613136652</v>
      </c>
      <c r="O117" s="50">
        <f t="array" aca="1" ref="O117" ca="1">O116/SUM(INDIRECT($E116&amp;"["&amp;$F116&amp;"]")*(INDIRECT($E116&amp;"[yr]")=(O$5-1))*(INDIRECT($E116&amp;"[wk]")=O$6)/1000)-1</f>
        <v>0.93226404658880191</v>
      </c>
      <c r="P117" s="54">
        <f t="array" aca="1" ref="P117" ca="1">P116/SUM(INDIRECT($E116&amp;"["&amp;$F116&amp;"]")*(INDIRECT($E116&amp;"[yr]")=(P$5-1))*(INDIRECT($E116&amp;"[wk]")=P$6)/1000)-1</f>
        <v>0.94349646413116117</v>
      </c>
      <c r="Q117" s="50">
        <f t="array" aca="1" ref="Q117" ca="1">Q116/SUM(INDIRECT($E116&amp;"["&amp;$F116&amp;"]")*(INDIRECT($E116&amp;"[yr]")=(Q$5-1))*(INDIRECT($E116&amp;"[wk]")=Q$6)/1000)-1</f>
        <v>0.89112007382848524</v>
      </c>
      <c r="R117" s="50">
        <f t="array" aca="1" ref="R117" ca="1">R116/SUM(INDIRECT($E116&amp;"["&amp;$F116&amp;"]")*(INDIRECT($E116&amp;"[yr]")=(R$5-1))*(INDIRECT($E116&amp;"[wk]")=R$6)/1000)-1</f>
        <v>5.5671579449847908E-2</v>
      </c>
      <c r="S117" s="50">
        <f t="array" aca="1" ref="S117" ca="1">S116/SUM(INDIRECT($E116&amp;"["&amp;$F116&amp;"]")*(INDIRECT($E116&amp;"[yr]")=(S$5-1))*(INDIRECT($E116&amp;"[wk]")=S$6)/1000)-1</f>
        <v>-0.22429064704999258</v>
      </c>
      <c r="T117" s="52">
        <f t="array" aca="1" ref="T117" ca="1">T116/SUM(INDIRECT($E116&amp;"["&amp;$F116&amp;"]")*(INDIRECT($E116&amp;"[yr]")=(T$5-1))*(INDIRECT($E116&amp;"[wk]")=T$6)/1000)-1</f>
        <v>-0.61554971131465186</v>
      </c>
      <c r="U117" s="53">
        <f ca="1">SUMPRODUCT(Q117:T117,Q116:T116)/SUM(Q116:T116)</f>
        <v>0.29126959689195075</v>
      </c>
      <c r="V117" s="91"/>
      <c r="W117" s="80"/>
      <c r="X117" s="56"/>
    </row>
    <row r="118" spans="2:24" ht="3" customHeight="1" x14ac:dyDescent="0.4">
      <c r="B118" s="329"/>
      <c r="D118" s="61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61"/>
      <c r="Q118" s="57"/>
      <c r="R118" s="57"/>
      <c r="S118" s="57"/>
      <c r="T118" s="59"/>
      <c r="U118" s="60"/>
      <c r="V118" s="61"/>
      <c r="W118" s="62"/>
      <c r="X118" s="61"/>
    </row>
    <row r="119" spans="2:24" ht="14.15" customHeight="1" x14ac:dyDescent="0.4">
      <c r="B119" s="329"/>
      <c r="D119" s="201" t="s">
        <v>429</v>
      </c>
      <c r="E119" s="63" t="s">
        <v>125</v>
      </c>
      <c r="F119" s="63" t="s">
        <v>185</v>
      </c>
      <c r="G119" s="63"/>
      <c r="H119" s="63"/>
      <c r="I119" s="197">
        <f t="array" aca="1" ref="I119" ca="1">SUM(INDIRECT($E116&amp;"["&amp;$F116&amp;"]")*(INDIRECT($E116&amp;"[yr]")=I$5)*(INDIRECT($E116&amp;"[wk]")=I$6))/SUM(INDIRECT($E119&amp;"["&amp;$F119&amp;"]")*(INDIRECT($E119&amp;"[yr]")=I$5)*(INDIRECT($E119&amp;"[wk]")=I$6))</f>
        <v>165.51643192488262</v>
      </c>
      <c r="J119" s="197">
        <f t="array" aca="1" ref="J119" ca="1">SUM(INDIRECT($E116&amp;"["&amp;$F116&amp;"]")*(INDIRECT($E116&amp;"[yr]")=J$5)*(INDIRECT($E116&amp;"[wk]")=J$6))/SUM(INDIRECT($E119&amp;"["&amp;$F119&amp;"]")*(INDIRECT($E119&amp;"[yr]")=J$5)*(INDIRECT($E119&amp;"[wk]")=J$6))</f>
        <v>184.04672083575159</v>
      </c>
      <c r="K119" s="197">
        <f t="array" aca="1" ref="K119" ca="1">SUM(INDIRECT($E116&amp;"["&amp;$F116&amp;"]")*(INDIRECT($E116&amp;"[yr]")=K$5)*(INDIRECT($E116&amp;"[wk]")=K$6))/SUM(INDIRECT($E119&amp;"["&amp;$F119&amp;"]")*(INDIRECT($E119&amp;"[yr]")=K$5)*(INDIRECT($E119&amp;"[wk]")=K$6))</f>
        <v>127.90192823394202</v>
      </c>
      <c r="L119" s="197">
        <f t="array" aca="1" ref="L119" ca="1">SUM(INDIRECT($E116&amp;"["&amp;$F116&amp;"]")*(INDIRECT($E116&amp;"[yr]")=L$5)*(INDIRECT($E116&amp;"[wk]")=L$6))/SUM(INDIRECT($E119&amp;"["&amp;$F119&amp;"]")*(INDIRECT($E119&amp;"[yr]")=L$5)*(INDIRECT($E119&amp;"[wk]")=L$6))</f>
        <v>211.33475870494806</v>
      </c>
      <c r="M119" s="197">
        <f t="array" aca="1" ref="M119" ca="1">SUM(INDIRECT($E116&amp;"["&amp;$F116&amp;"]")*(INDIRECT($E116&amp;"[yr]")=M$5)*(INDIRECT($E116&amp;"[wk]")=M$6))/SUM(INDIRECT($E119&amp;"["&amp;$F119&amp;"]")*(INDIRECT($E119&amp;"[yr]")=M$5)*(INDIRECT($E119&amp;"[wk]")=M$6))</f>
        <v>151.45558809175208</v>
      </c>
      <c r="N119" s="197">
        <f t="array" aca="1" ref="N119" ca="1">SUM(INDIRECT($E116&amp;"["&amp;$F116&amp;"]")*(INDIRECT($E116&amp;"[yr]")=N$5)*(INDIRECT($E116&amp;"[wk]")=N$6))/SUM(INDIRECT($E119&amp;"["&amp;$F119&amp;"]")*(INDIRECT($E119&amp;"[yr]")=N$5)*(INDIRECT($E119&amp;"[wk]")=N$6))</f>
        <v>204.31829787234042</v>
      </c>
      <c r="O119" s="197">
        <f t="array" aca="1" ref="O119" ca="1">SUM(INDIRECT($E116&amp;"["&amp;$F116&amp;"]")*(INDIRECT($E116&amp;"[yr]")=O$5)*(INDIRECT($E116&amp;"[wk]")=O$6))/SUM(INDIRECT($E119&amp;"["&amp;$F119&amp;"]")*(INDIRECT($E119&amp;"[yr]")=O$5)*(INDIRECT($E119&amp;"[wk]")=O$6))</f>
        <v>161.83106267029973</v>
      </c>
      <c r="P119" s="93">
        <f t="array" aca="1" ref="P119" ca="1">SUM(INDIRECT($E116&amp;"["&amp;$F116&amp;"]")*(INDIRECT($E116&amp;"[yr]")=P$5)*(INDIRECT($E116&amp;"[wk]")=P$6))/SUM(INDIRECT($E119&amp;"["&amp;$F119&amp;"]")*(INDIRECT($E119&amp;"[yr]")=P$5)*(INDIRECT($E119&amp;"[wk]")=P$6))</f>
        <v>215.06715982090714</v>
      </c>
      <c r="Q119" s="197">
        <f t="array" aca="1" ref="Q119" ca="1">SUM(INDIRECT($E116&amp;"["&amp;$F116&amp;"]")*(INDIRECT($E116&amp;"[yr]")=Q$5)*(INDIRECT($E116&amp;"[wk]")=Q$6))/SUM(INDIRECT($E119&amp;"["&amp;$F119&amp;"]")*(INDIRECT($E119&amp;"[yr]")=Q$5)*(INDIRECT($E119&amp;"[wk]")=Q$6))</f>
        <v>260.98349056603774</v>
      </c>
      <c r="R119" s="197">
        <f t="array" aca="1" ref="R119" ca="1">SUM(INDIRECT($E116&amp;"["&amp;$F116&amp;"]")*(INDIRECT($E116&amp;"[yr]")=R$5)*(INDIRECT($E116&amp;"[wk]")=R$6))/SUM(INDIRECT($E119&amp;"["&amp;$F119&amp;"]")*(INDIRECT($E119&amp;"[yr]")=R$5)*(INDIRECT($E119&amp;"[wk]")=R$6))</f>
        <v>118.20277267412726</v>
      </c>
      <c r="S119" s="197">
        <f t="array" aca="1" ref="S119" ca="1">SUM(INDIRECT($E116&amp;"["&amp;$F116&amp;"]")*(INDIRECT($E116&amp;"[yr]")=S$5)*(INDIRECT($E116&amp;"[wk]")=S$6))/SUM(INDIRECT($E119&amp;"["&amp;$F119&amp;"]")*(INDIRECT($E119&amp;"[yr]")=S$5)*(INDIRECT($E119&amp;"[wk]")=S$6))</f>
        <v>100.17448623497481</v>
      </c>
      <c r="T119" s="160">
        <f t="array" aca="1" ref="T119" ca="1">SUM(INDIRECT($E116&amp;"["&amp;$F116&amp;"]")*(INDIRECT($E116&amp;"[yr]")=T$5)*(INDIRECT($E116&amp;"[wk]")=T$6))/SUM(INDIRECT($E119&amp;"["&amp;$F119&amp;"]")*(INDIRECT($E119&amp;"[yr]")=T$5)*(INDIRECT($E119&amp;"[wk]")=T$6))</f>
        <v>77.667175572519085</v>
      </c>
      <c r="U119" s="161">
        <f ca="1">AVERAGE(Q119:T119)</f>
        <v>139.25698126191472</v>
      </c>
      <c r="V119" s="47">
        <f t="array" aca="1" ref="V119" ca="1">SUM(T119/S119)-1</f>
        <v>-0.22468106908640717</v>
      </c>
      <c r="W119" s="131">
        <v>250</v>
      </c>
      <c r="X119" s="49"/>
    </row>
    <row r="120" spans="2:24" ht="14.15" customHeight="1" x14ac:dyDescent="0.4">
      <c r="B120" s="329"/>
      <c r="D120" s="204" t="s">
        <v>67</v>
      </c>
      <c r="I120" s="50">
        <f t="array" aca="1" ref="I120" ca="1">I119/(SUM(INDIRECT($E116&amp;"["&amp;$F116&amp;"]")*(INDIRECT($E116&amp;"[yr]")=(I$5-1))*(INDIRECT($E116&amp;"[wk]")=I$6))/SUM(INDIRECT($E119&amp;"["&amp;$F119&amp;"]")*(INDIRECT($E119&amp;"[yr]")=(I$5-1))*(INDIRECT($E119&amp;"[wk]")=I$6)))-1</f>
        <v>0.18721697259397807</v>
      </c>
      <c r="J120" s="50">
        <f t="array" aca="1" ref="J120" ca="1">J119/(SUM(INDIRECT($E116&amp;"["&amp;$F116&amp;"]")*(INDIRECT($E116&amp;"[yr]")=(J$5-1))*(INDIRECT($E116&amp;"[wk]")=J$6))/SUM(INDIRECT($E119&amp;"["&amp;$F119&amp;"]")*(INDIRECT($E119&amp;"[yr]")=(J$5-1))*(INDIRECT($E119&amp;"[wk]")=J$6)))-1</f>
        <v>0.73947527537359425</v>
      </c>
      <c r="K120" s="50">
        <f t="array" aca="1" ref="K120" ca="1">K119/(SUM(INDIRECT($E116&amp;"["&amp;$F116&amp;"]")*(INDIRECT($E116&amp;"[yr]")=(K$5-1))*(INDIRECT($E116&amp;"[wk]")=K$6))/SUM(INDIRECT($E119&amp;"["&amp;$F119&amp;"]")*(INDIRECT($E119&amp;"[yr]")=(K$5-1))*(INDIRECT($E119&amp;"[wk]")=K$6)))-1</f>
        <v>0.40934106985145013</v>
      </c>
      <c r="L120" s="50">
        <f t="array" aca="1" ref="L120" ca="1">L119/(SUM(INDIRECT($E116&amp;"["&amp;$F116&amp;"]")*(INDIRECT($E116&amp;"[yr]")=(L$5-1))*(INDIRECT($E116&amp;"[wk]")=L$6))/SUM(INDIRECT($E119&amp;"["&amp;$F119&amp;"]")*(INDIRECT($E119&amp;"[yr]")=(L$5-1))*(INDIRECT($E119&amp;"[wk]")=L$6)))-1</f>
        <v>0.3930319661463717</v>
      </c>
      <c r="M120" s="50">
        <f t="array" aca="1" ref="M120" ca="1">M119/(SUM(INDIRECT($E116&amp;"["&amp;$F116&amp;"]")*(INDIRECT($E116&amp;"[yr]")=(M$5-1))*(INDIRECT($E116&amp;"[wk]")=M$6))/SUM(INDIRECT($E119&amp;"["&amp;$F119&amp;"]")*(INDIRECT($E119&amp;"[yr]")=(M$5-1))*(INDIRECT($E119&amp;"[wk]")=M$6)))-1</f>
        <v>-4.7711394759394343E-2</v>
      </c>
      <c r="N120" s="50">
        <f t="array" aca="1" ref="N120" ca="1">N119/(SUM(INDIRECT($E116&amp;"["&amp;$F116&amp;"]")*(INDIRECT($E116&amp;"[yr]")=(N$5-1))*(INDIRECT($E116&amp;"[wk]")=N$6))/SUM(INDIRECT($E119&amp;"["&amp;$F119&amp;"]")*(INDIRECT($E119&amp;"[yr]")=(N$5-1))*(INDIRECT($E119&amp;"[wk]")=N$6)))-1</f>
        <v>0.11402297683877971</v>
      </c>
      <c r="O120" s="50">
        <f t="array" aca="1" ref="O120" ca="1">O119/(SUM(INDIRECT($E116&amp;"["&amp;$F116&amp;"]")*(INDIRECT($E116&amp;"[yr]")=(O$5-1))*(INDIRECT($E116&amp;"[wk]")=O$6))/SUM(INDIRECT($E119&amp;"["&amp;$F119&amp;"]")*(INDIRECT($E119&amp;"[yr]")=(O$5-1))*(INDIRECT($E119&amp;"[wk]")=O$6)))-1</f>
        <v>-6.0456351188632906E-2</v>
      </c>
      <c r="P120" s="54">
        <f t="array" aca="1" ref="P120" ca="1">P119/(SUM(INDIRECT($E116&amp;"["&amp;$F116&amp;"]")*(INDIRECT($E116&amp;"[yr]")=(P$5-1))*(INDIRECT($E116&amp;"[wk]")=P$6))/SUM(INDIRECT($E119&amp;"["&amp;$F119&amp;"]")*(INDIRECT($E119&amp;"[yr]")=(P$5-1))*(INDIRECT($E119&amp;"[wk]")=P$6)))-1</f>
        <v>8.6193955328122351E-2</v>
      </c>
      <c r="Q120" s="50">
        <f t="array" aca="1" ref="Q120" ca="1">Q119/(SUM(INDIRECT($E116&amp;"["&amp;$F116&amp;"]")*(INDIRECT($E116&amp;"[yr]")=(Q$5-1))*(INDIRECT($E116&amp;"[wk]")=Q$6))/SUM(INDIRECT($E119&amp;"["&amp;$F119&amp;"]")*(INDIRECT($E119&amp;"[yr]")=(Q$5-1))*(INDIRECT($E119&amp;"[wk]")=Q$6)))-1</f>
        <v>0.33092035384533025</v>
      </c>
      <c r="R120" s="50">
        <f t="array" aca="1" ref="R120" ca="1">R119/(SUM(INDIRECT($E116&amp;"["&amp;$F116&amp;"]")*(INDIRECT($E116&amp;"[yr]")=(R$5-1))*(INDIRECT($E116&amp;"[wk]")=R$6))/SUM(INDIRECT($E119&amp;"["&amp;$F119&amp;"]")*(INDIRECT($E119&amp;"[yr]")=(R$5-1))*(INDIRECT($E119&amp;"[wk]")=R$6)))-1</f>
        <v>-0.14128602105883448</v>
      </c>
      <c r="S120" s="50">
        <f t="array" aca="1" ref="S120" ca="1">S119/(SUM(INDIRECT($E116&amp;"["&amp;$F116&amp;"]")*(INDIRECT($E116&amp;"[yr]")=(S$5-1))*(INDIRECT($E116&amp;"[wk]")=S$6))/SUM(INDIRECT($E119&amp;"["&amp;$F119&amp;"]")*(INDIRECT($E119&amp;"[yr]")=(S$5-1))*(INDIRECT($E119&amp;"[wk]")=S$6)))-1</f>
        <v>-0.38430513939950928</v>
      </c>
      <c r="T120" s="52">
        <f t="array" aca="1" ref="T120" ca="1">T119/(SUM(INDIRECT($E116&amp;"["&amp;$F116&amp;"]")*(INDIRECT($E116&amp;"[yr]")=(T$5-1))*(INDIRECT($E116&amp;"[wk]")=T$6))/SUM(INDIRECT($E119&amp;"["&amp;$F119&amp;"]")*(INDIRECT($E119&amp;"[yr]")=(T$5-1))*(INDIRECT($E119&amp;"[wk]")=T$6)))-1</f>
        <v>-0.4969864161781018</v>
      </c>
      <c r="U120" s="53">
        <f ca="1">SUMPRODUCT(Q120:T120,Q119:T119)/SUM(Q119:T119)</f>
        <v>-1.3343588693472973E-2</v>
      </c>
      <c r="V120" s="186"/>
      <c r="W120" s="80"/>
      <c r="X120" s="56"/>
    </row>
    <row r="121" spans="2:24" ht="3" customHeight="1" x14ac:dyDescent="0.4">
      <c r="B121" s="329"/>
      <c r="D121" s="61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61"/>
      <c r="Q121" s="57"/>
      <c r="R121" s="57"/>
      <c r="S121" s="57"/>
      <c r="T121" s="59"/>
      <c r="U121" s="60"/>
      <c r="V121" s="61"/>
      <c r="W121" s="62"/>
      <c r="X121" s="61"/>
    </row>
    <row r="122" spans="2:24" ht="14.15" customHeight="1" x14ac:dyDescent="0.4">
      <c r="B122" s="329"/>
      <c r="D122" s="201" t="s">
        <v>430</v>
      </c>
      <c r="E122" t="s">
        <v>156</v>
      </c>
      <c r="F122" s="63" t="s">
        <v>221</v>
      </c>
      <c r="G122" s="63"/>
      <c r="H122" s="63"/>
      <c r="I122" s="128">
        <f t="array" aca="1" ref="I122" ca="1">1000*(SUM(INDIRECT($E122&amp;"["&amp;$F122&amp;"]")*(INDIRECT($E122&amp;"[yr]")=I$5)*(INDIRECT($E122&amp;"[wk]")=I$6)/1000)+SUM(INDIRECT($E123&amp;"["&amp;$F123&amp;"]")*(INDIRECT($E123&amp;"[yr]")=I$5)*(INDIRECT($E123&amp;"[wk]")=I$6)/1000))/(SUM(INDIRECT($E105&amp;"["&amp;$F105&amp;"]")*(INDIRECT($E105&amp;"[yr]")=I$5)*(INDIRECT($E105&amp;"[wk]")=I$6))+SUM(INDIRECT($E119&amp;"["&amp;$F119&amp;"]")*(INDIRECT($E119&amp;"[yr]")=I$5)*(INDIRECT($E119&amp;"[wk]")=I$6)))</f>
        <v>34.998563948478896</v>
      </c>
      <c r="J122" s="128">
        <f t="array" aca="1" ref="J122" ca="1">1000*(SUM(INDIRECT($E122&amp;"["&amp;$F122&amp;"]")*(INDIRECT($E122&amp;"[yr]")=J$5)*(INDIRECT($E122&amp;"[wk]")=J$6)/1000)+SUM(INDIRECT($E123&amp;"["&amp;$F123&amp;"]")*(INDIRECT($E123&amp;"[yr]")=J$5)*(INDIRECT($E123&amp;"[wk]")=J$6)/1000))/(SUM(INDIRECT($E105&amp;"["&amp;$F105&amp;"]")*(INDIRECT($E105&amp;"[yr]")=J$5)*(INDIRECT($E105&amp;"[wk]")=J$6))+SUM(INDIRECT($E119&amp;"["&amp;$F119&amp;"]")*(INDIRECT($E119&amp;"[yr]")=J$5)*(INDIRECT($E119&amp;"[wk]")=J$6)))</f>
        <v>34.911378284581062</v>
      </c>
      <c r="K122" s="128">
        <f t="array" aca="1" ref="K122" ca="1">1000*(SUM(INDIRECT($E122&amp;"["&amp;$F122&amp;"]")*(INDIRECT($E122&amp;"[yr]")=K$5)*(INDIRECT($E122&amp;"[wk]")=K$6)/1000)+SUM(INDIRECT($E123&amp;"["&amp;$F123&amp;"]")*(INDIRECT($E123&amp;"[yr]")=K$5)*(INDIRECT($E123&amp;"[wk]")=K$6)/1000))/(SUM(INDIRECT($E105&amp;"["&amp;$F105&amp;"]")*(INDIRECT($E105&amp;"[yr]")=K$5)*(INDIRECT($E105&amp;"[wk]")=K$6))+SUM(INDIRECT($E119&amp;"["&amp;$F119&amp;"]")*(INDIRECT($E119&amp;"[yr]")=K$5)*(INDIRECT($E119&amp;"[wk]")=K$6)))</f>
        <v>32.049618518710751</v>
      </c>
      <c r="L122" s="128">
        <f t="array" aca="1" ref="L122" ca="1">1000*(SUM(INDIRECT($E122&amp;"["&amp;$F122&amp;"]")*(INDIRECT($E122&amp;"[yr]")=L$5)*(INDIRECT($E122&amp;"[wk]")=L$6)/1000)+SUM(INDIRECT($E123&amp;"["&amp;$F123&amp;"]")*(INDIRECT($E123&amp;"[yr]")=L$5)*(INDIRECT($E123&amp;"[wk]")=L$6)/1000))/(SUM(INDIRECT($E105&amp;"["&amp;$F105&amp;"]")*(INDIRECT($E105&amp;"[yr]")=L$5)*(INDIRECT($E105&amp;"[wk]")=L$6))+SUM(INDIRECT($E119&amp;"["&amp;$F119&amp;"]")*(INDIRECT($E119&amp;"[yr]")=L$5)*(INDIRECT($E119&amp;"[wk]")=L$6)))</f>
        <v>39.842225296294906</v>
      </c>
      <c r="M122" s="128">
        <f t="array" aca="1" ref="M122" ca="1">1000*(SUM(INDIRECT($E122&amp;"["&amp;$F122&amp;"]")*(INDIRECT($E122&amp;"[yr]")=M$5)*(INDIRECT($E122&amp;"[wk]")=M$6)/1000)+SUM(INDIRECT($E123&amp;"["&amp;$F123&amp;"]")*(INDIRECT($E123&amp;"[yr]")=M$5)*(INDIRECT($E123&amp;"[wk]")=M$6)/1000))/(SUM(INDIRECT($E105&amp;"["&amp;$F105&amp;"]")*(INDIRECT($E105&amp;"[yr]")=M$5)*(INDIRECT($E105&amp;"[wk]")=M$6))+SUM(INDIRECT($E119&amp;"["&amp;$F119&amp;"]")*(INDIRECT($E119&amp;"[yr]")=M$5)*(INDIRECT($E119&amp;"[wk]")=M$6)))</f>
        <v>35.196333670417637</v>
      </c>
      <c r="N122" s="128">
        <f t="array" aca="1" ref="N122" ca="1">1000*(SUM(INDIRECT($E122&amp;"["&amp;$F122&amp;"]")*(INDIRECT($E122&amp;"[yr]")=N$5)*(INDIRECT($E122&amp;"[wk]")=N$6)/1000)+SUM(INDIRECT($E123&amp;"["&amp;$F123&amp;"]")*(INDIRECT($E123&amp;"[yr]")=N$5)*(INDIRECT($E123&amp;"[wk]")=N$6)/1000))/(SUM(INDIRECT($E105&amp;"["&amp;$F105&amp;"]")*(INDIRECT($E105&amp;"[yr]")=N$5)*(INDIRECT($E105&amp;"[wk]")=N$6))+SUM(INDIRECT($E119&amp;"["&amp;$F119&amp;"]")*(INDIRECT($E119&amp;"[yr]")=N$5)*(INDIRECT($E119&amp;"[wk]")=N$6)))</f>
        <v>35.715970013124831</v>
      </c>
      <c r="O122" s="128">
        <f t="array" aca="1" ref="O122" ca="1">1000*(SUM(INDIRECT($E122&amp;"["&amp;$F122&amp;"]")*(INDIRECT($E122&amp;"[yr]")=O$5)*(INDIRECT($E122&amp;"[wk]")=O$6)/1000)+SUM(INDIRECT($E123&amp;"["&amp;$F123&amp;"]")*(INDIRECT($E123&amp;"[yr]")=O$5)*(INDIRECT($E123&amp;"[wk]")=O$6)/1000))/(SUM(INDIRECT($E105&amp;"["&amp;$F105&amp;"]")*(INDIRECT($E105&amp;"[yr]")=O$5)*(INDIRECT($E105&amp;"[wk]")=O$6))+SUM(INDIRECT($E119&amp;"["&amp;$F119&amp;"]")*(INDIRECT($E119&amp;"[yr]")=O$5)*(INDIRECT($E119&amp;"[wk]")=O$6)))</f>
        <v>31.868606550330956</v>
      </c>
      <c r="P122" s="154">
        <f t="array" aca="1" ref="P122" ca="1">1000*(SUM(INDIRECT($E122&amp;"["&amp;$F122&amp;"]")*(INDIRECT($E122&amp;"[yr]")=P$5)*(INDIRECT($E122&amp;"[wk]")=P$6)/1000)+SUM(INDIRECT($E123&amp;"["&amp;$F123&amp;"]")*(INDIRECT($E123&amp;"[yr]")=P$5)*(INDIRECT($E123&amp;"[wk]")=P$6)/1000))/(SUM(INDIRECT($E105&amp;"["&amp;$F105&amp;"]")*(INDIRECT($E105&amp;"[yr]")=P$5)*(INDIRECT($E105&amp;"[wk]")=P$6))+SUM(INDIRECT($E119&amp;"["&amp;$F119&amp;"]")*(INDIRECT($E119&amp;"[yr]")=P$5)*(INDIRECT($E119&amp;"[wk]")=P$6)))</f>
        <v>39.736640014455432</v>
      </c>
      <c r="Q122" s="128">
        <f t="array" aca="1" ref="Q122" ca="1">1000*(SUM(INDIRECT($E122&amp;"["&amp;$F122&amp;"]")*(INDIRECT($E122&amp;"[yr]")=Q$5)*(INDIRECT($E122&amp;"[wk]")=Q$6)/1000)+SUM(INDIRECT($E123&amp;"["&amp;$F123&amp;"]")*(INDIRECT($E123&amp;"[yr]")=Q$5)*(INDIRECT($E123&amp;"[wk]")=Q$6)/1000))/(SUM(INDIRECT($E105&amp;"["&amp;$F105&amp;"]")*(INDIRECT($E105&amp;"[yr]")=Q$5)*(INDIRECT($E105&amp;"[wk]")=Q$6))+SUM(INDIRECT($E119&amp;"["&amp;$F119&amp;"]")*(INDIRECT($E119&amp;"[yr]")=Q$5)*(INDIRECT($E119&amp;"[wk]")=Q$6)))</f>
        <v>32.967032967032964</v>
      </c>
      <c r="R122" s="128">
        <f t="array" aca="1" ref="R122" ca="1">1000*(SUM(INDIRECT($E122&amp;"["&amp;$F122&amp;"]")*(INDIRECT($E122&amp;"[yr]")=R$5)*(INDIRECT($E122&amp;"[wk]")=R$6)/1000)+SUM(INDIRECT($E123&amp;"["&amp;$F123&amp;"]")*(INDIRECT($E123&amp;"[yr]")=R$5)*(INDIRECT($E123&amp;"[wk]")=R$6)/1000))/(SUM(INDIRECT($E105&amp;"["&amp;$F105&amp;"]")*(INDIRECT($E105&amp;"[yr]")=R$5)*(INDIRECT($E105&amp;"[wk]")=R$6))+SUM(INDIRECT($E119&amp;"["&amp;$F119&amp;"]")*(INDIRECT($E119&amp;"[yr]")=R$5)*(INDIRECT($E119&amp;"[wk]")=R$6)))</f>
        <v>0.84803575629263706</v>
      </c>
      <c r="S122" s="128">
        <f t="array" aca="1" ref="S122" ca="1">1000*(SUM(INDIRECT($E122&amp;"["&amp;$F122&amp;"]")*(INDIRECT($E122&amp;"[yr]")=S$5)*(INDIRECT($E122&amp;"[wk]")=S$6)/1000)+SUM(INDIRECT($E123&amp;"["&amp;$F123&amp;"]")*(INDIRECT($E123&amp;"[yr]")=S$5)*(INDIRECT($E123&amp;"[wk]")=S$6)/1000))/(SUM(INDIRECT($E105&amp;"["&amp;$F105&amp;"]")*(INDIRECT($E105&amp;"[yr]")=S$5)*(INDIRECT($E105&amp;"[wk]")=S$6))+SUM(INDIRECT($E119&amp;"["&amp;$F119&amp;"]")*(INDIRECT($E119&amp;"[yr]")=S$5)*(INDIRECT($E119&amp;"[wk]")=S$6)))</f>
        <v>0.61667944860676849</v>
      </c>
      <c r="T122" s="129">
        <f t="array" aca="1" ref="T122" ca="1">1000*(SUM(INDIRECT($E122&amp;"["&amp;$F122&amp;"]")*(INDIRECT($E122&amp;"[yr]")=T$5)*(INDIRECT($E122&amp;"[wk]")=T$6)/1000)+SUM(INDIRECT($E123&amp;"["&amp;$F123&amp;"]")*(INDIRECT($E123&amp;"[yr]")=T$5)*(INDIRECT($E123&amp;"[wk]")=T$6)/1000))/(SUM(INDIRECT($E105&amp;"["&amp;$F105&amp;"]")*(INDIRECT($E105&amp;"[yr]")=T$5)*(INDIRECT($E105&amp;"[wk]")=T$6))+SUM(INDIRECT($E119&amp;"["&amp;$F119&amp;"]")*(INDIRECT($E119&amp;"[yr]")=T$5)*(INDIRECT($E119&amp;"[wk]")=T$6)))</f>
        <v>0.84324144802391232</v>
      </c>
      <c r="U122" s="130">
        <f ca="1">AVERAGE(Q122:T122)</f>
        <v>8.8187474049890699</v>
      </c>
      <c r="V122" s="47">
        <f t="array" aca="1" ref="V122" ca="1">SUM(T122/S122)-1</f>
        <v>0.36739022182270453</v>
      </c>
      <c r="W122" s="131">
        <v>40</v>
      </c>
      <c r="X122" s="49"/>
    </row>
    <row r="123" spans="2:24" ht="14.15" customHeight="1" x14ac:dyDescent="0.4">
      <c r="B123" s="329"/>
      <c r="D123" s="204" t="s">
        <v>67</v>
      </c>
      <c r="E123" t="s">
        <v>157</v>
      </c>
      <c r="F123" t="s">
        <v>226</v>
      </c>
      <c r="I123" s="50">
        <f t="array" aca="1" ref="I123" ca="1">I122/(1000*(SUM(INDIRECT($E122&amp;"["&amp;$F122&amp;"]")*(INDIRECT($E122&amp;"[yr]")=I$5-1)*(INDIRECT($E122&amp;"[wk]")=I$6)/1000)+SUM(INDIRECT($E123&amp;"["&amp;$F123&amp;"]")*(INDIRECT($E123&amp;"[yr]")=I$5-1)*(INDIRECT($E123&amp;"[wk]")=I$6)/1000))/(SUM(INDIRECT($E105&amp;"["&amp;$F105&amp;"]")*(INDIRECT($E105&amp;"[yr]")=I$5-1)*(INDIRECT($E105&amp;"[wk]")=I$6))+SUM(INDIRECT($E119&amp;"["&amp;$F119&amp;"]")*(INDIRECT($E119&amp;"[yr]")=I$5-1)*(INDIRECT($E119&amp;"[wk]")=I$6))))-1</f>
        <v>-0.5738929459939861</v>
      </c>
      <c r="J123" s="50">
        <f t="array" aca="1" ref="J123" ca="1">J122/(1000*(SUM(INDIRECT($E122&amp;"["&amp;$F122&amp;"]")*(INDIRECT($E122&amp;"[yr]")=J$5-1)*(INDIRECT($E122&amp;"[wk]")=J$6)/1000)+SUM(INDIRECT($E123&amp;"["&amp;$F123&amp;"]")*(INDIRECT($E123&amp;"[yr]")=J$5-1)*(INDIRECT($E123&amp;"[wk]")=J$6)/1000))/(SUM(INDIRECT($E105&amp;"["&amp;$F105&amp;"]")*(INDIRECT($E105&amp;"[yr]")=J$5-1)*(INDIRECT($E105&amp;"[wk]")=J$6))+SUM(INDIRECT($E119&amp;"["&amp;$F119&amp;"]")*(INDIRECT($E119&amp;"[yr]")=J$5-1)*(INDIRECT($E119&amp;"[wk]")=J$6))))-1</f>
        <v>-0.57520812922871012</v>
      </c>
      <c r="K123" s="50">
        <f t="array" aca="1" ref="K123" ca="1">K122/(1000*(SUM(INDIRECT($E122&amp;"["&amp;$F122&amp;"]")*(INDIRECT($E122&amp;"[yr]")=K$5-1)*(INDIRECT($E122&amp;"[wk]")=K$6)/1000)+SUM(INDIRECT($E123&amp;"["&amp;$F123&amp;"]")*(INDIRECT($E123&amp;"[yr]")=K$5-1)*(INDIRECT($E123&amp;"[wk]")=K$6)/1000))/(SUM(INDIRECT($E105&amp;"["&amp;$F105&amp;"]")*(INDIRECT($E105&amp;"[yr]")=K$5-1)*(INDIRECT($E105&amp;"[wk]")=K$6))+SUM(INDIRECT($E119&amp;"["&amp;$F119&amp;"]")*(INDIRECT($E119&amp;"[yr]")=K$5-1)*(INDIRECT($E119&amp;"[wk]")=K$6))))-1</f>
        <v>-0.59750525318321213</v>
      </c>
      <c r="L123" s="50">
        <f t="array" aca="1" ref="L123" ca="1">L122/(1000*(SUM(INDIRECT($E122&amp;"["&amp;$F122&amp;"]")*(INDIRECT($E122&amp;"[yr]")=L$5-1)*(INDIRECT($E122&amp;"[wk]")=L$6)/1000)+SUM(INDIRECT($E123&amp;"["&amp;$F123&amp;"]")*(INDIRECT($E123&amp;"[yr]")=L$5-1)*(INDIRECT($E123&amp;"[wk]")=L$6)/1000))/(SUM(INDIRECT($E105&amp;"["&amp;$F105&amp;"]")*(INDIRECT($E105&amp;"[yr]")=L$5-1)*(INDIRECT($E105&amp;"[wk]")=L$6))+SUM(INDIRECT($E119&amp;"["&amp;$F119&amp;"]")*(INDIRECT($E119&amp;"[yr]")=L$5-1)*(INDIRECT($E119&amp;"[wk]")=L$6))))-1</f>
        <v>-0.48772807438992249</v>
      </c>
      <c r="M123" s="50">
        <f t="array" aca="1" ref="M123" ca="1">M122/(1000*(SUM(INDIRECT($E122&amp;"["&amp;$F122&amp;"]")*(INDIRECT($E122&amp;"[yr]")=M$5-1)*(INDIRECT($E122&amp;"[wk]")=M$6)/1000)+SUM(INDIRECT($E123&amp;"["&amp;$F123&amp;"]")*(INDIRECT($E123&amp;"[yr]")=M$5-1)*(INDIRECT($E123&amp;"[wk]")=M$6)/1000))/(SUM(INDIRECT($E105&amp;"["&amp;$F105&amp;"]")*(INDIRECT($E105&amp;"[yr]")=M$5-1)*(INDIRECT($E105&amp;"[wk]")=M$6))+SUM(INDIRECT($E119&amp;"["&amp;$F119&amp;"]")*(INDIRECT($E119&amp;"[yr]")=M$5-1)*(INDIRECT($E119&amp;"[wk]")=M$6))))-1</f>
        <v>-0.50125197989920611</v>
      </c>
      <c r="N123" s="50">
        <f t="array" aca="1" ref="N123" ca="1">N122/(1000*(SUM(INDIRECT($E122&amp;"["&amp;$F122&amp;"]")*(INDIRECT($E122&amp;"[yr]")=N$5-1)*(INDIRECT($E122&amp;"[wk]")=N$6)/1000)+SUM(INDIRECT($E123&amp;"["&amp;$F123&amp;"]")*(INDIRECT($E123&amp;"[yr]")=N$5-1)*(INDIRECT($E123&amp;"[wk]")=N$6)/1000))/(SUM(INDIRECT($E105&amp;"["&amp;$F105&amp;"]")*(INDIRECT($E105&amp;"[yr]")=N$5-1)*(INDIRECT($E105&amp;"[wk]")=N$6))+SUM(INDIRECT($E119&amp;"["&amp;$F119&amp;"]")*(INDIRECT($E119&amp;"[yr]")=N$5-1)*(INDIRECT($E119&amp;"[wk]")=N$6))))-1</f>
        <v>-0.54512538286335932</v>
      </c>
      <c r="O123" s="50">
        <f t="array" aca="1" ref="O123" ca="1">O122/(1000*(SUM(INDIRECT($E122&amp;"["&amp;$F122&amp;"]")*(INDIRECT($E122&amp;"[yr]")=O$5-1)*(INDIRECT($E122&amp;"[wk]")=O$6)/1000)+SUM(INDIRECT($E123&amp;"["&amp;$F123&amp;"]")*(INDIRECT($E123&amp;"[yr]")=O$5-1)*(INDIRECT($E123&amp;"[wk]")=O$6)/1000))/(SUM(INDIRECT($E105&amp;"["&amp;$F105&amp;"]")*(INDIRECT($E105&amp;"[yr]")=O$5-1)*(INDIRECT($E105&amp;"[wk]")=O$6))+SUM(INDIRECT($E119&amp;"["&amp;$F119&amp;"]")*(INDIRECT($E119&amp;"[yr]")=O$5-1)*(INDIRECT($E119&amp;"[wk]")=O$6))))-1</f>
        <v>-0.66044063077889548</v>
      </c>
      <c r="P123" s="54">
        <f t="array" aca="1" ref="P123" ca="1">P122/(1000*(SUM(INDIRECT($E122&amp;"["&amp;$F122&amp;"]")*(INDIRECT($E122&amp;"[yr]")=P$5-1)*(INDIRECT($E122&amp;"[wk]")=P$6)/1000)+SUM(INDIRECT($E123&amp;"["&amp;$F123&amp;"]")*(INDIRECT($E123&amp;"[yr]")=P$5-1)*(INDIRECT($E123&amp;"[wk]")=P$6)/1000))/(SUM(INDIRECT($E105&amp;"["&amp;$F105&amp;"]")*(INDIRECT($E105&amp;"[yr]")=P$5-1)*(INDIRECT($E105&amp;"[wk]")=P$6))+SUM(INDIRECT($E119&amp;"["&amp;$F119&amp;"]")*(INDIRECT($E119&amp;"[yr]")=P$5-1)*(INDIRECT($E119&amp;"[wk]")=P$6))))-1</f>
        <v>-0.5006804508102356</v>
      </c>
      <c r="Q123" s="50">
        <f t="array" aca="1" ref="Q123" ca="1">Q122/(1000*(SUM(INDIRECT($E122&amp;"["&amp;$F122&amp;"]")*(INDIRECT($E122&amp;"[yr]")=Q$5-1)*(INDIRECT($E122&amp;"[wk]")=Q$6)/1000)+SUM(INDIRECT($E123&amp;"["&amp;$F123&amp;"]")*(INDIRECT($E123&amp;"[yr]")=Q$5-1)*(INDIRECT($E123&amp;"[wk]")=Q$6)/1000))/(SUM(INDIRECT($E105&amp;"["&amp;$F105&amp;"]")*(INDIRECT($E105&amp;"[yr]")=Q$5-1)*(INDIRECT($E105&amp;"[wk]")=Q$6))+SUM(INDIRECT($E119&amp;"["&amp;$F119&amp;"]")*(INDIRECT($E119&amp;"[yr]")=Q$5-1)*(INDIRECT($E119&amp;"[wk]")=Q$6))))-1</f>
        <v>-0.58256278058082578</v>
      </c>
      <c r="R123" s="50">
        <f t="array" aca="1" ref="R123" ca="1">R122/(1000*(SUM(INDIRECT($E122&amp;"["&amp;$F122&amp;"]")*(INDIRECT($E122&amp;"[yr]")=R$5-1)*(INDIRECT($E122&amp;"[wk]")=R$6)/1000)+SUM(INDIRECT($E123&amp;"["&amp;$F123&amp;"]")*(INDIRECT($E123&amp;"[yr]")=R$5-1)*(INDIRECT($E123&amp;"[wk]")=R$6)/1000))/(SUM(INDIRECT($E105&amp;"["&amp;$F105&amp;"]")*(INDIRECT($E105&amp;"[yr]")=R$5-1)*(INDIRECT($E105&amp;"[wk]")=R$6))+SUM(INDIRECT($E119&amp;"["&amp;$F119&amp;"]")*(INDIRECT($E119&amp;"[yr]")=R$5-1)*(INDIRECT($E119&amp;"[wk]")=R$6))))-1</f>
        <v>-0.98807040266265367</v>
      </c>
      <c r="S123" s="50">
        <f t="array" aca="1" ref="S123" ca="1">S122/(1000*(SUM(INDIRECT($E122&amp;"["&amp;$F122&amp;"]")*(INDIRECT($E122&amp;"[yr]")=S$5-1)*(INDIRECT($E122&amp;"[wk]")=S$6)/1000)+SUM(INDIRECT($E123&amp;"["&amp;$F123&amp;"]")*(INDIRECT($E123&amp;"[yr]")=S$5-1)*(INDIRECT($E123&amp;"[wk]")=S$6)/1000))/(SUM(INDIRECT($E105&amp;"["&amp;$F105&amp;"]")*(INDIRECT($E105&amp;"[yr]")=S$5-1)*(INDIRECT($E105&amp;"[wk]")=S$6))+SUM(INDIRECT($E119&amp;"["&amp;$F119&amp;"]")*(INDIRECT($E119&amp;"[yr]")=S$5-1)*(INDIRECT($E119&amp;"[wk]")=S$6))))-1</f>
        <v>-0.99190168354804809</v>
      </c>
      <c r="T123" s="52">
        <f t="array" aca="1" ref="T123" ca="1">T122/(1000*(SUM(INDIRECT($E122&amp;"["&amp;$F122&amp;"]")*(INDIRECT($E122&amp;"[yr]")=T$5-1)*(INDIRECT($E122&amp;"[wk]")=T$6)/1000)+SUM(INDIRECT($E123&amp;"["&amp;$F123&amp;"]")*(INDIRECT($E123&amp;"[yr]")=T$5-1)*(INDIRECT($E123&amp;"[wk]")=T$6)/1000))/(SUM(INDIRECT($E105&amp;"["&amp;$F105&amp;"]")*(INDIRECT($E105&amp;"[yr]")=T$5-1)*(INDIRECT($E105&amp;"[wk]")=T$6))+SUM(INDIRECT($E119&amp;"["&amp;$F119&amp;"]")*(INDIRECT($E119&amp;"[yr]")=T$5-1)*(INDIRECT($E119&amp;"[wk]")=T$6))))-1</f>
        <v>-0.989452365917044</v>
      </c>
      <c r="U123" s="53">
        <f ca="1">SUMPRODUCT(Q123:T123,Q122:T122)/SUM(Q122:T122)</f>
        <v>-0.60919417084331984</v>
      </c>
      <c r="V123" s="186"/>
      <c r="W123" s="80"/>
      <c r="X123" s="56"/>
    </row>
    <row r="124" spans="2:24" ht="3" customHeight="1" x14ac:dyDescent="0.4">
      <c r="B124" s="329"/>
      <c r="D124" s="61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8"/>
      <c r="R124" s="57"/>
      <c r="S124" s="57"/>
      <c r="T124" s="59"/>
      <c r="U124" s="57"/>
      <c r="V124" s="114"/>
      <c r="W124" s="114"/>
      <c r="X124" s="61"/>
    </row>
    <row r="125" spans="2:24" ht="14.15" customHeight="1" x14ac:dyDescent="0.4">
      <c r="B125" s="329"/>
      <c r="D125" s="201" t="s">
        <v>158</v>
      </c>
      <c r="E125" t="s">
        <v>195</v>
      </c>
      <c r="F125" s="63" t="s">
        <v>159</v>
      </c>
      <c r="G125" s="63"/>
      <c r="H125" s="63"/>
      <c r="I125" s="165">
        <f t="array" aca="1" ref="I125" ca="1">SUM(INDIRECT($E125&amp;"["&amp;$F125&amp;"]")*(INDIRECT($E125&amp;"[yr]")=I$5)*(INDIRECT($E125&amp;"[wk]")=I$6)*(IF($G$2=0,1,(INDIRECT($E125&amp;"[siteflag]")=$G$2))))/1000</f>
        <v>0.152</v>
      </c>
      <c r="J125" s="165">
        <f t="array" aca="1" ref="J125" ca="1">SUM(INDIRECT($E125&amp;"["&amp;$F125&amp;"]")*(INDIRECT($E125&amp;"[yr]")=J$5)*(INDIRECT($E125&amp;"[wk]")=J$6)*(IF($G$2=0,1,(INDIRECT($E125&amp;"[siteflag]")=$G$2))))/1000</f>
        <v>5.1999999999999998E-2</v>
      </c>
      <c r="K125" s="165">
        <f t="array" aca="1" ref="K125" ca="1">SUM(INDIRECT($E125&amp;"["&amp;$F125&amp;"]")*(INDIRECT($E125&amp;"[yr]")=K$5)*(INDIRECT($E125&amp;"[wk]")=K$6)*(IF($G$2=0,1,(INDIRECT($E125&amp;"[siteflag]")=$G$2))))/1000</f>
        <v>5.2999999999999999E-2</v>
      </c>
      <c r="L125" s="165">
        <f t="array" aca="1" ref="L125" ca="1">SUM(INDIRECT($E125&amp;"["&amp;$F125&amp;"]")*(INDIRECT($E125&amp;"[yr]")=L$5)*(INDIRECT($E125&amp;"[wk]")=L$6)*(IF($G$2=0,1,(INDIRECT($E125&amp;"[siteflag]")=$G$2))))/1000</f>
        <v>1.81</v>
      </c>
      <c r="M125" s="165">
        <f t="array" aca="1" ref="M125" ca="1">SUM(INDIRECT($E125&amp;"["&amp;$F125&amp;"]")*(INDIRECT($E125&amp;"[yr]")=M$5)*(INDIRECT($E125&amp;"[wk]")=M$6)*(IF($G$2=0,1,(INDIRECT($E125&amp;"[siteflag]")=$G$2))))/1000</f>
        <v>0.11</v>
      </c>
      <c r="N125" s="165">
        <f t="array" aca="1" ref="N125" ca="1">SUM(INDIRECT($E125&amp;"["&amp;$F125&amp;"]")*(INDIRECT($E125&amp;"[yr]")=N$5)*(INDIRECT($E125&amp;"[wk]")=N$6)*(IF($G$2=0,1,(INDIRECT($E125&amp;"[siteflag]")=$G$2))))/1000</f>
        <v>0.20699999999999999</v>
      </c>
      <c r="O125" s="165">
        <f t="array" aca="1" ref="O125" ca="1">SUM(INDIRECT($E125&amp;"["&amp;$F125&amp;"]")*(INDIRECT($E125&amp;"[yr]")=O$5)*(INDIRECT($E125&amp;"[wk]")=O$6)*(IF($G$2=0,1,(INDIRECT($E125&amp;"[siteflag]")=$G$2))))/1000</f>
        <v>3.6999999999999998E-2</v>
      </c>
      <c r="P125" s="198">
        <f t="array" aca="1" ref="P125" ca="1">SUM(INDIRECT($E125&amp;"["&amp;$F125&amp;"]")*(INDIRECT($E125&amp;"[yr]")=P$5)*(INDIRECT($E125&amp;"[wk]")=P$6)*(IF($G$2=0,1,(INDIRECT($E125&amp;"[siteflag]")=$G$2))))/1000</f>
        <v>0.106</v>
      </c>
      <c r="Q125" s="165">
        <f t="array" aca="1" ref="Q125" ca="1">SUM(INDIRECT($E125&amp;"["&amp;$F125&amp;"]")*(INDIRECT($E125&amp;"[yr]")=Q$5)*(INDIRECT($E125&amp;"[wk]")=Q$6)*(IF($G$2=0,1,(INDIRECT($E125&amp;"[siteflag]")=$G$2))))/1000</f>
        <v>0.14699999999999999</v>
      </c>
      <c r="R125" s="165">
        <f t="array" aca="1" ref="R125" ca="1">SUM(INDIRECT($E125&amp;"["&amp;$F125&amp;"]")*(INDIRECT($E125&amp;"[yr]")=R$5)*(INDIRECT($E125&amp;"[wk]")=R$6)*(IF($G$2=0,1,(INDIRECT($E125&amp;"[siteflag]")=$G$2))))/1000</f>
        <v>9.9000000000000005E-2</v>
      </c>
      <c r="S125" s="165">
        <f t="array" aca="1" ref="S125" ca="1">SUM(INDIRECT($E125&amp;"["&amp;$F125&amp;"]")*(INDIRECT($E125&amp;"[yr]")=S$5)*(INDIRECT($E125&amp;"[wk]")=S$6)*(IF($G$2=0,1,(INDIRECT($E125&amp;"[siteflag]")=$G$2))))/1000</f>
        <v>8.5999999999999993E-2</v>
      </c>
      <c r="T125" s="166">
        <f t="array" aca="1" ref="T125" ca="1">SUM(INDIRECT($E125&amp;"["&amp;$F125&amp;"]")*(INDIRECT($E125&amp;"[yr]")=T$5)*(INDIRECT($E125&amp;"[wk]")=T$6)*(IF($G$2=0,1,(INDIRECT($E125&amp;"[siteflag]")=$G$2))))/1000</f>
        <v>0.19500000000000001</v>
      </c>
      <c r="U125" s="173" t="e">
        <f t="array" aca="1" ref="U125" ca="1">SUM(Q125:T125*$R$76:$U$76)/SUM($R$76:$U$76)</f>
        <v>#DIV/0!</v>
      </c>
      <c r="V125" s="47">
        <f t="array" aca="1" ref="V125" ca="1">IFERROR(SUM(T125/S125)-1,0)</f>
        <v>1.2674418604651168</v>
      </c>
      <c r="W125" s="131"/>
      <c r="X125" s="49"/>
    </row>
    <row r="126" spans="2:24" ht="14.15" customHeight="1" outlineLevel="1" x14ac:dyDescent="0.4">
      <c r="B126" s="329"/>
      <c r="D126" s="212" t="s">
        <v>144</v>
      </c>
      <c r="E126" t="s">
        <v>145</v>
      </c>
      <c r="F126" t="s">
        <v>146</v>
      </c>
      <c r="I126" s="92">
        <f t="array" aca="1" ref="I126" ca="1">SUM(INDIRECT($E126&amp;"["&amp;$F126&amp;"]")*(INDIRECT($E126&amp;"[yr]")=I$5)*(INDIRECT($E126&amp;"[wk]")=I$6)*(INDIRECT($E126&amp;"["&amp;$E127&amp;"]")=$F$127))</f>
        <v>15</v>
      </c>
      <c r="J126" s="92">
        <f t="array" aca="1" ref="J126" ca="1">SUM(INDIRECT($E126&amp;"["&amp;$F126&amp;"]")*(INDIRECT($E126&amp;"[yr]")=J$5)*(INDIRECT($E126&amp;"[wk]")=J$6)*(INDIRECT($E126&amp;"["&amp;$E127&amp;"]")=$F$127))</f>
        <v>15</v>
      </c>
      <c r="K126" s="92">
        <f t="array" aca="1" ref="K126" ca="1">SUM(INDIRECT($E126&amp;"["&amp;$F126&amp;"]")*(INDIRECT($E126&amp;"[yr]")=K$5)*(INDIRECT($E126&amp;"[wk]")=K$6)*(INDIRECT($E126&amp;"["&amp;$E127&amp;"]")=$F$127))</f>
        <v>14</v>
      </c>
      <c r="L126" s="92">
        <f t="array" aca="1" ref="L126" ca="1">SUM(INDIRECT($E126&amp;"["&amp;$F126&amp;"]")*(INDIRECT($E126&amp;"[yr]")=L$5)*(INDIRECT($E126&amp;"[wk]")=L$6)*(INDIRECT($E126&amp;"["&amp;$E127&amp;"]")=$F$127))</f>
        <v>13</v>
      </c>
      <c r="M126" s="92">
        <f t="array" aca="1" ref="M126" ca="1">SUM(INDIRECT($E126&amp;"["&amp;$F126&amp;"]")*(INDIRECT($E126&amp;"[yr]")=M$5)*(INDIRECT($E126&amp;"[wk]")=M$6)*(INDIRECT($E126&amp;"["&amp;$E127&amp;"]")=$F$127))</f>
        <v>14</v>
      </c>
      <c r="N126" s="92">
        <f t="array" aca="1" ref="N126" ca="1">SUM(INDIRECT($E126&amp;"["&amp;$F126&amp;"]")*(INDIRECT($E126&amp;"[yr]")=N$5)*(INDIRECT($E126&amp;"[wk]")=N$6)*(INDIRECT($E126&amp;"["&amp;$E127&amp;"]")=$F$127))</f>
        <v>14</v>
      </c>
      <c r="O126" s="92">
        <f t="array" aca="1" ref="O126" ca="1">SUM(INDIRECT($E126&amp;"["&amp;$F126&amp;"]")*(INDIRECT($E126&amp;"[yr]")=O$5)*(INDIRECT($E126&amp;"[wk]")=O$6)*(INDIRECT($E126&amp;"["&amp;$E127&amp;"]")=$F$127))</f>
        <v>14</v>
      </c>
      <c r="P126" s="199">
        <f t="array" aca="1" ref="P126" ca="1">SUM(INDIRECT($E126&amp;"["&amp;$F126&amp;"]")*(INDIRECT($E126&amp;"[yr]")=P$5)*(INDIRECT($E126&amp;"[wk]")=P$6)*(INDIRECT($E126&amp;"["&amp;$E127&amp;"]")=$F$127))</f>
        <v>14</v>
      </c>
      <c r="Q126" s="92">
        <f t="array" aca="1" ref="Q126" ca="1">SUM(INDIRECT($E126&amp;"["&amp;$F126&amp;"]")*(INDIRECT($E126&amp;"[yr]")=Q$5)*(INDIRECT($E126&amp;"[wk]")=Q$6)*(INDIRECT($E126&amp;"["&amp;$E127&amp;"]")=$F$127))</f>
        <v>15</v>
      </c>
      <c r="R126" s="92">
        <f t="array" aca="1" ref="R126" ca="1">SUM(INDIRECT($E126&amp;"["&amp;$F126&amp;"]")*(INDIRECT($E126&amp;"[yr]")=R$5)*(INDIRECT($E126&amp;"[wk]")=R$6)*(INDIRECT($E126&amp;"["&amp;$E127&amp;"]")=$F$127))</f>
        <v>15</v>
      </c>
      <c r="S126" s="92">
        <f t="array" aca="1" ref="S126" ca="1">SUM(INDIRECT($E126&amp;"["&amp;$F126&amp;"]")*(INDIRECT($E126&amp;"[yr]")=S$5)*(INDIRECT($E126&amp;"[wk]")=S$6)*(INDIRECT($E126&amp;"["&amp;$E127&amp;"]")=$F$127))</f>
        <v>15</v>
      </c>
      <c r="T126" s="176">
        <f t="array" aca="1" ref="T126" ca="1">SUM(INDIRECT($E126&amp;"["&amp;$F126&amp;"]")*(INDIRECT($E126&amp;"[yr]")=T$5)*(INDIRECT($E126&amp;"[wk]")=T$6)*(INDIRECT($E126&amp;"["&amp;$E127&amp;"]")=$F$127))</f>
        <v>15</v>
      </c>
      <c r="U126" s="177" t="e">
        <f t="array" aca="1" ref="U126" ca="1">SUM(Q126:T126*$R$76:$U$76)/SUM($R$76:$U$76)</f>
        <v>#DIV/0!</v>
      </c>
      <c r="V126" s="108"/>
      <c r="W126" s="178"/>
      <c r="X126" s="81"/>
    </row>
    <row r="127" spans="2:24" ht="14.15" customHeight="1" outlineLevel="1" x14ac:dyDescent="0.4">
      <c r="B127" s="329"/>
      <c r="D127" s="212" t="s">
        <v>147</v>
      </c>
      <c r="E127" t="s">
        <v>148</v>
      </c>
      <c r="F127" t="s">
        <v>160</v>
      </c>
      <c r="I127" s="98">
        <f t="array" aca="1" ref="I127" ca="1">SUM(INDIRECT($E126&amp;"["&amp;$E128&amp;"]")*(INDIRECT($E126&amp;"[yr]")=I$5)*(INDIRECT($E126&amp;"[wk]")=I$6)*(INDIRECT($E126&amp;"["&amp;$E127&amp;"]")=$F$127))/I126/8/5</f>
        <v>0.88666666666666671</v>
      </c>
      <c r="J127" s="98">
        <f t="array" aca="1" ref="J127" ca="1">SUM(INDIRECT($E126&amp;"["&amp;$E128&amp;"]")*(INDIRECT($E126&amp;"[yr]")=J$5)*(INDIRECT($E126&amp;"[wk]")=J$6)*(INDIRECT($E126&amp;"["&amp;$E127&amp;"]")=$F$127))/J126/8/5</f>
        <v>0.91999999999999993</v>
      </c>
      <c r="K127" s="98">
        <f t="array" aca="1" ref="K127" ca="1">SUM(INDIRECT($E126&amp;"["&amp;$E128&amp;"]")*(INDIRECT($E126&amp;"[yr]")=K$5)*(INDIRECT($E126&amp;"[wk]")=K$6)*(INDIRECT($E126&amp;"["&amp;$E127&amp;"]")=$F$127))/K126/8/5</f>
        <v>0.75392857142857139</v>
      </c>
      <c r="L127" s="98">
        <f t="array" aca="1" ref="L127" ca="1">SUM(INDIRECT($E126&amp;"["&amp;$E128&amp;"]")*(INDIRECT($E126&amp;"[yr]")=L$5)*(INDIRECT($E126&amp;"[wk]")=L$6)*(INDIRECT($E126&amp;"["&amp;$E127&amp;"]")=$F$127))/L126/8/5</f>
        <v>0.51173076923076921</v>
      </c>
      <c r="M127" s="98">
        <f t="array" aca="1" ref="M127" ca="1">SUM(INDIRECT($E126&amp;"["&amp;$E128&amp;"]")*(INDIRECT($E126&amp;"[yr]")=M$5)*(INDIRECT($E126&amp;"[wk]")=M$6)*(INDIRECT($E126&amp;"["&amp;$E127&amp;"]")=$F$127))/M126/8/5</f>
        <v>0.85571428571428565</v>
      </c>
      <c r="N127" s="98">
        <f t="array" aca="1" ref="N127" ca="1">SUM(INDIRECT($E126&amp;"["&amp;$E128&amp;"]")*(INDIRECT($E126&amp;"[yr]")=N$5)*(INDIRECT($E126&amp;"[wk]")=N$6)*(INDIRECT($E126&amp;"["&amp;$E127&amp;"]")=$F$127))/N126/8/5</f>
        <v>0.72499999999999998</v>
      </c>
      <c r="O127" s="98">
        <f t="array" aca="1" ref="O127" ca="1">SUM(INDIRECT($E126&amp;"["&amp;$E128&amp;"]")*(INDIRECT($E126&amp;"[yr]")=O$5)*(INDIRECT($E126&amp;"[wk]")=O$6)*(INDIRECT($E126&amp;"["&amp;$E127&amp;"]")=$F$127))/O126/8/5</f>
        <v>0.8632142857142856</v>
      </c>
      <c r="P127" s="200">
        <f t="array" aca="1" ref="P127" ca="1">SUM(INDIRECT($E126&amp;"["&amp;$E128&amp;"]")*(INDIRECT($E126&amp;"[yr]")=P$5)*(INDIRECT($E126&amp;"[wk]")=P$6)*(INDIRECT($E126&amp;"["&amp;$E127&amp;"]")=$F$127))/P126/8/5</f>
        <v>0.71250000000000002</v>
      </c>
      <c r="Q127" s="98">
        <f t="array" aca="1" ref="Q127" ca="1">SUM(INDIRECT($E126&amp;"["&amp;$E128&amp;"]")*(INDIRECT($E126&amp;"[yr]")=Q$5)*(INDIRECT($E126&amp;"[wk]")=Q$6)*(INDIRECT($E126&amp;"["&amp;$E127&amp;"]")=$F$127))/Q126/8/5</f>
        <v>0.62416666666666665</v>
      </c>
      <c r="R127" s="98">
        <f t="array" aca="1" ref="R127" ca="1">SUM(INDIRECT($E126&amp;"["&amp;$E128&amp;"]")*(INDIRECT($E126&amp;"[yr]")=R$5)*(INDIRECT($E126&amp;"[wk]")=R$6)*(INDIRECT($E126&amp;"["&amp;$E127&amp;"]")=$F$127))/R126/8/5</f>
        <v>0.79083333333333328</v>
      </c>
      <c r="S127" s="98">
        <f t="array" aca="1" ref="S127" ca="1">SUM(INDIRECT($E126&amp;"["&amp;$E128&amp;"]")*(INDIRECT($E126&amp;"[yr]")=S$5)*(INDIRECT($E126&amp;"[wk]")=S$6)*(INDIRECT($E126&amp;"["&amp;$E127&amp;"]")=$F$127))/S126/8/5</f>
        <v>0.63833333333333342</v>
      </c>
      <c r="T127" s="179">
        <f t="array" aca="1" ref="T127" ca="1">SUM(INDIRECT($E126&amp;"["&amp;$E128&amp;"]")*(INDIRECT($E126&amp;"[yr]")=T$5)*(INDIRECT($E126&amp;"[wk]")=T$6)*(INDIRECT($E126&amp;"["&amp;$E127&amp;"]")=$F$127))/T126/8/5</f>
        <v>0.46516666666666673</v>
      </c>
      <c r="U127" s="180"/>
      <c r="V127" s="89"/>
      <c r="W127" s="178"/>
      <c r="X127" s="81"/>
    </row>
    <row r="128" spans="2:24" ht="14.15" customHeight="1" outlineLevel="1" x14ac:dyDescent="0.4">
      <c r="B128" s="329"/>
      <c r="D128" s="212" t="s">
        <v>150</v>
      </c>
      <c r="E128" t="s">
        <v>161</v>
      </c>
      <c r="F128" t="s">
        <v>152</v>
      </c>
      <c r="I128" s="98">
        <f t="array" aca="1" ref="I128" ca="1">SUM(INDIRECT($E126&amp;"["&amp;$F128&amp;"]")*(INDIRECT($E126&amp;"[yr]")=I$5)*(INDIRECT($E126&amp;"[wk]")=I$6)*(INDIRECT($E126&amp;"["&amp;$E127&amp;"]")=$F$127))/SUM(INDIRECT($E126&amp;"["&amp;$E128&amp;"]")*(INDIRECT($E126&amp;"[yr]")=I$5)*(INDIRECT($E126&amp;"[wk]")=I$6)*(INDIRECT($E126&amp;"["&amp;$E127&amp;"]")=$F$127))</f>
        <v>7.1052631578947367E-2</v>
      </c>
      <c r="J128" s="98">
        <f t="array" aca="1" ref="J128" ca="1">SUM(INDIRECT($E126&amp;"["&amp;$F128&amp;"]")*(INDIRECT($E126&amp;"[yr]")=J$5)*(INDIRECT($E126&amp;"[wk]")=J$6)*(INDIRECT($E126&amp;"["&amp;$E127&amp;"]")=$F$127))/SUM(INDIRECT($E126&amp;"["&amp;$E128&amp;"]")*(INDIRECT($E126&amp;"[yr]")=J$5)*(INDIRECT($E126&amp;"[wk]")=J$6)*(INDIRECT($E126&amp;"["&amp;$E127&amp;"]")=$F$127))</f>
        <v>7.8260869565217397E-2</v>
      </c>
      <c r="K128" s="98">
        <f t="array" aca="1" ref="K128" ca="1">SUM(INDIRECT($E126&amp;"["&amp;$F128&amp;"]")*(INDIRECT($E126&amp;"[yr]")=K$5)*(INDIRECT($E126&amp;"[wk]")=K$6)*(INDIRECT($E126&amp;"["&amp;$E127&amp;"]")=$F$127))/SUM(INDIRECT($E126&amp;"["&amp;$E128&amp;"]")*(INDIRECT($E126&amp;"[yr]")=K$5)*(INDIRECT($E126&amp;"[wk]")=K$6)*(INDIRECT($E126&amp;"["&amp;$E127&amp;"]")=$F$127))</f>
        <v>6.0161061108479394E-2</v>
      </c>
      <c r="L128" s="98">
        <f t="array" aca="1" ref="L128" ca="1">SUM(INDIRECT($E126&amp;"["&amp;$F128&amp;"]")*(INDIRECT($E126&amp;"[yr]")=L$5)*(INDIRECT($E126&amp;"[wk]")=L$6)*(INDIRECT($E126&amp;"["&amp;$E127&amp;"]")=$F$127))/SUM(INDIRECT($E126&amp;"["&amp;$E128&amp;"]")*(INDIRECT($E126&amp;"[yr]")=L$5)*(INDIRECT($E126&amp;"[wk]")=L$6)*(INDIRECT($E126&amp;"["&amp;$E127&amp;"]")=$F$127))</f>
        <v>1.6535137166478767E-2</v>
      </c>
      <c r="M128" s="98">
        <f t="array" aca="1" ref="M128" ca="1">SUM(INDIRECT($E126&amp;"["&amp;$F128&amp;"]")*(INDIRECT($E126&amp;"[yr]")=M$5)*(INDIRECT($E126&amp;"[wk]")=M$6)*(INDIRECT($E126&amp;"["&amp;$E127&amp;"]")=$F$127))/SUM(INDIRECT($E126&amp;"["&amp;$E128&amp;"]")*(INDIRECT($E126&amp;"[yr]")=M$5)*(INDIRECT($E126&amp;"[wk]")=M$6)*(INDIRECT($E126&amp;"["&amp;$E127&amp;"]")=$F$127))</f>
        <v>3.9649415692821367E-3</v>
      </c>
      <c r="N128" s="98">
        <f t="array" aca="1" ref="N128" ca="1">SUM(INDIRECT($E126&amp;"["&amp;$F128&amp;"]")*(INDIRECT($E126&amp;"[yr]")=N$5)*(INDIRECT($E126&amp;"[wk]")=N$6)*(INDIRECT($E126&amp;"["&amp;$E127&amp;"]")=$F$127))/SUM(INDIRECT($E126&amp;"["&amp;$E128&amp;"]")*(INDIRECT($E126&amp;"[yr]")=N$5)*(INDIRECT($E126&amp;"[wk]")=N$6)*(INDIRECT($E126&amp;"["&amp;$E127&amp;"]")=$F$127))</f>
        <v>6.1576354679802959E-3</v>
      </c>
      <c r="O128" s="98">
        <f t="array" aca="1" ref="O128" ca="1">SUM(INDIRECT($E126&amp;"["&amp;$F128&amp;"]")*(INDIRECT($E126&amp;"[yr]")=O$5)*(INDIRECT($E126&amp;"[wk]")=O$6)*(INDIRECT($E126&amp;"["&amp;$E127&amp;"]")=$F$127))/SUM(INDIRECT($E126&amp;"["&amp;$E128&amp;"]")*(INDIRECT($E126&amp;"[yr]")=O$5)*(INDIRECT($E126&amp;"[wk]")=O$6)*(INDIRECT($E126&amp;"["&amp;$E127&amp;"]")=$F$127))</f>
        <v>9.6607364501448093E-2</v>
      </c>
      <c r="P128" s="200">
        <f t="array" aca="1" ref="P128" ca="1">SUM(INDIRECT($E126&amp;"["&amp;$F128&amp;"]")*(INDIRECT($E126&amp;"[yr]")=P$5)*(INDIRECT($E126&amp;"[wk]")=P$6)*(INDIRECT($E126&amp;"["&amp;$E127&amp;"]")=$F$127))/SUM(INDIRECT($E126&amp;"["&amp;$E128&amp;"]")*(INDIRECT($E126&amp;"[yr]")=P$5)*(INDIRECT($E126&amp;"[wk]")=P$6)*(INDIRECT($E126&amp;"["&amp;$E127&amp;"]")=$F$127))</f>
        <v>3.2832080200501254E-2</v>
      </c>
      <c r="Q128" s="98">
        <f t="array" aca="1" ref="Q128" ca="1">SUM(INDIRECT($E126&amp;"["&amp;$F128&amp;"]")*(INDIRECT($E126&amp;"[yr]")=Q$5)*(INDIRECT($E126&amp;"[wk]")=Q$6)*(INDIRECT($E126&amp;"["&amp;$E127&amp;"]")=$F$127))/SUM(INDIRECT($E126&amp;"["&amp;$E128&amp;"]")*(INDIRECT($E126&amp;"[yr]")=Q$5)*(INDIRECT($E126&amp;"[wk]")=Q$6)*(INDIRECT($E126&amp;"["&amp;$E127&amp;"]")=$F$127))</f>
        <v>1.5220293724966623E-2</v>
      </c>
      <c r="R128" s="98">
        <f t="array" aca="1" ref="R128" ca="1">SUM(INDIRECT($E126&amp;"["&amp;$F128&amp;"]")*(INDIRECT($E126&amp;"[yr]")=R$5)*(INDIRECT($E126&amp;"[wk]")=R$6)*(INDIRECT($E126&amp;"["&amp;$E127&amp;"]")=$F$127))/SUM(INDIRECT($E126&amp;"["&amp;$E128&amp;"]")*(INDIRECT($E126&amp;"[yr]")=R$5)*(INDIRECT($E126&amp;"[wk]")=R$6)*(INDIRECT($E126&amp;"["&amp;$E127&amp;"]")=$F$127))</f>
        <v>4.8893572181243412E-2</v>
      </c>
      <c r="S128" s="98">
        <f t="array" aca="1" ref="S128" ca="1">SUM(INDIRECT($E126&amp;"["&amp;$F128&amp;"]")*(INDIRECT($E126&amp;"[yr]")=S$5)*(INDIRECT($E126&amp;"[wk]")=S$6)*(INDIRECT($E126&amp;"["&amp;$E127&amp;"]")=$F$127))/SUM(INDIRECT($E126&amp;"["&amp;$E128&amp;"]")*(INDIRECT($E126&amp;"[yr]")=S$5)*(INDIRECT($E126&amp;"[wk]")=S$6)*(INDIRECT($E126&amp;"["&amp;$E127&amp;"]")=$F$127))</f>
        <v>1.5665796344647518E-2</v>
      </c>
      <c r="T128" s="179">
        <f t="array" aca="1" ref="T128" ca="1">SUM(INDIRECT($E126&amp;"["&amp;$F128&amp;"]")*(INDIRECT($E126&amp;"[yr]")=T$5)*(INDIRECT($E126&amp;"[wk]")=T$6)*(INDIRECT($E126&amp;"["&amp;$E127&amp;"]")=$F$127))/SUM(INDIRECT($E126&amp;"["&amp;$E128&amp;"]")*(INDIRECT($E126&amp;"[yr]")=T$5)*(INDIRECT($E126&amp;"[wk]")=T$6)*(INDIRECT($E126&amp;"["&amp;$E127&amp;"]")=$F$127))</f>
        <v>4.6578287352203509E-3</v>
      </c>
      <c r="U128" s="180"/>
      <c r="V128" s="89"/>
      <c r="W128" s="178"/>
      <c r="X128" s="81"/>
    </row>
    <row r="129" spans="2:24" ht="14.15" customHeight="1" outlineLevel="1" x14ac:dyDescent="0.4">
      <c r="B129" s="329"/>
      <c r="D129" s="212" t="s">
        <v>153</v>
      </c>
      <c r="E129" t="s">
        <v>125</v>
      </c>
      <c r="F129" t="s">
        <v>129</v>
      </c>
      <c r="I129" s="117">
        <f t="array" aca="1" ref="I129" ca="1">SUM(INDIRECT($E129&amp;"["&amp;$F129&amp;"]")*(INDIRECT($E129&amp;"[yr]")=I$5)*(INDIRECT($E129&amp;"[wk]")=I$6))/40</f>
        <v>18.105</v>
      </c>
      <c r="J129" s="117">
        <f t="array" aca="1" ref="J129" ca="1">SUM(INDIRECT($E129&amp;"["&amp;$F129&amp;"]")*(INDIRECT($E129&amp;"[yr]")=J$5)*(INDIRECT($E129&amp;"[wk]")=J$6))/40</f>
        <v>17.23</v>
      </c>
      <c r="K129" s="117">
        <f t="array" aca="1" ref="K129" ca="1">SUM(INDIRECT($E129&amp;"["&amp;$F129&amp;"]")*(INDIRECT($E129&amp;"[yr]")=K$5)*(INDIRECT($E129&amp;"[wk]")=K$6))/40</f>
        <v>19.577500000000001</v>
      </c>
      <c r="L129" s="117">
        <f t="array" aca="1" ref="L129" ca="1">SUM(INDIRECT($E129&amp;"["&amp;$F129&amp;"]")*(INDIRECT($E129&amp;"[yr]")=L$5)*(INDIRECT($E129&amp;"[wk]")=L$6))/40</f>
        <v>8.1850000000000005</v>
      </c>
      <c r="M129" s="117">
        <f t="array" aca="1" ref="M129" ca="1">SUM(INDIRECT($E129&amp;"["&amp;$F129&amp;"]")*(INDIRECT($E129&amp;"[yr]")=M$5)*(INDIRECT($E129&amp;"[wk]")=M$6))/40</f>
        <v>20.490000000000002</v>
      </c>
      <c r="N129" s="117">
        <f t="array" aca="1" ref="N129" ca="1">SUM(INDIRECT($E129&amp;"["&amp;$F129&amp;"]")*(INDIRECT($E129&amp;"[yr]")=N$5)*(INDIRECT($E129&amp;"[wk]")=N$6))/40</f>
        <v>14.6875</v>
      </c>
      <c r="O129" s="117">
        <f t="array" aca="1" ref="O129" ca="1">SUM(INDIRECT($E129&amp;"["&amp;$F129&amp;"]")*(INDIRECT($E129&amp;"[yr]")=O$5)*(INDIRECT($E129&amp;"[wk]")=O$6))/40</f>
        <v>18.350000000000001</v>
      </c>
      <c r="P129" s="155">
        <f t="array" aca="1" ref="P129" ca="1">SUM(INDIRECT($E129&amp;"["&amp;$F129&amp;"]")*(INDIRECT($E129&amp;"[yr]")=P$5)*(INDIRECT($E129&amp;"[wk]")=P$6))/40</f>
        <v>12.842500000000001</v>
      </c>
      <c r="Q129" s="117">
        <f t="array" aca="1" ref="Q129" ca="1">SUM(INDIRECT($E129&amp;"["&amp;$F129&amp;"]")*(INDIRECT($E129&amp;"[yr]")=Q$5)*(INDIRECT($E129&amp;"[wk]")=Q$6))/40</f>
        <v>10.6</v>
      </c>
      <c r="R129" s="117">
        <f t="array" aca="1" ref="R129" ca="1">SUM(INDIRECT($E129&amp;"["&amp;$F129&amp;"]")*(INDIRECT($E129&amp;"[yr]")=R$5)*(INDIRECT($E129&amp;"[wk]")=R$6))/40</f>
        <v>14.967500000000001</v>
      </c>
      <c r="S129" s="117">
        <f t="array" aca="1" ref="S129" ca="1">SUM(INDIRECT($E129&amp;"["&amp;$F129&amp;"]")*(INDIRECT($E129&amp;"[yr]")=S$5)*(INDIRECT($E129&amp;"[wk]")=S$6))/40</f>
        <v>12.895</v>
      </c>
      <c r="T129" s="184">
        <f t="array" aca="1" ref="T129" ca="1">SUM(INDIRECT($E129&amp;"["&amp;$F129&amp;"]")*(INDIRECT($E129&amp;"[yr]")=T$5)*(INDIRECT($E129&amp;"[wk]")=T$6))/40</f>
        <v>8.1875</v>
      </c>
      <c r="U129" s="180"/>
      <c r="V129" s="89"/>
      <c r="W129" s="178"/>
      <c r="X129" s="81"/>
    </row>
    <row r="130" spans="2:24" ht="14.15" customHeight="1" x14ac:dyDescent="0.4">
      <c r="B130" s="329"/>
      <c r="D130" s="211" t="s">
        <v>162</v>
      </c>
      <c r="E130" s="40"/>
      <c r="F130" s="40"/>
      <c r="I130" s="118">
        <f t="shared" ref="I130:T130" ca="1" si="5">I125/($U116/(5.5*4))</f>
        <v>5.1738476236892289E-2</v>
      </c>
      <c r="J130" s="118">
        <f t="shared" ca="1" si="5"/>
        <v>1.7700005028410518E-2</v>
      </c>
      <c r="K130" s="118">
        <f t="shared" ca="1" si="5"/>
        <v>1.8040389740495336E-2</v>
      </c>
      <c r="L130" s="118">
        <f t="shared" ca="1" si="5"/>
        <v>0.61609632887352006</v>
      </c>
      <c r="M130" s="118">
        <f t="shared" ca="1" si="5"/>
        <v>3.7442318329329947E-2</v>
      </c>
      <c r="N130" s="118">
        <f t="shared" ca="1" si="5"/>
        <v>7.0459635401557252E-2</v>
      </c>
      <c r="O130" s="118">
        <f t="shared" ca="1" si="5"/>
        <v>1.2594234347138253E-2</v>
      </c>
      <c r="P130" s="118">
        <f t="shared" ca="1" si="5"/>
        <v>3.6080779480990671E-2</v>
      </c>
      <c r="Q130" s="181">
        <f t="shared" ca="1" si="5"/>
        <v>5.0036552676468199E-2</v>
      </c>
      <c r="R130" s="182">
        <f t="shared" ca="1" si="5"/>
        <v>3.3698086496396953E-2</v>
      </c>
      <c r="S130" s="182">
        <f t="shared" ca="1" si="5"/>
        <v>2.9273085239294318E-2</v>
      </c>
      <c r="T130" s="187">
        <f t="shared" ca="1" si="5"/>
        <v>6.6375018856539444E-2</v>
      </c>
      <c r="U130" s="185" t="e">
        <f t="array" aca="1" ref="U130" ca="1">U125/($U116/(5.5*4))</f>
        <v>#DIV/0!</v>
      </c>
      <c r="V130" s="89">
        <f ca="1">IFERROR(SUM(T130/S130)-1,0)</f>
        <v>1.2674418604651163</v>
      </c>
      <c r="W130" s="178"/>
      <c r="X130" s="81"/>
    </row>
    <row r="131" spans="2:24" ht="3" customHeight="1" x14ac:dyDescent="0.4">
      <c r="B131" s="329"/>
      <c r="D131" s="61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61"/>
      <c r="Q131" s="57"/>
      <c r="R131" s="57"/>
      <c r="S131" s="57"/>
      <c r="T131" s="59"/>
      <c r="U131" s="57"/>
      <c r="V131" s="114"/>
      <c r="W131" s="114"/>
      <c r="X131" s="61"/>
    </row>
    <row r="132" spans="2:24" ht="14.15" customHeight="1" x14ac:dyDescent="0.4">
      <c r="B132" s="329"/>
      <c r="D132" s="203" t="s">
        <v>431</v>
      </c>
      <c r="E132" s="63" t="s">
        <v>125</v>
      </c>
      <c r="I132" s="188">
        <f t="array" aca="1" ref="I132" ca="1">IFERROR(SUM(INDIRECT($E132&amp;"["&amp;$E133&amp;"]")*(INDIRECT($E132&amp;"[yr]")=I$5)*(INDIRECT($E132&amp;"[wk]")=I$6))/SUM(INDIRECT($E132&amp;"["&amp;$F133&amp;"]")*(INDIRECT($E132&amp;"[yr]")=I$5)*(INDIRECT($E132&amp;"[wk]")=I$6)),0)</f>
        <v>0</v>
      </c>
      <c r="J132" s="188">
        <f t="array" aca="1" ref="J132" ca="1">IFERROR(SUM(INDIRECT($E132&amp;"["&amp;$E133&amp;"]")*(INDIRECT($E132&amp;"[yr]")=J$5)*(INDIRECT($E132&amp;"[wk]")=J$6))/SUM(INDIRECT($E132&amp;"["&amp;$F133&amp;"]")*(INDIRECT($E132&amp;"[yr]")=J$5)*(INDIRECT($E132&amp;"[wk]")=J$6)),0)</f>
        <v>0</v>
      </c>
      <c r="K132" s="188">
        <f t="array" aca="1" ref="K132" ca="1">IFERROR(SUM(INDIRECT($E132&amp;"["&amp;$E133&amp;"]")*(INDIRECT($E132&amp;"[yr]")=K$5)*(INDIRECT($E132&amp;"[wk]")=K$6))/SUM(INDIRECT($E132&amp;"["&amp;$F133&amp;"]")*(INDIRECT($E132&amp;"[yr]")=K$5)*(INDIRECT($E132&amp;"[wk]")=K$6)),0)</f>
        <v>0</v>
      </c>
      <c r="L132" s="188">
        <f t="array" aca="1" ref="L132" ca="1">IFERROR(SUM(INDIRECT($E132&amp;"["&amp;$E133&amp;"]")*(INDIRECT($E132&amp;"[yr]")=L$5)*(INDIRECT($E132&amp;"[wk]")=L$6))/SUM(INDIRECT($E132&amp;"["&amp;$F133&amp;"]")*(INDIRECT($E132&amp;"[yr]")=L$5)*(INDIRECT($E132&amp;"[wk]")=L$6)),0)</f>
        <v>0</v>
      </c>
      <c r="M132" s="188">
        <f t="array" aca="1" ref="M132" ca="1">IFERROR(SUM(INDIRECT($E132&amp;"["&amp;$E133&amp;"]")*(INDIRECT($E132&amp;"[yr]")=M$5)*(INDIRECT($E132&amp;"[wk]")=M$6))/SUM(INDIRECT($E132&amp;"["&amp;$F133&amp;"]")*(INDIRECT($E132&amp;"[yr]")=M$5)*(INDIRECT($E132&amp;"[wk]")=M$6)),0)</f>
        <v>0</v>
      </c>
      <c r="N132" s="188">
        <f t="array" aca="1" ref="N132" ca="1">IFERROR(SUM(INDIRECT($E132&amp;"["&amp;$E133&amp;"]")*(INDIRECT($E132&amp;"[yr]")=N$5)*(INDIRECT($E132&amp;"[wk]")=N$6))/SUM(INDIRECT($E132&amp;"["&amp;$F133&amp;"]")*(INDIRECT($E132&amp;"[yr]")=N$5)*(INDIRECT($E132&amp;"[wk]")=N$6)),0)</f>
        <v>0</v>
      </c>
      <c r="O132" s="188">
        <f t="array" aca="1" ref="O132" ca="1">IFERROR(SUM(INDIRECT($E132&amp;"["&amp;$E133&amp;"]")*(INDIRECT($E132&amp;"[yr]")=O$5)*(INDIRECT($E132&amp;"[wk]")=O$6))/SUM(INDIRECT($E132&amp;"["&amp;$F133&amp;"]")*(INDIRECT($E132&amp;"[yr]")=O$5)*(INDIRECT($E132&amp;"[wk]")=O$6)),0)</f>
        <v>0</v>
      </c>
      <c r="P132" s="157">
        <f t="array" aca="1" ref="P132" ca="1">IFERROR(SUM(INDIRECT($E132&amp;"["&amp;$E133&amp;"]")*(INDIRECT($E132&amp;"[yr]")=P$5)*(INDIRECT($E132&amp;"[wk]")=P$6))/SUM(INDIRECT($E132&amp;"["&amp;$F133&amp;"]")*(INDIRECT($E132&amp;"[yr]")=P$5)*(INDIRECT($E132&amp;"[wk]")=P$6)),0)</f>
        <v>0</v>
      </c>
      <c r="Q132" s="188">
        <f t="array" aca="1" ref="Q132" ca="1">IFERROR(SUM(INDIRECT($E132&amp;"["&amp;$E133&amp;"]")*(INDIRECT($E132&amp;"[yr]")=Q$5)*(INDIRECT($E132&amp;"[wk]")=Q$6))/SUM(INDIRECT($E132&amp;"["&amp;$F133&amp;"]")*(INDIRECT($E132&amp;"[yr]")=Q$5)*(INDIRECT($E132&amp;"[wk]")=Q$6)),0)</f>
        <v>0</v>
      </c>
      <c r="R132" s="188">
        <f t="array" aca="1" ref="R132" ca="1">IFERROR(SUM(INDIRECT($E132&amp;"["&amp;$E133&amp;"]")*(INDIRECT($E132&amp;"[yr]")=R$5)*(INDIRECT($E132&amp;"[wk]")=R$6))/SUM(INDIRECT($E132&amp;"["&amp;$F133&amp;"]")*(INDIRECT($E132&amp;"[yr]")=R$5)*(INDIRECT($E132&amp;"[wk]")=R$6)),0)</f>
        <v>0</v>
      </c>
      <c r="S132" s="188">
        <f t="array" aca="1" ref="S132" ca="1">IFERROR(SUM(INDIRECT($E132&amp;"["&amp;$E133&amp;"]")*(INDIRECT($E132&amp;"[yr]")=S$5)*(INDIRECT($E132&amp;"[wk]")=S$6))/SUM(INDIRECT($E132&amp;"["&amp;$F133&amp;"]")*(INDIRECT($E132&amp;"[yr]")=S$5)*(INDIRECT($E132&amp;"[wk]")=S$6)),0)</f>
        <v>0</v>
      </c>
      <c r="T132" s="172">
        <f t="array" aca="1" ref="T132" ca="1">IFERROR(SUM(INDIRECT($E132&amp;"["&amp;$E133&amp;"]")*(INDIRECT($E132&amp;"[yr]")=T$5)*(INDIRECT($E132&amp;"[wk]")=T$6))/SUM(INDIRECT($E132&amp;"["&amp;$F133&amp;"]")*(INDIRECT($E132&amp;"[yr]")=T$5)*(INDIRECT($E132&amp;"[wk]")=T$6)),0)</f>
        <v>0</v>
      </c>
      <c r="U132" s="173">
        <f ca="1">AVERAGE(Q132:T132)</f>
        <v>0</v>
      </c>
      <c r="V132" s="49">
        <f ca="1">IFERROR(SUM(T132/S132)-1,0)</f>
        <v>0</v>
      </c>
      <c r="W132" s="189">
        <v>600</v>
      </c>
      <c r="X132" s="49"/>
    </row>
    <row r="133" spans="2:24" ht="14.15" customHeight="1" x14ac:dyDescent="0.4">
      <c r="B133" s="330"/>
      <c r="D133" s="204" t="s">
        <v>67</v>
      </c>
      <c r="E133" t="s">
        <v>164</v>
      </c>
      <c r="F133" t="s">
        <v>163</v>
      </c>
      <c r="I133" s="50">
        <f t="array" aca="1" ref="I133" ca="1">IFERROR(I132/(IF($G$2=0,(SUM(INDIRECT($E132&amp;"["&amp;$E133&amp;"]")*(INDIRECT($E132&amp;"[yr]")=(I$5-1))*(INDIRECT($E132&amp;"[wk]")=I$6))/SUM(INDIRECT($E132&amp;"["&amp;$F133&amp;"]")*(INDIRECT($E132&amp;"[yr]")=(I$5-1))*(INDIRECT($E132&amp;"[wk]")=I$6))),(SUM(INDIRECT($E132&amp;"["&amp;$E133&amp;"]")*(INDIRECT($E132&amp;"[yr]")=(I$5-1))*(INDIRECT($E132&amp;"[wk]")=I$6)*(INDIRECT($E132&amp;"[siteflag]")=$G$2))/SUM(INDIRECT($E132&amp;"["&amp;$F133&amp;"]")*(INDIRECT($E132&amp;"[yr]")=(I$5-1))*(INDIRECT($E132&amp;"[wk]")=I$6)*(INDIRECT($E132&amp;"[siteflag]")=$G$2)))))-1,0)</f>
        <v>0</v>
      </c>
      <c r="J133" s="50">
        <f t="array" aca="1" ref="J133" ca="1">IFERROR(J132/(IF($G$2=0,(SUM(INDIRECT($E132&amp;"["&amp;$E133&amp;"]")*(INDIRECT($E132&amp;"[yr]")=(J$5-1))*(INDIRECT($E132&amp;"[wk]")=J$6))/SUM(INDIRECT($E132&amp;"["&amp;$F133&amp;"]")*(INDIRECT($E132&amp;"[yr]")=(J$5-1))*(INDIRECT($E132&amp;"[wk]")=J$6))),(SUM(INDIRECT($E132&amp;"["&amp;$E133&amp;"]")*(INDIRECT($E132&amp;"[yr]")=(J$5-1))*(INDIRECT($E132&amp;"[wk]")=J$6)*(INDIRECT($E132&amp;"[siteflag]")=$G$2))/SUM(INDIRECT($E132&amp;"["&amp;$F133&amp;"]")*(INDIRECT($E132&amp;"[yr]")=(J$5-1))*(INDIRECT($E132&amp;"[wk]")=J$6)*(INDIRECT($E132&amp;"[siteflag]")=$G$2)))))-1,0)</f>
        <v>0</v>
      </c>
      <c r="K133" s="50">
        <f t="array" aca="1" ref="K133" ca="1">IFERROR(K132/(IF($G$2=0,(SUM(INDIRECT($E132&amp;"["&amp;$E133&amp;"]")*(INDIRECT($E132&amp;"[yr]")=(K$5-1))*(INDIRECT($E132&amp;"[wk]")=K$6))/SUM(INDIRECT($E132&amp;"["&amp;$F133&amp;"]")*(INDIRECT($E132&amp;"[yr]")=(K$5-1))*(INDIRECT($E132&amp;"[wk]")=K$6))),(SUM(INDIRECT($E132&amp;"["&amp;$E133&amp;"]")*(INDIRECT($E132&amp;"[yr]")=(K$5-1))*(INDIRECT($E132&amp;"[wk]")=K$6)*(INDIRECT($E132&amp;"[siteflag]")=$G$2))/SUM(INDIRECT($E132&amp;"["&amp;$F133&amp;"]")*(INDIRECT($E132&amp;"[yr]")=(K$5-1))*(INDIRECT($E132&amp;"[wk]")=K$6)*(INDIRECT($E132&amp;"[siteflag]")=$G$2)))))-1,0)</f>
        <v>0</v>
      </c>
      <c r="L133" s="50">
        <f t="array" aca="1" ref="L133" ca="1">IFERROR(L132/(IF($G$2=0,(SUM(INDIRECT($E132&amp;"["&amp;$E133&amp;"]")*(INDIRECT($E132&amp;"[yr]")=(L$5-1))*(INDIRECT($E132&amp;"[wk]")=L$6))/SUM(INDIRECT($E132&amp;"["&amp;$F133&amp;"]")*(INDIRECT($E132&amp;"[yr]")=(L$5-1))*(INDIRECT($E132&amp;"[wk]")=L$6))),(SUM(INDIRECT($E132&amp;"["&amp;$E133&amp;"]")*(INDIRECT($E132&amp;"[yr]")=(L$5-1))*(INDIRECT($E132&amp;"[wk]")=L$6)*(INDIRECT($E132&amp;"[siteflag]")=$G$2))/SUM(INDIRECT($E132&amp;"["&amp;$F133&amp;"]")*(INDIRECT($E132&amp;"[yr]")=(L$5-1))*(INDIRECT($E132&amp;"[wk]")=L$6)*(INDIRECT($E132&amp;"[siteflag]")=$G$2)))))-1,0)</f>
        <v>0</v>
      </c>
      <c r="M133" s="50">
        <f t="array" aca="1" ref="M133" ca="1">IFERROR(M132/(IF($G$2=0,(SUM(INDIRECT($E132&amp;"["&amp;$E133&amp;"]")*(INDIRECT($E132&amp;"[yr]")=(M$5-1))*(INDIRECT($E132&amp;"[wk]")=M$6))/SUM(INDIRECT($E132&amp;"["&amp;$F133&amp;"]")*(INDIRECT($E132&amp;"[yr]")=(M$5-1))*(INDIRECT($E132&amp;"[wk]")=M$6))),(SUM(INDIRECT($E132&amp;"["&amp;$E133&amp;"]")*(INDIRECT($E132&amp;"[yr]")=(M$5-1))*(INDIRECT($E132&amp;"[wk]")=M$6)*(INDIRECT($E132&amp;"[siteflag]")=$G$2))/SUM(INDIRECT($E132&amp;"["&amp;$F133&amp;"]")*(INDIRECT($E132&amp;"[yr]")=(M$5-1))*(INDIRECT($E132&amp;"[wk]")=M$6)*(INDIRECT($E132&amp;"[siteflag]")=$G$2)))))-1,0)</f>
        <v>0</v>
      </c>
      <c r="N133" s="50">
        <f t="array" aca="1" ref="N133" ca="1">IFERROR(N132/(IF($G$2=0,(SUM(INDIRECT($E132&amp;"["&amp;$E133&amp;"]")*(INDIRECT($E132&amp;"[yr]")=(N$5-1))*(INDIRECT($E132&amp;"[wk]")=N$6))/SUM(INDIRECT($E132&amp;"["&amp;$F133&amp;"]")*(INDIRECT($E132&amp;"[yr]")=(N$5-1))*(INDIRECT($E132&amp;"[wk]")=N$6))),(SUM(INDIRECT($E132&amp;"["&amp;$E133&amp;"]")*(INDIRECT($E132&amp;"[yr]")=(N$5-1))*(INDIRECT($E132&amp;"[wk]")=N$6)*(INDIRECT($E132&amp;"[siteflag]")=$G$2))/SUM(INDIRECT($E132&amp;"["&amp;$F133&amp;"]")*(INDIRECT($E132&amp;"[yr]")=(N$5-1))*(INDIRECT($E132&amp;"[wk]")=N$6)*(INDIRECT($E132&amp;"[siteflag]")=$G$2)))))-1,0)</f>
        <v>0</v>
      </c>
      <c r="O133" s="50">
        <f t="array" aca="1" ref="O133" ca="1">IFERROR(O132/(IF($G$2=0,(SUM(INDIRECT($E132&amp;"["&amp;$E133&amp;"]")*(INDIRECT($E132&amp;"[yr]")=(O$5-1))*(INDIRECT($E132&amp;"[wk]")=O$6))/SUM(INDIRECT($E132&amp;"["&amp;$F133&amp;"]")*(INDIRECT($E132&amp;"[yr]")=(O$5-1))*(INDIRECT($E132&amp;"[wk]")=O$6))),(SUM(INDIRECT($E132&amp;"["&amp;$E133&amp;"]")*(INDIRECT($E132&amp;"[yr]")=(O$5-1))*(INDIRECT($E132&amp;"[wk]")=O$6)*(INDIRECT($E132&amp;"[siteflag]")=$G$2))/SUM(INDIRECT($E132&amp;"["&amp;$F133&amp;"]")*(INDIRECT($E132&amp;"[yr]")=(O$5-1))*(INDIRECT($E132&amp;"[wk]")=O$6)*(INDIRECT($E132&amp;"[siteflag]")=$G$2)))))-1,0)</f>
        <v>0</v>
      </c>
      <c r="P133" s="54">
        <f t="array" aca="1" ref="P133" ca="1">IFERROR(P132/(IF($G$2=0,(SUM(INDIRECT($E132&amp;"["&amp;$E133&amp;"]")*(INDIRECT($E132&amp;"[yr]")=(P$5-1))*(INDIRECT($E132&amp;"[wk]")=P$6))/SUM(INDIRECT($E132&amp;"["&amp;$F133&amp;"]")*(INDIRECT($E132&amp;"[yr]")=(P$5-1))*(INDIRECT($E132&amp;"[wk]")=P$6))),(SUM(INDIRECT($E132&amp;"["&amp;$E133&amp;"]")*(INDIRECT($E132&amp;"[yr]")=(P$5-1))*(INDIRECT($E132&amp;"[wk]")=P$6)*(INDIRECT($E132&amp;"[siteflag]")=$G$2))/SUM(INDIRECT($E132&amp;"["&amp;$F133&amp;"]")*(INDIRECT($E132&amp;"[yr]")=(P$5-1))*(INDIRECT($E132&amp;"[wk]")=P$6)*(INDIRECT($E132&amp;"[siteflag]")=$G$2)))))-1,0)</f>
        <v>0</v>
      </c>
      <c r="Q133" s="50">
        <f t="array" aca="1" ref="Q133" ca="1">IFERROR(Q132/(IF($G$2=0,(SUM(INDIRECT($E132&amp;"["&amp;$E133&amp;"]")*(INDIRECT($E132&amp;"[yr]")=(Q$5-1))*(INDIRECT($E132&amp;"[wk]")=Q$6))/SUM(INDIRECT($E132&amp;"["&amp;$F133&amp;"]")*(INDIRECT($E132&amp;"[yr]")=(Q$5-1))*(INDIRECT($E132&amp;"[wk]")=Q$6))),(SUM(INDIRECT($E132&amp;"["&amp;$E133&amp;"]")*(INDIRECT($E132&amp;"[yr]")=(Q$5-1))*(INDIRECT($E132&amp;"[wk]")=Q$6)*(INDIRECT($E132&amp;"[siteflag]")=$G$2))/SUM(INDIRECT($E132&amp;"["&amp;$F133&amp;"]")*(INDIRECT($E132&amp;"[yr]")=(Q$5-1))*(INDIRECT($E132&amp;"[wk]")=Q$6)*(INDIRECT($E132&amp;"[siteflag]")=$G$2)))))-1,0)</f>
        <v>0</v>
      </c>
      <c r="R133" s="50">
        <f t="array" aca="1" ref="R133" ca="1">IFERROR(R132/(IF($G$2=0,(SUM(INDIRECT($E132&amp;"["&amp;$E133&amp;"]")*(INDIRECT($E132&amp;"[yr]")=(R$5-1))*(INDIRECT($E132&amp;"[wk]")=R$6))/SUM(INDIRECT($E132&amp;"["&amp;$F133&amp;"]")*(INDIRECT($E132&amp;"[yr]")=(R$5-1))*(INDIRECT($E132&amp;"[wk]")=R$6))),(SUM(INDIRECT($E132&amp;"["&amp;$E133&amp;"]")*(INDIRECT($E132&amp;"[yr]")=(R$5-1))*(INDIRECT($E132&amp;"[wk]")=R$6)*(INDIRECT($E132&amp;"[siteflag]")=$G$2))/SUM(INDIRECT($E132&amp;"["&amp;$F133&amp;"]")*(INDIRECT($E132&amp;"[yr]")=(R$5-1))*(INDIRECT($E132&amp;"[wk]")=R$6)*(INDIRECT($E132&amp;"[siteflag]")=$G$2)))))-1,0)</f>
        <v>0</v>
      </c>
      <c r="S133" s="50">
        <f t="array" aca="1" ref="S133" ca="1">IFERROR(S132/(IF($G$2=0,(SUM(INDIRECT($E132&amp;"["&amp;$E133&amp;"]")*(INDIRECT($E132&amp;"[yr]")=(S$5-1))*(INDIRECT($E132&amp;"[wk]")=S$6))/SUM(INDIRECT($E132&amp;"["&amp;$F133&amp;"]")*(INDIRECT($E132&amp;"[yr]")=(S$5-1))*(INDIRECT($E132&amp;"[wk]")=S$6))),(SUM(INDIRECT($E132&amp;"["&amp;$E133&amp;"]")*(INDIRECT($E132&amp;"[yr]")=(S$5-1))*(INDIRECT($E132&amp;"[wk]")=S$6)*(INDIRECT($E132&amp;"[siteflag]")=$G$2))/SUM(INDIRECT($E132&amp;"["&amp;$F133&amp;"]")*(INDIRECT($E132&amp;"[yr]")=(S$5-1))*(INDIRECT($E132&amp;"[wk]")=S$6)*(INDIRECT($E132&amp;"[siteflag]")=$G$2)))))-1,0)</f>
        <v>0</v>
      </c>
      <c r="T133" s="52">
        <f t="array" aca="1" ref="T133" ca="1">IFERROR(T132/(IF($G$2=0,(SUM(INDIRECT($E132&amp;"["&amp;$E133&amp;"]")*(INDIRECT($E132&amp;"[yr]")=(T$5-1))*(INDIRECT($E132&amp;"[wk]")=T$6))/SUM(INDIRECT($E132&amp;"["&amp;$F133&amp;"]")*(INDIRECT($E132&amp;"[yr]")=(T$5-1))*(INDIRECT($E132&amp;"[wk]")=T$6))),(SUM(INDIRECT($E132&amp;"["&amp;$E133&amp;"]")*(INDIRECT($E132&amp;"[yr]")=(T$5-1))*(INDIRECT($E132&amp;"[wk]")=T$6)*(INDIRECT($E132&amp;"[siteflag]")=$G$2))/SUM(INDIRECT($E132&amp;"["&amp;$F133&amp;"]")*(INDIRECT($E132&amp;"[yr]")=(T$5-1))*(INDIRECT($E132&amp;"[wk]")=T$6)*(INDIRECT($E132&amp;"[siteflag]")=$G$2)))))-1,0)</f>
        <v>0</v>
      </c>
      <c r="U133" s="50">
        <f ca="1">IFERROR(SUMPRODUCT(Q133:T133,Q132:T132)/SUM(Q132:T132),0)</f>
        <v>0</v>
      </c>
      <c r="V133" s="190"/>
      <c r="W133" s="108"/>
      <c r="X133" s="56"/>
    </row>
    <row r="134" spans="2:24" ht="3" customHeight="1" x14ac:dyDescent="0.4">
      <c r="D134" s="61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</row>
    <row r="135" spans="2:24" ht="14.15" customHeight="1" x14ac:dyDescent="0.4">
      <c r="B135" s="328" t="s">
        <v>549</v>
      </c>
      <c r="D135" s="201" t="s">
        <v>550</v>
      </c>
      <c r="E135" s="63" t="s">
        <v>399</v>
      </c>
      <c r="F135" s="63"/>
      <c r="G135" s="63" t="s">
        <v>585</v>
      </c>
      <c r="H135" s="63"/>
      <c r="I135" s="128">
        <f t="array" aca="1" ref="I135" ca="1">IF($G$2=0,
(SUM(INDIRECT($E135&amp;"["&amp;$G135&amp;"]")*(INDIRECT($E135&amp;"[yr]")=I$5)*(INDIRECT($E135&amp;"[wk]")=I$6))/
SUM((INDIRECT($E135&amp;"["&amp;$E136&amp;"]"))*(INDIRECT($E135&amp;"[yr]")=I$5)*(INDIRECT($E135&amp;"[wk]")=I$6))),
(SUM(INDIRECT($E135&amp;"["&amp;$G135&amp;"]")*(INDIRECT($E135&amp;"[yr]")=I$5)*(INDIRECT($E135&amp;"[wk]")=I$6)*(INDIRECT($E135&amp;"[site]")=$G$2))/
SUM((INDIRECT($E135&amp;"["&amp;$E136&amp;"]"))*(INDIRECT($E135&amp;"[yr]")=I$5)*(INDIRECT($E135&amp;"[wk]")=I$6)*(INDIRECT($E135&amp;"[site]")=$G$2))) )</f>
        <v>80.937600894314201</v>
      </c>
      <c r="J135" s="128">
        <f t="array" aca="1" ref="J135" ca="1">IF($G$2=0,
(SUM(INDIRECT($E135&amp;"["&amp;$G135&amp;"]")*(INDIRECT($E135&amp;"[yr]")=J$5)*(INDIRECT($E135&amp;"[wk]")=J$6))/
SUM((INDIRECT($E135&amp;"["&amp;$E136&amp;"]"))*(INDIRECT($E135&amp;"[yr]")=J$5)*(INDIRECT($E135&amp;"[wk]")=J$6))),
(SUM(INDIRECT($E135&amp;"["&amp;$G135&amp;"]")*(INDIRECT($E135&amp;"[yr]")=J$5)*(INDIRECT($E135&amp;"[wk]")=J$6)*(INDIRECT($E135&amp;"[site]")=$G$2))/
SUM((INDIRECT($E135&amp;"["&amp;$E136&amp;"]"))*(INDIRECT($E135&amp;"[yr]")=J$5)*(INDIRECT($E135&amp;"[wk]")=J$6)*(INDIRECT($E135&amp;"[site]")=$G$2))) )</f>
        <v>76.551138941939143</v>
      </c>
      <c r="K135" s="128">
        <f t="array" aca="1" ref="K135" ca="1">IF($G$2=0,
(SUM(INDIRECT($E135&amp;"["&amp;$G135&amp;"]")*(INDIRECT($E135&amp;"[yr]")=K$5)*(INDIRECT($E135&amp;"[wk]")=K$6))/
SUM((INDIRECT($E135&amp;"["&amp;$E136&amp;"]"))*(INDIRECT($E135&amp;"[yr]")=K$5)*(INDIRECT($E135&amp;"[wk]")=K$6))),
(SUM(INDIRECT($E135&amp;"["&amp;$G135&amp;"]")*(INDIRECT($E135&amp;"[yr]")=K$5)*(INDIRECT($E135&amp;"[wk]")=K$6)*(INDIRECT($E135&amp;"[site]")=$G$2))/
SUM((INDIRECT($E135&amp;"["&amp;$E136&amp;"]"))*(INDIRECT($E135&amp;"[yr]")=K$5)*(INDIRECT($E135&amp;"[wk]")=K$6)*(INDIRECT($E135&amp;"[site]")=$G$2))) )</f>
        <v>77.201606898581645</v>
      </c>
      <c r="L135" s="128">
        <f t="array" aca="1" ref="L135" ca="1">IF($G$2=0,
(SUM(INDIRECT($E135&amp;"["&amp;$G135&amp;"]")*(INDIRECT($E135&amp;"[yr]")=L$5)*(INDIRECT($E135&amp;"[wk]")=L$6))/
SUM((INDIRECT($E135&amp;"["&amp;$E136&amp;"]"))*(INDIRECT($E135&amp;"[yr]")=L$5)*(INDIRECT($E135&amp;"[wk]")=L$6))),
(SUM(INDIRECT($E135&amp;"["&amp;$G135&amp;"]")*(INDIRECT($E135&amp;"[yr]")=L$5)*(INDIRECT($E135&amp;"[wk]")=L$6)*(INDIRECT($E135&amp;"[site]")=$G$2))/
SUM((INDIRECT($E135&amp;"["&amp;$E136&amp;"]"))*(INDIRECT($E135&amp;"[yr]")=L$5)*(INDIRECT($E135&amp;"[wk]")=L$6)*(INDIRECT($E135&amp;"[site]")=$G$2))) )</f>
        <v>84.791734941338348</v>
      </c>
      <c r="M135" s="128">
        <f t="array" aca="1" ref="M135" ca="1">IF($G$2=0,
(SUM(INDIRECT($E135&amp;"["&amp;$G135&amp;"]")*(INDIRECT($E135&amp;"[yr]")=M$5)*(INDIRECT($E135&amp;"[wk]")=M$6))/
SUM((INDIRECT($E135&amp;"["&amp;$E136&amp;"]"))*(INDIRECT($E135&amp;"[yr]")=M$5)*(INDIRECT($E135&amp;"[wk]")=M$6))),
(SUM(INDIRECT($E135&amp;"["&amp;$G135&amp;"]")*(INDIRECT($E135&amp;"[yr]")=M$5)*(INDIRECT($E135&amp;"[wk]")=M$6)*(INDIRECT($E135&amp;"[site]")=$G$2))/
SUM((INDIRECT($E135&amp;"["&amp;$E136&amp;"]"))*(INDIRECT($E135&amp;"[yr]")=M$5)*(INDIRECT($E135&amp;"[wk]")=M$6)*(INDIRECT($E135&amp;"[site]")=$G$2))) )</f>
        <v>84.029460450879313</v>
      </c>
      <c r="N135" s="128">
        <f t="array" aca="1" ref="N135" ca="1">IF($G$2=0,
(SUM(INDIRECT($E135&amp;"["&amp;$G135&amp;"]")*(INDIRECT($E135&amp;"[yr]")=N$5)*(INDIRECT($E135&amp;"[wk]")=N$6))/
SUM((INDIRECT($E135&amp;"["&amp;$E136&amp;"]"))*(INDIRECT($E135&amp;"[yr]")=N$5)*(INDIRECT($E135&amp;"[wk]")=N$6))),
(SUM(INDIRECT($E135&amp;"["&amp;$G135&amp;"]")*(INDIRECT($E135&amp;"[yr]")=N$5)*(INDIRECT($E135&amp;"[wk]")=N$6)*(INDIRECT($E135&amp;"[site]")=$G$2))/
SUM((INDIRECT($E135&amp;"["&amp;$E136&amp;"]"))*(INDIRECT($E135&amp;"[yr]")=N$5)*(INDIRECT($E135&amp;"[wk]")=N$6)*(INDIRECT($E135&amp;"[site]")=$G$2))) )</f>
        <v>88.230861388531139</v>
      </c>
      <c r="O135" s="128">
        <f t="array" aca="1" ref="O135" ca="1">IF($G$2=0,
(SUM(INDIRECT($E135&amp;"["&amp;$G135&amp;"]")*(INDIRECT($E135&amp;"[yr]")=O$5)*(INDIRECT($E135&amp;"[wk]")=O$6))/
SUM((INDIRECT($E135&amp;"["&amp;$E136&amp;"]"))*(INDIRECT($E135&amp;"[yr]")=O$5)*(INDIRECT($E135&amp;"[wk]")=O$6))),
(SUM(INDIRECT($E135&amp;"["&amp;$G135&amp;"]")*(INDIRECT($E135&amp;"[yr]")=O$5)*(INDIRECT($E135&amp;"[wk]")=O$6)*(INDIRECT($E135&amp;"[site]")=$G$2))/
SUM((INDIRECT($E135&amp;"["&amp;$E136&amp;"]"))*(INDIRECT($E135&amp;"[yr]")=O$5)*(INDIRECT($E135&amp;"[wk]")=O$6)*(INDIRECT($E135&amp;"[site]")=$G$2))) )</f>
        <v>89.919180954363625</v>
      </c>
      <c r="P135" s="128">
        <f t="array" aca="1" ref="P135" ca="1">IF($G$2=0,
(SUM(INDIRECT($E135&amp;"["&amp;$G135&amp;"]")*(INDIRECT($E135&amp;"[yr]")=P$5)*(INDIRECT($E135&amp;"[wk]")=P$6))/
SUM((INDIRECT($E135&amp;"["&amp;$E136&amp;"]"))*(INDIRECT($E135&amp;"[yr]")=P$5)*(INDIRECT($E135&amp;"[wk]")=P$6))),
(SUM(INDIRECT($E135&amp;"["&amp;$G135&amp;"]")*(INDIRECT($E135&amp;"[yr]")=P$5)*(INDIRECT($E135&amp;"[wk]")=P$6)*(INDIRECT($E135&amp;"[site]")=$G$2))/
SUM((INDIRECT($E135&amp;"["&amp;$E136&amp;"]"))*(INDIRECT($E135&amp;"[yr]")=P$5)*(INDIRECT($E135&amp;"[wk]")=P$6)*(INDIRECT($E135&amp;"[site]")=$G$2))) )</f>
        <v>86.03070599973195</v>
      </c>
      <c r="Q135" s="128">
        <f t="array" aca="1" ref="Q135" ca="1">IF($G$2=0,
(SUM(INDIRECT($E135&amp;"["&amp;$G135&amp;"]")*(INDIRECT($E135&amp;"[yr]")=Q$5)*(INDIRECT($E135&amp;"[wk]")=Q$6))/
SUM((INDIRECT($E135&amp;"["&amp;$E136&amp;"]"))*(INDIRECT($E135&amp;"[yr]")=Q$5)*(INDIRECT($E135&amp;"[wk]")=Q$6))),
(SUM(INDIRECT($E135&amp;"["&amp;$G135&amp;"]")*(INDIRECT($E135&amp;"[yr]")=Q$5)*(INDIRECT($E135&amp;"[wk]")=Q$6)*(INDIRECT($E135&amp;"[site]")=$G$2))/
SUM((INDIRECT($E135&amp;"["&amp;$E136&amp;"]"))*(INDIRECT($E135&amp;"[yr]")=Q$5)*(INDIRECT($E135&amp;"[wk]")=Q$6)*(INDIRECT($E135&amp;"[site]")=$G$2))) )</f>
        <v>88.478756973720763</v>
      </c>
      <c r="R135" s="128">
        <f t="array" aca="1" ref="R135" ca="1">IF($G$2=0,
(SUM(INDIRECT($E135&amp;"["&amp;$G135&amp;"]")*(INDIRECT($E135&amp;"[yr]")=R$5)*(INDIRECT($E135&amp;"[wk]")=R$6))/
SUM((INDIRECT($E135&amp;"["&amp;$E136&amp;"]"))*(INDIRECT($E135&amp;"[yr]")=R$5)*(INDIRECT($E135&amp;"[wk]")=R$6))),
(SUM(INDIRECT($E135&amp;"["&amp;$G135&amp;"]")*(INDIRECT($E135&amp;"[yr]")=R$5)*(INDIRECT($E135&amp;"[wk]")=R$6)*(INDIRECT($E135&amp;"[site]")=$G$2))/
SUM((INDIRECT($E135&amp;"["&amp;$E136&amp;"]"))*(INDIRECT($E135&amp;"[yr]")=R$5)*(INDIRECT($E135&amp;"[wk]")=R$6)*(INDIRECT($E135&amp;"[site]")=$G$2))) )</f>
        <v>85.722860589620524</v>
      </c>
      <c r="S135" s="128">
        <f t="array" aca="1" ref="S135" ca="1">IF($G$2=0,
(SUM(INDIRECT($E135&amp;"["&amp;$G135&amp;"]")*(INDIRECT($E135&amp;"[yr]")=S$5)*(INDIRECT($E135&amp;"[wk]")=S$6))/
SUM((INDIRECT($E135&amp;"["&amp;$E136&amp;"]"))*(INDIRECT($E135&amp;"[yr]")=S$5)*(INDIRECT($E135&amp;"[wk]")=S$6))),
(SUM(INDIRECT($E135&amp;"["&amp;$G135&amp;"]")*(INDIRECT($E135&amp;"[yr]")=S$5)*(INDIRECT($E135&amp;"[wk]")=S$6)*(INDIRECT($E135&amp;"[site]")=$G$2))/
SUM((INDIRECT($E135&amp;"["&amp;$E136&amp;"]"))*(INDIRECT($E135&amp;"[yr]")=S$5)*(INDIRECT($E135&amp;"[wk]")=S$6)*(INDIRECT($E135&amp;"[site]")=$G$2))) )</f>
        <v>85.260596654379569</v>
      </c>
      <c r="T135" s="129">
        <f t="array" aca="1" ref="T135" ca="1">IF($G$2=0,
(SUM(INDIRECT($E135&amp;"["&amp;$G135&amp;"]")*(INDIRECT($E135&amp;"[yr]")=T$5)*(INDIRECT($E135&amp;"[wk]")=T$6))/
SUM((INDIRECT($E135&amp;"["&amp;$E136&amp;"]"))*(INDIRECT($E135&amp;"[yr]")=T$5)*(INDIRECT($E135&amp;"[wk]")=T$6))),
(SUM(INDIRECT($E135&amp;"["&amp;$G135&amp;"]")*(INDIRECT($E135&amp;"[yr]")=T$5)*(INDIRECT($E135&amp;"[wk]")=T$6)*(INDIRECT($E135&amp;"[site]")=$G$2))/
SUM((INDIRECT($E135&amp;"["&amp;$E136&amp;"]"))*(INDIRECT($E135&amp;"[yr]")=T$5)*(INDIRECT($E135&amp;"[wk]")=T$6)*(INDIRECT($E135&amp;"[site]")=$G$2))) )</f>
        <v>88.833638087910742</v>
      </c>
      <c r="U135" s="130">
        <f t="array" aca="1" ref="U135" ca="1">SUM(Q135:T135*$Q$66:$T$66)/SUM($Q$66:$T$66)</f>
        <v>87.003022249424887</v>
      </c>
      <c r="V135" s="47">
        <f t="array" aca="1" ref="V135" ca="1">SUM(T135/S135)-1</f>
        <v>4.1907300367779454E-2</v>
      </c>
      <c r="W135" s="131">
        <v>75</v>
      </c>
      <c r="X135" s="49"/>
    </row>
    <row r="136" spans="2:24" ht="13.2" customHeight="1" x14ac:dyDescent="0.4">
      <c r="B136" s="329"/>
      <c r="D136" s="204" t="s">
        <v>67</v>
      </c>
      <c r="E136" s="40" t="s">
        <v>586</v>
      </c>
      <c r="F136" t="s">
        <v>403</v>
      </c>
      <c r="I136" s="74">
        <f t="array" aca="1" ref="I136" ca="1">IFERROR(I135/
(IF($G$2=0,
(SUM(INDIRECT($E135&amp;"["&amp;$G135&amp;"]")*(INDIRECT($E135&amp;"[yr]")=I$5-1)*(INDIRECT($E135&amp;"[wk]")=I$6))/
SUM((INDIRECT($E135&amp;"["&amp;$E136&amp;"]"))*(INDIRECT($E135&amp;"[yr]")=I$5-1)*(INDIRECT($E135&amp;"[wk]")=I$6))),
(SUM(INDIRECT($E135&amp;"["&amp;$G135&amp;"]")*(INDIRECT($E135&amp;"[yr]")=I$5-1)*(INDIRECT($E135&amp;"[wk]")=I$6)*(INDIRECT($E135&amp;"[site]")=$G$2))/
SUM((INDIRECT($E135&amp;"["&amp;$E136&amp;"]"))*(INDIRECT($E135&amp;"[yr]")=I$5-1)*(INDIRECT($E135&amp;"[wk]")=I$6)*(INDIRECT($E135&amp;"[site]")=$G$2)))))
-1,0)</f>
        <v>-0.20988392747740037</v>
      </c>
      <c r="J136" s="74">
        <f t="array" aca="1" ref="J136" ca="1">IFERROR(J135/
(IF($G$2=0,
(SUM(INDIRECT($E135&amp;"["&amp;$G135&amp;"]")*(INDIRECT($E135&amp;"[yr]")=J$5-1)*(INDIRECT($E135&amp;"[wk]")=J$6))/
SUM((INDIRECT($E135&amp;"["&amp;$E136&amp;"]"))*(INDIRECT($E135&amp;"[yr]")=J$5-1)*(INDIRECT($E135&amp;"[wk]")=J$6))),
(SUM(INDIRECT($E135&amp;"["&amp;$G135&amp;"]")*(INDIRECT($E135&amp;"[yr]")=J$5-1)*(INDIRECT($E135&amp;"[wk]")=J$6)*(INDIRECT($E135&amp;"[site]")=$G$2))/
SUM((INDIRECT($E135&amp;"["&amp;$E136&amp;"]"))*(INDIRECT($E135&amp;"[yr]")=J$5-1)*(INDIRECT($E135&amp;"[wk]")=J$6)*(INDIRECT($E135&amp;"[site]")=$G$2)))))
-1,0)</f>
        <v>-0.22310757962867767</v>
      </c>
      <c r="K136" s="74">
        <f t="array" aca="1" ref="K136" ca="1">IFERROR(K135/
(IF($G$2=0,
(SUM(INDIRECT($E135&amp;"["&amp;$G135&amp;"]")*(INDIRECT($E135&amp;"[yr]")=K$5-1)*(INDIRECT($E135&amp;"[wk]")=K$6))/
SUM((INDIRECT($E135&amp;"["&amp;$E136&amp;"]"))*(INDIRECT($E135&amp;"[yr]")=K$5-1)*(INDIRECT($E135&amp;"[wk]")=K$6))),
(SUM(INDIRECT($E135&amp;"["&amp;$G135&amp;"]")*(INDIRECT($E135&amp;"[yr]")=K$5-1)*(INDIRECT($E135&amp;"[wk]")=K$6)*(INDIRECT($E135&amp;"[site]")=$G$2))/
SUM((INDIRECT($E135&amp;"["&amp;$E136&amp;"]"))*(INDIRECT($E135&amp;"[yr]")=K$5-1)*(INDIRECT($E135&amp;"[wk]")=K$6)*(INDIRECT($E135&amp;"[site]")=$G$2)))))
-1,0)</f>
        <v>-0.2628122188035471</v>
      </c>
      <c r="L136" s="74">
        <f t="array" aca="1" ref="L136" ca="1">IFERROR(L135/
(IF($G$2=0,
(SUM(INDIRECT($E135&amp;"["&amp;$G135&amp;"]")*(INDIRECT($E135&amp;"[yr]")=L$5-1)*(INDIRECT($E135&amp;"[wk]")=L$6))/
SUM((INDIRECT($E135&amp;"["&amp;$E136&amp;"]"))*(INDIRECT($E135&amp;"[yr]")=L$5-1)*(INDIRECT($E135&amp;"[wk]")=L$6))),
(SUM(INDIRECT($E135&amp;"["&amp;$G135&amp;"]")*(INDIRECT($E135&amp;"[yr]")=L$5-1)*(INDIRECT($E135&amp;"[wk]")=L$6)*(INDIRECT($E135&amp;"[site]")=$G$2))/
SUM((INDIRECT($E135&amp;"["&amp;$E136&amp;"]"))*(INDIRECT($E135&amp;"[yr]")=L$5-1)*(INDIRECT($E135&amp;"[wk]")=L$6)*(INDIRECT($E135&amp;"[site]")=$G$2)))))
-1,0)</f>
        <v>-0.267834414845742</v>
      </c>
      <c r="M136" s="74">
        <f t="array" aca="1" ref="M136" ca="1">IFERROR(M135/
(IF($G$2=0,
(SUM(INDIRECT($E135&amp;"["&amp;$G135&amp;"]")*(INDIRECT($E135&amp;"[yr]")=M$5-1)*(INDIRECT($E135&amp;"[wk]")=M$6))/
SUM((INDIRECT($E135&amp;"["&amp;$E136&amp;"]"))*(INDIRECT($E135&amp;"[yr]")=M$5-1)*(INDIRECT($E135&amp;"[wk]")=M$6))),
(SUM(INDIRECT($E135&amp;"["&amp;$G135&amp;"]")*(INDIRECT($E135&amp;"[yr]")=M$5-1)*(INDIRECT($E135&amp;"[wk]")=M$6)*(INDIRECT($E135&amp;"[site]")=$G$2))/
SUM((INDIRECT($E135&amp;"["&amp;$E136&amp;"]"))*(INDIRECT($E135&amp;"[yr]")=M$5-1)*(INDIRECT($E135&amp;"[wk]")=M$6)*(INDIRECT($E135&amp;"[site]")=$G$2)))))
-1,0)</f>
        <v>-0.27124933764451331</v>
      </c>
      <c r="N136" s="74">
        <f t="array" aca="1" ref="N136" ca="1">IFERROR(N135/
(IF($G$2=0,
(SUM(INDIRECT($E135&amp;"["&amp;$G135&amp;"]")*(INDIRECT($E135&amp;"[yr]")=N$5-1)*(INDIRECT($E135&amp;"[wk]")=N$6))/
SUM((INDIRECT($E135&amp;"["&amp;$E136&amp;"]"))*(INDIRECT($E135&amp;"[yr]")=N$5-1)*(INDIRECT($E135&amp;"[wk]")=N$6))),
(SUM(INDIRECT($E135&amp;"["&amp;$G135&amp;"]")*(INDIRECT($E135&amp;"[yr]")=N$5-1)*(INDIRECT($E135&amp;"[wk]")=N$6)*(INDIRECT($E135&amp;"[site]")=$G$2))/
SUM((INDIRECT($E135&amp;"["&amp;$E136&amp;"]"))*(INDIRECT($E135&amp;"[yr]")=N$5-1)*(INDIRECT($E135&amp;"[wk]")=N$6)*(INDIRECT($E135&amp;"[site]")=$G$2)))))
-1,0)</f>
        <v>-0.23168858088798727</v>
      </c>
      <c r="O136" s="74">
        <f t="array" aca="1" ref="O136" ca="1">IFERROR(O135/
(IF($G$2=0,
(SUM(INDIRECT($E135&amp;"["&amp;$G135&amp;"]")*(INDIRECT($E135&amp;"[yr]")=O$5-1)*(INDIRECT($E135&amp;"[wk]")=O$6))/
SUM((INDIRECT($E135&amp;"["&amp;$E136&amp;"]"))*(INDIRECT($E135&amp;"[yr]")=O$5-1)*(INDIRECT($E135&amp;"[wk]")=O$6))),
(SUM(INDIRECT($E135&amp;"["&amp;$G135&amp;"]")*(INDIRECT($E135&amp;"[yr]")=O$5-1)*(INDIRECT($E135&amp;"[wk]")=O$6)*(INDIRECT($E135&amp;"[site]")=$G$2))/
SUM((INDIRECT($E135&amp;"["&amp;$E136&amp;"]"))*(INDIRECT($E135&amp;"[yr]")=O$5-1)*(INDIRECT($E135&amp;"[wk]")=O$6)*(INDIRECT($E135&amp;"[site]")=$G$2)))))
-1,0)</f>
        <v>-0.18367624354916778</v>
      </c>
      <c r="P136" s="74">
        <f t="array" aca="1" ref="P136" ca="1">IFERROR(P135/
(IF($G$2=0,
(SUM(INDIRECT($E135&amp;"["&amp;$G135&amp;"]")*(INDIRECT($E135&amp;"[yr]")=P$5-1)*(INDIRECT($E135&amp;"[wk]")=P$6))/
SUM((INDIRECT($E135&amp;"["&amp;$E136&amp;"]"))*(INDIRECT($E135&amp;"[yr]")=P$5-1)*(INDIRECT($E135&amp;"[wk]")=P$6))),
(SUM(INDIRECT($E135&amp;"["&amp;$G135&amp;"]")*(INDIRECT($E135&amp;"[yr]")=P$5-1)*(INDIRECT($E135&amp;"[wk]")=P$6)*(INDIRECT($E135&amp;"[site]")=$G$2))/
SUM((INDIRECT($E135&amp;"["&amp;$E136&amp;"]"))*(INDIRECT($E135&amp;"[yr]")=P$5-1)*(INDIRECT($E135&amp;"[wk]")=P$6)*(INDIRECT($E135&amp;"[site]")=$G$2)))))
-1,0)</f>
        <v>-0.2329493910983268</v>
      </c>
      <c r="Q136" s="74">
        <f t="array" aca="1" ref="Q136" ca="1">IFERROR(Q135/
(IF($G$2=0,
(SUM(INDIRECT($E135&amp;"["&amp;$G135&amp;"]")*(INDIRECT($E135&amp;"[yr]")=Q$5-1)*(INDIRECT($E135&amp;"[wk]")=Q$6))/
SUM((INDIRECT($E135&amp;"["&amp;$E136&amp;"]"))*(INDIRECT($E135&amp;"[yr]")=Q$5-1)*(INDIRECT($E135&amp;"[wk]")=Q$6))),
(SUM(INDIRECT($E135&amp;"["&amp;$G135&amp;"]")*(INDIRECT($E135&amp;"[yr]")=Q$5-1)*(INDIRECT($E135&amp;"[wk]")=Q$6)*(INDIRECT($E135&amp;"[site]")=$G$2))/
SUM((INDIRECT($E135&amp;"["&amp;$E136&amp;"]"))*(INDIRECT($E135&amp;"[yr]")=Q$5-1)*(INDIRECT($E135&amp;"[wk]")=Q$6)*(INDIRECT($E135&amp;"[site]")=$G$2)))))
-1,0)</f>
        <v>-0.22181045659193244</v>
      </c>
      <c r="R136" s="74">
        <f t="array" aca="1" ref="R136" ca="1">IFERROR(R135/
(IF($G$2=0,
(SUM(INDIRECT($E135&amp;"["&amp;$G135&amp;"]")*(INDIRECT($E135&amp;"[yr]")=R$5-1)*(INDIRECT($E135&amp;"[wk]")=R$6))/
SUM((INDIRECT($E135&amp;"["&amp;$E136&amp;"]"))*(INDIRECT($E135&amp;"[yr]")=R$5-1)*(INDIRECT($E135&amp;"[wk]")=R$6))),
(SUM(INDIRECT($E135&amp;"["&amp;$G135&amp;"]")*(INDIRECT($E135&amp;"[yr]")=R$5-1)*(INDIRECT($E135&amp;"[wk]")=R$6)*(INDIRECT($E135&amp;"[site]")=$G$2))/
SUM((INDIRECT($E135&amp;"["&amp;$E136&amp;"]"))*(INDIRECT($E135&amp;"[yr]")=R$5-1)*(INDIRECT($E135&amp;"[wk]")=R$6)*(INDIRECT($E135&amp;"[site]")=$G$2)))))
-1,0)</f>
        <v>-0.20790619500346141</v>
      </c>
      <c r="S136" s="74">
        <f t="array" aca="1" ref="S136" ca="1">IFERROR(S135/
(IF($G$2=0,
(SUM(INDIRECT($E135&amp;"["&amp;$G135&amp;"]")*(INDIRECT($E135&amp;"[yr]")=S$5-1)*(INDIRECT($E135&amp;"[wk]")=S$6))/
SUM((INDIRECT($E135&amp;"["&amp;$E136&amp;"]"))*(INDIRECT($E135&amp;"[yr]")=S$5-1)*(INDIRECT($E135&amp;"[wk]")=S$6))),
(SUM(INDIRECT($E135&amp;"["&amp;$G135&amp;"]")*(INDIRECT($E135&amp;"[yr]")=S$5-1)*(INDIRECT($E135&amp;"[wk]")=S$6)*(INDIRECT($E135&amp;"[site]")=$G$2))/
SUM((INDIRECT($E135&amp;"["&amp;$E136&amp;"]"))*(INDIRECT($E135&amp;"[yr]")=S$5-1)*(INDIRECT($E135&amp;"[wk]")=S$6)*(INDIRECT($E135&amp;"[site]")=$G$2)))))
-1,0)</f>
        <v>-0.21245379955258215</v>
      </c>
      <c r="T136" s="76">
        <f t="array" aca="1" ref="T136" ca="1">IFERROR(T135/
(IF($G$2=0,
(SUM(INDIRECT($E135&amp;"["&amp;$G135&amp;"]")*(INDIRECT($E135&amp;"[yr]")=T$5-1)*(INDIRECT($E135&amp;"[wk]")=T$6))/
SUM((INDIRECT($E135&amp;"["&amp;$E136&amp;"]")+INDIRECT($E135&amp;"["&amp;$F136&amp;"]"))*(INDIRECT($E135&amp;"[yr]")=T$5-1)*(INDIRECT($E135&amp;"[wk]")=T$6))),
(SUM(INDIRECT($E135&amp;"["&amp;$G135&amp;"]")*(INDIRECT($E135&amp;"[yr]")=T$5-1)*(INDIRECT($E135&amp;"[wk]")=T$6)*(INDIRECT($E135&amp;"[site]")=$G$2))/
SUM((INDIRECT($E135&amp;"["&amp;$E136&amp;"]")+INDIRECT($E135&amp;"["&amp;$F136&amp;"]"))*(INDIRECT($E135&amp;"[yr]")=T$5-1)*(INDIRECT($E135&amp;"[wk]")=T$6)*(INDIRECT($E135&amp;"[site]")=$G$2)))))
-1,0)</f>
        <v>0</v>
      </c>
      <c r="U136" s="53">
        <f t="array" aca="1" ref="U136" ca="1">SUM(Q136:T136*$Q$66:$T$66)/SUM($Q$66:$T$66)</f>
        <v>-0.17108277776212463</v>
      </c>
      <c r="V136" s="91"/>
      <c r="W136" s="80"/>
      <c r="X136" s="56"/>
    </row>
    <row r="137" spans="2:24" ht="3" customHeight="1" x14ac:dyDescent="0.4">
      <c r="B137" s="329"/>
      <c r="D137" s="61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</row>
    <row r="138" spans="2:24" ht="14.15" customHeight="1" x14ac:dyDescent="0.4">
      <c r="B138" s="329"/>
      <c r="D138" s="201" t="s">
        <v>552</v>
      </c>
      <c r="E138" s="63" t="s">
        <v>399</v>
      </c>
      <c r="F138" s="63"/>
      <c r="G138" s="63" t="s">
        <v>591</v>
      </c>
      <c r="H138" s="63"/>
      <c r="I138" s="128">
        <f t="array" aca="1" ref="I138" ca="1">IF($G$2=0,
(SUM(INDIRECT($E138&amp;"["&amp;$G138&amp;"]")*(INDIRECT($E138&amp;"[yr]")=I$5)*(INDIRECT($E138&amp;"[wk]")=I$6))/
SUM((INDIRECT($E138&amp;"["&amp;$E139&amp;"]"))*(INDIRECT($E138&amp;"[yr]")=I$5)*(INDIRECT($E138&amp;"[wk]")=I$6))),
(SUM(INDIRECT($E138&amp;"["&amp;$G138&amp;"]")*(INDIRECT($E138&amp;"[yr]")=I$5)*(INDIRECT($E138&amp;"[wk]")=I$6)*(INDIRECT($E138&amp;"[site]")=$G$2))/
SUM((INDIRECT($E138&amp;"["&amp;$E139&amp;"]"))*(INDIRECT($E138&amp;"[yr]")=I$5)*(INDIRECT($E138&amp;"[wk]")=I$6)*(INDIRECT($E138&amp;"[site]")=$G$2))) )</f>
        <v>104.17416047703733</v>
      </c>
      <c r="J138" s="128">
        <f t="array" aca="1" ref="J138" ca="1">IF($G$2=0,
(SUM(INDIRECT($E138&amp;"["&amp;$G138&amp;"]")*(INDIRECT($E138&amp;"[yr]")=J$5)*(INDIRECT($E138&amp;"[wk]")=J$6))/
SUM((INDIRECT($E138&amp;"["&amp;$E139&amp;"]"))*(INDIRECT($E138&amp;"[yr]")=J$5)*(INDIRECT($E138&amp;"[wk]")=J$6))),
(SUM(INDIRECT($E138&amp;"["&amp;$G138&amp;"]")*(INDIRECT($E138&amp;"[yr]")=J$5)*(INDIRECT($E138&amp;"[wk]")=J$6)*(INDIRECT($E138&amp;"[site]")=$G$2))/
SUM((INDIRECT($E138&amp;"["&amp;$E139&amp;"]"))*(INDIRECT($E138&amp;"[yr]")=J$5)*(INDIRECT($E138&amp;"[wk]")=J$6)*(INDIRECT($E138&amp;"[site]")=$G$2))) )</f>
        <v>98.355465271808555</v>
      </c>
      <c r="K138" s="128">
        <f t="array" aca="1" ref="K138" ca="1">IF($G$2=0,
(SUM(INDIRECT($E138&amp;"["&amp;$G138&amp;"]")*(INDIRECT($E138&amp;"[yr]")=K$5)*(INDIRECT($E138&amp;"[wk]")=K$6))/
SUM((INDIRECT($E138&amp;"["&amp;$E139&amp;"]"))*(INDIRECT($E138&amp;"[yr]")=K$5)*(INDIRECT($E138&amp;"[wk]")=K$6))),
(SUM(INDIRECT($E138&amp;"["&amp;$G138&amp;"]")*(INDIRECT($E138&amp;"[yr]")=K$5)*(INDIRECT($E138&amp;"[wk]")=K$6)*(INDIRECT($E138&amp;"[site]")=$G$2))/
SUM((INDIRECT($E138&amp;"["&amp;$E139&amp;"]"))*(INDIRECT($E138&amp;"[yr]")=K$5)*(INDIRECT($E138&amp;"[wk]")=K$6)*(INDIRECT($E138&amp;"[site]")=$G$2))) )</f>
        <v>100.19934551736172</v>
      </c>
      <c r="L138" s="128">
        <f t="array" aca="1" ref="L138" ca="1">IF($G$2=0,
(SUM(INDIRECT($E138&amp;"["&amp;$G138&amp;"]")*(INDIRECT($E138&amp;"[yr]")=L$5)*(INDIRECT($E138&amp;"[wk]")=L$6))/
SUM((INDIRECT($E138&amp;"["&amp;$E139&amp;"]"))*(INDIRECT($E138&amp;"[yr]")=L$5)*(INDIRECT($E138&amp;"[wk]")=L$6))),
(SUM(INDIRECT($E138&amp;"["&amp;$G138&amp;"]")*(INDIRECT($E138&amp;"[yr]")=L$5)*(INDIRECT($E138&amp;"[wk]")=L$6)*(INDIRECT($E138&amp;"[site]")=$G$2))/
SUM((INDIRECT($E138&amp;"["&amp;$E139&amp;"]"))*(INDIRECT($E138&amp;"[yr]")=L$5)*(INDIRECT($E138&amp;"[wk]")=L$6)*(INDIRECT($E138&amp;"[site]")=$G$2))) )</f>
        <v>86.907723338095636</v>
      </c>
      <c r="M138" s="128">
        <f t="array" aca="1" ref="M138" ca="1">IF($G$2=0,
(SUM(INDIRECT($E138&amp;"["&amp;$G138&amp;"]")*(INDIRECT($E138&amp;"[yr]")=M$5)*(INDIRECT($E138&amp;"[wk]")=M$6))/
SUM((INDIRECT($E138&amp;"["&amp;$E139&amp;"]"))*(INDIRECT($E138&amp;"[yr]")=M$5)*(INDIRECT($E138&amp;"[wk]")=M$6))),
(SUM(INDIRECT($E138&amp;"["&amp;$G138&amp;"]")*(INDIRECT($E138&amp;"[yr]")=M$5)*(INDIRECT($E138&amp;"[wk]")=M$6)*(INDIRECT($E138&amp;"[site]")=$G$2))/
SUM((INDIRECT($E138&amp;"["&amp;$E139&amp;"]"))*(INDIRECT($E138&amp;"[yr]")=M$5)*(INDIRECT($E138&amp;"[wk]")=M$6)*(INDIRECT($E138&amp;"[site]")=$G$2))) )</f>
        <v>98.708710107791106</v>
      </c>
      <c r="N138" s="128">
        <f t="array" aca="1" ref="N138" ca="1">IF($G$2=0,
(SUM(INDIRECT($E138&amp;"["&amp;$G138&amp;"]")*(INDIRECT($E138&amp;"[yr]")=N$5)*(INDIRECT($E138&amp;"[wk]")=N$6))/
SUM((INDIRECT($E138&amp;"["&amp;$E139&amp;"]"))*(INDIRECT($E138&amp;"[yr]")=N$5)*(INDIRECT($E138&amp;"[wk]")=N$6))),
(SUM(INDIRECT($E138&amp;"["&amp;$G138&amp;"]")*(INDIRECT($E138&amp;"[yr]")=N$5)*(INDIRECT($E138&amp;"[wk]")=N$6)*(INDIRECT($E138&amp;"[site]")=$G$2))/
SUM((INDIRECT($E138&amp;"["&amp;$E139&amp;"]"))*(INDIRECT($E138&amp;"[yr]")=N$5)*(INDIRECT($E138&amp;"[wk]")=N$6)*(INDIRECT($E138&amp;"[site]")=$G$2))) )</f>
        <v>111.89727731830503</v>
      </c>
      <c r="O138" s="128">
        <f t="array" aca="1" ref="O138" ca="1">IF($G$2=0,
(SUM(INDIRECT($E138&amp;"["&amp;$G138&amp;"]")*(INDIRECT($E138&amp;"[yr]")=O$5)*(INDIRECT($E138&amp;"[wk]")=O$6))/
SUM((INDIRECT($E138&amp;"["&amp;$E139&amp;"]"))*(INDIRECT($E138&amp;"[yr]")=O$5)*(INDIRECT($E138&amp;"[wk]")=O$6))),
(SUM(INDIRECT($E138&amp;"["&amp;$G138&amp;"]")*(INDIRECT($E138&amp;"[yr]")=O$5)*(INDIRECT($E138&amp;"[wk]")=O$6)*(INDIRECT($E138&amp;"[site]")=$G$2))/
SUM((INDIRECT($E138&amp;"["&amp;$E139&amp;"]"))*(INDIRECT($E138&amp;"[yr]")=O$5)*(INDIRECT($E138&amp;"[wk]")=O$6)*(INDIRECT($E138&amp;"[site]")=$G$2))) )</f>
        <v>111.21334145759938</v>
      </c>
      <c r="P138" s="128">
        <f t="array" aca="1" ref="P138" ca="1">IF($G$2=0,
(SUM(INDIRECT($E138&amp;"["&amp;$G138&amp;"]")*(INDIRECT($E138&amp;"[yr]")=P$5)*(INDIRECT($E138&amp;"[wk]")=P$6))/
SUM((INDIRECT($E138&amp;"["&amp;$E139&amp;"]"))*(INDIRECT($E138&amp;"[yr]")=P$5)*(INDIRECT($E138&amp;"[wk]")=P$6))),
(SUM(INDIRECT($E138&amp;"["&amp;$G138&amp;"]")*(INDIRECT($E138&amp;"[yr]")=P$5)*(INDIRECT($E138&amp;"[wk]")=P$6)*(INDIRECT($E138&amp;"[site]")=$G$2))/
SUM((INDIRECT($E138&amp;"["&amp;$E139&amp;"]"))*(INDIRECT($E138&amp;"[yr]")=P$5)*(INDIRECT($E138&amp;"[wk]")=P$6)*(INDIRECT($E138&amp;"[site]")=$G$2))) )</f>
        <v>116.34031637451903</v>
      </c>
      <c r="Q138" s="128">
        <f t="array" aca="1" ref="Q138" ca="1">IF($G$2=0,
(SUM(INDIRECT($E138&amp;"["&amp;$G138&amp;"]")*(INDIRECT($E138&amp;"[yr]")=Q$5)*(INDIRECT($E138&amp;"[wk]")=Q$6))/
SUM((INDIRECT($E138&amp;"["&amp;$E139&amp;"]"))*(INDIRECT($E138&amp;"[yr]")=Q$5)*(INDIRECT($E138&amp;"[wk]")=Q$6))),
(SUM(INDIRECT($E138&amp;"["&amp;$G138&amp;"]")*(INDIRECT($E138&amp;"[yr]")=Q$5)*(INDIRECT($E138&amp;"[wk]")=Q$6)*(INDIRECT($E138&amp;"[site]")=$G$2))/
SUM((INDIRECT($E138&amp;"["&amp;$E139&amp;"]"))*(INDIRECT($E138&amp;"[yr]")=Q$5)*(INDIRECT($E138&amp;"[wk]")=Q$6)*(INDIRECT($E138&amp;"[site]")=$G$2))) )</f>
        <v>111.93198267010605</v>
      </c>
      <c r="R138" s="128">
        <f t="array" aca="1" ref="R138" ca="1">IF($G$2=0,
(SUM(INDIRECT($E138&amp;"["&amp;$G138&amp;"]")*(INDIRECT($E138&amp;"[yr]")=R$5)*(INDIRECT($E138&amp;"[wk]")=R$6))/
SUM((INDIRECT($E138&amp;"["&amp;$E139&amp;"]"))*(INDIRECT($E138&amp;"[yr]")=R$5)*(INDIRECT($E138&amp;"[wk]")=R$6))),
(SUM(INDIRECT($E138&amp;"["&amp;$G138&amp;"]")*(INDIRECT($E138&amp;"[yr]")=R$5)*(INDIRECT($E138&amp;"[wk]")=R$6)*(INDIRECT($E138&amp;"[site]")=$G$2))/
SUM((INDIRECT($E138&amp;"["&amp;$E139&amp;"]"))*(INDIRECT($E138&amp;"[yr]")=R$5)*(INDIRECT($E138&amp;"[wk]")=R$6)*(INDIRECT($E138&amp;"[site]")=$G$2))) )</f>
        <v>100.84355272442937</v>
      </c>
      <c r="S138" s="128">
        <f t="array" aca="1" ref="S138" ca="1">IF($G$2=0,
(SUM(INDIRECT($E138&amp;"["&amp;$G138&amp;"]")*(INDIRECT($E138&amp;"[yr]")=S$5)*(INDIRECT($E138&amp;"[wk]")=S$6))/
SUM((INDIRECT($E138&amp;"["&amp;$E139&amp;"]"))*(INDIRECT($E138&amp;"[yr]")=S$5)*(INDIRECT($E138&amp;"[wk]")=S$6))),
(SUM(INDIRECT($E138&amp;"["&amp;$G138&amp;"]")*(INDIRECT($E138&amp;"[yr]")=S$5)*(INDIRECT($E138&amp;"[wk]")=S$6)*(INDIRECT($E138&amp;"[site]")=$G$2))/
SUM((INDIRECT($E138&amp;"["&amp;$E139&amp;"]"))*(INDIRECT($E138&amp;"[yr]")=S$5)*(INDIRECT($E138&amp;"[wk]")=S$6)*(INDIRECT($E138&amp;"[site]")=$G$2))) )</f>
        <v>85.228596348085418</v>
      </c>
      <c r="T138" s="129">
        <f t="array" aca="1" ref="T138" ca="1">IF($G$2=0,
(SUM(INDIRECT($E138&amp;"["&amp;$G138&amp;"]")*(INDIRECT($E138&amp;"[yr]")=T$5)*(INDIRECT($E138&amp;"[wk]")=T$6))/
SUM((INDIRECT($E138&amp;"["&amp;$E139&amp;"]"))*(INDIRECT($E138&amp;"[yr]")=T$5)*(INDIRECT($E138&amp;"[wk]")=T$6))),
(SUM(INDIRECT($E138&amp;"["&amp;$G138&amp;"]")*(INDIRECT($E138&amp;"[yr]")=T$5)*(INDIRECT($E138&amp;"[wk]")=T$6)*(INDIRECT($E138&amp;"[site]")=$G$2))/
SUM((INDIRECT($E138&amp;"["&amp;$E139&amp;"]"))*(INDIRECT($E138&amp;"[yr]")=T$5)*(INDIRECT($E138&amp;"[wk]")=T$6)*(INDIRECT($E138&amp;"[site]")=$G$2))) )</f>
        <v>96.970432250684524</v>
      </c>
      <c r="U138" s="130">
        <f t="array" aca="1" ref="U138" ca="1">SUM(Q138:T138*$Q$66:$T$66)/SUM($Q$66:$T$66)</f>
        <v>98.95064625112785</v>
      </c>
      <c r="V138" s="47">
        <f t="array" aca="1" ref="V138" ca="1">SUM(T138/S138)-1</f>
        <v>0.13776873497533404</v>
      </c>
      <c r="W138" s="131">
        <v>75</v>
      </c>
      <c r="X138" s="49"/>
    </row>
    <row r="139" spans="2:24" ht="13.2" customHeight="1" x14ac:dyDescent="0.4">
      <c r="B139" s="329"/>
      <c r="D139" s="204" t="s">
        <v>67</v>
      </c>
      <c r="E139" s="40" t="s">
        <v>592</v>
      </c>
      <c r="F139" t="s">
        <v>403</v>
      </c>
      <c r="I139" s="74">
        <f t="array" aca="1" ref="I139" ca="1">IFERROR(I138/
(IF($G$2=0,
(SUM(INDIRECT($E138&amp;"["&amp;$G138&amp;"]")*(INDIRECT($E138&amp;"[yr]")=I$5-1)*(INDIRECT($E138&amp;"[wk]")=I$6))/
SUM((INDIRECT($E138&amp;"["&amp;$E139&amp;"]"))*(INDIRECT($E138&amp;"[yr]")=I$5-1)*(INDIRECT($E138&amp;"[wk]")=I$6))),
(SUM(INDIRECT($E138&amp;"["&amp;$G138&amp;"]")*(INDIRECT($E138&amp;"[yr]")=I$5-1)*(INDIRECT($E138&amp;"[wk]")=I$6)*(INDIRECT($E138&amp;"[site]")=$G$2))/
SUM((INDIRECT($E138&amp;"["&amp;$E139&amp;"]"))*(INDIRECT($E138&amp;"[yr]")=I$5-1)*(INDIRECT($E138&amp;"[wk]")=I$6)*(INDIRECT($E138&amp;"[site]")=$G$2)))))
-1,0)</f>
        <v>-0.27712879073084162</v>
      </c>
      <c r="J139" s="74">
        <f t="array" aca="1" ref="J139" ca="1">IFERROR(J138/
(IF($G$2=0,
(SUM(INDIRECT($E138&amp;"["&amp;$G138&amp;"]")*(INDIRECT($E138&amp;"[yr]")=J$5-1)*(INDIRECT($E138&amp;"[wk]")=J$6))/
SUM((INDIRECT($E138&amp;"["&amp;$E139&amp;"]"))*(INDIRECT($E138&amp;"[yr]")=J$5-1)*(INDIRECT($E138&amp;"[wk]")=J$6))),
(SUM(INDIRECT($E138&amp;"["&amp;$G138&amp;"]")*(INDIRECT($E138&amp;"[yr]")=J$5-1)*(INDIRECT($E138&amp;"[wk]")=J$6)*(INDIRECT($E138&amp;"[site]")=$G$2))/
SUM((INDIRECT($E138&amp;"["&amp;$E139&amp;"]"))*(INDIRECT($E138&amp;"[yr]")=J$5-1)*(INDIRECT($E138&amp;"[wk]")=J$6)*(INDIRECT($E138&amp;"[site]")=$G$2)))))
-1,0)</f>
        <v>-0.2107877844196866</v>
      </c>
      <c r="K139" s="74">
        <f t="array" aca="1" ref="K139" ca="1">IFERROR(K138/
(IF($G$2=0,
(SUM(INDIRECT($E138&amp;"["&amp;$G138&amp;"]")*(INDIRECT($E138&amp;"[yr]")=K$5-1)*(INDIRECT($E138&amp;"[wk]")=K$6))/
SUM((INDIRECT($E138&amp;"["&amp;$E139&amp;"]"))*(INDIRECT($E138&amp;"[yr]")=K$5-1)*(INDIRECT($E138&amp;"[wk]")=K$6))),
(SUM(INDIRECT($E138&amp;"["&amp;$G138&amp;"]")*(INDIRECT($E138&amp;"[yr]")=K$5-1)*(INDIRECT($E138&amp;"[wk]")=K$6)*(INDIRECT($E138&amp;"[site]")=$G$2))/
SUM((INDIRECT($E138&amp;"["&amp;$E139&amp;"]"))*(INDIRECT($E138&amp;"[yr]")=K$5-1)*(INDIRECT($E138&amp;"[wk]")=K$6)*(INDIRECT($E138&amp;"[site]")=$G$2)))))
-1,0)</f>
        <v>-0.12397098483836022</v>
      </c>
      <c r="L139" s="74">
        <f t="array" aca="1" ref="L139" ca="1">IFERROR(L138/
(IF($G$2=0,
(SUM(INDIRECT($E138&amp;"["&amp;$G138&amp;"]")*(INDIRECT($E138&amp;"[yr]")=L$5-1)*(INDIRECT($E138&amp;"[wk]")=L$6))/
SUM((INDIRECT($E138&amp;"["&amp;$E139&amp;"]"))*(INDIRECT($E138&amp;"[yr]")=L$5-1)*(INDIRECT($E138&amp;"[wk]")=L$6))),
(SUM(INDIRECT($E138&amp;"["&amp;$G138&amp;"]")*(INDIRECT($E138&amp;"[yr]")=L$5-1)*(INDIRECT($E138&amp;"[wk]")=L$6)*(INDIRECT($E138&amp;"[site]")=$G$2))/
SUM((INDIRECT($E138&amp;"["&amp;$E139&amp;"]"))*(INDIRECT($E138&amp;"[yr]")=L$5-1)*(INDIRECT($E138&amp;"[wk]")=L$6)*(INDIRECT($E138&amp;"[site]")=$G$2)))))
-1,0)</f>
        <v>-0.30399029477075079</v>
      </c>
      <c r="M139" s="74">
        <f t="array" aca="1" ref="M139" ca="1">IFERROR(M138/
(IF($G$2=0,
(SUM(INDIRECT($E138&amp;"["&amp;$G138&amp;"]")*(INDIRECT($E138&amp;"[yr]")=M$5-1)*(INDIRECT($E138&amp;"[wk]")=M$6))/
SUM((INDIRECT($E138&amp;"["&amp;$E139&amp;"]"))*(INDIRECT($E138&amp;"[yr]")=M$5-1)*(INDIRECT($E138&amp;"[wk]")=M$6))),
(SUM(INDIRECT($E138&amp;"["&amp;$G138&amp;"]")*(INDIRECT($E138&amp;"[yr]")=M$5-1)*(INDIRECT($E138&amp;"[wk]")=M$6)*(INDIRECT($E138&amp;"[site]")=$G$2))/
SUM((INDIRECT($E138&amp;"["&amp;$E139&amp;"]"))*(INDIRECT($E138&amp;"[yr]")=M$5-1)*(INDIRECT($E138&amp;"[wk]")=M$6)*(INDIRECT($E138&amp;"[site]")=$G$2)))))
-1,0)</f>
        <v>-0.2169220396037298</v>
      </c>
      <c r="N139" s="74">
        <f t="array" aca="1" ref="N139" ca="1">IFERROR(N138/
(IF($G$2=0,
(SUM(INDIRECT($E138&amp;"["&amp;$G138&amp;"]")*(INDIRECT($E138&amp;"[yr]")=N$5-1)*(INDIRECT($E138&amp;"[wk]")=N$6))/
SUM((INDIRECT($E138&amp;"["&amp;$E139&amp;"]"))*(INDIRECT($E138&amp;"[yr]")=N$5-1)*(INDIRECT($E138&amp;"[wk]")=N$6))),
(SUM(INDIRECT($E138&amp;"["&amp;$G138&amp;"]")*(INDIRECT($E138&amp;"[yr]")=N$5-1)*(INDIRECT($E138&amp;"[wk]")=N$6)*(INDIRECT($E138&amp;"[site]")=$G$2))/
SUM((INDIRECT($E138&amp;"["&amp;$E139&amp;"]"))*(INDIRECT($E138&amp;"[yr]")=N$5-1)*(INDIRECT($E138&amp;"[wk]")=N$6)*(INDIRECT($E138&amp;"[site]")=$G$2)))))
-1,0)</f>
        <v>-0.16982111370459541</v>
      </c>
      <c r="O139" s="74">
        <f t="array" aca="1" ref="O139" ca="1">IFERROR(O138/
(IF($G$2=0,
(SUM(INDIRECT($E138&amp;"["&amp;$G138&amp;"]")*(INDIRECT($E138&amp;"[yr]")=O$5-1)*(INDIRECT($E138&amp;"[wk]")=O$6))/
SUM((INDIRECT($E138&amp;"["&amp;$E139&amp;"]"))*(INDIRECT($E138&amp;"[yr]")=O$5-1)*(INDIRECT($E138&amp;"[wk]")=O$6))),
(SUM(INDIRECT($E138&amp;"["&amp;$G138&amp;"]")*(INDIRECT($E138&amp;"[yr]")=O$5-1)*(INDIRECT($E138&amp;"[wk]")=O$6)*(INDIRECT($E138&amp;"[site]")=$G$2))/
SUM((INDIRECT($E138&amp;"["&amp;$E139&amp;"]"))*(INDIRECT($E138&amp;"[yr]")=O$5-1)*(INDIRECT($E138&amp;"[wk]")=O$6)*(INDIRECT($E138&amp;"[site]")=$G$2)))))
-1,0)</f>
        <v>-0.13494846907537028</v>
      </c>
      <c r="P139" s="74">
        <f t="array" aca="1" ref="P139" ca="1">IFERROR(P138/
(IF($G$2=0,
(SUM(INDIRECT($E138&amp;"["&amp;$G138&amp;"]")*(INDIRECT($E138&amp;"[yr]")=P$5-1)*(INDIRECT($E138&amp;"[wk]")=P$6))/
SUM((INDIRECT($E138&amp;"["&amp;$E139&amp;"]"))*(INDIRECT($E138&amp;"[yr]")=P$5-1)*(INDIRECT($E138&amp;"[wk]")=P$6))),
(SUM(INDIRECT($E138&amp;"["&amp;$G138&amp;"]")*(INDIRECT($E138&amp;"[yr]")=P$5-1)*(INDIRECT($E138&amp;"[wk]")=P$6)*(INDIRECT($E138&amp;"[site]")=$G$2))/
SUM((INDIRECT($E138&amp;"["&amp;$E139&amp;"]"))*(INDIRECT($E138&amp;"[yr]")=P$5-1)*(INDIRECT($E138&amp;"[wk]")=P$6)*(INDIRECT($E138&amp;"[site]")=$G$2)))))
-1,0)</f>
        <v>-4.8917635096769829E-2</v>
      </c>
      <c r="Q139" s="74">
        <f t="array" aca="1" ref="Q139" ca="1">IFERROR(Q138/
(IF($G$2=0,
(SUM(INDIRECT($E138&amp;"["&amp;$G138&amp;"]")*(INDIRECT($E138&amp;"[yr]")=Q$5-1)*(INDIRECT($E138&amp;"[wk]")=Q$6))/
SUM((INDIRECT($E138&amp;"["&amp;$E139&amp;"]"))*(INDIRECT($E138&amp;"[yr]")=Q$5-1)*(INDIRECT($E138&amp;"[wk]")=Q$6))),
(SUM(INDIRECT($E138&amp;"["&amp;$G138&amp;"]")*(INDIRECT($E138&amp;"[yr]")=Q$5-1)*(INDIRECT($E138&amp;"[wk]")=Q$6)*(INDIRECT($E138&amp;"[site]")=$G$2))/
SUM((INDIRECT($E138&amp;"["&amp;$E139&amp;"]"))*(INDIRECT($E138&amp;"[yr]")=Q$5-1)*(INDIRECT($E138&amp;"[wk]")=Q$6)*(INDIRECT($E138&amp;"[site]")=$G$2)))))
-1,0)</f>
        <v>-0.11786511867916794</v>
      </c>
      <c r="R139" s="74">
        <f t="array" aca="1" ref="R139" ca="1">IFERROR(R138/
(IF($G$2=0,
(SUM(INDIRECT($E138&amp;"["&amp;$G138&amp;"]")*(INDIRECT($E138&amp;"[yr]")=R$5-1)*(INDIRECT($E138&amp;"[wk]")=R$6))/
SUM((INDIRECT($E138&amp;"["&amp;$E139&amp;"]"))*(INDIRECT($E138&amp;"[yr]")=R$5-1)*(INDIRECT($E138&amp;"[wk]")=R$6))),
(SUM(INDIRECT($E138&amp;"["&amp;$G138&amp;"]")*(INDIRECT($E138&amp;"[yr]")=R$5-1)*(INDIRECT($E138&amp;"[wk]")=R$6)*(INDIRECT($E138&amp;"[site]")=$G$2))/
SUM((INDIRECT($E138&amp;"["&amp;$E139&amp;"]"))*(INDIRECT($E138&amp;"[yr]")=R$5-1)*(INDIRECT($E138&amp;"[wk]")=R$6)*(INDIRECT($E138&amp;"[site]")=$G$2)))))
-1,0)</f>
        <v>-0.27083002771070175</v>
      </c>
      <c r="S139" s="74">
        <f t="array" aca="1" ref="S139" ca="1">IFERROR(S138/
(IF($G$2=0,
(SUM(INDIRECT($E138&amp;"["&amp;$G138&amp;"]")*(INDIRECT($E138&amp;"[yr]")=S$5-1)*(INDIRECT($E138&amp;"[wk]")=S$6))/
SUM((INDIRECT($E138&amp;"["&amp;$E139&amp;"]"))*(INDIRECT($E138&amp;"[yr]")=S$5-1)*(INDIRECT($E138&amp;"[wk]")=S$6))),
(SUM(INDIRECT($E138&amp;"["&amp;$G138&amp;"]")*(INDIRECT($E138&amp;"[yr]")=S$5-1)*(INDIRECT($E138&amp;"[wk]")=S$6)*(INDIRECT($E138&amp;"[site]")=$G$2))/
SUM((INDIRECT($E138&amp;"["&amp;$E139&amp;"]"))*(INDIRECT($E138&amp;"[yr]")=S$5-1)*(INDIRECT($E138&amp;"[wk]")=S$6)*(INDIRECT($E138&amp;"[site]")=$G$2)))))
-1,0)</f>
        <v>-0.32933761060589251</v>
      </c>
      <c r="T139" s="76">
        <f t="array" aca="1" ref="T139" ca="1">IFERROR(T138/
(IF($G$2=0,
(SUM(INDIRECT($E138&amp;"["&amp;$G138&amp;"]")*(INDIRECT($E138&amp;"[yr]")=T$5-1)*(INDIRECT($E138&amp;"[wk]")=T$6))/
SUM((INDIRECT($E138&amp;"["&amp;$F139&amp;"]")+INDIRECT($E138&amp;"["&amp;$E140&amp;"]")+INDIRECT($E138&amp;"["&amp;$G139&amp;"]")+INDIRECT($E138&amp;"["&amp;$G140&amp;"]")+INDIRECT($E138&amp;"["&amp;$H139&amp;"]"))*(INDIRECT($E138&amp;"[yr]")=T$5-1)*(INDIRECT($E138&amp;"[wk]")=T$6))),
(SUM(INDIRECT($E138&amp;"["&amp;$G138&amp;"]")*(INDIRECT($E138&amp;"[yr]")=T$5-1)*(INDIRECT($E138&amp;"[wk]")=T$6)*(INDIRECT($E138&amp;"[siteflag]")=$G$2))/
SUM((INDIRECT($E138&amp;"["&amp;$F139&amp;"]")+INDIRECT($E138&amp;"["&amp;$E140&amp;"]")+INDIRECT($E138&amp;"["&amp;$G139&amp;"]")+INDIRECT($E138&amp;"["&amp;$G140&amp;"]")+INDIRECT($E138&amp;"["&amp;$H139&amp;"]"))*(INDIRECT($E138&amp;"[yr]")=T$5-1)*(INDIRECT($E138&amp;"[wk]")=T$6)*(INDIRECT($E138&amp;"[siteflag]")=$G$2)))))
-1,0)</f>
        <v>0</v>
      </c>
      <c r="U139" s="77">
        <f t="array" aca="1" ref="U139" ca="1">SUM(Q139:T139*$Q$66:$T$66)/SUM($Q$66:$T$66)</f>
        <v>-0.18887121299428114</v>
      </c>
      <c r="V139" s="91"/>
      <c r="W139" s="80"/>
      <c r="X139" s="81"/>
    </row>
    <row r="140" spans="2:24" ht="13.2" hidden="1" customHeight="1" x14ac:dyDescent="0.4">
      <c r="B140" s="330"/>
      <c r="D140" s="78"/>
      <c r="E140" t="s">
        <v>185</v>
      </c>
      <c r="F140" t="s">
        <v>164</v>
      </c>
      <c r="G140" t="s">
        <v>163</v>
      </c>
      <c r="P140" s="231"/>
      <c r="T140" s="76"/>
      <c r="U140" s="77"/>
      <c r="V140" s="190"/>
      <c r="W140" s="190"/>
      <c r="X140" s="56"/>
    </row>
    <row r="141" spans="2:24" ht="3" customHeight="1" x14ac:dyDescent="0.4">
      <c r="B141" s="57"/>
      <c r="D141" s="61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</row>
    <row r="142" spans="2:24" ht="14.15" customHeight="1" x14ac:dyDescent="0.4">
      <c r="B142" s="328" t="s">
        <v>246</v>
      </c>
      <c r="D142" s="201" t="s">
        <v>165</v>
      </c>
      <c r="E142" s="63" t="s">
        <v>108</v>
      </c>
      <c r="F142" s="63" t="s">
        <v>166</v>
      </c>
      <c r="G142" s="63"/>
      <c r="H142" s="63"/>
      <c r="I142" s="132">
        <f t="array" aca="1" ref="I142" ca="1">SUM(INDIRECT($E142&amp;"["&amp;$F142&amp;"]")*(INDIRECT($E142&amp;"[yr]")=I$5)*(INDIRECT($E142&amp;"[wk]")=I$6)*(INDIRECT($E142&amp;"[taskflag]")="R")*(INDIRECT($E142&amp;"[errortype]")="mislabel"))</f>
        <v>5</v>
      </c>
      <c r="J142" s="132">
        <f t="array" aca="1" ref="J142" ca="1">SUM(INDIRECT($E142&amp;"["&amp;$F142&amp;"]")*(INDIRECT($E142&amp;"[yr]")=J$5)*(INDIRECT($E142&amp;"[wk]")=J$6)*(INDIRECT($E142&amp;"[taskflag]")="R")*(INDIRECT($E142&amp;"[errortype]")="mislabel"))</f>
        <v>7</v>
      </c>
      <c r="K142" s="132">
        <f t="array" aca="1" ref="K142" ca="1">SUM(INDIRECT($E142&amp;"["&amp;$F142&amp;"]")*(INDIRECT($E142&amp;"[yr]")=K$5)*(INDIRECT($E142&amp;"[wk]")=K$6)*(INDIRECT($E142&amp;"[taskflag]")="R")*(INDIRECT($E142&amp;"[errortype]")="mislabel"))</f>
        <v>10</v>
      </c>
      <c r="L142" s="132">
        <f t="array" aca="1" ref="L142" ca="1">SUM(INDIRECT($E142&amp;"["&amp;$F142&amp;"]")*(INDIRECT($E142&amp;"[yr]")=L$5)*(INDIRECT($E142&amp;"[wk]")=L$6)*(INDIRECT($E142&amp;"[taskflag]")="R")*(INDIRECT($E142&amp;"[errortype]")="mislabel"))</f>
        <v>1</v>
      </c>
      <c r="M142" s="132">
        <f t="array" aca="1" ref="M142" ca="1">SUM(INDIRECT($E142&amp;"["&amp;$F142&amp;"]")*(INDIRECT($E142&amp;"[yr]")=M$5)*(INDIRECT($E142&amp;"[wk]")=M$6)*(INDIRECT($E142&amp;"[taskflag]")="R")*(INDIRECT($E142&amp;"[errortype]")="mislabel"))</f>
        <v>2</v>
      </c>
      <c r="N142" s="132">
        <f t="array" aca="1" ref="N142" ca="1">SUM(INDIRECT($E142&amp;"["&amp;$F142&amp;"]")*(INDIRECT($E142&amp;"[yr]")=N$5)*(INDIRECT($E142&amp;"[wk]")=N$6)*(INDIRECT($E142&amp;"[taskflag]")="R")*(INDIRECT($E142&amp;"[errortype]")="mislabel"))</f>
        <v>6</v>
      </c>
      <c r="O142" s="132">
        <f t="array" aca="1" ref="O142" ca="1">SUM(INDIRECT($E142&amp;"["&amp;$F142&amp;"]")*(INDIRECT($E142&amp;"[yr]")=O$5)*(INDIRECT($E142&amp;"[wk]")=O$6)*(INDIRECT($E142&amp;"[taskflag]")="R")*(INDIRECT($E142&amp;"[errortype]")="mislabel"))</f>
        <v>4</v>
      </c>
      <c r="P142" s="156">
        <f t="array" aca="1" ref="P142" ca="1">SUM(INDIRECT($E142&amp;"["&amp;$F142&amp;"]")*(INDIRECT($E142&amp;"[yr]")=P$5)*(INDIRECT($E142&amp;"[wk]")=P$6)*(INDIRECT($E142&amp;"[taskflag]")="R")*(INDIRECT($E142&amp;"[errortype]")="mislabel"))</f>
        <v>2</v>
      </c>
      <c r="Q142" s="132">
        <f t="array" aca="1" ref="Q142" ca="1">SUM(INDIRECT($E142&amp;"["&amp;$F142&amp;"]")*(INDIRECT($E142&amp;"[yr]")=Q$5)*(INDIRECT($E142&amp;"[wk]")=Q$6)*(INDIRECT($E142&amp;"[taskflag]")="R")*(INDIRECT($E142&amp;"[errortype]")="mislabel"))</f>
        <v>8</v>
      </c>
      <c r="R142" s="132">
        <f t="array" aca="1" ref="R142" ca="1">SUM(INDIRECT($E142&amp;"["&amp;$F142&amp;"]")*(INDIRECT($E142&amp;"[yr]")=R$5)*(INDIRECT($E142&amp;"[wk]")=R$6)*(INDIRECT($E142&amp;"[taskflag]")="R")*(INDIRECT($E142&amp;"[errortype]")="mislabel"))</f>
        <v>3</v>
      </c>
      <c r="S142" s="132">
        <f t="array" aca="1" ref="S142" ca="1">SUM(INDIRECT($E142&amp;"["&amp;$F142&amp;"]")*(INDIRECT($E142&amp;"[yr]")=S$5)*(INDIRECT($E142&amp;"[wk]")=S$6)*(INDIRECT($E142&amp;"[taskflag]")="R")*(INDIRECT($E142&amp;"[errortype]")="mislabel"))</f>
        <v>4</v>
      </c>
      <c r="T142" s="191">
        <f t="array" aca="1" ref="T142" ca="1">SUM(INDIRECT($E142&amp;"["&amp;$F142&amp;"]")*(INDIRECT($E142&amp;"[yr]")=T$5)*(INDIRECT($E142&amp;"[wk]")=T$6)*(INDIRECT($E142&amp;"[taskflag]")="R")*(INDIRECT($E142&amp;"[errortype]")="mislabel"))</f>
        <v>4</v>
      </c>
      <c r="U142" s="132">
        <f t="shared" ref="U142:U148" ca="1" si="6">SUM(Q142:T142)</f>
        <v>19</v>
      </c>
      <c r="V142" s="49">
        <f t="array" aca="1" ref="V142" ca="1">IFERROR((SUM(T142/S142)-1),0)</f>
        <v>0</v>
      </c>
      <c r="W142" s="192"/>
      <c r="X142" s="47"/>
    </row>
    <row r="143" spans="2:24" ht="14.15" customHeight="1" x14ac:dyDescent="0.4">
      <c r="B143" s="329"/>
      <c r="D143" s="203" t="s">
        <v>167</v>
      </c>
      <c r="E143" t="s">
        <v>108</v>
      </c>
      <c r="F143" t="s">
        <v>166</v>
      </c>
      <c r="I143" s="6">
        <f t="array" aca="1" ref="I143" ca="1">SUM(INDIRECT($E143&amp;"["&amp;$F143&amp;"]")*(INDIRECT($E143&amp;"[yr]")=I$5)*(INDIRECT($E143&amp;"[wk]")=I$6)*(INDIRECT($E143&amp;"[taskflag]")="R")*(INDIRECT($E143&amp;"[errortype]")="NoPictureCheck"))</f>
        <v>0</v>
      </c>
      <c r="J143" s="6">
        <f t="array" aca="1" ref="J143" ca="1">SUM(INDIRECT($E143&amp;"["&amp;$F143&amp;"]")*(INDIRECT($E143&amp;"[yr]")=J$5)*(INDIRECT($E143&amp;"[wk]")=J$6)*(INDIRECT($E143&amp;"[taskflag]")="R")*(INDIRECT($E143&amp;"[errortype]")="NoPictureCheck"))</f>
        <v>1</v>
      </c>
      <c r="K143" s="6">
        <f t="array" aca="1" ref="K143" ca="1">SUM(INDIRECT($E143&amp;"["&amp;$F143&amp;"]")*(INDIRECT($E143&amp;"[yr]")=K$5)*(INDIRECT($E143&amp;"[wk]")=K$6)*(INDIRECT($E143&amp;"[taskflag]")="R")*(INDIRECT($E143&amp;"[errortype]")="NoPictureCheck"))</f>
        <v>0</v>
      </c>
      <c r="L143" s="6">
        <f t="array" aca="1" ref="L143" ca="1">SUM(INDIRECT($E143&amp;"["&amp;$F143&amp;"]")*(INDIRECT($E143&amp;"[yr]")=L$5)*(INDIRECT($E143&amp;"[wk]")=L$6)*(INDIRECT($E143&amp;"[taskflag]")="R")*(INDIRECT($E143&amp;"[errortype]")="NoPictureCheck"))</f>
        <v>1</v>
      </c>
      <c r="M143" s="6">
        <f t="array" aca="1" ref="M143" ca="1">SUM(INDIRECT($E143&amp;"["&amp;$F143&amp;"]")*(INDIRECT($E143&amp;"[yr]")=M$5)*(INDIRECT($E143&amp;"[wk]")=M$6)*(INDIRECT($E143&amp;"[taskflag]")="R")*(INDIRECT($E143&amp;"[errortype]")="NoPictureCheck"))</f>
        <v>0</v>
      </c>
      <c r="N143" s="6">
        <f t="array" aca="1" ref="N143" ca="1">SUM(INDIRECT($E143&amp;"["&amp;$F143&amp;"]")*(INDIRECT($E143&amp;"[yr]")=N$5)*(INDIRECT($E143&amp;"[wk]")=N$6)*(INDIRECT($E143&amp;"[taskflag]")="R")*(INDIRECT($E143&amp;"[errortype]")="NoPictureCheck"))</f>
        <v>0</v>
      </c>
      <c r="O143" s="6">
        <f t="array" aca="1" ref="O143" ca="1">SUM(INDIRECT($E143&amp;"["&amp;$F143&amp;"]")*(INDIRECT($E143&amp;"[yr]")=O$5)*(INDIRECT($E143&amp;"[wk]")=O$6)*(INDIRECT($E143&amp;"[taskflag]")="R")*(INDIRECT($E143&amp;"[errortype]")="NoPictureCheck"))</f>
        <v>0</v>
      </c>
      <c r="P143" s="220">
        <f t="array" aca="1" ref="P143" ca="1">SUM(INDIRECT($E143&amp;"["&amp;$F143&amp;"]")*(INDIRECT($E143&amp;"[yr]")=P$5)*(INDIRECT($E143&amp;"[wk]")=P$6)*(INDIRECT($E143&amp;"[taskflag]")="R")*(INDIRECT($E143&amp;"[errortype]")="NoPictureCheck"))</f>
        <v>0</v>
      </c>
      <c r="Q143" s="6">
        <f t="array" aca="1" ref="Q143" ca="1">SUM(INDIRECT($E143&amp;"["&amp;$F143&amp;"]")*(INDIRECT($E143&amp;"[yr]")=Q$5)*(INDIRECT($E143&amp;"[wk]")=Q$6)*(INDIRECT($E143&amp;"[taskflag]")="R")*(INDIRECT($E143&amp;"[errortype]")="NoPictureCheck"))</f>
        <v>0</v>
      </c>
      <c r="R143" s="6">
        <f t="array" aca="1" ref="R143" ca="1">SUM(INDIRECT($E143&amp;"["&amp;$F143&amp;"]")*(INDIRECT($E143&amp;"[yr]")=R$5)*(INDIRECT($E143&amp;"[wk]")=R$6)*(INDIRECT($E143&amp;"[taskflag]")="R")*(INDIRECT($E143&amp;"[errortype]")="NoPictureCheck"))</f>
        <v>0</v>
      </c>
      <c r="S143" s="6">
        <f t="array" aca="1" ref="S143" ca="1">SUM(INDIRECT($E143&amp;"["&amp;$F143&amp;"]")*(INDIRECT($E143&amp;"[yr]")=S$5)*(INDIRECT($E143&amp;"[wk]")=S$6)*(INDIRECT($E143&amp;"[taskflag]")="R")*(INDIRECT($E143&amp;"[errortype]")="NoPictureCheck"))</f>
        <v>0</v>
      </c>
      <c r="T143" s="139">
        <f t="array" aca="1" ref="T143" ca="1">SUM(INDIRECT($E143&amp;"["&amp;$F143&amp;"]")*(INDIRECT($E143&amp;"[yr]")=T$5)*(INDIRECT($E143&amp;"[wk]")=T$6)*(INDIRECT($E143&amp;"[taskflag]")="R")*(INDIRECT($E143&amp;"[errortype]")="NoPictureCheck"))</f>
        <v>0</v>
      </c>
      <c r="U143" s="6">
        <f t="shared" ca="1" si="6"/>
        <v>0</v>
      </c>
      <c r="V143" s="81">
        <f t="array" aca="1" ref="V143" ca="1">SUM(IF(S143=0,T143+1,T143)/IF(S143=0,1,S143))-1</f>
        <v>0</v>
      </c>
      <c r="W143" s="108"/>
      <c r="X143" s="89"/>
    </row>
    <row r="144" spans="2:24" ht="14.15" customHeight="1" x14ac:dyDescent="0.4">
      <c r="B144" s="329"/>
      <c r="D144" s="203" t="s">
        <v>168</v>
      </c>
      <c r="E144" t="s">
        <v>108</v>
      </c>
      <c r="F144" t="s">
        <v>166</v>
      </c>
      <c r="I144" s="6">
        <f t="array" aca="1" ref="I144" ca="1">SUM(INDIRECT($E144&amp;"["&amp;$F144&amp;"]")*(INDIRECT($E144&amp;"[yr]")=I$5)*(INDIRECT($E144&amp;"[wk]")=I$6)*(INDIRECT($E144&amp;"[taskflag]")="R")*(INDIRECT($E144&amp;"[errortype]")="NoModelsPulled"))</f>
        <v>12</v>
      </c>
      <c r="J144" s="6">
        <f t="array" aca="1" ref="J144" ca="1">SUM(INDIRECT($E144&amp;"["&amp;$F144&amp;"]")*(INDIRECT($E144&amp;"[yr]")=J$5)*(INDIRECT($E144&amp;"[wk]")=J$6)*(INDIRECT($E144&amp;"[taskflag]")="R")*(INDIRECT($E144&amp;"[errortype]")="NoModelsPulled"))</f>
        <v>23</v>
      </c>
      <c r="K144" s="6">
        <f t="array" aca="1" ref="K144" ca="1">SUM(INDIRECT($E144&amp;"["&amp;$F144&amp;"]")*(INDIRECT($E144&amp;"[yr]")=K$5)*(INDIRECT($E144&amp;"[wk]")=K$6)*(INDIRECT($E144&amp;"[taskflag]")="R")*(INDIRECT($E144&amp;"[errortype]")="NoModelsPulled"))</f>
        <v>0</v>
      </c>
      <c r="L144" s="6">
        <f t="array" aca="1" ref="L144" ca="1">SUM(INDIRECT($E144&amp;"["&amp;$F144&amp;"]")*(INDIRECT($E144&amp;"[yr]")=L$5)*(INDIRECT($E144&amp;"[wk]")=L$6)*(INDIRECT($E144&amp;"[taskflag]")="R")*(INDIRECT($E144&amp;"[errortype]")="NoModelsPulled"))</f>
        <v>17</v>
      </c>
      <c r="M144" s="6">
        <f t="array" aca="1" ref="M144" ca="1">SUM(INDIRECT($E144&amp;"["&amp;$F144&amp;"]")*(INDIRECT($E144&amp;"[yr]")=M$5)*(INDIRECT($E144&amp;"[wk]")=M$6)*(INDIRECT($E144&amp;"[taskflag]")="R")*(INDIRECT($E144&amp;"[errortype]")="NoModelsPulled"))</f>
        <v>0</v>
      </c>
      <c r="N144" s="6">
        <f t="array" aca="1" ref="N144" ca="1">SUM(INDIRECT($E144&amp;"["&amp;$F144&amp;"]")*(INDIRECT($E144&amp;"[yr]")=N$5)*(INDIRECT($E144&amp;"[wk]")=N$6)*(INDIRECT($E144&amp;"[taskflag]")="R")*(INDIRECT($E144&amp;"[errortype]")="NoModelsPulled"))</f>
        <v>4</v>
      </c>
      <c r="O144" s="6">
        <f t="array" aca="1" ref="O144" ca="1">SUM(INDIRECT($E144&amp;"["&amp;$F144&amp;"]")*(INDIRECT($E144&amp;"[yr]")=O$5)*(INDIRECT($E144&amp;"[wk]")=O$6)*(INDIRECT($E144&amp;"[taskflag]")="R")*(INDIRECT($E144&amp;"[errortype]")="NoModelsPulled"))</f>
        <v>0</v>
      </c>
      <c r="P144" s="220">
        <f t="array" aca="1" ref="P144" ca="1">SUM(INDIRECT($E144&amp;"["&amp;$F144&amp;"]")*(INDIRECT($E144&amp;"[yr]")=P$5)*(INDIRECT($E144&amp;"[wk]")=P$6)*(INDIRECT($E144&amp;"[taskflag]")="R")*(INDIRECT($E144&amp;"[errortype]")="NoModelsPulled"))</f>
        <v>0</v>
      </c>
      <c r="Q144" s="6">
        <f t="array" aca="1" ref="Q144" ca="1">SUM(INDIRECT($E144&amp;"["&amp;$F144&amp;"]")*(INDIRECT($E144&amp;"[yr]")=Q$5)*(INDIRECT($E144&amp;"[wk]")=Q$6)*(INDIRECT($E144&amp;"[taskflag]")="R")*(INDIRECT($E144&amp;"[errortype]")="NoModelsPulled"))</f>
        <v>1</v>
      </c>
      <c r="R144" s="6">
        <f t="array" aca="1" ref="R144" ca="1">SUM(INDIRECT($E144&amp;"["&amp;$F144&amp;"]")*(INDIRECT($E144&amp;"[yr]")=R$5)*(INDIRECT($E144&amp;"[wk]")=R$6)*(INDIRECT($E144&amp;"[taskflag]")="R")*(INDIRECT($E144&amp;"[errortype]")="NoModelsPulled"))</f>
        <v>0</v>
      </c>
      <c r="S144" s="6">
        <f t="array" aca="1" ref="S144" ca="1">SUM(INDIRECT($E144&amp;"["&amp;$F144&amp;"]")*(INDIRECT($E144&amp;"[yr]")=S$5)*(INDIRECT($E144&amp;"[wk]")=S$6)*(INDIRECT($E144&amp;"[taskflag]")="R")*(INDIRECT($E144&amp;"[errortype]")="NoModelsPulled"))</f>
        <v>0</v>
      </c>
      <c r="T144" s="139">
        <f t="array" aca="1" ref="T144" ca="1">SUM(INDIRECT($E144&amp;"["&amp;$F144&amp;"]")*(INDIRECT($E144&amp;"[yr]")=T$5)*(INDIRECT($E144&amp;"[wk]")=T$6)*(INDIRECT($E144&amp;"[taskflag]")="R")*(INDIRECT($E144&amp;"[errortype]")="NoModelsPulled"))</f>
        <v>1</v>
      </c>
      <c r="U144" s="6">
        <f t="shared" ca="1" si="6"/>
        <v>2</v>
      </c>
      <c r="V144" s="81">
        <f t="array" aca="1" ref="V144" ca="1">IFERROR(SUM(T144/S144)-1,0)</f>
        <v>0</v>
      </c>
      <c r="W144" s="108"/>
      <c r="X144" s="89"/>
    </row>
    <row r="145" spans="2:24" ht="14.15" customHeight="1" x14ac:dyDescent="0.4">
      <c r="B145" s="329"/>
      <c r="D145" s="203" t="s">
        <v>169</v>
      </c>
      <c r="E145" t="s">
        <v>108</v>
      </c>
      <c r="F145" t="s">
        <v>166</v>
      </c>
      <c r="I145" s="6">
        <f t="array" aca="1" ref="I145" ca="1">SUM(INDIRECT($E145&amp;"["&amp;$F145&amp;"]")*(INDIRECT($E145&amp;"[yr]")=I$5)*(INDIRECT($E145&amp;"[wk]")=I$6)*(INDIRECT($E145&amp;"[taskflag]")="Rt")*(INDIRECT($E145&amp;"[errortype]")="ReturnError"))</f>
        <v>63</v>
      </c>
      <c r="J145" s="6">
        <f t="array" aca="1" ref="J145" ca="1">SUM(INDIRECT($E145&amp;"["&amp;$F145&amp;"]")*(INDIRECT($E145&amp;"[yr]")=J$5)*(INDIRECT($E145&amp;"[wk]")=J$6)*(INDIRECT($E145&amp;"[taskflag]")="Rt")*(INDIRECT($E145&amp;"[errortype]")="ReturnError"))</f>
        <v>28</v>
      </c>
      <c r="K145" s="6">
        <f t="array" aca="1" ref="K145" ca="1">SUM(INDIRECT($E145&amp;"["&amp;$F145&amp;"]")*(INDIRECT($E145&amp;"[yr]")=K$5)*(INDIRECT($E145&amp;"[wk]")=K$6)*(INDIRECT($E145&amp;"[taskflag]")="Rt")*(INDIRECT($E145&amp;"[errortype]")="ReturnError"))</f>
        <v>18</v>
      </c>
      <c r="L145" s="6">
        <f t="array" aca="1" ref="L145" ca="1">SUM(INDIRECT($E145&amp;"["&amp;$F145&amp;"]")*(INDIRECT($E145&amp;"[yr]")=L$5)*(INDIRECT($E145&amp;"[wk]")=L$6)*(INDIRECT($E145&amp;"[taskflag]")="Rt")*(INDIRECT($E145&amp;"[errortype]")="ReturnError"))</f>
        <v>21</v>
      </c>
      <c r="M145" s="6">
        <f t="array" aca="1" ref="M145" ca="1">SUM(INDIRECT($E145&amp;"["&amp;$F145&amp;"]")*(INDIRECT($E145&amp;"[yr]")=M$5)*(INDIRECT($E145&amp;"[wk]")=M$6)*(INDIRECT($E145&amp;"[taskflag]")="Rt")*(INDIRECT($E145&amp;"[errortype]")="ReturnError"))</f>
        <v>32</v>
      </c>
      <c r="N145" s="6">
        <f t="array" aca="1" ref="N145" ca="1">SUM(INDIRECT($E145&amp;"["&amp;$F145&amp;"]")*(INDIRECT($E145&amp;"[yr]")=N$5)*(INDIRECT($E145&amp;"[wk]")=N$6)*(INDIRECT($E145&amp;"[taskflag]")="Rt")*(INDIRECT($E145&amp;"[errortype]")="ReturnError"))</f>
        <v>35</v>
      </c>
      <c r="O145" s="6">
        <f t="array" aca="1" ref="O145" ca="1">SUM(INDIRECT($E145&amp;"["&amp;$F145&amp;"]")*(INDIRECT($E145&amp;"[yr]")=O$5)*(INDIRECT($E145&amp;"[wk]")=O$6)*(INDIRECT($E145&amp;"[taskflag]")="Rt")*(INDIRECT($E145&amp;"[errortype]")="ReturnError"))</f>
        <v>18</v>
      </c>
      <c r="P145" s="220">
        <f t="array" aca="1" ref="P145" ca="1">SUM(INDIRECT($E145&amp;"["&amp;$F145&amp;"]")*(INDIRECT($E145&amp;"[yr]")=P$5)*(INDIRECT($E145&amp;"[wk]")=P$6)*(INDIRECT($E145&amp;"[taskflag]")="Rt")*(INDIRECT($E145&amp;"[errortype]")="ReturnError"))</f>
        <v>22</v>
      </c>
      <c r="Q145" s="6">
        <f t="array" aca="1" ref="Q145" ca="1">SUM(INDIRECT($E145&amp;"["&amp;$F145&amp;"]")*(INDIRECT($E145&amp;"[yr]")=Q$5)*(INDIRECT($E145&amp;"[wk]")=Q$6)*(INDIRECT($E145&amp;"[taskflag]")="Rt")*(INDIRECT($E145&amp;"[errortype]")="ReturnError"))</f>
        <v>10</v>
      </c>
      <c r="R145" s="6">
        <f t="array" aca="1" ref="R145" ca="1">SUM(INDIRECT($E145&amp;"["&amp;$F145&amp;"]")*(INDIRECT($E145&amp;"[yr]")=R$5)*(INDIRECT($E145&amp;"[wk]")=R$6)*(INDIRECT($E145&amp;"[taskflag]")="Rt")*(INDIRECT($E145&amp;"[errortype]")="ReturnError"))</f>
        <v>12</v>
      </c>
      <c r="S145" s="6">
        <f t="array" aca="1" ref="S145" ca="1">SUM(INDIRECT($E145&amp;"["&amp;$F145&amp;"]")*(INDIRECT($E145&amp;"[yr]")=S$5)*(INDIRECT($E145&amp;"[wk]")=S$6)*(INDIRECT($E145&amp;"[taskflag]")="Rt")*(INDIRECT($E145&amp;"[errortype]")="ReturnError"))</f>
        <v>5</v>
      </c>
      <c r="T145" s="139">
        <f t="array" aca="1" ref="T145" ca="1">SUM(INDIRECT($E145&amp;"["&amp;$F145&amp;"]")*(INDIRECT($E145&amp;"[yr]")=T$5)*(INDIRECT($E145&amp;"[wk]")=T$6)*(INDIRECT($E145&amp;"[taskflag]")="RT")*(INDIRECT($E145&amp;"[errortype]")="ReturnError"))</f>
        <v>3</v>
      </c>
      <c r="U145" s="6">
        <f t="shared" ca="1" si="6"/>
        <v>30</v>
      </c>
      <c r="V145" s="81">
        <f t="array" aca="1" ref="V145" ca="1">SUM(T145/S145)-1</f>
        <v>-0.4</v>
      </c>
      <c r="W145" s="108"/>
      <c r="X145" s="89"/>
    </row>
    <row r="146" spans="2:24" ht="14.15" customHeight="1" x14ac:dyDescent="0.4">
      <c r="B146" s="329"/>
      <c r="D146" s="203" t="s">
        <v>170</v>
      </c>
      <c r="E146" t="s">
        <v>108</v>
      </c>
      <c r="F146" t="s">
        <v>166</v>
      </c>
      <c r="I146" s="6">
        <f t="array" aca="1" ref="I146" ca="1">SUM(INDIRECT($E146&amp;"["&amp;$F146&amp;"]")*(INDIRECT($E146&amp;"[yr]")=I$5)*(INDIRECT($E146&amp;"[wk]")=I$6)*(INDIRECT($E146&amp;"[taskflag]")="Rt")*(INDIRECT($E146&amp;"[errortype]")="NotSetDirtyDefective"))</f>
        <v>4</v>
      </c>
      <c r="J146" s="6">
        <f t="array" aca="1" ref="J146" ca="1">SUM(INDIRECT($E146&amp;"["&amp;$F146&amp;"]")*(INDIRECT($E146&amp;"[yr]")=J$5)*(INDIRECT($E146&amp;"[wk]")=J$6)*(INDIRECT($E146&amp;"[taskflag]")="Rt")*(INDIRECT($E146&amp;"[errortype]")="NotSetDirtyDefective"))</f>
        <v>2</v>
      </c>
      <c r="K146" s="6">
        <f t="array" aca="1" ref="K146" ca="1">SUM(INDIRECT($E146&amp;"["&amp;$F146&amp;"]")*(INDIRECT($E146&amp;"[yr]")=K$5)*(INDIRECT($E146&amp;"[wk]")=K$6)*(INDIRECT($E146&amp;"[taskflag]")="Rt")*(INDIRECT($E146&amp;"[errortype]")="NotSetDirtyDefective"))</f>
        <v>0</v>
      </c>
      <c r="L146" s="6">
        <f t="array" aca="1" ref="L146" ca="1">SUM(INDIRECT($E146&amp;"["&amp;$F146&amp;"]")*(INDIRECT($E146&amp;"[yr]")=L$5)*(INDIRECT($E146&amp;"[wk]")=L$6)*(INDIRECT($E146&amp;"[taskflag]")="Rt")*(INDIRECT($E146&amp;"[errortype]")="NotSetDirtyDefective"))</f>
        <v>0</v>
      </c>
      <c r="M146" s="6">
        <f t="array" aca="1" ref="M146" ca="1">SUM(INDIRECT($E146&amp;"["&amp;$F146&amp;"]")*(INDIRECT($E146&amp;"[yr]")=M$5)*(INDIRECT($E146&amp;"[wk]")=M$6)*(INDIRECT($E146&amp;"[taskflag]")="Rt")*(INDIRECT($E146&amp;"[errortype]")="NotSetDirtyDefective"))</f>
        <v>2</v>
      </c>
      <c r="N146" s="6">
        <f t="array" aca="1" ref="N146" ca="1">SUM(INDIRECT($E146&amp;"["&amp;$F146&amp;"]")*(INDIRECT($E146&amp;"[yr]")=N$5)*(INDIRECT($E146&amp;"[wk]")=N$6)*(INDIRECT($E146&amp;"[taskflag]")="Rt")*(INDIRECT($E146&amp;"[errortype]")="NotSetDirtyDefective"))</f>
        <v>2</v>
      </c>
      <c r="O146" s="6">
        <f t="array" aca="1" ref="O146" ca="1">SUM(INDIRECT($E146&amp;"["&amp;$F146&amp;"]")*(INDIRECT($E146&amp;"[yr]")=O$5)*(INDIRECT($E146&amp;"[wk]")=O$6)*(INDIRECT($E146&amp;"[taskflag]")="Rt")*(INDIRECT($E146&amp;"[errortype]")="NotSetDirtyDefective"))</f>
        <v>3</v>
      </c>
      <c r="P146" s="220">
        <f t="array" aca="1" ref="P146" ca="1">SUM(INDIRECT($E146&amp;"["&amp;$F146&amp;"]")*(INDIRECT($E146&amp;"[yr]")=P$5)*(INDIRECT($E146&amp;"[wk]")=P$6)*(INDIRECT($E146&amp;"[taskflag]")="Rt")*(INDIRECT($E146&amp;"[errortype]")="NotSetDirtyDefective"))</f>
        <v>3</v>
      </c>
      <c r="Q146" s="6">
        <f t="array" aca="1" ref="Q146" ca="1">SUM(INDIRECT($E146&amp;"["&amp;$F146&amp;"]")*(INDIRECT($E146&amp;"[yr]")=Q$5)*(INDIRECT($E146&amp;"[wk]")=Q$6)*(INDIRECT($E146&amp;"[taskflag]")="Rt")*(INDIRECT($E146&amp;"[errortype]")="NotSetDirtyDefective"))</f>
        <v>0</v>
      </c>
      <c r="R146" s="6">
        <f t="array" aca="1" ref="R146" ca="1">SUM(INDIRECT($E146&amp;"["&amp;$F146&amp;"]")*(INDIRECT($E146&amp;"[yr]")=R$5)*(INDIRECT($E146&amp;"[wk]")=R$6)*(INDIRECT($E146&amp;"[taskflag]")="Rt")*(INDIRECT($E146&amp;"[errortype]")="NotSetDirtyDefective"))</f>
        <v>0</v>
      </c>
      <c r="S146" s="6">
        <f t="array" aca="1" ref="S146" ca="1">SUM(INDIRECT($E146&amp;"["&amp;$F146&amp;"]")*(INDIRECT($E146&amp;"[yr]")=S$5)*(INDIRECT($E146&amp;"[wk]")=S$6)*(INDIRECT($E146&amp;"[taskflag]")="Rt")*(INDIRECT($E146&amp;"[errortype]")="NotSetDirtyDefective"))</f>
        <v>0</v>
      </c>
      <c r="T146" s="193">
        <f t="array" aca="1" ref="T146" ca="1">SUM(INDIRECT($E146&amp;"["&amp;$F146&amp;"]")*(INDIRECT($E146&amp;"[yr]")=T$5)*(INDIRECT($E146&amp;"[wk]")=T$6)*(INDIRECT($E146&amp;"[taskflag]")="RT")*(INDIRECT($E146&amp;"[errortype]")="NotSetDirtyDefective"))</f>
        <v>0</v>
      </c>
      <c r="U146" s="124">
        <f t="shared" ca="1" si="6"/>
        <v>0</v>
      </c>
      <c r="V146" s="81">
        <f t="array" aca="1" ref="V146" ca="1">IFERROR(SUM(T146/S146)-1,0)</f>
        <v>0</v>
      </c>
      <c r="W146" s="108"/>
      <c r="X146" s="89"/>
    </row>
    <row r="147" spans="2:24" ht="14.15" customHeight="1" x14ac:dyDescent="0.4">
      <c r="B147" s="329"/>
      <c r="D147" s="203" t="s">
        <v>171</v>
      </c>
      <c r="E147" t="s">
        <v>108</v>
      </c>
      <c r="F147" t="s">
        <v>166</v>
      </c>
      <c r="I147" s="6">
        <f t="array" aca="1" ref="I147" ca="1">SUM(INDIRECT($E147&amp;"["&amp;$F147&amp;"]")*(INDIRECT($E147&amp;"[yr]")=I$5)*(INDIRECT($E147&amp;"[wk]")=I$6)*(INDIRECT($E147&amp;"[taskflag]")="RP")*(INDIRECT($E147&amp;"[errortype]")="Mislabel"))</f>
        <v>2</v>
      </c>
      <c r="J147" s="6">
        <f t="array" aca="1" ref="J147" ca="1">SUM(INDIRECT($E147&amp;"["&amp;$F147&amp;"]")*(INDIRECT($E147&amp;"[yr]")=J$5)*(INDIRECT($E147&amp;"[wk]")=J$6)*(INDIRECT($E147&amp;"[taskflag]")="RP")*(INDIRECT($E147&amp;"[errortype]")="Mislabel"))</f>
        <v>3</v>
      </c>
      <c r="K147" s="6">
        <f t="array" aca="1" ref="K147" ca="1">SUM(INDIRECT($E147&amp;"["&amp;$F147&amp;"]")*(INDIRECT($E147&amp;"[yr]")=K$5)*(INDIRECT($E147&amp;"[wk]")=K$6)*(INDIRECT($E147&amp;"[taskflag]")="RP")*(INDIRECT($E147&amp;"[errortype]")="Mislabel"))</f>
        <v>1</v>
      </c>
      <c r="L147" s="6">
        <f t="array" aca="1" ref="L147" ca="1">SUM(INDIRECT($E147&amp;"["&amp;$F147&amp;"]")*(INDIRECT($E147&amp;"[yr]")=L$5)*(INDIRECT($E147&amp;"[wk]")=L$6)*(INDIRECT($E147&amp;"[taskflag]")="RP")*(INDIRECT($E147&amp;"[errortype]")="Mislabel"))</f>
        <v>0</v>
      </c>
      <c r="M147" s="6">
        <f t="array" aca="1" ref="M147" ca="1">SUM(INDIRECT($E147&amp;"["&amp;$F147&amp;"]")*(INDIRECT($E147&amp;"[yr]")=M$5)*(INDIRECT($E147&amp;"[wk]")=M$6)*(INDIRECT($E147&amp;"[taskflag]")="RP")*(INDIRECT($E147&amp;"[errortype]")="Mislabel"))</f>
        <v>1</v>
      </c>
      <c r="N147" s="6">
        <f t="array" aca="1" ref="N147" ca="1">SUM(INDIRECT($E147&amp;"["&amp;$F147&amp;"]")*(INDIRECT($E147&amp;"[yr]")=N$5)*(INDIRECT($E147&amp;"[wk]")=N$6)*(INDIRECT($E147&amp;"[taskflag]")="RP")*(INDIRECT($E147&amp;"[errortype]")="Mislabel"))</f>
        <v>4</v>
      </c>
      <c r="O147" s="6">
        <f t="array" aca="1" ref="O147" ca="1">SUM(INDIRECT($E147&amp;"["&amp;$F147&amp;"]")*(INDIRECT($E147&amp;"[yr]")=O$5)*(INDIRECT($E147&amp;"[wk]")=O$6)*(INDIRECT($E147&amp;"[taskflag]")="RP")*(INDIRECT($E147&amp;"[errortype]")="Mislabel"))</f>
        <v>11</v>
      </c>
      <c r="P147" s="220">
        <f t="array" aca="1" ref="P147" ca="1">SUM(INDIRECT($E147&amp;"["&amp;$F147&amp;"]")*(INDIRECT($E147&amp;"[yr]")=P$5)*(INDIRECT($E147&amp;"[wk]")=P$6)*(INDIRECT($E147&amp;"[taskflag]")="RP")*(INDIRECT($E147&amp;"[errortype]")="Mislabel"))</f>
        <v>5</v>
      </c>
      <c r="Q147" s="6">
        <f t="array" aca="1" ref="Q147" ca="1">SUM(INDIRECT($E147&amp;"["&amp;$F147&amp;"]")*(INDIRECT($E147&amp;"[yr]")=Q$5)*(INDIRECT($E147&amp;"[wk]")=Q$6)*(INDIRECT($E147&amp;"[taskflag]")="RP")*(INDIRECT($E147&amp;"[errortype]")="Mislabel"))</f>
        <v>10</v>
      </c>
      <c r="R147" s="6">
        <f t="array" aca="1" ref="R147" ca="1">SUM(INDIRECT($E147&amp;"["&amp;$F147&amp;"]")*(INDIRECT($E147&amp;"[yr]")=R$5)*(INDIRECT($E147&amp;"[wk]")=R$6)*(INDIRECT($E147&amp;"[taskflag]")="RP")*(INDIRECT($E147&amp;"[errortype]")="Mislabel"))</f>
        <v>2</v>
      </c>
      <c r="S147" s="6">
        <f t="array" aca="1" ref="S147" ca="1">SUM(INDIRECT($E147&amp;"["&amp;$F147&amp;"]")*(INDIRECT($E147&amp;"[yr]")=S$5)*(INDIRECT($E147&amp;"[wk]")=S$6)*(INDIRECT($E147&amp;"[taskflag]")="RP")*(INDIRECT($E147&amp;"[errortype]")="Mislabel"))</f>
        <v>11</v>
      </c>
      <c r="T147" s="139">
        <f t="array" aca="1" ref="T147" ca="1">SUM(INDIRECT($E147&amp;"["&amp;$F147&amp;"]")*(INDIRECT($E147&amp;"[yr]")=T$5)*(INDIRECT($E147&amp;"[wk]")=T$6)*(INDIRECT($E147&amp;"[taskflag]")="RP")*(INDIRECT($E147&amp;"[errortype]")="Mislabel"))</f>
        <v>6</v>
      </c>
      <c r="U147" s="6">
        <f t="shared" ca="1" si="6"/>
        <v>29</v>
      </c>
      <c r="V147" s="81">
        <f t="array" aca="1" ref="V147" ca="1">IFERROR(SUM(T147/S147)-1,0)</f>
        <v>-0.45454545454545459</v>
      </c>
      <c r="W147" s="108"/>
      <c r="X147" s="89"/>
    </row>
    <row r="148" spans="2:24" ht="14.15" customHeight="1" x14ac:dyDescent="0.4">
      <c r="B148" s="330"/>
      <c r="D148" s="211" t="s">
        <v>172</v>
      </c>
      <c r="E148" s="40" t="s">
        <v>108</v>
      </c>
      <c r="F148" s="40" t="s">
        <v>166</v>
      </c>
      <c r="G148" s="40"/>
      <c r="H148" s="40"/>
      <c r="I148" s="213">
        <f t="array" aca="1" ref="I148" ca="1">SUM(INDIRECT($E148&amp;"["&amp;$F148&amp;"]")*(INDIRECT($E148&amp;"[yr]")=I$5)*(INDIRECT($E148&amp;"[wk]")=I$6)*(INDIRECT($E148&amp;"[taskflag]")="RP")*(INDIRECT($E148&amp;"[errortype]")="NoPictureCheck"))</f>
        <v>0</v>
      </c>
      <c r="J148" s="213">
        <f t="array" aca="1" ref="J148" ca="1">SUM(INDIRECT($E148&amp;"["&amp;$F148&amp;"]")*(INDIRECT($E148&amp;"[yr]")=J$5)*(INDIRECT($E148&amp;"[wk]")=J$6)*(INDIRECT($E148&amp;"[taskflag]")="RP")*(INDIRECT($E148&amp;"[errortype]")="NoPictureCheck"))</f>
        <v>0</v>
      </c>
      <c r="K148" s="213">
        <f t="array" aca="1" ref="K148" ca="1">SUM(INDIRECT($E148&amp;"["&amp;$F148&amp;"]")*(INDIRECT($E148&amp;"[yr]")=K$5)*(INDIRECT($E148&amp;"[wk]")=K$6)*(INDIRECT($E148&amp;"[taskflag]")="RP")*(INDIRECT($E148&amp;"[errortype]")="NoPictureCheck"))</f>
        <v>0</v>
      </c>
      <c r="L148" s="213">
        <f t="array" aca="1" ref="L148" ca="1">SUM(INDIRECT($E148&amp;"["&amp;$F148&amp;"]")*(INDIRECT($E148&amp;"[yr]")=L$5)*(INDIRECT($E148&amp;"[wk]")=L$6)*(INDIRECT($E148&amp;"[taskflag]")="RP")*(INDIRECT($E148&amp;"[errortype]")="NoPictureCheck"))</f>
        <v>0</v>
      </c>
      <c r="M148" s="213">
        <f t="array" aca="1" ref="M148" ca="1">SUM(INDIRECT($E148&amp;"["&amp;$F148&amp;"]")*(INDIRECT($E148&amp;"[yr]")=M$5)*(INDIRECT($E148&amp;"[wk]")=M$6)*(INDIRECT($E148&amp;"[taskflag]")="RP")*(INDIRECT($E148&amp;"[errortype]")="NoPictureCheck"))</f>
        <v>0</v>
      </c>
      <c r="N148" s="213">
        <f t="array" aca="1" ref="N148" ca="1">SUM(INDIRECT($E148&amp;"["&amp;$F148&amp;"]")*(INDIRECT($E148&amp;"[yr]")=N$5)*(INDIRECT($E148&amp;"[wk]")=N$6)*(INDIRECT($E148&amp;"[taskflag]")="RP")*(INDIRECT($E148&amp;"[errortype]")="NoPictureCheck"))</f>
        <v>0</v>
      </c>
      <c r="O148" s="213">
        <f t="array" aca="1" ref="O148" ca="1">SUM(INDIRECT($E148&amp;"["&amp;$F148&amp;"]")*(INDIRECT($E148&amp;"[yr]")=O$5)*(INDIRECT($E148&amp;"[wk]")=O$6)*(INDIRECT($E148&amp;"[taskflag]")="RP")*(INDIRECT($E148&amp;"[errortype]")="NoPictureCheck"))</f>
        <v>1</v>
      </c>
      <c r="P148" s="221">
        <f t="array" aca="1" ref="P148" ca="1">SUM(INDIRECT($E148&amp;"["&amp;$F148&amp;"]")*(INDIRECT($E148&amp;"[yr]")=P$5)*(INDIRECT($E148&amp;"[wk]")=P$6)*(INDIRECT($E148&amp;"[taskflag]")="RP")*(INDIRECT($E148&amp;"[errortype]")="NoPictureCheck"))</f>
        <v>0</v>
      </c>
      <c r="Q148" s="213">
        <f t="array" aca="1" ref="Q148" ca="1">SUM(INDIRECT($E148&amp;"["&amp;$F148&amp;"]")*(INDIRECT($E148&amp;"[yr]")=Q$5)*(INDIRECT($E148&amp;"[wk]")=Q$6)*(INDIRECT($E148&amp;"[taskflag]")="RP")*(INDIRECT($E148&amp;"[errortype]")="NoPictureCheck"))</f>
        <v>0</v>
      </c>
      <c r="R148" s="213">
        <f t="array" aca="1" ref="R148" ca="1">SUM(INDIRECT($E148&amp;"["&amp;$F148&amp;"]")*(INDIRECT($E148&amp;"[yr]")=R$5)*(INDIRECT($E148&amp;"[wk]")=R$6)*(INDIRECT($E148&amp;"[taskflag]")="RP")*(INDIRECT($E148&amp;"[errortype]")="NoPictureCheck"))</f>
        <v>0</v>
      </c>
      <c r="S148" s="213">
        <f t="array" aca="1" ref="S148" ca="1">SUM(INDIRECT($E148&amp;"["&amp;$F148&amp;"]")*(INDIRECT($E148&amp;"[yr]")=S$5)*(INDIRECT($E148&amp;"[wk]")=S$6)*(INDIRECT($E148&amp;"[taskflag]")="RP")*(INDIRECT($E148&amp;"[errortype]")="NoPictureCheck"))</f>
        <v>0</v>
      </c>
      <c r="T148" s="214">
        <f t="array" aca="1" ref="T148" ca="1">SUM(INDIRECT($E148&amp;"["&amp;$F148&amp;"]")*(INDIRECT($E148&amp;"[yr]")=T$5)*(INDIRECT($E148&amp;"[wk]")=T$6)*(INDIRECT($E148&amp;"[taskflag]")="RP")*(INDIRECT($E148&amp;"[errortype]")="NoPictureCheck"))</f>
        <v>0</v>
      </c>
      <c r="U148" s="213">
        <f t="shared" ca="1" si="6"/>
        <v>0</v>
      </c>
      <c r="V148" s="56">
        <f t="array" aca="1" ref="V148" ca="1">IFERROR(SUM(T148/S148)-1,0)</f>
        <v>0</v>
      </c>
      <c r="W148" s="215"/>
      <c r="X148" s="83"/>
    </row>
  </sheetData>
  <mergeCells count="7">
    <mergeCell ref="B142:B148"/>
    <mergeCell ref="B3:R3"/>
    <mergeCell ref="B8:B64"/>
    <mergeCell ref="B66:B88"/>
    <mergeCell ref="B90:B100"/>
    <mergeCell ref="B102:B133"/>
    <mergeCell ref="B135:B140"/>
  </mergeCells>
  <conditionalFormatting sqref="I36">
    <cfRule type="expression" dxfId="392" priority="142">
      <formula>$I$36=0</formula>
    </cfRule>
  </conditionalFormatting>
  <conditionalFormatting sqref="J36:P36">
    <cfRule type="cellIs" dxfId="391" priority="141" operator="equal">
      <formula>0</formula>
    </cfRule>
  </conditionalFormatting>
  <conditionalFormatting sqref="Q36:U36">
    <cfRule type="cellIs" dxfId="390" priority="140" operator="equal">
      <formula>0</formula>
    </cfRule>
  </conditionalFormatting>
  <conditionalFormatting sqref="I39:U41">
    <cfRule type="cellIs" dxfId="389" priority="139" operator="equal">
      <formula>0</formula>
    </cfRule>
  </conditionalFormatting>
  <conditionalFormatting sqref="I46:T46">
    <cfRule type="cellIs" dxfId="388" priority="138" operator="equal">
      <formula>0</formula>
    </cfRule>
  </conditionalFormatting>
  <conditionalFormatting sqref="I52:U52">
    <cfRule type="cellIs" dxfId="387" priority="137" operator="equal">
      <formula>0</formula>
    </cfRule>
  </conditionalFormatting>
  <conditionalFormatting sqref="I55:U55">
    <cfRule type="cellIs" dxfId="386" priority="136" operator="equal">
      <formula>0</formula>
    </cfRule>
  </conditionalFormatting>
  <conditionalFormatting sqref="I61:U61">
    <cfRule type="cellIs" dxfId="385" priority="135" operator="equal">
      <formula>0</formula>
    </cfRule>
  </conditionalFormatting>
  <conditionalFormatting sqref="I64:U64">
    <cfRule type="cellIs" dxfId="384" priority="134" operator="equal">
      <formula>0</formula>
    </cfRule>
  </conditionalFormatting>
  <conditionalFormatting sqref="T49:U49">
    <cfRule type="cellIs" dxfId="383" priority="133" operator="equal">
      <formula>0</formula>
    </cfRule>
  </conditionalFormatting>
  <conditionalFormatting sqref="T32">
    <cfRule type="iconSet" priority="132">
      <iconSet iconSet="5ArrowsGray" reverse="1">
        <cfvo type="percent" val="0"/>
        <cfvo type="formula" val="$W$32*0.9"/>
        <cfvo type="formula" val="$W$32"/>
        <cfvo type="formula" val="$W$32*1.01"/>
        <cfvo type="formula" val="$W$32*1.1" gte="0"/>
      </iconSet>
    </cfRule>
  </conditionalFormatting>
  <conditionalFormatting sqref="T45">
    <cfRule type="iconSet" priority="131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T48">
    <cfRule type="iconSet" priority="130">
      <iconSet iconSet="5ArrowsGray" reverse="1">
        <cfvo type="percent" val="0"/>
        <cfvo type="formula" val="$W$48*0.9"/>
        <cfvo type="formula" val="$W$48"/>
        <cfvo type="formula" val="$W$48*1.01"/>
        <cfvo type="formula" val="$W$48*1.1"/>
      </iconSet>
    </cfRule>
  </conditionalFormatting>
  <conditionalFormatting sqref="U45">
    <cfRule type="iconSet" priority="129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U32">
    <cfRule type="iconSet" priority="128">
      <iconSet iconSet="5ArrowsGray" reverse="1">
        <cfvo type="percent" val="0"/>
        <cfvo type="formula" val="$W$32*0.99"/>
        <cfvo type="formula" val="$W$32"/>
        <cfvo type="formula" val="$W$32*1.01"/>
        <cfvo type="formula" val="$W$32*1.1" gte="0"/>
      </iconSet>
    </cfRule>
  </conditionalFormatting>
  <conditionalFormatting sqref="T8">
    <cfRule type="iconSet" priority="127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8">
    <cfRule type="iconSet" priority="126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T11">
    <cfRule type="iconSet" priority="124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11">
    <cfRule type="iconSet" priority="123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67:W67 I71:W71">
    <cfRule type="cellIs" dxfId="382" priority="122" operator="equal">
      <formula>0</formula>
    </cfRule>
  </conditionalFormatting>
  <conditionalFormatting sqref="U76 I76:S76">
    <cfRule type="cellIs" dxfId="381" priority="121" operator="equal">
      <formula>0</formula>
    </cfRule>
  </conditionalFormatting>
  <conditionalFormatting sqref="U79">
    <cfRule type="cellIs" dxfId="380" priority="120" operator="equal">
      <formula>0</formula>
    </cfRule>
  </conditionalFormatting>
  <conditionalFormatting sqref="V82:W82 I82:S82">
    <cfRule type="cellIs" dxfId="379" priority="119" operator="equal">
      <formula>0</formula>
    </cfRule>
  </conditionalFormatting>
  <conditionalFormatting sqref="I85:W85">
    <cfRule type="cellIs" dxfId="378" priority="118" operator="equal">
      <formula>0</formula>
    </cfRule>
  </conditionalFormatting>
  <conditionalFormatting sqref="I87:W88">
    <cfRule type="cellIs" dxfId="377" priority="117" operator="equal">
      <formula>0</formula>
    </cfRule>
  </conditionalFormatting>
  <conditionalFormatting sqref="U75">
    <cfRule type="iconSet" priority="115">
      <iconSet iconSet="5ArrowsGray">
        <cfvo type="percent" val="0"/>
        <cfvo type="formula" val="$W$75*0.9"/>
        <cfvo type="formula" val="$W$75*0.999999999999"/>
        <cfvo type="formula" val="$W$75*1.00001"/>
        <cfvo type="formula" val="$W$75*1.1"/>
      </iconSet>
    </cfRule>
  </conditionalFormatting>
  <conditionalFormatting sqref="U78">
    <cfRule type="iconSet" priority="113">
      <iconSet iconSet="5ArrowsGray">
        <cfvo type="percent" val="0"/>
        <cfvo type="formula" val="$W$78*0.9"/>
        <cfvo type="formula" val="$W$78*0.999999999999"/>
        <cfvo type="formula" val="$W$78*1.00001"/>
        <cfvo type="formula" val="$W$78*1.1"/>
      </iconSet>
    </cfRule>
  </conditionalFormatting>
  <conditionalFormatting sqref="T82">
    <cfRule type="iconSet" priority="112">
      <iconSet iconSet="5ArrowsGray">
        <cfvo type="percent" val="0"/>
        <cfvo type="formula" val="$W$82*0.9"/>
        <cfvo type="formula" val="$W$82"/>
        <cfvo type="formula" val="$W$82*1.01"/>
        <cfvo type="formula" val="$W$82*1.1"/>
      </iconSet>
    </cfRule>
  </conditionalFormatting>
  <conditionalFormatting sqref="U82">
    <cfRule type="iconSet" priority="111">
      <iconSet iconSet="5ArrowsGray">
        <cfvo type="percent" val="0"/>
        <cfvo type="formula" val="$W$82*0.99"/>
        <cfvo type="formula" val="$W$82"/>
        <cfvo type="formula" val="$W$82*1.01"/>
        <cfvo type="formula" val="$W$82*1.1"/>
      </iconSet>
    </cfRule>
  </conditionalFormatting>
  <conditionalFormatting sqref="T86">
    <cfRule type="iconSet" priority="110">
      <iconSet iconSet="5ArrowsGray" reverse="1">
        <cfvo type="percent" val="0"/>
        <cfvo type="formula" val="$W$86*0.9"/>
        <cfvo type="formula" val="$W$86"/>
        <cfvo type="formula" val="$W$86*1.01"/>
        <cfvo type="formula" val="$W$86*1.1"/>
      </iconSet>
    </cfRule>
  </conditionalFormatting>
  <conditionalFormatting sqref="U48">
    <cfRule type="iconSet" priority="107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U86">
    <cfRule type="iconSet" priority="106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T76">
    <cfRule type="cellIs" dxfId="376" priority="105" operator="equal">
      <formula>0</formula>
    </cfRule>
  </conditionalFormatting>
  <conditionalFormatting sqref="T75">
    <cfRule type="iconSet" priority="104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T79">
    <cfRule type="cellIs" dxfId="375" priority="103" operator="equal">
      <formula>0</formula>
    </cfRule>
  </conditionalFormatting>
  <conditionalFormatting sqref="T78">
    <cfRule type="iconSet" priority="102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U46">
    <cfRule type="cellIs" dxfId="374" priority="101" operator="equal">
      <formula>0</formula>
    </cfRule>
  </conditionalFormatting>
  <conditionalFormatting sqref="T93">
    <cfRule type="iconSet" priority="99">
      <iconSet iconSet="5ArrowsGray">
        <cfvo type="percent" val="0"/>
        <cfvo type="formula" val="$W$92*0.9"/>
        <cfvo type="formula" val="$W$92"/>
        <cfvo type="formula" val="$W$92*1.01"/>
        <cfvo type="formula" val="$W$92*1.1"/>
      </iconSet>
    </cfRule>
  </conditionalFormatting>
  <conditionalFormatting sqref="T99">
    <cfRule type="iconSet" priority="98">
      <iconSet iconSet="5ArrowsGray">
        <cfvo type="percent" val="0"/>
        <cfvo type="formula" val="$W$98*0.99"/>
        <cfvo type="formula" val="$W$98"/>
        <cfvo type="formula" val="$W$98*1.01"/>
        <cfvo type="formula" val="$W$98*1.1"/>
      </iconSet>
    </cfRule>
  </conditionalFormatting>
  <conditionalFormatting sqref="T105">
    <cfRule type="iconSet" priority="97">
      <iconSet iconSet="5ArrowsGray">
        <cfvo type="percent" val="0"/>
        <cfvo type="formula" val="$W$104*0.99"/>
        <cfvo type="formula" val="$W$104"/>
        <cfvo type="formula" val="$W$104*1.01" gte="0"/>
        <cfvo type="formula" val="$W$104*1.1"/>
      </iconSet>
    </cfRule>
  </conditionalFormatting>
  <conditionalFormatting sqref="T119">
    <cfRule type="iconSet" priority="96">
      <iconSet iconSet="5ArrowsGray">
        <cfvo type="percent" val="0"/>
        <cfvo type="formula" val="$W$118*0.99"/>
        <cfvo type="formula" val="$W$118"/>
        <cfvo type="formula" val="$W$118*1.01"/>
        <cfvo type="formula" val="$W$118*1.1"/>
      </iconSet>
    </cfRule>
  </conditionalFormatting>
  <conditionalFormatting sqref="T132">
    <cfRule type="iconSet" priority="95">
      <iconSet iconSet="5ArrowsGray">
        <cfvo type="percent" val="0"/>
        <cfvo type="formula" val="$W$131*0.99"/>
        <cfvo type="formula" val="$W$131"/>
        <cfvo type="formula" val="$W$131*1.01"/>
        <cfvo type="formula" val="$W$131*1.1"/>
      </iconSet>
    </cfRule>
  </conditionalFormatting>
  <conditionalFormatting sqref="U132">
    <cfRule type="iconSet" priority="94">
      <iconSet iconSet="5ArrowsGray">
        <cfvo type="percent" val="0"/>
        <cfvo type="formula" val="$W$131*0.9"/>
        <cfvo type="formula" val="$W$131*0.999999999999"/>
        <cfvo type="formula" val="$W$131*1.00001"/>
        <cfvo type="formula" val="$W$131*1.1"/>
      </iconSet>
    </cfRule>
  </conditionalFormatting>
  <conditionalFormatting sqref="U105">
    <cfRule type="iconSet" priority="93">
      <iconSet iconSet="5ArrowsGray">
        <cfvo type="percent" val="0"/>
        <cfvo type="formula" val="$W$104*0.99"/>
        <cfvo type="formula" val="$W$104"/>
        <cfvo type="formula" val="$W$104*1.01" gte="0"/>
        <cfvo type="formula" val="$W$104*1.1"/>
      </iconSet>
    </cfRule>
  </conditionalFormatting>
  <conditionalFormatting sqref="U99">
    <cfRule type="iconSet" priority="92">
      <iconSet iconSet="5ArrowsGray">
        <cfvo type="percent" val="0"/>
        <cfvo type="formula" val="$X$78*0.99"/>
        <cfvo type="formula" val="$X$78"/>
        <cfvo type="formula" val="$X$78*1.01"/>
        <cfvo type="formula" val="$X$78*1.1"/>
      </iconSet>
    </cfRule>
  </conditionalFormatting>
  <conditionalFormatting sqref="U93">
    <cfRule type="iconSet" priority="91">
      <iconSet iconSet="5ArrowsGray">
        <cfvo type="percent" val="0"/>
        <cfvo type="formula" val="$W$92*0.9"/>
        <cfvo type="formula" val="$W$92"/>
        <cfvo type="formula" val="$W$92*1.01"/>
        <cfvo type="formula" val="$W$92*1.1"/>
      </iconSet>
    </cfRule>
  </conditionalFormatting>
  <conditionalFormatting sqref="U119">
    <cfRule type="iconSet" priority="90">
      <iconSet iconSet="5ArrowsGray">
        <cfvo type="percent" val="0"/>
        <cfvo type="formula" val="$W$118*0.99"/>
        <cfvo type="formula" val="$W$118"/>
        <cfvo type="formula" val="$W$118*1.01"/>
        <cfvo type="formula" val="$W$118*1.1"/>
      </iconSet>
    </cfRule>
  </conditionalFormatting>
  <conditionalFormatting sqref="T122">
    <cfRule type="iconSet" priority="89">
      <iconSet iconSet="5ArrowsGray">
        <cfvo type="percent" val="0"/>
        <cfvo type="formula" val="$W$118*0.99"/>
        <cfvo type="formula" val="$W$118"/>
        <cfvo type="formula" val="$W$118*1.01"/>
        <cfvo type="formula" val="$W$118*1.1"/>
      </iconSet>
    </cfRule>
  </conditionalFormatting>
  <conditionalFormatting sqref="U122">
    <cfRule type="iconSet" priority="88">
      <iconSet iconSet="5ArrowsGray">
        <cfvo type="percent" val="0"/>
        <cfvo type="formula" val="$W$118*0.99"/>
        <cfvo type="formula" val="$W$118"/>
        <cfvo type="formula" val="$W$118*1.01"/>
        <cfvo type="formula" val="$W$118*1.1"/>
      </iconSet>
    </cfRule>
  </conditionalFormatting>
  <conditionalFormatting sqref="Q142:U148">
    <cfRule type="cellIs" dxfId="373" priority="87" operator="equal">
      <formula>0</formula>
    </cfRule>
  </conditionalFormatting>
  <conditionalFormatting sqref="V142:V148">
    <cfRule type="cellIs" dxfId="372" priority="86" operator="equal">
      <formula>0</formula>
    </cfRule>
  </conditionalFormatting>
  <conditionalFormatting sqref="U33">
    <cfRule type="cellIs" dxfId="371" priority="85" operator="equal">
      <formula>0</formula>
    </cfRule>
  </conditionalFormatting>
  <conditionalFormatting sqref="V40:V41">
    <cfRule type="cellIs" dxfId="370" priority="84" operator="equal">
      <formula>0</formula>
    </cfRule>
  </conditionalFormatting>
  <conditionalFormatting sqref="I133:V133 I132:Q132 S132:V132">
    <cfRule type="cellIs" dxfId="369" priority="83" operator="equal">
      <formula>0</formula>
    </cfRule>
  </conditionalFormatting>
  <conditionalFormatting sqref="Q133:V133">
    <cfRule type="cellIs" dxfId="368" priority="82" operator="equal">
      <formula>-1</formula>
    </cfRule>
  </conditionalFormatting>
  <conditionalFormatting sqref="R132">
    <cfRule type="cellIs" dxfId="367" priority="80" operator="equal">
      <formula>0</formula>
    </cfRule>
  </conditionalFormatting>
  <conditionalFormatting sqref="I73:W73">
    <cfRule type="cellIs" dxfId="366" priority="79" operator="equal">
      <formula>0</formula>
    </cfRule>
  </conditionalFormatting>
  <conditionalFormatting sqref="I68:W68">
    <cfRule type="cellIs" dxfId="365" priority="78" operator="equal">
      <formula>0</formula>
    </cfRule>
  </conditionalFormatting>
  <conditionalFormatting sqref="I70:T70 V70:W70">
    <cfRule type="cellIs" dxfId="364" priority="77" operator="equal">
      <formula>0</formula>
    </cfRule>
  </conditionalFormatting>
  <conditionalFormatting sqref="U70">
    <cfRule type="cellIs" dxfId="363" priority="76" operator="equal">
      <formula>0</formula>
    </cfRule>
  </conditionalFormatting>
  <conditionalFormatting sqref="I43:P43">
    <cfRule type="expression" dxfId="362" priority="75">
      <formula>$I$36=0</formula>
    </cfRule>
  </conditionalFormatting>
  <conditionalFormatting sqref="Q43:U43">
    <cfRule type="cellIs" dxfId="361" priority="73" operator="equal">
      <formula>0</formula>
    </cfRule>
  </conditionalFormatting>
  <conditionalFormatting sqref="Q42:S42">
    <cfRule type="cellIs" dxfId="360" priority="72" operator="equal">
      <formula>0</formula>
    </cfRule>
  </conditionalFormatting>
  <conditionalFormatting sqref="V42">
    <cfRule type="cellIs" dxfId="359" priority="71" operator="equal">
      <formula>0</formula>
    </cfRule>
  </conditionalFormatting>
  <conditionalFormatting sqref="I79:S79">
    <cfRule type="cellIs" dxfId="358" priority="70" operator="equal">
      <formula>0</formula>
    </cfRule>
  </conditionalFormatting>
  <conditionalFormatting sqref="T14">
    <cfRule type="iconSet" priority="68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14">
    <cfRule type="iconSet" priority="67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T17">
    <cfRule type="iconSet" priority="65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33:T33 I18:T18 I15:T15 I12:T12 I9:T9">
    <cfRule type="cellIs" dxfId="357" priority="63" operator="equal">
      <formula>0</formula>
    </cfRule>
  </conditionalFormatting>
  <conditionalFormatting sqref="I58:U58">
    <cfRule type="cellIs" dxfId="356" priority="59" operator="equal">
      <formula>0</formula>
    </cfRule>
  </conditionalFormatting>
  <conditionalFormatting sqref="T20">
    <cfRule type="iconSet" priority="47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0">
    <cfRule type="iconSet" priority="46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21:T21">
    <cfRule type="cellIs" dxfId="355" priority="45" operator="equal">
      <formula>0</formula>
    </cfRule>
  </conditionalFormatting>
  <conditionalFormatting sqref="T23">
    <cfRule type="iconSet" priority="43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3">
    <cfRule type="iconSet" priority="42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24:T24">
    <cfRule type="cellIs" dxfId="354" priority="41" operator="equal">
      <formula>0</formula>
    </cfRule>
  </conditionalFormatting>
  <conditionalFormatting sqref="T26">
    <cfRule type="iconSet" priority="39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6">
    <cfRule type="iconSet" priority="38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27:T27">
    <cfRule type="cellIs" dxfId="353" priority="37" operator="equal">
      <formula>0</formula>
    </cfRule>
  </conditionalFormatting>
  <conditionalFormatting sqref="T29">
    <cfRule type="iconSet" priority="35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9">
    <cfRule type="iconSet" priority="34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30:T30">
    <cfRule type="cellIs" dxfId="352" priority="33" operator="equal">
      <formula>0</formula>
    </cfRule>
  </conditionalFormatting>
  <conditionalFormatting sqref="U135">
    <cfRule type="iconSet" priority="223">
      <iconSet iconSet="5ArrowsGray">
        <cfvo type="percent" val="0"/>
        <cfvo type="formula" val="$W$75*0.9"/>
        <cfvo type="formula" val="$W$75*0.999999999999"/>
        <cfvo type="formula" val="$W$75*1.00001"/>
        <cfvo type="formula" val="$W$75*1.1"/>
      </iconSet>
    </cfRule>
  </conditionalFormatting>
  <conditionalFormatting sqref="T135">
    <cfRule type="iconSet" priority="224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U136">
    <cfRule type="cellIs" dxfId="351" priority="27" operator="equal">
      <formula>0</formula>
    </cfRule>
  </conditionalFormatting>
  <conditionalFormatting sqref="T136">
    <cfRule type="cellIs" dxfId="350" priority="28" operator="equal">
      <formula>0</formula>
    </cfRule>
  </conditionalFormatting>
  <conditionalFormatting sqref="U139">
    <cfRule type="cellIs" dxfId="349" priority="23" operator="equal">
      <formula>0</formula>
    </cfRule>
  </conditionalFormatting>
  <conditionalFormatting sqref="U138">
    <cfRule type="iconSet" priority="25">
      <iconSet iconSet="5ArrowsGray">
        <cfvo type="percent" val="0"/>
        <cfvo type="formula" val="$W$75*0.9"/>
        <cfvo type="formula" val="$W$75*0.999999999999"/>
        <cfvo type="formula" val="$W$75*1.00001"/>
        <cfvo type="formula" val="$W$75*1.1"/>
      </iconSet>
    </cfRule>
  </conditionalFormatting>
  <conditionalFormatting sqref="T139">
    <cfRule type="cellIs" dxfId="348" priority="24" operator="equal">
      <formula>0</formula>
    </cfRule>
  </conditionalFormatting>
  <conditionalFormatting sqref="T140">
    <cfRule type="cellIs" dxfId="347" priority="22" operator="equal">
      <formula>0</formula>
    </cfRule>
  </conditionalFormatting>
  <conditionalFormatting sqref="U140">
    <cfRule type="cellIs" dxfId="346" priority="21" operator="equal">
      <formula>0</formula>
    </cfRule>
  </conditionalFormatting>
  <conditionalFormatting sqref="V140:W140">
    <cfRule type="cellIs" dxfId="345" priority="20" operator="equal">
      <formula>0</formula>
    </cfRule>
  </conditionalFormatting>
  <conditionalFormatting sqref="V140:W140">
    <cfRule type="cellIs" dxfId="344" priority="19" operator="equal">
      <formula>-1</formula>
    </cfRule>
  </conditionalFormatting>
  <conditionalFormatting sqref="U17">
    <cfRule type="iconSet" priority="18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9">
    <cfRule type="expression" dxfId="343" priority="17">
      <formula>$U$9=0</formula>
    </cfRule>
  </conditionalFormatting>
  <conditionalFormatting sqref="U9">
    <cfRule type="cellIs" dxfId="342" priority="16" operator="equal">
      <formula>0</formula>
    </cfRule>
  </conditionalFormatting>
  <conditionalFormatting sqref="U12">
    <cfRule type="expression" dxfId="341" priority="15">
      <formula>$U$9=0</formula>
    </cfRule>
  </conditionalFormatting>
  <conditionalFormatting sqref="U12">
    <cfRule type="cellIs" dxfId="340" priority="14" operator="equal">
      <formula>0</formula>
    </cfRule>
  </conditionalFormatting>
  <conditionalFormatting sqref="U15">
    <cfRule type="expression" dxfId="339" priority="13">
      <formula>$U$9=0</formula>
    </cfRule>
  </conditionalFormatting>
  <conditionalFormatting sqref="U15">
    <cfRule type="cellIs" dxfId="338" priority="12" operator="equal">
      <formula>0</formula>
    </cfRule>
  </conditionalFormatting>
  <conditionalFormatting sqref="U18">
    <cfRule type="expression" dxfId="337" priority="11">
      <formula>$U$9=0</formula>
    </cfRule>
  </conditionalFormatting>
  <conditionalFormatting sqref="U18">
    <cfRule type="cellIs" dxfId="336" priority="10" operator="equal">
      <formula>0</formula>
    </cfRule>
  </conditionalFormatting>
  <conditionalFormatting sqref="U21">
    <cfRule type="expression" dxfId="335" priority="9">
      <formula>$U$9=0</formula>
    </cfRule>
  </conditionalFormatting>
  <conditionalFormatting sqref="U21">
    <cfRule type="cellIs" dxfId="334" priority="8" operator="equal">
      <formula>0</formula>
    </cfRule>
  </conditionalFormatting>
  <conditionalFormatting sqref="U24">
    <cfRule type="expression" dxfId="333" priority="7">
      <formula>$U$9=0</formula>
    </cfRule>
  </conditionalFormatting>
  <conditionalFormatting sqref="U24">
    <cfRule type="cellIs" dxfId="332" priority="6" operator="equal">
      <formula>0</formula>
    </cfRule>
  </conditionalFormatting>
  <conditionalFormatting sqref="U27">
    <cfRule type="expression" dxfId="331" priority="5">
      <formula>$U$9=0</formula>
    </cfRule>
  </conditionalFormatting>
  <conditionalFormatting sqref="U27">
    <cfRule type="cellIs" dxfId="330" priority="4" operator="equal">
      <formula>0</formula>
    </cfRule>
  </conditionalFormatting>
  <conditionalFormatting sqref="U30">
    <cfRule type="expression" dxfId="329" priority="3">
      <formula>$U$9=0</formula>
    </cfRule>
  </conditionalFormatting>
  <conditionalFormatting sqref="U30">
    <cfRule type="cellIs" dxfId="328" priority="2" operator="equal">
      <formula>0</formula>
    </cfRule>
  </conditionalFormatting>
  <conditionalFormatting sqref="T138">
    <cfRule type="iconSet" priority="1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printOptions horizontalCentered="1" verticalCentered="1"/>
  <pageMargins left="0.1" right="0.1" top="0.5" bottom="0" header="0.3" footer="0.3"/>
  <pageSetup scale="46" orientation="portrait" r:id="rId1"/>
  <colBreaks count="1" manualBreakCount="1">
    <brk id="25" max="1048575" man="1"/>
  </colBreaks>
  <ignoredErrors>
    <ignoredError sqref="V145" formula="1"/>
  </ignoredErrors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negative="1" displayHidden="1" xr2:uid="{00000000-0003-0000-0000-00006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Weekly!I135:T135</xm:f>
              <xm:sqref>X135</xm:sqref>
            </x14:sparkline>
          </x14:sparklines>
        </x14:sparklineGroup>
        <x14:sparklineGroup manualMax="0" manualMin="0" displayEmptyCellsAs="gap" negative="1" displayHidden="1" xr2:uid="{00000000-0003-0000-0000-00006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Weekly!I136:T136</xm:f>
              <xm:sqref>X136</xm:sqref>
            </x14:sparkline>
          </x14:sparklines>
        </x14:sparklineGroup>
        <x14:sparklineGroup manualMax="0" manualMin="0" displayEmptyCellsAs="gap" negative="1" displayHidden="1" xr2:uid="{00000000-0003-0000-0000-00006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Weekly!I138:T138</xm:f>
              <xm:sqref>X138</xm:sqref>
            </x14:sparkline>
          </x14:sparklines>
        </x14:sparklineGroup>
        <x14:sparklineGroup manualMax="0" manualMin="0" displayEmptyCellsAs="gap" negative="1" displayHidden="1" xr2:uid="{00000000-0003-0000-0000-00006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Weekly!I139:T139</xm:f>
              <xm:sqref>X139</xm:sqref>
            </x14:sparkline>
            <x14:sparkline>
              <xm:f>Weekly!I140:T140</xm:f>
              <xm:sqref>X140</xm:sqref>
            </x14:sparkline>
          </x14:sparklines>
        </x14:sparklineGroup>
        <x14:sparklineGroup manualMax="0" manualMin="0" displayEmptyCellsAs="gap" negative="1" displayHidden="1" xr2:uid="{00000000-0003-0000-0000-00006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Weekly!I21:T21</xm:f>
              <xm:sqref>X21</xm:sqref>
            </x14:sparkline>
          </x14:sparklines>
        </x14:sparklineGroup>
        <x14:sparklineGroup manualMax="0" manualMin="0" displayEmptyCellsAs="gap" negative="1" displayHidden="1" xr2:uid="{00000000-0003-0000-0000-00006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Weekly!I20:T20</xm:f>
              <xm:sqref>X20</xm:sqref>
            </x14:sparkline>
          </x14:sparklines>
        </x14:sparklineGroup>
        <x14:sparklineGroup manualMax="0" manualMin="0" displayEmptyCellsAs="gap" negative="1" displayHidden="1" xr2:uid="{00000000-0003-0000-0000-00006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Weekly!I23:T23</xm:f>
              <xm:sqref>X23</xm:sqref>
            </x14:sparkline>
          </x14:sparklines>
        </x14:sparklineGroup>
        <x14:sparklineGroup manualMax="0" manualMin="0" displayEmptyCellsAs="gap" negative="1" displayHidden="1" xr2:uid="{00000000-0003-0000-0000-00005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Weekly!I24:T24</xm:f>
              <xm:sqref>X24</xm:sqref>
            </x14:sparkline>
          </x14:sparklines>
        </x14:sparklineGroup>
        <x14:sparklineGroup manualMax="0" manualMin="0" displayEmptyCellsAs="gap" negative="1" displayHidden="1" xr2:uid="{00000000-0003-0000-0000-00005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Weekly!I27:T27</xm:f>
              <xm:sqref>X27</xm:sqref>
            </x14:sparkline>
          </x14:sparklines>
        </x14:sparklineGroup>
        <x14:sparklineGroup manualMax="0" manualMin="0" displayEmptyCellsAs="gap" negative="1" displayHidden="1" xr2:uid="{00000000-0003-0000-0000-00005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Weekly!I26:T26</xm:f>
              <xm:sqref>X26</xm:sqref>
            </x14:sparkline>
          </x14:sparklines>
        </x14:sparklineGroup>
        <x14:sparklineGroup manualMax="0" manualMin="0" displayEmptyCellsAs="gap" negative="1" displayHidden="1" xr2:uid="{00000000-0003-0000-0000-00005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Weekly!I29:T29</xm:f>
              <xm:sqref>X29</xm:sqref>
            </x14:sparkline>
          </x14:sparklines>
        </x14:sparklineGroup>
        <x14:sparklineGroup manualMax="0" manualMin="0" displayEmptyCellsAs="gap" negative="1" displayHidden="1" xr2:uid="{00000000-0003-0000-0000-00005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Weekly!I30:T30</xm:f>
              <xm:sqref>X30</xm:sqref>
            </x14:sparkline>
          </x14:sparklines>
        </x14:sparklineGroup>
        <x14:sparklineGroup manualMax="0" manualMin="0" displayEmptyCellsAs="gap" negative="1" displayHidden="1" xr2:uid="{00000000-0003-0000-0000-00005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Weekly!I43:T43</xm:f>
              <xm:sqref>X43</xm:sqref>
            </x14:sparkline>
          </x14:sparklines>
        </x14:sparklineGroup>
        <x14:sparklineGroup manualMax="0" manualMin="0" displayEmptyCellsAs="gap" negative="1" displayHidden="1" xr2:uid="{00000000-0003-0000-0000-00005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Weekly!I42:T42</xm:f>
              <xm:sqref>X42</xm:sqref>
            </x14:sparkline>
          </x14:sparklines>
        </x14:sparklineGroup>
        <x14:sparklineGroup manualMax="0" manualMin="0" displayEmptyCellsAs="gap" negative="1" displayHidden="1" xr2:uid="{00000000-0003-0000-0000-00005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Weekly!I68:T68</xm:f>
              <xm:sqref>X68</xm:sqref>
            </x14:sparkline>
          </x14:sparklines>
        </x14:sparklineGroup>
        <x14:sparklineGroup manualMax="0" manualMin="0" displayEmptyCellsAs="gap" negative="1" displayHidden="1" xr2:uid="{00000000-0003-0000-0000-00005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Weekly!I69:T69</xm:f>
              <xm:sqref>X69</xm:sqref>
            </x14:sparkline>
          </x14:sparklines>
        </x14:sparklineGroup>
        <x14:sparklineGroup manualMax="0" manualMin="0" displayEmptyCellsAs="gap" negative="1" displayHidden="1" xr2:uid="{00000000-0003-0000-0000-00005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Weekly!I70:T70</xm:f>
              <xm:sqref>X70</xm:sqref>
            </x14:sparkline>
          </x14:sparklines>
        </x14:sparklineGroup>
        <x14:sparklineGroup manualMax="0" manualMin="0" displayEmptyCellsAs="gap" negative="1" displayHidden="1" xr2:uid="{00000000-0003-0000-0000-00005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Weekly!I73:T73</xm:f>
              <xm:sqref>X73</xm:sqref>
            </x14:sparkline>
          </x14:sparklines>
        </x14:sparklineGroup>
        <x14:sparklineGroup manualMax="0" manualMin="0" displayEmptyCellsAs="gap" negative="1" displayHidden="1" xr2:uid="{00000000-0003-0000-0000-00005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Weekly!I72:T72</xm:f>
              <xm:sqref>X72</xm:sqref>
            </x14:sparkline>
          </x14:sparklines>
        </x14:sparklineGroup>
        <x14:sparklineGroup manualMax="0" manualMin="0" displayEmptyCellsAs="gap" negative="1" displayHidden="1" xr2:uid="{00000000-0003-0000-0000-00005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Weekly!I126:T126</xm:f>
              <xm:sqref>X126</xm:sqref>
            </x14:sparkline>
          </x14:sparklines>
        </x14:sparklineGroup>
        <x14:sparklineGroup manualMax="0" manualMin="0" displayEmptyCellsAs="gap" negative="1" displayHidden="1" xr2:uid="{00000000-0003-0000-0000-00005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Weekly!I111:T111</xm:f>
              <xm:sqref>X111</xm:sqref>
            </x14:sparkline>
          </x14:sparklines>
        </x14:sparklineGroup>
        <x14:sparklineGroup manualMax="0" manualMin="0" displayEmptyCellsAs="gap" negative="1" displayHidden="1" xr2:uid="{00000000-0003-0000-0000-00005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Weekly!I110:T110</xm:f>
              <xm:sqref>X110</xm:sqref>
            </x14:sparkline>
          </x14:sparklines>
        </x14:sparklineGroup>
        <x14:sparklineGroup manualMax="0" manualMin="0" displayEmptyCellsAs="gap" negative="1" displayHidden="1" xr2:uid="{00000000-0003-0000-0000-00005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Weekly!I114:T114</xm:f>
              <xm:sqref>X114</xm:sqref>
            </x14:sparkline>
          </x14:sparklines>
        </x14:sparklineGroup>
        <x14:sparklineGroup manualMax="0" manualMin="0" displayEmptyCellsAs="gap" negative="1" displayHidden="1" xr2:uid="{00000000-0003-0000-0000-00004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Weekly!I108:T108</xm:f>
              <xm:sqref>X108</xm:sqref>
            </x14:sparkline>
          </x14:sparklines>
        </x14:sparklineGroup>
        <x14:sparklineGroup manualMax="0" manualMin="0" displayEmptyCellsAs="gap" negative="1" displayHidden="1" xr2:uid="{00000000-0003-0000-0000-00004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Weekly!I117:T117</xm:f>
              <xm:sqref>X117</xm:sqref>
            </x14:sparkline>
          </x14:sparklines>
        </x14:sparklineGroup>
        <x14:sparklineGroup manualMax="0" manualMin="0" displayEmptyCellsAs="gap" negative="1" displayHidden="1" xr2:uid="{00000000-0003-0000-0000-00004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Weekly!I116:T116</xm:f>
              <xm:sqref>X116</xm:sqref>
            </x14:sparkline>
          </x14:sparklines>
        </x14:sparklineGroup>
        <x14:sparklineGroup manualMax="0" manualMin="0" displayEmptyCellsAs="gap" negative="1" displayHidden="1" xr2:uid="{00000000-0003-0000-0000-00004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Weekly!I96:T96</xm:f>
              <xm:sqref>X96</xm:sqref>
            </x14:sparkline>
          </x14:sparklines>
        </x14:sparklineGroup>
        <x14:sparklineGroup manualMax="0" manualMin="0" displayEmptyCellsAs="gap" negative="1" displayHidden="1" xr2:uid="{00000000-0003-0000-0000-00004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Weekly!I97:T97</xm:f>
              <xm:sqref>X97</xm:sqref>
            </x14:sparkline>
          </x14:sparklines>
        </x14:sparklineGroup>
        <x14:sparklineGroup manualMax="0" manualMin="0" displayEmptyCellsAs="gap" negative="1" displayHidden="1" xr2:uid="{00000000-0003-0000-0000-00004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Weekly!I120:T120</xm:f>
              <xm:sqref>X120</xm:sqref>
            </x14:sparkline>
          </x14:sparklines>
        </x14:sparklineGroup>
        <x14:sparklineGroup manualMax="0" manualMin="0" displayEmptyCellsAs="gap" negative="1" displayHidden="1" xr2:uid="{00000000-0003-0000-0000-00004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Weekly!I15:T15</xm:f>
              <xm:sqref>X15</xm:sqref>
            </x14:sparkline>
          </x14:sparklines>
        </x14:sparklineGroup>
        <x14:sparklineGroup manualMax="0" manualMin="0" displayEmptyCellsAs="gap" negative="1" displayHidden="1" xr2:uid="{00000000-0003-0000-0000-00004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Weekly!I119:T119</xm:f>
              <xm:sqref>X119</xm:sqref>
            </x14:sparkline>
          </x14:sparklines>
        </x14:sparklineGroup>
        <x14:sparklineGroup manualMax="0" manualMin="0" displayEmptyCellsAs="gap" negative="1" displayHidden="1" xr2:uid="{00000000-0003-0000-0000-00004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Weekly!I106:T106</xm:f>
              <xm:sqref>X106</xm:sqref>
            </x14:sparkline>
          </x14:sparklines>
        </x14:sparklineGroup>
        <x14:sparklineGroup manualMax="0" manualMin="0" displayEmptyCellsAs="gap" negative="1" displayHidden="1" xr2:uid="{00000000-0003-0000-0000-00004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Weekly!I105:T105</xm:f>
              <xm:sqref>X105</xm:sqref>
            </x14:sparkline>
          </x14:sparklines>
        </x14:sparklineGroup>
        <x14:sparklineGroup manualMax="0" manualMin="0" displayEmptyCellsAs="gap" negative="1" displayHidden="1" xr2:uid="{00000000-0003-0000-0000-00004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Weekly!I14:T14</xm:f>
              <xm:sqref>X14</xm:sqref>
            </x14:sparkline>
          </x14:sparklines>
        </x14:sparklineGroup>
        <x14:sparklineGroup manualMax="0" manualMin="0" displayEmptyCellsAs="gap" negative="1" displayHidden="1" xr2:uid="{00000000-0003-0000-0000-00004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Weekly!I132:T132</xm:f>
              <xm:sqref>X132</xm:sqref>
            </x14:sparkline>
          </x14:sparklines>
        </x14:sparklineGroup>
        <x14:sparklineGroup manualMax="0" manualMin="0" displayEmptyCellsAs="gap" negative="1" displayHidden="1" xr2:uid="{00000000-0003-0000-0000-00004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Weekly!I133:T133</xm:f>
              <xm:sqref>X133</xm:sqref>
            </x14:sparkline>
          </x14:sparklines>
        </x14:sparklineGroup>
        <x14:sparklineGroup manualMax="0" manualMin="0" displayEmptyCellsAs="gap" negative="1" displayHidden="1" xr2:uid="{00000000-0003-0000-0000-00004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Weekly!I143:T143</xm:f>
              <xm:sqref>X143</xm:sqref>
            </x14:sparkline>
          </x14:sparklines>
        </x14:sparklineGroup>
        <x14:sparklineGroup manualMax="0" manualMin="0" displayEmptyCellsAs="gap" negative="1" displayHidden="1" xr2:uid="{00000000-0003-0000-0000-00004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Weekly!I144:T144</xm:f>
              <xm:sqref>X144</xm:sqref>
            </x14:sparkline>
          </x14:sparklines>
        </x14:sparklineGroup>
        <x14:sparklineGroup manualMax="0" manualMin="0" displayEmptyCellsAs="gap" negative="1" displayHidden="1" xr2:uid="{00000000-0003-0000-0000-00004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Weekly!I18:T18</xm:f>
              <xm:sqref>X18</xm:sqref>
            </x14:sparkline>
          </x14:sparklines>
        </x14:sparklineGroup>
        <x14:sparklineGroup manualMax="0" manualMin="0" displayEmptyCellsAs="gap" negative="1" displayHidden="1" xr2:uid="{00000000-0003-0000-0000-00003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Weekly!I17:T17</xm:f>
              <xm:sqref>X17</xm:sqref>
            </x14:sparkline>
          </x14:sparklines>
        </x14:sparklineGroup>
        <x14:sparklineGroup manualMax="0" manualMin="0" displayEmptyCellsAs="gap" negative="1" displayHidden="1" xr2:uid="{00000000-0003-0000-0000-00003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Weekly!I99:T99</xm:f>
              <xm:sqref>X99</xm:sqref>
            </x14:sparkline>
          </x14:sparklines>
        </x14:sparklineGroup>
        <x14:sparklineGroup manualMax="0" manualMin="0" displayEmptyCellsAs="gap" negative="1" displayHidden="1" xr2:uid="{00000000-0003-0000-0000-00003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Weekly!I100:T100</xm:f>
              <xm:sqref>X100</xm:sqref>
            </x14:sparkline>
          </x14:sparklines>
        </x14:sparklineGroup>
        <x14:sparklineGroup manualMax="0" manualMin="0" displayEmptyCellsAs="gap" negative="1" displayHidden="1" xr2:uid="{00000000-0003-0000-0000-00003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Weekly!I148:T148</xm:f>
              <xm:sqref>X148</xm:sqref>
            </x14:sparkline>
          </x14:sparklines>
        </x14:sparklineGroup>
        <x14:sparklineGroup manualMax="0" manualMin="0" displayEmptyCellsAs="gap" negative="1" displayHidden="1" xr2:uid="{00000000-0003-0000-0000-00003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Weekly!I130:T130</xm:f>
              <xm:sqref>X130</xm:sqref>
            </x14:sparkline>
          </x14:sparklines>
        </x14:sparklineGroup>
        <x14:sparklineGroup manualMax="0" manualMin="0" displayEmptyCellsAs="gap" negative="1" displayHidden="1" xr2:uid="{00000000-0003-0000-0000-00003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Weekly!I128:T128</xm:f>
              <xm:sqref>X128</xm:sqref>
            </x14:sparkline>
          </x14:sparklines>
        </x14:sparklineGroup>
        <x14:sparklineGroup manualMax="0" manualMin="0" displayEmptyCellsAs="gap" negative="1" displayHidden="1" xr2:uid="{00000000-0003-0000-0000-00003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Weekly!I127:T127</xm:f>
              <xm:sqref>X127</xm:sqref>
            </x14:sparkline>
          </x14:sparklines>
        </x14:sparklineGroup>
        <x14:sparklineGroup manualMax="0" manualMin="0" displayEmptyCellsAs="gap" negative="1" displayHidden="1" xr2:uid="{00000000-0003-0000-0000-00003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Weekly!I102:T102</xm:f>
              <xm:sqref>X102</xm:sqref>
            </x14:sparkline>
          </x14:sparklines>
        </x14:sparklineGroup>
        <x14:sparklineGroup manualMax="0" manualMin="0" displayEmptyCellsAs="gap" negative="1" displayHidden="1" xr2:uid="{00000000-0003-0000-0000-00003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Weekly!I103:T103</xm:f>
              <xm:sqref>X103</xm:sqref>
            </x14:sparkline>
          </x14:sparklines>
        </x14:sparklineGroup>
        <x14:sparklineGroup manualMax="0" manualMin="0" displayEmptyCellsAs="gap" negative="1" displayHidden="1" xr2:uid="{00000000-0003-0000-0000-00003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Weekly!I145:T145</xm:f>
              <xm:sqref>X145</xm:sqref>
            </x14:sparkline>
          </x14:sparklines>
        </x14:sparklineGroup>
        <x14:sparklineGroup manualMax="0" manualMin="0" displayEmptyCellsAs="gap" negative="1" displayHidden="1" xr2:uid="{00000000-0003-0000-0000-00003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Weekly!I146:T146</xm:f>
              <xm:sqref>X146</xm:sqref>
            </x14:sparkline>
          </x14:sparklines>
        </x14:sparklineGroup>
        <x14:sparklineGroup manualMax="0" manualMin="0" displayEmptyCellsAs="gap" negative="1" displayHidden="1" xr2:uid="{00000000-0003-0000-0000-00003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Weekly!I147:T147</xm:f>
              <xm:sqref>X147</xm:sqref>
            </x14:sparkline>
          </x14:sparklines>
        </x14:sparklineGroup>
        <x14:sparklineGroup manualMax="0" manualMin="0" displayEmptyCellsAs="gap" negative="1" displayHidden="1" xr2:uid="{00000000-0003-0000-0000-00003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Weekly!I142:T142</xm:f>
              <xm:sqref>X142</xm:sqref>
            </x14:sparkline>
          </x14:sparklines>
        </x14:sparklineGroup>
        <x14:sparklineGroup manualMax="0" manualMin="0" displayEmptyCellsAs="gap" negative="1" displayHidden="1" xr2:uid="{00000000-0003-0000-0000-00003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Weekly!I93:T93</xm:f>
              <xm:sqref>X93</xm:sqref>
            </x14:sparkline>
          </x14:sparklines>
        </x14:sparklineGroup>
        <x14:sparklineGroup manualMax="0" manualMin="0" displayEmptyCellsAs="gap" negative="1" displayHidden="1" xr2:uid="{00000000-0003-0000-0000-00003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Weekly!I94:T94</xm:f>
              <xm:sqref>X94</xm:sqref>
            </x14:sparkline>
          </x14:sparklines>
        </x14:sparklineGroup>
        <x14:sparklineGroup manualMax="0" manualMin="0" displayEmptyCellsAs="gap" negative="1" displayHidden="1" xr2:uid="{00000000-0003-0000-0000-00003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Weekly!I90:T90</xm:f>
              <xm:sqref>X90</xm:sqref>
            </x14:sparkline>
          </x14:sparklines>
        </x14:sparklineGroup>
        <x14:sparklineGroup manualMax="0" manualMin="0" displayEmptyCellsAs="gap" negative="1" displayHidden="1" xr2:uid="{00000000-0003-0000-0000-00002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Weekly!I91:T91</xm:f>
              <xm:sqref>X91</xm:sqref>
            </x14:sparkline>
          </x14:sparklines>
        </x14:sparklineGroup>
        <x14:sparklineGroup manualMax="0" manualMin="0" displayEmptyCellsAs="gap" negative="1" displayHidden="1" xr2:uid="{00000000-0003-0000-0000-00002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Weekly!I125:T125</xm:f>
              <xm:sqref>X125</xm:sqref>
            </x14:sparkline>
          </x14:sparklines>
        </x14:sparklineGroup>
        <x14:sparklineGroup manualMax="0" manualMin="0" displayEmptyCellsAs="gap" negative="1" displayHidden="1" xr2:uid="{00000000-0003-0000-0000-00002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Weekly!I109:T109</xm:f>
              <xm:sqref>X109</xm:sqref>
            </x14:sparkline>
          </x14:sparklines>
        </x14:sparklineGroup>
        <x14:sparklineGroup manualMax="0" manualMin="0" displayEmptyCellsAs="gap" negative="1" displayHidden="1" xr2:uid="{00000000-0003-0000-0000-00002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Weekly!I112:T112</xm:f>
              <xm:sqref>X112</xm:sqref>
            </x14:sparkline>
          </x14:sparklines>
        </x14:sparklineGroup>
        <x14:sparklineGroup manualMax="0" manualMin="0" displayEmptyCellsAs="gap" negative="1" displayHidden="1" xr2:uid="{00000000-0003-0000-0000-00002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Weekly!I129:T129</xm:f>
              <xm:sqref>X129</xm:sqref>
            </x14:sparkline>
          </x14:sparklines>
        </x14:sparklineGroup>
        <x14:sparklineGroup manualMax="0" manualMin="0" displayEmptyCellsAs="gap" negative="1" displayHidden="1" xr2:uid="{00000000-0003-0000-0000-00002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Weekly!I122:T122</xm:f>
              <xm:sqref>X122</xm:sqref>
            </x14:sparkline>
          </x14:sparklines>
        </x14:sparklineGroup>
        <x14:sparklineGroup manualMax="0" manualMin="0" displayEmptyCellsAs="gap" negative="1" displayHidden="1" xr2:uid="{00000000-0003-0000-0000-00002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Weekly!I123:T123</xm:f>
              <xm:sqref>X123</xm:sqref>
            </x14:sparkline>
          </x14:sparklines>
        </x14:sparklineGroup>
        <x14:sparklineGroup manualMax="0" manualMin="0" displayEmptyCellsAs="gap" negative="1" displayHidden="1" xr2:uid="{00000000-0003-0000-0000-00002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Weekly!I86:T86</xm:f>
              <xm:sqref>X86</xm:sqref>
            </x14:sparkline>
          </x14:sparklines>
        </x14:sparklineGroup>
        <x14:sparklineGroup manualMax="0" manualMin="0" displayEmptyCellsAs="gap" negative="1" displayHidden="1" xr2:uid="{00000000-0003-0000-0000-00002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Weekly!I66:T66</xm:f>
              <xm:sqref>X66</xm:sqref>
            </x14:sparkline>
          </x14:sparklines>
        </x14:sparklineGroup>
        <x14:sparklineGroup manualMax="0" manualMin="0" displayEmptyCellsAs="gap" negative="1" displayHidden="1" xr2:uid="{00000000-0003-0000-0000-00002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Weekly!I67:T67</xm:f>
              <xm:sqref>X67</xm:sqref>
            </x14:sparkline>
            <x14:sparkline>
              <xm:f>Weekly!I71:T71</xm:f>
              <xm:sqref>X71</xm:sqref>
            </x14:sparkline>
          </x14:sparklines>
        </x14:sparklineGroup>
        <x14:sparklineGroup manualMax="0" manualMin="0" displayEmptyCellsAs="gap" negative="1" displayHidden="1" xr2:uid="{00000000-0003-0000-0000-00002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Weekly!I75:T75</xm:f>
              <xm:sqref>X75</xm:sqref>
            </x14:sparkline>
          </x14:sparklines>
        </x14:sparklineGroup>
        <x14:sparklineGroup manualMax="0" manualMin="0" displayEmptyCellsAs="gap" negative="1" displayHidden="1" xr2:uid="{00000000-0003-0000-0000-00002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Weekly!I76:T76</xm:f>
              <xm:sqref>X76</xm:sqref>
            </x14:sparkline>
          </x14:sparklines>
        </x14:sparklineGroup>
        <x14:sparklineGroup manualMax="0" manualMin="0" displayEmptyCellsAs="gap" negative="1" displayHidden="1" xr2:uid="{00000000-0003-0000-0000-00002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Weekly!I78:T78</xm:f>
              <xm:sqref>X78</xm:sqref>
            </x14:sparkline>
          </x14:sparklines>
        </x14:sparklineGroup>
        <x14:sparklineGroup manualMax="0" manualMin="0" displayEmptyCellsAs="gap" negative="1" displayHidden="1" xr2:uid="{00000000-0003-0000-0000-00002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Weekly!I79:T79</xm:f>
              <xm:sqref>X79</xm:sqref>
            </x14:sparkline>
          </x14:sparklines>
        </x14:sparklineGroup>
        <x14:sparklineGroup manualMax="0" manualMin="0" displayEmptyCellsAs="gap" negative="1" displayHidden="1" xr2:uid="{00000000-0003-0000-0000-00002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Weekly!I81:T81</xm:f>
              <xm:sqref>X81</xm:sqref>
            </x14:sparkline>
          </x14:sparklines>
        </x14:sparklineGroup>
        <x14:sparklineGroup manualMax="0" manualMin="0" displayEmptyCellsAs="gap" negative="1" displayHidden="1" xr2:uid="{00000000-0003-0000-0000-00002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Weekly!I82:T82</xm:f>
              <xm:sqref>X82</xm:sqref>
            </x14:sparkline>
          </x14:sparklines>
        </x14:sparklineGroup>
        <x14:sparklineGroup manualMax="0" manualMin="0" displayEmptyCellsAs="gap" negative="1" displayHidden="1" xr2:uid="{00000000-0003-0000-0000-00001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Weekly!I85:T85</xm:f>
              <xm:sqref>X85</xm:sqref>
            </x14:sparkline>
          </x14:sparklines>
        </x14:sparklineGroup>
        <x14:sparklineGroup manualMax="0" manualMin="0" displayEmptyCellsAs="gap" negative="1" displayHidden="1" xr2:uid="{00000000-0003-0000-0000-00001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Weekly!I84:T84</xm:f>
              <xm:sqref>X84</xm:sqref>
            </x14:sparkline>
          </x14:sparklines>
        </x14:sparklineGroup>
        <x14:sparklineGroup manualMax="0" manualMin="0" displayEmptyCellsAs="gap" negative="1" displayHidden="1" xr2:uid="{00000000-0003-0000-0000-00001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Weekly!I88:T88</xm:f>
              <xm:sqref>X88</xm:sqref>
            </x14:sparkline>
          </x14:sparklines>
        </x14:sparklineGroup>
        <x14:sparklineGroup manualMax="0" manualMin="0" displayEmptyCellsAs="gap" negative="1" displayHidden="1" xr2:uid="{00000000-0003-0000-0000-00001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Weekly!I87:T87</xm:f>
              <xm:sqref>X87</xm:sqref>
            </x14:sparkline>
          </x14:sparklines>
        </x14:sparklineGroup>
        <x14:sparklineGroup manualMax="0" manualMin="0" displayEmptyCellsAs="gap" negative="1" displayHidden="1" xr2:uid="{00000000-0003-0000-0000-00001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Weekly!I38:T38</xm:f>
              <xm:sqref>X38</xm:sqref>
            </x14:sparkline>
          </x14:sparklines>
        </x14:sparklineGroup>
        <x14:sparklineGroup manualMax="0" manualMin="0" displayEmptyCellsAs="gap" negative="1" displayHidden="1" xr2:uid="{00000000-0003-0000-0000-00001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Weekly!I32:T32</xm:f>
              <xm:sqref>X32</xm:sqref>
            </x14:sparkline>
          </x14:sparklines>
        </x14:sparklineGroup>
        <x14:sparklineGroup manualMax="0" manualMin="0" displayEmptyCellsAs="gap" negative="1" displayHidden="1" xr2:uid="{00000000-0003-0000-0000-00001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Weekly!I35:T35</xm:f>
              <xm:sqref>X35</xm:sqref>
            </x14:sparkline>
          </x14:sparklines>
        </x14:sparklineGroup>
        <x14:sparklineGroup manualMax="0" manualMin="0" displayEmptyCellsAs="gap" negative="1" displayHidden="1" xr2:uid="{00000000-0003-0000-0000-00001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Weekly!I36:T36</xm:f>
              <xm:sqref>X36</xm:sqref>
            </x14:sparkline>
          </x14:sparklines>
        </x14:sparklineGroup>
        <x14:sparklineGroup manualMax="0" manualMin="0" displayEmptyCellsAs="gap" negative="1" displayHidden="1" xr2:uid="{00000000-0003-0000-0000-00001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Weekly!I44:T44</xm:f>
              <xm:sqref>X44</xm:sqref>
            </x14:sparkline>
            <x14:sparkline>
              <xm:f>Weekly!I50:T50</xm:f>
              <xm:sqref>X50</xm:sqref>
            </x14:sparkline>
          </x14:sparklines>
        </x14:sparklineGroup>
        <x14:sparklineGroup manualMax="0" manualMin="0" displayEmptyCellsAs="gap" negative="1" displayHidden="1" xr2:uid="{00000000-0003-0000-0000-00001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Weekly!I46:T46</xm:f>
              <xm:sqref>X46</xm:sqref>
            </x14:sparkline>
          </x14:sparklines>
        </x14:sparklineGroup>
        <x14:sparklineGroup manualMax="0" manualMin="0" displayEmptyCellsAs="gap" negative="1" displayHidden="1" xr2:uid="{00000000-0003-0000-0000-00001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Weekly!I54:T54</xm:f>
              <xm:sqref>X54</xm:sqref>
            </x14:sparkline>
          </x14:sparklines>
        </x14:sparklineGroup>
        <x14:sparklineGroup manualMax="0" manualMin="0" displayEmptyCellsAs="gap" negative="1" displayHidden="1" xr2:uid="{00000000-0003-0000-0000-00001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Weekly!I55:T55</xm:f>
              <xm:sqref>X55</xm:sqref>
            </x14:sparkline>
          </x14:sparklines>
        </x14:sparklineGroup>
        <x14:sparklineGroup manualMax="0" manualMin="0" displayEmptyCellsAs="gap" negative="1" displayHidden="1" xr2:uid="{00000000-0003-0000-0000-00001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Weekly!I52:T52</xm:f>
              <xm:sqref>X52</xm:sqref>
            </x14:sparkline>
          </x14:sparklines>
        </x14:sparklineGroup>
        <x14:sparklineGroup manualMax="0" manualMin="0" displayEmptyCellsAs="gap" negative="1" displayHidden="1" xr2:uid="{00000000-0003-0000-0000-00001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Weekly!I61:T61</xm:f>
              <xm:sqref>X61</xm:sqref>
            </x14:sparkline>
          </x14:sparklines>
        </x14:sparklineGroup>
        <x14:sparklineGroup manualMax="0" manualMin="0" displayEmptyCellsAs="gap" negative="1" displayHidden="1" xr2:uid="{00000000-0003-0000-0000-00001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Weekly!I60:T60</xm:f>
              <xm:sqref>X60</xm:sqref>
            </x14:sparkline>
          </x14:sparklines>
        </x14:sparklineGroup>
        <x14:sparklineGroup manualMax="0" manualMin="0" displayEmptyCellsAs="gap" negative="1" displayHidden="1" xr2:uid="{00000000-0003-0000-0000-00001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Weekly!I64:T64</xm:f>
              <xm:sqref>X64</xm:sqref>
            </x14:sparkline>
          </x14:sparklines>
        </x14:sparklineGroup>
        <x14:sparklineGroup manualMax="0" manualMin="0" displayEmptyCellsAs="gap" negative="1" displayHidden="1" xr2:uid="{00000000-0003-0000-0000-00000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Weekly!I63:T63</xm:f>
              <xm:sqref>X63</xm:sqref>
            </x14:sparkline>
          </x14:sparklines>
        </x14:sparklineGroup>
        <x14:sparklineGroup manualMax="0" manualMin="0" displayEmptyCellsAs="gap" negative="1" displayHidden="1" xr2:uid="{00000000-0003-0000-0000-00000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Weekly!I49:T49</xm:f>
              <xm:sqref>X49</xm:sqref>
            </x14:sparkline>
          </x14:sparklines>
        </x14:sparklineGroup>
        <x14:sparklineGroup manualMax="0" manualMin="0" displayEmptyCellsAs="gap" negative="1" displayHidden="1" xr2:uid="{00000000-0003-0000-0000-00000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Weekly!I47:T47</xm:f>
              <xm:sqref>X47</xm:sqref>
            </x14:sparkline>
          </x14:sparklines>
        </x14:sparklineGroup>
        <x14:sparklineGroup manualMax="0" manualMin="0" displayEmptyCellsAs="gap" negative="1" displayHidden="1" xr2:uid="{00000000-0003-0000-0000-00000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Weekly!I39:T39</xm:f>
              <xm:sqref>X39</xm:sqref>
            </x14:sparkline>
            <x14:sparkline>
              <xm:f>Weekly!I40:T40</xm:f>
              <xm:sqref>X40</xm:sqref>
            </x14:sparkline>
            <x14:sparkline>
              <xm:f>Weekly!I41:T41</xm:f>
              <xm:sqref>X41</xm:sqref>
            </x14:sparkline>
          </x14:sparklines>
        </x14:sparklineGroup>
        <x14:sparklineGroup manualMax="0" manualMin="0" displayEmptyCellsAs="gap" negative="1" displayHidden="1" xr2:uid="{00000000-0003-0000-0000-00000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Weekly!I45:T45</xm:f>
              <xm:sqref>X45</xm:sqref>
            </x14:sparkline>
          </x14:sparklines>
        </x14:sparklineGroup>
        <x14:sparklineGroup manualMax="0" manualMin="0" displayEmptyCellsAs="gap" negative="1" displayHidden="1" xr2:uid="{00000000-0003-0000-0000-00000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Weekly!I34:T34</xm:f>
              <xm:sqref>X34</xm:sqref>
            </x14:sparkline>
          </x14:sparklines>
        </x14:sparklineGroup>
        <x14:sparklineGroup manualMax="0" manualMin="0" displayEmptyCellsAs="gap" negative="1" displayHidden="1" xr2:uid="{00000000-0003-0000-0000-00000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Weekly!I33:T33</xm:f>
              <xm:sqref>X33</xm:sqref>
            </x14:sparkline>
          </x14:sparklines>
        </x14:sparklineGroup>
        <x14:sparklineGroup manualMax="0" manualMin="0" displayEmptyCellsAs="gap" negative="1" displayHidden="1" xr2:uid="{00000000-0003-0000-0000-00000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Weekly!I48:T48</xm:f>
              <xm:sqref>X48</xm:sqref>
            </x14:sparkline>
          </x14:sparklines>
        </x14:sparklineGroup>
        <x14:sparklineGroup manualMax="0" manualMin="0" displayEmptyCellsAs="gap" negative="1" displayHidden="1" xr2:uid="{00000000-0003-0000-0000-00000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Weekly!I51:T51</xm:f>
              <xm:sqref>X51</xm:sqref>
            </x14:sparkline>
          </x14:sparklines>
        </x14:sparklineGroup>
        <x14:sparklineGroup manualMax="0" manualMin="0" displayEmptyCellsAs="gap" negative="1" displayHidden="1" xr2:uid="{00000000-0003-0000-0000-00000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Weekly!I113:T113</xm:f>
              <xm:sqref>X113</xm:sqref>
            </x14:sparkline>
          </x14:sparklines>
        </x14:sparklineGroup>
        <x14:sparklineGroup manualMax="0" manualMin="0" displayEmptyCellsAs="gap" negative="1" displayHidden="1" xr2:uid="{00000000-0003-0000-0000-00000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Weekly!I58:T58</xm:f>
              <xm:sqref>X58</xm:sqref>
            </x14:sparkline>
          </x14:sparklines>
        </x14:sparklineGroup>
        <x14:sparklineGroup manualMax="0" manualMin="0" displayEmptyCellsAs="gap" negative="1" displayHidden="1" xr2:uid="{00000000-0003-0000-0000-00000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Weekly!I57:T57</xm:f>
              <xm:sqref>X57</xm:sqref>
            </x14:sparkline>
          </x14:sparklines>
        </x14:sparklineGroup>
        <x14:sparklineGroup manualMax="0" manualMin="0" displayEmptyCellsAs="gap" negative="1" displayHidden="1" xr2:uid="{00000000-0003-0000-0000-00000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Weekly!I11:T11</xm:f>
              <xm:sqref>X11</xm:sqref>
            </x14:sparkline>
          </x14:sparklines>
        </x14:sparklineGroup>
        <x14:sparklineGroup manualMax="0" manualMin="0" displayEmptyCellsAs="gap" negative="1" displayHidden="1" xr2:uid="{00000000-0003-0000-0000-00000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Weekly!I12:T12</xm:f>
              <xm:sqref>X12</xm:sqref>
            </x14:sparkline>
          </x14:sparklines>
        </x14:sparklineGroup>
        <x14:sparklineGroup manualMax="0" manualMin="0" displayEmptyCellsAs="gap" negative="1" displayHidden="1" xr2:uid="{00000000-0003-0000-0000-00000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Weekly!I8:T8</xm:f>
              <xm:sqref>X8</xm:sqref>
            </x14:sparkline>
          </x14:sparklines>
        </x14:sparklineGroup>
        <x14:sparklineGroup manualMax="0" manualMin="0" displayEmptyCellsAs="gap" negative="1" displayHidden="1" xr2:uid="{00000000-0003-0000-0000-00000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Weekly!I9:T9</xm:f>
              <xm:sqref>X9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Y154"/>
  <sheetViews>
    <sheetView showGridLines="0" view="pageBreakPreview" zoomScale="90" zoomScaleNormal="40" zoomScaleSheetLayoutView="90" workbookViewId="0">
      <selection activeCell="AB8" sqref="AB8"/>
    </sheetView>
  </sheetViews>
  <sheetFormatPr defaultColWidth="8.84375" defaultRowHeight="14.6" outlineLevelRow="1" outlineLevelCol="1" x14ac:dyDescent="0.4"/>
  <cols>
    <col min="1" max="1" width="3.15234375" customWidth="1"/>
    <col min="2" max="2" width="5.15234375" customWidth="1"/>
    <col min="3" max="3" width="2.53515625" customWidth="1"/>
    <col min="4" max="4" width="26.3046875" customWidth="1"/>
    <col min="5" max="5" width="19.15234375" hidden="1" customWidth="1" outlineLevel="1"/>
    <col min="6" max="6" width="15.15234375" hidden="1" customWidth="1" outlineLevel="1"/>
    <col min="7" max="7" width="4.53515625" hidden="1" customWidth="1" outlineLevel="1"/>
    <col min="8" max="8" width="4.69140625" hidden="1" customWidth="1" outlineLevel="1"/>
    <col min="9" max="16" width="8.15234375" hidden="1" customWidth="1" outlineLevel="1"/>
    <col min="17" max="17" width="13.15234375" customWidth="1" collapsed="1"/>
    <col min="18" max="23" width="13.15234375" customWidth="1"/>
    <col min="24" max="24" width="19.84375" customWidth="1"/>
    <col min="25" max="25" width="3.15234375" customWidth="1"/>
  </cols>
  <sheetData>
    <row r="2" spans="2:24" ht="13.4" customHeight="1" x14ac:dyDescent="0.75">
      <c r="B2" s="25"/>
      <c r="C2" s="26"/>
      <c r="D2" s="26"/>
      <c r="F2" t="s">
        <v>31</v>
      </c>
      <c r="G2" t="s">
        <v>33</v>
      </c>
    </row>
    <row r="3" spans="2:24" ht="30" customHeight="1" x14ac:dyDescent="0.7">
      <c r="B3" s="331" t="s">
        <v>58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W3" s="27"/>
      <c r="X3" s="28"/>
    </row>
    <row r="4" spans="2:24" ht="8.5" customHeight="1" thickBot="1" x14ac:dyDescent="0.6">
      <c r="B4" s="29"/>
      <c r="D4" s="30"/>
      <c r="W4" s="31"/>
      <c r="X4" s="32"/>
    </row>
    <row r="5" spans="2:24" ht="16.399999999999999" customHeight="1" thickTop="1" x14ac:dyDescent="0.55000000000000004">
      <c r="B5" s="29"/>
      <c r="D5" s="33" t="s">
        <v>60</v>
      </c>
      <c r="H5" s="33"/>
      <c r="I5" s="34">
        <f t="shared" ref="I5:R5" ca="1" si="0">IF(J6=1,J5-1,J5)</f>
        <v>2022</v>
      </c>
      <c r="J5" s="34">
        <f t="shared" ca="1" si="0"/>
        <v>2022</v>
      </c>
      <c r="K5" s="34">
        <f t="shared" ca="1" si="0"/>
        <v>2022</v>
      </c>
      <c r="L5" s="34">
        <f t="shared" ca="1" si="0"/>
        <v>2022</v>
      </c>
      <c r="M5" s="34">
        <f t="shared" ca="1" si="0"/>
        <v>2023</v>
      </c>
      <c r="N5" s="34">
        <f t="shared" ca="1" si="0"/>
        <v>2023</v>
      </c>
      <c r="O5" s="34">
        <f t="shared" ca="1" si="0"/>
        <v>2023</v>
      </c>
      <c r="P5" s="34">
        <f t="shared" ca="1" si="0"/>
        <v>2023</v>
      </c>
      <c r="Q5" s="35">
        <f t="shared" ca="1" si="0"/>
        <v>2023</v>
      </c>
      <c r="R5" s="36">
        <f t="shared" ca="1" si="0"/>
        <v>2023</v>
      </c>
      <c r="S5" s="36">
        <f ca="1">IF(T6=1,T5-1,T5)</f>
        <v>2023</v>
      </c>
      <c r="T5" s="37">
        <f ca="1">YEAR(TODAY()-11)</f>
        <v>2023</v>
      </c>
    </row>
    <row r="6" spans="2:24" ht="16.399999999999999" customHeight="1" outlineLevel="1" x14ac:dyDescent="0.55000000000000004">
      <c r="B6" s="29"/>
      <c r="D6" s="33" t="s">
        <v>61</v>
      </c>
      <c r="H6" s="33"/>
      <c r="I6" s="34">
        <f t="shared" ref="I6:S6" ca="1" si="1">IF(J6=1, 52,J6-1)</f>
        <v>49</v>
      </c>
      <c r="J6" s="34">
        <f t="shared" ca="1" si="1"/>
        <v>50</v>
      </c>
      <c r="K6" s="34">
        <f t="shared" ca="1" si="1"/>
        <v>51</v>
      </c>
      <c r="L6" s="34">
        <f t="shared" ca="1" si="1"/>
        <v>52</v>
      </c>
      <c r="M6" s="34">
        <f t="shared" ca="1" si="1"/>
        <v>1</v>
      </c>
      <c r="N6" s="34">
        <f t="shared" ca="1" si="1"/>
        <v>2</v>
      </c>
      <c r="O6" s="34">
        <f t="shared" ca="1" si="1"/>
        <v>3</v>
      </c>
      <c r="P6" s="34">
        <f t="shared" ca="1" si="1"/>
        <v>4</v>
      </c>
      <c r="Q6" s="38">
        <f t="shared" ca="1" si="1"/>
        <v>5</v>
      </c>
      <c r="R6" s="34">
        <f t="shared" ca="1" si="1"/>
        <v>6</v>
      </c>
      <c r="S6" s="34">
        <f t="shared" ca="1" si="1"/>
        <v>7</v>
      </c>
      <c r="T6" s="39">
        <f ca="1">IF((WEEKNUM(TODAY())-2)&gt;0, WEEKNUM(TODAY())-2,52)</f>
        <v>8</v>
      </c>
    </row>
    <row r="7" spans="2:24" ht="16.399999999999999" customHeight="1" x14ac:dyDescent="0.55000000000000004">
      <c r="B7" s="29"/>
      <c r="D7" s="289" t="s">
        <v>227</v>
      </c>
      <c r="E7" s="40" t="s">
        <v>418</v>
      </c>
      <c r="F7" s="40" t="s">
        <v>421</v>
      </c>
      <c r="G7" s="40"/>
      <c r="H7" s="40"/>
      <c r="I7" s="41">
        <f t="array" aca="1" ref="I7" ca="1">SUM(INDIRECT($E7&amp;"["&amp;$F7&amp;"]")*(INDIRECT($E7&amp;"[yr]")=I$5)*(INDIRECT($E7&amp;"[wk]")=I$6))</f>
        <v>45262</v>
      </c>
      <c r="J7" s="41">
        <f t="array" aca="1" ref="J7" ca="1">SUM(INDIRECT($E7&amp;"["&amp;$F7&amp;"]")*(INDIRECT($E7&amp;"[yr]")=J$5)*(INDIRECT($E7&amp;"[wk]")=J$6))</f>
        <v>45269</v>
      </c>
      <c r="K7" s="41">
        <f t="array" aca="1" ref="K7" ca="1">SUM(INDIRECT($E7&amp;"["&amp;$F7&amp;"]")*(INDIRECT($E7&amp;"[yr]")=K$5)*(INDIRECT($E7&amp;"[wk]")=K$6))</f>
        <v>45276</v>
      </c>
      <c r="L7" s="41">
        <f t="array" aca="1" ref="L7" ca="1">SUM(INDIRECT($E7&amp;"["&amp;$F7&amp;"]")*(INDIRECT($E7&amp;"[yr]")=L$5)*(INDIRECT($E7&amp;"[wk]")=L$6))</f>
        <v>45283</v>
      </c>
      <c r="M7" s="41">
        <f t="array" aca="1" ref="M7" ca="1">SUM(INDIRECT($E7&amp;"["&amp;$F7&amp;"]")*(INDIRECT($E7&amp;"[yr]")=M$5)*(INDIRECT($E7&amp;"[wk]")=M$6))</f>
        <v>45290</v>
      </c>
      <c r="N7" s="41">
        <f t="array" aca="1" ref="N7" ca="1">SUM(INDIRECT($E7&amp;"["&amp;$F7&amp;"]")*(INDIRECT($E7&amp;"[yr]")=N$5)*(INDIRECT($E7&amp;"[wk]")=N$6))</f>
        <v>44932</v>
      </c>
      <c r="O7" s="41">
        <f t="array" aca="1" ref="O7" ca="1">SUM(INDIRECT($E7&amp;"["&amp;$F7&amp;"]")*(INDIRECT($E7&amp;"[yr]")=O$5)*(INDIRECT($E7&amp;"[wk]")=O$6))</f>
        <v>44939</v>
      </c>
      <c r="P7" s="287">
        <f t="array" aca="1" ref="P7" ca="1">SUM(INDIRECT($E7&amp;"["&amp;$F7&amp;"]")*(INDIRECT($E7&amp;"[yr]")=P$5)*(INDIRECT($E7&amp;"[wk]")=P$6))</f>
        <v>44946</v>
      </c>
      <c r="Q7" s="41">
        <f t="array" aca="1" ref="Q7" ca="1">SUM(INDIRECT($E7&amp;"["&amp;$F7&amp;"]")*(INDIRECT($E7&amp;"[yr]")=Q$5)*(INDIRECT($E7&amp;"[wk]")=Q$6))</f>
        <v>44953</v>
      </c>
      <c r="R7" s="41">
        <f t="array" aca="1" ref="R7" ca="1">SUM(INDIRECT($E7&amp;"["&amp;$F7&amp;"]")*(INDIRECT($E7&amp;"[yr]")=R$5)*(INDIRECT($E7&amp;"[wk]")=R$6))</f>
        <v>44960</v>
      </c>
      <c r="S7" s="288">
        <f t="array" aca="1" ref="S7" ca="1">SUM(INDIRECT($E7&amp;"["&amp;$F7&amp;"]")*(INDIRECT($E7&amp;"[yr]")=S$5)*(INDIRECT($E7&amp;"[wk]")=S$6))</f>
        <v>44967</v>
      </c>
      <c r="T7" s="294">
        <f t="array" aca="1" ref="T7" ca="1">SUM(INDIRECT($E7&amp;"["&amp;$F7&amp;"]")*(INDIRECT($E7&amp;"[yr]")=T$5)*(INDIRECT($E7&amp;"[wk]")=T$6))</f>
        <v>44974</v>
      </c>
      <c r="U7" s="36" t="s">
        <v>62</v>
      </c>
      <c r="V7" s="42" t="s">
        <v>63</v>
      </c>
      <c r="W7" s="43" t="s">
        <v>64</v>
      </c>
      <c r="X7" s="44" t="s">
        <v>65</v>
      </c>
    </row>
    <row r="8" spans="2:24" ht="14.15" customHeight="1" x14ac:dyDescent="0.4">
      <c r="B8" s="328" t="s">
        <v>66</v>
      </c>
      <c r="D8" s="201" t="s">
        <v>527</v>
      </c>
      <c r="E8" t="s">
        <v>503</v>
      </c>
      <c r="F8" t="s">
        <v>291</v>
      </c>
      <c r="I8" s="45">
        <f t="array" aca="1" ref="I8" ca="1">IFERROR(  (SUM(INDIRECT($E8&amp;"["&amp;$F9&amp;"]")*(INDIRECT($E8&amp;"[yr]")=I$5)*(INDIRECT($E8&amp;"[wk]")=I$6)*(INDIRECT($E8&amp;"[siteflag]")=$G$2)))/
                      (SUM(INDIRECT($E8&amp;"["&amp;$F8&amp;"]")*(INDIRECT($E8&amp;"[yr]")=I$5)*(INDIRECT($E8&amp;"[wk]")=I$6)*(INDIRECT($E8&amp;"[siteflag]")=$G$2))),0)</f>
        <v>0.92400223855726238</v>
      </c>
      <c r="J8" s="45">
        <f t="array" aca="1" ref="J8" ca="1">IFERROR(  (SUM(INDIRECT($E8&amp;"["&amp;$F9&amp;"]")*(INDIRECT($E8&amp;"[yr]")=J$5)*(INDIRECT($E8&amp;"[wk]")=J$6)*(INDIRECT($E8&amp;"[siteflag]")=$G$2)))/
                      (SUM(INDIRECT($E8&amp;"["&amp;$F8&amp;"]")*(INDIRECT($E8&amp;"[yr]")=J$5)*(INDIRECT($E8&amp;"[wk]")=J$6)*(INDIRECT($E8&amp;"[siteflag]")=$G$2))),0)</f>
        <v>0.93965342089567894</v>
      </c>
      <c r="K8" s="45">
        <f t="array" aca="1" ref="K8" ca="1">IFERROR(  (SUM(INDIRECT($E8&amp;"["&amp;$F9&amp;"]")*(INDIRECT($E8&amp;"[yr]")=K$5)*(INDIRECT($E8&amp;"[wk]")=K$6)*(INDIRECT($E8&amp;"[siteflag]")=$G$2)))/
                      (SUM(INDIRECT($E8&amp;"["&amp;$F8&amp;"]")*(INDIRECT($E8&amp;"[yr]")=K$5)*(INDIRECT($E8&amp;"[wk]")=K$6)*(INDIRECT($E8&amp;"[siteflag]")=$G$2))),0)</f>
        <v>0.97567774855449829</v>
      </c>
      <c r="L8" s="45">
        <f t="array" aca="1" ref="L8" ca="1">IFERROR(  (SUM(INDIRECT($E8&amp;"["&amp;$F9&amp;"]")*(INDIRECT($E8&amp;"[yr]")=L$5)*(INDIRECT($E8&amp;"[wk]")=L$6)*(INDIRECT($E8&amp;"[siteflag]")=$G$2)))/
                      (SUM(INDIRECT($E8&amp;"["&amp;$F8&amp;"]")*(INDIRECT($E8&amp;"[yr]")=L$5)*(INDIRECT($E8&amp;"[wk]")=L$6)*(INDIRECT($E8&amp;"[siteflag]")=$G$2))),0)</f>
        <v>0.9918087396550197</v>
      </c>
      <c r="M8" s="45">
        <f t="array" aca="1" ref="M8" ca="1">IFERROR(  (SUM(INDIRECT($E8&amp;"["&amp;$F9&amp;"]")*(INDIRECT($E8&amp;"[yr]")=M$5)*(INDIRECT($E8&amp;"[wk]")=M$6)*(INDIRECT($E8&amp;"[siteflag]")=$G$2)))/
                      (SUM(INDIRECT($E8&amp;"["&amp;$F8&amp;"]")*(INDIRECT($E8&amp;"[yr]")=M$5)*(INDIRECT($E8&amp;"[wk]")=M$6)*(INDIRECT($E8&amp;"[siteflag]")=$G$2))),0)</f>
        <v>0.99013402392557881</v>
      </c>
      <c r="N8" s="45">
        <f t="array" aca="1" ref="N8" ca="1">IFERROR(  (SUM(INDIRECT($E8&amp;"["&amp;$F9&amp;"]")*(INDIRECT($E8&amp;"[yr]")=N$5)*(INDIRECT($E8&amp;"[wk]")=N$6)*(INDIRECT($E8&amp;"[siteflag]")=$G$2)))/
                      (SUM(INDIRECT($E8&amp;"["&amp;$F8&amp;"]")*(INDIRECT($E8&amp;"[yr]")=N$5)*(INDIRECT($E8&amp;"[wk]")=N$6)*(INDIRECT($E8&amp;"[siteflag]")=$G$2))),0)</f>
        <v>0.9880253981337781</v>
      </c>
      <c r="O8" s="45">
        <f t="array" aca="1" ref="O8" ca="1">IFERROR(  (SUM(INDIRECT($E8&amp;"["&amp;$F9&amp;"]")*(INDIRECT($E8&amp;"[yr]")=O$5)*(INDIRECT($E8&amp;"[wk]")=O$6)*(INDIRECT($E8&amp;"[siteflag]")=$G$2)))/
                      (SUM(INDIRECT($E8&amp;"["&amp;$F8&amp;"]")*(INDIRECT($E8&amp;"[yr]")=O$5)*(INDIRECT($E8&amp;"[wk]")=O$6)*(INDIRECT($E8&amp;"[siteflag]")=$G$2))),0)</f>
        <v>0.98128395938406732</v>
      </c>
      <c r="P8" s="47">
        <f t="array" aca="1" ref="P8" ca="1">IFERROR(  (SUM(INDIRECT($E8&amp;"["&amp;$F9&amp;"]")*(INDIRECT($E8&amp;"[yr]")=P$5)*(INDIRECT($E8&amp;"[wk]")=P$6)*(INDIRECT($E8&amp;"[siteflag]")=$G$2)))/
                      (SUM(INDIRECT($E8&amp;"["&amp;$F8&amp;"]")*(INDIRECT($E8&amp;"[yr]")=P$5)*(INDIRECT($E8&amp;"[wk]")=P$6)*(INDIRECT($E8&amp;"[siteflag]")=$G$2))),0)</f>
        <v>0.97713056353679084</v>
      </c>
      <c r="Q8" s="45">
        <f t="array" aca="1" ref="Q8" ca="1">IFERROR(  (SUM(INDIRECT($E8&amp;"["&amp;$F9&amp;"]")*(INDIRECT($E8&amp;"[yr]")=Q$5)*(INDIRECT($E8&amp;"[wk]")=Q$6)*(INDIRECT($E8&amp;"[siteflag]")=$G$2)))/
                      (SUM(INDIRECT($E8&amp;"["&amp;$F8&amp;"]")*(INDIRECT($E8&amp;"[yr]")=Q$5)*(INDIRECT($E8&amp;"[wk]")=Q$6)*(INDIRECT($E8&amp;"[siteflag]")=$G$2))),0)</f>
        <v>0.9793133633602551</v>
      </c>
      <c r="R8" s="45">
        <f t="array" aca="1" ref="R8" ca="1">IFERROR(  (SUM(INDIRECT($E8&amp;"["&amp;$F9&amp;"]")*(INDIRECT($E8&amp;"[yr]")=R$5)*(INDIRECT($E8&amp;"[wk]")=R$6)*(INDIRECT($E8&amp;"[siteflag]")=$G$2)))/
                      (SUM(INDIRECT($E8&amp;"["&amp;$F8&amp;"]")*(INDIRECT($E8&amp;"[yr]")=R$5)*(INDIRECT($E8&amp;"[wk]")=R$6)*(INDIRECT($E8&amp;"[siteflag]")=$G$2))),0)</f>
        <v>0.97359371019661423</v>
      </c>
      <c r="S8" s="163">
        <f t="array" aca="1" ref="S8" ca="1">IFERROR(  (SUM(INDIRECT($E8&amp;"["&amp;$F9&amp;"]")*(INDIRECT($E8&amp;"[yr]")=S$5)*(INDIRECT($E8&amp;"[wk]")=S$6)*(INDIRECT($E8&amp;"[siteflag]")=$G$2)))/
                      (SUM(INDIRECT($E8&amp;"["&amp;$F8&amp;"]")*(INDIRECT($E8&amp;"[yr]")=S$5)*(INDIRECT($E8&amp;"[wk]")=S$6)*(INDIRECT($E8&amp;"[siteflag]")=$G$2))),0)</f>
        <v>0.97786665224240865</v>
      </c>
      <c r="T8" s="162">
        <f t="array" aca="1" ref="T8" ca="1">IFERROR(  (SUM(INDIRECT($E8&amp;"["&amp;$F9&amp;"]")*(INDIRECT($E8&amp;"[yr]")=T$5)*(INDIRECT($E8&amp;"[wk]")=T$6)*(INDIRECT($E8&amp;"[siteflag]")=$G$2)))/
                      (SUM(INDIRECT($E8&amp;"["&amp;$F8&amp;"]")*(INDIRECT($E8&amp;"[yr]")=T$5)*(INDIRECT($E8&amp;"[wk]")=T$6)*(INDIRECT($E8&amp;"[siteflag]")=$G$2))),0)</f>
        <v>0.9743802843101369</v>
      </c>
      <c r="U8" s="46">
        <f t="array" aca="1" ref="U8" ca="1">SUM(Q8:T8*Q69:T69)/SUM(Q69:T69)</f>
        <v>0.97623643665150239</v>
      </c>
      <c r="V8" s="47">
        <f ca="1">SUM(T8/S8)-1</f>
        <v>-3.5652795033729312E-3</v>
      </c>
      <c r="W8" s="219">
        <v>0.99</v>
      </c>
      <c r="X8" s="49"/>
    </row>
    <row r="9" spans="2:24" ht="14.15" customHeight="1" x14ac:dyDescent="0.4">
      <c r="B9" s="329"/>
      <c r="D9" s="202" t="s">
        <v>67</v>
      </c>
      <c r="E9" s="40"/>
      <c r="F9" s="40" t="s">
        <v>372</v>
      </c>
      <c r="G9" s="40"/>
      <c r="H9" s="40"/>
      <c r="I9" s="226">
        <f t="array" aca="1" ref="I9" ca="1">IFERROR(  I8/((SUM(INDIRECT($E8&amp;"["&amp;$F9&amp;"]")*(INDIRECT($E8&amp;"[yr]")=I$5-1)*(INDIRECT($E8&amp;"[wk]")=I$6)*(INDIRECT($E8&amp;"[siteflag]")=$G$2)))/
                      (SUM(INDIRECT($E8&amp;"["&amp;$F8&amp;"]")*(INDIRECT($E8&amp;"[yr]")=I$5-1)*(INDIRECT($E8&amp;"[wk]")=I$6)*(INDIRECT($E8&amp;"[siteflag]")=$G$2))))-1,0)</f>
        <v>-3.8752412081856757E-2</v>
      </c>
      <c r="J9" s="226">
        <f t="array" aca="1" ref="J9" ca="1">IFERROR(  J8/((SUM(INDIRECT($E8&amp;"["&amp;$F9&amp;"]")*(INDIRECT($E8&amp;"[yr]")=J$5-1)*(INDIRECT($E8&amp;"[wk]")=J$6)*(INDIRECT($E8&amp;"[siteflag]")=$G$2)))/
                      (SUM(INDIRECT($E8&amp;"["&amp;$F8&amp;"]")*(INDIRECT($E8&amp;"[yr]")=J$5-1)*(INDIRECT($E8&amp;"[wk]")=J$6)*(INDIRECT($E8&amp;"[siteflag]")=$G$2))))-1,0)</f>
        <v>-3.1813587162436319E-2</v>
      </c>
      <c r="K9" s="226">
        <f t="array" aca="1" ref="K9" ca="1">IFERROR(  K8/((SUM(INDIRECT($E8&amp;"["&amp;$F9&amp;"]")*(INDIRECT($E8&amp;"[yr]")=K$5-1)*(INDIRECT($E8&amp;"[wk]")=K$6)*(INDIRECT($E8&amp;"[siteflag]")=$G$2)))/
                      (SUM(INDIRECT($E8&amp;"["&amp;$F8&amp;"]")*(INDIRECT($E8&amp;"[yr]")=K$5-1)*(INDIRECT($E8&amp;"[wk]")=K$6)*(INDIRECT($E8&amp;"[siteflag]")=$G$2))))-1,0)</f>
        <v>-1.1190576324009216E-2</v>
      </c>
      <c r="L9" s="226">
        <f t="array" aca="1" ref="L9" ca="1">IFERROR(  L8/((SUM(INDIRECT($E8&amp;"["&amp;$F9&amp;"]")*(INDIRECT($E8&amp;"[yr]")=L$5-1)*(INDIRECT($E8&amp;"[wk]")=L$6)*(INDIRECT($E8&amp;"[siteflag]")=$G$2)))/
                      (SUM(INDIRECT($E8&amp;"["&amp;$F8&amp;"]")*(INDIRECT($E8&amp;"[yr]")=L$5-1)*(INDIRECT($E8&amp;"[wk]")=L$6)*(INDIRECT($E8&amp;"[siteflag]")=$G$2))))-1,0)</f>
        <v>2.8980221528214001E-2</v>
      </c>
      <c r="M9" s="226">
        <f t="array" aca="1" ref="M9" ca="1">IFERROR(  M8/((SUM(INDIRECT($E8&amp;"["&amp;$F9&amp;"]")*(INDIRECT($E8&amp;"[yr]")=M$5-1)*(INDIRECT($E8&amp;"[wk]")=M$6)*(INDIRECT($E8&amp;"[siteflag]")=$G$2)))/
                      (SUM(INDIRECT($E8&amp;"["&amp;$F8&amp;"]")*(INDIRECT($E8&amp;"[yr]")=M$5-1)*(INDIRECT($E8&amp;"[wk]")=M$6)*(INDIRECT($E8&amp;"[siteflag]")=$G$2))))-1,0)</f>
        <v>3.6594757420094215E-2</v>
      </c>
      <c r="N9" s="226">
        <f t="array" aca="1" ref="N9" ca="1">IFERROR(  N8/((SUM(INDIRECT($E8&amp;"["&amp;$F9&amp;"]")*(INDIRECT($E8&amp;"[yr]")=N$5-1)*(INDIRECT($E8&amp;"[wk]")=N$6)*(INDIRECT($E8&amp;"[siteflag]")=$G$2)))/
                      (SUM(INDIRECT($E8&amp;"["&amp;$F8&amp;"]")*(INDIRECT($E8&amp;"[yr]")=N$5-1)*(INDIRECT($E8&amp;"[wk]")=N$6)*(INDIRECT($E8&amp;"[siteflag]")=$G$2))))-1,0)</f>
        <v>4.9053299797734207E-2</v>
      </c>
      <c r="O9" s="226">
        <f t="array" aca="1" ref="O9" ca="1">IFERROR(  O8/((SUM(INDIRECT($E8&amp;"["&amp;$F9&amp;"]")*(INDIRECT($E8&amp;"[yr]")=O$5-1)*(INDIRECT($E8&amp;"[wk]")=O$6)*(INDIRECT($E8&amp;"[siteflag]")=$G$2)))/
                      (SUM(INDIRECT($E8&amp;"["&amp;$F8&amp;"]")*(INDIRECT($E8&amp;"[yr]")=O$5-1)*(INDIRECT($E8&amp;"[wk]")=O$6)*(INDIRECT($E8&amp;"[siteflag]")=$G$2))))-1,0)</f>
        <v>0.15267658142485208</v>
      </c>
      <c r="P9" s="227">
        <f t="array" aca="1" ref="P9" ca="1">IFERROR(  P8/((SUM(INDIRECT($E8&amp;"["&amp;$F9&amp;"]")*(INDIRECT($E8&amp;"[yr]")=P$5-1)*(INDIRECT($E8&amp;"[wk]")=P$6)*(INDIRECT($E8&amp;"[siteflag]")=$G$2)))/
                      (SUM(INDIRECT($E8&amp;"["&amp;$F8&amp;"]")*(INDIRECT($E8&amp;"[yr]")=P$5-1)*(INDIRECT($E8&amp;"[wk]")=P$6)*(INDIRECT($E8&amp;"[siteflag]")=$G$2))))-1,0)</f>
        <v>3.4560925163299228E-2</v>
      </c>
      <c r="Q9" s="226">
        <f t="array" aca="1" ref="Q9" ca="1">IFERROR(  Q8/((SUM(INDIRECT($E8&amp;"["&amp;$F9&amp;"]")*(INDIRECT($E8&amp;"[yr]")=Q$5-1)*(INDIRECT($E8&amp;"[wk]")=Q$6)*(INDIRECT($E8&amp;"[siteflag]")=$G$2)))/
                      (SUM(INDIRECT($E8&amp;"["&amp;$F8&amp;"]")*(INDIRECT($E8&amp;"[yr]")=Q$5-1)*(INDIRECT($E8&amp;"[wk]")=Q$6)*(INDIRECT($E8&amp;"[siteflag]")=$G$2))))-1,0)</f>
        <v>3.9912917510704027E-2</v>
      </c>
      <c r="R9" s="226">
        <f t="array" aca="1" ref="R9" ca="1">IFERROR(  R8/((SUM(INDIRECT($E8&amp;"["&amp;$F9&amp;"]")*(INDIRECT($E8&amp;"[yr]")=R$5-1)*(INDIRECT($E8&amp;"[wk]")=R$6)*(INDIRECT($E8&amp;"[siteflag]")=$G$2)))/
                      (SUM(INDIRECT($E8&amp;"["&amp;$F8&amp;"]")*(INDIRECT($E8&amp;"[yr]")=R$5-1)*(INDIRECT($E8&amp;"[wk]")=R$6)*(INDIRECT($E8&amp;"[siteflag]")=$G$2))))-1,0)</f>
        <v>7.5186295619279697E-2</v>
      </c>
      <c r="S9" s="66">
        <f t="array" aca="1" ref="S9" ca="1">IFERROR(  S8/((SUM(INDIRECT($E8&amp;"["&amp;$F9&amp;"]")*(INDIRECT($E8&amp;"[yr]")=S$5-1)*(INDIRECT($E8&amp;"[wk]")=S$6)*(INDIRECT($E8&amp;"[siteflag]")=$G$2)))/
                      (SUM(INDIRECT($E8&amp;"["&amp;$F8&amp;"]")*(INDIRECT($E8&amp;"[yr]")=S$5-1)*(INDIRECT($E8&amp;"[wk]")=S$6)*(INDIRECT($E8&amp;"[siteflag]")=$G$2))))-1,0)</f>
        <v>4.5010608707753974E-2</v>
      </c>
      <c r="T9" s="50">
        <f t="array" aca="1" ref="T9" ca="1">IFERROR(  T8/((SUM(INDIRECT($E8&amp;"["&amp;$F9&amp;"]")*(INDIRECT($E8&amp;"[yr]")=T$5-1)*(INDIRECT($E8&amp;"[wk]")=T$6)*(INDIRECT($E8&amp;"[siteflag]")=$G$2)))/
                      (SUM(INDIRECT($E8&amp;"["&amp;$F8&amp;"]")*(INDIRECT($E8&amp;"[yr]")=T$5-1)*(INDIRECT($E8&amp;"[wk]")=T$6)*(INDIRECT($E8&amp;"[siteflag]")=$G$2))))-1,0)</f>
        <v>1.3830898283085258E-2</v>
      </c>
      <c r="U9" s="53">
        <f t="array" aca="1" ref="U9" ca="1">SUM(Q9:T9*Q69:T69)/SUM(Q69:T69)</f>
        <v>4.3770435047824352E-2</v>
      </c>
      <c r="V9" s="54"/>
      <c r="W9" s="55"/>
      <c r="X9" s="56"/>
    </row>
    <row r="10" spans="2:24" ht="3" customHeight="1" x14ac:dyDescent="0.4">
      <c r="B10" s="329"/>
      <c r="D10" s="61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61"/>
      <c r="Q10" s="57"/>
      <c r="R10" s="57"/>
      <c r="S10" s="149"/>
      <c r="T10" s="149"/>
      <c r="U10" s="60"/>
      <c r="V10" s="61"/>
      <c r="W10" s="62"/>
      <c r="X10" s="61"/>
    </row>
    <row r="11" spans="2:24" ht="14.15" customHeight="1" x14ac:dyDescent="0.4">
      <c r="B11" s="329"/>
      <c r="D11" s="203" t="s">
        <v>528</v>
      </c>
      <c r="E11" t="s">
        <v>514</v>
      </c>
      <c r="F11" t="s">
        <v>291</v>
      </c>
      <c r="I11" s="45">
        <f t="array" aca="1" ref="I11" ca="1">IFERROR(  (SUM(INDIRECT($E11&amp;"["&amp;$F12&amp;"]")*(INDIRECT($E11&amp;"[yr]")=I$5)*(INDIRECT($E11&amp;"[wk]")=I$6)*(INDIRECT($E11&amp;"[siteflag]")=$G$2)))/
                      (SUM(INDIRECT($E11&amp;"["&amp;$F11&amp;"]")*(INDIRECT($E11&amp;"[yr]")=I$5)*(INDIRECT($E11&amp;"[wk]")=I$6)*(INDIRECT($E11&amp;"[siteflag]")=$G$2))),0)</f>
        <v>0.95037261354469438</v>
      </c>
      <c r="J11" s="45">
        <f t="array" aca="1" ref="J11" ca="1">IFERROR(  (SUM(INDIRECT($E11&amp;"["&amp;$F12&amp;"]")*(INDIRECT($E11&amp;"[yr]")=J$5)*(INDIRECT($E11&amp;"[wk]")=J$6)*(INDIRECT($E11&amp;"[siteflag]")=$G$2)))/
                      (SUM(INDIRECT($E11&amp;"["&amp;$F11&amp;"]")*(INDIRECT($E11&amp;"[yr]")=J$5)*(INDIRECT($E11&amp;"[wk]")=J$6)*(INDIRECT($E11&amp;"[siteflag]")=$G$2))),0)</f>
        <v>0.9592293051100852</v>
      </c>
      <c r="K11" s="45">
        <f t="array" aca="1" ref="K11" ca="1">IFERROR(  (SUM(INDIRECT($E11&amp;"["&amp;$F12&amp;"]")*(INDIRECT($E11&amp;"[yr]")=K$5)*(INDIRECT($E11&amp;"[wk]")=K$6)*(INDIRECT($E11&amp;"[siteflag]")=$G$2)))/
                      (SUM(INDIRECT($E11&amp;"["&amp;$F11&amp;"]")*(INDIRECT($E11&amp;"[yr]")=K$5)*(INDIRECT($E11&amp;"[wk]")=K$6)*(INDIRECT($E11&amp;"[siteflag]")=$G$2))),0)</f>
        <v>0.9882217114162809</v>
      </c>
      <c r="L11" s="45">
        <f t="array" aca="1" ref="L11" ca="1">IFERROR(  (SUM(INDIRECT($E11&amp;"["&amp;$F12&amp;"]")*(INDIRECT($E11&amp;"[yr]")=L$5)*(INDIRECT($E11&amp;"[wk]")=L$6)*(INDIRECT($E11&amp;"[siteflag]")=$G$2)))/
                      (SUM(INDIRECT($E11&amp;"["&amp;$F11&amp;"]")*(INDIRECT($E11&amp;"[yr]")=L$5)*(INDIRECT($E11&amp;"[wk]")=L$6)*(INDIRECT($E11&amp;"[siteflag]")=$G$2))),0)</f>
        <v>0.99597088640499087</v>
      </c>
      <c r="M11" s="45">
        <f t="array" aca="1" ref="M11" ca="1">IFERROR(  (SUM(INDIRECT($E11&amp;"["&amp;$F12&amp;"]")*(INDIRECT($E11&amp;"[yr]")=M$5)*(INDIRECT($E11&amp;"[wk]")=M$6)*(INDIRECT($E11&amp;"[siteflag]")=$G$2)))/
                      (SUM(INDIRECT($E11&amp;"["&amp;$F11&amp;"]")*(INDIRECT($E11&amp;"[yr]")=M$5)*(INDIRECT($E11&amp;"[wk]")=M$6)*(INDIRECT($E11&amp;"[siteflag]")=$G$2))),0)</f>
        <v>0.99667570051984278</v>
      </c>
      <c r="N11" s="45">
        <f t="array" aca="1" ref="N11" ca="1">IFERROR(  (SUM(INDIRECT($E11&amp;"["&amp;$F12&amp;"]")*(INDIRECT($E11&amp;"[yr]")=N$5)*(INDIRECT($E11&amp;"[wk]")=N$6)*(INDIRECT($E11&amp;"[siteflag]")=$G$2)))/
                      (SUM(INDIRECT($E11&amp;"["&amp;$F11&amp;"]")*(INDIRECT($E11&amp;"[yr]")=N$5)*(INDIRECT($E11&amp;"[wk]")=N$6)*(INDIRECT($E11&amp;"[siteflag]")=$G$2))),0)</f>
        <v>0.99530827165726588</v>
      </c>
      <c r="O11" s="45">
        <f t="array" aca="1" ref="O11" ca="1">IFERROR(  (SUM(INDIRECT($E11&amp;"["&amp;$F12&amp;"]")*(INDIRECT($E11&amp;"[yr]")=O$5)*(INDIRECT($E11&amp;"[wk]")=O$6)*(INDIRECT($E11&amp;"[siteflag]")=$G$2)))/
                      (SUM(INDIRECT($E11&amp;"["&amp;$F11&amp;"]")*(INDIRECT($E11&amp;"[yr]")=O$5)*(INDIRECT($E11&amp;"[wk]")=O$6)*(INDIRECT($E11&amp;"[siteflag]")=$G$2))),0)</f>
        <v>0.99075296055836526</v>
      </c>
      <c r="P11" s="47">
        <f t="array" aca="1" ref="P11" ca="1">IFERROR(  (SUM(INDIRECT($E11&amp;"["&amp;$F12&amp;"]")*(INDIRECT($E11&amp;"[yr]")=P$5)*(INDIRECT($E11&amp;"[wk]")=P$6)*(INDIRECT($E11&amp;"[siteflag]")=$G$2)))/
                      (SUM(INDIRECT($E11&amp;"["&amp;$F11&amp;"]")*(INDIRECT($E11&amp;"[yr]")=P$5)*(INDIRECT($E11&amp;"[wk]")=P$6)*(INDIRECT($E11&amp;"[siteflag]")=$G$2))),0)</f>
        <v>0.98739392694298445</v>
      </c>
      <c r="Q11" s="45">
        <f t="array" aca="1" ref="Q11" ca="1">IFERROR(  (SUM(INDIRECT($E11&amp;"["&amp;$F12&amp;"]")*(INDIRECT($E11&amp;"[yr]")=Q$5)*(INDIRECT($E11&amp;"[wk]")=Q$6)*(INDIRECT($E11&amp;"[siteflag]")=$G$2)))/
                      (SUM(INDIRECT($E11&amp;"["&amp;$F11&amp;"]")*(INDIRECT($E11&amp;"[yr]")=Q$5)*(INDIRECT($E11&amp;"[wk]")=Q$6)*(INDIRECT($E11&amp;"[siteflag]")=$G$2))),0)</f>
        <v>0.99023771128232696</v>
      </c>
      <c r="R11" s="45">
        <f t="array" aca="1" ref="R11" ca="1">IFERROR(  (SUM(INDIRECT($E11&amp;"["&amp;$F12&amp;"]")*(INDIRECT($E11&amp;"[yr]")=R$5)*(INDIRECT($E11&amp;"[wk]")=R$6)*(INDIRECT($E11&amp;"[siteflag]")=$G$2)))/
                      (SUM(INDIRECT($E11&amp;"["&amp;$F11&amp;"]")*(INDIRECT($E11&amp;"[yr]")=R$5)*(INDIRECT($E11&amp;"[wk]")=R$6)*(INDIRECT($E11&amp;"[siteflag]")=$G$2))),0)</f>
        <v>0.98148493665055481</v>
      </c>
      <c r="S11" s="164">
        <f t="array" aca="1" ref="S11" ca="1">IFERROR(  (SUM(INDIRECT($E11&amp;"["&amp;$F12&amp;"]")*(INDIRECT($E11&amp;"[yr]")=S$5)*(INDIRECT($E11&amp;"[wk]")=S$6)*(INDIRECT($E11&amp;"[siteflag]")=$G$2)))/
                      (SUM(INDIRECT($E11&amp;"["&amp;$F11&amp;"]")*(INDIRECT($E11&amp;"[yr]")=S$5)*(INDIRECT($E11&amp;"[wk]")=S$6)*(INDIRECT($E11&amp;"[siteflag]")=$G$2))),0)</f>
        <v>0.99053887845161992</v>
      </c>
      <c r="T11" s="162">
        <f t="array" aca="1" ref="T11" ca="1">IFERROR(  (SUM(INDIRECT($E11&amp;"["&amp;$F12&amp;"]")*(INDIRECT($E11&amp;"[yr]")=T$5)*(INDIRECT($E11&amp;"[wk]")=T$6)*(INDIRECT($E11&amp;"[siteflag]")=$G$2)))/
                      (SUM(INDIRECT($E11&amp;"["&amp;$F11&amp;"]")*(INDIRECT($E11&amp;"[yr]")=T$5)*(INDIRECT($E11&amp;"[wk]")=T$6)*(INDIRECT($E11&amp;"[siteflag]")=$G$2))),0)</f>
        <v>0.98371285147866572</v>
      </c>
      <c r="U11" s="46">
        <f t="array" aca="1" ref="U11" ca="1">SUM(Q11:T11*Q69:T69)/SUM(Q69:T69)</f>
        <v>0.98635702110282442</v>
      </c>
      <c r="V11" s="47">
        <f ca="1">SUM(T11/S11)-1</f>
        <v>-6.8912256968898244E-3</v>
      </c>
      <c r="W11" s="48">
        <v>0.995</v>
      </c>
      <c r="X11" s="49"/>
    </row>
    <row r="12" spans="2:24" ht="14.15" customHeight="1" x14ac:dyDescent="0.4">
      <c r="B12" s="329"/>
      <c r="D12" s="202" t="s">
        <v>67</v>
      </c>
      <c r="E12" s="40"/>
      <c r="F12" s="40" t="s">
        <v>372</v>
      </c>
      <c r="G12" s="40"/>
      <c r="H12" s="40"/>
      <c r="I12" s="50">
        <f t="array" aca="1" ref="I12" ca="1">IFERROR(  I11/((SUM(INDIRECT($E11&amp;"["&amp;$F12&amp;"]")*(INDIRECT($E11&amp;"[yr]")=I$5-1)*(INDIRECT($E11&amp;"[wk]")=I$6)*(INDIRECT($E11&amp;"[siteflag]")=$G$2)))/
                      (SUM(INDIRECT($E11&amp;"["&amp;$F11&amp;"]")*(INDIRECT($E11&amp;"[yr]")=I$5-1)*(INDIRECT($E11&amp;"[wk]")=I$6)*(INDIRECT($E11&amp;"[siteflag]")=$G$2))))-1,0)</f>
        <v>-2.9481896910140692E-2</v>
      </c>
      <c r="J12" s="50">
        <f t="array" aca="1" ref="J12" ca="1">IFERROR(  J11/((SUM(INDIRECT($E11&amp;"["&amp;$F12&amp;"]")*(INDIRECT($E11&amp;"[yr]")=J$5-1)*(INDIRECT($E11&amp;"[wk]")=J$6)*(INDIRECT($E11&amp;"[siteflag]")=$G$2)))/
                      (SUM(INDIRECT($E11&amp;"["&amp;$F11&amp;"]")*(INDIRECT($E11&amp;"[yr]")=J$5-1)*(INDIRECT($E11&amp;"[wk]")=J$6)*(INDIRECT($E11&amp;"[siteflag]")=$G$2))))-1,0)</f>
        <v>-2.7963698434936402E-2</v>
      </c>
      <c r="K12" s="50">
        <f t="array" aca="1" ref="K12" ca="1">IFERROR(  K11/((SUM(INDIRECT($E11&amp;"["&amp;$F12&amp;"]")*(INDIRECT($E11&amp;"[yr]")=K$5-1)*(INDIRECT($E11&amp;"[wk]")=K$6)*(INDIRECT($E11&amp;"[siteflag]")=$G$2)))/
                      (SUM(INDIRECT($E11&amp;"["&amp;$F11&amp;"]")*(INDIRECT($E11&amp;"[yr]")=K$5-1)*(INDIRECT($E11&amp;"[wk]")=K$6)*(INDIRECT($E11&amp;"[siteflag]")=$G$2))))-1,0)</f>
        <v>-3.723417669661333E-3</v>
      </c>
      <c r="L12" s="50">
        <f t="array" aca="1" ref="L12" ca="1">IFERROR(  L11/((SUM(INDIRECT($E11&amp;"["&amp;$F12&amp;"]")*(INDIRECT($E11&amp;"[yr]")=L$5-1)*(INDIRECT($E11&amp;"[wk]")=L$6)*(INDIRECT($E11&amp;"[siteflag]")=$G$2)))/
                      (SUM(INDIRECT($E11&amp;"["&amp;$F11&amp;"]")*(INDIRECT($E11&amp;"[yr]")=L$5-1)*(INDIRECT($E11&amp;"[wk]")=L$6)*(INDIRECT($E11&amp;"[siteflag]")=$G$2))))-1,0)</f>
        <v>2.0969133002001872E-2</v>
      </c>
      <c r="M12" s="50">
        <f t="array" aca="1" ref="M12" ca="1">IFERROR(  M11/((SUM(INDIRECT($E11&amp;"["&amp;$F12&amp;"]")*(INDIRECT($E11&amp;"[yr]")=M$5-1)*(INDIRECT($E11&amp;"[wk]")=M$6)*(INDIRECT($E11&amp;"[siteflag]")=$G$2)))/
                      (SUM(INDIRECT($E11&amp;"["&amp;$F11&amp;"]")*(INDIRECT($E11&amp;"[yr]")=M$5-1)*(INDIRECT($E11&amp;"[wk]")=M$6)*(INDIRECT($E11&amp;"[siteflag]")=$G$2))))-1,0)</f>
        <v>3.0122469605386115E-2</v>
      </c>
      <c r="N12" s="50">
        <f t="array" aca="1" ref="N12" ca="1">IFERROR(  N11/((SUM(INDIRECT($E11&amp;"["&amp;$F12&amp;"]")*(INDIRECT($E11&amp;"[yr]")=N$5-1)*(INDIRECT($E11&amp;"[wk]")=N$6)*(INDIRECT($E11&amp;"[siteflag]")=$G$2)))/
                      (SUM(INDIRECT($E11&amp;"["&amp;$F11&amp;"]")*(INDIRECT($E11&amp;"[yr]")=N$5-1)*(INDIRECT($E11&amp;"[wk]")=N$6)*(INDIRECT($E11&amp;"[siteflag]")=$G$2))))-1,0)</f>
        <v>1.7748001308802941E-2</v>
      </c>
      <c r="O12" s="50">
        <f t="array" aca="1" ref="O12" ca="1">IFERROR(  O11/((SUM(INDIRECT($E11&amp;"["&amp;$F12&amp;"]")*(INDIRECT($E11&amp;"[yr]")=O$5-1)*(INDIRECT($E11&amp;"[wk]")=O$6)*(INDIRECT($E11&amp;"[siteflag]")=$G$2)))/
                      (SUM(INDIRECT($E11&amp;"["&amp;$F11&amp;"]")*(INDIRECT($E11&amp;"[yr]")=O$5-1)*(INDIRECT($E11&amp;"[wk]")=O$6)*(INDIRECT($E11&amp;"[siteflag]")=$G$2))))-1,0)</f>
        <v>0.11472100493454662</v>
      </c>
      <c r="P12" s="54">
        <f t="array" aca="1" ref="P12" ca="1">IFERROR(  P11/((SUM(INDIRECT($E11&amp;"["&amp;$F12&amp;"]")*(INDIRECT($E11&amp;"[yr]")=P$5-1)*(INDIRECT($E11&amp;"[wk]")=P$6)*(INDIRECT($E11&amp;"[siteflag]")=$G$2)))/
                      (SUM(INDIRECT($E11&amp;"["&amp;$F11&amp;"]")*(INDIRECT($E11&amp;"[yr]")=P$5-1)*(INDIRECT($E11&amp;"[wk]")=P$6)*(INDIRECT($E11&amp;"[siteflag]")=$G$2))))-1,0)</f>
        <v>3.0170831133607301E-2</v>
      </c>
      <c r="Q12" s="50">
        <f t="array" aca="1" ref="Q12" ca="1">IFERROR(  Q11/((SUM(INDIRECT($E11&amp;"["&amp;$F12&amp;"]")*(INDIRECT($E11&amp;"[yr]")=Q$5-1)*(INDIRECT($E11&amp;"[wk]")=Q$6)*(INDIRECT($E11&amp;"[siteflag]")=$G$2)))/
                      (SUM(INDIRECT($E11&amp;"["&amp;$F11&amp;"]")*(INDIRECT($E11&amp;"[yr]")=Q$5-1)*(INDIRECT($E11&amp;"[wk]")=Q$6)*(INDIRECT($E11&amp;"[siteflag]")=$G$2))))-1,0)</f>
        <v>1.8299771524790565E-2</v>
      </c>
      <c r="R12" s="50">
        <f t="array" aca="1" ref="R12" ca="1">IFERROR(  R11/((SUM(INDIRECT($E11&amp;"["&amp;$F12&amp;"]")*(INDIRECT($E11&amp;"[yr]")=R$5-1)*(INDIRECT($E11&amp;"[wk]")=R$6)*(INDIRECT($E11&amp;"[siteflag]")=$G$2)))/
                      (SUM(INDIRECT($E11&amp;"["&amp;$F11&amp;"]")*(INDIRECT($E11&amp;"[yr]")=R$5-1)*(INDIRECT($E11&amp;"[wk]")=R$6)*(INDIRECT($E11&amp;"[siteflag]")=$G$2))))-1,0)</f>
        <v>5.0160759621054485E-2</v>
      </c>
      <c r="S12" s="66">
        <f t="array" aca="1" ref="S12" ca="1">IFERROR(  S11/((SUM(INDIRECT($E11&amp;"["&amp;$F12&amp;"]")*(INDIRECT($E11&amp;"[yr]")=S$5-1)*(INDIRECT($E11&amp;"[wk]")=S$6)*(INDIRECT($E11&amp;"[siteflag]")=$G$2)))/
                      (SUM(INDIRECT($E11&amp;"["&amp;$F11&amp;"]")*(INDIRECT($E11&amp;"[yr]")=S$5-1)*(INDIRECT($E11&amp;"[wk]")=S$6)*(INDIRECT($E11&amp;"[siteflag]")=$G$2))))-1,0)</f>
        <v>3.0644911615084647E-2</v>
      </c>
      <c r="T12" s="50">
        <f t="array" aca="1" ref="T12" ca="1">IFERROR(  T11/((SUM(INDIRECT($E11&amp;"["&amp;$F12&amp;"]")*(INDIRECT($E11&amp;"[yr]")=T$5-1)*(INDIRECT($E11&amp;"[wk]")=T$6)*(INDIRECT($E11&amp;"[siteflag]")=$G$2)))/
                      (SUM(INDIRECT($E11&amp;"["&amp;$F11&amp;"]")*(INDIRECT($E11&amp;"[yr]")=T$5-1)*(INDIRECT($E11&amp;"[wk]")=T$6)*(INDIRECT($E11&amp;"[siteflag]")=$G$2))))-1,0)</f>
        <v>1.3367843801818768E-2</v>
      </c>
      <c r="U12" s="53">
        <f t="array" aca="1" ref="U12" ca="1">SUM(Q12:T12*Q69:T69)/SUM(Q69:T69)</f>
        <v>2.8235326624474397E-2</v>
      </c>
      <c r="V12" s="54"/>
      <c r="W12" s="55"/>
      <c r="X12" s="56"/>
    </row>
    <row r="13" spans="2:24" ht="3" customHeight="1" x14ac:dyDescent="0.4">
      <c r="B13" s="329"/>
      <c r="D13" s="61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61"/>
      <c r="Q13" s="57"/>
      <c r="R13" s="57"/>
      <c r="S13" s="149"/>
      <c r="T13" s="149"/>
      <c r="U13" s="60"/>
      <c r="V13" s="61"/>
      <c r="W13" s="62"/>
      <c r="X13" s="61"/>
    </row>
    <row r="14" spans="2:24" ht="14.15" customHeight="1" x14ac:dyDescent="0.4">
      <c r="B14" s="329"/>
      <c r="D14" s="270" t="s">
        <v>529</v>
      </c>
      <c r="E14" t="s">
        <v>517</v>
      </c>
      <c r="F14" t="s">
        <v>291</v>
      </c>
      <c r="I14" s="45">
        <f t="array" aca="1" ref="I14" ca="1">IFERROR(  (SUM(INDIRECT($E14&amp;"["&amp;$F15&amp;"]")*(INDIRECT($E14&amp;"[yr]")=I$5)*(INDIRECT($E14&amp;"[wk]")=I$6)*(INDIRECT($E14&amp;"[siteflag]")=$G$2)))/
                      (SUM(INDIRECT($E14&amp;"["&amp;$F14&amp;"]")*(INDIRECT($E14&amp;"[yr]")=I$5)*(INDIRECT($E14&amp;"[wk]")=I$6)*(INDIRECT($E14&amp;"[siteflag]")=$G$2))),0)</f>
        <v>0.90798290508098978</v>
      </c>
      <c r="J14" s="45">
        <f t="array" aca="1" ref="J14" ca="1">IFERROR(  (SUM(INDIRECT($E14&amp;"["&amp;$F15&amp;"]")*(INDIRECT($E14&amp;"[yr]")=J$5)*(INDIRECT($E14&amp;"[wk]")=J$6)*(INDIRECT($E14&amp;"[siteflag]")=$G$2)))/
                      (SUM(INDIRECT($E14&amp;"["&amp;$F14&amp;"]")*(INDIRECT($E14&amp;"[yr]")=J$5)*(INDIRECT($E14&amp;"[wk]")=J$6)*(INDIRECT($E14&amp;"[siteflag]")=$G$2))),0)</f>
        <v>0.93493794659646479</v>
      </c>
      <c r="K14" s="45">
        <f t="array" aca="1" ref="K14" ca="1">IFERROR(  (SUM(INDIRECT($E14&amp;"["&amp;$F15&amp;"]")*(INDIRECT($E14&amp;"[yr]")=K$5)*(INDIRECT($E14&amp;"[wk]")=K$6)*(INDIRECT($E14&amp;"[siteflag]")=$G$2)))/
                      (SUM(INDIRECT($E14&amp;"["&amp;$F14&amp;"]")*(INDIRECT($E14&amp;"[yr]")=K$5)*(INDIRECT($E14&amp;"[wk]")=K$6)*(INDIRECT($E14&amp;"[siteflag]")=$G$2))),0)</f>
        <v>0.95465654185214277</v>
      </c>
      <c r="L14" s="45">
        <f t="array" aca="1" ref="L14" ca="1">IFERROR(  (SUM(INDIRECT($E14&amp;"["&amp;$F15&amp;"]")*(INDIRECT($E14&amp;"[yr]")=L$5)*(INDIRECT($E14&amp;"[wk]")=L$6)*(INDIRECT($E14&amp;"[siteflag]")=$G$2)))/
                      (SUM(INDIRECT($E14&amp;"["&amp;$F14&amp;"]")*(INDIRECT($E14&amp;"[yr]")=L$5)*(INDIRECT($E14&amp;"[wk]")=L$6)*(INDIRECT($E14&amp;"[siteflag]")=$G$2))),0)</f>
        <v>0.98658256880733941</v>
      </c>
      <c r="M14" s="45">
        <f t="array" aca="1" ref="M14" ca="1">IFERROR(  (SUM(INDIRECT($E14&amp;"["&amp;$F15&amp;"]")*(INDIRECT($E14&amp;"[yr]")=M$5)*(INDIRECT($E14&amp;"[wk]")=M$6)*(INDIRECT($E14&amp;"[siteflag]")=$G$2)))/
                      (SUM(INDIRECT($E14&amp;"["&amp;$F14&amp;"]")*(INDIRECT($E14&amp;"[yr]")=M$5)*(INDIRECT($E14&amp;"[wk]")=M$6)*(INDIRECT($E14&amp;"[siteflag]")=$G$2))),0)</f>
        <v>0.97352276396512749</v>
      </c>
      <c r="N14" s="45">
        <f t="array" aca="1" ref="N14" ca="1">IFERROR(  (SUM(INDIRECT($E14&amp;"["&amp;$F15&amp;"]")*(INDIRECT($E14&amp;"[yr]")=N$5)*(INDIRECT($E14&amp;"[wk]")=N$6)*(INDIRECT($E14&amp;"[siteflag]")=$G$2)))/
                      (SUM(INDIRECT($E14&amp;"["&amp;$F14&amp;"]")*(INDIRECT($E14&amp;"[yr]")=N$5)*(INDIRECT($E14&amp;"[wk]")=N$6)*(INDIRECT($E14&amp;"[siteflag]")=$G$2))),0)</f>
        <v>0.96514654294443813</v>
      </c>
      <c r="O14" s="45">
        <f t="array" aca="1" ref="O14" ca="1">IFERROR(  (SUM(INDIRECT($E14&amp;"["&amp;$F15&amp;"]")*(INDIRECT($E14&amp;"[yr]")=O$5)*(INDIRECT($E14&amp;"[wk]")=O$6)*(INDIRECT($E14&amp;"[siteflag]")=$G$2)))/
                      (SUM(INDIRECT($E14&amp;"["&amp;$F14&amp;"]")*(INDIRECT($E14&amp;"[yr]")=O$5)*(INDIRECT($E14&amp;"[wk]")=O$6)*(INDIRECT($E14&amp;"[siteflag]")=$G$2))),0)</f>
        <v>0.95558858501783595</v>
      </c>
      <c r="P14" s="47">
        <f t="array" aca="1" ref="P14" ca="1">IFERROR(  (SUM(INDIRECT($E14&amp;"["&amp;$F15&amp;"]")*(INDIRECT($E14&amp;"[yr]")=P$5)*(INDIRECT($E14&amp;"[wk]")=P$6)*(INDIRECT($E14&amp;"[siteflag]")=$G$2)))/
                      (SUM(INDIRECT($E14&amp;"["&amp;$F14&amp;"]")*(INDIRECT($E14&amp;"[yr]")=P$5)*(INDIRECT($E14&amp;"[wk]")=P$6)*(INDIRECT($E14&amp;"[siteflag]")=$G$2))),0)</f>
        <v>0.94602903501280955</v>
      </c>
      <c r="Q14" s="45">
        <f t="array" aca="1" ref="Q14" ca="1">IFERROR(  (SUM(INDIRECT($E14&amp;"["&amp;$F15&amp;"]")*(INDIRECT($E14&amp;"[yr]")=Q$5)*(INDIRECT($E14&amp;"[wk]")=Q$6)*(INDIRECT($E14&amp;"[siteflag]")=$G$2)))/
                      (SUM(INDIRECT($E14&amp;"["&amp;$F14&amp;"]")*(INDIRECT($E14&amp;"[yr]")=Q$5)*(INDIRECT($E14&amp;"[wk]")=Q$6)*(INDIRECT($E14&amp;"[siteflag]")=$G$2))),0)</f>
        <v>0.95454545454545459</v>
      </c>
      <c r="R14" s="45">
        <f t="array" aca="1" ref="R14" ca="1">IFERROR(  (SUM(INDIRECT($E14&amp;"["&amp;$F15&amp;"]")*(INDIRECT($E14&amp;"[yr]")=R$5)*(INDIRECT($E14&amp;"[wk]")=R$6)*(INDIRECT($E14&amp;"[siteflag]")=$G$2)))/
                      (SUM(INDIRECT($E14&amp;"["&amp;$F14&amp;"]")*(INDIRECT($E14&amp;"[yr]")=R$5)*(INDIRECT($E14&amp;"[wk]")=R$6)*(INDIRECT($E14&amp;"[siteflag]")=$G$2))),0)</f>
        <v>0.95444883085332521</v>
      </c>
      <c r="S14" s="163">
        <f t="array" aca="1" ref="S14" ca="1">IFERROR(  (SUM(INDIRECT($E14&amp;"["&amp;$F15&amp;"]")*(INDIRECT($E14&amp;"[yr]")=S$5)*(INDIRECT($E14&amp;"[wk]")=S$6)*(INDIRECT($E14&amp;"[siteflag]")=$G$2)))/
                      (SUM(INDIRECT($E14&amp;"["&amp;$F14&amp;"]")*(INDIRECT($E14&amp;"[yr]")=S$5)*(INDIRECT($E14&amp;"[wk]")=S$6)*(INDIRECT($E14&amp;"[siteflag]")=$G$2))),0)</f>
        <v>0.95068017993604681</v>
      </c>
      <c r="T14" s="162">
        <f t="array" aca="1" ref="T14" ca="1">IFERROR(  (SUM(INDIRECT($E14&amp;"["&amp;$F15&amp;"]")*(INDIRECT($E14&amp;"[yr]")=T$5)*(INDIRECT($E14&amp;"[wk]")=T$6)*(INDIRECT($E14&amp;"[siteflag]")=$G$2)))/
                      (SUM(INDIRECT($E14&amp;"["&amp;$F14&amp;"]")*(INDIRECT($E14&amp;"[yr]")=T$5)*(INDIRECT($E14&amp;"[wk]")=T$6)*(INDIRECT($E14&amp;"[siteflag]")=$G$2))),0)</f>
        <v>0.95465582472189281</v>
      </c>
      <c r="U14" s="46">
        <f t="array" aca="1" ref="U14" ca="1">SUM(Q14:T14*Q69:T69)/SUM(Q69:T69)</f>
        <v>0.95367249635201679</v>
      </c>
      <c r="V14" s="47">
        <f ca="1">SUM(T14/S14)-1</f>
        <v>4.1818950996890258E-3</v>
      </c>
      <c r="W14" s="219">
        <v>0.99</v>
      </c>
      <c r="X14" s="49"/>
    </row>
    <row r="15" spans="2:24" ht="14.15" customHeight="1" x14ac:dyDescent="0.4">
      <c r="B15" s="329"/>
      <c r="D15" s="202" t="s">
        <v>67</v>
      </c>
      <c r="E15" s="40"/>
      <c r="F15" s="40" t="s">
        <v>372</v>
      </c>
      <c r="G15" s="40"/>
      <c r="H15" s="40"/>
      <c r="I15" s="226">
        <f t="array" aca="1" ref="I15" ca="1">IFERROR(  I14/((SUM(INDIRECT($E14&amp;"["&amp;$F15&amp;"]")*(INDIRECT($E14&amp;"[yr]")=I$5-1)*(INDIRECT($E14&amp;"[wk]")=I$6)*(INDIRECT($E14&amp;"[siteflag]")=$G$2)))/
                      (SUM(INDIRECT($E14&amp;"["&amp;$F14&amp;"]")*(INDIRECT($E14&amp;"[yr]")=I$5-1)*(INDIRECT($E14&amp;"[wk]")=I$6)*(INDIRECT($E14&amp;"[siteflag]")=$G$2))))-1,0)</f>
        <v>-2.0794799618320869E-2</v>
      </c>
      <c r="J15" s="226">
        <f t="array" aca="1" ref="J15" ca="1">IFERROR(  J14/((SUM(INDIRECT($E14&amp;"["&amp;$F15&amp;"]")*(INDIRECT($E14&amp;"[yr]")=J$5-1)*(INDIRECT($E14&amp;"[wk]")=J$6)*(INDIRECT($E14&amp;"[siteflag]")=$G$2)))/
                      (SUM(INDIRECT($E14&amp;"["&amp;$F14&amp;"]")*(INDIRECT($E14&amp;"[yr]")=J$5-1)*(INDIRECT($E14&amp;"[wk]")=J$6)*(INDIRECT($E14&amp;"[siteflag]")=$G$2))))-1,0)</f>
        <v>-2.0001069103904534E-2</v>
      </c>
      <c r="K15" s="226">
        <f t="array" aca="1" ref="K15" ca="1">IFERROR(  K14/((SUM(INDIRECT($E14&amp;"["&amp;$F15&amp;"]")*(INDIRECT($E14&amp;"[yr]")=K$5-1)*(INDIRECT($E14&amp;"[wk]")=K$6)*(INDIRECT($E14&amp;"[siteflag]")=$G$2)))/
                      (SUM(INDIRECT($E14&amp;"["&amp;$F14&amp;"]")*(INDIRECT($E14&amp;"[yr]")=K$5-1)*(INDIRECT($E14&amp;"[wk]")=K$6)*(INDIRECT($E14&amp;"[siteflag]")=$G$2))))-1,0)</f>
        <v>-2.4349306916846336E-2</v>
      </c>
      <c r="L15" s="226">
        <f t="array" aca="1" ref="L15" ca="1">IFERROR(  L14/((SUM(INDIRECT($E14&amp;"["&amp;$F15&amp;"]")*(INDIRECT($E14&amp;"[yr]")=L$5-1)*(INDIRECT($E14&amp;"[wk]")=L$6)*(INDIRECT($E14&amp;"[siteflag]")=$G$2)))/
                      (SUM(INDIRECT($E14&amp;"["&amp;$F14&amp;"]")*(INDIRECT($E14&amp;"[yr]")=L$5-1)*(INDIRECT($E14&amp;"[wk]")=L$6)*(INDIRECT($E14&amp;"[siteflag]")=$G$2))))-1,0)</f>
        <v>3.0436355436343598E-2</v>
      </c>
      <c r="M15" s="226">
        <f t="array" aca="1" ref="M15" ca="1">IFERROR(  M14/((SUM(INDIRECT($E14&amp;"["&amp;$F15&amp;"]")*(INDIRECT($E14&amp;"[yr]")=M$5-1)*(INDIRECT($E14&amp;"[wk]")=M$6)*(INDIRECT($E14&amp;"[siteflag]")=$G$2)))/
                      (SUM(INDIRECT($E14&amp;"["&amp;$F14&amp;"]")*(INDIRECT($E14&amp;"[yr]")=M$5-1)*(INDIRECT($E14&amp;"[wk]")=M$6)*(INDIRECT($E14&amp;"[siteflag]")=$G$2))))-1,0)</f>
        <v>1.0986830174605444E-2</v>
      </c>
      <c r="N15" s="226">
        <f t="array" aca="1" ref="N15" ca="1">IFERROR(  N14/((SUM(INDIRECT($E14&amp;"["&amp;$F15&amp;"]")*(INDIRECT($E14&amp;"[yr]")=N$5-1)*(INDIRECT($E14&amp;"[wk]")=N$6)*(INDIRECT($E14&amp;"[siteflag]")=$G$2)))/
                      (SUM(INDIRECT($E14&amp;"["&amp;$F14&amp;"]")*(INDIRECT($E14&amp;"[yr]")=N$5-1)*(INDIRECT($E14&amp;"[wk]")=N$6)*(INDIRECT($E14&amp;"[siteflag]")=$G$2))))-1,0)</f>
        <v>3.9048764657871882E-2</v>
      </c>
      <c r="O15" s="226">
        <f t="array" aca="1" ref="O15" ca="1">IFERROR(  O14/((SUM(INDIRECT($E14&amp;"["&amp;$F15&amp;"]")*(INDIRECT($E14&amp;"[yr]")=O$5-1)*(INDIRECT($E14&amp;"[wk]")=O$6)*(INDIRECT($E14&amp;"[siteflag]")=$G$2)))/
                      (SUM(INDIRECT($E14&amp;"["&amp;$F14&amp;"]")*(INDIRECT($E14&amp;"[yr]")=O$5-1)*(INDIRECT($E14&amp;"[wk]")=O$6)*(INDIRECT($E14&amp;"[siteflag]")=$G$2))))-1,0)</f>
        <v>0.10285719252058478</v>
      </c>
      <c r="P15" s="227">
        <f t="array" aca="1" ref="P15" ca="1">IFERROR(  P14/((SUM(INDIRECT($E14&amp;"["&amp;$F15&amp;"]")*(INDIRECT($E14&amp;"[yr]")=P$5-1)*(INDIRECT($E14&amp;"[wk]")=P$6)*(INDIRECT($E14&amp;"[siteflag]")=$G$2)))/
                      (SUM(INDIRECT($E14&amp;"["&amp;$F14&amp;"]")*(INDIRECT($E14&amp;"[yr]")=P$5-1)*(INDIRECT($E14&amp;"[wk]")=P$6)*(INDIRECT($E14&amp;"[siteflag]")=$G$2))))-1,0)</f>
        <v>1.1703383202439799E-2</v>
      </c>
      <c r="Q15" s="226">
        <f t="array" aca="1" ref="Q15" ca="1">IFERROR(  Q14/((SUM(INDIRECT($E14&amp;"["&amp;$F15&amp;"]")*(INDIRECT($E14&amp;"[yr]")=Q$5-1)*(INDIRECT($E14&amp;"[wk]")=Q$6)*(INDIRECT($E14&amp;"[siteflag]")=$G$2)))/
                      (SUM(INDIRECT($E14&amp;"["&amp;$F14&amp;"]")*(INDIRECT($E14&amp;"[yr]")=Q$5-1)*(INDIRECT($E14&amp;"[wk]")=Q$6)*(INDIRECT($E14&amp;"[siteflag]")=$G$2))))-1,0)</f>
        <v>3.0984946893864329E-2</v>
      </c>
      <c r="R15" s="226">
        <f t="array" aca="1" ref="R15" ca="1">IFERROR(  R14/((SUM(INDIRECT($E14&amp;"["&amp;$F15&amp;"]")*(INDIRECT($E14&amp;"[yr]")=R$5-1)*(INDIRECT($E14&amp;"[wk]")=R$6)*(INDIRECT($E14&amp;"[siteflag]")=$G$2)))/
                      (SUM(INDIRECT($E14&amp;"["&amp;$F14&amp;"]")*(INDIRECT($E14&amp;"[yr]")=R$5-1)*(INDIRECT($E14&amp;"[wk]")=R$6)*(INDIRECT($E14&amp;"[siteflag]")=$G$2))))-1,0)</f>
        <v>3.537296148454816E-2</v>
      </c>
      <c r="S15" s="66">
        <f t="array" aca="1" ref="S15" ca="1">IFERROR(  S14/((SUM(INDIRECT($E14&amp;"["&amp;$F15&amp;"]")*(INDIRECT($E14&amp;"[yr]")=S$5-1)*(INDIRECT($E14&amp;"[wk]")=S$6)*(INDIRECT($E14&amp;"[siteflag]")=$G$2)))/
                      (SUM(INDIRECT($E14&amp;"["&amp;$F14&amp;"]")*(INDIRECT($E14&amp;"[yr]")=S$5-1)*(INDIRECT($E14&amp;"[wk]")=S$6)*(INDIRECT($E14&amp;"[siteflag]")=$G$2))))-1,0)</f>
        <v>1.9082403170526563E-2</v>
      </c>
      <c r="T15" s="50">
        <f t="array" aca="1" ref="T15" ca="1">IFERROR(  T14/((SUM(INDIRECT($E14&amp;"["&amp;$F15&amp;"]")*(INDIRECT($E14&amp;"[yr]")=T$5-1)*(INDIRECT($E14&amp;"[wk]")=T$6)*(INDIRECT($E14&amp;"[siteflag]")=$G$2)))/
                      (SUM(INDIRECT($E14&amp;"["&amp;$F14&amp;"]")*(INDIRECT($E14&amp;"[yr]")=T$5-1)*(INDIRECT($E14&amp;"[wk]")=T$6)*(INDIRECT($E14&amp;"[siteflag]")=$G$2))))-1,0)</f>
        <v>4.0751455368702727E-2</v>
      </c>
      <c r="U15" s="53">
        <f t="array" aca="1" ref="U15" ca="1">SUM(Q15:T15*Q69:T69)/SUM(Q69:T69)</f>
        <v>3.1907378987560367E-2</v>
      </c>
      <c r="V15" s="54"/>
      <c r="W15" s="55"/>
      <c r="X15" s="56"/>
    </row>
    <row r="16" spans="2:24" ht="3" customHeight="1" x14ac:dyDescent="0.4">
      <c r="B16" s="329"/>
      <c r="D16" s="61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61"/>
      <c r="Q16" s="57"/>
      <c r="R16" s="57"/>
      <c r="S16" s="149"/>
      <c r="T16" s="149"/>
      <c r="U16" s="60"/>
      <c r="V16" s="61"/>
      <c r="W16" s="62"/>
      <c r="X16" s="61"/>
    </row>
    <row r="17" spans="2:24" ht="14.15" customHeight="1" x14ac:dyDescent="0.4">
      <c r="B17" s="329"/>
      <c r="D17" s="271" t="s">
        <v>530</v>
      </c>
      <c r="E17" t="s">
        <v>518</v>
      </c>
      <c r="F17" t="s">
        <v>291</v>
      </c>
      <c r="I17" s="45">
        <f t="array" aca="1" ref="I17" ca="1">IFERROR(  (SUM(INDIRECT($E17&amp;"["&amp;$F18&amp;"]")*(INDIRECT($E17&amp;"[yr]")=I$5)*(INDIRECT($E17&amp;"[wk]")=I$6)*(INDIRECT($E17&amp;"[siteflag]")=$G$2)))/
                      (SUM(INDIRECT($E17&amp;"["&amp;$F17&amp;"]")*(INDIRECT($E17&amp;"[yr]")=I$5)*(INDIRECT($E17&amp;"[wk]")=I$6)*(INDIRECT($E17&amp;"[siteflag]")=$G$2))),0)</f>
        <v>0.97712911703852823</v>
      </c>
      <c r="J17" s="45">
        <f t="array" aca="1" ref="J17" ca="1">IFERROR(  (SUM(INDIRECT($E17&amp;"["&amp;$F18&amp;"]")*(INDIRECT($E17&amp;"[yr]")=J$5)*(INDIRECT($E17&amp;"[wk]")=J$6)*(INDIRECT($E17&amp;"[siteflag]")=$G$2)))/
                      (SUM(INDIRECT($E17&amp;"["&amp;$F17&amp;"]")*(INDIRECT($E17&amp;"[yr]")=J$5)*(INDIRECT($E17&amp;"[wk]")=J$6)*(INDIRECT($E17&amp;"[siteflag]")=$G$2))),0)</f>
        <v>0.97828389830508478</v>
      </c>
      <c r="K17" s="45">
        <f t="array" aca="1" ref="K17" ca="1">IFERROR(  (SUM(INDIRECT($E17&amp;"["&amp;$F18&amp;"]")*(INDIRECT($E17&amp;"[yr]")=K$5)*(INDIRECT($E17&amp;"[wk]")=K$6)*(INDIRECT($E17&amp;"[siteflag]")=$G$2)))/
                      (SUM(INDIRECT($E17&amp;"["&amp;$F17&amp;"]")*(INDIRECT($E17&amp;"[yr]")=K$5)*(INDIRECT($E17&amp;"[wk]")=K$6)*(INDIRECT($E17&amp;"[siteflag]")=$G$2))),0)</f>
        <v>0.98892167771273765</v>
      </c>
      <c r="L17" s="45">
        <f t="array" aca="1" ref="L17" ca="1">IFERROR(  (SUM(INDIRECT($E17&amp;"["&amp;$F18&amp;"]")*(INDIRECT($E17&amp;"[yr]")=L$5)*(INDIRECT($E17&amp;"[wk]")=L$6)*(INDIRECT($E17&amp;"[siteflag]")=$G$2)))/
                      (SUM(INDIRECT($E17&amp;"["&amp;$F17&amp;"]")*(INDIRECT($E17&amp;"[yr]")=L$5)*(INDIRECT($E17&amp;"[wk]")=L$6)*(INDIRECT($E17&amp;"[siteflag]")=$G$2))),0)</f>
        <v>0.995196613205243</v>
      </c>
      <c r="M17" s="45">
        <f t="array" aca="1" ref="M17" ca="1">IFERROR(  (SUM(INDIRECT($E17&amp;"["&amp;$F18&amp;"]")*(INDIRECT($E17&amp;"[yr]")=M$5)*(INDIRECT($E17&amp;"[wk]")=M$6)*(INDIRECT($E17&amp;"[siteflag]")=$G$2)))/
                      (SUM(INDIRECT($E17&amp;"["&amp;$F17&amp;"]")*(INDIRECT($E17&amp;"[yr]")=M$5)*(INDIRECT($E17&amp;"[wk]")=M$6)*(INDIRECT($E17&amp;"[siteflag]")=$G$2))),0)</f>
        <v>0.99546113597680141</v>
      </c>
      <c r="N17" s="45">
        <f t="array" aca="1" ref="N17" ca="1">IFERROR(  (SUM(INDIRECT($E17&amp;"["&amp;$F18&amp;"]")*(INDIRECT($E17&amp;"[yr]")=N$5)*(INDIRECT($E17&amp;"[wk]")=N$6)*(INDIRECT($E17&amp;"[siteflag]")=$G$2)))/
                      (SUM(INDIRECT($E17&amp;"["&amp;$F17&amp;"]")*(INDIRECT($E17&amp;"[yr]")=N$5)*(INDIRECT($E17&amp;"[wk]")=N$6)*(INDIRECT($E17&amp;"[siteflag]")=$G$2))),0)</f>
        <v>0.99397700310275594</v>
      </c>
      <c r="O17" s="45">
        <f t="array" aca="1" ref="O17" ca="1">IFERROR(  (SUM(INDIRECT($E17&amp;"["&amp;$F18&amp;"]")*(INDIRECT($E17&amp;"[yr]")=O$5)*(INDIRECT($E17&amp;"[wk]")=O$6)*(INDIRECT($E17&amp;"[siteflag]")=$G$2)))/
                      (SUM(INDIRECT($E17&amp;"["&amp;$F17&amp;"]")*(INDIRECT($E17&amp;"[yr]")=O$5)*(INDIRECT($E17&amp;"[wk]")=O$6)*(INDIRECT($E17&amp;"[siteflag]")=$G$2))),0)</f>
        <v>0.98991962050336013</v>
      </c>
      <c r="P17" s="47">
        <f t="array" aca="1" ref="P17" ca="1">IFERROR(  (SUM(INDIRECT($E17&amp;"["&amp;$F18&amp;"]")*(INDIRECT($E17&amp;"[yr]")=P$5)*(INDIRECT($E17&amp;"[wk]")=P$6)*(INDIRECT($E17&amp;"[siteflag]")=$G$2)))/
                      (SUM(INDIRECT($E17&amp;"["&amp;$F17&amp;"]")*(INDIRECT($E17&amp;"[yr]")=P$5)*(INDIRECT($E17&amp;"[wk]")=P$6)*(INDIRECT($E17&amp;"[siteflag]")=$G$2))),0)</f>
        <v>0.98709677419354835</v>
      </c>
      <c r="Q17" s="45">
        <f t="array" aca="1" ref="Q17" ca="1">IFERROR(  (SUM(INDIRECT($E17&amp;"["&amp;$F18&amp;"]")*(INDIRECT($E17&amp;"[yr]")=Q$5)*(INDIRECT($E17&amp;"[wk]")=Q$6)*(INDIRECT($E17&amp;"[siteflag]")=$G$2)))/
                      (SUM(INDIRECT($E17&amp;"["&amp;$F17&amp;"]")*(INDIRECT($E17&amp;"[yr]")=Q$5)*(INDIRECT($E17&amp;"[wk]")=Q$6)*(INDIRECT($E17&amp;"[siteflag]")=$G$2))),0)</f>
        <v>0.98698884758364314</v>
      </c>
      <c r="R17" s="45">
        <f t="array" aca="1" ref="R17" ca="1">IFERROR(  (SUM(INDIRECT($E17&amp;"["&amp;$F18&amp;"]")*(INDIRECT($E17&amp;"[yr]")=R$5)*(INDIRECT($E17&amp;"[wk]")=R$6)*(INDIRECT($E17&amp;"[siteflag]")=$G$2)))/
                      (SUM(INDIRECT($E17&amp;"["&amp;$F17&amp;"]")*(INDIRECT($E17&amp;"[yr]")=R$5)*(INDIRECT($E17&amp;"[wk]")=R$6)*(INDIRECT($E17&amp;"[siteflag]")=$G$2))),0)</f>
        <v>0.97551695616211742</v>
      </c>
      <c r="S17" s="164">
        <f t="array" aca="1" ref="S17" ca="1">IFERROR(  (SUM(INDIRECT($E17&amp;"["&amp;$F18&amp;"]")*(INDIRECT($E17&amp;"[yr]")=S$5)*(INDIRECT($E17&amp;"[wk]")=S$6)*(INDIRECT($E17&amp;"[siteflag]")=$G$2)))/
                      (SUM(INDIRECT($E17&amp;"["&amp;$F17&amp;"]")*(INDIRECT($E17&amp;"[yr]")=S$5)*(INDIRECT($E17&amp;"[wk]")=S$6)*(INDIRECT($E17&amp;"[siteflag]")=$G$2))),0)</f>
        <v>0.98463363651771085</v>
      </c>
      <c r="T17" s="162">
        <f t="array" aca="1" ref="T17" ca="1">IFERROR(  (SUM(INDIRECT($E17&amp;"["&amp;$F18&amp;"]")*(INDIRECT($E17&amp;"[yr]")=T$5)*(INDIRECT($E17&amp;"[wk]")=T$6)*(INDIRECT($E17&amp;"[siteflag]")=$G$2)))/
                      (SUM(INDIRECT($E17&amp;"["&amp;$F17&amp;"]")*(INDIRECT($E17&amp;"[yr]")=T$5)*(INDIRECT($E17&amp;"[wk]")=T$6)*(INDIRECT($E17&amp;"[siteflag]")=$G$2))),0)</f>
        <v>0.9858570052961001</v>
      </c>
      <c r="U17" s="46">
        <f t="array" aca="1" ref="U17" ca="1">SUM(Q17:T17*Q69:T69)/SUM(Q69:T69)</f>
        <v>0.98315133677613376</v>
      </c>
      <c r="V17" s="47">
        <f ca="1">SUM(T17/S17)-1</f>
        <v>1.2424608839445295E-3</v>
      </c>
      <c r="W17" s="48">
        <v>0.995</v>
      </c>
      <c r="X17" s="49"/>
    </row>
    <row r="18" spans="2:24" ht="14.15" customHeight="1" x14ac:dyDescent="0.4">
      <c r="B18" s="329"/>
      <c r="D18" s="202" t="s">
        <v>67</v>
      </c>
      <c r="E18" s="40"/>
      <c r="F18" s="40" t="s">
        <v>372</v>
      </c>
      <c r="G18" s="40"/>
      <c r="H18" s="40"/>
      <c r="I18" s="50">
        <f t="array" aca="1" ref="I18" ca="1">IFERROR(  I17/((SUM(INDIRECT($E17&amp;"["&amp;$F18&amp;"]")*(INDIRECT($E17&amp;"[yr]")=I$5-1)*(INDIRECT($E17&amp;"[wk]")=I$6)*(INDIRECT($E17&amp;"[siteflag]")=$G$2)))/
                      (SUM(INDIRECT($E17&amp;"["&amp;$F17&amp;"]")*(INDIRECT($E17&amp;"[yr]")=I$5-1)*(INDIRECT($E17&amp;"[wk]")=I$6)*(INDIRECT($E17&amp;"[siteflag]")=$G$2))))-1,0)</f>
        <v>-9.4718841282666055E-3</v>
      </c>
      <c r="J18" s="50">
        <f t="array" aca="1" ref="J18" ca="1">IFERROR(  J17/((SUM(INDIRECT($E17&amp;"["&amp;$F18&amp;"]")*(INDIRECT($E17&amp;"[yr]")=J$5-1)*(INDIRECT($E17&amp;"[wk]")=J$6)*(INDIRECT($E17&amp;"[siteflag]")=$G$2)))/
                      (SUM(INDIRECT($E17&amp;"["&amp;$F17&amp;"]")*(INDIRECT($E17&amp;"[yr]")=J$5-1)*(INDIRECT($E17&amp;"[wk]")=J$6)*(INDIRECT($E17&amp;"[siteflag]")=$G$2))))-1,0)</f>
        <v>-1.3320587092128133E-2</v>
      </c>
      <c r="K18" s="50">
        <f t="array" aca="1" ref="K18" ca="1">IFERROR(  K17/((SUM(INDIRECT($E17&amp;"["&amp;$F18&amp;"]")*(INDIRECT($E17&amp;"[yr]")=K$5-1)*(INDIRECT($E17&amp;"[wk]")=K$6)*(INDIRECT($E17&amp;"[siteflag]")=$G$2)))/
                      (SUM(INDIRECT($E17&amp;"["&amp;$F17&amp;"]")*(INDIRECT($E17&amp;"[yr]")=K$5-1)*(INDIRECT($E17&amp;"[wk]")=K$6)*(INDIRECT($E17&amp;"[siteflag]")=$G$2))))-1,0)</f>
        <v>-4.3208200647377737E-3</v>
      </c>
      <c r="L18" s="50">
        <f t="array" aca="1" ref="L18" ca="1">IFERROR(  L17/((SUM(INDIRECT($E17&amp;"["&amp;$F18&amp;"]")*(INDIRECT($E17&amp;"[yr]")=L$5-1)*(INDIRECT($E17&amp;"[wk]")=L$6)*(INDIRECT($E17&amp;"[siteflag]")=$G$2)))/
                      (SUM(INDIRECT($E17&amp;"["&amp;$F17&amp;"]")*(INDIRECT($E17&amp;"[yr]")=L$5-1)*(INDIRECT($E17&amp;"[wk]")=L$6)*(INDIRECT($E17&amp;"[siteflag]")=$G$2))))-1,0)</f>
        <v>1.8025496088804216E-2</v>
      </c>
      <c r="M18" s="50">
        <f t="array" aca="1" ref="M18" ca="1">IFERROR(  M17/((SUM(INDIRECT($E17&amp;"["&amp;$F18&amp;"]")*(INDIRECT($E17&amp;"[yr]")=M$5-1)*(INDIRECT($E17&amp;"[wk]")=M$6)*(INDIRECT($E17&amp;"[siteflag]")=$G$2)))/
                      (SUM(INDIRECT($E17&amp;"["&amp;$F17&amp;"]")*(INDIRECT($E17&amp;"[yr]")=M$5-1)*(INDIRECT($E17&amp;"[wk]")=M$6)*(INDIRECT($E17&amp;"[siteflag]")=$G$2))))-1,0)</f>
        <v>1.2209487912782979E-2</v>
      </c>
      <c r="N18" s="50">
        <f t="array" aca="1" ref="N18" ca="1">IFERROR(  N17/((SUM(INDIRECT($E17&amp;"["&amp;$F18&amp;"]")*(INDIRECT($E17&amp;"[yr]")=N$5-1)*(INDIRECT($E17&amp;"[wk]")=N$6)*(INDIRECT($E17&amp;"[siteflag]")=$G$2)))/
                      (SUM(INDIRECT($E17&amp;"["&amp;$F17&amp;"]")*(INDIRECT($E17&amp;"[yr]")=N$5-1)*(INDIRECT($E17&amp;"[wk]")=N$6)*(INDIRECT($E17&amp;"[siteflag]")=$G$2))))-1,0)</f>
        <v>1.5724653568245373E-3</v>
      </c>
      <c r="O18" s="50">
        <f t="array" aca="1" ref="O18" ca="1">IFERROR(  O17/((SUM(INDIRECT($E17&amp;"["&amp;$F18&amp;"]")*(INDIRECT($E17&amp;"[yr]")=O$5-1)*(INDIRECT($E17&amp;"[wk]")=O$6)*(INDIRECT($E17&amp;"[siteflag]")=$G$2)))/
                      (SUM(INDIRECT($E17&amp;"["&amp;$F17&amp;"]")*(INDIRECT($E17&amp;"[yr]")=O$5-1)*(INDIRECT($E17&amp;"[wk]")=O$6)*(INDIRECT($E17&amp;"[siteflag]")=$G$2))))-1,0)</f>
        <v>5.9572636404259027E-2</v>
      </c>
      <c r="P18" s="54">
        <f t="array" aca="1" ref="P18" ca="1">IFERROR(  P17/((SUM(INDIRECT($E17&amp;"["&amp;$F18&amp;"]")*(INDIRECT($E17&amp;"[yr]")=P$5-1)*(INDIRECT($E17&amp;"[wk]")=P$6)*(INDIRECT($E17&amp;"[siteflag]")=$G$2)))/
                      (SUM(INDIRECT($E17&amp;"["&amp;$F17&amp;"]")*(INDIRECT($E17&amp;"[yr]")=P$5-1)*(INDIRECT($E17&amp;"[wk]")=P$6)*(INDIRECT($E17&amp;"[siteflag]")=$G$2))))-1,0)</f>
        <v>1.084999262016817E-2</v>
      </c>
      <c r="Q18" s="50">
        <f t="array" aca="1" ref="Q18" ca="1">IFERROR(  Q17/((SUM(INDIRECT($E17&amp;"["&amp;$F18&amp;"]")*(INDIRECT($E17&amp;"[yr]")=Q$5-1)*(INDIRECT($E17&amp;"[wk]")=Q$6)*(INDIRECT($E17&amp;"[siteflag]")=$G$2)))/
                      (SUM(INDIRECT($E17&amp;"["&amp;$F17&amp;"]")*(INDIRECT($E17&amp;"[yr]")=Q$5-1)*(INDIRECT($E17&amp;"[wk]")=Q$6)*(INDIRECT($E17&amp;"[siteflag]")=$G$2))))-1,0)</f>
        <v>1.2113886783508665E-2</v>
      </c>
      <c r="R18" s="50">
        <f t="array" aca="1" ref="R18" ca="1">IFERROR(  R17/((SUM(INDIRECT($E17&amp;"["&amp;$F18&amp;"]")*(INDIRECT($E17&amp;"[yr]")=R$5-1)*(INDIRECT($E17&amp;"[wk]")=R$6)*(INDIRECT($E17&amp;"[siteflag]")=$G$2)))/
                      (SUM(INDIRECT($E17&amp;"["&amp;$F17&amp;"]")*(INDIRECT($E17&amp;"[yr]")=R$5-1)*(INDIRECT($E17&amp;"[wk]")=R$6)*(INDIRECT($E17&amp;"[siteflag]")=$G$2))))-1,0)</f>
        <v>-1.3913323852920989E-4</v>
      </c>
      <c r="S18" s="66">
        <f t="array" aca="1" ref="S18" ca="1">IFERROR(  S17/((SUM(INDIRECT($E17&amp;"["&amp;$F18&amp;"]")*(INDIRECT($E17&amp;"[yr]")=S$5-1)*(INDIRECT($E17&amp;"[wk]")=S$6)*(INDIRECT($E17&amp;"[siteflag]")=$G$2)))/
                      (SUM(INDIRECT($E17&amp;"["&amp;$F17&amp;"]")*(INDIRECT($E17&amp;"[yr]")=S$5-1)*(INDIRECT($E17&amp;"[wk]")=S$6)*(INDIRECT($E17&amp;"[siteflag]")=$G$2))))-1,0)</f>
        <v>3.207991671341226E-3</v>
      </c>
      <c r="T18" s="50">
        <f t="array" aca="1" ref="T18" ca="1">IFERROR(  T17/((SUM(INDIRECT($E17&amp;"["&amp;$F18&amp;"]")*(INDIRECT($E17&amp;"[yr]")=T$5-1)*(INDIRECT($E17&amp;"[wk]")=T$6)*(INDIRECT($E17&amp;"[siteflag]")=$G$2)))/
                      (SUM(INDIRECT($E17&amp;"["&amp;$F17&amp;"]")*(INDIRECT($E17&amp;"[yr]")=T$5-1)*(INDIRECT($E17&amp;"[wk]")=T$6)*(INDIRECT($E17&amp;"[siteflag]")=$G$2))))-1,0)</f>
        <v>5.2370941995554476E-2</v>
      </c>
      <c r="U18" s="53">
        <f t="array" aca="1" ref="U18" ca="1">SUM(Q18:T18*Q69:T69)/SUM(Q69:T69)</f>
        <v>1.7026682045747425E-2</v>
      </c>
      <c r="V18" s="54"/>
      <c r="W18" s="55"/>
      <c r="X18" s="56"/>
    </row>
    <row r="19" spans="2:24" ht="3" customHeight="1" x14ac:dyDescent="0.4">
      <c r="B19" s="329"/>
      <c r="D19" s="61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61"/>
      <c r="Q19" s="57"/>
      <c r="R19" s="57"/>
      <c r="S19" s="149"/>
      <c r="T19" s="149"/>
      <c r="U19" s="60"/>
      <c r="V19" s="61"/>
      <c r="W19" s="62"/>
      <c r="X19" s="61"/>
    </row>
    <row r="20" spans="2:24" ht="14.15" customHeight="1" x14ac:dyDescent="0.4">
      <c r="B20" s="329"/>
      <c r="D20" s="201" t="s">
        <v>531</v>
      </c>
      <c r="E20" t="s">
        <v>29</v>
      </c>
      <c r="F20" t="s">
        <v>291</v>
      </c>
      <c r="I20" s="45">
        <f t="array" aca="1" ref="I20" ca="1">IFERROR(  (SUM(INDIRECT($E20&amp;"["&amp;$F21&amp;"]")*(INDIRECT($E20&amp;"[yr]")=I$5)*(INDIRECT($E20&amp;"[wk]")=I$6)*(INDIRECT($E20&amp;"[siteflag]")=$G$2)))/
                      (SUM(INDIRECT($E20&amp;"["&amp;$F20&amp;"]")*(INDIRECT($E20&amp;"[yr]")=I$5)*(INDIRECT($E20&amp;"[wk]")=I$6)*(INDIRECT($E20&amp;"[siteflag]")=$G$2))),0)</f>
        <v>0.92008864967547888</v>
      </c>
      <c r="J20" s="45">
        <f t="array" aca="1" ref="J20" ca="1">IFERROR(  (SUM(INDIRECT($E20&amp;"["&amp;$F21&amp;"]")*(INDIRECT($E20&amp;"[yr]")=J$5)*(INDIRECT($E20&amp;"[wk]")=J$6)*(INDIRECT($E20&amp;"[siteflag]")=$G$2)))/
                      (SUM(INDIRECT($E20&amp;"["&amp;$F20&amp;"]")*(INDIRECT($E20&amp;"[yr]")=J$5)*(INDIRECT($E20&amp;"[wk]")=J$6)*(INDIRECT($E20&amp;"[siteflag]")=$G$2))),0)</f>
        <v>0.93848313231381897</v>
      </c>
      <c r="K20" s="45">
        <f t="array" aca="1" ref="K20" ca="1">IFERROR(  (SUM(INDIRECT($E20&amp;"["&amp;$F21&amp;"]")*(INDIRECT($E20&amp;"[yr]")=K$5)*(INDIRECT($E20&amp;"[wk]")=K$6)*(INDIRECT($E20&amp;"[siteflag]")=$G$2)))/
                      (SUM(INDIRECT($E20&amp;"["&amp;$F20&amp;"]")*(INDIRECT($E20&amp;"[yr]")=K$5)*(INDIRECT($E20&amp;"[wk]")=K$6)*(INDIRECT($E20&amp;"[siteflag]")=$G$2))),0)</f>
        <v>0.9584219067076889</v>
      </c>
      <c r="L20" s="45">
        <f t="array" aca="1" ref="L20" ca="1">IFERROR(  (SUM(INDIRECT($E20&amp;"["&amp;$F21&amp;"]")*(INDIRECT($E20&amp;"[yr]")=L$5)*(INDIRECT($E20&amp;"[wk]")=L$6)*(INDIRECT($E20&amp;"[siteflag]")=$G$2)))/
                      (SUM(INDIRECT($E20&amp;"["&amp;$F20&amp;"]")*(INDIRECT($E20&amp;"[yr]")=L$5)*(INDIRECT($E20&amp;"[wk]")=L$6)*(INDIRECT($E20&amp;"[siteflag]")=$G$2))),0)</f>
        <v>0.97867277281306053</v>
      </c>
      <c r="M20" s="45">
        <f t="array" aca="1" ref="M20" ca="1">IFERROR(  (SUM(INDIRECT($E20&amp;"["&amp;$F21&amp;"]")*(INDIRECT($E20&amp;"[yr]")=M$5)*(INDIRECT($E20&amp;"[wk]")=M$6)*(INDIRECT($E20&amp;"[siteflag]")=$G$2)))/
                      (SUM(INDIRECT($E20&amp;"["&amp;$F20&amp;"]")*(INDIRECT($E20&amp;"[yr]")=M$5)*(INDIRECT($E20&amp;"[wk]")=M$6)*(INDIRECT($E20&amp;"[siteflag]")=$G$2))),0)</f>
        <v>0.97795453294434964</v>
      </c>
      <c r="N20" s="45">
        <f t="array" aca="1" ref="N20" ca="1">IFERROR(  (SUM(INDIRECT($E20&amp;"["&amp;$F21&amp;"]")*(INDIRECT($E20&amp;"[yr]")=N$5)*(INDIRECT($E20&amp;"[wk]")=N$6)*(INDIRECT($E20&amp;"[siteflag]")=$G$2)))/
                      (SUM(INDIRECT($E20&amp;"["&amp;$F20&amp;"]")*(INDIRECT($E20&amp;"[yr]")=N$5)*(INDIRECT($E20&amp;"[wk]")=N$6)*(INDIRECT($E20&amp;"[siteflag]")=$G$2))),0)</f>
        <v>0.97666209377871538</v>
      </c>
      <c r="O20" s="45">
        <f t="array" aca="1" ref="O20" ca="1">IFERROR(  (SUM(INDIRECT($E20&amp;"["&amp;$F21&amp;"]")*(INDIRECT($E20&amp;"[yr]")=O$5)*(INDIRECT($E20&amp;"[wk]")=O$6)*(INDIRECT($E20&amp;"[siteflag]")=$G$2)))/
                      (SUM(INDIRECT($E20&amp;"["&amp;$F20&amp;"]")*(INDIRECT($E20&amp;"[yr]")=O$5)*(INDIRECT($E20&amp;"[wk]")=O$6)*(INDIRECT($E20&amp;"[siteflag]")=$G$2))),0)</f>
        <v>0.97301022468556309</v>
      </c>
      <c r="P20" s="47">
        <f t="array" aca="1" ref="P20" ca="1">IFERROR(  (SUM(INDIRECT($E20&amp;"["&amp;$F21&amp;"]")*(INDIRECT($E20&amp;"[yr]")=P$5)*(INDIRECT($E20&amp;"[wk]")=P$6)*(INDIRECT($E20&amp;"[siteflag]")=$G$2)))/
                      (SUM(INDIRECT($E20&amp;"["&amp;$F20&amp;"]")*(INDIRECT($E20&amp;"[yr]")=P$5)*(INDIRECT($E20&amp;"[wk]")=P$6)*(INDIRECT($E20&amp;"[siteflag]")=$G$2))),0)</f>
        <v>0.96945249847955528</v>
      </c>
      <c r="Q20" s="45">
        <f t="array" aca="1" ref="Q20" ca="1">IFERROR(  (SUM(INDIRECT($E20&amp;"["&amp;$F21&amp;"]")*(INDIRECT($E20&amp;"[yr]")=Q$5)*(INDIRECT($E20&amp;"[wk]")=Q$6)*(INDIRECT($E20&amp;"[siteflag]")=$G$2)))/
                      (SUM(INDIRECT($E20&amp;"["&amp;$F20&amp;"]")*(INDIRECT($E20&amp;"[yr]")=Q$5)*(INDIRECT($E20&amp;"[wk]")=Q$6)*(INDIRECT($E20&amp;"[siteflag]")=$G$2))),0)</f>
        <v>0.96770306597349687</v>
      </c>
      <c r="R20" s="45">
        <f t="array" aca="1" ref="R20" ca="1">IFERROR(  (SUM(INDIRECT($E20&amp;"["&amp;$F21&amp;"]")*(INDIRECT($E20&amp;"[yr]")=R$5)*(INDIRECT($E20&amp;"[wk]")=R$6)*(INDIRECT($E20&amp;"[siteflag]")=$G$2)))/
                      (SUM(INDIRECT($E20&amp;"["&amp;$F20&amp;"]")*(INDIRECT($E20&amp;"[yr]")=R$5)*(INDIRECT($E20&amp;"[wk]")=R$6)*(INDIRECT($E20&amp;"[siteflag]")=$G$2))),0)</f>
        <v>0.95770607872417712</v>
      </c>
      <c r="S20" s="163">
        <f t="array" aca="1" ref="S20" ca="1">IFERROR(  (SUM(INDIRECT($E20&amp;"["&amp;$F21&amp;"]")*(INDIRECT($E20&amp;"[yr]")=S$5)*(INDIRECT($E20&amp;"[wk]")=S$6)*(INDIRECT($E20&amp;"[siteflag]")=$G$2)))/
                      (SUM(INDIRECT($E20&amp;"["&amp;$F20&amp;"]")*(INDIRECT($E20&amp;"[yr]")=S$5)*(INDIRECT($E20&amp;"[wk]")=S$6)*(INDIRECT($E20&amp;"[siteflag]")=$G$2))),0)</f>
        <v>0.96428045022109077</v>
      </c>
      <c r="T20" s="162">
        <f t="array" aca="1" ref="T20" ca="1">IFERROR(  (SUM(INDIRECT($E20&amp;"["&amp;$F21&amp;"]")*(INDIRECT($E20&amp;"[yr]")=T$5)*(INDIRECT($E20&amp;"[wk]")=T$6)*(INDIRECT($E20&amp;"[siteflag]")=$G$2)))/
                      (SUM(INDIRECT($E20&amp;"["&amp;$F20&amp;"]")*(INDIRECT($E20&amp;"[yr]")=T$5)*(INDIRECT($E20&amp;"[wk]")=T$6)*(INDIRECT($E20&amp;"[siteflag]")=$G$2))),0)</f>
        <v>0.95915227752876564</v>
      </c>
      <c r="U20" s="293">
        <f t="array" aca="1" ref="U20" ca="1">SUM(Q20:T20*Q69:T69)/SUM(Q69:T69)</f>
        <v>0.96214066013713107</v>
      </c>
      <c r="V20" s="47">
        <f ca="1">SUM(T20/S20)-1</f>
        <v>-5.3181340461162518E-3</v>
      </c>
      <c r="W20" s="219">
        <v>0.99</v>
      </c>
      <c r="X20" s="49"/>
    </row>
    <row r="21" spans="2:24" ht="14.15" customHeight="1" x14ac:dyDescent="0.4">
      <c r="B21" s="329"/>
      <c r="D21" s="202" t="s">
        <v>67</v>
      </c>
      <c r="E21" s="40"/>
      <c r="F21" s="40" t="s">
        <v>372</v>
      </c>
      <c r="G21" s="40"/>
      <c r="H21" s="40"/>
      <c r="I21" s="226">
        <f t="array" aca="1" ref="I21" ca="1">IFERROR(  I20/((SUM(INDIRECT($E20&amp;"["&amp;$F21&amp;"]")*(INDIRECT($E20&amp;"[yr]")=I$5-1)*(INDIRECT($E20&amp;"[wk]")=I$6)*(INDIRECT($E20&amp;"[siteflag]")=$G$2)))/
                      (SUM(INDIRECT($E20&amp;"["&amp;$F20&amp;"]")*(INDIRECT($E20&amp;"[yr]")=I$5-1)*(INDIRECT($E20&amp;"[wk]")=I$6)*(INDIRECT($E20&amp;"[siteflag]")=$G$2))))-1,0)</f>
        <v>0.52284659220839291</v>
      </c>
      <c r="J21" s="226">
        <f t="array" aca="1" ref="J21" ca="1">IFERROR(  J20/((SUM(INDIRECT($E20&amp;"["&amp;$F21&amp;"]")*(INDIRECT($E20&amp;"[yr]")=J$5-1)*(INDIRECT($E20&amp;"[wk]")=J$6)*(INDIRECT($E20&amp;"[siteflag]")=$G$2)))/
                      (SUM(INDIRECT($E20&amp;"["&amp;$F20&amp;"]")*(INDIRECT($E20&amp;"[yr]")=J$5-1)*(INDIRECT($E20&amp;"[wk]")=J$6)*(INDIRECT($E20&amp;"[siteflag]")=$G$2))))-1,0)</f>
        <v>0.51467450105896062</v>
      </c>
      <c r="K21" s="226">
        <f t="array" aca="1" ref="K21" ca="1">IFERROR(  K20/((SUM(INDIRECT($E20&amp;"["&amp;$F21&amp;"]")*(INDIRECT($E20&amp;"[yr]")=K$5-1)*(INDIRECT($E20&amp;"[wk]")=K$6)*(INDIRECT($E20&amp;"[siteflag]")=$G$2)))/
                      (SUM(INDIRECT($E20&amp;"["&amp;$F20&amp;"]")*(INDIRECT($E20&amp;"[yr]")=K$5-1)*(INDIRECT($E20&amp;"[wk]")=K$6)*(INDIRECT($E20&amp;"[siteflag]")=$G$2))))-1,0)</f>
        <v>0.60125479633260914</v>
      </c>
      <c r="L21" s="226">
        <f t="array" aca="1" ref="L21" ca="1">IFERROR(  L20/((SUM(INDIRECT($E20&amp;"["&amp;$F21&amp;"]")*(INDIRECT($E20&amp;"[yr]")=L$5-1)*(INDIRECT($E20&amp;"[wk]")=L$6)*(INDIRECT($E20&amp;"[siteflag]")=$G$2)))/
                      (SUM(INDIRECT($E20&amp;"["&amp;$F20&amp;"]")*(INDIRECT($E20&amp;"[yr]")=L$5-1)*(INDIRECT($E20&amp;"[wk]")=L$6)*(INDIRECT($E20&amp;"[siteflag]")=$G$2))))-1,0)</f>
        <v>0.69701608591687592</v>
      </c>
      <c r="M21" s="226">
        <f t="array" aca="1" ref="M21" ca="1">IFERROR(  M20/((SUM(INDIRECT($E20&amp;"["&amp;$F21&amp;"]")*(INDIRECT($E20&amp;"[yr]")=M$5-1)*(INDIRECT($E20&amp;"[wk]")=M$6)*(INDIRECT($E20&amp;"[siteflag]")=$G$2)))/
                      (SUM(INDIRECT($E20&amp;"["&amp;$F20&amp;"]")*(INDIRECT($E20&amp;"[yr]")=M$5-1)*(INDIRECT($E20&amp;"[wk]")=M$6)*(INDIRECT($E20&amp;"[siteflag]")=$G$2))))-1,0)</f>
        <v>0.63162612994572243</v>
      </c>
      <c r="N21" s="226">
        <f t="array" aca="1" ref="N21" ca="1">IFERROR(  N20/((SUM(INDIRECT($E20&amp;"["&amp;$F21&amp;"]")*(INDIRECT($E20&amp;"[yr]")=N$5-1)*(INDIRECT($E20&amp;"[wk]")=N$6)*(INDIRECT($E20&amp;"[siteflag]")=$G$2)))/
                      (SUM(INDIRECT($E20&amp;"["&amp;$F20&amp;"]")*(INDIRECT($E20&amp;"[yr]")=N$5-1)*(INDIRECT($E20&amp;"[wk]")=N$6)*(INDIRECT($E20&amp;"[siteflag]")=$G$2))))-1,0)</f>
        <v>0.50275891405354445</v>
      </c>
      <c r="O21" s="226">
        <f t="array" aca="1" ref="O21" ca="1">IFERROR(  O20/((SUM(INDIRECT($E20&amp;"["&amp;$F21&amp;"]")*(INDIRECT($E20&amp;"[yr]")=O$5-1)*(INDIRECT($E20&amp;"[wk]")=O$6)*(INDIRECT($E20&amp;"[siteflag]")=$G$2)))/
                      (SUM(INDIRECT($E20&amp;"["&amp;$F20&amp;"]")*(INDIRECT($E20&amp;"[yr]")=O$5-1)*(INDIRECT($E20&amp;"[wk]")=O$6)*(INDIRECT($E20&amp;"[siteflag]")=$G$2))))-1,0)</f>
        <v>0.59888320648354698</v>
      </c>
      <c r="P21" s="227">
        <f t="array" aca="1" ref="P21" ca="1">IFERROR(  P20/((SUM(INDIRECT($E20&amp;"["&amp;$F21&amp;"]")*(INDIRECT($E20&amp;"[yr]")=P$5-1)*(INDIRECT($E20&amp;"[wk]")=P$6)*(INDIRECT($E20&amp;"[siteflag]")=$G$2)))/
                      (SUM(INDIRECT($E20&amp;"["&amp;$F20&amp;"]")*(INDIRECT($E20&amp;"[yr]")=P$5-1)*(INDIRECT($E20&amp;"[wk]")=P$6)*(INDIRECT($E20&amp;"[siteflag]")=$G$2))))-1,0)</f>
        <v>0.54838406705286302</v>
      </c>
      <c r="Q21" s="226">
        <f t="array" aca="1" ref="Q21" ca="1">IFERROR(  Q20/((SUM(INDIRECT($E20&amp;"["&amp;$F21&amp;"]")*(INDIRECT($E20&amp;"[yr]")=Q$5-1)*(INDIRECT($E20&amp;"[wk]")=Q$6)*(INDIRECT($E20&amp;"[siteflag]")=$G$2)))/
                      (SUM(INDIRECT($E20&amp;"["&amp;$F20&amp;"]")*(INDIRECT($E20&amp;"[yr]")=Q$5-1)*(INDIRECT($E20&amp;"[wk]")=Q$6)*(INDIRECT($E20&amp;"[siteflag]")=$G$2))))-1,0)</f>
        <v>0.57374382223889686</v>
      </c>
      <c r="R21" s="226">
        <f t="array" aca="1" ref="R21" ca="1">IFERROR(  R20/((SUM(INDIRECT($E20&amp;"["&amp;$F21&amp;"]")*(INDIRECT($E20&amp;"[yr]")=R$5-1)*(INDIRECT($E20&amp;"[wk]")=R$6)*(INDIRECT($E20&amp;"[siteflag]")=$G$2)))/
                      (SUM(INDIRECT($E20&amp;"["&amp;$F20&amp;"]")*(INDIRECT($E20&amp;"[yr]")=R$5-1)*(INDIRECT($E20&amp;"[wk]")=R$6)*(INDIRECT($E20&amp;"[siteflag]")=$G$2))))-1,0)</f>
        <v>0.60113349504657831</v>
      </c>
      <c r="S21" s="66">
        <f t="array" aca="1" ref="S21" ca="1">IFERROR(  S20/((SUM(INDIRECT($E20&amp;"["&amp;$F21&amp;"]")*(INDIRECT($E20&amp;"[yr]")=S$5-1)*(INDIRECT($E20&amp;"[wk]")=S$6)*(INDIRECT($E20&amp;"[siteflag]")=$G$2)))/
                      (SUM(INDIRECT($E20&amp;"["&amp;$F20&amp;"]")*(INDIRECT($E20&amp;"[yr]")=S$5-1)*(INDIRECT($E20&amp;"[wk]")=S$6)*(INDIRECT($E20&amp;"[siteflag]")=$G$2))))-1,0)</f>
        <v>0.4752364743065205</v>
      </c>
      <c r="T21" s="50">
        <f t="array" aca="1" ref="T21" ca="1">IFERROR(  T20/((SUM(INDIRECT($E20&amp;"["&amp;$F21&amp;"]")*(INDIRECT($E20&amp;"[yr]")=T$5-1)*(INDIRECT($E20&amp;"[wk]")=T$6)*(INDIRECT($E20&amp;"[siteflag]")=$G$2)))/
                      (SUM(INDIRECT($E20&amp;"["&amp;$F20&amp;"]")*(INDIRECT($E20&amp;"[yr]")=T$5-1)*(INDIRECT($E20&amp;"[wk]")=T$6)*(INDIRECT($E20&amp;"[siteflag]")=$G$2))))-1,0)</f>
        <v>0.4275780968431353</v>
      </c>
      <c r="U21" s="53">
        <f t="array" aca="1" ref="U21" ca="1">SUM(Q21:T21*Q69:T69)/SUM(Q69:T69)</f>
        <v>0.52177504293624855</v>
      </c>
      <c r="V21" s="54"/>
      <c r="W21" s="55"/>
      <c r="X21" s="56"/>
    </row>
    <row r="22" spans="2:24" ht="3" customHeight="1" x14ac:dyDescent="0.4">
      <c r="B22" s="329"/>
      <c r="D22" s="61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61"/>
      <c r="Q22" s="57"/>
      <c r="R22" s="57"/>
      <c r="S22" s="149"/>
      <c r="T22" s="149"/>
      <c r="U22" s="60"/>
      <c r="V22" s="61"/>
      <c r="W22" s="62"/>
      <c r="X22" s="61"/>
    </row>
    <row r="23" spans="2:24" ht="14.15" customHeight="1" x14ac:dyDescent="0.4">
      <c r="B23" s="329"/>
      <c r="D23" s="270" t="s">
        <v>532</v>
      </c>
      <c r="E23" t="s">
        <v>404</v>
      </c>
      <c r="F23" t="s">
        <v>291</v>
      </c>
      <c r="I23" s="45">
        <f t="array" aca="1" ref="I23" ca="1">IFERROR(  (SUM(INDIRECT($E23&amp;"["&amp;$F24&amp;"]")*(INDIRECT($E23&amp;"[yr]")=I$5)*(INDIRECT($E23&amp;"[wk]")=I$6)*(INDIRECT($E23&amp;"[siteflag]")=$G$2)))/
                      (SUM(INDIRECT($E23&amp;"["&amp;$F23&amp;"]")*(INDIRECT($E23&amp;"[yr]")=I$5)*(INDIRECT($E23&amp;"[wk]")=I$6)*(INDIRECT($E23&amp;"[siteflag]")=$G$2))),0)</f>
        <v>0.87354236848924594</v>
      </c>
      <c r="J23" s="45">
        <f t="array" aca="1" ref="J23" ca="1">IFERROR(  (SUM(INDIRECT($E23&amp;"["&amp;$F24&amp;"]")*(INDIRECT($E23&amp;"[yr]")=J$5)*(INDIRECT($E23&amp;"[wk]")=J$6)*(INDIRECT($E23&amp;"[siteflag]")=$G$2)))/
                      (SUM(INDIRECT($E23&amp;"["&amp;$F23&amp;"]")*(INDIRECT($E23&amp;"[yr]")=J$5)*(INDIRECT($E23&amp;"[wk]")=J$6)*(INDIRECT($E23&amp;"[siteflag]")=$G$2))),0)</f>
        <v>0.89037725533078182</v>
      </c>
      <c r="K23" s="45">
        <f t="array" aca="1" ref="K23" ca="1">IFERROR(  (SUM(INDIRECT($E23&amp;"["&amp;$F24&amp;"]")*(INDIRECT($E23&amp;"[yr]")=K$5)*(INDIRECT($E23&amp;"[wk]")=K$6)*(INDIRECT($E23&amp;"[siteflag]")=$G$2)))/
                      (SUM(INDIRECT($E23&amp;"["&amp;$F23&amp;"]")*(INDIRECT($E23&amp;"[yr]")=K$5)*(INDIRECT($E23&amp;"[wk]")=K$6)*(INDIRECT($E23&amp;"[siteflag]")=$G$2))),0)</f>
        <v>0.89403943354127768</v>
      </c>
      <c r="L23" s="45">
        <f t="array" aca="1" ref="L23" ca="1">IFERROR(  (SUM(INDIRECT($E23&amp;"["&amp;$F24&amp;"]")*(INDIRECT($E23&amp;"[yr]")=L$5)*(INDIRECT($E23&amp;"[wk]")=L$6)*(INDIRECT($E23&amp;"[siteflag]")=$G$2)))/
                      (SUM(INDIRECT($E23&amp;"["&amp;$F23&amp;"]")*(INDIRECT($E23&amp;"[yr]")=L$5)*(INDIRECT($E23&amp;"[wk]")=L$6)*(INDIRECT($E23&amp;"[siteflag]")=$G$2))),0)</f>
        <v>0.93886683788621683</v>
      </c>
      <c r="M23" s="45">
        <f t="array" aca="1" ref="M23" ca="1">IFERROR(  (SUM(INDIRECT($E23&amp;"["&amp;$F24&amp;"]")*(INDIRECT($E23&amp;"[yr]")=M$5)*(INDIRECT($E23&amp;"[wk]")=M$6)*(INDIRECT($E23&amp;"[siteflag]")=$G$2)))/
                      (SUM(INDIRECT($E23&amp;"["&amp;$F23&amp;"]")*(INDIRECT($E23&amp;"[yr]")=M$5)*(INDIRECT($E23&amp;"[wk]")=M$6)*(INDIRECT($E23&amp;"[siteflag]")=$G$2))),0)</f>
        <v>0.9213032872575212</v>
      </c>
      <c r="N23" s="45">
        <f t="array" aca="1" ref="N23" ca="1">IFERROR(  (SUM(INDIRECT($E23&amp;"["&amp;$F24&amp;"]")*(INDIRECT($E23&amp;"[yr]")=N$5)*(INDIRECT($E23&amp;"[wk]")=N$6)*(INDIRECT($E23&amp;"[siteflag]")=$G$2)))/
                      (SUM(INDIRECT($E23&amp;"["&amp;$F23&amp;"]")*(INDIRECT($E23&amp;"[yr]")=N$5)*(INDIRECT($E23&amp;"[wk]")=N$6)*(INDIRECT($E23&amp;"[siteflag]")=$G$2))),0)</f>
        <v>0.89391479594692935</v>
      </c>
      <c r="O23" s="45">
        <f t="array" aca="1" ref="O23" ca="1">IFERROR(  (SUM(INDIRECT($E23&amp;"["&amp;$F24&amp;"]")*(INDIRECT($E23&amp;"[yr]")=O$5)*(INDIRECT($E23&amp;"[wk]")=O$6)*(INDIRECT($E23&amp;"[siteflag]")=$G$2)))/
                      (SUM(INDIRECT($E23&amp;"["&amp;$F23&amp;"]")*(INDIRECT($E23&amp;"[yr]")=O$5)*(INDIRECT($E23&amp;"[wk]")=O$6)*(INDIRECT($E23&amp;"[siteflag]")=$G$2))),0)</f>
        <v>0.92090159033839536</v>
      </c>
      <c r="P23" s="47">
        <f t="array" aca="1" ref="P23" ca="1">IFERROR(  (SUM(INDIRECT($E23&amp;"["&amp;$F24&amp;"]")*(INDIRECT($E23&amp;"[yr]")=P$5)*(INDIRECT($E23&amp;"[wk]")=P$6)*(INDIRECT($E23&amp;"[siteflag]")=$G$2)))/
                      (SUM(INDIRECT($E23&amp;"["&amp;$F23&amp;"]")*(INDIRECT($E23&amp;"[yr]")=P$5)*(INDIRECT($E23&amp;"[wk]")=P$6)*(INDIRECT($E23&amp;"[siteflag]")=$G$2))),0)</f>
        <v>0.90277380611953106</v>
      </c>
      <c r="Q23" s="45">
        <f t="array" aca="1" ref="Q23" ca="1">IFERROR(  (SUM(INDIRECT($E23&amp;"["&amp;$F24&amp;"]")*(INDIRECT($E23&amp;"[yr]")=Q$5)*(INDIRECT($E23&amp;"[wk]")=Q$6)*(INDIRECT($E23&amp;"[siteflag]")=$G$2)))/
                      (SUM(INDIRECT($E23&amp;"["&amp;$F23&amp;"]")*(INDIRECT($E23&amp;"[yr]")=Q$5)*(INDIRECT($E23&amp;"[wk]")=Q$6)*(INDIRECT($E23&amp;"[siteflag]")=$G$2))),0)</f>
        <v>0.90073551044424827</v>
      </c>
      <c r="R23" s="45">
        <f t="array" aca="1" ref="R23" ca="1">IFERROR(  (SUM(INDIRECT($E23&amp;"["&amp;$F24&amp;"]")*(INDIRECT($E23&amp;"[yr]")=R$5)*(INDIRECT($E23&amp;"[wk]")=R$6)*(INDIRECT($E23&amp;"[siteflag]")=$G$2)))/
                      (SUM(INDIRECT($E23&amp;"["&amp;$F23&amp;"]")*(INDIRECT($E23&amp;"[yr]")=R$5)*(INDIRECT($E23&amp;"[wk]")=R$6)*(INDIRECT($E23&amp;"[siteflag]")=$G$2))),0)</f>
        <v>0.90723524656426835</v>
      </c>
      <c r="S23" s="164">
        <f t="array" aca="1" ref="S23" ca="1">IFERROR(  (SUM(INDIRECT($E23&amp;"["&amp;$F24&amp;"]")*(INDIRECT($E23&amp;"[yr]")=S$5)*(INDIRECT($E23&amp;"[wk]")=S$6)*(INDIRECT($E23&amp;"[siteflag]")=$G$2)))/
                      (SUM(INDIRECT($E23&amp;"["&amp;$F23&amp;"]")*(INDIRECT($E23&amp;"[yr]")=S$5)*(INDIRECT($E23&amp;"[wk]")=S$6)*(INDIRECT($E23&amp;"[siteflag]")=$G$2))),0)</f>
        <v>0.89752312108004673</v>
      </c>
      <c r="T23" s="162">
        <f t="array" aca="1" ref="T23" ca="1">IFERROR(  (SUM(INDIRECT($E23&amp;"["&amp;$F24&amp;"]")*(INDIRECT($E23&amp;"[yr]")=T$5)*(INDIRECT($E23&amp;"[wk]")=T$6)*(INDIRECT($E23&amp;"[siteflag]")=$G$2)))/
                      (SUM(INDIRECT($E23&amp;"["&amp;$F23&amp;"]")*(INDIRECT($E23&amp;"[yr]")=T$5)*(INDIRECT($E23&amp;"[wk]")=T$6)*(INDIRECT($E23&amp;"[siteflag]")=$G$2))),0)</f>
        <v>0.91440086280297439</v>
      </c>
      <c r="U23" s="46">
        <f t="array" aca="1" ref="U23" ca="1">SUM(Q23:T23*Q69:T69)/SUM(Q69:T69)</f>
        <v>0.90516506618567327</v>
      </c>
      <c r="V23" s="47">
        <f ca="1">SUM(T23/S23)-1</f>
        <v>1.8804798814116008E-2</v>
      </c>
      <c r="W23" s="219">
        <v>0.99</v>
      </c>
      <c r="X23" s="49"/>
    </row>
    <row r="24" spans="2:24" ht="14.15" customHeight="1" x14ac:dyDescent="0.4">
      <c r="B24" s="329"/>
      <c r="D24" s="202" t="s">
        <v>67</v>
      </c>
      <c r="E24" s="40"/>
      <c r="F24" s="40" t="s">
        <v>372</v>
      </c>
      <c r="G24" s="40"/>
      <c r="H24" s="40"/>
      <c r="I24" s="50">
        <f t="array" aca="1" ref="I24" ca="1">IFERROR(  I23/((SUM(INDIRECT($E23&amp;"["&amp;$F24&amp;"]")*(INDIRECT($E23&amp;"[yr]")=I$5-1)*(INDIRECT($E23&amp;"[wk]")=I$6)*(INDIRECT($E23&amp;"[siteflag]")=$G$2)))/
                      (SUM(INDIRECT($E23&amp;"["&amp;$F23&amp;"]")*(INDIRECT($E23&amp;"[yr]")=I$5-1)*(INDIRECT($E23&amp;"[wk]")=I$6)*(INDIRECT($E23&amp;"[siteflag]")=$G$2))))-1,0)</f>
        <v>-3.1248295199949094E-2</v>
      </c>
      <c r="J24" s="50">
        <f t="array" aca="1" ref="J24" ca="1">IFERROR(  J23/((SUM(INDIRECT($E23&amp;"["&amp;$F24&amp;"]")*(INDIRECT($E23&amp;"[yr]")=J$5-1)*(INDIRECT($E23&amp;"[wk]")=J$6)*(INDIRECT($E23&amp;"[siteflag]")=$G$2)))/
                      (SUM(INDIRECT($E23&amp;"["&amp;$F23&amp;"]")*(INDIRECT($E23&amp;"[yr]")=J$5-1)*(INDIRECT($E23&amp;"[wk]")=J$6)*(INDIRECT($E23&amp;"[siteflag]")=$G$2))))-1,0)</f>
        <v>-1.9701174644443431E-2</v>
      </c>
      <c r="K24" s="50">
        <f t="array" aca="1" ref="K24" ca="1">IFERROR(  K23/((SUM(INDIRECT($E23&amp;"["&amp;$F24&amp;"]")*(INDIRECT($E23&amp;"[yr]")=K$5-1)*(INDIRECT($E23&amp;"[wk]")=K$6)*(INDIRECT($E23&amp;"[siteflag]")=$G$2)))/
                      (SUM(INDIRECT($E23&amp;"["&amp;$F23&amp;"]")*(INDIRECT($E23&amp;"[yr]")=K$5-1)*(INDIRECT($E23&amp;"[wk]")=K$6)*(INDIRECT($E23&amp;"[siteflag]")=$G$2))))-1,0)</f>
        <v>-2.6174524403106414E-2</v>
      </c>
      <c r="L24" s="50">
        <f t="array" aca="1" ref="L24" ca="1">IFERROR(  L23/((SUM(INDIRECT($E23&amp;"["&amp;$F24&amp;"]")*(INDIRECT($E23&amp;"[yr]")=L$5-1)*(INDIRECT($E23&amp;"[wk]")=L$6)*(INDIRECT($E23&amp;"[siteflag]")=$G$2)))/
                      (SUM(INDIRECT($E23&amp;"["&amp;$F23&amp;"]")*(INDIRECT($E23&amp;"[yr]")=L$5-1)*(INDIRECT($E23&amp;"[wk]")=L$6)*(INDIRECT($E23&amp;"[siteflag]")=$G$2))))-1,0)</f>
        <v>2.9998270107939318E-2</v>
      </c>
      <c r="M24" s="50">
        <f t="array" aca="1" ref="M24" ca="1">IFERROR(  M23/((SUM(INDIRECT($E23&amp;"["&amp;$F24&amp;"]")*(INDIRECT($E23&amp;"[yr]")=M$5-1)*(INDIRECT($E23&amp;"[wk]")=M$6)*(INDIRECT($E23&amp;"[siteflag]")=$G$2)))/
                      (SUM(INDIRECT($E23&amp;"["&amp;$F23&amp;"]")*(INDIRECT($E23&amp;"[yr]")=M$5-1)*(INDIRECT($E23&amp;"[wk]")=M$6)*(INDIRECT($E23&amp;"[siteflag]")=$G$2))))-1,0)</f>
        <v>4.0767288836444537E-2</v>
      </c>
      <c r="N24" s="50">
        <f t="array" aca="1" ref="N24" ca="1">IFERROR(  N23/((SUM(INDIRECT($E23&amp;"["&amp;$F24&amp;"]")*(INDIRECT($E23&amp;"[yr]")=N$5-1)*(INDIRECT($E23&amp;"[wk]")=N$6)*(INDIRECT($E23&amp;"[siteflag]")=$G$2)))/
                      (SUM(INDIRECT($E23&amp;"["&amp;$F23&amp;"]")*(INDIRECT($E23&amp;"[yr]")=N$5-1)*(INDIRECT($E23&amp;"[wk]")=N$6)*(INDIRECT($E23&amp;"[siteflag]")=$G$2))))-1,0)</f>
        <v>-2.2157611258886489E-2</v>
      </c>
      <c r="O24" s="50">
        <f t="array" aca="1" ref="O24" ca="1">IFERROR(  O23/((SUM(INDIRECT($E23&amp;"["&amp;$F24&amp;"]")*(INDIRECT($E23&amp;"[yr]")=O$5-1)*(INDIRECT($E23&amp;"[wk]")=O$6)*(INDIRECT($E23&amp;"[siteflag]")=$G$2)))/
                      (SUM(INDIRECT($E23&amp;"["&amp;$F23&amp;"]")*(INDIRECT($E23&amp;"[yr]")=O$5-1)*(INDIRECT($E23&amp;"[wk]")=O$6)*(INDIRECT($E23&amp;"[siteflag]")=$G$2))))-1,0)</f>
        <v>5.8573401609833597E-2</v>
      </c>
      <c r="P24" s="54">
        <f t="array" aca="1" ref="P24" ca="1">IFERROR(  P23/((SUM(INDIRECT($E23&amp;"["&amp;$F24&amp;"]")*(INDIRECT($E23&amp;"[yr]")=P$5-1)*(INDIRECT($E23&amp;"[wk]")=P$6)*(INDIRECT($E23&amp;"[siteflag]")=$G$2)))/
                      (SUM(INDIRECT($E23&amp;"["&amp;$F23&amp;"]")*(INDIRECT($E23&amp;"[yr]")=P$5-1)*(INDIRECT($E23&amp;"[wk]")=P$6)*(INDIRECT($E23&amp;"[siteflag]")=$G$2))))-1,0)</f>
        <v>3.9111734919023089E-2</v>
      </c>
      <c r="Q24" s="50">
        <f t="array" aca="1" ref="Q24" ca="1">IFERROR(  Q23/((SUM(INDIRECT($E23&amp;"["&amp;$F24&amp;"]")*(INDIRECT($E23&amp;"[yr]")=Q$5-1)*(INDIRECT($E23&amp;"[wk]")=Q$6)*(INDIRECT($E23&amp;"[siteflag]")=$G$2)))/
                      (SUM(INDIRECT($E23&amp;"["&amp;$F23&amp;"]")*(INDIRECT($E23&amp;"[yr]")=Q$5-1)*(INDIRECT($E23&amp;"[wk]")=Q$6)*(INDIRECT($E23&amp;"[siteflag]")=$G$2))))-1,0)</f>
        <v>2.0592611272222783E-2</v>
      </c>
      <c r="R24" s="50">
        <f t="array" aca="1" ref="R24" ca="1">IFERROR(  R23/((SUM(INDIRECT($E23&amp;"["&amp;$F24&amp;"]")*(INDIRECT($E23&amp;"[yr]")=R$5-1)*(INDIRECT($E23&amp;"[wk]")=R$6)*(INDIRECT($E23&amp;"[siteflag]")=$G$2)))/
                      (SUM(INDIRECT($E23&amp;"["&amp;$F23&amp;"]")*(INDIRECT($E23&amp;"[yr]")=R$5-1)*(INDIRECT($E23&amp;"[wk]")=R$6)*(INDIRECT($E23&amp;"[siteflag]")=$G$2))))-1,0)</f>
        <v>1.8512379693037984E-2</v>
      </c>
      <c r="S24" s="66">
        <f t="array" aca="1" ref="S24" ca="1">IFERROR(  S23/((SUM(INDIRECT($E23&amp;"["&amp;$F24&amp;"]")*(INDIRECT($E23&amp;"[yr]")=S$5-1)*(INDIRECT($E23&amp;"[wk]")=S$6)*(INDIRECT($E23&amp;"[siteflag]")=$G$2)))/
                      (SUM(INDIRECT($E23&amp;"["&amp;$F23&amp;"]")*(INDIRECT($E23&amp;"[yr]")=S$5-1)*(INDIRECT($E23&amp;"[wk]")=S$6)*(INDIRECT($E23&amp;"[siteflag]")=$G$2))))-1,0)</f>
        <v>-8.5287686721109424E-3</v>
      </c>
      <c r="T24" s="50">
        <f t="array" aca="1" ref="T24" ca="1">IFERROR(  T23/((SUM(INDIRECT($E23&amp;"["&amp;$F24&amp;"]")*(INDIRECT($E23&amp;"[yr]")=T$5-1)*(INDIRECT($E23&amp;"[wk]")=T$6)*(INDIRECT($E23&amp;"[siteflag]")=$G$2)))/
                      (SUM(INDIRECT($E23&amp;"["&amp;$F23&amp;"]")*(INDIRECT($E23&amp;"[yr]")=T$5-1)*(INDIRECT($E23&amp;"[wk]")=T$6)*(INDIRECT($E23&amp;"[siteflag]")=$G$2))))-1,0)</f>
        <v>3.1030838066536948E-2</v>
      </c>
      <c r="U24" s="53">
        <f t="array" aca="1" ref="U24" ca="1">SUM(Q24:T24*Q69:T69)/SUM(Q69:T69)</f>
        <v>1.6082891524549729E-2</v>
      </c>
      <c r="V24" s="54"/>
      <c r="W24" s="55"/>
      <c r="X24" s="56"/>
    </row>
    <row r="25" spans="2:24" ht="3" customHeight="1" x14ac:dyDescent="0.4">
      <c r="B25" s="329"/>
      <c r="D25" s="61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61"/>
      <c r="Q25" s="57"/>
      <c r="R25" s="57"/>
      <c r="S25" s="149"/>
      <c r="T25" s="149"/>
      <c r="U25" s="60"/>
      <c r="V25" s="61"/>
      <c r="W25" s="62"/>
      <c r="X25" s="61"/>
    </row>
    <row r="26" spans="2:24" ht="14.15" customHeight="1" outlineLevel="1" x14ac:dyDescent="0.4">
      <c r="B26" s="329"/>
      <c r="D26" s="203" t="s">
        <v>533</v>
      </c>
      <c r="E26" t="s">
        <v>34</v>
      </c>
      <c r="F26" t="s">
        <v>291</v>
      </c>
      <c r="I26" s="45">
        <f t="array" aca="1" ref="I26" ca="1">IFERROR(  (SUM(INDIRECT($E26&amp;"["&amp;$F27&amp;"]")*(INDIRECT($E26&amp;"[yr]")=I$5)*(INDIRECT($E26&amp;"[wk]")=I$6)*(INDIRECT($E26&amp;"[siteflag]")=$G$2)))/
                      (SUM(INDIRECT($E26&amp;"["&amp;$F26&amp;"]")*(INDIRECT($E26&amp;"[yr]")=I$5)*(INDIRECT($E26&amp;"[wk]")=I$6)*(INDIRECT($E26&amp;"[siteflag]")=$G$2))),0)</f>
        <v>0.92936435256240491</v>
      </c>
      <c r="J26" s="45">
        <f t="array" aca="1" ref="J26" ca="1">IFERROR(  (SUM(INDIRECT($E26&amp;"["&amp;$F27&amp;"]")*(INDIRECT($E26&amp;"[yr]")=J$5)*(INDIRECT($E26&amp;"[wk]")=J$6)*(INDIRECT($E26&amp;"[siteflag]")=$G$2)))/
                      (SUM(INDIRECT($E26&amp;"["&amp;$F26&amp;"]")*(INDIRECT($E26&amp;"[yr]")=J$5)*(INDIRECT($E26&amp;"[wk]")=J$6)*(INDIRECT($E26&amp;"[siteflag]")=$G$2))),0)</f>
        <v>0.94422291095011546</v>
      </c>
      <c r="K26" s="45">
        <f t="array" aca="1" ref="K26" ca="1">IFERROR(  (SUM(INDIRECT($E26&amp;"["&amp;$F27&amp;"]")*(INDIRECT($E26&amp;"[yr]")=K$5)*(INDIRECT($E26&amp;"[wk]")=K$6)*(INDIRECT($E26&amp;"[siteflag]")=$G$2)))/
                      (SUM(INDIRECT($E26&amp;"["&amp;$F26&amp;"]")*(INDIRECT($E26&amp;"[yr]")=K$5)*(INDIRECT($E26&amp;"[wk]")=K$6)*(INDIRECT($E26&amp;"[siteflag]")=$G$2))),0)</f>
        <v>0.96228120919051297</v>
      </c>
      <c r="L26" s="45">
        <f t="array" aca="1" ref="L26" ca="1">IFERROR(  (SUM(INDIRECT($E26&amp;"["&amp;$F27&amp;"]")*(INDIRECT($E26&amp;"[yr]")=L$5)*(INDIRECT($E26&amp;"[wk]")=L$6)*(INDIRECT($E26&amp;"[siteflag]")=$G$2)))/
                      (SUM(INDIRECT($E26&amp;"["&amp;$F26&amp;"]")*(INDIRECT($E26&amp;"[yr]")=L$5)*(INDIRECT($E26&amp;"[wk]")=L$6)*(INDIRECT($E26&amp;"[siteflag]")=$G$2))),0)</f>
        <v>0.98111544756389268</v>
      </c>
      <c r="M26" s="45">
        <f t="array" aca="1" ref="M26" ca="1">IFERROR(  (SUM(INDIRECT($E26&amp;"["&amp;$F27&amp;"]")*(INDIRECT($E26&amp;"[yr]")=M$5)*(INDIRECT($E26&amp;"[wk]")=M$6)*(INDIRECT($E26&amp;"[siteflag]")=$G$2)))/
                      (SUM(INDIRECT($E26&amp;"["&amp;$F26&amp;"]")*(INDIRECT($E26&amp;"[yr]")=M$5)*(INDIRECT($E26&amp;"[wk]")=M$6)*(INDIRECT($E26&amp;"[siteflag]")=$G$2))),0)</f>
        <v>0.98190426799577202</v>
      </c>
      <c r="N26" s="45">
        <f t="array" aca="1" ref="N26" ca="1">IFERROR(  (SUM(INDIRECT($E26&amp;"["&amp;$F27&amp;"]")*(INDIRECT($E26&amp;"[yr]")=N$5)*(INDIRECT($E26&amp;"[wk]")=N$6)*(INDIRECT($E26&amp;"[siteflag]")=$G$2)))/
                      (SUM(INDIRECT($E26&amp;"["&amp;$F26&amp;"]")*(INDIRECT($E26&amp;"[yr]")=N$5)*(INDIRECT($E26&amp;"[wk]")=N$6)*(INDIRECT($E26&amp;"[siteflag]")=$G$2))),0)</f>
        <v>0.98083035877126701</v>
      </c>
      <c r="O26" s="45">
        <f t="array" aca="1" ref="O26" ca="1">IFERROR(  (SUM(INDIRECT($E26&amp;"["&amp;$F27&amp;"]")*(INDIRECT($E26&amp;"[yr]")=O$5)*(INDIRECT($E26&amp;"[wk]")=O$6)*(INDIRECT($E26&amp;"[siteflag]")=$G$2)))/
                      (SUM(INDIRECT($E26&amp;"["&amp;$F26&amp;"]")*(INDIRECT($E26&amp;"[yr]")=O$5)*(INDIRECT($E26&amp;"[wk]")=O$6)*(INDIRECT($E26&amp;"[siteflag]")=$G$2))),0)</f>
        <v>0.97678815281476827</v>
      </c>
      <c r="P26" s="47">
        <f t="array" aca="1" ref="P26" ca="1">IFERROR(  (SUM(INDIRECT($E26&amp;"["&amp;$F27&amp;"]")*(INDIRECT($E26&amp;"[yr]")=P$5)*(INDIRECT($E26&amp;"[wk]")=P$6)*(INDIRECT($E26&amp;"[siteflag]")=$G$2)))/
                      (SUM(INDIRECT($E26&amp;"["&amp;$F26&amp;"]")*(INDIRECT($E26&amp;"[yr]")=P$5)*(INDIRECT($E26&amp;"[wk]")=P$6)*(INDIRECT($E26&amp;"[siteflag]")=$G$2))),0)</f>
        <v>0.97354628545045696</v>
      </c>
      <c r="Q26" s="45">
        <f t="array" aca="1" ref="Q26" ca="1">IFERROR(  (SUM(INDIRECT($E26&amp;"["&amp;$F27&amp;"]")*(INDIRECT($E26&amp;"[yr]")=Q$5)*(INDIRECT($E26&amp;"[wk]")=Q$6)*(INDIRECT($E26&amp;"[siteflag]")=$G$2)))/
                      (SUM(INDIRECT($E26&amp;"["&amp;$F26&amp;"]")*(INDIRECT($E26&amp;"[yr]")=Q$5)*(INDIRECT($E26&amp;"[wk]")=Q$6)*(INDIRECT($E26&amp;"[siteflag]")=$G$2))),0)</f>
        <v>0.97160446692755564</v>
      </c>
      <c r="R26" s="45">
        <f t="array" aca="1" ref="R26" ca="1">IFERROR(  (SUM(INDIRECT($E26&amp;"["&amp;$F27&amp;"]")*(INDIRECT($E26&amp;"[yr]")=R$5)*(INDIRECT($E26&amp;"[wk]")=R$6)*(INDIRECT($E26&amp;"[siteflag]")=$G$2)))/
                      (SUM(INDIRECT($E26&amp;"["&amp;$F26&amp;"]")*(INDIRECT($E26&amp;"[yr]")=R$5)*(INDIRECT($E26&amp;"[wk]")=R$6)*(INDIRECT($E26&amp;"[siteflag]")=$G$2))),0)</f>
        <v>0.96105693046234153</v>
      </c>
      <c r="S26" s="163">
        <f t="array" aca="1" ref="S26" ca="1">IFERROR(  (SUM(INDIRECT($E26&amp;"["&amp;$F27&amp;"]")*(INDIRECT($E26&amp;"[yr]")=S$5)*(INDIRECT($E26&amp;"[wk]")=S$6)*(INDIRECT($E26&amp;"[siteflag]")=$G$2)))/
                      (SUM(INDIRECT($E26&amp;"["&amp;$F26&amp;"]")*(INDIRECT($E26&amp;"[yr]")=S$5)*(INDIRECT($E26&amp;"[wk]")=S$6)*(INDIRECT($E26&amp;"[siteflag]")=$G$2))),0)</f>
        <v>0.97239599149711509</v>
      </c>
      <c r="T26" s="162">
        <f t="array" aca="1" ref="T26" ca="1">IFERROR(  (SUM(INDIRECT($E26&amp;"["&amp;$F27&amp;"]")*(INDIRECT($E26&amp;"[yr]")=T$5)*(INDIRECT($E26&amp;"[wk]")=T$6)*(INDIRECT($E26&amp;"[siteflag]")=$G$2)))/
                      (SUM(INDIRECT($E26&amp;"["&amp;$F26&amp;"]")*(INDIRECT($E26&amp;"[yr]")=T$5)*(INDIRECT($E26&amp;"[wk]")=T$6)*(INDIRECT($E26&amp;"[siteflag]")=$G$2))),0)</f>
        <v>0.96200737685556992</v>
      </c>
      <c r="U26" s="46">
        <f t="array" aca="1" ref="U26" ca="1">SUM(Q26:T26*Q69:T69)/SUM(Q69:T69)</f>
        <v>0.96658766710455934</v>
      </c>
      <c r="V26" s="47">
        <f ca="1">SUM(T26/S26)-1</f>
        <v>-1.0683522692797931E-2</v>
      </c>
      <c r="W26" s="48">
        <v>0.995</v>
      </c>
      <c r="X26" s="49"/>
    </row>
    <row r="27" spans="2:24" ht="14.15" customHeight="1" outlineLevel="1" x14ac:dyDescent="0.4">
      <c r="B27" s="329"/>
      <c r="D27" s="202" t="s">
        <v>67</v>
      </c>
      <c r="E27" s="40"/>
      <c r="F27" s="40" t="s">
        <v>372</v>
      </c>
      <c r="G27" s="40"/>
      <c r="H27" s="40"/>
      <c r="I27" s="226">
        <f t="array" aca="1" ref="I27" ca="1">IFERROR(  I26/((SUM(INDIRECT($E26&amp;"["&amp;$F27&amp;"]")*(INDIRECT($E26&amp;"[yr]")=I$5-1)*(INDIRECT($E26&amp;"[wk]")=I$6)*(INDIRECT($E26&amp;"[siteflag]")=$G$2)))/
                      (SUM(INDIRECT($E26&amp;"["&amp;$F26&amp;"]")*(INDIRECT($E26&amp;"[yr]")=I$5-1)*(INDIRECT($E26&amp;"[wk]")=I$6)*(INDIRECT($E26&amp;"[siteflag]")=$G$2))))-1,0)</f>
        <v>0.52509290172976075</v>
      </c>
      <c r="J27" s="226">
        <f t="array" aca="1" ref="J27" ca="1">IFERROR(  J26/((SUM(INDIRECT($E26&amp;"["&amp;$F27&amp;"]")*(INDIRECT($E26&amp;"[yr]")=J$5-1)*(INDIRECT($E26&amp;"[wk]")=J$6)*(INDIRECT($E26&amp;"[siteflag]")=$G$2)))/
                      (SUM(INDIRECT($E26&amp;"["&amp;$F26&amp;"]")*(INDIRECT($E26&amp;"[yr]")=J$5-1)*(INDIRECT($E26&amp;"[wk]")=J$6)*(INDIRECT($E26&amp;"[siteflag]")=$G$2))))-1,0)</f>
        <v>0.51025008007997874</v>
      </c>
      <c r="K27" s="226">
        <f t="array" aca="1" ref="K27" ca="1">IFERROR(  K26/((SUM(INDIRECT($E26&amp;"["&amp;$F27&amp;"]")*(INDIRECT($E26&amp;"[yr]")=K$5-1)*(INDIRECT($E26&amp;"[wk]")=K$6)*(INDIRECT($E26&amp;"[siteflag]")=$G$2)))/
                      (SUM(INDIRECT($E26&amp;"["&amp;$F26&amp;"]")*(INDIRECT($E26&amp;"[yr]")=K$5-1)*(INDIRECT($E26&amp;"[wk]")=K$6)*(INDIRECT($E26&amp;"[siteflag]")=$G$2))))-1,0)</f>
        <v>0.60413268286382293</v>
      </c>
      <c r="L27" s="226">
        <f t="array" aca="1" ref="L27" ca="1">IFERROR(  L26/((SUM(INDIRECT($E26&amp;"["&amp;$F27&amp;"]")*(INDIRECT($E26&amp;"[yr]")=L$5-1)*(INDIRECT($E26&amp;"[wk]")=L$6)*(INDIRECT($E26&amp;"[siteflag]")=$G$2)))/
                      (SUM(INDIRECT($E26&amp;"["&amp;$F26&amp;"]")*(INDIRECT($E26&amp;"[yr]")=L$5-1)*(INDIRECT($E26&amp;"[wk]")=L$6)*(INDIRECT($E26&amp;"[siteflag]")=$G$2))))-1,0)</f>
        <v>0.69613743471869194</v>
      </c>
      <c r="M27" s="226">
        <f t="array" aca="1" ref="M27" ca="1">IFERROR(  M26/((SUM(INDIRECT($E26&amp;"["&amp;$F27&amp;"]")*(INDIRECT($E26&amp;"[yr]")=M$5-1)*(INDIRECT($E26&amp;"[wk]")=M$6)*(INDIRECT($E26&amp;"[siteflag]")=$G$2)))/
                      (SUM(INDIRECT($E26&amp;"["&amp;$F26&amp;"]")*(INDIRECT($E26&amp;"[yr]")=M$5-1)*(INDIRECT($E26&amp;"[wk]")=M$6)*(INDIRECT($E26&amp;"[siteflag]")=$G$2))))-1,0)</f>
        <v>0.63543134254389555</v>
      </c>
      <c r="N27" s="226">
        <f t="array" aca="1" ref="N27" ca="1">IFERROR(  N26/((SUM(INDIRECT($E26&amp;"["&amp;$F27&amp;"]")*(INDIRECT($E26&amp;"[yr]")=N$5-1)*(INDIRECT($E26&amp;"[wk]")=N$6)*(INDIRECT($E26&amp;"[siteflag]")=$G$2)))/
                      (SUM(INDIRECT($E26&amp;"["&amp;$F26&amp;"]")*(INDIRECT($E26&amp;"[yr]")=N$5-1)*(INDIRECT($E26&amp;"[wk]")=N$6)*(INDIRECT($E26&amp;"[siteflag]")=$G$2))))-1,0)</f>
        <v>0.49892338393353519</v>
      </c>
      <c r="O27" s="226">
        <f t="array" aca="1" ref="O27" ca="1">IFERROR(  O26/((SUM(INDIRECT($E26&amp;"["&amp;$F27&amp;"]")*(INDIRECT($E26&amp;"[yr]")=O$5-1)*(INDIRECT($E26&amp;"[wk]")=O$6)*(INDIRECT($E26&amp;"[siteflag]")=$G$2)))/
                      (SUM(INDIRECT($E26&amp;"["&amp;$F26&amp;"]")*(INDIRECT($E26&amp;"[yr]")=O$5-1)*(INDIRECT($E26&amp;"[wk]")=O$6)*(INDIRECT($E26&amp;"[siteflag]")=$G$2))))-1,0)</f>
        <v>0.58126756314768602</v>
      </c>
      <c r="P27" s="227">
        <f t="array" aca="1" ref="P27" ca="1">IFERROR(  P26/((SUM(INDIRECT($E26&amp;"["&amp;$F27&amp;"]")*(INDIRECT($E26&amp;"[yr]")=P$5-1)*(INDIRECT($E26&amp;"[wk]")=P$6)*(INDIRECT($E26&amp;"[siteflag]")=$G$2)))/
                      (SUM(INDIRECT($E26&amp;"["&amp;$F26&amp;"]")*(INDIRECT($E26&amp;"[yr]")=P$5-1)*(INDIRECT($E26&amp;"[wk]")=P$6)*(INDIRECT($E26&amp;"[siteflag]")=$G$2))))-1,0)</f>
        <v>0.53375783288590006</v>
      </c>
      <c r="Q27" s="226">
        <f t="array" aca="1" ref="Q27" ca="1">IFERROR(  Q26/((SUM(INDIRECT($E26&amp;"["&amp;$F27&amp;"]")*(INDIRECT($E26&amp;"[yr]")=Q$5-1)*(INDIRECT($E26&amp;"[wk]")=Q$6)*(INDIRECT($E26&amp;"[siteflag]")=$G$2)))/
                      (SUM(INDIRECT($E26&amp;"["&amp;$F26&amp;"]")*(INDIRECT($E26&amp;"[yr]")=Q$5-1)*(INDIRECT($E26&amp;"[wk]")=Q$6)*(INDIRECT($E26&amp;"[siteflag]")=$G$2))))-1,0)</f>
        <v>0.55146853272706009</v>
      </c>
      <c r="R27" s="226">
        <f t="array" aca="1" ref="R27" ca="1">IFERROR(  R26/((SUM(INDIRECT($E26&amp;"["&amp;$F27&amp;"]")*(INDIRECT($E26&amp;"[yr]")=R$5-1)*(INDIRECT($E26&amp;"[wk]")=R$6)*(INDIRECT($E26&amp;"[siteflag]")=$G$2)))/
                      (SUM(INDIRECT($E26&amp;"["&amp;$F26&amp;"]")*(INDIRECT($E26&amp;"[yr]")=R$5-1)*(INDIRECT($E26&amp;"[wk]")=R$6)*(INDIRECT($E26&amp;"[siteflag]")=$G$2))))-1,0)</f>
        <v>0.59213655118170472</v>
      </c>
      <c r="S27" s="66">
        <f t="array" aca="1" ref="S27" ca="1">IFERROR(  S26/((SUM(INDIRECT($E26&amp;"["&amp;$F27&amp;"]")*(INDIRECT($E26&amp;"[yr]")=S$5-1)*(INDIRECT($E26&amp;"[wk]")=S$6)*(INDIRECT($E26&amp;"[siteflag]")=$G$2)))/
                      (SUM(INDIRECT($E26&amp;"["&amp;$F26&amp;"]")*(INDIRECT($E26&amp;"[yr]")=S$5-1)*(INDIRECT($E26&amp;"[wk]")=S$6)*(INDIRECT($E26&amp;"[siteflag]")=$G$2))))-1,0)</f>
        <v>0.47375196157687061</v>
      </c>
      <c r="T27" s="50">
        <f t="array" aca="1" ref="T27" ca="1">IFERROR(  T26/((SUM(INDIRECT($E26&amp;"["&amp;$F27&amp;"]")*(INDIRECT($E26&amp;"[yr]")=T$5-1)*(INDIRECT($E26&amp;"[wk]")=T$6)*(INDIRECT($E26&amp;"[siteflag]")=$G$2)))/
                      (SUM(INDIRECT($E26&amp;"["&amp;$F26&amp;"]")*(INDIRECT($E26&amp;"[yr]")=T$5-1)*(INDIRECT($E26&amp;"[wk]")=T$6)*(INDIRECT($E26&amp;"[siteflag]")=$G$2))))-1,0)</f>
        <v>0.4290189376123521</v>
      </c>
      <c r="U27" s="53">
        <f t="array" aca="1" ref="U27" ca="1">SUM(Q27:T27*Q69:T69)/SUM(Q69:T69)</f>
        <v>0.51368408022348522</v>
      </c>
      <c r="V27" s="54"/>
      <c r="W27" s="55"/>
      <c r="X27" s="56"/>
    </row>
    <row r="28" spans="2:24" ht="3" customHeight="1" outlineLevel="1" x14ac:dyDescent="0.4">
      <c r="B28" s="329"/>
      <c r="D28" s="61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61"/>
      <c r="Q28" s="57"/>
      <c r="R28" s="57"/>
      <c r="S28" s="149"/>
      <c r="T28" s="149"/>
      <c r="U28" s="60"/>
      <c r="V28" s="61"/>
      <c r="W28" s="62"/>
      <c r="X28" s="61"/>
    </row>
    <row r="29" spans="2:24" ht="14.15" customHeight="1" outlineLevel="1" x14ac:dyDescent="0.4">
      <c r="B29" s="329"/>
      <c r="D29" s="271" t="s">
        <v>534</v>
      </c>
      <c r="E29" t="s">
        <v>405</v>
      </c>
      <c r="F29" t="s">
        <v>291</v>
      </c>
      <c r="I29" s="45">
        <f t="array" aca="1" ref="I29" ca="1">IFERROR(  (SUM(INDIRECT($E29&amp;"["&amp;$F30&amp;"]")*(INDIRECT($E29&amp;"[yr]")=I$5)*(INDIRECT($E29&amp;"[wk]")=I$6)*(INDIRECT($E29&amp;"[siteflag]")=$G$2)))/
                      (SUM(INDIRECT($E29&amp;"["&amp;$F29&amp;"]")*(INDIRECT($E29&amp;"[yr]")=I$5)*(INDIRECT($E29&amp;"[wk]")=I$6)*(INDIRECT($E29&amp;"[siteflag]")=$G$2))),0)</f>
        <v>0.90099880970863733</v>
      </c>
      <c r="J29" s="45">
        <f t="array" aca="1" ref="J29" ca="1">IFERROR(  (SUM(INDIRECT($E29&amp;"["&amp;$F30&amp;"]")*(INDIRECT($E29&amp;"[yr]")=J$5)*(INDIRECT($E29&amp;"[wk]")=J$6)*(INDIRECT($E29&amp;"[siteflag]")=$G$2)))/
                      (SUM(INDIRECT($E29&amp;"["&amp;$F29&amp;"]")*(INDIRECT($E29&amp;"[yr]")=J$5)*(INDIRECT($E29&amp;"[wk]")=J$6)*(INDIRECT($E29&amp;"[siteflag]")=$G$2))),0)</f>
        <v>0.90968235744355153</v>
      </c>
      <c r="K29" s="45">
        <f t="array" aca="1" ref="K29" ca="1">IFERROR(  (SUM(INDIRECT($E29&amp;"["&amp;$F30&amp;"]")*(INDIRECT($E29&amp;"[yr]")=K$5)*(INDIRECT($E29&amp;"[wk]")=K$6)*(INDIRECT($E29&amp;"[siteflag]")=$G$2)))/
                      (SUM(INDIRECT($E29&amp;"["&amp;$F29&amp;"]")*(INDIRECT($E29&amp;"[yr]")=K$5)*(INDIRECT($E29&amp;"[wk]")=K$6)*(INDIRECT($E29&amp;"[siteflag]")=$G$2))),0)</f>
        <v>0.91066975014737228</v>
      </c>
      <c r="L29" s="45">
        <f t="array" aca="1" ref="L29" ca="1">IFERROR(  (SUM(INDIRECT($E29&amp;"["&amp;$F30&amp;"]")*(INDIRECT($E29&amp;"[yr]")=L$5)*(INDIRECT($E29&amp;"[wk]")=L$6)*(INDIRECT($E29&amp;"[siteflag]")=$G$2)))/
                      (SUM(INDIRECT($E29&amp;"["&amp;$F29&amp;"]")*(INDIRECT($E29&amp;"[yr]")=L$5)*(INDIRECT($E29&amp;"[wk]")=L$6)*(INDIRECT($E29&amp;"[siteflag]")=$G$2))),0)</f>
        <v>0.94426894426894425</v>
      </c>
      <c r="M29" s="45">
        <f t="array" aca="1" ref="M29" ca="1">IFERROR(  (SUM(INDIRECT($E29&amp;"["&amp;$F30&amp;"]")*(INDIRECT($E29&amp;"[yr]")=M$5)*(INDIRECT($E29&amp;"[wk]")=M$6)*(INDIRECT($E29&amp;"[siteflag]")=$G$2)))/
                      (SUM(INDIRECT($E29&amp;"["&amp;$F29&amp;"]")*(INDIRECT($E29&amp;"[yr]")=M$5)*(INDIRECT($E29&amp;"[wk]")=M$6)*(INDIRECT($E29&amp;"[siteflag]")=$G$2))),0)</f>
        <v>0.93671624380285801</v>
      </c>
      <c r="N29" s="45">
        <f t="array" aca="1" ref="N29" ca="1">IFERROR(  (SUM(INDIRECT($E29&amp;"["&amp;$F30&amp;"]")*(INDIRECT($E29&amp;"[yr]")=N$5)*(INDIRECT($E29&amp;"[wk]")=N$6)*(INDIRECT($E29&amp;"[siteflag]")=$G$2)))/
                      (SUM(INDIRECT($E29&amp;"["&amp;$F29&amp;"]")*(INDIRECT($E29&amp;"[yr]")=N$5)*(INDIRECT($E29&amp;"[wk]")=N$6)*(INDIRECT($E29&amp;"[siteflag]")=$G$2))),0)</f>
        <v>0.91130201941314293</v>
      </c>
      <c r="O29" s="45">
        <f t="array" aca="1" ref="O29" ca="1">IFERROR(  (SUM(INDIRECT($E29&amp;"["&amp;$F30&amp;"]")*(INDIRECT($E29&amp;"[yr]")=O$5)*(INDIRECT($E29&amp;"[wk]")=O$6)*(INDIRECT($E29&amp;"[siteflag]")=$G$2)))/
                      (SUM(INDIRECT($E29&amp;"["&amp;$F29&amp;"]")*(INDIRECT($E29&amp;"[yr]")=O$5)*(INDIRECT($E29&amp;"[wk]")=O$6)*(INDIRECT($E29&amp;"[siteflag]")=$G$2))),0)</f>
        <v>0.93742910024479076</v>
      </c>
      <c r="P29" s="47">
        <f t="array" aca="1" ref="P29" ca="1">IFERROR(  (SUM(INDIRECT($E29&amp;"["&amp;$F30&amp;"]")*(INDIRECT($E29&amp;"[yr]")=P$5)*(INDIRECT($E29&amp;"[wk]")=P$6)*(INDIRECT($E29&amp;"[siteflag]")=$G$2)))/
                      (SUM(INDIRECT($E29&amp;"["&amp;$F29&amp;"]")*(INDIRECT($E29&amp;"[yr]")=P$5)*(INDIRECT($E29&amp;"[wk]")=P$6)*(INDIRECT($E29&amp;"[siteflag]")=$G$2))),0)</f>
        <v>0.9179083012138296</v>
      </c>
      <c r="Q29" s="45">
        <f t="array" aca="1" ref="Q29" ca="1">IFERROR(  (SUM(INDIRECT($E29&amp;"["&amp;$F30&amp;"]")*(INDIRECT($E29&amp;"[yr]")=Q$5)*(INDIRECT($E29&amp;"[wk]")=Q$6)*(INDIRECT($E29&amp;"[siteflag]")=$G$2)))/
                      (SUM(INDIRECT($E29&amp;"["&amp;$F29&amp;"]")*(INDIRECT($E29&amp;"[yr]")=Q$5)*(INDIRECT($E29&amp;"[wk]")=Q$6)*(INDIRECT($E29&amp;"[siteflag]")=$G$2))),0)</f>
        <v>0.90983174063434369</v>
      </c>
      <c r="R29" s="45">
        <f t="array" aca="1" ref="R29" ca="1">IFERROR(  (SUM(INDIRECT($E29&amp;"["&amp;$F30&amp;"]")*(INDIRECT($E29&amp;"[yr]")=R$5)*(INDIRECT($E29&amp;"[wk]")=R$6)*(INDIRECT($E29&amp;"[siteflag]")=$G$2)))/
                      (SUM(INDIRECT($E29&amp;"["&amp;$F29&amp;"]")*(INDIRECT($E29&amp;"[yr]")=R$5)*(INDIRECT($E29&amp;"[wk]")=R$6)*(INDIRECT($E29&amp;"[siteflag]")=$G$2))),0)</f>
        <v>0.91654764333809424</v>
      </c>
      <c r="S29" s="164">
        <f t="array" aca="1" ref="S29" ca="1">IFERROR(  (SUM(INDIRECT($E29&amp;"["&amp;$F30&amp;"]")*(INDIRECT($E29&amp;"[yr]")=S$5)*(INDIRECT($E29&amp;"[wk]")=S$6)*(INDIRECT($E29&amp;"[siteflag]")=$G$2)))/
                      (SUM(INDIRECT($E29&amp;"["&amp;$F29&amp;"]")*(INDIRECT($E29&amp;"[yr]")=S$5)*(INDIRECT($E29&amp;"[wk]")=S$6)*(INDIRECT($E29&amp;"[siteflag]")=$G$2))),0)</f>
        <v>0.91954819116628483</v>
      </c>
      <c r="T29" s="162">
        <f t="array" aca="1" ref="T29" ca="1">IFERROR(  (SUM(INDIRECT($E29&amp;"["&amp;$F30&amp;"]")*(INDIRECT($E29&amp;"[yr]")=T$5)*(INDIRECT($E29&amp;"[wk]")=T$6)*(INDIRECT($E29&amp;"[siteflag]")=$G$2)))/
                      (SUM(INDIRECT($E29&amp;"["&amp;$F29&amp;"]")*(INDIRECT($E29&amp;"[yr]")=T$5)*(INDIRECT($E29&amp;"[wk]")=T$6)*(INDIRECT($E29&amp;"[siteflag]")=$G$2))),0)</f>
        <v>0.93001851955777537</v>
      </c>
      <c r="U29" s="46">
        <f t="array" aca="1" ref="U29" ca="1">SUM(Q29:T29*Q69:T69)/SUM(Q69:T69)</f>
        <v>0.91889105883352629</v>
      </c>
      <c r="V29" s="47">
        <f ca="1">SUM(T29/S29)-1</f>
        <v>1.1386383543651846E-2</v>
      </c>
      <c r="W29" s="48">
        <v>0.995</v>
      </c>
      <c r="X29" s="49"/>
    </row>
    <row r="30" spans="2:24" ht="14.15" customHeight="1" outlineLevel="1" x14ac:dyDescent="0.4">
      <c r="B30" s="329"/>
      <c r="D30" s="202" t="s">
        <v>67</v>
      </c>
      <c r="E30" s="40"/>
      <c r="F30" s="40" t="s">
        <v>372</v>
      </c>
      <c r="G30" s="40"/>
      <c r="H30" s="40"/>
      <c r="I30" s="50">
        <f t="array" aca="1" ref="I30" ca="1">IFERROR(  I29/((SUM(INDIRECT($E29&amp;"["&amp;$F30&amp;"]")*(INDIRECT($E29&amp;"[yr]")=I$5-1)*(INDIRECT($E29&amp;"[wk]")=I$6)*(INDIRECT($E29&amp;"[siteflag]")=$G$2)))/
                      (SUM(INDIRECT($E29&amp;"["&amp;$F29&amp;"]")*(INDIRECT($E29&amp;"[yr]")=I$5-1)*(INDIRECT($E29&amp;"[wk]")=I$6)*(INDIRECT($E29&amp;"[siteflag]")=$G$2))))-1,0)</f>
        <v>-2.2100485013839655E-2</v>
      </c>
      <c r="J30" s="50">
        <f t="array" aca="1" ref="J30" ca="1">IFERROR(  J29/((SUM(INDIRECT($E29&amp;"["&amp;$F30&amp;"]")*(INDIRECT($E29&amp;"[yr]")=J$5-1)*(INDIRECT($E29&amp;"[wk]")=J$6)*(INDIRECT($E29&amp;"[siteflag]")=$G$2)))/
                      (SUM(INDIRECT($E29&amp;"["&amp;$F29&amp;"]")*(INDIRECT($E29&amp;"[yr]")=J$5-1)*(INDIRECT($E29&amp;"[wk]")=J$6)*(INDIRECT($E29&amp;"[siteflag]")=$G$2))))-1,0)</f>
        <v>-1.945249386937753E-2</v>
      </c>
      <c r="K30" s="50">
        <f t="array" aca="1" ref="K30" ca="1">IFERROR(  K29/((SUM(INDIRECT($E29&amp;"["&amp;$F30&amp;"]")*(INDIRECT($E29&amp;"[yr]")=K$5-1)*(INDIRECT($E29&amp;"[wk]")=K$6)*(INDIRECT($E29&amp;"[siteflag]")=$G$2)))/
                      (SUM(INDIRECT($E29&amp;"["&amp;$F29&amp;"]")*(INDIRECT($E29&amp;"[yr]")=K$5-1)*(INDIRECT($E29&amp;"[wk]")=K$6)*(INDIRECT($E29&amp;"[siteflag]")=$G$2))))-1,0)</f>
        <v>-1.5246442236097724E-2</v>
      </c>
      <c r="L30" s="50">
        <f t="array" aca="1" ref="L30" ca="1">IFERROR(  L29/((SUM(INDIRECT($E29&amp;"["&amp;$F30&amp;"]")*(INDIRECT($E29&amp;"[yr]")=L$5-1)*(INDIRECT($E29&amp;"[wk]")=L$6)*(INDIRECT($E29&amp;"[siteflag]")=$G$2)))/
                      (SUM(INDIRECT($E29&amp;"["&amp;$F29&amp;"]")*(INDIRECT($E29&amp;"[yr]")=L$5-1)*(INDIRECT($E29&amp;"[wk]")=L$6)*(INDIRECT($E29&amp;"[siteflag]")=$G$2))))-1,0)</f>
        <v>2.3411158684951916E-2</v>
      </c>
      <c r="M30" s="50">
        <f t="array" aca="1" ref="M30" ca="1">IFERROR(  M29/((SUM(INDIRECT($E29&amp;"["&amp;$F30&amp;"]")*(INDIRECT($E29&amp;"[yr]")=M$5-1)*(INDIRECT($E29&amp;"[wk]")=M$6)*(INDIRECT($E29&amp;"[siteflag]")=$G$2)))/
                      (SUM(INDIRECT($E29&amp;"["&amp;$F29&amp;"]")*(INDIRECT($E29&amp;"[yr]")=M$5-1)*(INDIRECT($E29&amp;"[wk]")=M$6)*(INDIRECT($E29&amp;"[siteflag]")=$G$2))))-1,0)</f>
        <v>4.6449745305784607E-2</v>
      </c>
      <c r="N30" s="50">
        <f t="array" aca="1" ref="N30" ca="1">IFERROR(  N29/((SUM(INDIRECT($E29&amp;"["&amp;$F30&amp;"]")*(INDIRECT($E29&amp;"[yr]")=N$5-1)*(INDIRECT($E29&amp;"[wk]")=N$6)*(INDIRECT($E29&amp;"[siteflag]")=$G$2)))/
                      (SUM(INDIRECT($E29&amp;"["&amp;$F29&amp;"]")*(INDIRECT($E29&amp;"[yr]")=N$5-1)*(INDIRECT($E29&amp;"[wk]")=N$6)*(INDIRECT($E29&amp;"[siteflag]")=$G$2))))-1,0)</f>
        <v>-1.6505615499199044E-2</v>
      </c>
      <c r="O30" s="50">
        <f t="array" aca="1" ref="O30" ca="1">IFERROR(  O29/((SUM(INDIRECT($E29&amp;"["&amp;$F30&amp;"]")*(INDIRECT($E29&amp;"[yr]")=O$5-1)*(INDIRECT($E29&amp;"[wk]")=O$6)*(INDIRECT($E29&amp;"[siteflag]")=$G$2)))/
                      (SUM(INDIRECT($E29&amp;"["&amp;$F29&amp;"]")*(INDIRECT($E29&amp;"[yr]")=O$5-1)*(INDIRECT($E29&amp;"[wk]")=O$6)*(INDIRECT($E29&amp;"[siteflag]")=$G$2))))-1,0)</f>
        <v>3.2028620094682214E-2</v>
      </c>
      <c r="P30" s="54">
        <f t="array" aca="1" ref="P30" ca="1">IFERROR(  P29/((SUM(INDIRECT($E29&amp;"["&amp;$F30&amp;"]")*(INDIRECT($E29&amp;"[yr]")=P$5-1)*(INDIRECT($E29&amp;"[wk]")=P$6)*(INDIRECT($E29&amp;"[siteflag]")=$G$2)))/
                      (SUM(INDIRECT($E29&amp;"["&amp;$F29&amp;"]")*(INDIRECT($E29&amp;"[yr]")=P$5-1)*(INDIRECT($E29&amp;"[wk]")=P$6)*(INDIRECT($E29&amp;"[siteflag]")=$G$2))))-1,0)</f>
        <v>1.0499203731125339E-2</v>
      </c>
      <c r="Q30" s="50">
        <f t="array" aca="1" ref="Q30" ca="1">IFERROR(  Q29/((SUM(INDIRECT($E29&amp;"["&amp;$F30&amp;"]")*(INDIRECT($E29&amp;"[yr]")=Q$5-1)*(INDIRECT($E29&amp;"[wk]")=Q$6)*(INDIRECT($E29&amp;"[siteflag]")=$G$2)))/
                      (SUM(INDIRECT($E29&amp;"["&amp;$F29&amp;"]")*(INDIRECT($E29&amp;"[yr]")=Q$5-1)*(INDIRECT($E29&amp;"[wk]")=Q$6)*(INDIRECT($E29&amp;"[siteflag]")=$G$2))))-1,0)</f>
        <v>8.2804930268165489E-3</v>
      </c>
      <c r="R30" s="50">
        <f t="array" aca="1" ref="R30" ca="1">IFERROR(  R29/((SUM(INDIRECT($E29&amp;"["&amp;$F30&amp;"]")*(INDIRECT($E29&amp;"[yr]")=R$5-1)*(INDIRECT($E29&amp;"[wk]")=R$6)*(INDIRECT($E29&amp;"[siteflag]")=$G$2)))/
                      (SUM(INDIRECT($E29&amp;"["&amp;$F29&amp;"]")*(INDIRECT($E29&amp;"[yr]")=R$5-1)*(INDIRECT($E29&amp;"[wk]")=R$6)*(INDIRECT($E29&amp;"[siteflag]")=$G$2))))-1,0)</f>
        <v>3.6682896731548009E-3</v>
      </c>
      <c r="S30" s="66">
        <f t="array" aca="1" ref="S30" ca="1">IFERROR(  S29/((SUM(INDIRECT($E29&amp;"["&amp;$F30&amp;"]")*(INDIRECT($E29&amp;"[yr]")=S$5-1)*(INDIRECT($E29&amp;"[wk]")=S$6)*(INDIRECT($E29&amp;"[siteflag]")=$G$2)))/
                      (SUM(INDIRECT($E29&amp;"["&amp;$F29&amp;"]")*(INDIRECT($E29&amp;"[yr]")=S$5-1)*(INDIRECT($E29&amp;"[wk]")=S$6)*(INDIRECT($E29&amp;"[siteflag]")=$G$2))))-1,0)</f>
        <v>-1.3858310448084721E-2</v>
      </c>
      <c r="T30" s="50">
        <f t="array" aca="1" ref="T30" ca="1">IFERROR(  T29/((SUM(INDIRECT($E29&amp;"["&amp;$F30&amp;"]")*(INDIRECT($E29&amp;"[yr]")=T$5-1)*(INDIRECT($E29&amp;"[wk]")=T$6)*(INDIRECT($E29&amp;"[siteflag]")=$G$2)))/
                      (SUM(INDIRECT($E29&amp;"["&amp;$F29&amp;"]")*(INDIRECT($E29&amp;"[yr]")=T$5-1)*(INDIRECT($E29&amp;"[wk]")=T$6)*(INDIRECT($E29&amp;"[siteflag]")=$G$2))))-1,0)</f>
        <v>4.046010780815279E-2</v>
      </c>
      <c r="U30" s="53">
        <f t="array" aca="1" ref="U30" ca="1">SUM(Q30:T30*Q69:T69)/SUM(Q69:T69)</f>
        <v>1.0169633651334942E-2</v>
      </c>
      <c r="V30" s="54"/>
      <c r="W30" s="55"/>
      <c r="X30" s="56"/>
    </row>
    <row r="31" spans="2:24" ht="3" customHeight="1" outlineLevel="1" x14ac:dyDescent="0.4">
      <c r="B31" s="329"/>
      <c r="D31" s="201"/>
      <c r="E31" s="63"/>
      <c r="F31" s="63"/>
      <c r="G31" s="63"/>
      <c r="H31" s="63"/>
      <c r="I31" s="64"/>
      <c r="J31" s="64"/>
      <c r="K31" s="64"/>
      <c r="L31" s="64"/>
      <c r="M31" s="64"/>
      <c r="N31" s="64"/>
      <c r="O31" s="64"/>
      <c r="P31" s="47"/>
      <c r="Q31" s="64"/>
      <c r="R31" s="64"/>
      <c r="S31" s="163"/>
      <c r="T31" s="162"/>
      <c r="U31" s="46"/>
      <c r="V31" s="47"/>
      <c r="W31" s="65"/>
      <c r="X31" s="47"/>
    </row>
    <row r="32" spans="2:24" ht="14.15" customHeight="1" x14ac:dyDescent="0.4">
      <c r="B32" s="329"/>
      <c r="D32" s="201" t="s">
        <v>68</v>
      </c>
      <c r="E32" s="63"/>
      <c r="F32" s="63"/>
      <c r="G32" s="63"/>
      <c r="H32" s="63"/>
      <c r="I32" s="64">
        <f t="shared" ref="I32:S32" ca="1" si="2">I35/I38</f>
        <v>9.7259038008952026E-2</v>
      </c>
      <c r="J32" s="64">
        <f t="shared" ca="1" si="2"/>
        <v>0.10880764689344954</v>
      </c>
      <c r="K32" s="64">
        <f t="shared" ca="1" si="2"/>
        <v>8.3567238243052261E-2</v>
      </c>
      <c r="L32" s="64">
        <f t="shared" ca="1" si="2"/>
        <v>4.8635673209861535E-2</v>
      </c>
      <c r="M32" s="64">
        <f t="shared" ca="1" si="2"/>
        <v>4.701074306718498E-2</v>
      </c>
      <c r="N32" s="64">
        <f t="shared" ca="1" si="2"/>
        <v>2.4905848077879624E-2</v>
      </c>
      <c r="O32" s="64">
        <f t="shared" ca="1" si="2"/>
        <v>5.9575776486638539E-2</v>
      </c>
      <c r="P32" s="47">
        <f t="shared" ca="1" si="2"/>
        <v>7.2690616147610021E-2</v>
      </c>
      <c r="Q32" s="64">
        <f t="shared" ca="1" si="2"/>
        <v>4.7771865844545111E-2</v>
      </c>
      <c r="R32" s="64">
        <f t="shared" ca="1" si="2"/>
        <v>4.2730720606826797E-2</v>
      </c>
      <c r="S32" s="163">
        <f t="shared" ca="1" si="2"/>
        <v>2.4561377648225059E-2</v>
      </c>
      <c r="T32" s="162">
        <f ca="1">T35/T38</f>
        <v>4.7685020311538734E-2</v>
      </c>
      <c r="U32" s="46">
        <f ca="1">AVERAGE(Q32:T32)</f>
        <v>4.0687246102783924E-2</v>
      </c>
      <c r="V32" s="47">
        <f t="array" aca="1" ref="V32" ca="1">SUM(T32/S32)-1</f>
        <v>0.94146358541027175</v>
      </c>
      <c r="W32" s="65">
        <v>0.04</v>
      </c>
      <c r="X32" s="49"/>
    </row>
    <row r="33" spans="2:24" ht="14.15" customHeight="1" x14ac:dyDescent="0.4">
      <c r="B33" s="329"/>
      <c r="D33" s="202" t="s">
        <v>67</v>
      </c>
      <c r="E33" s="40"/>
      <c r="F33" s="40"/>
      <c r="G33" s="40"/>
      <c r="H33" s="40"/>
      <c r="I33" s="50">
        <f ca="1">IFERROR(I32/(SUM(INDIRECT($E35&amp;"["&amp;$F35&amp;"]")*(INDIRECT($E35&amp;"[yr]")=(I$5-1))*(INDIRECT($E35&amp;"[wk]")=I$6))/SUM(INDIRECT($E38&amp;"["&amp;$F38&amp;"]")*(INDIRECT($E38&amp;"[yr]")=(I$5-1))*(INDIRECT($E38&amp;"[wk]")=I$6)))-1,0)</f>
        <v>0</v>
      </c>
      <c r="J33" s="50">
        <f t="shared" ref="J33:S33" ca="1" si="3">IFERROR(J32/(SUM(INDIRECT($E35&amp;"["&amp;$F35&amp;"]")*(INDIRECT($E35&amp;"[yr]")=(J$5-1))*(INDIRECT($E35&amp;"[wk]")=J$6))/SUM(INDIRECT($E38&amp;"["&amp;$F38&amp;"]")*(INDIRECT($E38&amp;"[yr]")=(J$5-1))*(INDIRECT($E38&amp;"[wk]")=J$6)))-1,0)</f>
        <v>0</v>
      </c>
      <c r="K33" s="50">
        <f t="shared" ca="1" si="3"/>
        <v>0</v>
      </c>
      <c r="L33" s="50">
        <f t="shared" ca="1" si="3"/>
        <v>0</v>
      </c>
      <c r="M33" s="50">
        <f t="shared" ca="1" si="3"/>
        <v>0</v>
      </c>
      <c r="N33" s="50">
        <f t="shared" ca="1" si="3"/>
        <v>0</v>
      </c>
      <c r="O33" s="50">
        <f t="shared" ca="1" si="3"/>
        <v>0</v>
      </c>
      <c r="P33" s="54">
        <f t="shared" ca="1" si="3"/>
        <v>0</v>
      </c>
      <c r="Q33" s="50">
        <f t="shared" ca="1" si="3"/>
        <v>0</v>
      </c>
      <c r="R33" s="50">
        <f t="shared" ca="1" si="3"/>
        <v>0</v>
      </c>
      <c r="S33" s="66">
        <f t="shared" ca="1" si="3"/>
        <v>0</v>
      </c>
      <c r="T33" s="50">
        <f ca="1">IFERROR(T32/(SUM(INDIRECT($E35&amp;"["&amp;$F35&amp;"]")*(INDIRECT($E35&amp;"[yr]")=(T$5-1))*(INDIRECT($E35&amp;"[wk]")=T$6))/SUM(INDIRECT($E38&amp;"["&amp;$F38&amp;"]")*(INDIRECT($E38&amp;"[yr]")=(T$5-1))*(INDIRECT($E38&amp;"[wk]")=T$6)))-1,0)</f>
        <v>0</v>
      </c>
      <c r="U33" s="53">
        <f ca="1">IFERROR(AVERAGE(Q33:T33),0)</f>
        <v>0</v>
      </c>
      <c r="V33" s="50"/>
      <c r="W33" s="67"/>
      <c r="X33" s="56"/>
    </row>
    <row r="34" spans="2:24" ht="3" customHeight="1" x14ac:dyDescent="0.4">
      <c r="B34" s="329"/>
      <c r="D34" s="202"/>
      <c r="E34" s="40"/>
      <c r="F34" s="40"/>
      <c r="G34" s="40"/>
      <c r="H34" s="40"/>
      <c r="I34" s="50"/>
      <c r="J34" s="50"/>
      <c r="K34" s="50"/>
      <c r="L34" s="50"/>
      <c r="M34" s="50"/>
      <c r="N34" s="50"/>
      <c r="O34" s="50"/>
      <c r="P34" s="50"/>
      <c r="Q34" s="51"/>
      <c r="R34" s="50"/>
      <c r="S34" s="66"/>
      <c r="T34" s="66"/>
      <c r="U34" s="53"/>
      <c r="V34" s="54"/>
      <c r="W34" s="55"/>
      <c r="X34" s="68"/>
    </row>
    <row r="35" spans="2:24" ht="14.15" customHeight="1" x14ac:dyDescent="0.4">
      <c r="B35" s="329"/>
      <c r="D35" s="201" t="s">
        <v>69</v>
      </c>
      <c r="E35" s="63" t="s">
        <v>371</v>
      </c>
      <c r="F35" t="s">
        <v>38</v>
      </c>
      <c r="I35" s="69">
        <f t="array" aca="1" ref="I35" ca="1">SUM(INDIRECT($E35&amp;"["&amp;$F35&amp;"]")*(INDIRECT($E35&amp;"[yr]")=I$5)*(INDIRECT($E35&amp;"[wk]")=I$6)/1000*(IF($G$2=0,1,(INDIRECT($E35&amp;"[siteflag]")=$G$2))))</f>
        <v>2.1526799999999997</v>
      </c>
      <c r="J35" s="69">
        <f t="array" aca="1" ref="J35" ca="1">SUM(INDIRECT($E35&amp;"["&amp;$F35&amp;"]")*(INDIRECT($E35&amp;"[yr]")=J$5)*(INDIRECT($E35&amp;"[wk]")=J$6)/1000*(IF($G$2=0,1,(INDIRECT($E35&amp;"[siteflag]")=$G$2))))</f>
        <v>2.41893</v>
      </c>
      <c r="K35" s="69">
        <f t="array" aca="1" ref="K35" ca="1">SUM(INDIRECT($E35&amp;"["&amp;$F35&amp;"]")*(INDIRECT($E35&amp;"[yr]")=K$5)*(INDIRECT($E35&amp;"[wk]")=K$6)/1000*(IF($G$2=0,1,(INDIRECT($E35&amp;"[siteflag]")=$G$2))))</f>
        <v>1.87805</v>
      </c>
      <c r="L35" s="69">
        <f t="array" aca="1" ref="L35" ca="1">SUM(INDIRECT($E35&amp;"["&amp;$F35&amp;"]")*(INDIRECT($E35&amp;"[yr]")=L$5)*(INDIRECT($E35&amp;"[wk]")=L$6)/1000*(IF($G$2=0,1,(INDIRECT($E35&amp;"[siteflag]")=$G$2))))</f>
        <v>0.98427999999999993</v>
      </c>
      <c r="M35" s="69">
        <f t="array" aca="1" ref="M35" ca="1">SUM(INDIRECT($E35&amp;"["&amp;$F35&amp;"]")*(INDIRECT($E35&amp;"[yr]")=M$5)*(INDIRECT($E35&amp;"[wk]")=M$6)/1000*(IF($G$2=0,1,(INDIRECT($E35&amp;"[siteflag]")=$G$2))))</f>
        <v>0.77760000000000007</v>
      </c>
      <c r="N35" s="69">
        <f t="array" aca="1" ref="N35" ca="1">SUM(INDIRECT($E35&amp;"["&amp;$F35&amp;"]")*(INDIRECT($E35&amp;"[yr]")=N$5)*(INDIRECT($E35&amp;"[wk]")=N$6)/1000*(IF($G$2=0,1,(INDIRECT($E35&amp;"[siteflag]")=$G$2))))</f>
        <v>0.54677999999999993</v>
      </c>
      <c r="O35" s="69">
        <f t="array" aca="1" ref="O35" ca="1">SUM(INDIRECT($E35&amp;"["&amp;$F35&amp;"]")*(INDIRECT($E35&amp;"[yr]")=O$5)*(INDIRECT($E35&amp;"[wk]")=O$6)/1000*(IF($G$2=0,1,(INDIRECT($E35&amp;"[siteflag]")=$G$2))))</f>
        <v>1.3078700000000001</v>
      </c>
      <c r="P35" s="69">
        <f t="array" aca="1" ref="P35" ca="1">SUM(INDIRECT($E35&amp;"["&amp;$F35&amp;"]")*(INDIRECT($E35&amp;"[yr]")=P$5)*(INDIRECT($E35&amp;"[wk]")=P$6)/1000*(IF($G$2=0,1,(INDIRECT($E35&amp;"[siteflag]")=$G$2))))</f>
        <v>1.62355</v>
      </c>
      <c r="Q35" s="70">
        <f t="array" aca="1" ref="Q35" ca="1">SUM(INDIRECT($E35&amp;"["&amp;$F35&amp;"]")*(INDIRECT($E35&amp;"[yr]")=Q$5)*(INDIRECT($E35&amp;"[wk]")=Q$6)/1000*(IF($G$2=0,1,(INDIRECT($E35&amp;"[siteflag]")=$G$2))))</f>
        <v>1.0445499999999999</v>
      </c>
      <c r="R35" s="69">
        <f t="array" aca="1" ref="R35" ca="1">SUM(INDIRECT($E35&amp;"["&amp;$F35&amp;"]")*(INDIRECT($E35&amp;"[yr]")=R$5)*(INDIRECT($E35&amp;"[wk]")=R$6)/1000*(IF($G$2=0,1,(INDIRECT($E35&amp;"[siteflag]")=$G$2))))</f>
        <v>0.94133</v>
      </c>
      <c r="S35" s="69">
        <f t="array" aca="1" ref="S35" ca="1">SUM(INDIRECT($E35&amp;"["&amp;$F35&amp;"]")*(INDIRECT($E35&amp;"[yr]")=S$5)*(INDIRECT($E35&amp;"[wk]")=S$6)/1000*(IF($G$2=0,1,(INDIRECT($E35&amp;"[siteflag]")=$G$2))))</f>
        <v>0.53320000000000001</v>
      </c>
      <c r="T35" s="71">
        <f t="array" aca="1" ref="T35" ca="1">SUM(INDIRECT($E35&amp;"["&amp;$F35&amp;"]")*(INDIRECT($E35&amp;"[yr]")=T$5)*(INDIRECT($E35&amp;"[wk]")=T$6)/1000*(IF($G$2=0,1,(INDIRECT($E35&amp;"[siteflag]")=$G$2))))</f>
        <v>1.08592</v>
      </c>
      <c r="U35" s="72">
        <f t="array" aca="1" ref="U35" ca="1">SUM(Q35:T35)</f>
        <v>3.6049999999999995</v>
      </c>
      <c r="V35" s="49">
        <f t="array" aca="1" ref="V35" ca="1">SUM(T35/S35)-1</f>
        <v>1.0366091522880718</v>
      </c>
      <c r="W35" s="73"/>
      <c r="X35" s="49"/>
    </row>
    <row r="36" spans="2:24" ht="14.15" customHeight="1" x14ac:dyDescent="0.4">
      <c r="B36" s="329"/>
      <c r="D36" s="202" t="s">
        <v>67</v>
      </c>
      <c r="I36" s="74">
        <f t="array" aca="1" ref="I36" ca="1">IFERROR((I35/SUM(INDIRECT($E35&amp;"["&amp;$F35&amp;"]")*(INDIRECT($E35&amp;"[yr]")=(I$5-1))*(INDIRECT($E35&amp;"[wk]")=I$6)/1000*(IF($G$2=0,1,(INDIRECT($E35&amp;"[siteflag]")=$G$2))))-1),0)</f>
        <v>-5.4838907963715933E-2</v>
      </c>
      <c r="J36" s="74">
        <f t="array" aca="1" ref="J36" ca="1">IFERROR((J35/SUM(INDIRECT($E35&amp;"["&amp;$F35&amp;"]")*(INDIRECT($E35&amp;"[yr]")=(J$5-1))*(INDIRECT($E35&amp;"[wk]")=J$6)/1000*(IF($G$2=0,1,(INDIRECT($E35&amp;"[siteflag]")=$G$2))))-1),0)</f>
        <v>0.19040073227265353</v>
      </c>
      <c r="K36" s="74">
        <f t="array" aca="1" ref="K36" ca="1">IFERROR((K35/SUM(INDIRECT($E35&amp;"["&amp;$F35&amp;"]")*(INDIRECT($E35&amp;"[yr]")=(K$5-1))*(INDIRECT($E35&amp;"[wk]")=K$6)/1000*(IF($G$2=0,1,(INDIRECT($E35&amp;"[siteflag]")=$G$2))))-1),0)</f>
        <v>0.17196470470770286</v>
      </c>
      <c r="L36" s="74">
        <f t="array" aca="1" ref="L36" ca="1">IFERROR((L35/SUM(INDIRECT($E35&amp;"["&amp;$F35&amp;"]")*(INDIRECT($E35&amp;"[yr]")=(L$5-1))*(INDIRECT($E35&amp;"[wk]")=L$6)/1000*(IF($G$2=0,1,(INDIRECT($E35&amp;"[siteflag]")=$G$2))))-1),0)</f>
        <v>-0.37289830972814209</v>
      </c>
      <c r="M36" s="74">
        <f t="array" aca="1" ref="M36" ca="1">IFERROR((M35/SUM(INDIRECT($E35&amp;"["&amp;$F35&amp;"]")*(INDIRECT($E35&amp;"[yr]")=(M$5-1))*(INDIRECT($E35&amp;"[wk]")=M$6)/1000*(IF($G$2=0,1,(INDIRECT($E35&amp;"[siteflag]")=$G$2))))-1),0)</f>
        <v>-0.39117771409780611</v>
      </c>
      <c r="N36" s="74">
        <f t="array" aca="1" ref="N36" ca="1">IFERROR((N35/SUM(INDIRECT($E35&amp;"["&amp;$F35&amp;"]")*(INDIRECT($E35&amp;"[yr]")=(N$5-1))*(INDIRECT($E35&amp;"[wk]")=N$6)/1000*(IF($G$2=0,1,(INDIRECT($E35&amp;"[siteflag]")=$G$2))))-1),0)</f>
        <v>-0.66066962484872938</v>
      </c>
      <c r="O36" s="74">
        <f t="array" aca="1" ref="O36" ca="1">IFERROR((O35/SUM(INDIRECT($E35&amp;"["&amp;$F35&amp;"]")*(INDIRECT($E35&amp;"[yr]")=(O$5-1))*(INDIRECT($E35&amp;"[wk]")=O$6)/1000*(IF($G$2=0,1,(INDIRECT($E35&amp;"[siteflag]")=$G$2))))-1),0)</f>
        <v>-0.39606200676958037</v>
      </c>
      <c r="P36" s="74">
        <f t="array" aca="1" ref="P36" ca="1">IFERROR((P35/SUM(INDIRECT($E35&amp;"["&amp;$F35&amp;"]")*(INDIRECT($E35&amp;"[yr]")=(P$5-1))*(INDIRECT($E35&amp;"[wk]")=P$6)/1000*(IF($G$2=0,1,(INDIRECT($E35&amp;"[siteflag]")=$G$2))))-1),0)</f>
        <v>-0.30423659084286137</v>
      </c>
      <c r="Q36" s="75">
        <f t="array" aca="1" ref="Q36" ca="1">IFERROR((Q35/SUM(INDIRECT($E35&amp;"["&amp;$F35&amp;"]")*(INDIRECT($E35&amp;"[yr]")=(Q$5-1))*(INDIRECT($E35&amp;"[wk]")=Q$6)/1000*(IF($G$2=0,1,(INDIRECT($E35&amp;"[siteflag]")=$G$2))))-1),0)</f>
        <v>-0.546744483738691</v>
      </c>
      <c r="R36" s="74">
        <f t="array" aca="1" ref="R36" ca="1">IFERROR((R35/SUM(INDIRECT($E35&amp;"["&amp;$F35&amp;"]")*(INDIRECT($E35&amp;"[yr]")=(R$5-1))*(INDIRECT($E35&amp;"[wk]")=R$6)/1000*(IF($G$2=0,1,(INDIRECT($E35&amp;"[siteflag]")=$G$2))))-1),0)</f>
        <v>-0.63511088197785071</v>
      </c>
      <c r="S36" s="74">
        <f t="array" aca="1" ref="S36" ca="1">IFERROR((S35/SUM(INDIRECT($E35&amp;"["&amp;$F35&amp;"]")*(INDIRECT($E35&amp;"[yr]")=(S$5-1))*(INDIRECT($E35&amp;"[wk]")=S$6)/1000*(IF($G$2=0,1,(INDIRECT($E35&amp;"[siteflag]")=$G$2))))-1),0)</f>
        <v>-0.7795646691609649</v>
      </c>
      <c r="T36" s="76">
        <f t="array" aca="1" ref="T36" ca="1">IFERROR((T35/SUM(INDIRECT($E35&amp;"["&amp;$F35&amp;"]")*(INDIRECT($E35&amp;"[yr]")=(T$5-1))*(INDIRECT($E35&amp;"[wk]")=T$6)/1000*(IF($G$2=0,1,(INDIRECT($E35&amp;"[siteflag]")=$G$2))))-1),0)</f>
        <v>-0.46785583025016542</v>
      </c>
      <c r="U36" s="77">
        <f ca="1">SUMPRODUCT(Q36:T36,$Q$35:$T$35)/SUM($Q$35:$T$35)</f>
        <v>-0.58049064127693373</v>
      </c>
      <c r="V36" s="78"/>
      <c r="W36" s="67"/>
      <c r="X36" s="56"/>
    </row>
    <row r="37" spans="2:24" ht="3" customHeight="1" x14ac:dyDescent="0.4">
      <c r="B37" s="329"/>
      <c r="D37" s="61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8"/>
      <c r="R37" s="57"/>
      <c r="S37" s="57"/>
      <c r="T37" s="59"/>
      <c r="U37" s="60"/>
      <c r="V37" s="61"/>
      <c r="W37" s="62"/>
      <c r="X37" s="61"/>
    </row>
    <row r="38" spans="2:24" ht="14.15" customHeight="1" x14ac:dyDescent="0.4">
      <c r="B38" s="329"/>
      <c r="D38" s="203" t="s">
        <v>70</v>
      </c>
      <c r="E38" s="63" t="s">
        <v>371</v>
      </c>
      <c r="F38" t="s">
        <v>37</v>
      </c>
      <c r="I38" s="69">
        <f t="array" aca="1" ref="I38" ca="1">SUM(INDIRECT($E38&amp;"["&amp;$F38&amp;"]")*(INDIRECT($E38&amp;"[yr]")=I$5)*(INDIRECT($E38&amp;"[wk]")=I$6)*(IF($G$2=0,1,(INDIRECT($E38&amp;"[siteflag]")=$G$2))))/1000</f>
        <v>22.133470000000003</v>
      </c>
      <c r="J38" s="69">
        <f t="array" aca="1" ref="J38" ca="1">SUM(INDIRECT($E38&amp;"["&amp;$F38&amp;"]")*(INDIRECT($E38&amp;"[yr]")=J$5)*(INDIRECT($E38&amp;"[wk]")=J$6)*(IF($G$2=0,1,(INDIRECT($E38&amp;"[siteflag]")=$G$2))))/1000</f>
        <v>22.231249999999999</v>
      </c>
      <c r="K38" s="69">
        <f t="array" aca="1" ref="K38" ca="1">SUM(INDIRECT($E38&amp;"["&amp;$F38&amp;"]")*(INDIRECT($E38&amp;"[yr]")=K$5)*(INDIRECT($E38&amp;"[wk]")=K$6)*(IF($G$2=0,1,(INDIRECT($E38&amp;"[siteflag]")=$G$2))))/1000</f>
        <v>22.473520000000001</v>
      </c>
      <c r="L38" s="69">
        <f t="array" aca="1" ref="L38" ca="1">SUM(INDIRECT($E38&amp;"["&amp;$F38&amp;"]")*(INDIRECT($E38&amp;"[yr]")=L$5)*(INDIRECT($E38&amp;"[wk]")=L$6)*(IF($G$2=0,1,(INDIRECT($E38&amp;"[siteflag]")=$G$2))))/1000</f>
        <v>20.237819999999999</v>
      </c>
      <c r="M38" s="69">
        <f t="array" aca="1" ref="M38" ca="1">SUM(INDIRECT($E38&amp;"["&amp;$F38&amp;"]")*(INDIRECT($E38&amp;"[yr]")=M$5)*(INDIRECT($E38&amp;"[wk]")=M$6)*(IF($G$2=0,1,(INDIRECT($E38&amp;"[siteflag]")=$G$2))))/1000</f>
        <v>16.540900000000001</v>
      </c>
      <c r="N38" s="69">
        <f t="array" aca="1" ref="N38" ca="1">SUM(INDIRECT($E38&amp;"["&amp;$F38&amp;"]")*(INDIRECT($E38&amp;"[yr]")=N$5)*(INDIRECT($E38&amp;"[wk]")=N$6)*(IF($G$2=0,1,(INDIRECT($E38&amp;"[siteflag]")=$G$2))))/1000</f>
        <v>21.953880000000002</v>
      </c>
      <c r="O38" s="69">
        <f t="array" aca="1" ref="O38" ca="1">SUM(INDIRECT($E38&amp;"["&amp;$F38&amp;"]")*(INDIRECT($E38&amp;"[yr]")=O$5)*(INDIRECT($E38&amp;"[wk]")=O$6)*(IF($G$2=0,1,(INDIRECT($E38&amp;"[siteflag]")=$G$2))))/1000</f>
        <v>21.953049999999998</v>
      </c>
      <c r="P38" s="69">
        <f t="array" aca="1" ref="P38" ca="1">SUM(INDIRECT($E38&amp;"["&amp;$F38&amp;"]")*(INDIRECT($E38&amp;"[yr]")=P$5)*(INDIRECT($E38&amp;"[wk]")=P$6)*(IF($G$2=0,1,(INDIRECT($E38&amp;"[siteflag]")=$G$2))))/1000</f>
        <v>22.335069999999998</v>
      </c>
      <c r="Q38" s="70">
        <f t="array" aca="1" ref="Q38" ca="1">SUM(INDIRECT($E38&amp;"["&amp;$F38&amp;"]")*(INDIRECT($E38&amp;"[yr]")=Q$5)*(INDIRECT($E38&amp;"[wk]")=Q$6)*(IF($G$2=0,1,(INDIRECT($E38&amp;"[siteflag]")=$G$2))))/1000</f>
        <v>21.865380000000002</v>
      </c>
      <c r="R38" s="69">
        <f t="array" aca="1" ref="R38" ca="1">SUM(INDIRECT($E38&amp;"["&amp;$F38&amp;"]")*(INDIRECT($E38&amp;"[yr]")=R$5)*(INDIRECT($E38&amp;"[wk]")=R$6)*(IF($G$2=0,1,(INDIRECT($E38&amp;"[siteflag]")=$G$2))))/1000</f>
        <v>22.029350000000001</v>
      </c>
      <c r="S38" s="69">
        <f t="array" aca="1" ref="S38" ca="1">SUM(INDIRECT($E38&amp;"["&amp;$F38&amp;"]")*(INDIRECT($E38&amp;"[yr]")=S$5)*(INDIRECT($E38&amp;"[wk]")=S$6)*(IF($G$2=0,1,(INDIRECT($E38&amp;"[siteflag]")=$G$2))))/1000</f>
        <v>21.708880000000001</v>
      </c>
      <c r="T38" s="79">
        <f t="array" aca="1" ref="T38" ca="1">SUM(INDIRECT($E38&amp;"["&amp;$F38&amp;"]")*(INDIRECT($E38&amp;"[yr]")=T$5)*(INDIRECT($E38&amp;"[wk]")=T$6)*(IF($G$2=0,1,(INDIRECT($E38&amp;"[siteflag]")=$G$2))))/1000</f>
        <v>22.772770000000001</v>
      </c>
      <c r="U38" s="72">
        <f ca="1">AVERAGE(Q38:T38)</f>
        <v>22.094095000000003</v>
      </c>
      <c r="V38" s="49">
        <f t="array" aca="1" ref="V38" ca="1">SUM(T38/S38)-1</f>
        <v>4.9007134407671016E-2</v>
      </c>
      <c r="W38" s="80"/>
      <c r="X38" s="49"/>
    </row>
    <row r="39" spans="2:24" ht="14.15" customHeight="1" x14ac:dyDescent="0.4">
      <c r="B39" s="329"/>
      <c r="D39" s="204" t="s">
        <v>67</v>
      </c>
      <c r="I39" s="74">
        <f t="array" aca="1" ref="I39" ca="1">IFERROR((I38/SUM(INDIRECT($E38&amp;"["&amp;$F38&amp;"]")*(INDIRECT($E38&amp;"[yr]")=(I$5-1))*(INDIRECT($E38&amp;"[wk]")=I$6)*(IF($G$2=0,1,(INDIRECT($E38&amp;"[siteflag]")=$G$2)))/1000)-1),0)</f>
        <v>0.26669146619585726</v>
      </c>
      <c r="J39" s="74">
        <f t="array" aca="1" ref="J39" ca="1">IFERROR((J38/SUM(INDIRECT($E38&amp;"["&amp;$F38&amp;"]")*(INDIRECT($E38&amp;"[yr]")=(J$5-1))*(INDIRECT($E38&amp;"[wk]")=J$6)*(IF($G$2=0,1,(INDIRECT($E38&amp;"[siteflag]")=$G$2)))/1000)-1),0)</f>
        <v>0.31909976354849334</v>
      </c>
      <c r="K39" s="74">
        <f t="array" aca="1" ref="K39" ca="1">IFERROR((K38/SUM(INDIRECT($E38&amp;"["&amp;$F38&amp;"]")*(INDIRECT($E38&amp;"[yr]")=(K$5-1))*(INDIRECT($E38&amp;"[wk]")=K$6)*(IF($G$2=0,1,(INDIRECT($E38&amp;"[siteflag]")=$G$2)))/1000)-1),0)</f>
        <v>0.3005057694755966</v>
      </c>
      <c r="L39" s="74">
        <f t="array" aca="1" ref="L39" ca="1">IFERROR((L38/SUM(INDIRECT($E38&amp;"["&amp;$F38&amp;"]")*(INDIRECT($E38&amp;"[yr]")=(L$5-1))*(INDIRECT($E38&amp;"[wk]")=L$6)*(IF($G$2=0,1,(INDIRECT($E38&amp;"[siteflag]")=$G$2)))/1000)-1),0)</f>
        <v>0.38760809287553788</v>
      </c>
      <c r="M39" s="74">
        <f t="array" aca="1" ref="M39" ca="1">IFERROR((M38/SUM(INDIRECT($E38&amp;"["&amp;$F38&amp;"]")*(INDIRECT($E38&amp;"[yr]")=(M$5-1))*(INDIRECT($E38&amp;"[wk]")=M$6)*(IF($G$2=0,1,(INDIRECT($E38&amp;"[siteflag]")=$G$2)))/1000)-1),0)</f>
        <v>0.31014746673721327</v>
      </c>
      <c r="N39" s="74">
        <f t="array" aca="1" ref="N39" ca="1">IFERROR((N38/SUM(INDIRECT($E38&amp;"["&amp;$F38&amp;"]")*(INDIRECT($E38&amp;"[yr]")=(N$5-1))*(INDIRECT($E38&amp;"[wk]")=N$6)*(IF($G$2=0,1,(INDIRECT($E38&amp;"[siteflag]")=$G$2)))/1000)-1),0)</f>
        <v>0.49145030306077109</v>
      </c>
      <c r="O39" s="74">
        <f t="array" aca="1" ref="O39" ca="1">IFERROR((O38/SUM(INDIRECT($E38&amp;"["&amp;$F38&amp;"]")*(INDIRECT($E38&amp;"[yr]")=(O$5-1))*(INDIRECT($E38&amp;"[wk]")=O$6)*(IF($G$2=0,1,(INDIRECT($E38&amp;"[siteflag]")=$G$2)))/1000)-1),0)</f>
        <v>0.36229541258784637</v>
      </c>
      <c r="P39" s="74">
        <f t="array" aca="1" ref="P39" ca="1">IFERROR((P38/SUM(INDIRECT($E38&amp;"["&amp;$F38&amp;"]")*(INDIRECT($E38&amp;"[yr]")=(P$5-1))*(INDIRECT($E38&amp;"[wk]")=P$6)*(IF($G$2=0,1,(INDIRECT($E38&amp;"[siteflag]")=$G$2)))/1000)-1),0)</f>
        <v>0.3909752240904818</v>
      </c>
      <c r="Q39" s="75">
        <f t="array" aca="1" ref="Q39" ca="1">IFERROR((Q38/SUM(INDIRECT($E38&amp;"["&amp;$F38&amp;"]")*(INDIRECT($E38&amp;"[yr]")=(Q$5-1))*(INDIRECT($E38&amp;"[wk]")=Q$6)*(IF($G$2=0,1,(INDIRECT($E38&amp;"[siteflag]")=$G$2)))/1000)-1),0)</f>
        <v>0.28674531183243723</v>
      </c>
      <c r="R39" s="74">
        <f t="array" aca="1" ref="R39" ca="1">IFERROR((R38/SUM(INDIRECT($E38&amp;"["&amp;$F38&amp;"]")*(INDIRECT($E38&amp;"[yr]")=(R$5-1))*(INDIRECT($E38&amp;"[wk]")=R$6)*(IF($G$2=0,1,(INDIRECT($E38&amp;"[siteflag]")=$G$2)))/1000)-1),0)</f>
        <v>0.26776462274113433</v>
      </c>
      <c r="S39" s="74">
        <f t="array" aca="1" ref="S39" ca="1">IFERROR((S38/SUM(INDIRECT($E38&amp;"["&amp;$F38&amp;"]")*(INDIRECT($E38&amp;"[yr]")=(S$5-1))*(INDIRECT($E38&amp;"[wk]")=S$6)*(IF($G$2=0,1,(INDIRECT($E38&amp;"[siteflag]")=$G$2)))/1000)-1),0)</f>
        <v>0.24499438834703136</v>
      </c>
      <c r="T39" s="76">
        <f t="array" aca="1" ref="T39" ca="1">IFERROR((T38/SUM(INDIRECT($E38&amp;"["&amp;$F38&amp;"]")*(INDIRECT($E38&amp;"[yr]")=(T$5-1))*(INDIRECT($E38&amp;"[wk]")=T$6)*(IF($G$2=0,1,(INDIRECT($E38&amp;"[siteflag]")=$G$2)))/1000)-1),0)</f>
        <v>0.28480643081084156</v>
      </c>
      <c r="U39" s="77">
        <f ca="1">SUMPRODUCT(Q39:T39,$Q$38:$T$38)/SUM($Q$38:$T$38)</f>
        <v>0.27125868834062283</v>
      </c>
      <c r="V39" s="81"/>
      <c r="W39" s="82"/>
      <c r="X39" s="81"/>
    </row>
    <row r="40" spans="2:24" ht="14.15" customHeight="1" x14ac:dyDescent="0.4">
      <c r="B40" s="329"/>
      <c r="D40" s="210" t="s">
        <v>71</v>
      </c>
      <c r="E40" t="s">
        <v>371</v>
      </c>
      <c r="F40" t="s">
        <v>72</v>
      </c>
      <c r="I40" s="74">
        <f t="array" aca="1" ref="I40" ca="1">SUM(INDIRECT($E40&amp;"["&amp;$F40&amp;"]")*(INDIRECT($E40&amp;"[yr]")=I$5)*(INDIRECT($E40&amp;"[wk]")=I$6)*(IF($G$2=0,1,(INDIRECT($E40&amp;"[siteflag]")=$G$2))))/SUM(INDIRECT($E38&amp;"["&amp;$F38&amp;"]")*(INDIRECT($E38&amp;"[yr]")=I$5)*(INDIRECT($E38&amp;"[wk]")=I$6)*(IF($G$2=0,1,(INDIRECT($E38&amp;"[siteflag]")=$G$2))))</f>
        <v>0</v>
      </c>
      <c r="J40" s="74">
        <f t="array" aca="1" ref="J40" ca="1">SUM(INDIRECT($E40&amp;"["&amp;$F40&amp;"]")*(INDIRECT($E40&amp;"[yr]")=J$5)*(INDIRECT($E40&amp;"[wk]")=J$6)*(IF($G$2=0,1,(INDIRECT($E40&amp;"[siteflag]")=$G$2))))/SUM(INDIRECT($E38&amp;"["&amp;$F38&amp;"]")*(INDIRECT($E38&amp;"[yr]")=J$5)*(INDIRECT($E38&amp;"[wk]")=J$6)*(IF($G$2=0,1,(INDIRECT($E38&amp;"[siteflag]")=$G$2))))</f>
        <v>0</v>
      </c>
      <c r="K40" s="74">
        <f t="array" aca="1" ref="K40" ca="1">SUM(INDIRECT($E40&amp;"["&amp;$F40&amp;"]")*(INDIRECT($E40&amp;"[yr]")=K$5)*(INDIRECT($E40&amp;"[wk]")=K$6)*(IF($G$2=0,1,(INDIRECT($E40&amp;"[siteflag]")=$G$2))))/SUM(INDIRECT($E38&amp;"["&amp;$F38&amp;"]")*(INDIRECT($E38&amp;"[yr]")=K$5)*(INDIRECT($E38&amp;"[wk]")=K$6)*(IF($G$2=0,1,(INDIRECT($E38&amp;"[siteflag]")=$G$2))))</f>
        <v>0</v>
      </c>
      <c r="L40" s="74">
        <f t="array" aca="1" ref="L40" ca="1">SUM(INDIRECT($E40&amp;"["&amp;$F40&amp;"]")*(INDIRECT($E40&amp;"[yr]")=L$5)*(INDIRECT($E40&amp;"[wk]")=L$6)*(IF($G$2=0,1,(INDIRECT($E40&amp;"[siteflag]")=$G$2))))/SUM(INDIRECT($E38&amp;"["&amp;$F38&amp;"]")*(INDIRECT($E38&amp;"[yr]")=L$5)*(INDIRECT($E38&amp;"[wk]")=L$6)*(IF($G$2=0,1,(INDIRECT($E38&amp;"[siteflag]")=$G$2))))</f>
        <v>0</v>
      </c>
      <c r="M40" s="74">
        <f t="array" aca="1" ref="M40" ca="1">SUM(INDIRECT($E40&amp;"["&amp;$F40&amp;"]")*(INDIRECT($E40&amp;"[yr]")=M$5)*(INDIRECT($E40&amp;"[wk]")=M$6)*(IF($G$2=0,1,(INDIRECT($E40&amp;"[siteflag]")=$G$2))))/SUM(INDIRECT($E38&amp;"["&amp;$F38&amp;"]")*(INDIRECT($E38&amp;"[yr]")=M$5)*(INDIRECT($E38&amp;"[wk]")=M$6)*(IF($G$2=0,1,(INDIRECT($E38&amp;"[siteflag]")=$G$2))))</f>
        <v>0</v>
      </c>
      <c r="N40" s="74">
        <f t="array" aca="1" ref="N40" ca="1">SUM(INDIRECT($E40&amp;"["&amp;$F40&amp;"]")*(INDIRECT($E40&amp;"[yr]")=N$5)*(INDIRECT($E40&amp;"[wk]")=N$6)*(IF($G$2=0,1,(INDIRECT($E40&amp;"[siteflag]")=$G$2))))/SUM(INDIRECT($E38&amp;"["&amp;$F38&amp;"]")*(INDIRECT($E38&amp;"[yr]")=N$5)*(INDIRECT($E38&amp;"[wk]")=N$6)*(IF($G$2=0,1,(INDIRECT($E38&amp;"[siteflag]")=$G$2))))</f>
        <v>0</v>
      </c>
      <c r="O40" s="74">
        <f t="array" aca="1" ref="O40" ca="1">SUM(INDIRECT($E40&amp;"["&amp;$F40&amp;"]")*(INDIRECT($E40&amp;"[yr]")=O$5)*(INDIRECT($E40&amp;"[wk]")=O$6)*(IF($G$2=0,1,(INDIRECT($E40&amp;"[siteflag]")=$G$2))))/SUM(INDIRECT($E38&amp;"["&amp;$F38&amp;"]")*(INDIRECT($E38&amp;"[yr]")=O$5)*(INDIRECT($E38&amp;"[wk]")=O$6)*(IF($G$2=0,1,(INDIRECT($E38&amp;"[siteflag]")=$G$2))))</f>
        <v>0</v>
      </c>
      <c r="P40" s="74">
        <f t="array" aca="1" ref="P40" ca="1">SUM(INDIRECT($E40&amp;"["&amp;$F40&amp;"]")*(INDIRECT($E40&amp;"[yr]")=P$5)*(INDIRECT($E40&amp;"[wk]")=P$6)*(IF($G$2=0,1,(INDIRECT($E40&amp;"[siteflag]")=$G$2))))/SUM(INDIRECT($E38&amp;"["&amp;$F38&amp;"]")*(INDIRECT($E38&amp;"[yr]")=P$5)*(INDIRECT($E38&amp;"[wk]")=P$6)*(IF($G$2=0,1,(INDIRECT($E38&amp;"[siteflag]")=$G$2))))</f>
        <v>0</v>
      </c>
      <c r="Q40" s="75">
        <f t="array" aca="1" ref="Q40" ca="1">SUM(INDIRECT($E40&amp;"["&amp;$F40&amp;"]")*(INDIRECT($E40&amp;"[yr]")=Q$5)*(INDIRECT($E40&amp;"[wk]")=Q$6)*(IF($G$2=0,1,(INDIRECT($E40&amp;"[siteflag]")=$G$2))))/SUM(INDIRECT($E38&amp;"["&amp;$F38&amp;"]")*(INDIRECT($E38&amp;"[yr]")=Q$5)*(INDIRECT($E38&amp;"[wk]")=Q$6)*(IF($G$2=0,1,(INDIRECT($E38&amp;"[siteflag]")=$G$2))))</f>
        <v>0</v>
      </c>
      <c r="R40" s="74">
        <f t="array" aca="1" ref="R40" ca="1">SUM(INDIRECT($E40&amp;"["&amp;$F40&amp;"]")*(INDIRECT($E40&amp;"[yr]")=R$5)*(INDIRECT($E40&amp;"[wk]")=R$6)*(IF($G$2=0,1,(INDIRECT($E40&amp;"[siteflag]")=$G$2))))/SUM(INDIRECT($E38&amp;"["&amp;$F38&amp;"]")*(INDIRECT($E38&amp;"[yr]")=R$5)*(INDIRECT($E38&amp;"[wk]")=R$6)*(IF($G$2=0,1,(INDIRECT($E38&amp;"[siteflag]")=$G$2))))</f>
        <v>0</v>
      </c>
      <c r="S40" s="74">
        <f t="array" aca="1" ref="S40" ca="1">SUM(INDIRECT($E40&amp;"["&amp;$F40&amp;"]")*(INDIRECT($E40&amp;"[yr]")=S$5)*(INDIRECT($E40&amp;"[wk]")=S$6)*(IF($G$2=0,1,(INDIRECT($E40&amp;"[siteflag]")=$G$2))))/SUM(INDIRECT($E38&amp;"["&amp;$F38&amp;"]")*(INDIRECT($E38&amp;"[yr]")=S$5)*(INDIRECT($E38&amp;"[wk]")=S$6)*(IF($G$2=0,1,(INDIRECT($E38&amp;"[siteflag]")=$G$2))))</f>
        <v>0</v>
      </c>
      <c r="T40" s="76">
        <f t="array" aca="1" ref="T40" ca="1">SUM(INDIRECT($E40&amp;"["&amp;$F40&amp;"]")*(INDIRECT($E40&amp;"[yr]")=T$5)*(INDIRECT($E40&amp;"[wk]")=T$6)*(IF($G$2=0,1,(INDIRECT($E40&amp;"[siteflag]")=$G$2))))/SUM(INDIRECT($E38&amp;"["&amp;$F38&amp;"]")*(INDIRECT($E38&amp;"[yr]")=T$5)*(INDIRECT($E38&amp;"[wk]")=T$6)*(IF($G$2=0,1,(INDIRECT($E38&amp;"[siteflag]")=$G$2))))</f>
        <v>0</v>
      </c>
      <c r="U40" s="77">
        <f ca="1">SUMPRODUCT(Q38:T38,Q40:T40)/SUM(Q38:T38)</f>
        <v>0</v>
      </c>
      <c r="V40" s="81">
        <f ca="1">IFERROR(SUM(T40/S40)-1,0)</f>
        <v>0</v>
      </c>
      <c r="W40" s="80"/>
      <c r="X40" s="89"/>
    </row>
    <row r="41" spans="2:24" ht="3" customHeight="1" x14ac:dyDescent="0.4">
      <c r="B41" s="329"/>
      <c r="D41" s="205"/>
      <c r="E41" s="58"/>
      <c r="F41" s="57"/>
      <c r="G41" s="57"/>
      <c r="H41" s="57"/>
      <c r="I41" s="84"/>
      <c r="J41" s="84"/>
      <c r="K41" s="84"/>
      <c r="L41" s="84"/>
      <c r="M41" s="84"/>
      <c r="N41" s="84"/>
      <c r="O41" s="84"/>
      <c r="P41" s="84"/>
      <c r="Q41" s="85"/>
      <c r="R41" s="84"/>
      <c r="S41" s="84"/>
      <c r="T41" s="86"/>
      <c r="U41" s="87"/>
      <c r="V41" s="68"/>
      <c r="W41" s="62"/>
      <c r="X41" s="68"/>
    </row>
    <row r="42" spans="2:24" ht="14.15" customHeight="1" x14ac:dyDescent="0.4">
      <c r="B42" s="329"/>
      <c r="D42" s="201" t="s">
        <v>357</v>
      </c>
      <c r="E42" t="s">
        <v>371</v>
      </c>
      <c r="F42" t="s">
        <v>356</v>
      </c>
      <c r="I42" s="92">
        <f t="array" aca="1" ref="I42" ca="1">SUM(INDIRECT($E42&amp;"["&amp;$F42&amp;"]")*(INDIRECT($E42&amp;"[yr]")=I$5)*(INDIRECT($E42&amp;"[wk]")=I$6)*(IF($G$2=0,1,(INDIRECT($E42&amp;"[siteflag]")=$G$2))))</f>
        <v>9</v>
      </c>
      <c r="J42" s="92">
        <f t="array" aca="1" ref="J42" ca="1">SUM(INDIRECT($E42&amp;"["&amp;$F42&amp;"]")*(INDIRECT($E42&amp;"[yr]")=J$5)*(INDIRECT($E42&amp;"[wk]")=J$6)*(IF($G$2=0,1,(INDIRECT($E42&amp;"[siteflag]")=$G$2))))</f>
        <v>2</v>
      </c>
      <c r="K42" s="92">
        <f t="array" aca="1" ref="K42" ca="1">SUM(INDIRECT($E42&amp;"["&amp;$F42&amp;"]")*(INDIRECT($E42&amp;"[yr]")=K$5)*(INDIRECT($E42&amp;"[wk]")=K$6)*(IF($G$2=0,1,(INDIRECT($E42&amp;"[siteflag]")=$G$2))))</f>
        <v>6</v>
      </c>
      <c r="L42" s="92">
        <f t="array" aca="1" ref="L42" ca="1">SUM(INDIRECT($E42&amp;"["&amp;$F42&amp;"]")*(INDIRECT($E42&amp;"[yr]")=L$5)*(INDIRECT($E42&amp;"[wk]")=L$6)*(IF($G$2=0,1,(INDIRECT($E42&amp;"[siteflag]")=$G$2))))</f>
        <v>5</v>
      </c>
      <c r="M42" s="92">
        <f t="array" aca="1" ref="M42" ca="1">SUM(INDIRECT($E42&amp;"["&amp;$F42&amp;"]")*(INDIRECT($E42&amp;"[yr]")=M$5)*(INDIRECT($E42&amp;"[wk]")=M$6)*(IF($G$2=0,1,(INDIRECT($E42&amp;"[siteflag]")=$G$2))))</f>
        <v>6</v>
      </c>
      <c r="N42" s="92">
        <f t="array" aca="1" ref="N42" ca="1">SUM(INDIRECT($E42&amp;"["&amp;$F42&amp;"]")*(INDIRECT($E42&amp;"[yr]")=N$5)*(INDIRECT($E42&amp;"[wk]")=N$6)*(IF($G$2=0,1,(INDIRECT($E42&amp;"[siteflag]")=$G$2))))</f>
        <v>2</v>
      </c>
      <c r="O42" s="92">
        <f t="array" aca="1" ref="O42" ca="1">SUM(INDIRECT($E42&amp;"["&amp;$F42&amp;"]")*(INDIRECT($E42&amp;"[yr]")=O$5)*(INDIRECT($E42&amp;"[wk]")=O$6)*(IF($G$2=0,1,(INDIRECT($E42&amp;"[siteflag]")=$G$2))))</f>
        <v>3</v>
      </c>
      <c r="P42" s="92">
        <f t="array" aca="1" ref="P42" ca="1">SUM(INDIRECT($E42&amp;"["&amp;$F42&amp;"]")*(INDIRECT($E42&amp;"[yr]")=P$5)*(INDIRECT($E42&amp;"[wk]")=P$6)*(IF($G$2=0,1,(INDIRECT($E42&amp;"[siteflag]")=$G$2))))</f>
        <v>3</v>
      </c>
      <c r="Q42" s="106">
        <f t="array" aca="1" ref="Q42" ca="1">SUM(INDIRECT($E42&amp;"["&amp;$F42&amp;"]")*(INDIRECT($E42&amp;"[yr]")=Q$5)*(INDIRECT($E42&amp;"[wk]")=Q$6)*(IF($G$2=0,1,(INDIRECT($E42&amp;"[siteflag]")=$G$2))))</f>
        <v>2</v>
      </c>
      <c r="R42" s="92">
        <f t="array" aca="1" ref="R42" ca="1">SUM(INDIRECT($E42&amp;"["&amp;$F42&amp;"]")*(INDIRECT($E42&amp;"[yr]")=R$5)*(INDIRECT($E42&amp;"[wk]")=R$6)*(IF($G$2=0,1,(INDIRECT($E42&amp;"[siteflag]")=$G$2))))</f>
        <v>1</v>
      </c>
      <c r="S42" s="92">
        <f t="array" aca="1" ref="S42" ca="1">SUM(INDIRECT($E42&amp;"["&amp;$F42&amp;"]")*(INDIRECT($E42&amp;"[yr]")=S$5)*(INDIRECT($E42&amp;"[wk]")=S$6)*(IF($G$2=0,1,(INDIRECT($E42&amp;"[siteflag]")=$G$2))))</f>
        <v>5</v>
      </c>
      <c r="T42" s="107">
        <f t="array" aca="1" ref="T42" ca="1">SUM(INDIRECT($E42&amp;"["&amp;$F42&amp;"]")*(INDIRECT($E42&amp;"[yr]")=T$5)*(INDIRECT($E42&amp;"[wk]")=T$6)*(IF($G$2=0,1,(INDIRECT($E42&amp;"[siteflag]")=$G$2))))</f>
        <v>2</v>
      </c>
      <c r="U42" s="252">
        <f t="array" aca="1" ref="U42" ca="1">SUM(Q42:T42)</f>
        <v>10</v>
      </c>
      <c r="V42" s="49">
        <f ca="1">IFERROR(SUM(T42/S42)-1,0)</f>
        <v>-0.6</v>
      </c>
      <c r="W42" s="82"/>
      <c r="X42" s="81"/>
    </row>
    <row r="43" spans="2:24" ht="14.15" customHeight="1" x14ac:dyDescent="0.4">
      <c r="B43" s="329"/>
      <c r="D43" s="202" t="s">
        <v>67</v>
      </c>
      <c r="I43" s="74">
        <f t="array" aca="1" ref="I43" ca="1">IFERROR((I42/SUM(INDIRECT($E42&amp;"["&amp;$F42&amp;"]")*(INDIRECT($E42&amp;"[yr]")=(I$5-1))*(INDIRECT($E42&amp;"[wk]")=I$6)*(IF($G$2=0,1,(INDIRECT($E42&amp;"[siteflag]")=$G$2))))-1),0)</f>
        <v>3.5</v>
      </c>
      <c r="J43" s="74">
        <f t="array" aca="1" ref="J43" ca="1">IFERROR((J42/SUM(INDIRECT($E42&amp;"["&amp;$F42&amp;"]")*(INDIRECT($E42&amp;"[yr]")=(J$5-1))*(INDIRECT($E42&amp;"[wk]")=J$6)*(IF($G$2=0,1,(INDIRECT($E42&amp;"[siteflag]")=$G$2))))-1),0)</f>
        <v>0</v>
      </c>
      <c r="K43" s="74">
        <f t="array" aca="1" ref="K43" ca="1">IFERROR((K42/SUM(INDIRECT($E42&amp;"["&amp;$F42&amp;"]")*(INDIRECT($E42&amp;"[yr]")=(K$5-1))*(INDIRECT($E42&amp;"[wk]")=K$6)*(IF($G$2=0,1,(INDIRECT($E42&amp;"[siteflag]")=$G$2))))-1),0)</f>
        <v>2</v>
      </c>
      <c r="L43" s="74">
        <f t="array" aca="1" ref="L43" ca="1">IFERROR((L42/SUM(INDIRECT($E42&amp;"["&amp;$F42&amp;"]")*(INDIRECT($E42&amp;"[yr]")=(L$5-1))*(INDIRECT($E42&amp;"[wk]")=L$6)*(IF($G$2=0,1,(INDIRECT($E42&amp;"[siteflag]")=$G$2))))-1),0)</f>
        <v>4</v>
      </c>
      <c r="M43" s="74">
        <f t="array" aca="1" ref="M43" ca="1">IFERROR((M42/SUM(INDIRECT($E42&amp;"["&amp;$F42&amp;"]")*(INDIRECT($E42&amp;"[yr]")=(M$5-1))*(INDIRECT($E42&amp;"[wk]")=M$6)*(IF($G$2=0,1,(INDIRECT($E42&amp;"[siteflag]")=$G$2))))-1),0)</f>
        <v>0</v>
      </c>
      <c r="N43" s="74">
        <f t="array" aca="1" ref="N43" ca="1">IFERROR((N42/SUM(INDIRECT($E42&amp;"["&amp;$F42&amp;"]")*(INDIRECT($E42&amp;"[yr]")=(N$5-1))*(INDIRECT($E42&amp;"[wk]")=N$6)*(IF($G$2=0,1,(INDIRECT($E42&amp;"[siteflag]")=$G$2))))-1),0)</f>
        <v>0</v>
      </c>
      <c r="O43" s="74">
        <f t="array" aca="1" ref="O43" ca="1">IFERROR((O42/SUM(INDIRECT($E42&amp;"["&amp;$F42&amp;"]")*(INDIRECT($E42&amp;"[yr]")=(O$5-1))*(INDIRECT($E42&amp;"[wk]")=O$6)*(IF($G$2=0,1,(INDIRECT($E42&amp;"[siteflag]")=$G$2))))-1),0)</f>
        <v>0</v>
      </c>
      <c r="P43" s="74">
        <f t="array" aca="1" ref="P43" ca="1">IFERROR((P42/SUM(INDIRECT($E42&amp;"["&amp;$F42&amp;"]")*(INDIRECT($E42&amp;"[yr]")=(P$5-1))*(INDIRECT($E42&amp;"[wk]")=P$6)*(IF($G$2=0,1,(INDIRECT($E42&amp;"[siteflag]")=$G$2))))-1),0)</f>
        <v>0</v>
      </c>
      <c r="Q43" s="75">
        <f t="array" aca="1" ref="Q43" ca="1">IFERROR((Q42/SUM(INDIRECT($E42&amp;"["&amp;$F42&amp;"]")*(INDIRECT($E42&amp;"[yr]")=(Q$5-1))*(INDIRECT($E42&amp;"[wk]")=Q$6)*(IF($G$2=0,1,(INDIRECT($E42&amp;"[siteflag]")=$G$2))))-1),0)</f>
        <v>-0.5</v>
      </c>
      <c r="R43" s="74">
        <f t="array" aca="1" ref="R43" ca="1">IFERROR((R42/SUM(INDIRECT($E42&amp;"["&amp;$F42&amp;"]")*(INDIRECT($E42&amp;"[yr]")=(R$5-1))*(INDIRECT($E42&amp;"[wk]")=R$6)*(IF($G$2=0,1,(INDIRECT($E42&amp;"[siteflag]")=$G$2))))-1),0)</f>
        <v>-0.75</v>
      </c>
      <c r="S43" s="74">
        <f t="array" aca="1" ref="S43" ca="1">IFERROR((S42/SUM(INDIRECT($E42&amp;"["&amp;$F42&amp;"]")*(INDIRECT($E42&amp;"[yr]")=(S$5-1))*(INDIRECT($E42&amp;"[wk]")=S$6)*(IF($G$2=0,1,(INDIRECT($E42&amp;"[siteflag]")=$G$2))))-1),0)</f>
        <v>0.66666666666666674</v>
      </c>
      <c r="T43" s="76">
        <f t="array" aca="1" ref="T43" ca="1">IFERROR((T42/SUM(INDIRECT($E42&amp;"["&amp;$F42&amp;"]")*(INDIRECT($E42&amp;"[yr]")=(T$5-1))*(INDIRECT($E42&amp;"[wk]")=T$6)*(IF($G$2=0,1,(INDIRECT($E42&amp;"[siteflag]")=$G$2))))-1),0)</f>
        <v>-0.33333333333333337</v>
      </c>
      <c r="U43" s="77">
        <f ca="1">SUMPRODUCT(Q43:T43,$Q$35:$T$35)/SUM($Q$35:$T$35)</f>
        <v>-0.34251849283402691</v>
      </c>
      <c r="V43" s="78"/>
      <c r="W43" s="67"/>
      <c r="X43" s="56"/>
    </row>
    <row r="44" spans="2:24" ht="3" customHeight="1" x14ac:dyDescent="0.4">
      <c r="B44" s="329"/>
      <c r="D44" s="206"/>
      <c r="E44" s="57"/>
      <c r="F44" s="57"/>
      <c r="G44" s="57"/>
      <c r="H44" s="57"/>
      <c r="I44" s="84"/>
      <c r="J44" s="84"/>
      <c r="K44" s="84"/>
      <c r="L44" s="84"/>
      <c r="M44" s="84"/>
      <c r="N44" s="84"/>
      <c r="O44" s="84"/>
      <c r="P44" s="84"/>
      <c r="Q44" s="85"/>
      <c r="R44" s="84"/>
      <c r="S44" s="84"/>
      <c r="T44" s="86"/>
      <c r="U44" s="87"/>
      <c r="V44" s="88"/>
      <c r="W44" s="62"/>
      <c r="X44" s="68"/>
    </row>
    <row r="45" spans="2:24" ht="14.15" customHeight="1" x14ac:dyDescent="0.4">
      <c r="B45" s="329"/>
      <c r="D45" s="203" t="s">
        <v>73</v>
      </c>
      <c r="E45" t="s">
        <v>45</v>
      </c>
      <c r="F45" t="s">
        <v>47</v>
      </c>
      <c r="I45" s="69">
        <f t="array" aca="1" ref="I45" ca="1">IF($G$2=0,(SUM(INDIRECT($E45&amp;"["&amp;$E46&amp;"]")*(INDIRECT($E45&amp;"[yr]")=I$5)*(INDIRECT($E45&amp;"[wk]")=I$6))/SUM(INDIRECT($E45&amp;"["&amp;$F46&amp;"]")*(INDIRECT($E45&amp;"[yr]")=I$5)*(INDIRECT($E45&amp;"[wk]")=I$6))),(SUM(INDIRECT($E45&amp;"["&amp;$F45&amp;"]")*(INDIRECT($E45&amp;"[yr]")=I$5)*(INDIRECT($E45&amp;"[wk]")=I$6)*(INDIRECT($E45&amp;"[siteflag]")=$G$2))))</f>
        <v>0.04</v>
      </c>
      <c r="J45" s="69">
        <f t="array" aca="1" ref="J45" ca="1">IF($G$2=0,(SUM(INDIRECT($E45&amp;"["&amp;$E46&amp;"]")*(INDIRECT($E45&amp;"[yr]")=J$5)*(INDIRECT($E45&amp;"[wk]")=J$6))/SUM(INDIRECT($E45&amp;"["&amp;$F46&amp;"]")*(INDIRECT($E45&amp;"[yr]")=J$5)*(INDIRECT($E45&amp;"[wk]")=J$6))),(SUM(INDIRECT($E45&amp;"["&amp;$F45&amp;"]")*(INDIRECT($E45&amp;"[yr]")=J$5)*(INDIRECT($E45&amp;"[wk]")=J$6)*(INDIRECT($E45&amp;"[siteflag]")=$G$2))))</f>
        <v>0.05</v>
      </c>
      <c r="K45" s="69">
        <f t="array" aca="1" ref="K45" ca="1">IF($G$2=0,(SUM(INDIRECT($E45&amp;"["&amp;$E46&amp;"]")*(INDIRECT($E45&amp;"[yr]")=K$5)*(INDIRECT($E45&amp;"[wk]")=K$6))/SUM(INDIRECT($E45&amp;"["&amp;$F46&amp;"]")*(INDIRECT($E45&amp;"[yr]")=K$5)*(INDIRECT($E45&amp;"[wk]")=K$6))),(SUM(INDIRECT($E45&amp;"["&amp;$F45&amp;"]")*(INDIRECT($E45&amp;"[yr]")=K$5)*(INDIRECT($E45&amp;"[wk]")=K$6)*(INDIRECT($E45&amp;"[siteflag]")=$G$2))))</f>
        <v>0.06</v>
      </c>
      <c r="L45" s="69">
        <f t="array" aca="1" ref="L45" ca="1">IF($G$2=0,(SUM(INDIRECT($E45&amp;"["&amp;$E46&amp;"]")*(INDIRECT($E45&amp;"[yr]")=L$5)*(INDIRECT($E45&amp;"[wk]")=L$6))/SUM(INDIRECT($E45&amp;"["&amp;$F46&amp;"]")*(INDIRECT($E45&amp;"[yr]")=L$5)*(INDIRECT($E45&amp;"[wk]")=L$6))),(SUM(INDIRECT($E45&amp;"["&amp;$F45&amp;"]")*(INDIRECT($E45&amp;"[yr]")=L$5)*(INDIRECT($E45&amp;"[wk]")=L$6)*(INDIRECT($E45&amp;"[siteflag]")=$G$2))))</f>
        <v>0.06</v>
      </c>
      <c r="M45" s="69">
        <f t="array" aca="1" ref="M45" ca="1">IF($G$2=0,(SUM(INDIRECT($E45&amp;"["&amp;$E46&amp;"]")*(INDIRECT($E45&amp;"[yr]")=M$5)*(INDIRECT($E45&amp;"[wk]")=M$6))/SUM(INDIRECT($E45&amp;"["&amp;$F46&amp;"]")*(INDIRECT($E45&amp;"[yr]")=M$5)*(INDIRECT($E45&amp;"[wk]")=M$6))),(SUM(INDIRECT($E45&amp;"["&amp;$F45&amp;"]")*(INDIRECT($E45&amp;"[yr]")=M$5)*(INDIRECT($E45&amp;"[wk]")=M$6)*(INDIRECT($E45&amp;"[siteflag]")=$G$2))))</f>
        <v>0.05</v>
      </c>
      <c r="N45" s="69">
        <f t="array" aca="1" ref="N45" ca="1">IF($G$2=0,(SUM(INDIRECT($E45&amp;"["&amp;$E46&amp;"]")*(INDIRECT($E45&amp;"[yr]")=N$5)*(INDIRECT($E45&amp;"[wk]")=N$6))/SUM(INDIRECT($E45&amp;"["&amp;$F46&amp;"]")*(INDIRECT($E45&amp;"[yr]")=N$5)*(INDIRECT($E45&amp;"[wk]")=N$6))),(SUM(INDIRECT($E45&amp;"["&amp;$F45&amp;"]")*(INDIRECT($E45&amp;"[yr]")=N$5)*(INDIRECT($E45&amp;"[wk]")=N$6)*(INDIRECT($E45&amp;"[siteflag]")=$G$2))))</f>
        <v>0.04</v>
      </c>
      <c r="O45" s="69">
        <f t="array" aca="1" ref="O45" ca="1">IF($G$2=0,(SUM(INDIRECT($E45&amp;"["&amp;$E46&amp;"]")*(INDIRECT($E45&amp;"[yr]")=O$5)*(INDIRECT($E45&amp;"[wk]")=O$6))/SUM(INDIRECT($E45&amp;"["&amp;$F46&amp;"]")*(INDIRECT($E45&amp;"[yr]")=O$5)*(INDIRECT($E45&amp;"[wk]")=O$6))),(SUM(INDIRECT($E45&amp;"["&amp;$F45&amp;"]")*(INDIRECT($E45&amp;"[yr]")=O$5)*(INDIRECT($E45&amp;"[wk]")=O$6)*(INDIRECT($E45&amp;"[siteflag]")=$G$2))))</f>
        <v>0.05</v>
      </c>
      <c r="P45" s="69">
        <f t="array" aca="1" ref="P45" ca="1">IF($G$2=0,(SUM(INDIRECT($E45&amp;"["&amp;$E46&amp;"]")*(INDIRECT($E45&amp;"[yr]")=P$5)*(INDIRECT($E45&amp;"[wk]")=P$6))/SUM(INDIRECT($E45&amp;"["&amp;$F46&amp;"]")*(INDIRECT($E45&amp;"[yr]")=P$5)*(INDIRECT($E45&amp;"[wk]")=P$6))),(SUM(INDIRECT($E45&amp;"["&amp;$F45&amp;"]")*(INDIRECT($E45&amp;"[yr]")=P$5)*(INDIRECT($E45&amp;"[wk]")=P$6)*(INDIRECT($E45&amp;"[siteflag]")=$G$2))))</f>
        <v>0.04</v>
      </c>
      <c r="Q45" s="70">
        <f t="array" aca="1" ref="Q45" ca="1">IF($G$2=0,(SUM(INDIRECT($E45&amp;"["&amp;$E46&amp;"]")*(INDIRECT($E45&amp;"[yr]")=Q$5)*(INDIRECT($E45&amp;"[wk]")=Q$6))/SUM(INDIRECT($E45&amp;"["&amp;$F46&amp;"]")*(INDIRECT($E45&amp;"[yr]")=Q$5)*(INDIRECT($E45&amp;"[wk]")=Q$6))),(SUM(INDIRECT($E45&amp;"["&amp;$F45&amp;"]")*(INDIRECT($E45&amp;"[yr]")=Q$5)*(INDIRECT($E45&amp;"[wk]")=Q$6)*(INDIRECT($E45&amp;"[siteflag]")=$G$2))))</f>
        <v>0.05</v>
      </c>
      <c r="R45" s="69">
        <f t="array" aca="1" ref="R45" ca="1">IF($G$2=0,(SUM(INDIRECT($E45&amp;"["&amp;$E46&amp;"]")*(INDIRECT($E45&amp;"[yr]")=R$5)*(INDIRECT($E45&amp;"[wk]")=R$6))/SUM(INDIRECT($E45&amp;"["&amp;$F46&amp;"]")*(INDIRECT($E45&amp;"[yr]")=R$5)*(INDIRECT($E45&amp;"[wk]")=R$6))),(SUM(INDIRECT($E45&amp;"["&amp;$F45&amp;"]")*(INDIRECT($E45&amp;"[yr]")=R$5)*(INDIRECT($E45&amp;"[wk]")=R$6)*(INDIRECT($E45&amp;"[siteflag]")=$G$2))))</f>
        <v>0.04</v>
      </c>
      <c r="S45" s="69">
        <f t="array" aca="1" ref="S45" ca="1">IF($G$2=0,(SUM(INDIRECT($E45&amp;"["&amp;$E46&amp;"]")*(INDIRECT($E45&amp;"[yr]")=S$5)*(INDIRECT($E45&amp;"[wk]")=S$6))/SUM(INDIRECT($E45&amp;"["&amp;$F46&amp;"]")*(INDIRECT($E45&amp;"[yr]")=S$5)*(INDIRECT($E45&amp;"[wk]")=S$6))),(SUM(INDIRECT($E45&amp;"["&amp;$F45&amp;"]")*(INDIRECT($E45&amp;"[yr]")=S$5)*(INDIRECT($E45&amp;"[wk]")=S$6)*(INDIRECT($E45&amp;"[siteflag]")=$G$2))))</f>
        <v>0.05</v>
      </c>
      <c r="T45" s="158">
        <f t="array" aca="1" ref="T45" ca="1">IF($G$2=0,(SUM(INDIRECT($E45&amp;"["&amp;$E46&amp;"]")*(INDIRECT($E45&amp;"[yr]")=T$5)*(INDIRECT($E45&amp;"[wk]")=T$6))/SUM(INDIRECT($E45&amp;"["&amp;$F46&amp;"]")*(INDIRECT($E45&amp;"[yr]")=T$5)*(INDIRECT($E45&amp;"[wk]")=T$6))),(SUM(INDIRECT($E45&amp;"["&amp;$F45&amp;"]")*(INDIRECT($E45&amp;"[yr]")=T$5)*(INDIRECT($E45&amp;"[wk]")=T$6)*(INDIRECT($E45&amp;"[siteflag]")=$G$2))))</f>
        <v>0.04</v>
      </c>
      <c r="U45" s="159">
        <f ca="1">AVERAGE(Q45:T45)</f>
        <v>4.5000000000000005E-2</v>
      </c>
      <c r="V45" s="89">
        <f ca="1">IFERROR(SUM(T45/S45)-1,0)</f>
        <v>-0.20000000000000007</v>
      </c>
      <c r="W45" s="90">
        <v>0.04</v>
      </c>
      <c r="X45" s="49"/>
    </row>
    <row r="46" spans="2:24" ht="14.15" customHeight="1" x14ac:dyDescent="0.4">
      <c r="B46" s="329"/>
      <c r="D46" s="204" t="s">
        <v>67</v>
      </c>
      <c r="E46" t="s">
        <v>48</v>
      </c>
      <c r="F46" t="s">
        <v>74</v>
      </c>
      <c r="I46" s="74">
        <f t="array" aca="1" ref="I46" ca="1">IFERROR(I45/(IF($G$2=0,(SUM(INDIRECT($E45&amp;"["&amp;$E46&amp;"]")*(INDIRECT($E45&amp;"[yr]")=(I$5-1))*(INDIRECT($E45&amp;"[wk]")=I$6))/SUM(INDIRECT($E45&amp;"["&amp;$F46&amp;"]")*(INDIRECT($E45&amp;"[yr]")=(I$5-1))*(INDIRECT($E45&amp;"[wk]")=I$6))),(SUM(INDIRECT($E45&amp;"["&amp;$E46&amp;"]")*(INDIRECT($E45&amp;"[yr]")=(I$5-1))*(INDIRECT($E45&amp;"[wk]")=I$6)*(INDIRECT($E45&amp;"[siteflag]")=$G$2))/SUM(INDIRECT($E45&amp;"["&amp;$F46&amp;"]")*(INDIRECT($E45&amp;"[yr]")=(I$5-1))*(INDIRECT($E45&amp;"[wk]")=I$6)*(INDIRECT($E45&amp;"[siteflag]")=$G$2)))))-1,0)</f>
        <v>-0.450978431372549</v>
      </c>
      <c r="J46" s="74">
        <f t="array" aca="1" ref="J46" ca="1">IFERROR(J45/(IF($G$2=0,(SUM(INDIRECT($E45&amp;"["&amp;$E46&amp;"]")*(INDIRECT($E45&amp;"[yr]")=(J$5-1))*(INDIRECT($E45&amp;"[wk]")=J$6))/SUM(INDIRECT($E45&amp;"["&amp;$F46&amp;"]")*(INDIRECT($E45&amp;"[yr]")=(J$5-1))*(INDIRECT($E45&amp;"[wk]")=J$6))),(SUM(INDIRECT($E45&amp;"["&amp;$E46&amp;"]")*(INDIRECT($E45&amp;"[yr]")=(J$5-1))*(INDIRECT($E45&amp;"[wk]")=J$6)*(INDIRECT($E45&amp;"[siteflag]")=$G$2))/SUM(INDIRECT($E45&amp;"["&amp;$F46&amp;"]")*(INDIRECT($E45&amp;"[yr]")=(J$5-1))*(INDIRECT($E45&amp;"[wk]")=J$6)*(INDIRECT($E45&amp;"[siteflag]")=$G$2)))))-1,0)</f>
        <v>-0.34171813725490197</v>
      </c>
      <c r="K46" s="74">
        <f t="array" aca="1" ref="K46" ca="1">IFERROR(K45/(IF($G$2=0,(SUM(INDIRECT($E45&amp;"["&amp;$E46&amp;"]")*(INDIRECT($E45&amp;"[yr]")=(K$5-1))*(INDIRECT($E45&amp;"[wk]")=K$6))/SUM(INDIRECT($E45&amp;"["&amp;$F46&amp;"]")*(INDIRECT($E45&amp;"[yr]")=(K$5-1))*(INDIRECT($E45&amp;"[wk]")=K$6))),(SUM(INDIRECT($E45&amp;"["&amp;$E46&amp;"]")*(INDIRECT($E45&amp;"[yr]")=(K$5-1))*(INDIRECT($E45&amp;"[wk]")=K$6)*(INDIRECT($E45&amp;"[siteflag]")=$G$2))/SUM(INDIRECT($E45&amp;"["&amp;$F46&amp;"]")*(INDIRECT($E45&amp;"[yr]")=(K$5-1))*(INDIRECT($E45&amp;"[wk]")=K$6)*(INDIRECT($E45&amp;"[siteflag]")=$G$2)))))-1,0)</f>
        <v>-0.42124140624999995</v>
      </c>
      <c r="L46" s="74">
        <f t="array" aca="1" ref="L46" ca="1">IFERROR(L45/(IF($G$2=0,(SUM(INDIRECT($E45&amp;"["&amp;$E46&amp;"]")*(INDIRECT($E45&amp;"[yr]")=(L$5-1))*(INDIRECT($E45&amp;"[wk]")=L$6))/SUM(INDIRECT($E45&amp;"["&amp;$F46&amp;"]")*(INDIRECT($E45&amp;"[yr]")=(L$5-1))*(INDIRECT($E45&amp;"[wk]")=L$6))),(SUM(INDIRECT($E45&amp;"["&amp;$E46&amp;"]")*(INDIRECT($E45&amp;"[yr]")=(L$5-1))*(INDIRECT($E45&amp;"[wk]")=L$6)*(INDIRECT($E45&amp;"[siteflag]")=$G$2))/SUM(INDIRECT($E45&amp;"["&amp;$F46&amp;"]")*(INDIRECT($E45&amp;"[yr]")=(L$5-1))*(INDIRECT($E45&amp;"[wk]")=L$6)*(INDIRECT($E45&amp;"[siteflag]")=$G$2)))))-1,0)</f>
        <v>-0.75214021739130432</v>
      </c>
      <c r="M46" s="74">
        <f t="array" aca="1" ref="M46" ca="1">IFERROR(M45/(IF($G$2=0,(SUM(INDIRECT($E45&amp;"["&amp;$E46&amp;"]")*(INDIRECT($E45&amp;"[yr]")=(M$5-1))*(INDIRECT($E45&amp;"[wk]")=M$6))/SUM(INDIRECT($E45&amp;"["&amp;$F46&amp;"]")*(INDIRECT($E45&amp;"[yr]")=(M$5-1))*(INDIRECT($E45&amp;"[wk]")=M$6))),(SUM(INDIRECT($E45&amp;"["&amp;$E46&amp;"]")*(INDIRECT($E45&amp;"[yr]")=(M$5-1))*(INDIRECT($E45&amp;"[wk]")=M$6)*(INDIRECT($E45&amp;"[siteflag]")=$G$2))/SUM(INDIRECT($E45&amp;"["&amp;$F46&amp;"]")*(INDIRECT($E45&amp;"[yr]")=(M$5-1))*(INDIRECT($E45&amp;"[wk]")=M$6)*(INDIRECT($E45&amp;"[siteflag]")=$G$2)))))-1,0)</f>
        <v>-0.12659469696969694</v>
      </c>
      <c r="N46" s="74">
        <f t="array" aca="1" ref="N46" ca="1">IFERROR(N45/(IF($G$2=0,(SUM(INDIRECT($E45&amp;"["&amp;$E46&amp;"]")*(INDIRECT($E45&amp;"[yr]")=(N$5-1))*(INDIRECT($E45&amp;"[wk]")=N$6))/SUM(INDIRECT($E45&amp;"["&amp;$F46&amp;"]")*(INDIRECT($E45&amp;"[yr]")=(N$5-1))*(INDIRECT($E45&amp;"[wk]")=N$6))),(SUM(INDIRECT($E45&amp;"["&amp;$E46&amp;"]")*(INDIRECT($E45&amp;"[yr]")=(N$5-1))*(INDIRECT($E45&amp;"[wk]")=N$6)*(INDIRECT($E45&amp;"[siteflag]")=$G$2))/SUM(INDIRECT($E45&amp;"["&amp;$F46&amp;"]")*(INDIRECT($E45&amp;"[yr]")=(N$5-1))*(INDIRECT($E45&amp;"[wk]")=N$6)*(INDIRECT($E45&amp;"[siteflag]")=$G$2)))))-1,0)</f>
        <v>-0.45876521739130427</v>
      </c>
      <c r="O46" s="74">
        <f t="array" aca="1" ref="O46" ca="1">IFERROR(O45/(IF($G$2=0,(SUM(INDIRECT($E45&amp;"["&amp;$E46&amp;"]")*(INDIRECT($E45&amp;"[yr]")=(O$5-1))*(INDIRECT($E45&amp;"[wk]")=O$6))/SUM(INDIRECT($E45&amp;"["&amp;$F46&amp;"]")*(INDIRECT($E45&amp;"[yr]")=(O$5-1))*(INDIRECT($E45&amp;"[wk]")=O$6))),(SUM(INDIRECT($E45&amp;"["&amp;$E46&amp;"]")*(INDIRECT($E45&amp;"[yr]")=(O$5-1))*(INDIRECT($E45&amp;"[wk]")=O$6)*(INDIRECT($E45&amp;"[siteflag]")=$G$2))/SUM(INDIRECT($E45&amp;"["&amp;$F46&amp;"]")*(INDIRECT($E45&amp;"[yr]")=(O$5-1))*(INDIRECT($E45&amp;"[wk]")=O$6)*(INDIRECT($E45&amp;"[siteflag]")=$G$2)))))-1,0)</f>
        <v>0.23123999999999989</v>
      </c>
      <c r="P46" s="74">
        <f t="array" aca="1" ref="P46" ca="1">IFERROR(P45/(IF($G$2=0,(SUM(INDIRECT($E45&amp;"["&amp;$E46&amp;"]")*(INDIRECT($E45&amp;"[yr]")=(P$5-1))*(INDIRECT($E45&amp;"[wk]")=P$6))/SUM(INDIRECT($E45&amp;"["&amp;$F46&amp;"]")*(INDIRECT($E45&amp;"[yr]")=(P$5-1))*(INDIRECT($E45&amp;"[wk]")=P$6))),(SUM(INDIRECT($E45&amp;"["&amp;$E46&amp;"]")*(INDIRECT($E45&amp;"[yr]")=(P$5-1))*(INDIRECT($E45&amp;"[wk]")=P$6)*(INDIRECT($E45&amp;"[siteflag]")=$G$2))/SUM(INDIRECT($E45&amp;"["&amp;$F46&amp;"]")*(INDIRECT($E45&amp;"[yr]")=(P$5-1))*(INDIRECT($E45&amp;"[wk]")=P$6)*(INDIRECT($E45&amp;"[siteflag]")=$G$2)))))-1,0)</f>
        <v>-0.24051210191082806</v>
      </c>
      <c r="Q46" s="51">
        <f t="array" aca="1" ref="Q46" ca="1">IFERROR(Q45/(IF($G$2=0,(SUM(INDIRECT($E45&amp;"["&amp;$E46&amp;"]")*(INDIRECT($E45&amp;"[yr]")=(Q$5-1))*(INDIRECT($E45&amp;"[wk]")=Q$6))/SUM(INDIRECT($E45&amp;"["&amp;$F46&amp;"]")*(INDIRECT($E45&amp;"[yr]")=(Q$5-1))*(INDIRECT($E45&amp;"[wk]")=Q$6))),(SUM(INDIRECT($E45&amp;"["&amp;$E46&amp;"]")*(INDIRECT($E45&amp;"[yr]")=(Q$5-1))*(INDIRECT($E45&amp;"[wk]")=Q$6)*(INDIRECT($E45&amp;"[siteflag]")=$G$2))/SUM(INDIRECT($E45&amp;"["&amp;$F46&amp;"]")*(INDIRECT($E45&amp;"[yr]")=(Q$5-1))*(INDIRECT($E45&amp;"[wk]")=Q$6)*(INDIRECT($E45&amp;"[siteflag]")=$G$2)))))-1,0)</f>
        <v>0.74381868131868134</v>
      </c>
      <c r="R46" s="74">
        <f t="array" aca="1" ref="R46" ca="1">IFERROR(R45/(IF($G$2=0,(SUM(INDIRECT($E45&amp;"["&amp;$E46&amp;"]")*(INDIRECT($E45&amp;"[yr]")=(R$5-1))*(INDIRECT($E45&amp;"[wk]")=R$6))/SUM(INDIRECT($E45&amp;"["&amp;$F46&amp;"]")*(INDIRECT($E45&amp;"[yr]")=(R$5-1))*(INDIRECT($E45&amp;"[wk]")=R$6))),(SUM(INDIRECT($E45&amp;"["&amp;$E46&amp;"]")*(INDIRECT($E45&amp;"[yr]")=(R$5-1))*(INDIRECT($E45&amp;"[wk]")=R$6)*(INDIRECT($E45&amp;"[siteflag]")=$G$2))/SUM(INDIRECT($E45&amp;"["&amp;$F46&amp;"]")*(INDIRECT($E45&amp;"[yr]")=(R$5-1))*(INDIRECT($E45&amp;"[wk]")=R$6)*(INDIRECT($E45&amp;"[siteflag]")=$G$2)))))-1,0)</f>
        <v>0.34715959595959611</v>
      </c>
      <c r="S46" s="74">
        <f t="array" aca="1" ref="S46" ca="1">IFERROR(S45/(IF($G$2=0,(SUM(INDIRECT($E45&amp;"["&amp;$E46&amp;"]")*(INDIRECT($E45&amp;"[yr]")=(S$5-1))*(INDIRECT($E45&amp;"[wk]")=S$6))/SUM(INDIRECT($E45&amp;"["&amp;$F46&amp;"]")*(INDIRECT($E45&amp;"[yr]")=(S$5-1))*(INDIRECT($E45&amp;"[wk]")=S$6))),(SUM(INDIRECT($E45&amp;"["&amp;$E46&amp;"]")*(INDIRECT($E45&amp;"[yr]")=(S$5-1))*(INDIRECT($E45&amp;"[wk]")=S$6)*(INDIRECT($E45&amp;"[siteflag]")=$G$2))/SUM(INDIRECT($E45&amp;"["&amp;$F46&amp;"]")*(INDIRECT($E45&amp;"[yr]")=(S$5-1))*(INDIRECT($E45&amp;"[wk]")=S$6)*(INDIRECT($E45&amp;"[siteflag]")=$G$2)))))-1,0)</f>
        <v>0.21342366412213742</v>
      </c>
      <c r="T46" s="76">
        <f t="array" aca="1" ref="T46" ca="1">IFERROR(T45/(IF($G$2=0,(SUM(INDIRECT($E45&amp;"["&amp;$E46&amp;"]")*(INDIRECT($E45&amp;"[yr]")=(T$5-1))*(INDIRECT($E45&amp;"[wk]")=T$6))/SUM(INDIRECT($E45&amp;"["&amp;$F46&amp;"]")*(INDIRECT($E45&amp;"[yr]")=(T$5-1))*(INDIRECT($E45&amp;"[wk]")=T$6))),(SUM(INDIRECT($E45&amp;"["&amp;$E46&amp;"]")*(INDIRECT($E45&amp;"[yr]")=(T$5-1))*(INDIRECT($E45&amp;"[wk]")=T$6)*(INDIRECT($E45&amp;"[siteflag]")=$G$2))/SUM(INDIRECT($E45&amp;"["&amp;$F46&amp;"]")*(INDIRECT($E45&amp;"[yr]")=(T$5-1))*(INDIRECT($E45&amp;"[wk]")=T$6)*(INDIRECT($E45&amp;"[siteflag]")=$G$2)))))-1,0)</f>
        <v>-0.93411560102301794</v>
      </c>
      <c r="U46" s="77">
        <f ca="1">SUMPRODUCT(Q45:T45,Q46:T46)/SUM(Q45:T45)</f>
        <v>0.135465983719467</v>
      </c>
      <c r="V46" s="91"/>
      <c r="W46" s="80"/>
      <c r="X46" s="56"/>
    </row>
    <row r="47" spans="2:24" ht="3" customHeight="1" x14ac:dyDescent="0.4">
      <c r="B47" s="329"/>
      <c r="D47" s="206"/>
      <c r="E47" s="57"/>
      <c r="F47" s="57"/>
      <c r="G47" s="57"/>
      <c r="H47" s="57"/>
      <c r="I47" s="84"/>
      <c r="J47" s="84"/>
      <c r="K47" s="84"/>
      <c r="L47" s="84"/>
      <c r="M47" s="84"/>
      <c r="N47" s="84"/>
      <c r="O47" s="84"/>
      <c r="P47" s="84"/>
      <c r="Q47" s="85"/>
      <c r="R47" s="84"/>
      <c r="S47" s="84"/>
      <c r="T47" s="86"/>
      <c r="U47" s="87"/>
      <c r="V47" s="88"/>
      <c r="W47" s="62"/>
      <c r="X47" s="68"/>
    </row>
    <row r="48" spans="2:24" ht="14.15" customHeight="1" x14ac:dyDescent="0.4">
      <c r="B48" s="329"/>
      <c r="D48" s="203" t="s">
        <v>75</v>
      </c>
      <c r="I48" s="92">
        <f t="array" aca="1" ref="I48" ca="1">IF($G$2=0,(SUM(INDIRECT($E49&amp;"["&amp;$F49&amp;"]")*(INDIRECT($E49&amp;"[yr]")=I$5)*(INDIRECT($E49&amp;"[wk]")=I$6))),(SUM(INDIRECT($E49&amp;"["&amp;$F49&amp;"]")*(INDIRECT($E49&amp;"[yr]")=I$5)*(INDIRECT($E49&amp;"[wk]")=I$6)*(INDIRECT($E49&amp;"[siteflag]")=$G$2))))/100</f>
        <v>146</v>
      </c>
      <c r="J48" s="92">
        <f t="array" aca="1" ref="J48" ca="1">IF($G$2=0,(SUM(INDIRECT($E49&amp;"["&amp;$F49&amp;"]")*(INDIRECT($E49&amp;"[yr]")=J$5)*(INDIRECT($E49&amp;"[wk]")=J$6))),(SUM(INDIRECT($E49&amp;"["&amp;$F49&amp;"]")*(INDIRECT($E49&amp;"[yr]")=J$5)*(INDIRECT($E49&amp;"[wk]")=J$6)*(INDIRECT($E49&amp;"[siteflag]")=$G$2))))/100</f>
        <v>144</v>
      </c>
      <c r="K48" s="92">
        <f t="array" aca="1" ref="K48" ca="1">IF($G$2=0,(SUM(INDIRECT($E49&amp;"["&amp;$F49&amp;"]")*(INDIRECT($E49&amp;"[yr]")=K$5)*(INDIRECT($E49&amp;"[wk]")=K$6))),(SUM(INDIRECT($E49&amp;"["&amp;$F49&amp;"]")*(INDIRECT($E49&amp;"[yr]")=K$5)*(INDIRECT($E49&amp;"[wk]")=K$6)*(INDIRECT($E49&amp;"[siteflag]")=$G$2))))/100</f>
        <v>171</v>
      </c>
      <c r="L48" s="92">
        <f t="array" aca="1" ref="L48" ca="1">IF($G$2=0,(SUM(INDIRECT($E49&amp;"["&amp;$F49&amp;"]")*(INDIRECT($E49&amp;"[yr]")=L$5)*(INDIRECT($E49&amp;"[wk]")=L$6))),(SUM(INDIRECT($E49&amp;"["&amp;$F49&amp;"]")*(INDIRECT($E49&amp;"[yr]")=L$5)*(INDIRECT($E49&amp;"[wk]")=L$6)*(INDIRECT($E49&amp;"[siteflag]")=$G$2))))/100</f>
        <v>147</v>
      </c>
      <c r="M48" s="92">
        <f t="array" aca="1" ref="M48" ca="1">IF($G$2=0,(SUM(INDIRECT($E49&amp;"["&amp;$F49&amp;"]")*(INDIRECT($E49&amp;"[yr]")=M$5)*(INDIRECT($E49&amp;"[wk]")=M$6))),(SUM(INDIRECT($E49&amp;"["&amp;$F49&amp;"]")*(INDIRECT($E49&amp;"[yr]")=M$5)*(INDIRECT($E49&amp;"[wk]")=M$6)*(INDIRECT($E49&amp;"[siteflag]")=$G$2))))/100</f>
        <v>121</v>
      </c>
      <c r="N48" s="92">
        <f t="array" aca="1" ref="N48" ca="1">IF($G$2=0,(SUM(INDIRECT($E49&amp;"["&amp;$F49&amp;"]")*(INDIRECT($E49&amp;"[yr]")=N$5)*(INDIRECT($E49&amp;"[wk]")=N$6))),(SUM(INDIRECT($E49&amp;"["&amp;$F49&amp;"]")*(INDIRECT($E49&amp;"[yr]")=N$5)*(INDIRECT($E49&amp;"[wk]")=N$6)*(INDIRECT($E49&amp;"[siteflag]")=$G$2))))/100</f>
        <v>134</v>
      </c>
      <c r="O48" s="92">
        <f t="array" aca="1" ref="O48" ca="1">IF($G$2=0,(SUM(INDIRECT($E49&amp;"["&amp;$F49&amp;"]")*(INDIRECT($E49&amp;"[yr]")=O$5)*(INDIRECT($E49&amp;"[wk]")=O$6))),(SUM(INDIRECT($E49&amp;"["&amp;$F49&amp;"]")*(INDIRECT($E49&amp;"[yr]")=O$5)*(INDIRECT($E49&amp;"[wk]")=O$6)*(INDIRECT($E49&amp;"[siteflag]")=$G$2))))/100</f>
        <v>187</v>
      </c>
      <c r="P48" s="93">
        <f t="array" aca="1" ref="P48" ca="1">IF($G$2=0,(SUM(INDIRECT($E49&amp;"["&amp;$F49&amp;"]")*(INDIRECT($E49&amp;"[yr]")=P$5)*(INDIRECT($E49&amp;"[wk]")=P$6))),(SUM(INDIRECT($E49&amp;"["&amp;$F49&amp;"]")*(INDIRECT($E49&amp;"[yr]")=P$5)*(INDIRECT($E49&amp;"[wk]")=P$6)*(INDIRECT($E49&amp;"[siteflag]")=$G$2))))/100</f>
        <v>151</v>
      </c>
      <c r="Q48" s="94">
        <f t="array" aca="1" ref="Q48" ca="1">IF($G$2=0,(SUM(INDIRECT($E49&amp;"["&amp;$F49&amp;"]")*(INDIRECT($E49&amp;"[yr]")=Q$5)*(INDIRECT($E49&amp;"[wk]")=Q$6))),(SUM(INDIRECT($E49&amp;"["&amp;$F49&amp;"]")*(INDIRECT($E49&amp;"[yr]")=Q$5)*(INDIRECT($E49&amp;"[wk]")=Q$6)*(INDIRECT($E49&amp;"[siteflag]")=$G$2))))/100</f>
        <v>173</v>
      </c>
      <c r="R48" s="92">
        <f t="array" aca="1" ref="R48" ca="1">IF($G$2=0,(SUM(INDIRECT($E49&amp;"["&amp;$F49&amp;"]")*(INDIRECT($E49&amp;"[yr]")=R$5)*(INDIRECT($E49&amp;"[wk]")=R$6))),(SUM(INDIRECT($E49&amp;"["&amp;$F49&amp;"]")*(INDIRECT($E49&amp;"[yr]")=R$5)*(INDIRECT($E49&amp;"[wk]")=R$6)*(INDIRECT($E49&amp;"[siteflag]")=$G$2))))/100</f>
        <v>154</v>
      </c>
      <c r="S48" s="92">
        <f t="array" aca="1" ref="S48" ca="1">IF($G$2=0,(SUM(INDIRECT($E49&amp;"["&amp;$F49&amp;"]")*(INDIRECT($E49&amp;"[yr]")=S$5)*(INDIRECT($E49&amp;"[wk]")=S$6))),(SUM(INDIRECT($E49&amp;"["&amp;$F49&amp;"]")*(INDIRECT($E49&amp;"[yr]")=S$5)*(INDIRECT($E49&amp;"[wk]")=S$6)*(INDIRECT($E49&amp;"[siteflag]")=$G$2))))/100</f>
        <v>148</v>
      </c>
      <c r="T48" s="160">
        <f t="array" aca="1" ref="T48" ca="1">IF($G$2=0,(SUM(INDIRECT($E49&amp;"["&amp;$F49&amp;"]")*(INDIRECT($E49&amp;"[yr]")=T$5)*(INDIRECT($E49&amp;"[wk]")=T$6))),(SUM(INDIRECT($E49&amp;"["&amp;$F49&amp;"]")*(INDIRECT($E49&amp;"[yr]")=T$5)*(INDIRECT($E49&amp;"[wk]")=T$6)*(INDIRECT($E49&amp;"[siteflag]")=$G$2))))/100</f>
        <v>132</v>
      </c>
      <c r="U48" s="161">
        <f ca="1">AVERAGE(Q48:T48)</f>
        <v>151.75</v>
      </c>
      <c r="V48" s="81">
        <f t="array" aca="1" ref="V48" ca="1">SUM(T48/S48)-1</f>
        <v>-0.10810810810810811</v>
      </c>
      <c r="W48" s="97">
        <f ca="1">ROUNDUP(S69*W45*10,0)</f>
        <v>120</v>
      </c>
      <c r="X48" s="49"/>
    </row>
    <row r="49" spans="2:24" ht="14.15" customHeight="1" x14ac:dyDescent="0.4">
      <c r="B49" s="329"/>
      <c r="D49" s="204" t="s">
        <v>67</v>
      </c>
      <c r="E49" t="s">
        <v>45</v>
      </c>
      <c r="F49" t="s">
        <v>48</v>
      </c>
      <c r="I49" s="276">
        <f t="array" aca="1" ref="I49" ca="1">IFERROR(I48/(IF($G$2=0,(SUM(INDIRECT($E49&amp;"["&amp;$F49&amp;"]")*(INDIRECT($E49&amp;"[yr]")=(I$5-1))*(INDIRECT($E49&amp;"[wk]")=I$6))),(SUM(INDIRECT($E49&amp;"["&amp;$F49&amp;"]")*(INDIRECT($E49&amp;"[yr]")=(I$5-1))*(INDIRECT($E49&amp;"[wk]")=I$6)*(INDIRECT($E49&amp;"[siteflag]")=$G$2))))/100)-1,0)</f>
        <v>-0.28431372549019607</v>
      </c>
      <c r="J49" s="276">
        <f t="array" aca="1" ref="J49" ca="1">IFERROR(J48/(IF($G$2=0,(SUM(INDIRECT($E49&amp;"["&amp;$F49&amp;"]")*(INDIRECT($E49&amp;"[yr]")=(J$5-1))*(INDIRECT($E49&amp;"[wk]")=J$6))),(SUM(INDIRECT($E49&amp;"["&amp;$F49&amp;"]")*(INDIRECT($E49&amp;"[yr]")=(J$5-1))*(INDIRECT($E49&amp;"[wk]")=J$6)*(INDIRECT($E49&amp;"[siteflag]")=$G$2))))/100)-1,0)</f>
        <v>-0.29411764705882348</v>
      </c>
      <c r="K49" s="276">
        <f t="array" aca="1" ref="K49" ca="1">IFERROR(K48/(IF($G$2=0,(SUM(INDIRECT($E49&amp;"["&amp;$F49&amp;"]")*(INDIRECT($E49&amp;"[yr]")=(K$5-1))*(INDIRECT($E49&amp;"[wk]")=K$6))),(SUM(INDIRECT($E49&amp;"["&amp;$F49&amp;"]")*(INDIRECT($E49&amp;"[yr]")=(K$5-1))*(INDIRECT($E49&amp;"[wk]")=K$6)*(INDIRECT($E49&amp;"[siteflag]")=$G$2))))/100)-1,0)</f>
        <v>-0.33203125</v>
      </c>
      <c r="L49" s="276">
        <f t="array" aca="1" ref="L49" ca="1">IFERROR(L48/(IF($G$2=0,(SUM(INDIRECT($E49&amp;"["&amp;$F49&amp;"]")*(INDIRECT($E49&amp;"[yr]")=(L$5-1))*(INDIRECT($E49&amp;"[wk]")=L$6))),(SUM(INDIRECT($E49&amp;"["&amp;$F49&amp;"]")*(INDIRECT($E49&amp;"[yr]")=(L$5-1))*(INDIRECT($E49&amp;"[wk]")=L$6)*(INDIRECT($E49&amp;"[siteflag]")=$G$2))))/100)-1,0)</f>
        <v>-0.73369565217391308</v>
      </c>
      <c r="M49" s="276">
        <f t="array" aca="1" ref="M49" ca="1">IFERROR(M48/(IF($G$2=0,(SUM(INDIRECT($E49&amp;"["&amp;$F49&amp;"]")*(INDIRECT($E49&amp;"[yr]")=(M$5-1))*(INDIRECT($E49&amp;"[wk]")=M$6))),(SUM(INDIRECT($E49&amp;"["&amp;$F49&amp;"]")*(INDIRECT($E49&amp;"[yr]")=(M$5-1))*(INDIRECT($E49&amp;"[wk]")=M$6)*(INDIRECT($E49&amp;"[siteflag]")=$G$2))))/100)-1,0)</f>
        <v>-8.333333333333337E-2</v>
      </c>
      <c r="N49" s="276">
        <f t="array" aca="1" ref="N49" ca="1">IFERROR(N48/(IF($G$2=0,(SUM(INDIRECT($E49&amp;"["&amp;$F49&amp;"]")*(INDIRECT($E49&amp;"[yr]")=(N$5-1))*(INDIRECT($E49&amp;"[wk]")=N$6))),(SUM(INDIRECT($E49&amp;"["&amp;$F49&amp;"]")*(INDIRECT($E49&amp;"[yr]")=(N$5-1))*(INDIRECT($E49&amp;"[wk]")=N$6)*(INDIRECT($E49&amp;"[siteflag]")=$G$2))))/100)-1,0)</f>
        <v>-0.35265700483091789</v>
      </c>
      <c r="O49" s="276">
        <f t="array" aca="1" ref="O49" ca="1">IFERROR(O48/(IF($G$2=0,(SUM(INDIRECT($E49&amp;"["&amp;$F49&amp;"]")*(INDIRECT($E49&amp;"[yr]")=(O$5-1))*(INDIRECT($E49&amp;"[wk]")=O$6))),(SUM(INDIRECT($E49&amp;"["&amp;$F49&amp;"]")*(INDIRECT($E49&amp;"[yr]")=(O$5-1))*(INDIRECT($E49&amp;"[wk]")=O$6)*(INDIRECT($E49&amp;"[siteflag]")=$G$2))))/100)-1,0)</f>
        <v>0.496</v>
      </c>
      <c r="P49" s="277">
        <f t="array" aca="1" ref="P49" ca="1">IFERROR(P48/(IF($G$2=0,(SUM(INDIRECT($E49&amp;"["&amp;$F49&amp;"]")*(INDIRECT($E49&amp;"[yr]")=(P$5-1))*(INDIRECT($E49&amp;"[wk]")=P$6))),(SUM(INDIRECT($E49&amp;"["&amp;$F49&amp;"]")*(INDIRECT($E49&amp;"[yr]")=(P$5-1))*(INDIRECT($E49&amp;"[wk]")=P$6)*(INDIRECT($E49&amp;"[siteflag]")=$G$2))))/100)-1,0)</f>
        <v>-3.8216560509554132E-2</v>
      </c>
      <c r="Q49" s="276">
        <f t="array" aca="1" ref="Q49" ca="1">IFERROR(Q48/(IF($G$2=0,(SUM(INDIRECT($E49&amp;"["&amp;$F49&amp;"]")*(INDIRECT($E49&amp;"[yr]")=(Q$5-1))*(INDIRECT($E49&amp;"[wk]")=Q$6))),(SUM(INDIRECT($E49&amp;"["&amp;$F49&amp;"]")*(INDIRECT($E49&amp;"[yr]")=(Q$5-1))*(INDIRECT($E49&amp;"[wk]")=Q$6)*(INDIRECT($E49&amp;"[siteflag]")=$G$2))))/100)-1,0)</f>
        <v>0.90109890109890101</v>
      </c>
      <c r="R49" s="276">
        <f t="array" aca="1" ref="R49" ca="1">IFERROR(R48/(IF($G$2=0,(SUM(INDIRECT($E49&amp;"["&amp;$F49&amp;"]")*(INDIRECT($E49&amp;"[yr]")=(R$5-1))*(INDIRECT($E49&amp;"[wk]")=R$6))),(SUM(INDIRECT($E49&amp;"["&amp;$F49&amp;"]")*(INDIRECT($E49&amp;"[yr]")=(R$5-1))*(INDIRECT($E49&amp;"[wk]")=R$6)*(INDIRECT($E49&amp;"[siteflag]")=$G$2))))/100)-1,0)</f>
        <v>0.55555555555555558</v>
      </c>
      <c r="S49" s="278">
        <f t="array" aca="1" ref="S49" ca="1">IFERROR(S48/(IF($G$2=0,(SUM(INDIRECT($E49&amp;"["&amp;$F49&amp;"]")*(INDIRECT($E49&amp;"[yr]")=(S$5-1))*(INDIRECT($E49&amp;"[wk]")=S$6))),(SUM(INDIRECT($E49&amp;"["&amp;$F49&amp;"]")*(INDIRECT($E49&amp;"[yr]")=(S$5-1))*(INDIRECT($E49&amp;"[wk]")=S$6)*(INDIRECT($E49&amp;"[siteflag]")=$G$2))))/100)-1,0)</f>
        <v>0.12977099236641232</v>
      </c>
      <c r="T49" s="99">
        <f t="array" aca="1" ref="T49" ca="1">IFERROR(T48/(IF($G$2=0,(SUM(INDIRECT($E49&amp;"["&amp;$F49&amp;"]")*(INDIRECT($E49&amp;"[yr]")=(T$5-1))*(INDIRECT($E49&amp;"[wk]")=T$6))),(SUM(INDIRECT($E49&amp;"["&amp;$F49&amp;"]")*(INDIRECT($E49&amp;"[yr]")=(T$5-1))*(INDIRECT($E49&amp;"[wk]")=T$6)*(INDIRECT($E49&amp;"[siteflag]")=$G$2))))/100)-1,0)</f>
        <v>-0.93248081841432229</v>
      </c>
      <c r="U49" s="77">
        <f ca="1">SUMPRODUCT(Q48:T48,Q49:T49)/SUM(Q48:T48)</f>
        <v>0.22662982584053359</v>
      </c>
      <c r="V49" s="91"/>
      <c r="W49" s="80"/>
      <c r="X49" s="56"/>
    </row>
    <row r="50" spans="2:24" ht="3" customHeight="1" x14ac:dyDescent="0.4">
      <c r="B50" s="329"/>
      <c r="D50" s="207"/>
      <c r="E50" s="57"/>
      <c r="F50" s="57"/>
      <c r="G50" s="57"/>
      <c r="H50" s="57"/>
      <c r="I50" s="100"/>
      <c r="J50" s="100"/>
      <c r="K50" s="100"/>
      <c r="L50" s="100"/>
      <c r="M50" s="100"/>
      <c r="N50" s="100"/>
      <c r="O50" s="100"/>
      <c r="P50" s="100"/>
      <c r="Q50" s="101"/>
      <c r="R50" s="100"/>
      <c r="S50" s="274"/>
      <c r="T50" s="274"/>
      <c r="U50" s="103"/>
      <c r="V50" s="104"/>
      <c r="W50" s="105"/>
      <c r="X50" s="104"/>
    </row>
    <row r="51" spans="2:24" ht="14.15" customHeight="1" x14ac:dyDescent="0.4">
      <c r="B51" s="329"/>
      <c r="D51" s="203" t="s">
        <v>76</v>
      </c>
      <c r="E51" t="s">
        <v>371</v>
      </c>
      <c r="F51" t="s">
        <v>77</v>
      </c>
      <c r="I51" s="92">
        <f t="array" aca="1" ref="I51" ca="1">IF(AND(I5=2013,I6=52),SUM(INDIRECT($E51&amp;"["&amp;$F51&amp;"]")*(INDIRECT($E51&amp;"[yr]")=I$5)*(INDIRECT($E51&amp;"[wk]")=I$6)*(IF($G$2=0,1,(INDIRECT($E51&amp;"[siteflag]")=$G$2))))/2,SUM(INDIRECT($E51&amp;"["&amp;$F51&amp;"]")*(INDIRECT($E51&amp;"[yr]")=I$5)*(INDIRECT($E51&amp;"[wk]")=I$6)*(IF($G$2=0,1,(INDIRECT($E51&amp;"[siteflag]")=$G$2)))))</f>
        <v>556</v>
      </c>
      <c r="J51" s="92">
        <f t="array" aca="1" ref="J51" ca="1">IF(AND(J5=2013,J6=52),SUM(INDIRECT($E51&amp;"["&amp;$F51&amp;"]")*(INDIRECT($E51&amp;"[yr]")=J$5)*(INDIRECT($E51&amp;"[wk]")=J$6)*(IF($G$2=0,1,(INDIRECT($E51&amp;"[siteflag]")=$G$2))))/2,SUM(INDIRECT($E51&amp;"["&amp;$F51&amp;"]")*(INDIRECT($E51&amp;"[yr]")=J$5)*(INDIRECT($E51&amp;"[wk]")=J$6)*(IF($G$2=0,1,(INDIRECT($E51&amp;"[siteflag]")=$G$2)))))</f>
        <v>555</v>
      </c>
      <c r="K51" s="92">
        <f t="array" aca="1" ref="K51" ca="1">IF(AND(K5=2013,K6=52),SUM(INDIRECT($E51&amp;"["&amp;$F51&amp;"]")*(INDIRECT($E51&amp;"[yr]")=K$5)*(INDIRECT($E51&amp;"[wk]")=K$6)*(IF($G$2=0,1,(INDIRECT($E51&amp;"[siteflag]")=$G$2))))/2,SUM(INDIRECT($E51&amp;"["&amp;$F51&amp;"]")*(INDIRECT($E51&amp;"[yr]")=K$5)*(INDIRECT($E51&amp;"[wk]")=K$6)*(IF($G$2=0,1,(INDIRECT($E51&amp;"[siteflag]")=$G$2)))))</f>
        <v>558</v>
      </c>
      <c r="L51" s="92">
        <f t="array" aca="1" ref="L51" ca="1">IF(AND(L5=2013,L6=52),SUM(INDIRECT($E51&amp;"["&amp;$F51&amp;"]")*(INDIRECT($E51&amp;"[yr]")=L$5)*(INDIRECT($E51&amp;"[wk]")=L$6)*(IF($G$2=0,1,(INDIRECT($E51&amp;"[siteflag]")=$G$2))))/2,SUM(INDIRECT($E51&amp;"["&amp;$F51&amp;"]")*(INDIRECT($E51&amp;"[yr]")=L$5)*(INDIRECT($E51&amp;"[wk]")=L$6)*(IF($G$2=0,1,(INDIRECT($E51&amp;"[siteflag]")=$G$2)))))</f>
        <v>545</v>
      </c>
      <c r="M51" s="92">
        <f t="array" aca="1" ref="M51" ca="1">IF(AND(M5=2013,M6=52),SUM(INDIRECT($E51&amp;"["&amp;$F51&amp;"]")*(INDIRECT($E51&amp;"[yr]")=M$5)*(INDIRECT($E51&amp;"[wk]")=M$6)*(IF($G$2=0,1,(INDIRECT($E51&amp;"[siteflag]")=$G$2))))/2,SUM(INDIRECT($E51&amp;"["&amp;$F51&amp;"]")*(INDIRECT($E51&amp;"[yr]")=M$5)*(INDIRECT($E51&amp;"[wk]")=M$6)*(IF($G$2=0,1,(INDIRECT($E51&amp;"[siteflag]")=$G$2)))))</f>
        <v>550</v>
      </c>
      <c r="N51" s="92">
        <f t="array" aca="1" ref="N51" ca="1">IF(AND(N5=2013,N6=52),SUM(INDIRECT($E51&amp;"["&amp;$F51&amp;"]")*(INDIRECT($E51&amp;"[yr]")=N$5)*(INDIRECT($E51&amp;"[wk]")=N$6)*(IF($G$2=0,1,(INDIRECT($E51&amp;"[siteflag]")=$G$2))))/2,SUM(INDIRECT($E51&amp;"["&amp;$F51&amp;"]")*(INDIRECT($E51&amp;"[yr]")=N$5)*(INDIRECT($E51&amp;"[wk]")=N$6)*(IF($G$2=0,1,(INDIRECT($E51&amp;"[siteflag]")=$G$2)))))</f>
        <v>556</v>
      </c>
      <c r="O51" s="92">
        <f t="array" aca="1" ref="O51" ca="1">IF(AND(O5=2013,O6=52),SUM(INDIRECT($E51&amp;"["&amp;$F51&amp;"]")*(INDIRECT($E51&amp;"[yr]")=O$5)*(INDIRECT($E51&amp;"[wk]")=O$6)*(IF($G$2=0,1,(INDIRECT($E51&amp;"[siteflag]")=$G$2))))/2,SUM(INDIRECT($E51&amp;"["&amp;$F51&amp;"]")*(INDIRECT($E51&amp;"[yr]")=O$5)*(INDIRECT($E51&amp;"[wk]")=O$6)*(IF($G$2=0,1,(INDIRECT($E51&amp;"[siteflag]")=$G$2)))))</f>
        <v>555</v>
      </c>
      <c r="P51" s="92">
        <f t="array" aca="1" ref="P51" ca="1">IF(AND(P5=2013,P6=52),SUM(INDIRECT($E51&amp;"["&amp;$F51&amp;"]")*(INDIRECT($E51&amp;"[yr]")=P$5)*(INDIRECT($E51&amp;"[wk]")=P$6)*(IF($G$2=0,1,(INDIRECT($E51&amp;"[siteflag]")=$G$2))))/2,SUM(INDIRECT($E51&amp;"["&amp;$F51&amp;"]")*(INDIRECT($E51&amp;"[yr]")=P$5)*(INDIRECT($E51&amp;"[wk]")=P$6)*(IF($G$2=0,1,(INDIRECT($E51&amp;"[siteflag]")=$G$2)))))</f>
        <v>557</v>
      </c>
      <c r="Q51" s="106">
        <f t="array" aca="1" ref="Q51" ca="1">IF(AND(Q5=2013,Q6=52),SUM(INDIRECT($E51&amp;"["&amp;$F51&amp;"]")*(INDIRECT($E51&amp;"[yr]")=Q$5)*(INDIRECT($E51&amp;"[wk]")=Q$6)*(IF($G$2=0,1,(INDIRECT($E51&amp;"[siteflag]")=$G$2))))/2,SUM(INDIRECT($E51&amp;"["&amp;$F51&amp;"]")*(INDIRECT($E51&amp;"[yr]")=Q$5)*(INDIRECT($E51&amp;"[wk]")=Q$6)*(IF($G$2=0,1,(INDIRECT($E51&amp;"[siteflag]")=$G$2)))))</f>
        <v>565</v>
      </c>
      <c r="R51" s="92">
        <f t="array" aca="1" ref="R51" ca="1">IF(AND(R5=2013,R6=52),SUM(INDIRECT($E51&amp;"["&amp;$F51&amp;"]")*(INDIRECT($E51&amp;"[yr]")=R$5)*(INDIRECT($E51&amp;"[wk]")=R$6)*(IF($G$2=0,1,(INDIRECT($E51&amp;"[siteflag]")=$G$2))))/2,SUM(INDIRECT($E51&amp;"["&amp;$F51&amp;"]")*(INDIRECT($E51&amp;"[yr]")=R$5)*(INDIRECT($E51&amp;"[wk]")=R$6)*(IF($G$2=0,1,(INDIRECT($E51&amp;"[siteflag]")=$G$2)))))</f>
        <v>572</v>
      </c>
      <c r="S51" s="92">
        <f t="array" aca="1" ref="S51" ca="1">IF(AND(S5=2013,S6=52),SUM(INDIRECT($E51&amp;"["&amp;$F51&amp;"]")*(INDIRECT($E51&amp;"[yr]")=S$5)*(INDIRECT($E51&amp;"[wk]")=S$6)*(IF($G$2=0,1,(INDIRECT($E51&amp;"[siteflag]")=$G$2))))/2,SUM(INDIRECT($E51&amp;"["&amp;$F51&amp;"]")*(INDIRECT($E51&amp;"[yr]")=S$5)*(INDIRECT($E51&amp;"[wk]")=S$6)*(IF($G$2=0,1,(INDIRECT($E51&amp;"[siteflag]")=$G$2)))))</f>
        <v>580</v>
      </c>
      <c r="T51" s="107">
        <f t="array" aca="1" ref="T51" ca="1">IF(AND(T5=2013,T6=52),SUM(INDIRECT($E51&amp;"["&amp;$F51&amp;"]")*(INDIRECT($E51&amp;"[yr]")=T$5)*(INDIRECT($E51&amp;"[wk]")=T$6)*(IF($G$2=0,1,(INDIRECT($E51&amp;"[siteflag]")=$G$2))))/2,SUM(INDIRECT($E51&amp;"["&amp;$F51&amp;"]")*(INDIRECT($E51&amp;"[yr]")=T$5)*(INDIRECT($E51&amp;"[wk]")=T$6)*(IF($G$2=0,1,(INDIRECT($E51&amp;"[siteflag]")=$G$2)))))</f>
        <v>587</v>
      </c>
      <c r="U51" s="92">
        <f t="array" aca="1" ref="U51" ca="1">AVERAGE(Q51:T51)</f>
        <v>576</v>
      </c>
      <c r="V51" s="49">
        <f t="array" aca="1" ref="V51" ca="1">SUM(T51/S51)-1</f>
        <v>1.2068965517241459E-2</v>
      </c>
      <c r="W51" s="82"/>
      <c r="X51" s="49"/>
    </row>
    <row r="52" spans="2:24" ht="14.15" customHeight="1" x14ac:dyDescent="0.4">
      <c r="B52" s="329"/>
      <c r="D52" s="204" t="s">
        <v>67</v>
      </c>
      <c r="I52" s="74">
        <f t="array" aca="1" ref="I52" ca="1">IFERROR(I51/SUM(INDIRECT($E51&amp;"["&amp;$F51&amp;"]")*(INDIRECT($E51&amp;"[yr]")=(I$5-1))*(INDIRECT($E51&amp;"[wk]")=I$6)*(IF($G$2=0,1,(INDIRECT($E51&amp;"[siteflag]")=$G$2))))-1,0)</f>
        <v>0.38653366583541149</v>
      </c>
      <c r="J52" s="74">
        <f t="array" aca="1" ref="J52" ca="1">IFERROR(J51/SUM(INDIRECT($E51&amp;"["&amp;$F51&amp;"]")*(INDIRECT($E51&amp;"[yr]")=(J$5-1))*(INDIRECT($E51&amp;"[wk]")=J$6)*(IF($G$2=0,1,(INDIRECT($E51&amp;"[siteflag]")=$G$2))))-1,0)</f>
        <v>0.37717121588089331</v>
      </c>
      <c r="K52" s="74">
        <f t="array" aca="1" ref="K52" ca="1">IFERROR(K51/SUM(INDIRECT($E51&amp;"["&amp;$F51&amp;"]")*(INDIRECT($E51&amp;"[yr]")=(K$5-1))*(INDIRECT($E51&amp;"[wk]")=K$6)*(IF($G$2=0,1,(INDIRECT($E51&amp;"[siteflag]")=$G$2))))-1,0)</f>
        <v>0.39849624060150379</v>
      </c>
      <c r="L52" s="74">
        <f t="array" aca="1" ref="L52" ca="1">IFERROR(L51/SUM(INDIRECT($E51&amp;"["&amp;$F51&amp;"]")*(INDIRECT($E51&amp;"[yr]")=(L$5-1))*(INDIRECT($E51&amp;"[wk]")=L$6)*(IF($G$2=0,1,(INDIRECT($E51&amp;"[siteflag]")=$G$2))))-1,0)</f>
        <v>0.42297650130548292</v>
      </c>
      <c r="M52" s="74">
        <f t="array" aca="1" ref="M52" ca="1">IFERROR(M51/SUM(INDIRECT($E51&amp;"["&amp;$F51&amp;"]")*(INDIRECT($E51&amp;"[yr]")=(M$5-1))*(INDIRECT($E51&amp;"[wk]")=M$6)*(IF($G$2=0,1,(INDIRECT($E51&amp;"[siteflag]")=$G$2))))-1,0)</f>
        <v>0.4745308310991958</v>
      </c>
      <c r="N52" s="74">
        <f t="array" aca="1" ref="N52" ca="1">IFERROR(N51/SUM(INDIRECT($E51&amp;"["&amp;$F51&amp;"]")*(INDIRECT($E51&amp;"[yr]")=(N$5-1))*(INDIRECT($E51&amp;"[wk]")=N$6)*(IF($G$2=0,1,(INDIRECT($E51&amp;"[siteflag]")=$G$2))))-1,0)</f>
        <v>0.4748010610079576</v>
      </c>
      <c r="O52" s="74">
        <f t="array" aca="1" ref="O52" ca="1">IFERROR(O51/SUM(INDIRECT($E51&amp;"["&amp;$F51&amp;"]")*(INDIRECT($E51&amp;"[yr]")=(O$5-1))*(INDIRECT($E51&amp;"[wk]")=O$6)*(IF($G$2=0,1,(INDIRECT($E51&amp;"[siteflag]")=$G$2))))-1,0)</f>
        <v>0.42307692307692313</v>
      </c>
      <c r="P52" s="74">
        <f t="array" aca="1" ref="P52" ca="1">IFERROR(P51/SUM(INDIRECT($E51&amp;"["&amp;$F51&amp;"]")*(INDIRECT($E51&amp;"[yr]")=(P$5-1))*(INDIRECT($E51&amp;"[wk]")=P$6)*(IF($G$2=0,1,(INDIRECT($E51&amp;"[siteflag]")=$G$2))))-1,0)</f>
        <v>0.43927648578811374</v>
      </c>
      <c r="Q52" s="75">
        <f t="array" aca="1" ref="Q52" ca="1">IFERROR(Q51/SUM(INDIRECT($E51&amp;"["&amp;$F51&amp;"]")*(INDIRECT($E51&amp;"[yr]")=(Q$5-1))*(INDIRECT($E51&amp;"[wk]")=Q$6)*(IF($G$2=0,1,(INDIRECT($E51&amp;"[siteflag]")=$G$2))))-1,0)</f>
        <v>0.41250000000000009</v>
      </c>
      <c r="R52" s="74">
        <f t="array" aca="1" ref="R52" ca="1">IFERROR(R51/SUM(INDIRECT($E51&amp;"["&amp;$F51&amp;"]")*(INDIRECT($E51&amp;"[yr]")=(R$5-1))*(INDIRECT($E51&amp;"[wk]")=R$6)*(IF($G$2=0,1,(INDIRECT($E51&amp;"[siteflag]")=$G$2))))-1,0)</f>
        <v>0.42643391521197005</v>
      </c>
      <c r="S52" s="74">
        <f t="array" aca="1" ref="S52" ca="1">IFERROR(S51/SUM(INDIRECT($E51&amp;"["&amp;$F51&amp;"]")*(INDIRECT($E51&amp;"[yr]")=(S$5-1))*(INDIRECT($E51&amp;"[wk]")=S$6)*(IF($G$2=0,1,(INDIRECT($E51&amp;"[siteflag]")=$G$2))))-1,0)</f>
        <v>0.39423076923076916</v>
      </c>
      <c r="T52" s="76">
        <f t="array" aca="1" ref="T52" ca="1">IFERROR(T51/(SUM(INDIRECT($E51&amp;"["&amp;$F51&amp;"]")*(INDIRECT($E51&amp;"[yr]")=(T$5-1))*(INDIRECT($E51&amp;"[wk]")=T$6)*(IF($G$2=0,1,(INDIRECT($E51&amp;"[siteflag]")=$G$2)))))-1,0)</f>
        <v>0.38770685579196207</v>
      </c>
      <c r="U52" s="77">
        <f ca="1">AVERAGE(Q52:T52)</f>
        <v>0.40521788505867534</v>
      </c>
      <c r="V52" s="108"/>
      <c r="W52" s="108"/>
      <c r="X52" s="56"/>
    </row>
    <row r="53" spans="2:24" ht="3" customHeight="1" x14ac:dyDescent="0.4">
      <c r="B53" s="329"/>
      <c r="D53" s="61"/>
      <c r="E53" s="57"/>
      <c r="F53" s="57"/>
      <c r="G53" s="57"/>
      <c r="H53" s="57"/>
      <c r="I53" s="109"/>
      <c r="J53" s="109"/>
      <c r="K53" s="109"/>
      <c r="L53" s="109"/>
      <c r="M53" s="109"/>
      <c r="N53" s="109"/>
      <c r="O53" s="109"/>
      <c r="P53" s="109"/>
      <c r="Q53" s="110"/>
      <c r="R53" s="109"/>
      <c r="S53" s="109"/>
      <c r="T53" s="111"/>
      <c r="U53" s="112"/>
      <c r="V53" s="113"/>
      <c r="W53" s="105"/>
      <c r="X53" s="114"/>
    </row>
    <row r="54" spans="2:24" ht="14.15" customHeight="1" x14ac:dyDescent="0.4">
      <c r="B54" s="329"/>
      <c r="D54" s="203" t="s">
        <v>78</v>
      </c>
      <c r="E54" t="s">
        <v>79</v>
      </c>
      <c r="F54" t="s">
        <v>79</v>
      </c>
      <c r="I54" s="124">
        <f t="array" aca="1" ref="I54" ca="1">SUM(INDIRECT($E54&amp;"["&amp;$F54&amp;"]")*(INDIRECT($E54&amp;"[yr]")=I$5)*(INDIRECT($E54&amp;"[wk]")=I$6)*(IF($G$2=0,1,(INDIRECT($E54&amp;"[siteflag]")=$G$2))))</f>
        <v>2947.723</v>
      </c>
      <c r="J54" s="124">
        <f t="array" aca="1" ref="J54" ca="1">SUM(INDIRECT($E54&amp;"["&amp;$F54&amp;"]")*(INDIRECT($E54&amp;"[yr]")=J$5)*(INDIRECT($E54&amp;"[wk]")=J$6)*(IF($G$2=0,1,(INDIRECT($E54&amp;"[siteflag]")=$G$2))))</f>
        <v>2936.8845714285699</v>
      </c>
      <c r="K54" s="124">
        <f t="array" aca="1" ref="K54" ca="1">SUM(INDIRECT($E54&amp;"["&amp;$F54&amp;"]")*(INDIRECT($E54&amp;"[yr]")=K$5)*(INDIRECT($E54&amp;"[wk]")=K$6)*(IF($G$2=0,1,(INDIRECT($E54&amp;"[siteflag]")=$G$2))))</f>
        <v>2927.1778571428599</v>
      </c>
      <c r="L54" s="124">
        <f t="array" aca="1" ref="L54" ca="1">SUM(INDIRECT($E54&amp;"["&amp;$F54&amp;"]")*(INDIRECT($E54&amp;"[yr]")=L$5)*(INDIRECT($E54&amp;"[wk]")=L$6)*(IF($G$2=0,1,(INDIRECT($E54&amp;"[siteflag]")=$G$2))))</f>
        <v>2930.6767142857097</v>
      </c>
      <c r="M54" s="124">
        <f t="array" aca="1" ref="M54" ca="1">SUM(INDIRECT($E54&amp;"["&amp;$F54&amp;"]")*(INDIRECT($E54&amp;"[yr]")=M$5)*(INDIRECT($E54&amp;"[wk]")=M$6)*(IF($G$2=0,1,(INDIRECT($E54&amp;"[siteflag]")=$G$2))))</f>
        <v>2846.3074285714297</v>
      </c>
      <c r="N54" s="124">
        <f t="array" aca="1" ref="N54" ca="1">SUM(INDIRECT($E54&amp;"["&amp;$F54&amp;"]")*(INDIRECT($E54&amp;"[yr]")=N$5)*(INDIRECT($E54&amp;"[wk]")=N$6)*(IF($G$2=0,1,(INDIRECT($E54&amp;"[siteflag]")=$G$2))))</f>
        <v>2804.4160000000002</v>
      </c>
      <c r="O54" s="124">
        <f t="array" aca="1" ref="O54" ca="1">SUM(INDIRECT($E54&amp;"["&amp;$F54&amp;"]")*(INDIRECT($E54&amp;"[yr]")=O$5)*(INDIRECT($E54&amp;"[wk]")=O$6)*(IF($G$2=0,1,(INDIRECT($E54&amp;"[siteflag]")=$G$2))))</f>
        <v>2762.5214285714296</v>
      </c>
      <c r="P54" s="124">
        <f t="array" aca="1" ref="P54" ca="1">SUM(INDIRECT($E54&amp;"["&amp;$F54&amp;"]")*(INDIRECT($E54&amp;"[yr]")=P$5)*(INDIRECT($E54&amp;"[wk]")=P$6)*(IF($G$2=0,1,(INDIRECT($E54&amp;"[siteflag]")=$G$2))))</f>
        <v>2735.3961428571397</v>
      </c>
      <c r="Q54" s="125">
        <f t="array" aca="1" ref="Q54" ca="1">SUM(INDIRECT($E54&amp;"["&amp;$F54&amp;"]")*(INDIRECT($E54&amp;"[yr]")=Q$5)*(INDIRECT($E54&amp;"[wk]")=Q$6)*(IF($G$2=0,1,(INDIRECT($E54&amp;"[siteflag]")=$G$2))))</f>
        <v>2688.6851428571399</v>
      </c>
      <c r="R54" s="124">
        <f t="array" aca="1" ref="R54" ca="1">SUM(INDIRECT($E54&amp;"["&amp;$F54&amp;"]")*(INDIRECT($E54&amp;"[yr]")=R$5)*(INDIRECT($E54&amp;"[wk]")=R$6)*(IF($G$2=0,1,(INDIRECT($E54&amp;"[siteflag]")=$G$2))))</f>
        <v>2621.6058571428598</v>
      </c>
      <c r="S54" s="124">
        <f t="array" aca="1" ref="S54" ca="1">SUM(INDIRECT($E54&amp;"["&amp;$F54&amp;"]")*(INDIRECT($E54&amp;"[yr]")=S$5)*(INDIRECT($E54&amp;"[wk]")=S$6)*(IF($G$2=0,1,(INDIRECT($E54&amp;"[siteflag]")=$G$2))))</f>
        <v>2572.81</v>
      </c>
      <c r="T54" s="115">
        <f t="array" aca="1" ref="T54" ca="1">SUM(INDIRECT($E54&amp;"["&amp;$F54&amp;"]")*(INDIRECT($E54&amp;"[yr]")=T$5)*(INDIRECT($E54&amp;"[wk]")=T$6)*(IF($G$2=0,1,(INDIRECT($E54&amp;"[siteflag]")=$G$2))))</f>
        <v>2534.55628571429</v>
      </c>
      <c r="U54" s="116">
        <f ca="1">AVERAGE(Q54:T54)</f>
        <v>2604.4143214285723</v>
      </c>
      <c r="V54" s="49">
        <f t="array" aca="1" ref="V54" ca="1">SUM(T54/S54)-1</f>
        <v>-1.4868456779050909E-2</v>
      </c>
      <c r="W54" s="73"/>
      <c r="X54" s="49"/>
    </row>
    <row r="55" spans="2:24" ht="14.15" customHeight="1" x14ac:dyDescent="0.4">
      <c r="B55" s="329"/>
      <c r="D55" s="204" t="s">
        <v>67</v>
      </c>
      <c r="I55" s="74">
        <f t="array" aca="1" ref="I55" ca="1">IFERROR(I54/SUM(INDIRECT($E54&amp;"["&amp;$F54&amp;"]")*(INDIRECT($E54&amp;"[yr]")=(I$5-1))*(INDIRECT($E54&amp;"[wk]")=I$6)*(IF($G$2=0,1,(INDIRECT($E54&amp;"[siteflag]")=$G$2))))-1,0)</f>
        <v>0.22239190951222421</v>
      </c>
      <c r="J55" s="74">
        <f t="array" aca="1" ref="J55" ca="1">IFERROR(J54/SUM(INDIRECT($E54&amp;"["&amp;$F54&amp;"]")*(INDIRECT($E54&amp;"[yr]")=(J$5-1))*(INDIRECT($E54&amp;"[wk]")=J$6)*(IF($G$2=0,1,(INDIRECT($E54&amp;"[siteflag]")=$G$2))))-1,0)</f>
        <v>0.1738634363854501</v>
      </c>
      <c r="K55" s="74">
        <f t="array" aca="1" ref="K55" ca="1">IFERROR(K54/SUM(INDIRECT($E54&amp;"["&amp;$F54&amp;"]")*(INDIRECT($E54&amp;"[yr]")=(K$5-1))*(INDIRECT($E54&amp;"[wk]")=K$6)*(IF($G$2=0,1,(INDIRECT($E54&amp;"[siteflag]")=$G$2))))-1,0)</f>
        <v>0.16371542346922041</v>
      </c>
      <c r="L55" s="74">
        <f t="array" aca="1" ref="L55" ca="1">IFERROR(L54/SUM(INDIRECT($E54&amp;"["&amp;$F54&amp;"]")*(INDIRECT($E54&amp;"[yr]")=(L$5-1))*(INDIRECT($E54&amp;"[wk]")=L$6)*(IF($G$2=0,1,(INDIRECT($E54&amp;"[siteflag]")=$G$2))))-1,0)</f>
        <v>0.15248625060377496</v>
      </c>
      <c r="M55" s="74">
        <f t="array" aca="1" ref="M55" ca="1">IFERROR(M54/SUM(INDIRECT($E54&amp;"["&amp;$F54&amp;"]")*(INDIRECT($E54&amp;"[yr]")=(M$5-1))*(INDIRECT($E54&amp;"[wk]")=M$6)*(IF($G$2=0,1,(INDIRECT($E54&amp;"[siteflag]")=$G$2))))-1,0)</f>
        <v>0.12965127130723797</v>
      </c>
      <c r="N55" s="74">
        <f t="array" aca="1" ref="N55" ca="1">IFERROR(N54/SUM(INDIRECT($E54&amp;"["&amp;$F54&amp;"]")*(INDIRECT($E54&amp;"[yr]")=(N$5-1))*(INDIRECT($E54&amp;"[wk]")=N$6)*(IF($G$2=0,1,(INDIRECT($E54&amp;"[siteflag]")=$G$2))))-1,0)</f>
        <v>0.10857549189552018</v>
      </c>
      <c r="O55" s="74">
        <f t="array" aca="1" ref="O55" ca="1">IFERROR(O54/SUM(INDIRECT($E54&amp;"["&amp;$F54&amp;"]")*(INDIRECT($E54&amp;"[yr]")=(O$5-1))*(INDIRECT($E54&amp;"[wk]")=O$6)*(IF($G$2=0,1,(INDIRECT($E54&amp;"[siteflag]")=$G$2))))-1,0)</f>
        <v>9.9544213673204762E-2</v>
      </c>
      <c r="P55" s="74">
        <f t="array" aca="1" ref="P55" ca="1">IFERROR(P54/SUM(INDIRECT($E54&amp;"["&amp;$F54&amp;"]")*(INDIRECT($E54&amp;"[yr]")=(P$5-1))*(INDIRECT($E54&amp;"[wk]")=P$6)*(IF($G$2=0,1,(INDIRECT($E54&amp;"[siteflag]")=$G$2))))-1,0)</f>
        <v>9.317591063437769E-2</v>
      </c>
      <c r="Q55" s="51">
        <f t="array" aca="1" ref="Q55" ca="1">IFERROR(Q54/SUM(INDIRECT($E54&amp;"["&amp;$F54&amp;"]")*(INDIRECT($E54&amp;"[yr]")=(Q$5-1))*(INDIRECT($E54&amp;"[wk]")=Q$6)*(IF($G$2=0,1,(INDIRECT($E54&amp;"[siteflag]")=$G$2))))-1,0)</f>
        <v>6.3184735165780825E-2</v>
      </c>
      <c r="R55" s="74">
        <f t="array" aca="1" ref="R55" ca="1">IFERROR(R54/SUM(INDIRECT($E54&amp;"["&amp;$F54&amp;"]")*(INDIRECT($E54&amp;"[yr]")=(R$5-1))*(INDIRECT($E54&amp;"[wk]")=R$6)*(IF($G$2=0,1,(INDIRECT($E54&amp;"[siteflag]")=$G$2))))-1,0)</f>
        <v>4.0752133312525807E-2</v>
      </c>
      <c r="S55" s="74">
        <f t="array" aca="1" ref="S55" ca="1">IFERROR(S54/SUM(INDIRECT($E54&amp;"["&amp;$F54&amp;"]")*(INDIRECT($E54&amp;"[yr]")=(S$5-1))*(INDIRECT($E54&amp;"[wk]")=S$6)*(IF($G$2=0,1,(INDIRECT($E54&amp;"[siteflag]")=$G$2))))-1,0)</f>
        <v>2.5238696849352538E-2</v>
      </c>
      <c r="T55" s="76">
        <f t="array" aca="1" ref="T55" ca="1">IFERROR(T54/SUM(INDIRECT($E54&amp;"["&amp;$F54&amp;"]")*(INDIRECT($E54&amp;"[yr]")=(T$5-1))*(INDIRECT($E54&amp;"[wk]")=T$6)*(IF($G$2=0,1,(INDIRECT($E54&amp;"[siteflag]")=$G$2))))-1,0)</f>
        <v>1.1749468531821572E-2</v>
      </c>
      <c r="U55" s="53">
        <f ca="1">AVERAGE(Q55:T55)</f>
        <v>3.5231258464870185E-2</v>
      </c>
      <c r="V55" s="91"/>
      <c r="W55" s="80"/>
      <c r="X55" s="56"/>
    </row>
    <row r="56" spans="2:24" ht="3" customHeight="1" x14ac:dyDescent="0.4">
      <c r="B56" s="329"/>
      <c r="D56" s="61"/>
      <c r="E56" s="57"/>
      <c r="F56" s="57"/>
      <c r="G56" s="57"/>
      <c r="H56" s="57"/>
      <c r="I56" s="109"/>
      <c r="J56" s="109"/>
      <c r="K56" s="109"/>
      <c r="L56" s="109"/>
      <c r="M56" s="109"/>
      <c r="N56" s="109"/>
      <c r="O56" s="109"/>
      <c r="P56" s="109"/>
      <c r="Q56" s="110"/>
      <c r="R56" s="109"/>
      <c r="S56" s="109"/>
      <c r="T56" s="111"/>
      <c r="U56" s="112"/>
      <c r="V56" s="113"/>
      <c r="W56" s="105"/>
      <c r="X56" s="114"/>
    </row>
    <row r="57" spans="2:24" ht="14.15" customHeight="1" x14ac:dyDescent="0.4">
      <c r="B57" s="329"/>
      <c r="D57" s="203" t="s">
        <v>442</v>
      </c>
      <c r="E57" t="s">
        <v>459</v>
      </c>
      <c r="F57" t="s">
        <v>79</v>
      </c>
      <c r="I57" s="118">
        <f t="array" aca="1" ref="I57" ca="1">SUM(INDIRECT($E57&amp;"["&amp;$F57&amp;"]")*(INDIRECT($E57&amp;"[yr]")=I$5)*(INDIRECT($E57&amp;"[wk]")=I$6)*(IF($G$2=0,1,(INDIRECT($E57&amp;"[siteflag]")=$G$2))))</f>
        <v>35.884</v>
      </c>
      <c r="J57" s="118">
        <f t="array" aca="1" ref="J57" ca="1">SUM(INDIRECT($E57&amp;"["&amp;$F57&amp;"]")*(INDIRECT($E57&amp;"[yr]")=J$5)*(INDIRECT($E57&amp;"[wk]")=J$6)*(IF($G$2=0,1,(INDIRECT($E57&amp;"[siteflag]")=$G$2))))</f>
        <v>36.719285714285704</v>
      </c>
      <c r="K57" s="118">
        <f t="array" aca="1" ref="K57" ca="1">SUM(INDIRECT($E57&amp;"["&amp;$F57&amp;"]")*(INDIRECT($E57&amp;"[yr]")=K$5)*(INDIRECT($E57&amp;"[wk]")=K$6)*(IF($G$2=0,1,(INDIRECT($E57&amp;"[siteflag]")=$G$2))))</f>
        <v>37.216714285714303</v>
      </c>
      <c r="L57" s="118">
        <f t="array" aca="1" ref="L57" ca="1">SUM(INDIRECT($E57&amp;"["&amp;$F57&amp;"]")*(INDIRECT($E57&amp;"[yr]")=L$5)*(INDIRECT($E57&amp;"[wk]")=L$6)*(IF($G$2=0,1,(INDIRECT($E57&amp;"[siteflag]")=$G$2))))</f>
        <v>38.157000000000004</v>
      </c>
      <c r="M57" s="118">
        <f t="array" aca="1" ref="M57" ca="1">SUM(INDIRECT($E57&amp;"["&amp;$F57&amp;"]")*(INDIRECT($E57&amp;"[yr]")=M$5)*(INDIRECT($E57&amp;"[wk]")=M$6)*(IF($G$2=0,1,(INDIRECT($E57&amp;"[siteflag]")=$G$2))))</f>
        <v>40.371428571428602</v>
      </c>
      <c r="N57" s="118">
        <f t="array" aca="1" ref="N57" ca="1">SUM(INDIRECT($E57&amp;"["&amp;$F57&amp;"]")*(INDIRECT($E57&amp;"[yr]")=N$5)*(INDIRECT($E57&amp;"[wk]")=N$6)*(IF($G$2=0,1,(INDIRECT($E57&amp;"[siteflag]")=$G$2))))</f>
        <v>43.780571428571399</v>
      </c>
      <c r="O57" s="118">
        <f t="array" aca="1" ref="O57" ca="1">SUM(INDIRECT($E57&amp;"["&amp;$F57&amp;"]")*(INDIRECT($E57&amp;"[yr]")=O$5)*(INDIRECT($E57&amp;"[wk]")=O$6)*(IF($G$2=0,1,(INDIRECT($E57&amp;"[siteflag]")=$G$2))))</f>
        <v>45.091857142857101</v>
      </c>
      <c r="P57" s="118">
        <f t="array" aca="1" ref="P57" ca="1">SUM(INDIRECT($E57&amp;"["&amp;$F57&amp;"]")*(INDIRECT($E57&amp;"[yr]")=P$5)*(INDIRECT($E57&amp;"[wk]")=P$6)*(IF($G$2=0,1,(INDIRECT($E57&amp;"[siteflag]")=$G$2))))</f>
        <v>45.380857142857103</v>
      </c>
      <c r="Q57" s="119">
        <f t="array" aca="1" ref="Q57" ca="1">SUM(INDIRECT($E57&amp;"["&amp;$F57&amp;"]")*(INDIRECT($E57&amp;"[yr]")=Q$5)*(INDIRECT($E57&amp;"[wk]")=Q$6)*(IF($G$2=0,1,(INDIRECT($E57&amp;"[siteflag]")=$G$2))))</f>
        <v>45.829571428571398</v>
      </c>
      <c r="R57" s="118">
        <f t="array" aca="1" ref="R57" ca="1">SUM(INDIRECT($E57&amp;"["&amp;$F57&amp;"]")*(INDIRECT($E57&amp;"[yr]")=R$5)*(INDIRECT($E57&amp;"[wk]")=R$6)*(IF($G$2=0,1,(INDIRECT($E57&amp;"[siteflag]")=$G$2))))</f>
        <v>45.840428571428603</v>
      </c>
      <c r="S57" s="118">
        <f t="array" aca="1" ref="S57" ca="1">SUM(INDIRECT($E57&amp;"["&amp;$F57&amp;"]")*(INDIRECT($E57&amp;"[yr]")=S$5)*(INDIRECT($E57&amp;"[wk]")=S$6)*(IF($G$2=0,1,(INDIRECT($E57&amp;"[siteflag]")=$G$2))))</f>
        <v>45.846000000000004</v>
      </c>
      <c r="T57" s="120">
        <f t="array" aca="1" ref="T57" ca="1">SUM(INDIRECT($E57&amp;"["&amp;$F57&amp;"]")*(INDIRECT($E57&amp;"[yr]")=T$5)*(INDIRECT($E57&amp;"[wk]")=T$6)*(IF($G$2=0,1,(INDIRECT($E57&amp;"[siteflag]")=$G$2))))</f>
        <v>45.9235714285714</v>
      </c>
      <c r="U57" s="121">
        <f ca="1">AVERAGE(Q57:T57)</f>
        <v>45.859892857142853</v>
      </c>
      <c r="V57" s="49">
        <f t="array" aca="1" ref="V57" ca="1">SUM(T57/S57)-1</f>
        <v>1.6919999252147377E-3</v>
      </c>
      <c r="W57" s="73"/>
      <c r="X57" s="49"/>
    </row>
    <row r="58" spans="2:24" ht="14.15" customHeight="1" x14ac:dyDescent="0.4">
      <c r="B58" s="329"/>
      <c r="D58" s="204" t="s">
        <v>67</v>
      </c>
      <c r="I58" s="74">
        <f t="array" aca="1" ref="I58" ca="1">IFERROR(I57/SUM(INDIRECT($E57&amp;"["&amp;$F57&amp;"]")*(INDIRECT($E57&amp;"[yr]")=(I$5-1))*(INDIRECT($E57&amp;"[wk]")=I$6)*(IF($G$2=0,1,(INDIRECT($E57&amp;"[siteflag]")=$G$2))))-1,0)</f>
        <v>0.27776421275383423</v>
      </c>
      <c r="J58" s="74">
        <f t="array" aca="1" ref="J58" ca="1">IFERROR(J57/SUM(INDIRECT($E57&amp;"["&amp;$F57&amp;"]")*(INDIRECT($E57&amp;"[yr]")=(J$5-1))*(INDIRECT($E57&amp;"[wk]")=J$6)*(IF($G$2=0,1,(INDIRECT($E57&amp;"[siteflag]")=$G$2))))-1,0)</f>
        <v>0.43658374366340169</v>
      </c>
      <c r="K58" s="74">
        <f t="array" aca="1" ref="K58" ca="1">IFERROR(K57/SUM(INDIRECT($E57&amp;"["&amp;$F57&amp;"]")*(INDIRECT($E57&amp;"[yr]")=(K$5-1))*(INDIRECT($E57&amp;"[wk]")=K$6)*(IF($G$2=0,1,(INDIRECT($E57&amp;"[siteflag]")=$G$2))))-1,0)</f>
        <v>1.6063950056526579</v>
      </c>
      <c r="L58" s="74">
        <f t="array" aca="1" ref="L58" ca="1">IFERROR(L57/SUM(INDIRECT($E57&amp;"["&amp;$F57&amp;"]")*(INDIRECT($E57&amp;"[yr]")=(L$5-1))*(INDIRECT($E57&amp;"[wk]")=L$6)*(IF($G$2=0,1,(INDIRECT($E57&amp;"[siteflag]")=$G$2))))-1,0)</f>
        <v>1.9890888336802459</v>
      </c>
      <c r="M58" s="74">
        <f t="array" aca="1" ref="M58" ca="1">IFERROR(M57/SUM(INDIRECT($E57&amp;"["&amp;$F57&amp;"]")*(INDIRECT($E57&amp;"[yr]")=(M$5-1))*(INDIRECT($E57&amp;"[wk]")=M$6)*(IF($G$2=0,1,(INDIRECT($E57&amp;"[siteflag]")=$G$2))))-1,0)</f>
        <v>4.8258431598911526</v>
      </c>
      <c r="N58" s="74">
        <f t="array" aca="1" ref="N58" ca="1">IFERROR(N57/SUM(INDIRECT($E57&amp;"["&amp;$F57&amp;"]")*(INDIRECT($E57&amp;"[yr]")=(N$5-1))*(INDIRECT($E57&amp;"[wk]")=N$6)*(IF($G$2=0,1,(INDIRECT($E57&amp;"[siteflag]")=$G$2))))-1,0)</f>
        <v>5.3362209771124887</v>
      </c>
      <c r="O58" s="74">
        <f t="array" aca="1" ref="O58" ca="1">IFERROR(O57/SUM(INDIRECT($E57&amp;"["&amp;$F57&amp;"]")*(INDIRECT($E57&amp;"[yr]")=(O$5-1))*(INDIRECT($E57&amp;"[wk]")=O$6)*(IF($G$2=0,1,(INDIRECT($E57&amp;"[siteflag]")=$G$2))))-1,0)</f>
        <v>5.5200677531965843</v>
      </c>
      <c r="P58" s="74">
        <f t="array" aca="1" ref="P58" ca="1">IFERROR(P57/SUM(INDIRECT($E57&amp;"["&amp;$F57&amp;"]")*(INDIRECT($E57&amp;"[yr]")=(P$5-1))*(INDIRECT($E57&amp;"[wk]")=P$6)*(IF($G$2=0,1,(INDIRECT($E57&amp;"[siteflag]")=$G$2))))-1,0)</f>
        <v>5.4403941286189266</v>
      </c>
      <c r="Q58" s="51">
        <f t="array" aca="1" ref="Q58" ca="1">IFERROR(Q57/SUM(INDIRECT($E57&amp;"["&amp;$F57&amp;"]")*(INDIRECT($E57&amp;"[yr]")=(Q$5-1))*(INDIRECT($E57&amp;"[wk]")=Q$6)*(IF($G$2=0,1,(INDIRECT($E57&amp;"[siteflag]")=$G$2))))-1,0)</f>
        <v>5.4233341342303367</v>
      </c>
      <c r="R58" s="74">
        <f t="array" aca="1" ref="R58" ca="1">IFERROR(R57/SUM(INDIRECT($E57&amp;"["&amp;$F57&amp;"]")*(INDIRECT($E57&amp;"[yr]")=(R$5-1))*(INDIRECT($E57&amp;"[wk]")=R$6)*(IF($G$2=0,1,(INDIRECT($E57&amp;"[siteflag]")=$G$2))))-1,0)</f>
        <v>5.334550694883136</v>
      </c>
      <c r="S58" s="74">
        <f t="array" aca="1" ref="S58" ca="1">IFERROR(S57/SUM(INDIRECT($E57&amp;"["&amp;$F57&amp;"]")*(INDIRECT($E57&amp;"[yr]")=(S$5-1))*(INDIRECT($E57&amp;"[wk]")=S$6)*(IF($G$2=0,1,(INDIRECT($E57&amp;"[siteflag]")=$G$2))))-1,0)</f>
        <v>5.300742136883029</v>
      </c>
      <c r="T58" s="76">
        <f t="array" aca="1" ref="T58" ca="1">IFERROR(T57/SUM(INDIRECT($E57&amp;"["&amp;$F57&amp;"]")*(INDIRECT($E57&amp;"[yr]")=(T$5-1))*(INDIRECT($E57&amp;"[wk]")=T$6)*(IF($G$2=0,1,(INDIRECT($E57&amp;"[siteflag]")=$G$2))))-1,0)</f>
        <v>5.378780061909672</v>
      </c>
      <c r="U58" s="53">
        <f ca="1">AVERAGE(Q58:T58)</f>
        <v>5.3593517569765439</v>
      </c>
      <c r="V58" s="91"/>
      <c r="W58" s="80"/>
      <c r="X58" s="56"/>
    </row>
    <row r="59" spans="2:24" ht="3" customHeight="1" x14ac:dyDescent="0.4">
      <c r="B59" s="329"/>
      <c r="D59" s="61"/>
      <c r="E59" s="57"/>
      <c r="F59" s="57"/>
      <c r="G59" s="57"/>
      <c r="H59" s="57"/>
      <c r="I59" s="109"/>
      <c r="J59" s="109"/>
      <c r="K59" s="109"/>
      <c r="L59" s="109"/>
      <c r="M59" s="109"/>
      <c r="N59" s="109"/>
      <c r="O59" s="109"/>
      <c r="P59" s="109"/>
      <c r="Q59" s="110"/>
      <c r="R59" s="109"/>
      <c r="S59" s="109"/>
      <c r="T59" s="111"/>
      <c r="U59" s="112"/>
      <c r="V59" s="113"/>
      <c r="W59" s="105"/>
      <c r="X59" s="114"/>
    </row>
    <row r="60" spans="2:24" ht="14.15" customHeight="1" x14ac:dyDescent="0.4">
      <c r="B60" s="329"/>
      <c r="D60" s="203" t="s">
        <v>80</v>
      </c>
      <c r="E60" t="s">
        <v>51</v>
      </c>
      <c r="F60" t="s">
        <v>52</v>
      </c>
      <c r="I60" s="118">
        <f t="array" aca="1" ref="I60" ca="1">SUM(INDIRECT($E60&amp;"["&amp;$F60&amp;"]")*(INDIRECT($E60&amp;"[yr]")=I$5)*(INDIRECT($E60&amp;"[wk]")=I$6)*(IF($G$2=0,1,(INDIRECT($E60&amp;"[site]")=$G$2))))/1000</f>
        <v>174.34899999999999</v>
      </c>
      <c r="J60" s="118">
        <f t="array" aca="1" ref="J60" ca="1">SUM(INDIRECT($E60&amp;"["&amp;$F60&amp;"]")*(INDIRECT($E60&amp;"[yr]")=J$5)*(INDIRECT($E60&amp;"[wk]")=J$6)*(IF($G$2=0,1,(INDIRECT($E60&amp;"[site]")=$G$2))))/1000</f>
        <v>163.90299999999999</v>
      </c>
      <c r="K60" s="118">
        <f t="array" aca="1" ref="K60" ca="1">SUM(INDIRECT($E60&amp;"["&amp;$F60&amp;"]")*(INDIRECT($E60&amp;"[yr]")=K$5)*(INDIRECT($E60&amp;"[wk]")=K$6)*(IF($G$2=0,1,(INDIRECT($E60&amp;"[site]")=$G$2))))/1000</f>
        <v>154.82300000000001</v>
      </c>
      <c r="L60" s="118">
        <f t="array" aca="1" ref="L60" ca="1">SUM(INDIRECT($E60&amp;"["&amp;$F60&amp;"]")*(INDIRECT($E60&amp;"[yr]")=L$5)*(INDIRECT($E60&amp;"[wk]")=L$6)*(IF($G$2=0,1,(INDIRECT($E60&amp;"[site]")=$G$2))))/1000</f>
        <v>137.85</v>
      </c>
      <c r="M60" s="118">
        <f t="array" aca="1" ref="M60" ca="1">SUM(INDIRECT($E60&amp;"["&amp;$F60&amp;"]")*(INDIRECT($E60&amp;"[yr]")=M$5)*(INDIRECT($E60&amp;"[wk]")=M$6)*(IF($G$2=0,1,(INDIRECT($E60&amp;"[site]")=$G$2))))/1000</f>
        <v>130.92599999999999</v>
      </c>
      <c r="N60" s="118">
        <f t="array" aca="1" ref="N60" ca="1">SUM(INDIRECT($E60&amp;"["&amp;$F60&amp;"]")*(INDIRECT($E60&amp;"[yr]")=N$5)*(INDIRECT($E60&amp;"[wk]")=N$6)*(IF($G$2=0,1,(INDIRECT($E60&amp;"[site]")=$G$2))))/1000</f>
        <v>163.82300000000001</v>
      </c>
      <c r="O60" s="118">
        <f t="array" aca="1" ref="O60" ca="1">SUM(INDIRECT($E60&amp;"["&amp;$F60&amp;"]")*(INDIRECT($E60&amp;"[yr]")=O$5)*(INDIRECT($E60&amp;"[wk]")=O$6)*(IF($G$2=0,1,(INDIRECT($E60&amp;"[site]")=$G$2))))/1000</f>
        <v>178.63300000000001</v>
      </c>
      <c r="P60" s="118">
        <f t="array" aca="1" ref="P60" ca="1">SUM(INDIRECT($E60&amp;"["&amp;$F60&amp;"]")*(INDIRECT($E60&amp;"[yr]")=P$5)*(INDIRECT($E60&amp;"[wk]")=P$6)*(IF($G$2=0,1,(INDIRECT($E60&amp;"[site]")=$G$2))))/1000</f>
        <v>184.72499999999999</v>
      </c>
      <c r="Q60" s="119">
        <f t="array" aca="1" ref="Q60" ca="1">SUM(INDIRECT($E60&amp;"["&amp;$F60&amp;"]")*(INDIRECT($E60&amp;"[yr]")=Q$5)*(INDIRECT($E60&amp;"[wk]")=Q$6)*(IF($G$2=0,1,(INDIRECT($E60&amp;"[site]")=$G$2))))/1000</f>
        <v>183.267</v>
      </c>
      <c r="R60" s="118">
        <f t="array" aca="1" ref="R60" ca="1">SUM(INDIRECT($E60&amp;"["&amp;$F60&amp;"]")*(INDIRECT($E60&amp;"[yr]")=R$5)*(INDIRECT($E60&amp;"[wk]")=R$6)*(IF($G$2=0,1,(INDIRECT($E60&amp;"[site]")=$G$2))))/1000</f>
        <v>188.57300000000001</v>
      </c>
      <c r="S60" s="118">
        <f t="array" aca="1" ref="S60" ca="1">SUM(INDIRECT($E60&amp;"["&amp;$F60&amp;"]")*(INDIRECT($E60&amp;"[yr]")=S$5)*(INDIRECT($E60&amp;"[wk]")=S$6)*(IF($G$2=0,1,(INDIRECT($E60&amp;"[site]")=$G$2))))/1000</f>
        <v>168.07</v>
      </c>
      <c r="T60" s="120">
        <f t="array" aca="1" ref="T60" ca="1">SUM(INDIRECT($E60&amp;"["&amp;$F60&amp;"]")*(INDIRECT($E60&amp;"[yr]")=T$5)*(INDIRECT($E60&amp;"[wk]")=T$6)*(IF($G$2=0,1,(INDIRECT($E60&amp;"[site]")=$G$2))))/1000</f>
        <v>193.613</v>
      </c>
      <c r="U60" s="121">
        <f ca="1">AVERAGE(Q60:T60)</f>
        <v>183.38075000000003</v>
      </c>
      <c r="V60" s="49">
        <f t="array" aca="1" ref="V60" ca="1">SUM(T60/S60)-1</f>
        <v>0.15197834235735108</v>
      </c>
      <c r="W60" s="73"/>
      <c r="X60" s="49"/>
    </row>
    <row r="61" spans="2:24" ht="14.15" customHeight="1" x14ac:dyDescent="0.4">
      <c r="B61" s="329"/>
      <c r="D61" s="204" t="s">
        <v>67</v>
      </c>
      <c r="I61" s="74">
        <f t="array" aca="1" ref="I61" ca="1">IFERROR(I60/SUM(INDIRECT($E60&amp;"["&amp;$F60&amp;"]")*(INDIRECT($E60&amp;"[yr]")=(I$5-1))*(INDIRECT($E60&amp;"[wk]")=I$6)*(IF($G$2=0,1,(INDIRECT($E60&amp;"[site]")=$G$2)))/1000)-1,0)</f>
        <v>0.21600094853500162</v>
      </c>
      <c r="J61" s="74">
        <f t="array" aca="1" ref="J61" ca="1">IFERROR(J60/SUM(INDIRECT($E60&amp;"["&amp;$F60&amp;"]")*(INDIRECT($E60&amp;"[yr]")=(J$5-1))*(INDIRECT($E60&amp;"[wk]")=J$6)*(IF($G$2=0,1,(INDIRECT($E60&amp;"[site]")=$G$2)))/1000)-1,0)</f>
        <v>0.16614609643474609</v>
      </c>
      <c r="K61" s="74">
        <f t="array" aca="1" ref="K61" ca="1">IFERROR(K60/SUM(INDIRECT($E60&amp;"["&amp;$F60&amp;"]")*(INDIRECT($E60&amp;"[yr]")=(K$5-1))*(INDIRECT($E60&amp;"[wk]")=K$6)*(IF($G$2=0,1,(INDIRECT($E60&amp;"[site]")=$G$2)))/1000)-1,0)</f>
        <v>0.20814832733770849</v>
      </c>
      <c r="L61" s="74">
        <f t="array" aca="1" ref="L61" ca="1">IFERROR(L60/SUM(INDIRECT($E60&amp;"["&amp;$F60&amp;"]")*(INDIRECT($E60&amp;"[yr]")=(L$5-1))*(INDIRECT($E60&amp;"[wk]")=L$6)*(IF($G$2=0,1,(INDIRECT($E60&amp;"[site]")=$G$2)))/1000)-1,0)</f>
        <v>0.17938451271784595</v>
      </c>
      <c r="M61" s="74">
        <f t="array" aca="1" ref="M61" ca="1">IFERROR(M60/SUM(INDIRECT($E60&amp;"["&amp;$F60&amp;"]")*(INDIRECT($E60&amp;"[yr]")=(M$5-1))*(INDIRECT($E60&amp;"[wk]")=M$6)*(IF($G$2=0,1,(INDIRECT($E60&amp;"[site]")=$G$2)))/1000)-1,0)</f>
        <v>0.11687779910428664</v>
      </c>
      <c r="N61" s="74">
        <f t="array" aca="1" ref="N61" ca="1">IFERROR(N60/SUM(INDIRECT($E60&amp;"["&amp;$F60&amp;"]")*(INDIRECT($E60&amp;"[yr]")=(N$5-1))*(INDIRECT($E60&amp;"[wk]")=N$6)*(IF($G$2=0,1,(INDIRECT($E60&amp;"[site]")=$G$2)))/1000)-1,0)</f>
        <v>0.16827001932580754</v>
      </c>
      <c r="O61" s="74">
        <f t="array" aca="1" ref="O61" ca="1">IFERROR(O60/SUM(INDIRECT($E60&amp;"["&amp;$F60&amp;"]")*(INDIRECT($E60&amp;"[yr]")=(O$5-1))*(INDIRECT($E60&amp;"[wk]")=O$6)*(IF($G$2=0,1,(INDIRECT($E60&amp;"[site]")=$G$2)))/1000)-1,0)</f>
        <v>0.15653001502045916</v>
      </c>
      <c r="P61" s="74">
        <f t="array" aca="1" ref="P61" ca="1">IFERROR(P60/SUM(INDIRECT($E60&amp;"["&amp;$F60&amp;"]")*(INDIRECT($E60&amp;"[yr]")=(P$5-1))*(INDIRECT($E60&amp;"[wk]")=P$6)*(IF($G$2=0,1,(INDIRECT($E60&amp;"[site]")=$G$2)))/1000)-1,0)</f>
        <v>0.21847852615053776</v>
      </c>
      <c r="Q61" s="51">
        <f t="array" aca="1" ref="Q61" ca="1">IFERROR(Q60/SUM(INDIRECT($E60&amp;"["&amp;$F60&amp;"]")*(INDIRECT($E60&amp;"[yr]")=(Q$5-1))*(INDIRECT($E60&amp;"[wk]")=Q$6)*(IF($G$2=0,1,(INDIRECT($E60&amp;"[site]")=$G$2)))/1000)-1,0)</f>
        <v>8.9850022003115981E-2</v>
      </c>
      <c r="R61" s="74">
        <f t="array" aca="1" ref="R61" ca="1">IFERROR(R60/SUM(INDIRECT($E60&amp;"["&amp;$F60&amp;"]")*(INDIRECT($E60&amp;"[yr]")=(R$5-1))*(INDIRECT($E60&amp;"[wk]")=R$6)*(IF($G$2=0,1,(INDIRECT($E60&amp;"[site]")=$G$2)))/1000)-1,0)</f>
        <v>8.2390554417141715E-2</v>
      </c>
      <c r="S61" s="74">
        <f t="array" aca="1" ref="S61" ca="1">IFERROR(S60/SUM(INDIRECT($E60&amp;"["&amp;$F60&amp;"]")*(INDIRECT($E60&amp;"[yr]")=(S$5-1))*(INDIRECT($E60&amp;"[wk]")=S$6)*(IF($G$2=0,1,(INDIRECT($E60&amp;"[site]")=$G$2)))/1000)-1,0)</f>
        <v>-7.8395258503642928E-3</v>
      </c>
      <c r="T61" s="76">
        <f t="array" aca="1" ref="T61" ca="1">IFERROR(T60/SUM(INDIRECT($E60&amp;"["&amp;$F60&amp;"]")*(INDIRECT($E60&amp;"[yr]")=(T$5-1))*(INDIRECT($E60&amp;"[wk]")=T$6)*(IF($G$2=0,1,(INDIRECT($E60&amp;"[site]")=$G$2)))/1000)-1,0)</f>
        <v>0.16042242293838083</v>
      </c>
      <c r="U61" s="53">
        <f ca="1">AVERAGE(Q61:T61)</f>
        <v>8.1205868377068557E-2</v>
      </c>
      <c r="V61" s="91"/>
      <c r="W61" s="80"/>
      <c r="X61" s="56"/>
    </row>
    <row r="62" spans="2:24" ht="3" customHeight="1" x14ac:dyDescent="0.4">
      <c r="B62" s="329"/>
      <c r="D62" s="61"/>
      <c r="E62" s="57"/>
      <c r="F62" s="57"/>
      <c r="G62" s="57"/>
      <c r="H62" s="57"/>
      <c r="I62" s="109"/>
      <c r="J62" s="109"/>
      <c r="K62" s="109"/>
      <c r="L62" s="109"/>
      <c r="M62" s="109"/>
      <c r="N62" s="109"/>
      <c r="O62" s="109"/>
      <c r="P62" s="109"/>
      <c r="Q62" s="110"/>
      <c r="R62" s="109"/>
      <c r="S62" s="109"/>
      <c r="T62" s="111"/>
      <c r="U62" s="112"/>
      <c r="V62" s="113"/>
      <c r="W62" s="105"/>
      <c r="X62" s="114"/>
    </row>
    <row r="63" spans="2:24" ht="14.15" customHeight="1" x14ac:dyDescent="0.4">
      <c r="B63" s="329"/>
      <c r="D63" s="203" t="s">
        <v>298</v>
      </c>
      <c r="E63" t="s">
        <v>51</v>
      </c>
      <c r="F63" t="s">
        <v>53</v>
      </c>
      <c r="I63" s="240">
        <f t="array" aca="1" ref="I63" ca="1">SUM(INDIRECT($E63&amp;"["&amp;$F63&amp;"]")*(INDIRECT($E63&amp;"[yr]")=I$5)*(INDIRECT($E63&amp;"[wk]")=I$6)*(INDIRECT($E63&amp;"[orders]")=$E$64)*(IF($G$2=0,1,(INDIRECT($E63&amp;"[site]")=$G$2))))/1000/I66</f>
        <v>0.66064846809490907</v>
      </c>
      <c r="J63" s="240">
        <f t="array" aca="1" ref="J63" ca="1">SUM(INDIRECT($E63&amp;"["&amp;$F63&amp;"]")*(INDIRECT($E63&amp;"[yr]")=J$5)*(INDIRECT($E63&amp;"[wk]")=J$6)*(INDIRECT($E63&amp;"[orders]")=$E$64)*(IF($G$2=0,1,(INDIRECT($E63&amp;"[site]")=$G$2))))/1000/J66</f>
        <v>0.65801786995529443</v>
      </c>
      <c r="K63" s="240">
        <f t="array" aca="1" ref="K63" ca="1">SUM(INDIRECT($E63&amp;"["&amp;$F63&amp;"]")*(INDIRECT($E63&amp;"[yr]")=K$5)*(INDIRECT($E63&amp;"[wk]")=K$6)*(INDIRECT($E63&amp;"[orders]")=$E$64)*(IF($G$2=0,1,(INDIRECT($E63&amp;"[site]")=$G$2))))/1000/K66</f>
        <v>0.66073954858722606</v>
      </c>
      <c r="L63" s="240">
        <f t="array" aca="1" ref="L63" ca="1">SUM(INDIRECT($E63&amp;"["&amp;$F63&amp;"]")*(INDIRECT($E63&amp;"[yr]")=L$5)*(INDIRECT($E63&amp;"[wk]")=L$6)*(INDIRECT($E63&amp;"[orders]")=$E$64)*(IF($G$2=0,1,(INDIRECT($E63&amp;"[site]")=$G$2))))/1000/L66</f>
        <v>0.64170136432910163</v>
      </c>
      <c r="M63" s="240">
        <f t="array" aca="1" ref="M63" ca="1">SUM(INDIRECT($E63&amp;"["&amp;$F63&amp;"]")*(INDIRECT($E63&amp;"[yr]")=M$5)*(INDIRECT($E63&amp;"[wk]")=M$6)*(INDIRECT($E63&amp;"[orders]")=$E$64)*(IF($G$2=0,1,(INDIRECT($E63&amp;"[site]")=$G$2))))/1000/M66</f>
        <v>0.62839930488511297</v>
      </c>
      <c r="N63" s="240">
        <f t="array" aca="1" ref="N63" ca="1">SUM(INDIRECT($E63&amp;"["&amp;$F63&amp;"]")*(INDIRECT($E63&amp;"[yr]")=N$5)*(INDIRECT($E63&amp;"[wk]")=N$6)*(INDIRECT($E63&amp;"[orders]")=$E$64)*(IF($G$2=0,1,(INDIRECT($E63&amp;"[site]")=$G$2))))/1000/N66</f>
        <v>0.64547481491518743</v>
      </c>
      <c r="O63" s="240">
        <f t="array" aca="1" ref="O63" ca="1">SUM(INDIRECT($E63&amp;"["&amp;$F63&amp;"]")*(INDIRECT($E63&amp;"[yr]")=O$5)*(INDIRECT($E63&amp;"[wk]")=O$6)*(INDIRECT($E63&amp;"[orders]")=$E$64)*(IF($G$2=0,1,(INDIRECT($E63&amp;"[site]")=$G$2))))/1000/O66</f>
        <v>0.63743080632563198</v>
      </c>
      <c r="P63" s="242">
        <f t="array" aca="1" ref="P63" ca="1">SUM(INDIRECT($E63&amp;"["&amp;$F63&amp;"]")*(INDIRECT($E63&amp;"[yr]")=P$5)*(INDIRECT($E63&amp;"[wk]")=P$6)*(INDIRECT($E63&amp;"[orders]")=$E$64)*(IF($G$2=0,1,(INDIRECT($E63&amp;"[site]")=$G$2))))/1000/P66</f>
        <v>0.64000790106115646</v>
      </c>
      <c r="Q63" s="240">
        <f t="array" aca="1" ref="Q63" ca="1">SUM(INDIRECT($E63&amp;"["&amp;$F63&amp;"]")*(INDIRECT($E63&amp;"[yr]")=Q$5)*(INDIRECT($E63&amp;"[wk]")=Q$6)*(INDIRECT($E63&amp;"[orders]")=$E$64)*(IF($G$2=0,1,(INDIRECT($E63&amp;"[site]")=$G$2))))/1000/Q66</f>
        <v>0.656102397290794</v>
      </c>
      <c r="R63" s="240">
        <f t="array" aca="1" ref="R63" ca="1">SUM(INDIRECT($E63&amp;"["&amp;$F63&amp;"]")*(INDIRECT($E63&amp;"[yr]")=R$5)*(INDIRECT($E63&amp;"[wk]")=R$6)*(INDIRECT($E63&amp;"[orders]")=$E$64)*(IF($G$2=0,1,(INDIRECT($E63&amp;"[site]")=$G$2))))/1000/R66</f>
        <v>0.65712632130689264</v>
      </c>
      <c r="S63" s="240">
        <f t="array" aca="1" ref="S63" ca="1">SUM(INDIRECT($E63&amp;"["&amp;$F63&amp;"]")*(INDIRECT($E63&amp;"[yr]")=S$5)*(INDIRECT($E63&amp;"[wk]")=S$6)*(INDIRECT($E63&amp;"[orders]")=$E$64)*(IF($G$2=0,1,(INDIRECT($E63&amp;"[site]")=$G$2))))/1000/S66</f>
        <v>0.6642637807070102</v>
      </c>
      <c r="T63" s="241">
        <f t="array" aca="1" ref="T63" ca="1">SUM(INDIRECT($E63&amp;"["&amp;$F63&amp;"]")*(INDIRECT($E63&amp;"[yr]")=T$5)*(INDIRECT($E63&amp;"[wk]")=T$6)*(INDIRECT($E63&amp;"[orders]")=$E$64)*(IF($G$2=0,1,(INDIRECT($E63&amp;"[site]")=$G$2))))/1000/T66</f>
        <v>0.66435009900101527</v>
      </c>
      <c r="U63" s="243">
        <f ca="1">AVERAGE(Q63:T63)</f>
        <v>0.66046064957642803</v>
      </c>
      <c r="V63" s="81">
        <f t="array" aca="1" ref="V63" ca="1">SUM(T63/S63)-1</f>
        <v>1.2994580844560844E-4</v>
      </c>
      <c r="W63" s="82"/>
      <c r="X63" s="81"/>
    </row>
    <row r="64" spans="2:24" ht="14.15" customHeight="1" x14ac:dyDescent="0.4">
      <c r="B64" s="329"/>
      <c r="D64" s="202" t="s">
        <v>67</v>
      </c>
      <c r="E64" s="40" t="s">
        <v>273</v>
      </c>
      <c r="F64" s="40"/>
      <c r="G64" s="40"/>
      <c r="H64" s="40"/>
      <c r="I64" s="50">
        <f t="array" aca="1" ref="I64" ca="1">IFERROR(I63/ (SUM(INDIRECT($E63&amp;"["&amp;$F63&amp;"]")*(INDIRECT($E63&amp;"[yr]")=(I$5-1))*(INDIRECT($E63&amp;"[wk]")=I$6)*(INDIRECT($E63&amp;"[orders]")=$E$64)*(IF($G$2=0,1,(INDIRECT($E63&amp;"[site]")=$G$2))))/
                             SUM(INDIRECT($E63&amp;"["&amp;$F63&amp;"]")*(INDIRECT($E63&amp;"[yr]")=(I$5-1))*(INDIRECT($E63&amp;"[wk]")=I$6)*(IF($G$2=0,1,(INDIRECT($E63&amp;"[site]")=$G$2)))))-1,0)</f>
        <v>4.1229612100567525E-2</v>
      </c>
      <c r="J64" s="50">
        <f t="array" aca="1" ref="J64" ca="1">IFERROR(J63/ (SUM(INDIRECT($E63&amp;"["&amp;$F63&amp;"]")*(INDIRECT($E63&amp;"[yr]")=(J$5-1))*(INDIRECT($E63&amp;"[wk]")=J$6)*(INDIRECT($E63&amp;"[orders]")=$E$64)*(IF($G$2=0,1,(INDIRECT($E63&amp;"[site]")=$G$2))))/
                             SUM(INDIRECT($E63&amp;"["&amp;$F63&amp;"]")*(INDIRECT($E63&amp;"[yr]")=(J$5-1))*(INDIRECT($E63&amp;"[wk]")=J$6)*(IF($G$2=0,1,(INDIRECT($E63&amp;"[site]")=$G$2)))))-1,0)</f>
        <v>1.1884166665442786E-2</v>
      </c>
      <c r="K64" s="50">
        <f t="array" aca="1" ref="K64" ca="1">IFERROR(K63/ (SUM(INDIRECT($E63&amp;"["&amp;$F63&amp;"]")*(INDIRECT($E63&amp;"[yr]")=(K$5-1))*(INDIRECT($E63&amp;"[wk]")=K$6)*(INDIRECT($E63&amp;"[orders]")=$E$64)*(IF($G$2=0,1,(INDIRECT($E63&amp;"[site]")=$G$2))))/
                             SUM(INDIRECT($E63&amp;"["&amp;$F63&amp;"]")*(INDIRECT($E63&amp;"[yr]")=(K$5-1))*(INDIRECT($E63&amp;"[wk]")=K$6)*(IF($G$2=0,1,(INDIRECT($E63&amp;"[site]")=$G$2)))))-1,0)</f>
        <v>2.1057212460435792E-2</v>
      </c>
      <c r="L64" s="50">
        <f t="array" aca="1" ref="L64" ca="1">IFERROR(L63/ (SUM(INDIRECT($E63&amp;"["&amp;$F63&amp;"]")*(INDIRECT($E63&amp;"[yr]")=(L$5-1))*(INDIRECT($E63&amp;"[wk]")=L$6)*(INDIRECT($E63&amp;"[orders]")=$E$64)*(IF($G$2=0,1,(INDIRECT($E63&amp;"[site]")=$G$2))))/
                             SUM(INDIRECT($E63&amp;"["&amp;$F63&amp;"]")*(INDIRECT($E63&amp;"[yr]")=(L$5-1))*(INDIRECT($E63&amp;"[wk]")=L$6)*(IF($G$2=0,1,(INDIRECT($E63&amp;"[site]")=$G$2)))))-1,0)</f>
        <v>1.32292043327491E-2</v>
      </c>
      <c r="M64" s="50">
        <f t="array" aca="1" ref="M64" ca="1">IFERROR(M63/ (SUM(INDIRECT($E63&amp;"["&amp;$F63&amp;"]")*(INDIRECT($E63&amp;"[yr]")=(M$5-1))*(INDIRECT($E63&amp;"[wk]")=M$6)*(INDIRECT($E63&amp;"[orders]")=$E$64)*(IF($G$2=0,1,(INDIRECT($E63&amp;"[site]")=$G$2))))/
                             SUM(INDIRECT($E63&amp;"["&amp;$F63&amp;"]")*(INDIRECT($E63&amp;"[yr]")=(M$5-1))*(INDIRECT($E63&amp;"[wk]")=M$6)*(IF($G$2=0,1,(INDIRECT($E63&amp;"[site]")=$G$2)))))-1,0)</f>
        <v>-9.9773987807741937E-3</v>
      </c>
      <c r="N64" s="50">
        <f t="array" aca="1" ref="N64" ca="1">IFERROR(N63/ (SUM(INDIRECT($E63&amp;"["&amp;$F63&amp;"]")*(INDIRECT($E63&amp;"[yr]")=(N$5-1))*(INDIRECT($E63&amp;"[wk]")=N$6)*(INDIRECT($E63&amp;"[orders]")=$E$64)*(IF($G$2=0,1,(INDIRECT($E63&amp;"[site]")=$G$2))))/
                             SUM(INDIRECT($E63&amp;"["&amp;$F63&amp;"]")*(INDIRECT($E63&amp;"[yr]")=(N$5-1))*(INDIRECT($E63&amp;"[wk]")=N$6)*(IF($G$2=0,1,(INDIRECT($E63&amp;"[site]")=$G$2)))))-1,0)</f>
        <v>2.4415201549948806E-2</v>
      </c>
      <c r="O64" s="50">
        <f t="array" aca="1" ref="O64" ca="1">IFERROR(O63/ (SUM(INDIRECT($E63&amp;"["&amp;$F63&amp;"]")*(INDIRECT($E63&amp;"[yr]")=(O$5-1))*(INDIRECT($E63&amp;"[wk]")=O$6)*(INDIRECT($E63&amp;"[orders]")=$E$64)*(IF($G$2=0,1,(INDIRECT($E63&amp;"[site]")=$G$2))))/
                             SUM(INDIRECT($E63&amp;"["&amp;$F63&amp;"]")*(INDIRECT($E63&amp;"[yr]")=(O$5-1))*(INDIRECT($E63&amp;"[wk]")=O$6)*(IF($G$2=0,1,(INDIRECT($E63&amp;"[site]")=$G$2)))))-1,0)</f>
        <v>7.9120349114516486E-3</v>
      </c>
      <c r="P64" s="54">
        <f t="array" aca="1" ref="P64" ca="1">IFERROR(P63/ (SUM(INDIRECT($E63&amp;"["&amp;$F63&amp;"]")*(INDIRECT($E63&amp;"[yr]")=(P$5-1))*(INDIRECT($E63&amp;"[wk]")=P$6)*(INDIRECT($E63&amp;"[orders]")=$E$64)*(IF($G$2=0,1,(INDIRECT($E63&amp;"[site]")=$G$2))))/
                             SUM(INDIRECT($E63&amp;"["&amp;$F63&amp;"]")*(INDIRECT($E63&amp;"[yr]")=(P$5-1))*(INDIRECT($E63&amp;"[wk]")=P$6)*(IF($G$2=0,1,(INDIRECT($E63&amp;"[site]")=$G$2)))))-1,0)</f>
        <v>5.354144528362248E-4</v>
      </c>
      <c r="Q64" s="50">
        <f t="array" aca="1" ref="Q64" ca="1">IFERROR(Q63/ (SUM(INDIRECT($E63&amp;"["&amp;$F63&amp;"]")*(INDIRECT($E63&amp;"[yr]")=(Q$5-1))*(INDIRECT($E63&amp;"[wk]")=Q$6)*(INDIRECT($E63&amp;"[orders]")=$E$64)*(IF($G$2=0,1,(INDIRECT($E63&amp;"[site]")=$G$2))))/
                             SUM(INDIRECT($E63&amp;"["&amp;$F63&amp;"]")*(INDIRECT($E63&amp;"[yr]")=(Q$5-1))*(INDIRECT($E63&amp;"[wk]")=Q$6)*(IF($G$2=0,1,(INDIRECT($E63&amp;"[site]")=$G$2)))))-1,0)</f>
        <v>-9.0269687177081392E-3</v>
      </c>
      <c r="R64" s="50">
        <f t="array" aca="1" ref="R64" ca="1">IFERROR(R63/ (SUM(INDIRECT($E63&amp;"["&amp;$F63&amp;"]")*(INDIRECT($E63&amp;"[yr]")=(R$5-1))*(INDIRECT($E63&amp;"[wk]")=R$6)*(INDIRECT($E63&amp;"[orders]")=$E$64)*(IF($G$2=0,1,(INDIRECT($E63&amp;"[site]")=$G$2))))/
                             SUM(INDIRECT($E63&amp;"["&amp;$F63&amp;"]")*(INDIRECT($E63&amp;"[yr]")=(R$5-1))*(INDIRECT($E63&amp;"[wk]")=R$6)*(IF($G$2=0,1,(INDIRECT($E63&amp;"[site]")=$G$2)))))-1,0)</f>
        <v>4.8897406416577027E-3</v>
      </c>
      <c r="S64" s="50">
        <f t="array" aca="1" ref="S64" ca="1">IFERROR(S63/ (SUM(INDIRECT($E63&amp;"["&amp;$F63&amp;"]")*(INDIRECT($E63&amp;"[yr]")=(S$5-1))*(INDIRECT($E63&amp;"[wk]")=S$6)*(INDIRECT($E63&amp;"[orders]")=$E$64)*(IF($G$2=0,1,(INDIRECT($E63&amp;"[site]")=$G$2))))/
                             SUM(INDIRECT($E63&amp;"["&amp;$F63&amp;"]")*(INDIRECT($E63&amp;"[yr]")=(S$5-1))*(INDIRECT($E63&amp;"[wk]")=S$6)*(IF($G$2=0,1,(INDIRECT($E63&amp;"[site]")=$G$2)))))-1,0)</f>
        <v>-5.1893887007786743E-3</v>
      </c>
      <c r="T64" s="52">
        <f t="array" aca="1" ref="T64" ca="1">IFERROR(T63/ (SUM(INDIRECT($E63&amp;"["&amp;$F63&amp;"]")*(INDIRECT($E63&amp;"[yr]")=(T$5-1))*(INDIRECT($E63&amp;"[wk]")=T$6)*(INDIRECT($E63&amp;"[orders]")=$E$64)*(IF($G$2=0,1,(INDIRECT($E63&amp;"[site]")=$G$2))))/
                             SUM(INDIRECT($E63&amp;"["&amp;$F63&amp;"]")*(INDIRECT($E63&amp;"[yr]")=(T$5-1))*(INDIRECT($E63&amp;"[wk]")=T$6)*(IF($G$2=0,1,(INDIRECT($E63&amp;"[site]")=$G$2)))))-1,0)</f>
        <v>2.1390088741898072E-2</v>
      </c>
      <c r="U64" s="53">
        <f ca="1">AVERAGE(Q64:T64)</f>
        <v>3.0158679912672404E-3</v>
      </c>
      <c r="V64" s="54"/>
      <c r="W64" s="55"/>
      <c r="X64" s="56"/>
    </row>
    <row r="65" spans="2:24" ht="3" customHeight="1" x14ac:dyDescent="0.4">
      <c r="B65" s="329"/>
      <c r="D65" s="61"/>
      <c r="E65" s="57"/>
      <c r="F65" s="57"/>
      <c r="G65" s="57"/>
      <c r="H65" s="57"/>
      <c r="I65" s="109"/>
      <c r="J65" s="109"/>
      <c r="K65" s="109"/>
      <c r="L65" s="109"/>
      <c r="M65" s="109"/>
      <c r="N65" s="109"/>
      <c r="O65" s="109"/>
      <c r="P65" s="109"/>
      <c r="Q65" s="110"/>
      <c r="R65" s="109"/>
      <c r="S65" s="109"/>
      <c r="T65" s="111"/>
      <c r="U65" s="112"/>
      <c r="V65" s="228"/>
      <c r="W65" s="62"/>
      <c r="X65" s="61"/>
    </row>
    <row r="66" spans="2:24" ht="14.15" customHeight="1" x14ac:dyDescent="0.4">
      <c r="B66" s="329"/>
      <c r="D66" s="203" t="s">
        <v>81</v>
      </c>
      <c r="E66" t="s">
        <v>51</v>
      </c>
      <c r="F66" t="s">
        <v>53</v>
      </c>
      <c r="I66" s="117">
        <f t="array" aca="1" ref="I66" ca="1">SUM(INDIRECT($E66&amp;"["&amp;$F66&amp;"]")*(INDIRECT($E66&amp;"[yr]")=I$5)*(INDIRECT($E66&amp;"[wk]")=I$6)*(IF($G$2=0,1,(INDIRECT($E66&amp;"[site]")=$G$2))))/1000</f>
        <v>173.64</v>
      </c>
      <c r="J66" s="118">
        <f t="array" aca="1" ref="J66" ca="1">SUM(INDIRECT($E66&amp;"["&amp;$F66&amp;"]")*(INDIRECT($E66&amp;"[yr]")=J$5)*(INDIRECT($E66&amp;"[wk]")=J$6)*(IF($G$2=0,1,(INDIRECT($E66&amp;"[site]")=$G$2))))/1000</f>
        <v>163.06700000000001</v>
      </c>
      <c r="K66" s="118">
        <f t="array" aca="1" ref="K66" ca="1">SUM(INDIRECT($E66&amp;"["&amp;$F66&amp;"]")*(INDIRECT($E66&amp;"[yr]")=K$5)*(INDIRECT($E66&amp;"[wk]")=K$6)*(IF($G$2=0,1,(INDIRECT($E66&amp;"[site]")=$G$2))))/1000</f>
        <v>154.09399999999999</v>
      </c>
      <c r="L66" s="118">
        <f t="array" aca="1" ref="L66" ca="1">SUM(INDIRECT($E66&amp;"["&amp;$F66&amp;"]")*(INDIRECT($E66&amp;"[yr]")=L$5)*(INDIRECT($E66&amp;"[wk]")=L$6)*(IF($G$2=0,1,(INDIRECT($E66&amp;"[site]")=$G$2))))/1000</f>
        <v>137.137</v>
      </c>
      <c r="M66" s="118">
        <f t="array" aca="1" ref="M66" ca="1">SUM(INDIRECT($E66&amp;"["&amp;$F66&amp;"]")*(INDIRECT($E66&amp;"[yr]")=M$5)*(INDIRECT($E66&amp;"[wk]")=M$6)*(IF($G$2=0,1,(INDIRECT($E66&amp;"[site]")=$G$2))))/1000</f>
        <v>129.47499999999999</v>
      </c>
      <c r="N66" s="118">
        <f t="array" aca="1" ref="N66" ca="1">SUM(INDIRECT($E66&amp;"["&amp;$F66&amp;"]")*(INDIRECT($E66&amp;"[yr]")=N$5)*(INDIRECT($E66&amp;"[wk]")=N$6)*(IF($G$2=0,1,(INDIRECT($E66&amp;"[site]")=$G$2))))/1000</f>
        <v>162.358</v>
      </c>
      <c r="O66" s="118">
        <f t="array" aca="1" ref="O66" ca="1">SUM(INDIRECT($E66&amp;"["&amp;$F66&amp;"]")*(INDIRECT($E66&amp;"[yr]")=O$5)*(INDIRECT($E66&amp;"[wk]")=O$6)*(IF($G$2=0,1,(INDIRECT($E66&amp;"[site]")=$G$2))))/1000</f>
        <v>176.678</v>
      </c>
      <c r="P66" s="118">
        <f t="array" aca="1" ref="P66" ca="1">SUM(INDIRECT($E66&amp;"["&amp;$F66&amp;"]")*(INDIRECT($E66&amp;"[yr]")=P$5)*(INDIRECT($E66&amp;"[wk]")=P$6)*(IF($G$2=0,1,(INDIRECT($E66&amp;"[site]")=$G$2))))/1000</f>
        <v>182.25399999999999</v>
      </c>
      <c r="Q66" s="119">
        <f t="array" aca="1" ref="Q66" ca="1">SUM(INDIRECT($E66&amp;"["&amp;$F66&amp;"]")*(INDIRECT($E66&amp;"[yr]")=Q$5)*(INDIRECT($E66&amp;"[wk]")=Q$6)*(IF($G$2=0,1,(INDIRECT($E66&amp;"[site]")=$G$2))))/1000</f>
        <v>179.536</v>
      </c>
      <c r="R66" s="118">
        <f t="array" aca="1" ref="R66" ca="1">SUM(INDIRECT($E66&amp;"["&amp;$F66&amp;"]")*(INDIRECT($E66&amp;"[yr]")=R$5)*(INDIRECT($E66&amp;"[wk]")=R$6)*(IF($G$2=0,1,(INDIRECT($E66&amp;"[site]")=$G$2))))/1000</f>
        <v>183.15199999999999</v>
      </c>
      <c r="S66" s="118">
        <f t="array" aca="1" ref="S66" ca="1">SUM(INDIRECT($E66&amp;"["&amp;$F66&amp;"]")*(INDIRECT($E66&amp;"[yr]")=S$5)*(INDIRECT($E66&amp;"[wk]")=S$6)*(IF($G$2=0,1,(INDIRECT($E66&amp;"[site]")=$G$2))))/1000</f>
        <v>160.22399999999999</v>
      </c>
      <c r="T66" s="120">
        <f t="array" aca="1" ref="T66" ca="1">SUM(INDIRECT($E66&amp;"["&amp;$F66&amp;"]")*(INDIRECT($E66&amp;"[yr]")=T$5)*(INDIRECT($E66&amp;"[wk]")=T$6)*(IF($G$2=0,1,(INDIRECT($E66&amp;"[site]")=$G$2))))/1000</f>
        <v>178.28100000000001</v>
      </c>
      <c r="U66" s="121">
        <f ca="1">AVERAGE(Q66:T66)</f>
        <v>175.29825</v>
      </c>
      <c r="V66" s="81">
        <f t="array" aca="1" ref="V66" ca="1">SUM(T66/S66)-1</f>
        <v>0.11269847213900541</v>
      </c>
      <c r="W66" s="82"/>
      <c r="X66" s="81"/>
    </row>
    <row r="67" spans="2:24" ht="14.15" customHeight="1" x14ac:dyDescent="0.4">
      <c r="B67" s="330"/>
      <c r="D67" s="204" t="s">
        <v>67</v>
      </c>
      <c r="I67" s="74">
        <f t="array" aca="1" ref="I67" ca="1">IFERROR(I66/SUM(INDIRECT($E66&amp;"["&amp;$F66&amp;"]")*(INDIRECT($E66&amp;"[yr]")=(I$5-1))*(INDIRECT($E66&amp;"[wk]")=I$6)*(IF($G$2=0,1,(INDIRECT($E66&amp;"[site]")=$G$2)))/1000)-1,0)</f>
        <v>0.21517499107723959</v>
      </c>
      <c r="J67" s="74">
        <f t="array" aca="1" ref="J67" ca="1">IFERROR(J66/SUM(INDIRECT($E66&amp;"["&amp;$F66&amp;"]")*(INDIRECT($E66&amp;"[yr]")=(J$5-1))*(INDIRECT($E66&amp;"[wk]")=J$6)*(IF($G$2=0,1,(INDIRECT($E66&amp;"[site]")=$G$2)))/1000)-1,0)</f>
        <v>0.16363389849860144</v>
      </c>
      <c r="K67" s="74">
        <f t="array" aca="1" ref="K67" ca="1">IFERROR(K66/SUM(INDIRECT($E66&amp;"["&amp;$F66&amp;"]")*(INDIRECT($E66&amp;"[yr]")=(K$5-1))*(INDIRECT($E66&amp;"[wk]")=K$6)*(IF($G$2=0,1,(INDIRECT($E66&amp;"[site]")=$G$2)))/1000)-1,0)</f>
        <v>0.20603589290046864</v>
      </c>
      <c r="L67" s="74">
        <f t="array" aca="1" ref="L67" ca="1">IFERROR(L66/SUM(INDIRECT($E66&amp;"["&amp;$F66&amp;"]")*(INDIRECT($E66&amp;"[yr]")=(L$5-1))*(INDIRECT($E66&amp;"[wk]")=L$6)*(IF($G$2=0,1,(INDIRECT($E66&amp;"[site]")=$G$2)))/1000)-1,0)</f>
        <v>0.18034324864008822</v>
      </c>
      <c r="M67" s="74">
        <f t="array" aca="1" ref="M67" ca="1">IFERROR(M66/SUM(INDIRECT($E66&amp;"["&amp;$F66&amp;"]")*(INDIRECT($E66&amp;"[yr]")=(M$5-1))*(INDIRECT($E66&amp;"[wk]")=M$6)*(IF($G$2=0,1,(INDIRECT($E66&amp;"[site]")=$G$2)))/1000)-1,0)</f>
        <v>0.1084998544545468</v>
      </c>
      <c r="N67" s="74">
        <f t="array" aca="1" ref="N67" ca="1">IFERROR(N66/SUM(INDIRECT($E66&amp;"["&amp;$F66&amp;"]")*(INDIRECT($E66&amp;"[yr]")=(N$5-1))*(INDIRECT($E66&amp;"[wk]")=N$6)*(IF($G$2=0,1,(INDIRECT($E66&amp;"[site]")=$G$2)))/1000)-1,0)</f>
        <v>0.16172472022668072</v>
      </c>
      <c r="O67" s="74">
        <f t="array" aca="1" ref="O67" ca="1">IFERROR(O66/SUM(INDIRECT($E66&amp;"["&amp;$F66&amp;"]")*(INDIRECT($E66&amp;"[yr]")=(O$5-1))*(INDIRECT($E66&amp;"[wk]")=O$6)*(IF($G$2=0,1,(INDIRECT($E66&amp;"[site]")=$G$2)))/1000)-1,0)</f>
        <v>0.14840068379623927</v>
      </c>
      <c r="P67" s="74">
        <f t="array" aca="1" ref="P67" ca="1">IFERROR(P66/SUM(INDIRECT($E66&amp;"["&amp;$F66&amp;"]")*(INDIRECT($E66&amp;"[yr]")=(P$5-1))*(INDIRECT($E66&amp;"[wk]")=P$6)*(IF($G$2=0,1,(INDIRECT($E66&amp;"[site]")=$G$2)))/1000)-1,0)</f>
        <v>0.20703608776565807</v>
      </c>
      <c r="Q67" s="51">
        <f t="array" aca="1" ref="Q67" ca="1">IFERROR(Q66/SUM(INDIRECT($E66&amp;"["&amp;$F66&amp;"]")*(INDIRECT($E66&amp;"[yr]")=(Q$5-1))*(INDIRECT($E66&amp;"[wk]")=Q$6)*(IF($G$2=0,1,(INDIRECT($E66&amp;"[site]")=$G$2)))/1000)-1,0)</f>
        <v>7.1076588991898282E-2</v>
      </c>
      <c r="R67" s="74">
        <f t="array" aca="1" ref="R67" ca="1">IFERROR(R66/SUM(INDIRECT($E66&amp;"["&amp;$F66&amp;"]")*(INDIRECT($E66&amp;"[yr]")=(R$5-1))*(INDIRECT($E66&amp;"[wk]")=R$6)*(IF($G$2=0,1,(INDIRECT($E66&amp;"[site]")=$G$2)))/1000)-1,0)</f>
        <v>5.4846828582782781E-2</v>
      </c>
      <c r="S67" s="74">
        <f t="array" aca="1" ref="S67" ca="1">IFERROR(S66/SUM(INDIRECT($E66&amp;"["&amp;$F66&amp;"]")*(INDIRECT($E66&amp;"[yr]")=(S$5-1))*(INDIRECT($E66&amp;"[wk]")=S$6)*(IF($G$2=0,1,(INDIRECT($E66&amp;"[site]")=$G$2)))/1000)-1,0)</f>
        <v>-5.0968731675245516E-2</v>
      </c>
      <c r="T67" s="76">
        <f t="array" aca="1" ref="T67" ca="1">IFERROR(T66/SUM(INDIRECT($E66&amp;"["&amp;$F66&amp;"]")*(INDIRECT($E66&amp;"[yr]")=(T$5-1))*(INDIRECT($E66&amp;"[wk]")=T$6)*(IF($G$2=0,1,(INDIRECT($E66&amp;"[site]")=$G$2)))/1000)-1,0)</f>
        <v>8.7066011390104947E-2</v>
      </c>
      <c r="U67" s="53">
        <f ca="1">AVERAGE(Q67:T67)</f>
        <v>4.0505174322385123E-2</v>
      </c>
      <c r="V67" s="91"/>
      <c r="W67" s="80"/>
      <c r="X67" s="56"/>
    </row>
    <row r="68" spans="2:24" ht="3" customHeight="1" x14ac:dyDescent="0.4">
      <c r="D68" s="61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61"/>
      <c r="Q68" s="57"/>
      <c r="R68" s="57"/>
      <c r="S68" s="149"/>
      <c r="T68" s="59"/>
      <c r="U68" s="61"/>
      <c r="V68" s="114"/>
      <c r="W68" s="62"/>
      <c r="X68" s="57"/>
    </row>
    <row r="69" spans="2:24" ht="14.15" customHeight="1" x14ac:dyDescent="0.4">
      <c r="B69" s="328" t="s">
        <v>92</v>
      </c>
      <c r="D69" s="203" t="s">
        <v>93</v>
      </c>
      <c r="E69" t="s">
        <v>94</v>
      </c>
      <c r="F69" t="s">
        <v>95</v>
      </c>
      <c r="I69" s="126">
        <f t="array" aca="1" ref="I69" ca="1">SUM(INDIRECT($E69&amp;"["&amp;$F69&amp;"]")*(INDIRECT($E69&amp;"[yr]")=I$5)*(INDIRECT($E69&amp;"[wk]")=I$6)/1000*(IF($G$2=0,1,(INDIRECT($E69&amp;"[siteflag]")=$G$2))))</f>
        <v>325.46499999999997</v>
      </c>
      <c r="J69" s="126">
        <f t="array" aca="1" ref="J69" ca="1">SUM(INDIRECT($E69&amp;"["&amp;$F69&amp;"]")*(INDIRECT($E69&amp;"[yr]")=J$5)*(INDIRECT($E69&amp;"[wk]")=J$6)/1000*(IF($G$2=0,1,(INDIRECT($E69&amp;"[siteflag]")=$G$2))))</f>
        <v>307.50099999999998</v>
      </c>
      <c r="K69" s="126">
        <f t="array" aca="1" ref="K69" ca="1">SUM(INDIRECT($E69&amp;"["&amp;$F69&amp;"]")*(INDIRECT($E69&amp;"[yr]")=K$5)*(INDIRECT($E69&amp;"[wk]")=K$6)/1000*(IF($G$2=0,1,(INDIRECT($E69&amp;"[siteflag]")=$G$2))))</f>
        <v>291.86099999999999</v>
      </c>
      <c r="L69" s="126">
        <f t="array" aca="1" ref="L69" ca="1">SUM(INDIRECT($E69&amp;"["&amp;$F69&amp;"]")*(INDIRECT($E69&amp;"[yr]")=L$5)*(INDIRECT($E69&amp;"[wk]")=L$6)/1000*(IF($G$2=0,1,(INDIRECT($E69&amp;"[siteflag]")=$G$2))))</f>
        <v>263.52199999999999</v>
      </c>
      <c r="M69" s="126">
        <f t="array" aca="1" ref="M69" ca="1">SUM(INDIRECT($E69&amp;"["&amp;$F69&amp;"]")*(INDIRECT($E69&amp;"[yr]")=M$5)*(INDIRECT($E69&amp;"[wk]")=M$6)/1000*(IF($G$2=0,1,(INDIRECT($E69&amp;"[siteflag]")=$G$2))))</f>
        <v>256.73599999999999</v>
      </c>
      <c r="N69" s="126">
        <f t="array" aca="1" ref="N69" ca="1">SUM(INDIRECT($E69&amp;"["&amp;$F69&amp;"]")*(INDIRECT($E69&amp;"[yr]")=N$5)*(INDIRECT($E69&amp;"[wk]")=N$6)/1000*(IF($G$2=0,1,(INDIRECT($E69&amp;"[siteflag]")=$G$2))))</f>
        <v>314.73899999999998</v>
      </c>
      <c r="O69" s="126">
        <f t="array" aca="1" ref="O69" ca="1">SUM(INDIRECT($E69&amp;"["&amp;$F69&amp;"]")*(INDIRECT($E69&amp;"[yr]")=O$5)*(INDIRECT($E69&amp;"[wk]")=O$6)/1000*(IF($G$2=0,1,(INDIRECT($E69&amp;"[siteflag]")=$G$2))))</f>
        <v>345.298</v>
      </c>
      <c r="P69" s="147">
        <f t="array" aca="1" ref="P69" ca="1">SUM(INDIRECT($E69&amp;"["&amp;$F69&amp;"]")*(INDIRECT($E69&amp;"[yr]")=P$5)*(INDIRECT($E69&amp;"[wk]")=P$6)/1000*(IF($G$2=0,1,(INDIRECT($E69&amp;"[siteflag]")=$G$2))))</f>
        <v>354.09800000000001</v>
      </c>
      <c r="Q69" s="126">
        <f t="array" aca="1" ref="Q69" ca="1">SUM(INDIRECT($E69&amp;"["&amp;$F69&amp;"]")*(INDIRECT($E69&amp;"[yr]")=Q$5)*(INDIRECT($E69&amp;"[wk]")=Q$6)/1000*(IF($G$2=0,1,(INDIRECT($E69&amp;"[siteflag]")=$G$2))))</f>
        <v>340.98399999999998</v>
      </c>
      <c r="R69" s="126">
        <f t="array" aca="1" ref="R69" ca="1">SUM(INDIRECT($E69&amp;"["&amp;$F69&amp;"]")*(INDIRECT($E69&amp;"[yr]")=R$5)*(INDIRECT($E69&amp;"[wk]")=R$6)/1000*(IF($G$2=0,1,(INDIRECT($E69&amp;"[siteflag]")=$G$2))))</f>
        <v>347.54199999999997</v>
      </c>
      <c r="S69" s="148">
        <f t="array" aca="1" ref="S69" ca="1">SUM(INDIRECT($E69&amp;"["&amp;$F69&amp;"]")*(INDIRECT($E69&amp;"[yr]")=S$5)*(INDIRECT($E69&amp;"[wk]")=S$6)/1000*(IF($G$2=0,1,(INDIRECT($E69&amp;"[siteflag]")=$G$2))))</f>
        <v>299.11799999999999</v>
      </c>
      <c r="T69" s="120">
        <f t="array" aca="1" ref="T69" ca="1">SUM(INDIRECT($E69&amp;"["&amp;$F69&amp;"]")*(INDIRECT($E69&amp;"[yr]")=T$5)*(INDIRECT($E69&amp;"[wk]")=T$6)/1000*(IF($G$2=0,1,(INDIRECT($E69&amp;"[siteflag]")=$G$2))))</f>
        <v>333.13600000000002</v>
      </c>
      <c r="U69" s="150">
        <f ca="1">SUM(Q69:T69)</f>
        <v>1320.78</v>
      </c>
      <c r="V69" s="49">
        <f t="array" aca="1" ref="V69" ca="1">SUM(T69/S69)-1</f>
        <v>0.11372769275001859</v>
      </c>
      <c r="W69" s="127"/>
      <c r="X69" s="49"/>
    </row>
    <row r="70" spans="2:24" ht="14.15" customHeight="1" x14ac:dyDescent="0.4">
      <c r="B70" s="329"/>
      <c r="D70" s="204" t="s">
        <v>67</v>
      </c>
      <c r="I70" s="74">
        <f t="array" aca="1" ref="I70" ca="1">IFERROR(I69/SUM(INDIRECT($E69&amp;"["&amp;$F69&amp;"]")*(INDIRECT($E69&amp;"[yr]")=(I$5-1))*(INDIRECT($E69&amp;"[wk]")=I$6)*(IF($G$2=0,1,(INDIRECT($E69&amp;"[siteflag]")=$G$2)))/1000)-1,0)</f>
        <v>0.16551356151923402</v>
      </c>
      <c r="J70" s="74">
        <f t="array" aca="1" ref="J70" ca="1">IFERROR(J69/SUM(INDIRECT($E69&amp;"["&amp;$F69&amp;"]")*(INDIRECT($E69&amp;"[yr]")=(J$5-1))*(INDIRECT($E69&amp;"[wk]")=J$6)*(IF($G$2=0,1,(INDIRECT($E69&amp;"[siteflag]")=$G$2)))/1000)-1,0)</f>
        <v>0.14730617118125511</v>
      </c>
      <c r="K70" s="74">
        <f t="array" aca="1" ref="K70" ca="1">IFERROR(K69/SUM(INDIRECT($E69&amp;"["&amp;$F69&amp;"]")*(INDIRECT($E69&amp;"[yr]")=(K$5-1))*(INDIRECT($E69&amp;"[wk]")=K$6)*(IF($G$2=0,1,(INDIRECT($E69&amp;"[siteflag]")=$G$2)))/1000)-1,0)</f>
        <v>0.18434219443012911</v>
      </c>
      <c r="L70" s="74">
        <f t="array" aca="1" ref="L70" ca="1">IFERROR(L69/SUM(INDIRECT($E69&amp;"["&amp;$F69&amp;"]")*(INDIRECT($E69&amp;"[yr]")=(L$5-1))*(INDIRECT($E69&amp;"[wk]")=L$6)*(IF($G$2=0,1,(INDIRECT($E69&amp;"[siteflag]")=$G$2)))/1000)-1,0)</f>
        <v>0.16104842511532413</v>
      </c>
      <c r="M70" s="74">
        <f t="array" aca="1" ref="M70" ca="1">IFERROR(M69/SUM(INDIRECT($E69&amp;"["&amp;$F69&amp;"]")*(INDIRECT($E69&amp;"[yr]")=(M$5-1))*(INDIRECT($E69&amp;"[wk]")=M$6)*(IF($G$2=0,1,(INDIRECT($E69&amp;"[siteflag]")=$G$2)))/1000)-1,0)</f>
        <v>0.11643278642900312</v>
      </c>
      <c r="N70" s="74">
        <f t="array" aca="1" ref="N70" ca="1">IFERROR(N69/SUM(INDIRECT($E69&amp;"["&amp;$F69&amp;"]")*(INDIRECT($E69&amp;"[yr]")=(N$5-1))*(INDIRECT($E69&amp;"[wk]")=N$6)*(IF($G$2=0,1,(INDIRECT($E69&amp;"[siteflag]")=$G$2)))/1000)-1,0)</f>
        <v>0.12654222667644999</v>
      </c>
      <c r="O70" s="74">
        <f t="array" aca="1" ref="O70" ca="1">IFERROR(O69/SUM(INDIRECT($E69&amp;"["&amp;$F69&amp;"]")*(INDIRECT($E69&amp;"[yr]")=(O$5-1))*(INDIRECT($E69&amp;"[wk]")=O$6)*(IF($G$2=0,1,(INDIRECT($E69&amp;"[siteflag]")=$G$2)))/1000)-1,0)</f>
        <v>0.12536502059759091</v>
      </c>
      <c r="P70" s="54">
        <f t="array" aca="1" ref="P70" ca="1">IFERROR(P69/SUM(INDIRECT($E69&amp;"["&amp;$F69&amp;"]")*(INDIRECT($E69&amp;"[yr]")=(P$5-1))*(INDIRECT($E69&amp;"[wk]")=P$6)*(IF($G$2=0,1,(INDIRECT($E69&amp;"[siteflag]")=$G$2)))/1000)-1,0)</f>
        <v>0.19179571408857909</v>
      </c>
      <c r="Q70" s="74">
        <f t="array" aca="1" ref="Q70" ca="1">IFERROR(Q69/SUM(INDIRECT($E69&amp;"["&amp;$F69&amp;"]")*(INDIRECT($E69&amp;"[yr]")=(Q$5-1))*(INDIRECT($E69&amp;"[wk]")=Q$6)*(IF($G$2=0,1,(INDIRECT($E69&amp;"[siteflag]")=$G$2)))/1000)-1,0)</f>
        <v>7.7099969675528124E-2</v>
      </c>
      <c r="R70" s="74">
        <f t="array" aca="1" ref="R70" ca="1">IFERROR(R69/SUM(INDIRECT($E69&amp;"["&amp;$F69&amp;"]")*(INDIRECT($E69&amp;"[yr]")=(R$5-1))*(INDIRECT($E69&amp;"[wk]")=R$6)*(IF($G$2=0,1,(INDIRECT($E69&amp;"[siteflag]")=$G$2)))/1000)-1,0)</f>
        <v>4.540887843439223E-2</v>
      </c>
      <c r="S70" s="74">
        <f t="array" aca="1" ref="S70" ca="1">IFERROR(S69/SUM(INDIRECT($E69&amp;"["&amp;$F69&amp;"]")*(INDIRECT($E69&amp;"[yr]")=(S$5-1))*(INDIRECT($E69&amp;"[wk]")=S$6)*(IF($G$2=0,1,(INDIRECT($E69&amp;"[siteflag]")=$G$2)))/1000)-1,0)</f>
        <v>-5.6130208957861361E-2</v>
      </c>
      <c r="T70" s="76">
        <f t="array" aca="1" ref="T70" ca="1">IFERROR(T69/SUM(INDIRECT($E69&amp;"["&amp;$F69&amp;"]")*(INDIRECT($E69&amp;"[yr]")=(T$5-1))*(INDIRECT($E69&amp;"[wk]")=T$6)*(IF($H$2=0,1,(INDIRECT($E69&amp;"[siteflag]")=$H$2)))/1000)-1,0)</f>
        <v>-4.8631274569547189E-3</v>
      </c>
      <c r="U70" s="53">
        <f t="array" aca="1" ref="U70" ca="1">SUMPRODUCT(Q70:T70,$Q$69:$T$69)/SUM($Q$69:$T$69)</f>
        <v>1.79149516324658E-2</v>
      </c>
      <c r="V70" s="91"/>
      <c r="W70" s="80"/>
      <c r="X70" s="56"/>
    </row>
    <row r="71" spans="2:24" ht="3" customHeight="1" x14ac:dyDescent="0.4">
      <c r="B71" s="329"/>
      <c r="D71" s="61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8"/>
      <c r="R71" s="57"/>
      <c r="S71" s="57"/>
      <c r="T71" s="59"/>
      <c r="U71" s="60"/>
      <c r="V71" s="61"/>
      <c r="W71" s="62"/>
      <c r="X71" s="61"/>
    </row>
    <row r="72" spans="2:24" ht="14.15" customHeight="1" x14ac:dyDescent="0.4">
      <c r="B72" s="329"/>
      <c r="D72" s="203" t="s">
        <v>292</v>
      </c>
      <c r="E72" t="s">
        <v>94</v>
      </c>
      <c r="F72" t="s">
        <v>95</v>
      </c>
      <c r="I72" s="126">
        <f t="array" aca="1" ref="I72" ca="1">SUM(INDIRECT($E72&amp;"["&amp;$F72&amp;"]")*(INDIRECT($E72&amp;"[yr]")=I$5)*(INDIRECT($E72&amp;"[wk]")=I$6)/1000*(IF($G$2=0,1,(INDIRECT($E72&amp;"[siteflag]")=$G$2))))/I66</f>
        <v>1.8743665054134993</v>
      </c>
      <c r="J72" s="126">
        <f t="array" aca="1" ref="J72" ca="1">SUM(INDIRECT($E72&amp;"["&amp;$F72&amp;"]")*(INDIRECT($E72&amp;"[yr]")=J$5)*(INDIRECT($E72&amp;"[wk]")=J$6)/1000*(IF($G$2=0,1,(INDIRECT($E72&amp;"[siteflag]")=$G$2))))/J66</f>
        <v>1.8857340847627047</v>
      </c>
      <c r="K72" s="126">
        <f t="array" aca="1" ref="K72" ca="1">SUM(INDIRECT($E72&amp;"["&amp;$F72&amp;"]")*(INDIRECT($E72&amp;"[yr]")=K$5)*(INDIRECT($E72&amp;"[wk]")=K$6)/1000*(IF($G$2=0,1,(INDIRECT($E72&amp;"[siteflag]")=$G$2))))/K66</f>
        <v>1.8940451931937647</v>
      </c>
      <c r="L72" s="126">
        <f t="array" aca="1" ref="L72" ca="1">SUM(INDIRECT($E72&amp;"["&amp;$F72&amp;"]")*(INDIRECT($E72&amp;"[yr]")=L$5)*(INDIRECT($E72&amp;"[wk]")=L$6)/1000*(IF($G$2=0,1,(INDIRECT($E72&amp;"[siteflag]")=$G$2))))/L66</f>
        <v>1.9215966515236587</v>
      </c>
      <c r="M72" s="126">
        <f t="array" aca="1" ref="M72" ca="1">SUM(INDIRECT($E72&amp;"["&amp;$F72&amp;"]")*(INDIRECT($E72&amp;"[yr]")=M$5)*(INDIRECT($E72&amp;"[wk]")=M$6)/1000*(IF($G$2=0,1,(INDIRECT($E72&amp;"[siteflag]")=$G$2))))/M66</f>
        <v>1.9829001737787217</v>
      </c>
      <c r="N72" s="126">
        <f t="array" aca="1" ref="N72" ca="1">SUM(INDIRECT($E72&amp;"["&amp;$F72&amp;"]")*(INDIRECT($E72&amp;"[yr]")=N$5)*(INDIRECT($E72&amp;"[wk]")=N$6)/1000*(IF($G$2=0,1,(INDIRECT($E72&amp;"[siteflag]")=$G$2))))/N66</f>
        <v>1.938549378533857</v>
      </c>
      <c r="O72" s="126">
        <f t="array" aca="1" ref="O72" ca="1">SUM(INDIRECT($E72&amp;"["&amp;$F72&amp;"]")*(INDIRECT($E72&amp;"[yr]")=O$5)*(INDIRECT($E72&amp;"[wk]")=O$6)/1000*(IF($G$2=0,1,(INDIRECT($E72&amp;"[siteflag]")=$G$2))))/O66</f>
        <v>1.9543916050668448</v>
      </c>
      <c r="P72" s="147">
        <f t="array" aca="1" ref="P72" ca="1">SUM(INDIRECT($E72&amp;"["&amp;$F72&amp;"]")*(INDIRECT($E72&amp;"[yr]")=P$5)*(INDIRECT($E72&amp;"[wk]")=P$6)/1000*(IF($G$2=0,1,(INDIRECT($E72&amp;"[siteflag]")=$G$2))))/P66</f>
        <v>1.9428819120567999</v>
      </c>
      <c r="Q72" s="126">
        <f t="array" aca="1" ref="Q72" ca="1">SUM(INDIRECT($E72&amp;"["&amp;$F72&amp;"]")*(INDIRECT($E72&amp;"[yr]")=Q$5)*(INDIRECT($E72&amp;"[wk]")=Q$6)/1000*(IF($G$2=0,1,(INDIRECT($E72&amp;"[siteflag]")=$G$2))))/Q66</f>
        <v>1.8992514036182158</v>
      </c>
      <c r="R72" s="126">
        <f t="array" aca="1" ref="R72" ca="1">SUM(INDIRECT($E72&amp;"["&amp;$F72&amp;"]")*(INDIRECT($E72&amp;"[yr]")=R$5)*(INDIRECT($E72&amp;"[wk]")=R$6)/1000*(IF($G$2=0,1,(INDIRECT($E72&amp;"[siteflag]")=$G$2))))/R66</f>
        <v>1.8975604961998778</v>
      </c>
      <c r="S72" s="126">
        <f t="array" aca="1" ref="S72" ca="1">SUM(INDIRECT($E72&amp;"["&amp;$F72&amp;"]")*(INDIRECT($E72&amp;"[yr]")=S$5)*(INDIRECT($E72&amp;"[wk]")=S$6)/1000*(IF($G$2=0,1,(INDIRECT($E72&amp;"[siteflag]")=$G$2))))/S66</f>
        <v>1.8668738765727981</v>
      </c>
      <c r="T72" s="120">
        <f t="array" aca="1" ref="T72" ca="1">SUM(INDIRECT($E72&amp;"["&amp;$F72&amp;"]")*(INDIRECT($E72&amp;"[yr]")=T$5)*(INDIRECT($E72&amp;"[wk]")=T$6)/1000*(IF($G$2=0,1,(INDIRECT($E72&amp;"[siteflag]")=$G$2))))/T66</f>
        <v>1.8686006921657383</v>
      </c>
      <c r="U72" s="196">
        <f ca="1">AVERAGE(Q72:T72)</f>
        <v>1.8830716171391577</v>
      </c>
      <c r="V72" s="49">
        <f t="array" aca="1" ref="V72" ca="1">SUM(T72/S72)-1</f>
        <v>9.2497710456496129E-4</v>
      </c>
      <c r="W72" s="127"/>
      <c r="X72" s="49"/>
    </row>
    <row r="73" spans="2:24" ht="14.15" customHeight="1" x14ac:dyDescent="0.4">
      <c r="B73" s="329"/>
      <c r="D73" s="204" t="s">
        <v>67</v>
      </c>
      <c r="E73" t="s">
        <v>51</v>
      </c>
      <c r="F73" t="s">
        <v>53</v>
      </c>
      <c r="I73" s="74">
        <f t="array" aca="1" ref="I73" ca="1">IFERROR(I72/(SUM(INDIRECT($E72&amp;"["&amp;$F72&amp;"]")*(INDIRECT($E72&amp;"[yr]")=(I$5-1))*(INDIRECT($E72&amp;"[wk]")=I$6)*(IF($G$2=0,1,(INDIRECT($E72&amp;"[siteflag]")=$G$2))))/
                            (SUM(INDIRECT($E73&amp;"["&amp;$F73&amp;"]")*(INDIRECT($E73&amp;"[yr]")=I$5-1)*(INDIRECT($E73&amp;"[wk]")=I$6)*(IF($G$2=0,1,(INDIRECT($E73&amp;"[site]")=$G$2))))))-1,0)</f>
        <v>-4.0867718577701551E-2</v>
      </c>
      <c r="J73" s="74">
        <f t="array" aca="1" ref="J73" ca="1">IFERROR(J72/(SUM(INDIRECT($E72&amp;"["&amp;$F72&amp;"]")*(INDIRECT($E72&amp;"[yr]")=(J$5-1))*(INDIRECT($E72&amp;"[wk]")=J$6)*(IF($G$2=0,1,(INDIRECT($E72&amp;"[siteflag]")=$G$2))))/
                            (SUM(INDIRECT($E73&amp;"["&amp;$F73&amp;"]")*(INDIRECT($E73&amp;"[yr]")=J$5-1)*(INDIRECT($E73&amp;"[wk]")=J$6)*(IF($G$2=0,1,(INDIRECT($E73&amp;"[site]")=$G$2))))))-1,0)</f>
        <v>-1.4031670389126338E-2</v>
      </c>
      <c r="K73" s="74">
        <f t="array" aca="1" ref="K73" ca="1">IFERROR(K72/(SUM(INDIRECT($E72&amp;"["&amp;$F72&amp;"]")*(INDIRECT($E72&amp;"[yr]")=(K$5-1))*(INDIRECT($E72&amp;"[wk]")=K$6)*(IF($G$2=0,1,(INDIRECT($E72&amp;"[siteflag]")=$G$2))))/
                            (SUM(INDIRECT($E73&amp;"["&amp;$F73&amp;"]")*(INDIRECT($E73&amp;"[yr]")=K$5-1)*(INDIRECT($E73&amp;"[wk]")=K$6)*(IF($G$2=0,1,(INDIRECT($E73&amp;"[site]")=$G$2))))))-1,0)</f>
        <v>-1.7987606005794188E-2</v>
      </c>
      <c r="L73" s="74">
        <f t="array" aca="1" ref="L73" ca="1">IFERROR(L72/(SUM(INDIRECT($E72&amp;"["&amp;$F72&amp;"]")*(INDIRECT($E72&amp;"[yr]")=(L$5-1))*(INDIRECT($E72&amp;"[wk]")=L$6)*(IF($G$2=0,1,(INDIRECT($E72&amp;"[siteflag]")=$G$2))))/
                            (SUM(INDIRECT($E73&amp;"["&amp;$F73&amp;"]")*(INDIRECT($E73&amp;"[yr]")=L$5-1)*(INDIRECT($E73&amp;"[wk]")=L$6)*(IF($G$2=0,1,(INDIRECT($E73&amp;"[site]")=$G$2))))))-1,0)</f>
        <v>-1.6346790263759514E-2</v>
      </c>
      <c r="M73" s="74">
        <f t="array" aca="1" ref="M73" ca="1">IFERROR(M72/(SUM(INDIRECT($E72&amp;"["&amp;$F72&amp;"]")*(INDIRECT($E72&amp;"[yr]")=(M$5-1))*(INDIRECT($E72&amp;"[wk]")=M$6)*(IF($G$2=0,1,(INDIRECT($E72&amp;"[siteflag]")=$G$2))))/
                            (SUM(INDIRECT($E73&amp;"["&amp;$F73&amp;"]")*(INDIRECT($E73&amp;"[yr]")=M$5-1)*(INDIRECT($E73&amp;"[wk]")=M$6)*(IF($G$2=0,1,(INDIRECT($E73&amp;"[site]")=$G$2))))))-1,0)</f>
        <v>7.1564573893063699E-3</v>
      </c>
      <c r="N73" s="74">
        <f t="array" aca="1" ref="N73" ca="1">IFERROR(N72/(SUM(INDIRECT($E72&amp;"["&amp;$F72&amp;"]")*(INDIRECT($E72&amp;"[yr]")=(N$5-1))*(INDIRECT($E72&amp;"[wk]")=N$6)*(IF($G$2=0,1,(INDIRECT($E72&amp;"[siteflag]")=$G$2))))/
                            (SUM(INDIRECT($E73&amp;"["&amp;$F73&amp;"]")*(INDIRECT($E73&amp;"[yr]")=N$5-1)*(INDIRECT($E73&amp;"[wk]")=N$6)*(IF($G$2=0,1,(INDIRECT($E73&amp;"[site]")=$G$2))))))-1,0)</f>
        <v>-3.0284707674435918E-2</v>
      </c>
      <c r="O73" s="74">
        <f t="array" aca="1" ref="O73" ca="1">IFERROR(O72/(SUM(INDIRECT($E72&amp;"["&amp;$F72&amp;"]")*(INDIRECT($E72&amp;"[yr]")=(O$5-1))*(INDIRECT($E72&amp;"[wk]")=O$6)*(IF($G$2=0,1,(INDIRECT($E72&amp;"[siteflag]")=$G$2))))/
                            (SUM(INDIRECT($E73&amp;"["&amp;$F73&amp;"]")*(INDIRECT($E73&amp;"[yr]")=O$5-1)*(INDIRECT($E73&amp;"[wk]")=O$6)*(IF($G$2=0,1,(INDIRECT($E73&amp;"[site]")=$G$2))))))-1,0)</f>
        <v>-2.0058907595300157E-2</v>
      </c>
      <c r="P73" s="54">
        <f t="array" aca="1" ref="P73" ca="1">IFERROR(P72/(SUM(INDIRECT($E72&amp;"["&amp;$F72&amp;"]")*(INDIRECT($E72&amp;"[yr]")=(P$5-1))*(INDIRECT($E72&amp;"[wk]")=P$6)*(IF($G$2=0,1,(INDIRECT($E72&amp;"[siteflag]")=$G$2))))/
                            (SUM(INDIRECT($E73&amp;"["&amp;$F73&amp;"]")*(INDIRECT($E73&amp;"[yr]")=P$5-1)*(INDIRECT($E73&amp;"[wk]")=P$6)*(IF($G$2=0,1,(INDIRECT($E73&amp;"[site]")=$G$2))))))-1,0)</f>
        <v>-1.2626278395114321E-2</v>
      </c>
      <c r="Q73" s="74">
        <f t="array" aca="1" ref="Q73" ca="1">IFERROR(Q72/(SUM(INDIRECT($E72&amp;"["&amp;$F72&amp;"]")*(INDIRECT($E72&amp;"[yr]")=(Q$5-1))*(INDIRECT($E72&amp;"[wk]")=Q$6)*(IF($G$2=0,1,(INDIRECT($E72&amp;"[siteflag]")=$G$2))))/
                            (SUM(INDIRECT($E73&amp;"["&amp;$F73&amp;"]")*(INDIRECT($E73&amp;"[yr]")=Q$5-1)*(INDIRECT($E73&amp;"[wk]")=Q$6)*(IF($G$2=0,1,(INDIRECT($E73&amp;"[site]")=$G$2))))))-1,0)</f>
        <v>5.6236694420692679E-3</v>
      </c>
      <c r="R73" s="74">
        <f t="array" aca="1" ref="R73" ca="1">IFERROR(R72/(SUM(INDIRECT($E72&amp;"["&amp;$F72&amp;"]")*(INDIRECT($E72&amp;"[yr]")=(R$5-1))*(INDIRECT($E72&amp;"[wk]")=R$6)*(IF($G$2=0,1,(INDIRECT($E72&amp;"[siteflag]")=$G$2))))/
                            (SUM(INDIRECT($E73&amp;"["&amp;$F73&amp;"]")*(INDIRECT($E73&amp;"[yr]")=R$5-1)*(INDIRECT($E73&amp;"[wk]")=R$6)*(IF($G$2=0,1,(INDIRECT($E73&amp;"[site]")=$G$2))))))-1,0)</f>
        <v>-8.9472233244238808E-3</v>
      </c>
      <c r="S73" s="74">
        <f t="array" aca="1" ref="S73" ca="1">IFERROR(S72/(SUM(INDIRECT($E72&amp;"["&amp;$F72&amp;"]")*(INDIRECT($E72&amp;"[yr]")=(S$5-1))*(INDIRECT($E72&amp;"[wk]")=S$6)*(IF($G$2=0,1,(INDIRECT($E72&amp;"[siteflag]")=$G$2))))/
                            (SUM(INDIRECT($E73&amp;"["&amp;$F73&amp;"]")*(INDIRECT($E73&amp;"[yr]")=S$5-1)*(INDIRECT($E73&amp;"[wk]")=S$6)*(IF($G$2=0,1,(INDIRECT($E73&amp;"[site]")=$G$2))))))-1,0)</f>
        <v>-5.4386798990586627E-3</v>
      </c>
      <c r="T73" s="76">
        <f t="array" aca="1" ref="T73" ca="1">IFERROR(T72/(SUM(INDIRECT($E72&amp;"["&amp;$F72&amp;"]")*(INDIRECT($E72&amp;"[yr]")=(T$5-1))*(INDIRECT($E72&amp;"[wk]")=T$6)*(IF($G$2=0,1,(INDIRECT($E72&amp;"[siteflag]")=$G$2))))/
                            (SUM(INDIRECT($E73&amp;"["&amp;$F73&amp;"]")*(INDIRECT($E73&amp;"[yr]")=T$5-1)*(INDIRECT($E73&amp;"[wk]")=T$6)*(IF($G$2=0,1,(INDIRECT($E73&amp;"[site]")=$G$2))))))-1,0)</f>
        <v>-3.2831054019430206E-2</v>
      </c>
      <c r="U73" s="53">
        <f t="array" aca="1" ref="U73" ca="1">SUMPRODUCT(Q73:T73,$Q$69:$T$69)/SUM($Q$69:$T$69)</f>
        <v>-1.0415033278400572E-2</v>
      </c>
      <c r="V73" s="91"/>
      <c r="W73" s="80"/>
      <c r="X73" s="56"/>
    </row>
    <row r="74" spans="2:24" ht="3" customHeight="1" x14ac:dyDescent="0.4">
      <c r="B74" s="329"/>
      <c r="D74" s="61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61"/>
      <c r="Q74" s="57"/>
      <c r="R74" s="57"/>
      <c r="S74" s="57"/>
      <c r="T74" s="59"/>
      <c r="U74" s="60"/>
      <c r="V74" s="61"/>
      <c r="W74" s="62"/>
      <c r="X74" s="61"/>
    </row>
    <row r="75" spans="2:24" ht="14.15" customHeight="1" x14ac:dyDescent="0.4">
      <c r="B75" s="329"/>
      <c r="D75" s="203" t="s">
        <v>293</v>
      </c>
      <c r="E75" t="s">
        <v>51</v>
      </c>
      <c r="F75" t="s">
        <v>53</v>
      </c>
      <c r="I75" s="126">
        <f t="array" aca="1" ref="I75" ca="1">SUM(INDIRECT($E75&amp;"["&amp;$F76&amp;"]")*(INDIRECT($E75&amp;"[yr]")=I$5)*(INDIRECT($E75&amp;"[wk]")=I$6)*(INDIRECT($E75&amp;"[orders]")=$E76)*(IF($G$2=0,1,(INDIRECT($E75&amp;"[site]")=$G$2))))/
  SUM(INDIRECT($E75&amp;"["&amp;$F75&amp;"]")*(INDIRECT($E75&amp;"[yr]")=I$5)*(INDIRECT($E75&amp;"[wk]")=I$6)*(INDIRECT($E75&amp;"[orders]")=$E76)*(IF($G$2=0,1,(INDIRECT($E75&amp;"[site]")=$G$2))))</f>
        <v>3.5387865931268561</v>
      </c>
      <c r="J75" s="126">
        <f t="array" aca="1" ref="J75" ca="1">SUM(INDIRECT($E75&amp;"["&amp;$F76&amp;"]")*(INDIRECT($E75&amp;"[yr]")=J$5)*(INDIRECT($E75&amp;"[wk]")=J$6)*(INDIRECT($E75&amp;"[orders]")=$E76)*(IF($G$2=0,1,(INDIRECT($E75&amp;"[site]")=$G$2))))/
  SUM(INDIRECT($E75&amp;"["&amp;$F75&amp;"]")*(INDIRECT($E75&amp;"[yr]")=J$5)*(INDIRECT($E75&amp;"[wk]")=J$6)*(INDIRECT($E75&amp;"[orders]")=$E76)*(IF($G$2=0,1,(INDIRECT($E75&amp;"[site]")=$G$2))))</f>
        <v>3.5588889287379408</v>
      </c>
      <c r="K75" s="126">
        <f t="array" aca="1" ref="K75" ca="1">SUM(INDIRECT($E75&amp;"["&amp;$F76&amp;"]")*(INDIRECT($E75&amp;"[yr]")=K$5)*(INDIRECT($E75&amp;"[wk]")=K$6)*(INDIRECT($E75&amp;"[orders]")=$E76)*(IF($G$2=0,1,(INDIRECT($E75&amp;"[site]")=$G$2))))/
  SUM(INDIRECT($E75&amp;"["&amp;$F75&amp;"]")*(INDIRECT($E75&amp;"[yr]")=K$5)*(INDIRECT($E75&amp;"[wk]")=K$6)*(INDIRECT($E75&amp;"[orders]")=$E76)*(IF($G$2=0,1,(INDIRECT($E75&amp;"[site]")=$G$2))))</f>
        <v>3.6053598071846666</v>
      </c>
      <c r="L75" s="126">
        <f t="array" aca="1" ref="L75" ca="1">SUM(INDIRECT($E75&amp;"["&amp;$F76&amp;"]")*(INDIRECT($E75&amp;"[yr]")=L$5)*(INDIRECT($E75&amp;"[wk]")=L$6)*(INDIRECT($E75&amp;"[orders]")=$E76)*(IF($G$2=0,1,(INDIRECT($E75&amp;"[site]")=$G$2))))/
  SUM(INDIRECT($E75&amp;"["&amp;$F75&amp;"]")*(INDIRECT($E75&amp;"[yr]")=L$5)*(INDIRECT($E75&amp;"[wk]")=L$6)*(INDIRECT($E75&amp;"[orders]")=$E76)*(IF($G$2=0,1,(INDIRECT($E75&amp;"[site]")=$G$2))))</f>
        <v>3.544387007489417</v>
      </c>
      <c r="M75" s="126">
        <f t="array" aca="1" ref="M75" ca="1">SUM(INDIRECT($E75&amp;"["&amp;$F76&amp;"]")*(INDIRECT($E75&amp;"[yr]")=M$5)*(INDIRECT($E75&amp;"[wk]")=M$6)*(INDIRECT($E75&amp;"[orders]")=$E76)*(IF($G$2=0,1,(INDIRECT($E75&amp;"[site]")=$G$2))))/
  SUM(INDIRECT($E75&amp;"["&amp;$F75&amp;"]")*(INDIRECT($E75&amp;"[yr]")=M$5)*(INDIRECT($E75&amp;"[wk]")=M$6)*(INDIRECT($E75&amp;"[orders]")=$E76)*(IF($G$2=0,1,(INDIRECT($E75&amp;"[site]")=$G$2))))</f>
        <v>3.6607985367780018</v>
      </c>
      <c r="N75" s="126">
        <f t="array" aca="1" ref="N75" ca="1">SUM(INDIRECT($E75&amp;"["&amp;$F76&amp;"]")*(INDIRECT($E75&amp;"[yr]")=N$5)*(INDIRECT($E75&amp;"[wk]")=N$6)*(INDIRECT($E75&amp;"[orders]")=$E76)*(IF($G$2=0,1,(INDIRECT($E75&amp;"[site]")=$G$2))))/
  SUM(INDIRECT($E75&amp;"["&amp;$F75&amp;"]")*(INDIRECT($E75&amp;"[yr]")=N$5)*(INDIRECT($E75&amp;"[wk]")=N$6)*(INDIRECT($E75&amp;"[orders]")=$E76)*(IF($G$2=0,1,(INDIRECT($E75&amp;"[site]")=$G$2))))</f>
        <v>3.6192668519805422</v>
      </c>
      <c r="O75" s="126">
        <f t="array" aca="1" ref="O75" ca="1">SUM(INDIRECT($E75&amp;"["&amp;$F76&amp;"]")*(INDIRECT($E75&amp;"[yr]")=O$5)*(INDIRECT($E75&amp;"[wk]")=O$6)*(INDIRECT($E75&amp;"[orders]")=$E76)*(IF($G$2=0,1,(INDIRECT($E75&amp;"[site]")=$G$2))))/
  SUM(INDIRECT($E75&amp;"["&amp;$F75&amp;"]")*(INDIRECT($E75&amp;"[yr]")=O$5)*(INDIRECT($E75&amp;"[wk]")=O$6)*(INDIRECT($E75&amp;"[orders]")=$E76)*(IF($G$2=0,1,(INDIRECT($E75&amp;"[site]")=$G$2))))</f>
        <v>3.6309594430047771</v>
      </c>
      <c r="P75" s="147">
        <f t="array" aca="1" ref="P75" ca="1">SUM(INDIRECT($E75&amp;"["&amp;$F76&amp;"]")*(INDIRECT($E75&amp;"[yr]")=P$5)*(INDIRECT($E75&amp;"[wk]")=P$6)*(INDIRECT($E75&amp;"[orders]")=$E76)*(IF($G$2=0,1,(INDIRECT($E75&amp;"[site]")=$G$2))))/
  SUM(INDIRECT($E75&amp;"["&amp;$F75&amp;"]")*(INDIRECT($E75&amp;"[yr]")=P$5)*(INDIRECT($E75&amp;"[wk]")=P$6)*(INDIRECT($E75&amp;"[orders]")=$E76)*(IF($G$2=0,1,(INDIRECT($E75&amp;"[site]")=$G$2))))</f>
        <v>3.5933546715439721</v>
      </c>
      <c r="Q75" s="126">
        <f t="array" aca="1" ref="Q75" ca="1">SUM(INDIRECT($E75&amp;"["&amp;$F76&amp;"]")*(INDIRECT($E75&amp;"[yr]")=Q$5)*(INDIRECT($E75&amp;"[wk]")=Q$6)*(INDIRECT($E75&amp;"[orders]")=$E76)*(IF($G$2=0,1,(INDIRECT($E75&amp;"[site]")=$G$2))))/
  SUM(INDIRECT($E75&amp;"["&amp;$F75&amp;"]")*(INDIRECT($E75&amp;"[yr]")=Q$5)*(INDIRECT($E75&amp;"[wk]")=Q$6)*(INDIRECT($E75&amp;"[orders]")=$E76)*(IF($G$2=0,1,(INDIRECT($E75&amp;"[site]")=$G$2))))</f>
        <v>3.5914288490816624</v>
      </c>
      <c r="R75" s="126">
        <f t="array" aca="1" ref="R75" ca="1">SUM(INDIRECT($E75&amp;"["&amp;$F76&amp;"]")*(INDIRECT($E75&amp;"[yr]")=R$5)*(INDIRECT($E75&amp;"[wk]")=R$6)*(INDIRECT($E75&amp;"[orders]")=$E76)*(IF($G$2=0,1,(INDIRECT($E75&amp;"[site]")=$G$2))))/
  SUM(INDIRECT($E75&amp;"["&amp;$F75&amp;"]")*(INDIRECT($E75&amp;"[yr]")=R$5)*(INDIRECT($E75&amp;"[wk]")=R$6)*(INDIRECT($E75&amp;"[orders]")=$E76)*(IF($G$2=0,1,(INDIRECT($E75&amp;"[site]")=$G$2))))</f>
        <v>3.5945412274276252</v>
      </c>
      <c r="S75" s="126">
        <f t="array" aca="1" ref="S75" ca="1">SUM(INDIRECT($E75&amp;"["&amp;$F76&amp;"]")*(INDIRECT($E75&amp;"[yr]")=S$5)*(INDIRECT($E75&amp;"[wk]")=S$6)*(INDIRECT($E75&amp;"[orders]")=$E76)*(IF($G$2=0,1,(INDIRECT($E75&amp;"[site]")=$G$2))))/
  SUM(INDIRECT($E75&amp;"["&amp;$F75&amp;"]")*(INDIRECT($E75&amp;"[yr]")=S$5)*(INDIRECT($E75&amp;"[wk]")=S$6)*(INDIRECT($E75&amp;"[orders]")=$E76)*(IF($G$2=0,1,(INDIRECT($E75&amp;"[site]")=$G$2))))</f>
        <v>3.5729184094584796</v>
      </c>
      <c r="T75" s="120">
        <f t="array" aca="1" ref="T75" ca="1">SUM(INDIRECT($E75&amp;"["&amp;$F76&amp;"]")*(INDIRECT($E75&amp;"[yr]")=T$5)*(INDIRECT($E75&amp;"[wk]")=T$6)*(INDIRECT($E75&amp;"[orders]")=$E76)*(IF($G$2=0,1,(INDIRECT($E75&amp;"[site]")=$G$2))))/
  SUM(INDIRECT($E75&amp;"["&amp;$F75&amp;"]")*(INDIRECT($E75&amp;"[yr]")=T$5)*(INDIRECT($E75&amp;"[wk]")=T$6)*(INDIRECT($E75&amp;"[orders]")=$E76)*(IF($G$2=0,1,(INDIRECT($E75&amp;"[site]")=$G$2))))</f>
        <v>3.6264371657754011</v>
      </c>
      <c r="U75" s="196">
        <f ca="1">AVERAGE(Q75:T75)</f>
        <v>3.5963314129357919</v>
      </c>
      <c r="V75" s="49">
        <f t="array" aca="1" ref="V75" ca="1">SUM(T75/S75)-1</f>
        <v>1.4979003207921782E-2</v>
      </c>
      <c r="W75" s="127"/>
      <c r="X75" s="49"/>
    </row>
    <row r="76" spans="2:24" ht="14.15" customHeight="1" x14ac:dyDescent="0.4">
      <c r="B76" s="329"/>
      <c r="D76" s="202" t="s">
        <v>67</v>
      </c>
      <c r="E76" s="40" t="s">
        <v>272</v>
      </c>
      <c r="F76" s="40" t="s">
        <v>291</v>
      </c>
      <c r="G76" s="40"/>
      <c r="H76" s="40"/>
      <c r="I76" s="50">
        <f t="array" aca="1" ref="I76" ca="1">IFERROR(I75/(SUM(INDIRECT($E75&amp;"["&amp;$F76&amp;"]")*(INDIRECT($E75&amp;"[yr]")=I$5-1)*(INDIRECT($E75&amp;"[wk]")=I$6)*(INDIRECT($E75&amp;"[orders]")=$E76)*(IF($G$2=0,1,(INDIRECT($E75&amp;"[site]")=$G$2))))/
                            SUM(INDIRECT($E75&amp;"["&amp;$F75&amp;"]")*(INDIRECT($E75&amp;"[yr]")=I$5-1)*(INDIRECT($E75&amp;"[wk]")=I$6)*(INDIRECT($E75&amp;"[orders]")=$E76)*(IF($G$2=0,1,(INDIRECT($E75&amp;"[site]")=$G$2)))))-1,0)</f>
        <v>-9.8290762317849723E-3</v>
      </c>
      <c r="J76" s="50">
        <f t="array" aca="1" ref="J76" ca="1">IFERROR(J75/(SUM(INDIRECT($E75&amp;"["&amp;$F76&amp;"]")*(INDIRECT($E75&amp;"[yr]")=J$5-1)*(INDIRECT($E75&amp;"[wk]")=J$6)*(INDIRECT($E75&amp;"[orders]")=$E76)*(IF($G$2=0,1,(INDIRECT($E75&amp;"[site]")=$G$2))))/
                            SUM(INDIRECT($E75&amp;"["&amp;$F75&amp;"]")*(INDIRECT($E75&amp;"[yr]")=J$5-1)*(INDIRECT($E75&amp;"[wk]")=J$6)*(INDIRECT($E75&amp;"[orders]")=$E76)*(IF($G$2=0,1,(INDIRECT($E75&amp;"[site]")=$G$2)))))-1,0)</f>
        <v>-2.296926236984409E-3</v>
      </c>
      <c r="K76" s="50">
        <f t="array" aca="1" ref="K76" ca="1">IFERROR(K75/(SUM(INDIRECT($E75&amp;"["&amp;$F76&amp;"]")*(INDIRECT($E75&amp;"[yr]")=K$5-1)*(INDIRECT($E75&amp;"[wk]")=K$6)*(INDIRECT($E75&amp;"[orders]")=$E76)*(IF($G$2=0,1,(INDIRECT($E75&amp;"[site]")=$G$2))))/
                            SUM(INDIRECT($E75&amp;"["&amp;$F75&amp;"]")*(INDIRECT($E75&amp;"[yr]")=K$5-1)*(INDIRECT($E75&amp;"[wk]")=K$6)*(INDIRECT($E75&amp;"[orders]")=$E76)*(IF($G$2=0,1,(INDIRECT($E75&amp;"[site]")=$G$2)))))-1,0)</f>
        <v>3.5650044532522518E-3</v>
      </c>
      <c r="L76" s="50">
        <f t="array" aca="1" ref="L76" ca="1">IFERROR(L75/(SUM(INDIRECT($E75&amp;"["&amp;$F76&amp;"]")*(INDIRECT($E75&amp;"[yr]")=L$5-1)*(INDIRECT($E75&amp;"[wk]")=L$6)*(INDIRECT($E75&amp;"[orders]")=$E76)*(IF($G$2=0,1,(INDIRECT($E75&amp;"[site]")=$G$2))))/
                            SUM(INDIRECT($E75&amp;"["&amp;$F75&amp;"]")*(INDIRECT($E75&amp;"[yr]")=L$5-1)*(INDIRECT($E75&amp;"[wk]")=L$6)*(INDIRECT($E75&amp;"[orders]")=$E76)*(IF($G$2=0,1,(INDIRECT($E75&amp;"[site]")=$G$2)))))-1,0)</f>
        <v>-6.1934375435922506E-3</v>
      </c>
      <c r="M76" s="50">
        <f t="array" aca="1" ref="M76" ca="1">IFERROR(M75/(SUM(INDIRECT($E75&amp;"["&amp;$F76&amp;"]")*(INDIRECT($E75&amp;"[yr]")=M$5-1)*(INDIRECT($E75&amp;"[wk]")=M$6)*(INDIRECT($E75&amp;"[orders]")=$E76)*(IF($G$2=0,1,(INDIRECT($E75&amp;"[site]")=$G$2))))/
                            SUM(INDIRECT($E75&amp;"["&amp;$F75&amp;"]")*(INDIRECT($E75&amp;"[yr]")=M$5-1)*(INDIRECT($E75&amp;"[wk]")=M$6)*(INDIRECT($E75&amp;"[orders]")=$E76)*(IF($G$2=0,1,(INDIRECT($E75&amp;"[site]")=$G$2)))))-1,0)</f>
        <v>1.1477791707229068E-2</v>
      </c>
      <c r="N76" s="50">
        <f t="array" aca="1" ref="N76" ca="1">IFERROR(N75/(SUM(INDIRECT($E75&amp;"["&amp;$F76&amp;"]")*(INDIRECT($E75&amp;"[yr]")=N$5-1)*(INDIRECT($E75&amp;"[wk]")=N$6)*(INDIRECT($E75&amp;"[orders]")=$E76)*(IF($G$2=0,1,(INDIRECT($E75&amp;"[site]")=$G$2))))/
                            SUM(INDIRECT($E75&amp;"["&amp;$F75&amp;"]")*(INDIRECT($E75&amp;"[yr]")=N$5-1)*(INDIRECT($E75&amp;"[wk]")=N$6)*(INDIRECT($E75&amp;"[orders]")=$E76)*(IF($G$2=0,1,(INDIRECT($E75&amp;"[site]")=$G$2)))))-1,0)</f>
        <v>-1.1489653176045556E-2</v>
      </c>
      <c r="O76" s="50">
        <f t="array" aca="1" ref="O76" ca="1">IFERROR(O75/(SUM(INDIRECT($E75&amp;"["&amp;$F76&amp;"]")*(INDIRECT($E75&amp;"[yr]")=O$5-1)*(INDIRECT($E75&amp;"[wk]")=O$6)*(INDIRECT($E75&amp;"[orders]")=$E76)*(IF($G$2=0,1,(INDIRECT($E75&amp;"[site]")=$G$2))))/
                            SUM(INDIRECT($E75&amp;"["&amp;$F75&amp;"]")*(INDIRECT($E75&amp;"[yr]")=O$5-1)*(INDIRECT($E75&amp;"[wk]")=O$6)*(INDIRECT($E75&amp;"[orders]")=$E76)*(IF($G$2=0,1,(INDIRECT($E75&amp;"[site]")=$G$2)))))-1,0)</f>
        <v>-7.5557700952171292E-3</v>
      </c>
      <c r="P76" s="54">
        <f t="array" aca="1" ref="P76" ca="1">IFERROR(P75/(SUM(INDIRECT($E75&amp;"["&amp;$F76&amp;"]")*(INDIRECT($E75&amp;"[yr]")=P$5-1)*(INDIRECT($E75&amp;"[wk]")=P$6)*(INDIRECT($E75&amp;"[orders]")=$E76)*(IF($G$2=0,1,(INDIRECT($E75&amp;"[site]")=$G$2))))/
                            SUM(INDIRECT($E75&amp;"["&amp;$F75&amp;"]")*(INDIRECT($E75&amp;"[yr]")=P$5-1)*(INDIRECT($E75&amp;"[wk]")=P$6)*(INDIRECT($E75&amp;"[orders]")=$E76)*(IF($G$2=0,1,(INDIRECT($E75&amp;"[site]")=$G$2)))))-1,0)</f>
        <v>-1.131138760536643E-2</v>
      </c>
      <c r="Q76" s="50">
        <f t="array" aca="1" ref="Q76" ca="1">IFERROR(Q75/(SUM(INDIRECT($E75&amp;"["&amp;$F76&amp;"]")*(INDIRECT($E75&amp;"[yr]")=Q$5-1)*(INDIRECT($E75&amp;"[wk]")=Q$6)*(INDIRECT($E75&amp;"[orders]")=$E76)*(IF($G$2=0,1,(INDIRECT($E75&amp;"[site]")=$G$2))))/
                            SUM(INDIRECT($E75&amp;"["&amp;$F75&amp;"]")*(INDIRECT($E75&amp;"[yr]")=Q$5-1)*(INDIRECT($E75&amp;"[wk]")=Q$6)*(INDIRECT($E75&amp;"[orders]")=$E76)*(IF($G$2=0,1,(INDIRECT($E75&amp;"[site]")=$G$2)))))-1,0)</f>
        <v>2.7965035271890759E-3</v>
      </c>
      <c r="R76" s="50">
        <f t="array" aca="1" ref="R76" ca="1">IFERROR(R75/(SUM(INDIRECT($E75&amp;"["&amp;$F76&amp;"]")*(INDIRECT($E75&amp;"[yr]")=R$5-1)*(INDIRECT($E75&amp;"[wk]")=R$6)*(INDIRECT($E75&amp;"[orders]")=$E76)*(IF($G$2=0,1,(INDIRECT($E75&amp;"[site]")=$G$2))))/
                            SUM(INDIRECT($E75&amp;"["&amp;$F75&amp;"]")*(INDIRECT($E75&amp;"[yr]")=R$5-1)*(INDIRECT($E75&amp;"[wk]")=R$6)*(INDIRECT($E75&amp;"[orders]")=$E76)*(IF($G$2=0,1,(INDIRECT($E75&amp;"[site]")=$G$2)))))-1,0)</f>
        <v>7.171866975135277E-4</v>
      </c>
      <c r="S76" s="50">
        <f t="array" aca="1" ref="S76" ca="1">IFERROR(S75/(SUM(INDIRECT($E75&amp;"["&amp;$F76&amp;"]")*(INDIRECT($E75&amp;"[yr]")=S$5-1)*(INDIRECT($E75&amp;"[wk]")=S$6)*(INDIRECT($E75&amp;"[orders]")=$E76)*(IF($G$2=0,1,(INDIRECT($E75&amp;"[site]")=$G$2))))/
                            SUM(INDIRECT($E75&amp;"["&amp;$F75&amp;"]")*(INDIRECT($E75&amp;"[yr]")=S$5-1)*(INDIRECT($E75&amp;"[wk]")=S$6)*(INDIRECT($E75&amp;"[orders]")=$E76)*(IF($G$2=0,1,(INDIRECT($E75&amp;"[site]")=$G$2)))))-1,0)</f>
        <v>-2.3940749118149807E-3</v>
      </c>
      <c r="T76" s="52">
        <f t="array" aca="1" ref="T76" ca="1">IFERROR(T75/(SUM(INDIRECT($E75&amp;"["&amp;$F76&amp;"]")*(INDIRECT($E75&amp;"[yr]")=T$5-1)*(INDIRECT($E75&amp;"[wk]")=T$6)*(INDIRECT($E75&amp;"[orders]")=$E76)*(IF($G$2=0,1,(INDIRECT($E75&amp;"[site]")=$G$2))))/
                            SUM(INDIRECT($E75&amp;"["&amp;$F75&amp;"]")*(INDIRECT($E75&amp;"[yr]")=T$5-1)*(INDIRECT($E75&amp;"[wk]")=T$6)*(INDIRECT($E75&amp;"[orders]")=$E76)*(IF($G$2=0,1,(INDIRECT($E75&amp;"[site]")=$G$2)))))-1,0)</f>
        <v>-8.4512177270308353E-3</v>
      </c>
      <c r="U76" s="53">
        <f t="array" aca="1" ref="U76" ca="1">SUMPRODUCT(Q76:T76,$Q$69:$T$69)/SUM($Q$69:$T$69)</f>
        <v>-1.763125055075131E-3</v>
      </c>
      <c r="V76" s="54"/>
      <c r="W76" s="55"/>
      <c r="X76" s="56"/>
    </row>
    <row r="77" spans="2:24" ht="3" customHeight="1" x14ac:dyDescent="0.4">
      <c r="B77" s="329"/>
      <c r="D77" s="61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61"/>
      <c r="Q77" s="57"/>
      <c r="R77" s="57"/>
      <c r="S77" s="57"/>
      <c r="T77" s="59"/>
      <c r="U77" s="60"/>
      <c r="V77" s="61"/>
      <c r="W77" s="62"/>
      <c r="X77" s="61"/>
    </row>
    <row r="78" spans="2:24" ht="14.15" customHeight="1" x14ac:dyDescent="0.4">
      <c r="B78" s="329"/>
      <c r="D78" s="203" t="s">
        <v>340</v>
      </c>
      <c r="E78" t="s">
        <v>318</v>
      </c>
      <c r="F78" t="s">
        <v>319</v>
      </c>
      <c r="I78" s="246">
        <f t="array" aca="1" ref="I78" ca="1">SUM(INDIRECT($E78&amp;"["&amp;$F78&amp;"]")*(INDIRECT($E78&amp;"[yr]")=I$5)*(INDIRECT($E78&amp;"[wk]")=I$6)*(INDIRECT($E78&amp;"[site]")=$G$2))/1000</f>
        <v>16.334</v>
      </c>
      <c r="J78" s="246">
        <f t="array" aca="1" ref="J78" ca="1">SUM(INDIRECT($E78&amp;"["&amp;$F78&amp;"]")*(INDIRECT($E78&amp;"[yr]")=J$5)*(INDIRECT($E78&amp;"[wk]")=J$6)*(INDIRECT($E78&amp;"[site]")=$G$2))/1000</f>
        <v>16.242999999999999</v>
      </c>
      <c r="K78" s="246">
        <f t="array" aca="1" ref="K78" ca="1">SUM(INDIRECT($E78&amp;"["&amp;$F78&amp;"]")*(INDIRECT($E78&amp;"[yr]")=K$5)*(INDIRECT($E78&amp;"[wk]")=K$6)*(INDIRECT($E78&amp;"[site]")=$G$2))/1000</f>
        <v>16.335000000000001</v>
      </c>
      <c r="L78" s="246">
        <f t="array" aca="1" ref="L78" ca="1">SUM(INDIRECT($E78&amp;"["&amp;$F78&amp;"]")*(INDIRECT($E78&amp;"[yr]")=L$5)*(INDIRECT($E78&amp;"[wk]")=L$6)*(INDIRECT($E78&amp;"[site]")=$G$2))/1000</f>
        <v>13.112</v>
      </c>
      <c r="M78" s="246">
        <f t="array" aca="1" ref="M78" ca="1">SUM(INDIRECT($E78&amp;"["&amp;$F78&amp;"]")*(INDIRECT($E78&amp;"[yr]")=M$5)*(INDIRECT($E78&amp;"[wk]")=M$6)*(INDIRECT($E78&amp;"[site]")=$G$2))/1000</f>
        <v>12.842000000000001</v>
      </c>
      <c r="N78" s="246">
        <f t="array" aca="1" ref="N78" ca="1">SUM(INDIRECT($E78&amp;"["&amp;$F78&amp;"]")*(INDIRECT($E78&amp;"[yr]")=N$5)*(INDIRECT($E78&amp;"[wk]")=N$6)*(INDIRECT($E78&amp;"[site]")=$G$2))/1000</f>
        <v>15.382</v>
      </c>
      <c r="O78" s="246">
        <f t="array" aca="1" ref="O78" ca="1">SUM(INDIRECT($E78&amp;"["&amp;$F78&amp;"]")*(INDIRECT($E78&amp;"[yr]")=O$5)*(INDIRECT($E78&amp;"[wk]")=O$6)*(INDIRECT($E78&amp;"[site]")=$G$2))/1000</f>
        <v>16.486000000000001</v>
      </c>
      <c r="P78" s="248">
        <f t="array" aca="1" ref="P78" ca="1">SUM(INDIRECT($E78&amp;"["&amp;$F78&amp;"]")*(INDIRECT($E78&amp;"[yr]")=P$5)*(INDIRECT($E78&amp;"[wk]")=P$6)*(INDIRECT($E78&amp;"[site]")=$G$2))/1000</f>
        <v>17.152999999999999</v>
      </c>
      <c r="Q78" s="246">
        <f t="array" aca="1" ref="Q78" ca="1">SUM(INDIRECT($E78&amp;"["&amp;$F78&amp;"]")*(INDIRECT($E78&amp;"[yr]")=Q$5)*(INDIRECT($E78&amp;"[wk]")=Q$6)*(INDIRECT($E78&amp;"[site]")=$G$2))/1000</f>
        <v>16.914000000000001</v>
      </c>
      <c r="R78" s="246">
        <f t="array" aca="1" ref="R78" ca="1">SUM(INDIRECT($E78&amp;"["&amp;$F78&amp;"]")*(INDIRECT($E78&amp;"[yr]")=R$5)*(INDIRECT($E78&amp;"[wk]")=R$6)*(INDIRECT($E78&amp;"[site]")=$G$2))/1000</f>
        <v>18.309999999999999</v>
      </c>
      <c r="S78" s="246">
        <f t="array" aca="1" ref="S78" ca="1">SUM(INDIRECT($E78&amp;"["&amp;$F78&amp;"]")*(INDIRECT($E78&amp;"[yr]")=S$5)*(INDIRECT($E78&amp;"[wk]")=S$6)*(INDIRECT($E78&amp;"[site]")=$G$2))/1000</f>
        <v>15.022</v>
      </c>
      <c r="T78" s="120">
        <f t="array" aca="1" ref="T78" ca="1">SUM(INDIRECT($E78&amp;"["&amp;$F78&amp;"]")*(INDIRECT($E78&amp;"[yr]")=T$5)*(INDIRECT($E78&amp;"[wk]")=T$6)*(INDIRECT($E78&amp;"[site]")=$G$2))/1000</f>
        <v>19.684999999999999</v>
      </c>
      <c r="U78" s="196">
        <f ca="1">AVERAGE(Q78:T78)</f>
        <v>17.482749999999999</v>
      </c>
      <c r="V78" s="49">
        <f t="array" aca="1" ref="V78" ca="1">SUM(T78/S78)-1</f>
        <v>0.31041139661829309</v>
      </c>
      <c r="W78" s="127"/>
      <c r="X78" s="49"/>
    </row>
    <row r="79" spans="2:24" ht="14.15" customHeight="1" x14ac:dyDescent="0.4">
      <c r="B79" s="329"/>
      <c r="D79" s="204" t="s">
        <v>67</v>
      </c>
      <c r="I79" s="74">
        <f t="array" aca="1" ref="I79" ca="1">IFERROR(I78/(SUM(INDIRECT($E78&amp;"["&amp;$F78&amp;"]")*(INDIRECT($E78&amp;"[yr]")=I$5-1)*(INDIRECT($E78&amp;"[wk]")=I$6)*(INDIRECT($E78&amp;"[site]")=$G$2))/1000)-1, 0)</f>
        <v>0.36321148389250557</v>
      </c>
      <c r="J79" s="74">
        <f t="array" aca="1" ref="J79" ca="1">IFERROR(J78/(SUM(INDIRECT($E78&amp;"["&amp;$F78&amp;"]")*(INDIRECT($E78&amp;"[yr]")=J$5-1)*(INDIRECT($E78&amp;"[wk]")=J$6)*(INDIRECT($E78&amp;"[site]")=$G$2))/1000)-1, 0)</f>
        <v>0.37897953985907118</v>
      </c>
      <c r="K79" s="74">
        <f t="array" aca="1" ref="K79" ca="1">IFERROR(K78/(SUM(INDIRECT($E78&amp;"["&amp;$F78&amp;"]")*(INDIRECT($E78&amp;"[yr]")=K$5-1)*(INDIRECT($E78&amp;"[wk]")=K$6)*(INDIRECT($E78&amp;"[site]")=$G$2))/1000)-1, 0)</f>
        <v>0.41747657063519639</v>
      </c>
      <c r="L79" s="74">
        <f t="array" aca="1" ref="L79" ca="1">IFERROR(L78/(SUM(INDIRECT($E78&amp;"["&amp;$F78&amp;"]")*(INDIRECT($E78&amp;"[yr]")=L$5-1)*(INDIRECT($E78&amp;"[wk]")=L$6)*(INDIRECT($E78&amp;"[site]")=$G$2))/1000)-1, 0)</f>
        <v>0.14625404318559321</v>
      </c>
      <c r="M79" s="74">
        <f t="array" aca="1" ref="M79" ca="1">IFERROR(M78/(SUM(INDIRECT($E78&amp;"["&amp;$F78&amp;"]")*(INDIRECT($E78&amp;"[yr]")=M$5-1)*(INDIRECT($E78&amp;"[wk]")=M$6)*(INDIRECT($E78&amp;"[site]")=$G$2))/1000)-1, 0)</f>
        <v>0.11195774525932989</v>
      </c>
      <c r="N79" s="74">
        <f t="array" aca="1" ref="N79" ca="1">IFERROR(N78/(SUM(INDIRECT($E78&amp;"["&amp;$F78&amp;"]")*(INDIRECT($E78&amp;"[yr]")=N$5-1)*(INDIRECT($E78&amp;"[wk]")=N$6)*(INDIRECT($E78&amp;"[site]")=$G$2))/1000)-1, 0)</f>
        <v>0.36583200142070682</v>
      </c>
      <c r="O79" s="74">
        <f t="array" aca="1" ref="O79" ca="1">IFERROR(O78/(SUM(INDIRECT($E78&amp;"["&amp;$F78&amp;"]")*(INDIRECT($E78&amp;"[yr]")=O$5-1)*(INDIRECT($E78&amp;"[wk]")=O$6)*(INDIRECT($E78&amp;"[site]")=$G$2))/1000)-1, 0)</f>
        <v>0.27128315854410867</v>
      </c>
      <c r="P79" s="91">
        <f t="array" aca="1" ref="P79" ca="1">IFERROR(P78/(SUM(INDIRECT($E78&amp;"["&amp;$F78&amp;"]")*(INDIRECT($E78&amp;"[yr]")=P$5-1)*(INDIRECT($E78&amp;"[wk]")=P$6)*(INDIRECT($E78&amp;"[site]")=$G$2))/1000)-1, 0)</f>
        <v>0.46182035111641384</v>
      </c>
      <c r="Q79" s="74">
        <f t="array" aca="1" ref="Q79" ca="1">IFERROR(Q78/(SUM(INDIRECT($E78&amp;"["&amp;$F78&amp;"]")*(INDIRECT($E78&amp;"[yr]")=Q$5-1)*(INDIRECT($E78&amp;"[wk]")=Q$6)*(INDIRECT($E78&amp;"[site]")=$G$2))/1000)-1, 0)</f>
        <v>0.27479650286403379</v>
      </c>
      <c r="R79" s="74">
        <f t="array" aca="1" ref="R79" ca="1">IFERROR(R78/(SUM(INDIRECT($E78&amp;"["&amp;$F78&amp;"]")*(INDIRECT($E78&amp;"[yr]")=R$5-1)*(INDIRECT($E78&amp;"[wk]")=R$6)*(INDIRECT($E78&amp;"[site]")=$G$2))/1000)-1, 0)</f>
        <v>0.16601923199388646</v>
      </c>
      <c r="S79" s="74">
        <f t="array" aca="1" ref="S79" ca="1">IFERROR(S78/(SUM(INDIRECT($E78&amp;"["&amp;$F78&amp;"]")*(INDIRECT($E78&amp;"[yr]")=S$5-1)*(INDIRECT($E78&amp;"[wk]")=S$6)*(INDIRECT($E78&amp;"[site]")=$G$2))/1000)-1, 0)</f>
        <v>1.5754953005612249E-2</v>
      </c>
      <c r="T79" s="52">
        <f t="array" aca="1" ref="T79" ca="1">IFERROR(T78/(SUM(INDIRECT($E78&amp;"["&amp;$F78&amp;"]")*(INDIRECT($E78&amp;"[yr]")=T$5-1)*(INDIRECT($E78&amp;"[wk]")=T$6)*(INDIRECT($E78&amp;"[site]")=$G$2))/1000)-1, 0)</f>
        <v>0.37244648957679694</v>
      </c>
      <c r="U79" s="53">
        <f t="array" aca="1" ref="U79" ca="1">SUMPRODUCT(Q79:T79,$Q$78:$T$78)/SUM($Q$78:$T$78)</f>
        <v>0.21815790191216891</v>
      </c>
      <c r="V79" s="54"/>
      <c r="W79" s="55"/>
      <c r="X79" s="56"/>
    </row>
    <row r="80" spans="2:24" ht="3" customHeight="1" x14ac:dyDescent="0.4">
      <c r="B80" s="329"/>
      <c r="D80" s="206"/>
      <c r="E80" s="57"/>
      <c r="F80" s="57"/>
      <c r="G80" s="57"/>
      <c r="H80" s="57"/>
      <c r="I80" s="84"/>
      <c r="J80" s="57"/>
      <c r="K80" s="57"/>
      <c r="L80" s="57"/>
      <c r="M80" s="57"/>
      <c r="N80" s="57"/>
      <c r="O80" s="57"/>
      <c r="P80" s="61"/>
      <c r="Q80" s="57"/>
      <c r="R80" s="57"/>
      <c r="S80" s="57"/>
      <c r="T80" s="59"/>
      <c r="U80" s="60"/>
      <c r="V80" s="61"/>
      <c r="W80" s="62"/>
      <c r="X80" s="61"/>
    </row>
    <row r="81" spans="2:25" ht="14.15" customHeight="1" x14ac:dyDescent="0.4">
      <c r="B81" s="329"/>
      <c r="D81" s="203" t="s">
        <v>322</v>
      </c>
      <c r="E81" t="s">
        <v>318</v>
      </c>
      <c r="F81" t="s">
        <v>319</v>
      </c>
      <c r="I81" s="244">
        <f t="array" aca="1" ref="I81" ca="1">(SUM(INDIRECT($E81&amp;"["&amp;$F81&amp;"]")*(INDIRECT($E81&amp;"[yr]")=I$5)*(INDIRECT($E81&amp;"[wk]")=I$6)*(INDIRECT($E81&amp;"[site]")=$G$2)) -
   SUM(INDIRECT($E81&amp;"["&amp;$F82&amp;"]")*(INDIRECT($E81&amp;"[yr]")=I$5)*(INDIRECT($E81&amp;"[wk]")=I$6)*(INDIRECT($E81&amp;"[site]")=$G$2))) /
  (SUM(INDIRECT($E81&amp;"["&amp;$F81&amp;"]")*(INDIRECT($E81&amp;"[yr]")=I$5)*(INDIRECT($E81&amp;"[wk]")=I$6)*(INDIRECT($E81&amp;"[site]")=$G$2)) -
   SUM(INDIRECT($E81&amp;"["&amp;$E82&amp;"]")*(INDIRECT($E81&amp;"[yr]")=I$5)*(INDIRECT($E81&amp;"[wk]")=I$6)*(INDIRECT($E81&amp;"[site]")=$G$2)))</f>
        <v>0.96680080482897379</v>
      </c>
      <c r="J81" s="244">
        <f t="array" aca="1" ref="J81" ca="1">(SUM(INDIRECT($E81&amp;"["&amp;$F81&amp;"]")*(INDIRECT($E81&amp;"[yr]")=J$5)*(INDIRECT($E81&amp;"[wk]")=J$6)*(INDIRECT($E81&amp;"[site]")=$G$2)) -
   SUM(INDIRECT($E81&amp;"["&amp;$F82&amp;"]")*(INDIRECT($E81&amp;"[yr]")=J$5)*(INDIRECT($E81&amp;"[wk]")=J$6)*(INDIRECT($E81&amp;"[site]")=$G$2))) /
  (SUM(INDIRECT($E81&amp;"["&amp;$F81&amp;"]")*(INDIRECT($E81&amp;"[yr]")=J$5)*(INDIRECT($E81&amp;"[wk]")=J$6)*(INDIRECT($E81&amp;"[site]")=$G$2)) -
   SUM(INDIRECT($E81&amp;"["&amp;$E82&amp;"]")*(INDIRECT($E81&amp;"[yr]")=J$5)*(INDIRECT($E81&amp;"[wk]")=J$6)*(INDIRECT($E81&amp;"[site]")=$G$2)))</f>
        <v>0.973536036036036</v>
      </c>
      <c r="K81" s="244">
        <f t="array" aca="1" ref="K81" ca="1">(SUM(INDIRECT($E81&amp;"["&amp;$F81&amp;"]")*(INDIRECT($E81&amp;"[yr]")=K$5)*(INDIRECT($E81&amp;"[wk]")=K$6)*(INDIRECT($E81&amp;"[site]")=$G$2)) -
   SUM(INDIRECT($E81&amp;"["&amp;$F82&amp;"]")*(INDIRECT($E81&amp;"[yr]")=K$5)*(INDIRECT($E81&amp;"[wk]")=K$6)*(INDIRECT($E81&amp;"[site]")=$G$2))) /
  (SUM(INDIRECT($E81&amp;"["&amp;$F81&amp;"]")*(INDIRECT($E81&amp;"[yr]")=K$5)*(INDIRECT($E81&amp;"[wk]")=K$6)*(INDIRECT($E81&amp;"[site]")=$G$2)) -
   SUM(INDIRECT($E81&amp;"["&amp;$E82&amp;"]")*(INDIRECT($E81&amp;"[yr]")=K$5)*(INDIRECT($E81&amp;"[wk]")=K$6)*(INDIRECT($E81&amp;"[site]")=$G$2)))</f>
        <v>0.97604990531357916</v>
      </c>
      <c r="L81" s="244">
        <f t="array" aca="1" ref="L81" ca="1">(SUM(INDIRECT($E81&amp;"["&amp;$F81&amp;"]")*(INDIRECT($E81&amp;"[yr]")=L$5)*(INDIRECT($E81&amp;"[wk]")=L$6)*(INDIRECT($E81&amp;"[site]")=$G$2)) -
   SUM(INDIRECT($E81&amp;"["&amp;$F82&amp;"]")*(INDIRECT($E81&amp;"[yr]")=L$5)*(INDIRECT($E81&amp;"[wk]")=L$6)*(INDIRECT($E81&amp;"[site]")=$G$2))) /
  (SUM(INDIRECT($E81&amp;"["&amp;$F81&amp;"]")*(INDIRECT($E81&amp;"[yr]")=L$5)*(INDIRECT($E81&amp;"[wk]")=L$6)*(INDIRECT($E81&amp;"[site]")=$G$2)) -
   SUM(INDIRECT($E81&amp;"["&amp;$E82&amp;"]")*(INDIRECT($E81&amp;"[yr]")=L$5)*(INDIRECT($E81&amp;"[wk]")=L$6)*(INDIRECT($E81&amp;"[site]")=$G$2)))</f>
        <v>0.99470235605743762</v>
      </c>
      <c r="M81" s="244">
        <f t="array" aca="1" ref="M81" ca="1">(SUM(INDIRECT($E81&amp;"["&amp;$F81&amp;"]")*(INDIRECT($E81&amp;"[yr]")=M$5)*(INDIRECT($E81&amp;"[wk]")=M$6)*(INDIRECT($E81&amp;"[site]")=$G$2)) -
   SUM(INDIRECT($E81&amp;"["&amp;$F82&amp;"]")*(INDIRECT($E81&amp;"[yr]")=M$5)*(INDIRECT($E81&amp;"[wk]")=M$6)*(INDIRECT($E81&amp;"[site]")=$G$2))) /
  (SUM(INDIRECT($E81&amp;"["&amp;$F81&amp;"]")*(INDIRECT($E81&amp;"[yr]")=M$5)*(INDIRECT($E81&amp;"[wk]")=M$6)*(INDIRECT($E81&amp;"[site]")=$G$2)) -
   SUM(INDIRECT($E81&amp;"["&amp;$E82&amp;"]")*(INDIRECT($E81&amp;"[yr]")=M$5)*(INDIRECT($E81&amp;"[wk]")=M$6)*(INDIRECT($E81&amp;"[site]")=$G$2)))</f>
        <v>0.97591220068415052</v>
      </c>
      <c r="N81" s="244">
        <f t="array" aca="1" ref="N81" ca="1">(SUM(INDIRECT($E81&amp;"["&amp;$F81&amp;"]")*(INDIRECT($E81&amp;"[yr]")=N$5)*(INDIRECT($E81&amp;"[wk]")=N$6)*(INDIRECT($E81&amp;"[site]")=$G$2)) -
   SUM(INDIRECT($E81&amp;"["&amp;$F82&amp;"]")*(INDIRECT($E81&amp;"[yr]")=N$5)*(INDIRECT($E81&amp;"[wk]")=N$6)*(INDIRECT($E81&amp;"[site]")=$G$2))) /
  (SUM(INDIRECT($E81&amp;"["&amp;$F81&amp;"]")*(INDIRECT($E81&amp;"[yr]")=N$5)*(INDIRECT($E81&amp;"[wk]")=N$6)*(INDIRECT($E81&amp;"[site]")=$G$2)) -
   SUM(INDIRECT($E81&amp;"["&amp;$E82&amp;"]")*(INDIRECT($E81&amp;"[yr]")=N$5)*(INDIRECT($E81&amp;"[wk]")=N$6)*(INDIRECT($E81&amp;"[site]")=$G$2)))</f>
        <v>0.97976190476190472</v>
      </c>
      <c r="O81" s="244">
        <f t="array" aca="1" ref="O81" ca="1">(SUM(INDIRECT($E81&amp;"["&amp;$F81&amp;"]")*(INDIRECT($E81&amp;"[yr]")=O$5)*(INDIRECT($E81&amp;"[wk]")=O$6)*(INDIRECT($E81&amp;"[site]")=$G$2)) -
   SUM(INDIRECT($E81&amp;"["&amp;$F82&amp;"]")*(INDIRECT($E81&amp;"[yr]")=O$5)*(INDIRECT($E81&amp;"[wk]")=O$6)*(INDIRECT($E81&amp;"[site]")=$G$2))) /
  (SUM(INDIRECT($E81&amp;"["&amp;$F81&amp;"]")*(INDIRECT($E81&amp;"[yr]")=O$5)*(INDIRECT($E81&amp;"[wk]")=O$6)*(INDIRECT($E81&amp;"[site]")=$G$2)) -
   SUM(INDIRECT($E81&amp;"["&amp;$E82&amp;"]")*(INDIRECT($E81&amp;"[yr]")=O$5)*(INDIRECT($E81&amp;"[wk]")=O$6)*(INDIRECT($E81&amp;"[site]")=$G$2)))</f>
        <v>0.97248418950404969</v>
      </c>
      <c r="P81" s="250">
        <f t="array" aca="1" ref="P81" ca="1">(SUM(INDIRECT($E81&amp;"["&amp;$F81&amp;"]")*(INDIRECT($E81&amp;"[yr]")=P$5)*(INDIRECT($E81&amp;"[wk]")=P$6)*(INDIRECT($E81&amp;"[site]")=$G$2)) -
   SUM(INDIRECT($E81&amp;"["&amp;$F82&amp;"]")*(INDIRECT($E81&amp;"[yr]")=P$5)*(INDIRECT($E81&amp;"[wk]")=P$6)*(INDIRECT($E81&amp;"[site]")=$G$2))) /
  (SUM(INDIRECT($E81&amp;"["&amp;$F81&amp;"]")*(INDIRECT($E81&amp;"[yr]")=P$5)*(INDIRECT($E81&amp;"[wk]")=P$6)*(INDIRECT($E81&amp;"[site]")=$G$2)) -
   SUM(INDIRECT($E81&amp;"["&amp;$E82&amp;"]")*(INDIRECT($E81&amp;"[yr]")=P$5)*(INDIRECT($E81&amp;"[wk]")=P$6)*(INDIRECT($E81&amp;"[site]")=$G$2)))</f>
        <v>0.96588964927288279</v>
      </c>
      <c r="Q81" s="244">
        <f t="array" aca="1" ref="Q81" ca="1">(SUM(INDIRECT($E81&amp;"["&amp;$F81&amp;"]")*(INDIRECT($E81&amp;"[yr]")=Q$5)*(INDIRECT($E81&amp;"[wk]")=Q$6)*(INDIRECT($E81&amp;"[site]")=$G$2)) -
   SUM(INDIRECT($E81&amp;"["&amp;$F82&amp;"]")*(INDIRECT($E81&amp;"[yr]")=Q$5)*(INDIRECT($E81&amp;"[wk]")=Q$6)*(INDIRECT($E81&amp;"[site]")=$G$2))) /
  (SUM(INDIRECT($E81&amp;"["&amp;$F81&amp;"]")*(INDIRECT($E81&amp;"[yr]")=Q$5)*(INDIRECT($E81&amp;"[wk]")=Q$6)*(INDIRECT($E81&amp;"[site]")=$G$2)) -
   SUM(INDIRECT($E81&amp;"["&amp;$E82&amp;"]")*(INDIRECT($E81&amp;"[yr]")=Q$5)*(INDIRECT($E81&amp;"[wk]")=Q$6)*(INDIRECT($E81&amp;"[site]")=$G$2)))</f>
        <v>0.97520661157024791</v>
      </c>
      <c r="R81" s="244">
        <f t="array" aca="1" ref="R81" ca="1">(SUM(INDIRECT($E81&amp;"["&amp;$F81&amp;"]")*(INDIRECT($E81&amp;"[yr]")=R$5)*(INDIRECT($E81&amp;"[wk]")=R$6)*(INDIRECT($E81&amp;"[site]")=$G$2)) -
   SUM(INDIRECT($E81&amp;"["&amp;$F82&amp;"]")*(INDIRECT($E81&amp;"[yr]")=R$5)*(INDIRECT($E81&amp;"[wk]")=R$6)*(INDIRECT($E81&amp;"[site]")=$G$2))) /
  (SUM(INDIRECT($E81&amp;"["&amp;$F81&amp;"]")*(INDIRECT($E81&amp;"[yr]")=R$5)*(INDIRECT($E81&amp;"[wk]")=R$6)*(INDIRECT($E81&amp;"[site]")=$G$2)) -
   SUM(INDIRECT($E81&amp;"["&amp;$E82&amp;"]")*(INDIRECT($E81&amp;"[yr]")=R$5)*(INDIRECT($E81&amp;"[wk]")=R$6)*(INDIRECT($E81&amp;"[site]")=$G$2)))</f>
        <v>0.97203980099502485</v>
      </c>
      <c r="S81" s="244">
        <f t="array" aca="1" ref="S81" ca="1">(SUM(INDIRECT($E81&amp;"["&amp;$F81&amp;"]")*(INDIRECT($E81&amp;"[yr]")=S$5)*(INDIRECT($E81&amp;"[wk]")=S$6)*(INDIRECT($E81&amp;"[site]")=$G$2)) -
   SUM(INDIRECT($E81&amp;"["&amp;$F82&amp;"]")*(INDIRECT($E81&amp;"[yr]")=S$5)*(INDIRECT($E81&amp;"[wk]")=S$6)*(INDIRECT($E81&amp;"[site]")=$G$2))) /
  (SUM(INDIRECT($E81&amp;"["&amp;$F81&amp;"]")*(INDIRECT($E81&amp;"[yr]")=S$5)*(INDIRECT($E81&amp;"[wk]")=S$6)*(INDIRECT($E81&amp;"[site]")=$G$2)) -
   SUM(INDIRECT($E81&amp;"["&amp;$E82&amp;"]")*(INDIRECT($E81&amp;"[yr]")=S$5)*(INDIRECT($E81&amp;"[wk]")=S$6)*(INDIRECT($E81&amp;"[site]")=$G$2)))</f>
        <v>0.98125529084532592</v>
      </c>
      <c r="T81" s="241">
        <f t="array" aca="1" ref="T81" ca="1">(SUM(INDIRECT($E81&amp;"["&amp;$F81&amp;"]")*(INDIRECT($E81&amp;"[yr]")=T$5)*(INDIRECT($E81&amp;"[wk]")=T$6)*(INDIRECT($E81&amp;"[site]")=$G$2)) -
   SUM(INDIRECT($E81&amp;"["&amp;$F82&amp;"]")*(INDIRECT($E81&amp;"[yr]")=T$5)*(INDIRECT($E81&amp;"[wk]")=T$6)*(INDIRECT($E81&amp;"[site]")=$G$2))) /
  (SUM(INDIRECT($E81&amp;"["&amp;$F81&amp;"]")*(INDIRECT($E81&amp;"[yr]")=T$5)*(INDIRECT($E81&amp;"[wk]")=T$6)*(INDIRECT($E81&amp;"[site]")=$G$2)) -
   SUM(INDIRECT($E81&amp;"["&amp;$E82&amp;"]")*(INDIRECT($E81&amp;"[yr]")=T$5)*(INDIRECT($E81&amp;"[wk]")=T$6)*(INDIRECT($E81&amp;"[site]")=$G$2)))</f>
        <v>0.97673145359978097</v>
      </c>
      <c r="U81" s="245">
        <f ca="1">AVERAGE(Q81:T81)</f>
        <v>0.97630828925259494</v>
      </c>
      <c r="V81" s="49">
        <f t="array" aca="1" ref="V81" ca="1">SUM(T81/S81)-1</f>
        <v>-4.6102551372210199E-3</v>
      </c>
      <c r="W81" s="251">
        <v>0.9</v>
      </c>
      <c r="X81" s="49"/>
    </row>
    <row r="82" spans="2:25" ht="14.15" customHeight="1" x14ac:dyDescent="0.4">
      <c r="B82" s="329"/>
      <c r="D82" s="202" t="s">
        <v>67</v>
      </c>
      <c r="E82" s="40" t="s">
        <v>320</v>
      </c>
      <c r="F82" s="40" t="s">
        <v>321</v>
      </c>
      <c r="G82" s="40"/>
      <c r="H82" s="40"/>
      <c r="I82" s="50">
        <f t="array" aca="1" ref="I82" ca="1">IFERROR(I81/((SUM(INDIRECT($E81&amp;"["&amp;$F81&amp;"]")*(INDIRECT($E81&amp;"[yr]")=I$5-1)*(INDIRECT($E81&amp;"[wk]")=I$6)*(INDIRECT($E81&amp;"[site]")=$G$2))-
SUM(INDIRECT($E81&amp;"["&amp;$F82&amp;"]")*(INDIRECT($E81&amp;"[yr]")=I$5-1)*(INDIRECT($E81&amp;"[wk]")=I$6)*(INDIRECT($E81&amp;"[site]")=$G$2)))/
(SUM(INDIRECT($E81&amp;"["&amp;$F81&amp;"]")*(INDIRECT($E81&amp;"[yr]")=I$5-1)*(INDIRECT($E81&amp;"[wk]")=I$6)*(INDIRECT($E81&amp;"[site]")=$G$2))-
SUM(INDIRECT($E81&amp;"["&amp;$E82&amp;"]")*(INDIRECT($E81&amp;"[yr]")=I$5-1)*(INDIRECT($E81&amp;"[wk]")=I$6)*(INDIRECT($E81&amp;"[site]")=$G$2))))-1,0)</f>
        <v>2.9698819035195889E-2</v>
      </c>
      <c r="J82" s="50">
        <f t="array" aca="1" ref="J82" ca="1">IFERROR(J81/((SUM(INDIRECT($E81&amp;"["&amp;$F81&amp;"]")*(INDIRECT($E81&amp;"[yr]")=J$5-1)*(INDIRECT($E81&amp;"[wk]")=J$6)*(INDIRECT($E81&amp;"[site]")=$G$2))-
SUM(INDIRECT($E81&amp;"["&amp;$F82&amp;"]")*(INDIRECT($E81&amp;"[yr]")=J$5-1)*(INDIRECT($E81&amp;"[wk]")=J$6)*(INDIRECT($E81&amp;"[site]")=$G$2)))/
(SUM(INDIRECT($E81&amp;"["&amp;$F81&amp;"]")*(INDIRECT($E81&amp;"[yr]")=J$5-1)*(INDIRECT($E81&amp;"[wk]")=J$6)*(INDIRECT($E81&amp;"[site]")=$G$2))-
SUM(INDIRECT($E81&amp;"["&amp;$E82&amp;"]")*(INDIRECT($E81&amp;"[yr]")=J$5-1)*(INDIRECT($E81&amp;"[wk]")=J$6)*(INDIRECT($E81&amp;"[site]")=$G$2))))-1,0)</f>
        <v>3.2903875615823974E-2</v>
      </c>
      <c r="K82" s="50">
        <f t="array" aca="1" ref="K82" ca="1">IFERROR(K81/((SUM(INDIRECT($E81&amp;"["&amp;$F81&amp;"]")*(INDIRECT($E81&amp;"[yr]")=K$5-1)*(INDIRECT($E81&amp;"[wk]")=K$6)*(INDIRECT($E81&amp;"[site]")=$G$2))-
SUM(INDIRECT($E81&amp;"["&amp;$F82&amp;"]")*(INDIRECT($E81&amp;"[yr]")=K$5-1)*(INDIRECT($E81&amp;"[wk]")=K$6)*(INDIRECT($E81&amp;"[site]")=$G$2)))/
(SUM(INDIRECT($E81&amp;"["&amp;$F81&amp;"]")*(INDIRECT($E81&amp;"[yr]")=K$5-1)*(INDIRECT($E81&amp;"[wk]")=K$6)*(INDIRECT($E81&amp;"[site]")=$G$2))-
SUM(INDIRECT($E81&amp;"["&amp;$E82&amp;"]")*(INDIRECT($E81&amp;"[yr]")=K$5-1)*(INDIRECT($E81&amp;"[wk]")=K$6)*(INDIRECT($E81&amp;"[site]")=$G$2))))-1,0)</f>
        <v>2.3678008981955712E-2</v>
      </c>
      <c r="L82" s="50">
        <f t="array" aca="1" ref="L82" ca="1">IFERROR(L81/((SUM(INDIRECT($E81&amp;"["&amp;$F81&amp;"]")*(INDIRECT($E81&amp;"[yr]")=L$5-1)*(INDIRECT($E81&amp;"[wk]")=L$6)*(INDIRECT($E81&amp;"[site]")=$G$2))-
SUM(INDIRECT($E81&amp;"["&amp;$F82&amp;"]")*(INDIRECT($E81&amp;"[yr]")=L$5-1)*(INDIRECT($E81&amp;"[wk]")=L$6)*(INDIRECT($E81&amp;"[site]")=$G$2)))/
(SUM(INDIRECT($E81&amp;"["&amp;$F81&amp;"]")*(INDIRECT($E81&amp;"[yr]")=L$5-1)*(INDIRECT($E81&amp;"[wk]")=L$6)*(INDIRECT($E81&amp;"[site]")=$G$2))-
SUM(INDIRECT($E81&amp;"["&amp;$E82&amp;"]")*(INDIRECT($E81&amp;"[yr]")=L$5-1)*(INDIRECT($E81&amp;"[wk]")=L$6)*(INDIRECT($E81&amp;"[site]")=$G$2))))-1,0)</f>
        <v>6.0981943858810839E-2</v>
      </c>
      <c r="M82" s="50">
        <f t="array" aca="1" ref="M82" ca="1">IFERROR(M81/((SUM(INDIRECT($E81&amp;"["&amp;$F81&amp;"]")*(INDIRECT($E81&amp;"[yr]")=M$5-1)*(INDIRECT($E81&amp;"[wk]")=M$6)*(INDIRECT($E81&amp;"[site]")=$G$2))-
SUM(INDIRECT($E81&amp;"["&amp;$F82&amp;"]")*(INDIRECT($E81&amp;"[yr]")=M$5-1)*(INDIRECT($E81&amp;"[wk]")=M$6)*(INDIRECT($E81&amp;"[site]")=$G$2)))/
(SUM(INDIRECT($E81&amp;"["&amp;$F81&amp;"]")*(INDIRECT($E81&amp;"[yr]")=M$5-1)*(INDIRECT($E81&amp;"[wk]")=M$6)*(INDIRECT($E81&amp;"[site]")=$G$2))-
SUM(INDIRECT($E81&amp;"["&amp;$E82&amp;"]")*(INDIRECT($E81&amp;"[yr]")=M$5-1)*(INDIRECT($E81&amp;"[wk]")=M$6)*(INDIRECT($E81&amp;"[site]")=$G$2))))-1,0)</f>
        <v>3.7880084416488602E-2</v>
      </c>
      <c r="N82" s="50">
        <f t="array" aca="1" ref="N82" ca="1">IFERROR(N81/((SUM(INDIRECT($E81&amp;"["&amp;$F81&amp;"]")*(INDIRECT($E81&amp;"[yr]")=N$5-1)*(INDIRECT($E81&amp;"[wk]")=N$6)*(INDIRECT($E81&amp;"[site]")=$G$2))-
SUM(INDIRECT($E81&amp;"["&amp;$F82&amp;"]")*(INDIRECT($E81&amp;"[yr]")=N$5-1)*(INDIRECT($E81&amp;"[wk]")=N$6)*(INDIRECT($E81&amp;"[site]")=$G$2)))/
(SUM(INDIRECT($E81&amp;"["&amp;$F81&amp;"]")*(INDIRECT($E81&amp;"[yr]")=N$5-1)*(INDIRECT($E81&amp;"[wk]")=N$6)*(INDIRECT($E81&amp;"[site]")=$G$2))-
SUM(INDIRECT($E81&amp;"["&amp;$E82&amp;"]")*(INDIRECT($E81&amp;"[yr]")=N$5-1)*(INDIRECT($E81&amp;"[wk]")=N$6)*(INDIRECT($E81&amp;"[site]")=$G$2))))-1,0)</f>
        <v>1.9992074220698708E-2</v>
      </c>
      <c r="O82" s="50">
        <f t="array" aca="1" ref="O82" ca="1">IFERROR(O81/((SUM(INDIRECT($E81&amp;"["&amp;$F81&amp;"]")*(INDIRECT($E81&amp;"[yr]")=O$5-1)*(INDIRECT($E81&amp;"[wk]")=O$6)*(INDIRECT($E81&amp;"[site]")=$G$2))-
SUM(INDIRECT($E81&amp;"["&amp;$F82&amp;"]")*(INDIRECT($E81&amp;"[yr]")=O$5-1)*(INDIRECT($E81&amp;"[wk]")=O$6)*(INDIRECT($E81&amp;"[site]")=$G$2)))/
(SUM(INDIRECT($E81&amp;"["&amp;$F81&amp;"]")*(INDIRECT($E81&amp;"[yr]")=O$5-1)*(INDIRECT($E81&amp;"[wk]")=O$6)*(INDIRECT($E81&amp;"[site]")=$G$2))-
SUM(INDIRECT($E81&amp;"["&amp;$E82&amp;"]")*(INDIRECT($E81&amp;"[yr]")=O$5-1)*(INDIRECT($E81&amp;"[wk]")=O$6)*(INDIRECT($E81&amp;"[site]")=$G$2))))-1,0)</f>
        <v>5.4786304509094164E-2</v>
      </c>
      <c r="P82" s="54">
        <f t="array" aca="1" ref="P82" ca="1">IFERROR(P81/((SUM(INDIRECT($E81&amp;"["&amp;$F81&amp;"]")*(INDIRECT($E81&amp;"[yr]")=P$5-1)*(INDIRECT($E81&amp;"[wk]")=P$6)*(INDIRECT($E81&amp;"[site]")=$G$2))-
SUM(INDIRECT($E81&amp;"["&amp;$F82&amp;"]")*(INDIRECT($E81&amp;"[yr]")=P$5-1)*(INDIRECT($E81&amp;"[wk]")=P$6)*(INDIRECT($E81&amp;"[site]")=$G$2)))/
(SUM(INDIRECT($E81&amp;"["&amp;$F81&amp;"]")*(INDIRECT($E81&amp;"[yr]")=P$5-1)*(INDIRECT($E81&amp;"[wk]")=P$6)*(INDIRECT($E81&amp;"[site]")=$G$2))-
SUM(INDIRECT($E81&amp;"["&amp;$E82&amp;"]")*(INDIRECT($E81&amp;"[yr]")=P$5-1)*(INDIRECT($E81&amp;"[wk]")=P$6)*(INDIRECT($E81&amp;"[site]")=$G$2))))-1,0)</f>
        <v>5.3817776183633592E-2</v>
      </c>
      <c r="Q82" s="50">
        <f t="array" aca="1" ref="Q82" ca="1">IFERROR(Q81/((SUM(INDIRECT($E81&amp;"["&amp;$F81&amp;"]")*(INDIRECT($E81&amp;"[yr]")=Q$5-1)*(INDIRECT($E81&amp;"[wk]")=Q$6)*(INDIRECT($E81&amp;"[site]")=$G$2))-
SUM(INDIRECT($E81&amp;"["&amp;$F82&amp;"]")*(INDIRECT($E81&amp;"[yr]")=Q$5-1)*(INDIRECT($E81&amp;"[wk]")=Q$6)*(INDIRECT($E81&amp;"[site]")=$G$2)))/
(SUM(INDIRECT($E81&amp;"["&amp;$F81&amp;"]")*(INDIRECT($E81&amp;"[yr]")=Q$5-1)*(INDIRECT($E81&amp;"[wk]")=Q$6)*(INDIRECT($E81&amp;"[site]")=$G$2))-
SUM(INDIRECT($E81&amp;"["&amp;$E82&amp;"]")*(INDIRECT($E81&amp;"[yr]")=Q$5-1)*(INDIRECT($E81&amp;"[wk]")=Q$6)*(INDIRECT($E81&amp;"[site]")=$G$2))))-1,0)</f>
        <v>5.8644388657969282E-2</v>
      </c>
      <c r="R82" s="50">
        <f t="array" aca="1" ref="R82" ca="1">IFERROR(R81/((SUM(INDIRECT($E81&amp;"["&amp;$F81&amp;"]")*(INDIRECT($E81&amp;"[yr]")=R$5-1)*(INDIRECT($E81&amp;"[wk]")=R$6)*(INDIRECT($E81&amp;"[site]")=$G$2))-
SUM(INDIRECT($E81&amp;"["&amp;$F82&amp;"]")*(INDIRECT($E81&amp;"[yr]")=R$5-1)*(INDIRECT($E81&amp;"[wk]")=R$6)*(INDIRECT($E81&amp;"[site]")=$G$2)))/
(SUM(INDIRECT($E81&amp;"["&amp;$F81&amp;"]")*(INDIRECT($E81&amp;"[yr]")=R$5-1)*(INDIRECT($E81&amp;"[wk]")=R$6)*(INDIRECT($E81&amp;"[site]")=$G$2))-
SUM(INDIRECT($E81&amp;"["&amp;$E82&amp;"]")*(INDIRECT($E81&amp;"[yr]")=R$5-1)*(INDIRECT($E81&amp;"[wk]")=R$6)*(INDIRECT($E81&amp;"[site]")=$G$2))))-1,0)</f>
        <v>6.7843003203232444E-2</v>
      </c>
      <c r="S82" s="50">
        <f t="array" aca="1" ref="S82" ca="1">IFERROR(S81/((SUM(INDIRECT($E81&amp;"["&amp;$F81&amp;"]")*(INDIRECT($E81&amp;"[yr]")=S$5-1)*(INDIRECT($E81&amp;"[wk]")=S$6)*(INDIRECT($E81&amp;"[site]")=$G$2))-
SUM(INDIRECT($E81&amp;"["&amp;$F82&amp;"]")*(INDIRECT($E81&amp;"[yr]")=S$5-1)*(INDIRECT($E81&amp;"[wk]")=S$6)*(INDIRECT($E81&amp;"[site]")=$G$2)))/
(SUM(INDIRECT($E81&amp;"["&amp;$F81&amp;"]")*(INDIRECT($E81&amp;"[yr]")=S$5-1)*(INDIRECT($E81&amp;"[wk]")=S$6)*(INDIRECT($E81&amp;"[site]")=$G$2))-
SUM(INDIRECT($E81&amp;"["&amp;$E82&amp;"]")*(INDIRECT($E81&amp;"[yr]")=S$5-1)*(INDIRECT($E81&amp;"[wk]")=S$6)*(INDIRECT($E81&amp;"[site]")=$G$2))))-1,0)</f>
        <v>9.9450702907136979E-2</v>
      </c>
      <c r="T82" s="52">
        <f t="array" aca="1" ref="T82" ca="1">IFERROR(T81/((SUM(INDIRECT($E81&amp;"["&amp;$F81&amp;"]")*(INDIRECT($E81&amp;"[yr]")=T$5-1)*(INDIRECT($E81&amp;"[wk]")=T$6)*(INDIRECT($E81&amp;"[site]")=$G$2))-
SUM(INDIRECT($E81&amp;"["&amp;$F82&amp;"]")*(INDIRECT($E81&amp;"[yr]")=T$5-1)*(INDIRECT($E81&amp;"[wk]")=T$6)*(INDIRECT($E81&amp;"[site]")=$G$2)))/
(SUM(INDIRECT($E81&amp;"["&amp;$F81&amp;"]")*(INDIRECT($E81&amp;"[yr]")=T$5-1)*(INDIRECT($E81&amp;"[wk]")=T$6)*(INDIRECT($E81&amp;"[site]")=$G$2))-
SUM(INDIRECT($E81&amp;"["&amp;$E82&amp;"]")*(INDIRECT($E81&amp;"[yr]")=T$5-1)*(INDIRECT($E81&amp;"[wk]")=T$6)*(INDIRECT($E81&amp;"[site]")=$G$2))))-1,0)</f>
        <v>2.849980538603214E-2</v>
      </c>
      <c r="U82" s="53"/>
      <c r="V82" s="54"/>
      <c r="W82" s="55"/>
      <c r="X82" s="56"/>
    </row>
    <row r="83" spans="2:25" ht="3" customHeight="1" x14ac:dyDescent="0.4">
      <c r="B83" s="329"/>
      <c r="D83" s="78"/>
      <c r="P83" s="231"/>
      <c r="T83" s="175"/>
      <c r="U83" s="230"/>
      <c r="V83" s="78"/>
      <c r="W83" s="80"/>
      <c r="X83" s="78"/>
    </row>
    <row r="84" spans="2:25" ht="14.15" customHeight="1" x14ac:dyDescent="0.4">
      <c r="B84" s="329"/>
      <c r="D84" s="201" t="s">
        <v>424</v>
      </c>
      <c r="E84" s="63" t="s">
        <v>399</v>
      </c>
      <c r="F84" s="63" t="s">
        <v>57</v>
      </c>
      <c r="G84" s="63"/>
      <c r="H84" s="63"/>
      <c r="I84" s="128" t="e">
        <f t="array" aca="1" ref="I84" ca="1">IF($G$2=0,
(SUM(INDIRECT($E84&amp;"["&amp;$F84&amp;"]")*(INDIRECT($E84&amp;"[yr]")=I$5)*(INDIRECT($E84&amp;"[wk]")=I$6))/
SUM(INDIRECT($E84&amp;"["&amp;$E85&amp;"]")*(INDIRECT($E84&amp;"[yr]")=I$5)*(INDIRECT($E84&amp;"[wk]")=I$6))),
(SUM(INDIRECT($E84&amp;"["&amp;$F84&amp;"]")*(INDIRECT($E84&amp;"[yr]")=I$5)*(INDIRECT($E84&amp;"[wk]")=I$6)*(INDIRECT($E84&amp;"[site]")=$G$2))/
SUM(INDIRECT($E84&amp;"["&amp;$E85&amp;"]")*(INDIRECT($E84&amp;"[yr]")=I$5)*(INDIRECT($E84&amp;"[wk]")=I$6)*(INDIRECT($E84&amp;"[site]")=$G$2))) )</f>
        <v>#REF!</v>
      </c>
      <c r="J84" s="128" t="e">
        <f t="array" aca="1" ref="J84" ca="1">IF($G$2=0,
(SUM(INDIRECT($E84&amp;"["&amp;$F84&amp;"]")*(INDIRECT($E84&amp;"[yr]")=J$5)*(INDIRECT($E84&amp;"[wk]")=J$6))/
SUM(INDIRECT($E84&amp;"["&amp;$E85&amp;"]")*(INDIRECT($E84&amp;"[yr]")=J$5)*(INDIRECT($E84&amp;"[wk]")=J$6))),
(SUM(INDIRECT($E84&amp;"["&amp;$F84&amp;"]")*(INDIRECT($E84&amp;"[yr]")=J$5)*(INDIRECT($E84&amp;"[wk]")=J$6)*(INDIRECT($E84&amp;"[site]")=$G$2))/
SUM(INDIRECT($E84&amp;"["&amp;$E85&amp;"]")*(INDIRECT($E84&amp;"[yr]")=J$5)*(INDIRECT($E84&amp;"[wk]")=J$6)*(INDIRECT($E84&amp;"[site]")=$G$2))) )</f>
        <v>#REF!</v>
      </c>
      <c r="K84" s="128" t="e">
        <f t="array" aca="1" ref="K84" ca="1">IF($G$2=0,
(SUM(INDIRECT($E84&amp;"["&amp;$F84&amp;"]")*(INDIRECT($E84&amp;"[yr]")=K$5)*(INDIRECT($E84&amp;"[wk]")=K$6))/
SUM(INDIRECT($E84&amp;"["&amp;$E85&amp;"]")*(INDIRECT($E84&amp;"[yr]")=K$5)*(INDIRECT($E84&amp;"[wk]")=K$6))),
(SUM(INDIRECT($E84&amp;"["&amp;$F84&amp;"]")*(INDIRECT($E84&amp;"[yr]")=K$5)*(INDIRECT($E84&amp;"[wk]")=K$6)*(INDIRECT($E84&amp;"[site]")=$G$2))/
SUM(INDIRECT($E84&amp;"["&amp;$E85&amp;"]")*(INDIRECT($E84&amp;"[yr]")=K$5)*(INDIRECT($E84&amp;"[wk]")=K$6)*(INDIRECT($E84&amp;"[site]")=$G$2))) )</f>
        <v>#REF!</v>
      </c>
      <c r="L84" s="128" t="e">
        <f t="array" aca="1" ref="L84" ca="1">IF($G$2=0,
(SUM(INDIRECT($E84&amp;"["&amp;$F84&amp;"]")*(INDIRECT($E84&amp;"[yr]")=L$5)*(INDIRECT($E84&amp;"[wk]")=L$6))/
SUM(INDIRECT($E84&amp;"["&amp;$E85&amp;"]")*(INDIRECT($E84&amp;"[yr]")=L$5)*(INDIRECT($E84&amp;"[wk]")=L$6))),
(SUM(INDIRECT($E84&amp;"["&amp;$F84&amp;"]")*(INDIRECT($E84&amp;"[yr]")=L$5)*(INDIRECT($E84&amp;"[wk]")=L$6)*(INDIRECT($E84&amp;"[site]")=$G$2))/
SUM(INDIRECT($E84&amp;"["&amp;$E85&amp;"]")*(INDIRECT($E84&amp;"[yr]")=L$5)*(INDIRECT($E84&amp;"[wk]")=L$6)*(INDIRECT($E84&amp;"[site]")=$G$2))) )</f>
        <v>#REF!</v>
      </c>
      <c r="M84" s="128" t="e">
        <f t="array" aca="1" ref="M84" ca="1">IF($G$2=0,
(SUM(INDIRECT($E84&amp;"["&amp;$F84&amp;"]")*(INDIRECT($E84&amp;"[yr]")=M$5)*(INDIRECT($E84&amp;"[wk]")=M$6))/
SUM(INDIRECT($E84&amp;"["&amp;$E85&amp;"]")*(INDIRECT($E84&amp;"[yr]")=M$5)*(INDIRECT($E84&amp;"[wk]")=M$6))),
(SUM(INDIRECT($E84&amp;"["&amp;$F84&amp;"]")*(INDIRECT($E84&amp;"[yr]")=M$5)*(INDIRECT($E84&amp;"[wk]")=M$6)*(INDIRECT($E84&amp;"[site]")=$G$2))/
SUM(INDIRECT($E84&amp;"["&amp;$E85&amp;"]")*(INDIRECT($E84&amp;"[yr]")=M$5)*(INDIRECT($E84&amp;"[wk]")=M$6)*(INDIRECT($E84&amp;"[site]")=$G$2))) )</f>
        <v>#REF!</v>
      </c>
      <c r="N84" s="128" t="e">
        <f t="array" aca="1" ref="N84" ca="1">IF($G$2=0,
(SUM(INDIRECT($E84&amp;"["&amp;$F84&amp;"]")*(INDIRECT($E84&amp;"[yr]")=N$5)*(INDIRECT($E84&amp;"[wk]")=N$6))/
SUM(INDIRECT($E84&amp;"["&amp;$E85&amp;"]")*(INDIRECT($E84&amp;"[yr]")=N$5)*(INDIRECT($E84&amp;"[wk]")=N$6))),
(SUM(INDIRECT($E84&amp;"["&amp;$F84&amp;"]")*(INDIRECT($E84&amp;"[yr]")=N$5)*(INDIRECT($E84&amp;"[wk]")=N$6)*(INDIRECT($E84&amp;"[site]")=$G$2))/
SUM(INDIRECT($E84&amp;"["&amp;$E85&amp;"]")*(INDIRECT($E84&amp;"[yr]")=N$5)*(INDIRECT($E84&amp;"[wk]")=N$6)*(INDIRECT($E84&amp;"[site]")=$G$2))) )</f>
        <v>#REF!</v>
      </c>
      <c r="O84" s="128" t="e">
        <f t="array" aca="1" ref="O84" ca="1">IF($G$2=0,
(SUM(INDIRECT($E84&amp;"["&amp;$F84&amp;"]")*(INDIRECT($E84&amp;"[yr]")=O$5)*(INDIRECT($E84&amp;"[wk]")=O$6))/
SUM(INDIRECT($E84&amp;"["&amp;$E85&amp;"]")*(INDIRECT($E84&amp;"[yr]")=O$5)*(INDIRECT($E84&amp;"[wk]")=O$6))),
(SUM(INDIRECT($E84&amp;"["&amp;$F84&amp;"]")*(INDIRECT($E84&amp;"[yr]")=O$5)*(INDIRECT($E84&amp;"[wk]")=O$6)*(INDIRECT($E84&amp;"[site]")=$G$2))/
SUM(INDIRECT($E84&amp;"["&amp;$E85&amp;"]")*(INDIRECT($E84&amp;"[yr]")=O$5)*(INDIRECT($E84&amp;"[wk]")=O$6)*(INDIRECT($E84&amp;"[site]")=$G$2))) )</f>
        <v>#REF!</v>
      </c>
      <c r="P84" s="154" t="e">
        <f t="array" aca="1" ref="P84" ca="1">IF($G$2=0,
(SUM(INDIRECT($E84&amp;"["&amp;$F84&amp;"]")*(INDIRECT($E84&amp;"[yr]")=P$5)*(INDIRECT($E84&amp;"[wk]")=P$6))/
SUM(INDIRECT($E84&amp;"["&amp;$E85&amp;"]")*(INDIRECT($E84&amp;"[yr]")=P$5)*(INDIRECT($E84&amp;"[wk]")=P$6))),
(SUM(INDIRECT($E84&amp;"["&amp;$F84&amp;"]")*(INDIRECT($E84&amp;"[yr]")=P$5)*(INDIRECT($E84&amp;"[wk]")=P$6)*(INDIRECT($E84&amp;"[site]")=$G$2))/
SUM(INDIRECT($E84&amp;"["&amp;$E85&amp;"]")*(INDIRECT($E84&amp;"[yr]")=P$5)*(INDIRECT($E84&amp;"[wk]")=P$6)*(INDIRECT($E84&amp;"[site]")=$G$2))) )</f>
        <v>#REF!</v>
      </c>
      <c r="Q84" s="128" t="e">
        <f t="array" aca="1" ref="Q84" ca="1">IF($G$2=0,
(SUM(INDIRECT($E84&amp;"["&amp;$F84&amp;"]")*(INDIRECT($E84&amp;"[yr]")=Q$5)*(INDIRECT($E84&amp;"[wk]")=Q$6))/
SUM(INDIRECT($E84&amp;"["&amp;$E85&amp;"]")*(INDIRECT($E84&amp;"[yr]")=Q$5)*(INDIRECT($E84&amp;"[wk]")=Q$6))),
(SUM(INDIRECT($E84&amp;"["&amp;$F84&amp;"]")*(INDIRECT($E84&amp;"[yr]")=Q$5)*(INDIRECT($E84&amp;"[wk]")=Q$6)*(INDIRECT($E84&amp;"[site]")=$G$2))/
SUM(INDIRECT($E84&amp;"["&amp;$E85&amp;"]")*(INDIRECT($E84&amp;"[yr]")=Q$5)*(INDIRECT($E84&amp;"[wk]")=Q$6)*(INDIRECT($E84&amp;"[site]")=$G$2))) )</f>
        <v>#REF!</v>
      </c>
      <c r="R84" s="128" t="e">
        <f t="array" aca="1" ref="R84" ca="1">IF($G$2=0,
(SUM(INDIRECT($E84&amp;"["&amp;$F84&amp;"]")*(INDIRECT($E84&amp;"[yr]")=R$5)*(INDIRECT($E84&amp;"[wk]")=R$6))/
SUM(INDIRECT($E84&amp;"["&amp;$E85&amp;"]")*(INDIRECT($E84&amp;"[yr]")=R$5)*(INDIRECT($E84&amp;"[wk]")=R$6))),
(SUM(INDIRECT($E84&amp;"["&amp;$F84&amp;"]")*(INDIRECT($E84&amp;"[yr]")=R$5)*(INDIRECT($E84&amp;"[wk]")=R$6)*(INDIRECT($E84&amp;"[site]")=$G$2))/
SUM(INDIRECT($E84&amp;"["&amp;$E85&amp;"]")*(INDIRECT($E84&amp;"[yr]")=R$5)*(INDIRECT($E84&amp;"[wk]")=R$6)*(INDIRECT($E84&amp;"[site]")=$G$2))) )</f>
        <v>#REF!</v>
      </c>
      <c r="S84" s="128" t="e">
        <f t="array" aca="1" ref="S84" ca="1">IF($G$2=0,
(SUM(INDIRECT($E84&amp;"["&amp;$F84&amp;"]")*(INDIRECT($E84&amp;"[yr]")=S$5)*(INDIRECT($E84&amp;"[wk]")=S$6))/
SUM(INDIRECT($E84&amp;"["&amp;$E85&amp;"]")*(INDIRECT($E84&amp;"[yr]")=S$5)*(INDIRECT($E84&amp;"[wk]")=S$6))),
(SUM(INDIRECT($E84&amp;"["&amp;$F84&amp;"]")*(INDIRECT($E84&amp;"[yr]")=S$5)*(INDIRECT($E84&amp;"[wk]")=S$6)*(INDIRECT($E84&amp;"[site]")=$G$2))/
SUM(INDIRECT($E84&amp;"["&amp;$E85&amp;"]")*(INDIRECT($E84&amp;"[yr]")=S$5)*(INDIRECT($E84&amp;"[wk]")=S$6)*(INDIRECT($E84&amp;"[site]")=$G$2))) )</f>
        <v>#REF!</v>
      </c>
      <c r="T84" s="129" t="e">
        <f t="array" aca="1" ref="T84" ca="1">IF($G$2=0,
(SUM(INDIRECT($E84&amp;"["&amp;$F84&amp;"]")*(INDIRECT($E84&amp;"[yr]")=T$5)*(INDIRECT($E84&amp;"[wk]")=T$6))/
SUM(INDIRECT($E84&amp;"["&amp;$E85&amp;"]")*(INDIRECT($E84&amp;"[yr]")=T$5)*(INDIRECT($E84&amp;"[wk]")=T$6))),
(SUM(INDIRECT($E84&amp;"["&amp;$F84&amp;"]")*(INDIRECT($E84&amp;"[yr]")=T$5)*(INDIRECT($E84&amp;"[wk]")=T$6)*(INDIRECT($E84&amp;"[site]")=$G$2))/
SUM(INDIRECT($E84&amp;"["&amp;$E85&amp;"]")*(INDIRECT($E84&amp;"[yr]")=T$5)*(INDIRECT($E84&amp;"[wk]")=T$6)*(INDIRECT($E84&amp;"[site]")=$G$2))) )</f>
        <v>#REF!</v>
      </c>
      <c r="U84" s="130" t="e">
        <f t="array" aca="1" ref="U84" ca="1">SUM(Q84:T84*$Q$69:$T$69)/SUM($Q$69:$T$69)</f>
        <v>#REF!</v>
      </c>
      <c r="V84" s="47" t="e">
        <f t="array" aca="1" ref="V84" ca="1">SUM(T84/S84)-1</f>
        <v>#REF!</v>
      </c>
      <c r="W84" s="131">
        <v>75</v>
      </c>
      <c r="X84" s="49"/>
    </row>
    <row r="85" spans="2:25" ht="14.15" customHeight="1" x14ac:dyDescent="0.4">
      <c r="B85" s="329"/>
      <c r="D85" s="204" t="s">
        <v>67</v>
      </c>
      <c r="E85" s="40" t="s">
        <v>401</v>
      </c>
      <c r="I85" s="74">
        <f t="array" aca="1" ref="I85" ca="1">IFERROR(I84/
(IF($G$2=0,
(SUM(INDIRECT($E84&amp;"["&amp;$F84&amp;"]")*(INDIRECT($E84&amp;"[yr]")=I$5-1)*(INDIRECT($E84&amp;"[wk]")=I$6))/
SUM(INDIRECT($E84&amp;"["&amp;$E85&amp;"]")*(INDIRECT($E84&amp;"[yr]")=I$5-1)*(INDIRECT($E84&amp;"[wk]")=I$6))),
(SUM(INDIRECT($E84&amp;"["&amp;$F84&amp;"]")*(INDIRECT($E84&amp;"[yr]")=I$5-1)*(INDIRECT($E84&amp;"[wk]")=I$6)*(INDIRECT($E84&amp;"[site]")=$G$2))/
SUM(INDIRECT($E84&amp;"["&amp;$E85&amp;"]")*(INDIRECT($E84&amp;"[yr]")=I$5-1)*(INDIRECT($E84&amp;"[wk]")=I$6)*(INDIRECT($E84&amp;"[site]")=$G$2))) ))
-1,0)</f>
        <v>0</v>
      </c>
      <c r="J85" s="74">
        <f t="array" aca="1" ref="J85" ca="1">IFERROR(J84/
(IF($G$2=0,
(SUM(INDIRECT($E84&amp;"["&amp;$F84&amp;"]")*(INDIRECT($E84&amp;"[yr]")=J$5-1)*(INDIRECT($E84&amp;"[wk]")=J$6))/
SUM(INDIRECT($E84&amp;"["&amp;$E85&amp;"]")*(INDIRECT($E84&amp;"[yr]")=J$5-1)*(INDIRECT($E84&amp;"[wk]")=J$6))),
(SUM(INDIRECT($E84&amp;"["&amp;$F84&amp;"]")*(INDIRECT($E84&amp;"[yr]")=J$5-1)*(INDIRECT($E84&amp;"[wk]")=J$6)*(INDIRECT($E84&amp;"[site]")=$G$2))/
SUM(INDIRECT($E84&amp;"["&amp;$E85&amp;"]")*(INDIRECT($E84&amp;"[yr]")=J$5-1)*(INDIRECT($E84&amp;"[wk]")=J$6)*(INDIRECT($E84&amp;"[site]")=$G$2))) ))
-1,0)</f>
        <v>0</v>
      </c>
      <c r="K85" s="74">
        <f t="array" aca="1" ref="K85" ca="1">IFERROR(K84/
(IF($G$2=0,
(SUM(INDIRECT($E84&amp;"["&amp;$F84&amp;"]")*(INDIRECT($E84&amp;"[yr]")=K$5-1)*(INDIRECT($E84&amp;"[wk]")=K$6))/
SUM(INDIRECT($E84&amp;"["&amp;$E85&amp;"]")*(INDIRECT($E84&amp;"[yr]")=K$5-1)*(INDIRECT($E84&amp;"[wk]")=K$6))),
(SUM(INDIRECT($E84&amp;"["&amp;$F84&amp;"]")*(INDIRECT($E84&amp;"[yr]")=K$5-1)*(INDIRECT($E84&amp;"[wk]")=K$6)*(INDIRECT($E84&amp;"[site]")=$G$2))/
SUM(INDIRECT($E84&amp;"["&amp;$E85&amp;"]")*(INDIRECT($E84&amp;"[yr]")=K$5-1)*(INDIRECT($E84&amp;"[wk]")=K$6)*(INDIRECT($E84&amp;"[site]")=$G$2))) ))
-1,0)</f>
        <v>0</v>
      </c>
      <c r="L85" s="74">
        <f t="array" aca="1" ref="L85" ca="1">IFERROR(L84/
(IF($G$2=0,
(SUM(INDIRECT($E84&amp;"["&amp;$F84&amp;"]")*(INDIRECT($E84&amp;"[yr]")=L$5-1)*(INDIRECT($E84&amp;"[wk]")=L$6))/
SUM(INDIRECT($E84&amp;"["&amp;$E85&amp;"]")*(INDIRECT($E84&amp;"[yr]")=L$5-1)*(INDIRECT($E84&amp;"[wk]")=L$6))),
(SUM(INDIRECT($E84&amp;"["&amp;$F84&amp;"]")*(INDIRECT($E84&amp;"[yr]")=L$5-1)*(INDIRECT($E84&amp;"[wk]")=L$6)*(INDIRECT($E84&amp;"[site]")=$G$2))/
SUM(INDIRECT($E84&amp;"["&amp;$E85&amp;"]")*(INDIRECT($E84&amp;"[yr]")=L$5-1)*(INDIRECT($E84&amp;"[wk]")=L$6)*(INDIRECT($E84&amp;"[site]")=$G$2))) ))
-1,0)</f>
        <v>0</v>
      </c>
      <c r="M85" s="74">
        <f t="array" aca="1" ref="M85" ca="1">IFERROR(M84/
(IF($G$2=0,
(SUM(INDIRECT($E84&amp;"["&amp;$F84&amp;"]")*(INDIRECT($E84&amp;"[yr]")=M$5-1)*(INDIRECT($E84&amp;"[wk]")=M$6))/
SUM(INDIRECT($E84&amp;"["&amp;$E85&amp;"]")*(INDIRECT($E84&amp;"[yr]")=M$5-1)*(INDIRECT($E84&amp;"[wk]")=M$6))),
(SUM(INDIRECT($E84&amp;"["&amp;$F84&amp;"]")*(INDIRECT($E84&amp;"[yr]")=M$5-1)*(INDIRECT($E84&amp;"[wk]")=M$6)*(INDIRECT($E84&amp;"[site]")=$G$2))/
SUM(INDIRECT($E84&amp;"["&amp;$E85&amp;"]")*(INDIRECT($E84&amp;"[yr]")=M$5-1)*(INDIRECT($E84&amp;"[wk]")=M$6)*(INDIRECT($E84&amp;"[site]")=$G$2))) ))
-1,0)</f>
        <v>0</v>
      </c>
      <c r="N85" s="74">
        <f t="array" aca="1" ref="N85" ca="1">IFERROR(N84/
(IF($G$2=0,
(SUM(INDIRECT($E84&amp;"["&amp;$F84&amp;"]")*(INDIRECT($E84&amp;"[yr]")=N$5-1)*(INDIRECT($E84&amp;"[wk]")=N$6))/
SUM(INDIRECT($E84&amp;"["&amp;$E85&amp;"]")*(INDIRECT($E84&amp;"[yr]")=N$5-1)*(INDIRECT($E84&amp;"[wk]")=N$6))),
(SUM(INDIRECT($E84&amp;"["&amp;$F84&amp;"]")*(INDIRECT($E84&amp;"[yr]")=N$5-1)*(INDIRECT($E84&amp;"[wk]")=N$6)*(INDIRECT($E84&amp;"[site]")=$G$2))/
SUM(INDIRECT($E84&amp;"["&amp;$E85&amp;"]")*(INDIRECT($E84&amp;"[yr]")=N$5-1)*(INDIRECT($E84&amp;"[wk]")=N$6)*(INDIRECT($E84&amp;"[site]")=$G$2))) ))
-1,0)</f>
        <v>0</v>
      </c>
      <c r="O85" s="74">
        <f t="array" aca="1" ref="O85" ca="1">IFERROR(O84/
(IF($G$2=0,
(SUM(INDIRECT($E84&amp;"["&amp;$F84&amp;"]")*(INDIRECT($E84&amp;"[yr]")=O$5-1)*(INDIRECT($E84&amp;"[wk]")=O$6))/
SUM(INDIRECT($E84&amp;"["&amp;$E85&amp;"]")*(INDIRECT($E84&amp;"[yr]")=O$5-1)*(INDIRECT($E84&amp;"[wk]")=O$6))),
(SUM(INDIRECT($E84&amp;"["&amp;$F84&amp;"]")*(INDIRECT($E84&amp;"[yr]")=O$5-1)*(INDIRECT($E84&amp;"[wk]")=O$6)*(INDIRECT($E84&amp;"[site]")=$G$2))/
SUM(INDIRECT($E84&amp;"["&amp;$E85&amp;"]")*(INDIRECT($E84&amp;"[yr]")=O$5-1)*(INDIRECT($E84&amp;"[wk]")=O$6)*(INDIRECT($E84&amp;"[site]")=$G$2))) ))
-1,0)</f>
        <v>0</v>
      </c>
      <c r="P85" s="54">
        <f t="array" aca="1" ref="P85" ca="1">IFERROR(P84/
(IF($G$2=0,
(SUM(INDIRECT($E84&amp;"["&amp;$F84&amp;"]")*(INDIRECT($E84&amp;"[yr]")=P$5-1)*(INDIRECT($E84&amp;"[wk]")=P$6))/
SUM(INDIRECT($E84&amp;"["&amp;$E85&amp;"]")*(INDIRECT($E84&amp;"[yr]")=P$5-1)*(INDIRECT($E84&amp;"[wk]")=P$6))),
(SUM(INDIRECT($E84&amp;"["&amp;$F84&amp;"]")*(INDIRECT($E84&amp;"[yr]")=P$5-1)*(INDIRECT($E84&amp;"[wk]")=P$6)*(INDIRECT($E84&amp;"[site]")=$G$2))/
SUM(INDIRECT($E84&amp;"["&amp;$E85&amp;"]")*(INDIRECT($E84&amp;"[yr]")=P$5-1)*(INDIRECT($E84&amp;"[wk]")=P$6)*(INDIRECT($E84&amp;"[site]")=$G$2))) ))
-1,0)</f>
        <v>0</v>
      </c>
      <c r="Q85" s="74">
        <f t="array" aca="1" ref="Q85" ca="1">IFERROR(Q84/
(IF($G$2=0,
(SUM(INDIRECT($E84&amp;"["&amp;$F84&amp;"]")*(INDIRECT($E84&amp;"[yr]")=Q$5-1)*(INDIRECT($E84&amp;"[wk]")=Q$6))/
SUM(INDIRECT($E84&amp;"["&amp;$E85&amp;"]")*(INDIRECT($E84&amp;"[yr]")=Q$5-1)*(INDIRECT($E84&amp;"[wk]")=Q$6))),
(SUM(INDIRECT($E84&amp;"["&amp;$F84&amp;"]")*(INDIRECT($E84&amp;"[yr]")=Q$5-1)*(INDIRECT($E84&amp;"[wk]")=Q$6)*(INDIRECT($E84&amp;"[site]")=$G$2))/
SUM(INDIRECT($E84&amp;"["&amp;$E85&amp;"]")*(INDIRECT($E84&amp;"[yr]")=Q$5-1)*(INDIRECT($E84&amp;"[wk]")=Q$6)*(INDIRECT($E84&amp;"[site]")=$G$2))) ))
-1,0)</f>
        <v>0</v>
      </c>
      <c r="R85" s="74">
        <f t="array" aca="1" ref="R85" ca="1">IFERROR(R84/
(IF($G$2=0,
(SUM(INDIRECT($E84&amp;"["&amp;$F84&amp;"]")*(INDIRECT($E84&amp;"[yr]")=R$5-1)*(INDIRECT($E84&amp;"[wk]")=R$6))/
SUM(INDIRECT($E84&amp;"["&amp;$E85&amp;"]")*(INDIRECT($E84&amp;"[yr]")=R$5-1)*(INDIRECT($E84&amp;"[wk]")=R$6))),
(SUM(INDIRECT($E84&amp;"["&amp;$F84&amp;"]")*(INDIRECT($E84&amp;"[yr]")=R$5-1)*(INDIRECT($E84&amp;"[wk]")=R$6)*(INDIRECT($E84&amp;"[site]")=$G$2))/
SUM(INDIRECT($E84&amp;"["&amp;$E85&amp;"]")*(INDIRECT($E84&amp;"[yr]")=R$5-1)*(INDIRECT($E84&amp;"[wk]")=R$6)*(INDIRECT($E84&amp;"[site]")=$G$2))) ))
-1,0)</f>
        <v>0</v>
      </c>
      <c r="S85" s="74">
        <f t="array" aca="1" ref="S85" ca="1">IFERROR(S84/
(IF($G$2=0,
(SUM(INDIRECT($E84&amp;"["&amp;$F84&amp;"]")*(INDIRECT($E84&amp;"[yr]")=S$5-1)*(INDIRECT($E84&amp;"[wk]")=S$6))/
SUM(INDIRECT($E84&amp;"["&amp;$E85&amp;"]")*(INDIRECT($E84&amp;"[yr]")=S$5-1)*(INDIRECT($E84&amp;"[wk]")=S$6))),
(SUM(INDIRECT($E84&amp;"["&amp;$F84&amp;"]")*(INDIRECT($E84&amp;"[yr]")=S$5-1)*(INDIRECT($E84&amp;"[wk]")=S$6)*(INDIRECT($E84&amp;"[site]")=$G$2))/
SUM(INDIRECT($E84&amp;"["&amp;$E85&amp;"]")*(INDIRECT($E84&amp;"[yr]")=S$5-1)*(INDIRECT($E84&amp;"[wk]")=S$6)*(INDIRECT($E84&amp;"[site]")=$G$2))) ))
-1,0)</f>
        <v>0</v>
      </c>
      <c r="T85" s="76">
        <f t="array" aca="1" ref="T85" ca="1">IFERROR(T84/
(IF($G$2=0,
(SUM(INDIRECT($E84&amp;"["&amp;$F84&amp;"]")*(INDIRECT($E84&amp;"[yr]")=T$5-1)*(INDIRECT($E84&amp;"[wk]")=T$6))/
SUM(INDIRECT($E84&amp;"["&amp;$E85&amp;"]")*(INDIRECT($E84&amp;"[yr]")=T$5-1)*(INDIRECT($E84&amp;"[wk]")=T$6))),
(SUM(INDIRECT($E84&amp;"["&amp;$F84&amp;"]")*(INDIRECT($E84&amp;"[yr]")=T$5-1)*(INDIRECT($E84&amp;"[wk]")=T$6)*(INDIRECT($E84&amp;"[site]")=$G$2))/
SUM(INDIRECT($E84&amp;"["&amp;$E85&amp;"]")*(INDIRECT($E84&amp;"[yr]")=T$5-1)*(INDIRECT($E84&amp;"[wk]")=T$6)*(INDIRECT($E84&amp;"[site]")=$G$2)))))
-1,0)</f>
        <v>0</v>
      </c>
      <c r="U85" s="53">
        <f t="array" aca="1" ref="U85" ca="1">SUM(Q85:T85*$Q$69:$T$69)/SUM($Q$69:$T$69)</f>
        <v>0</v>
      </c>
      <c r="V85" s="91"/>
      <c r="W85" s="80"/>
      <c r="X85" s="56"/>
    </row>
    <row r="86" spans="2:25" ht="3" customHeight="1" x14ac:dyDescent="0.4">
      <c r="B86" s="329"/>
      <c r="D86" s="61"/>
      <c r="E86" s="40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61"/>
      <c r="Q86" s="57"/>
      <c r="R86" s="57"/>
      <c r="S86" s="149"/>
      <c r="T86" s="57"/>
      <c r="U86" s="60"/>
      <c r="V86" s="61"/>
      <c r="W86" s="62"/>
      <c r="X86" s="61"/>
    </row>
    <row r="87" spans="2:25" ht="14.15" customHeight="1" x14ac:dyDescent="0.4">
      <c r="B87" s="329"/>
      <c r="D87" s="203" t="s">
        <v>425</v>
      </c>
      <c r="E87" s="63" t="s">
        <v>399</v>
      </c>
      <c r="F87" t="s">
        <v>402</v>
      </c>
      <c r="I87" s="128" t="e">
        <f t="array" aca="1" ref="I87" ca="1">IF($G$2=0,
(SUM(INDIRECT($E87&amp;"["&amp;$F87&amp;"]")*(INDIRECT($E87&amp;"[yr]")=I$5)*(INDIRECT($E87&amp;"[wk]")=I$6))/
SUM(INDIRECT($E87&amp;"["&amp;$E88&amp;"]")*(INDIRECT($E87&amp;"[yr]")=I$5)*(INDIRECT($E87&amp;"[wk]")=I$6))),
(SUM(INDIRECT($E87&amp;"["&amp;$F87&amp;"]")*(INDIRECT($E87&amp;"[yr]")=I$5)*(INDIRECT($E87&amp;"[wk]")=I$6)*(INDIRECT($E87&amp;"[site]")=$G$2))/
SUM(INDIRECT($E87&amp;"["&amp;$E88&amp;"]")*(INDIRECT($E87&amp;"[yr]")=I$5)*(INDIRECT($E87&amp;"[wk]")=I$6)*(INDIRECT($E87&amp;"[site]")=$G$2))) )</f>
        <v>#REF!</v>
      </c>
      <c r="J87" s="128" t="e">
        <f t="array" aca="1" ref="J87" ca="1">IF($G$2=0,
(SUM(INDIRECT($E87&amp;"["&amp;$F87&amp;"]")*(INDIRECT($E87&amp;"[yr]")=J$5)*(INDIRECT($E87&amp;"[wk]")=J$6))/
SUM(INDIRECT($E87&amp;"["&amp;$E88&amp;"]")*(INDIRECT($E87&amp;"[yr]")=J$5)*(INDIRECT($E87&amp;"[wk]")=J$6))),
(SUM(INDIRECT($E87&amp;"["&amp;$F87&amp;"]")*(INDIRECT($E87&amp;"[yr]")=J$5)*(INDIRECT($E87&amp;"[wk]")=J$6)*(INDIRECT($E87&amp;"[site]")=$G$2))/
SUM(INDIRECT($E87&amp;"["&amp;$E88&amp;"]")*(INDIRECT($E87&amp;"[yr]")=J$5)*(INDIRECT($E87&amp;"[wk]")=J$6)*(INDIRECT($E87&amp;"[site]")=$G$2))) )</f>
        <v>#REF!</v>
      </c>
      <c r="K87" s="128" t="e">
        <f t="array" aca="1" ref="K87" ca="1">IF($G$2=0,
(SUM(INDIRECT($E87&amp;"["&amp;$F87&amp;"]")*(INDIRECT($E87&amp;"[yr]")=K$5)*(INDIRECT($E87&amp;"[wk]")=K$6))/
SUM(INDIRECT($E87&amp;"["&amp;$E88&amp;"]")*(INDIRECT($E87&amp;"[yr]")=K$5)*(INDIRECT($E87&amp;"[wk]")=K$6))),
(SUM(INDIRECT($E87&amp;"["&amp;$F87&amp;"]")*(INDIRECT($E87&amp;"[yr]")=K$5)*(INDIRECT($E87&amp;"[wk]")=K$6)*(INDIRECT($E87&amp;"[site]")=$G$2))/
SUM(INDIRECT($E87&amp;"["&amp;$E88&amp;"]")*(INDIRECT($E87&amp;"[yr]")=K$5)*(INDIRECT($E87&amp;"[wk]")=K$6)*(INDIRECT($E87&amp;"[site]")=$G$2))) )</f>
        <v>#REF!</v>
      </c>
      <c r="L87" s="128" t="e">
        <f t="array" aca="1" ref="L87" ca="1">IF($G$2=0,
(SUM(INDIRECT($E87&amp;"["&amp;$F87&amp;"]")*(INDIRECT($E87&amp;"[yr]")=L$5)*(INDIRECT($E87&amp;"[wk]")=L$6))/
SUM(INDIRECT($E87&amp;"["&amp;$E88&amp;"]")*(INDIRECT($E87&amp;"[yr]")=L$5)*(INDIRECT($E87&amp;"[wk]")=L$6))),
(SUM(INDIRECT($E87&amp;"["&amp;$F87&amp;"]")*(INDIRECT($E87&amp;"[yr]")=L$5)*(INDIRECT($E87&amp;"[wk]")=L$6)*(INDIRECT($E87&amp;"[site]")=$G$2))/
SUM(INDIRECT($E87&amp;"["&amp;$E88&amp;"]")*(INDIRECT($E87&amp;"[yr]")=L$5)*(INDIRECT($E87&amp;"[wk]")=L$6)*(INDIRECT($E87&amp;"[site]")=$G$2))) )</f>
        <v>#REF!</v>
      </c>
      <c r="M87" s="128" t="e">
        <f t="array" aca="1" ref="M87" ca="1">IF($G$2=0,
(SUM(INDIRECT($E87&amp;"["&amp;$F87&amp;"]")*(INDIRECT($E87&amp;"[yr]")=M$5)*(INDIRECT($E87&amp;"[wk]")=M$6))/
SUM(INDIRECT($E87&amp;"["&amp;$E88&amp;"]")*(INDIRECT($E87&amp;"[yr]")=M$5)*(INDIRECT($E87&amp;"[wk]")=M$6))),
(SUM(INDIRECT($E87&amp;"["&amp;$F87&amp;"]")*(INDIRECT($E87&amp;"[yr]")=M$5)*(INDIRECT($E87&amp;"[wk]")=M$6)*(INDIRECT($E87&amp;"[site]")=$G$2))/
SUM(INDIRECT($E87&amp;"["&amp;$E88&amp;"]")*(INDIRECT($E87&amp;"[yr]")=M$5)*(INDIRECT($E87&amp;"[wk]")=M$6)*(INDIRECT($E87&amp;"[site]")=$G$2))) )</f>
        <v>#REF!</v>
      </c>
      <c r="N87" s="128" t="e">
        <f t="array" aca="1" ref="N87" ca="1">IF($G$2=0,
(SUM(INDIRECT($E87&amp;"["&amp;$F87&amp;"]")*(INDIRECT($E87&amp;"[yr]")=N$5)*(INDIRECT($E87&amp;"[wk]")=N$6))/
SUM(INDIRECT($E87&amp;"["&amp;$E88&amp;"]")*(INDIRECT($E87&amp;"[yr]")=N$5)*(INDIRECT($E87&amp;"[wk]")=N$6))),
(SUM(INDIRECT($E87&amp;"["&amp;$F87&amp;"]")*(INDIRECT($E87&amp;"[yr]")=N$5)*(INDIRECT($E87&amp;"[wk]")=N$6)*(INDIRECT($E87&amp;"[site]")=$G$2))/
SUM(INDIRECT($E87&amp;"["&amp;$E88&amp;"]")*(INDIRECT($E87&amp;"[yr]")=N$5)*(INDIRECT($E87&amp;"[wk]")=N$6)*(INDIRECT($E87&amp;"[site]")=$G$2))) )</f>
        <v>#REF!</v>
      </c>
      <c r="O87" s="128" t="e">
        <f t="array" aca="1" ref="O87" ca="1">IF($G$2=0,
(SUM(INDIRECT($E87&amp;"["&amp;$F87&amp;"]")*(INDIRECT($E87&amp;"[yr]")=O$5)*(INDIRECT($E87&amp;"[wk]")=O$6))/
SUM(INDIRECT($E87&amp;"["&amp;$E88&amp;"]")*(INDIRECT($E87&amp;"[yr]")=O$5)*(INDIRECT($E87&amp;"[wk]")=O$6))),
(SUM(INDIRECT($E87&amp;"["&amp;$F87&amp;"]")*(INDIRECT($E87&amp;"[yr]")=O$5)*(INDIRECT($E87&amp;"[wk]")=O$6)*(INDIRECT($E87&amp;"[site]")=$G$2))/
SUM(INDIRECT($E87&amp;"["&amp;$E88&amp;"]")*(INDIRECT($E87&amp;"[yr]")=O$5)*(INDIRECT($E87&amp;"[wk]")=O$6)*(INDIRECT($E87&amp;"[site]")=$G$2))) )</f>
        <v>#REF!</v>
      </c>
      <c r="P87" s="154" t="e">
        <f t="array" aca="1" ref="P87" ca="1">IF($G$2=0,
(SUM(INDIRECT($E87&amp;"["&amp;$F87&amp;"]")*(INDIRECT($E87&amp;"[yr]")=P$5)*(INDIRECT($E87&amp;"[wk]")=P$6))/
SUM(INDIRECT($E87&amp;"["&amp;$E88&amp;"]")*(INDIRECT($E87&amp;"[yr]")=P$5)*(INDIRECT($E87&amp;"[wk]")=P$6))),
(SUM(INDIRECT($E87&amp;"["&amp;$F87&amp;"]")*(INDIRECT($E87&amp;"[yr]")=P$5)*(INDIRECT($E87&amp;"[wk]")=P$6)*(INDIRECT($E87&amp;"[site]")=$G$2))/
SUM(INDIRECT($E87&amp;"["&amp;$E88&amp;"]")*(INDIRECT($E87&amp;"[yr]")=P$5)*(INDIRECT($E87&amp;"[wk]")=P$6)*(INDIRECT($E87&amp;"[site]")=$G$2))) )</f>
        <v>#REF!</v>
      </c>
      <c r="Q87" s="128" t="e">
        <f t="array" aca="1" ref="Q87" ca="1">IF($G$2=0,
(SUM(INDIRECT($E87&amp;"["&amp;$F87&amp;"]")*(INDIRECT($E87&amp;"[yr]")=Q$5)*(INDIRECT($E87&amp;"[wk]")=Q$6))/
SUM(INDIRECT($E87&amp;"["&amp;$E88&amp;"]")*(INDIRECT($E87&amp;"[yr]")=Q$5)*(INDIRECT($E87&amp;"[wk]")=Q$6))),
(SUM(INDIRECT($E87&amp;"["&amp;$F87&amp;"]")*(INDIRECT($E87&amp;"[yr]")=Q$5)*(INDIRECT($E87&amp;"[wk]")=Q$6)*(INDIRECT($E87&amp;"[site]")=$G$2))/
SUM(INDIRECT($E87&amp;"["&amp;$E88&amp;"]")*(INDIRECT($E87&amp;"[yr]")=Q$5)*(INDIRECT($E87&amp;"[wk]")=Q$6)*(INDIRECT($E87&amp;"[site]")=$G$2))) )</f>
        <v>#REF!</v>
      </c>
      <c r="R87" s="128" t="e">
        <f t="array" aca="1" ref="R87" ca="1">IF($G$2=0,
(SUM(INDIRECT($E87&amp;"["&amp;$F87&amp;"]")*(INDIRECT($E87&amp;"[yr]")=R$5)*(INDIRECT($E87&amp;"[wk]")=R$6))/
SUM(INDIRECT($E87&amp;"["&amp;$E88&amp;"]")*(INDIRECT($E87&amp;"[yr]")=R$5)*(INDIRECT($E87&amp;"[wk]")=R$6))),
(SUM(INDIRECT($E87&amp;"["&amp;$F87&amp;"]")*(INDIRECT($E87&amp;"[yr]")=R$5)*(INDIRECT($E87&amp;"[wk]")=R$6)*(INDIRECT($E87&amp;"[site]")=$G$2))/
SUM(INDIRECT($E87&amp;"["&amp;$E88&amp;"]")*(INDIRECT($E87&amp;"[yr]")=R$5)*(INDIRECT($E87&amp;"[wk]")=R$6)*(INDIRECT($E87&amp;"[site]")=$G$2))) )</f>
        <v>#REF!</v>
      </c>
      <c r="S87" s="128" t="e">
        <f t="array" aca="1" ref="S87" ca="1">IF($G$2=0,
(SUM(INDIRECT($E87&amp;"["&amp;$F87&amp;"]")*(INDIRECT($E87&amp;"[yr]")=S$5)*(INDIRECT($E87&amp;"[wk]")=S$6))/
SUM(INDIRECT($E87&amp;"["&amp;$E88&amp;"]")*(INDIRECT($E87&amp;"[yr]")=S$5)*(INDIRECT($E87&amp;"[wk]")=S$6))),
(SUM(INDIRECT($E87&amp;"["&amp;$F87&amp;"]")*(INDIRECT($E87&amp;"[yr]")=S$5)*(INDIRECT($E87&amp;"[wk]")=S$6)*(INDIRECT($E87&amp;"[site]")=$G$2))/
SUM(INDIRECT($E87&amp;"["&amp;$E88&amp;"]")*(INDIRECT($E87&amp;"[yr]")=S$5)*(INDIRECT($E87&amp;"[wk]")=S$6)*(INDIRECT($E87&amp;"[site]")=$G$2))) )</f>
        <v>#REF!</v>
      </c>
      <c r="T87" s="129" t="e">
        <f t="array" aca="1" ref="T87" ca="1">IF($G$2=0,
(SUM(INDIRECT($E87&amp;"["&amp;$F87&amp;"]")*(INDIRECT($E87&amp;"[yr]")=T$5)*(INDIRECT($E87&amp;"[wk]")=T$6))/
SUM(INDIRECT($E87&amp;"["&amp;$E88&amp;"]")*(INDIRECT($E87&amp;"[yr]")=T$5)*(INDIRECT($E87&amp;"[wk]")=T$6))),
(SUM(INDIRECT($E87&amp;"["&amp;$F87&amp;"]")*(INDIRECT($E87&amp;"[yr]")=T$5)*(INDIRECT($E87&amp;"[wk]")=T$6)*(INDIRECT($E87&amp;"[site]")=$G$2))/
SUM(INDIRECT($E87&amp;"["&amp;$E88&amp;"]")*(INDIRECT($E87&amp;"[yr]")=T$5)*(INDIRECT($E87&amp;"[wk]")=T$6)*(INDIRECT($E87&amp;"[site]")=$G$2))) )</f>
        <v>#REF!</v>
      </c>
      <c r="U87" s="130" t="e">
        <f t="array" aca="1" ref="U87" ca="1">SUM(Q87:T87*$Q$69:$T$69)/SUM($Q$69:$T$69)</f>
        <v>#REF!</v>
      </c>
      <c r="V87" s="49" t="e">
        <f t="array" aca="1" ref="V87" ca="1">SUM(T87/S87)-1</f>
        <v>#REF!</v>
      </c>
      <c r="W87" s="131">
        <v>95</v>
      </c>
      <c r="X87" s="49"/>
    </row>
    <row r="88" spans="2:25" ht="14.15" customHeight="1" x14ac:dyDescent="0.4">
      <c r="B88" s="329"/>
      <c r="D88" s="208" t="s">
        <v>67</v>
      </c>
      <c r="E88" t="s">
        <v>403</v>
      </c>
      <c r="F88" s="40"/>
      <c r="G88" s="40"/>
      <c r="H88" s="40"/>
      <c r="I88" s="74">
        <f t="array" aca="1" ref="I88" ca="1">IFERROR(I87/
(IF($G$2=0,
(SUM(INDIRECT($E87&amp;"["&amp;$F87&amp;"]")*(INDIRECT($E87&amp;"[yr]")=I$5-1)*(INDIRECT($E87&amp;"[wk]")=I$6))/
SUM(INDIRECT($E87&amp;"["&amp;$E88&amp;"]")*(INDIRECT($E87&amp;"[yr]")=I$5-1)*(INDIRECT($E87&amp;"[wk]")=I$6))),
(SUM(INDIRECT($E87&amp;"["&amp;$F87&amp;"]")*(INDIRECT($E87&amp;"[yr]")=I$5-1)*(INDIRECT($E87&amp;"[wk]")=I$6)*(INDIRECT($E87&amp;"[site]")=$G$2))/
SUM(INDIRECT($E87&amp;"["&amp;$E88&amp;"]")*(INDIRECT($E87&amp;"[yr]")=I$5-1)*(INDIRECT($E87&amp;"[wk]")=I$6)*(INDIRECT($E87&amp;"[site]")=$G$2))) ))
-1,0)</f>
        <v>0</v>
      </c>
      <c r="J88" s="74">
        <f t="array" aca="1" ref="J88" ca="1">IFERROR(J87/
(IF($G$2=0,
(SUM(INDIRECT($E87&amp;"["&amp;$F87&amp;"]")*(INDIRECT($E87&amp;"[yr]")=J$5-1)*(INDIRECT($E87&amp;"[wk]")=J$6))/
SUM(INDIRECT($E87&amp;"["&amp;$E88&amp;"]")*(INDIRECT($E87&amp;"[yr]")=J$5-1)*(INDIRECT($E87&amp;"[wk]")=J$6))),
(SUM(INDIRECT($E87&amp;"["&amp;$F87&amp;"]")*(INDIRECT($E87&amp;"[yr]")=J$5-1)*(INDIRECT($E87&amp;"[wk]")=J$6)*(INDIRECT($E87&amp;"[site]")=$G$2))/
SUM(INDIRECT($E87&amp;"["&amp;$E88&amp;"]")*(INDIRECT($E87&amp;"[yr]")=J$5-1)*(INDIRECT($E87&amp;"[wk]")=J$6)*(INDIRECT($E87&amp;"[site]")=$G$2))) ))
-1,0)</f>
        <v>0</v>
      </c>
      <c r="K88" s="74">
        <f t="array" aca="1" ref="K88" ca="1">IFERROR(K87/
(IF($G$2=0,
(SUM(INDIRECT($E87&amp;"["&amp;$F87&amp;"]")*(INDIRECT($E87&amp;"[yr]")=K$5-1)*(INDIRECT($E87&amp;"[wk]")=K$6))/
SUM(INDIRECT($E87&amp;"["&amp;$E88&amp;"]")*(INDIRECT($E87&amp;"[yr]")=K$5-1)*(INDIRECT($E87&amp;"[wk]")=K$6))),
(SUM(INDIRECT($E87&amp;"["&amp;$F87&amp;"]")*(INDIRECT($E87&amp;"[yr]")=K$5-1)*(INDIRECT($E87&amp;"[wk]")=K$6)*(INDIRECT($E87&amp;"[site]")=$G$2))/
SUM(INDIRECT($E87&amp;"["&amp;$E88&amp;"]")*(INDIRECT($E87&amp;"[yr]")=K$5-1)*(INDIRECT($E87&amp;"[wk]")=K$6)*(INDIRECT($E87&amp;"[site]")=$G$2))) ))
-1,0)</f>
        <v>0</v>
      </c>
      <c r="L88" s="74">
        <f t="array" aca="1" ref="L88" ca="1">IFERROR(L87/
(IF($G$2=0,
(SUM(INDIRECT($E87&amp;"["&amp;$F87&amp;"]")*(INDIRECT($E87&amp;"[yr]")=L$5-1)*(INDIRECT($E87&amp;"[wk]")=L$6))/
SUM(INDIRECT($E87&amp;"["&amp;$E88&amp;"]")*(INDIRECT($E87&amp;"[yr]")=L$5-1)*(INDIRECT($E87&amp;"[wk]")=L$6))),
(SUM(INDIRECT($E87&amp;"["&amp;$F87&amp;"]")*(INDIRECT($E87&amp;"[yr]")=L$5-1)*(INDIRECT($E87&amp;"[wk]")=L$6)*(INDIRECT($E87&amp;"[site]")=$G$2))/
SUM(INDIRECT($E87&amp;"["&amp;$E88&amp;"]")*(INDIRECT($E87&amp;"[yr]")=L$5-1)*(INDIRECT($E87&amp;"[wk]")=L$6)*(INDIRECT($E87&amp;"[site]")=$G$2))) ))
-1,0)</f>
        <v>0</v>
      </c>
      <c r="M88" s="74">
        <f t="array" aca="1" ref="M88" ca="1">IFERROR(M87/
(IF($G$2=0,
(SUM(INDIRECT($E87&amp;"["&amp;$F87&amp;"]")*(INDIRECT($E87&amp;"[yr]")=M$5-1)*(INDIRECT($E87&amp;"[wk]")=M$6))/
SUM(INDIRECT($E87&amp;"["&amp;$E88&amp;"]")*(INDIRECT($E87&amp;"[yr]")=M$5-1)*(INDIRECT($E87&amp;"[wk]")=M$6))),
(SUM(INDIRECT($E87&amp;"["&amp;$F87&amp;"]")*(INDIRECT($E87&amp;"[yr]")=M$5-1)*(INDIRECT($E87&amp;"[wk]")=M$6)*(INDIRECT($E87&amp;"[siteflag]")=$G$2))/
SUM(INDIRECT($E87&amp;"["&amp;$E88&amp;"]")*(INDIRECT($E87&amp;"[yr]")=M$5-1)*(INDIRECT($E87&amp;"[wk]")=M$6)*(INDIRECT($E87&amp;"[siteflag]")=$G$2))) ))
-1,0)</f>
        <v>0</v>
      </c>
      <c r="N88" s="74">
        <f t="array" aca="1" ref="N88" ca="1">IFERROR(N87/
(IF($G$2=0,
(SUM(INDIRECT($E87&amp;"["&amp;$F87&amp;"]")*(INDIRECT($E87&amp;"[yr]")=N$5-1)*(INDIRECT($E87&amp;"[wk]")=N$6))/
SUM(INDIRECT($E87&amp;"["&amp;$E88&amp;"]")*(INDIRECT($E87&amp;"[yr]")=N$5-1)*(INDIRECT($E87&amp;"[wk]")=N$6))),
(SUM(INDIRECT($E87&amp;"["&amp;$F87&amp;"]")*(INDIRECT($E87&amp;"[yr]")=N$5-1)*(INDIRECT($E87&amp;"[wk]")=N$6)*(INDIRECT($E87&amp;"[site]")=$G$2))/
SUM(INDIRECT($E87&amp;"["&amp;$E88&amp;"]")*(INDIRECT($E87&amp;"[yr]")=N$5-1)*(INDIRECT($E87&amp;"[wk]")=N$6)*(INDIRECT($E87&amp;"[site]")=$G$2))) ))
-1,0)</f>
        <v>0</v>
      </c>
      <c r="O88" s="74">
        <f t="array" aca="1" ref="O88" ca="1">IFERROR(O87/
(IF($G$2=0,
(SUM(INDIRECT($E87&amp;"["&amp;$F87&amp;"]")*(INDIRECT($E87&amp;"[yr]")=O$5-1)*(INDIRECT($E87&amp;"[wk]")=O$6))/
SUM(INDIRECT($E87&amp;"["&amp;$E88&amp;"]")*(INDIRECT($E87&amp;"[yr]")=O$5-1)*(INDIRECT($E87&amp;"[wk]")=O$6))),
(SUM(INDIRECT($E87&amp;"["&amp;$F87&amp;"]")*(INDIRECT($E87&amp;"[yr]")=O$5-1)*(INDIRECT($E87&amp;"[wk]")=O$6)*(INDIRECT($E87&amp;"[site]")=$G$2))/
SUM(INDIRECT($E87&amp;"["&amp;$E88&amp;"]")*(INDIRECT($E87&amp;"[yr]")=O$5-1)*(INDIRECT($E87&amp;"[wk]")=O$6)*(INDIRECT($E87&amp;"[site]")=$G$2))) ))
-1,0)</f>
        <v>0</v>
      </c>
      <c r="P88" s="54">
        <f t="array" aca="1" ref="P88" ca="1">IFERROR(P87/
(IF($G$2=0,
(SUM(INDIRECT($E87&amp;"["&amp;$F87&amp;"]")*(INDIRECT($E87&amp;"[yr]")=P$5-1)*(INDIRECT($E87&amp;"[wk]")=P$6))/
SUM(INDIRECT($E87&amp;"["&amp;$E88&amp;"]")*(INDIRECT($E87&amp;"[yr]")=P$5-1)*(INDIRECT($E87&amp;"[wk]")=P$6))),
(SUM(INDIRECT($E87&amp;"["&amp;$F87&amp;"]")*(INDIRECT($E87&amp;"[yr]")=P$5-1)*(INDIRECT($E87&amp;"[wk]")=P$6)*(INDIRECT($E87&amp;"[site]")=$G$2))/
SUM(INDIRECT($E87&amp;"["&amp;$E88&amp;"]")*(INDIRECT($E87&amp;"[yr]")=P$5-1)*(INDIRECT($E87&amp;"[wk]")=P$6)*(INDIRECT($E87&amp;"[site]")=$G$2))) ))
-1,0)</f>
        <v>0</v>
      </c>
      <c r="Q88" s="74">
        <f t="array" aca="1" ref="Q88" ca="1">IFERROR(Q87/
(IF($G$2=0,
(SUM(INDIRECT($E87&amp;"["&amp;$F87&amp;"]")*(INDIRECT($E87&amp;"[yr]")=Q$5-1)*(INDIRECT($E87&amp;"[wk]")=Q$6))/
SUM(INDIRECT($E87&amp;"["&amp;$E88&amp;"]")*(INDIRECT($E87&amp;"[yr]")=Q$5-1)*(INDIRECT($E87&amp;"[wk]")=Q$6))),
(SUM(INDIRECT($E87&amp;"["&amp;$F87&amp;"]")*(INDIRECT($E87&amp;"[yr]")=Q$5-1)*(INDIRECT($E87&amp;"[wk]")=Q$6)*(INDIRECT($E87&amp;"[site]")=$G$2))/
SUM(INDIRECT($E87&amp;"["&amp;$E88&amp;"]")*(INDIRECT($E87&amp;"[yr]")=Q$5-1)*(INDIRECT($E87&amp;"[wk]")=Q$6)*(INDIRECT($E87&amp;"[site]")=$G$2))) ))
-1,0)</f>
        <v>0</v>
      </c>
      <c r="R88" s="74">
        <f t="array" aca="1" ref="R88" ca="1">IFERROR(R87/
(IF($G$2=0,
(SUM(INDIRECT($E87&amp;"["&amp;$F87&amp;"]")*(INDIRECT($E87&amp;"[yr]")=R$5-1)*(INDIRECT($E87&amp;"[wk]")=R$6))/
SUM(INDIRECT($E87&amp;"["&amp;$E88&amp;"]")*(INDIRECT($E87&amp;"[yr]")=R$5-1)*(INDIRECT($E87&amp;"[wk]")=R$6))),
(SUM(INDIRECT($E87&amp;"["&amp;$F87&amp;"]")*(INDIRECT($E87&amp;"[yr]")=R$5-1)*(INDIRECT($E87&amp;"[wk]")=R$6)*(INDIRECT($E87&amp;"[site]")=$G$2))/
SUM(INDIRECT($E87&amp;"["&amp;$E88&amp;"]")*(INDIRECT($E87&amp;"[yr]")=R$5-1)*(INDIRECT($E87&amp;"[wk]")=R$6)*(INDIRECT($E87&amp;"[site]")=$G$2))) ))
-1,0)</f>
        <v>0</v>
      </c>
      <c r="S88" s="74">
        <f t="array" aca="1" ref="S88" ca="1">IFERROR(S87/
(IF($G$2=0,
(SUM(INDIRECT($E87&amp;"["&amp;$F87&amp;"]")*(INDIRECT($E87&amp;"[yr]")=S$5-1)*(INDIRECT($E87&amp;"[wk]")=S$6))/
SUM(INDIRECT($E87&amp;"["&amp;$E88&amp;"]")*(INDIRECT($E87&amp;"[yr]")=S$5-1)*(INDIRECT($E87&amp;"[wk]")=S$6))),
(SUM(INDIRECT($E87&amp;"["&amp;$F87&amp;"]")*(INDIRECT($E87&amp;"[yr]")=S$5-1)*(INDIRECT($E87&amp;"[wk]")=S$6)*(INDIRECT($E87&amp;"[site]")=$G$2))/
SUM(INDIRECT($E87&amp;"["&amp;$E88&amp;"]")*(INDIRECT($E87&amp;"[yr]")=S$5-1)*(INDIRECT($E87&amp;"[wk]")=S$6)*(INDIRECT($E87&amp;"[site]")=$G$2))) ))
-1,0)</f>
        <v>0</v>
      </c>
      <c r="T88" s="76">
        <f t="array" aca="1" ref="T88" ca="1">IFERROR(T87/
(IF($G$2=0,
(SUM(INDIRECT($E87&amp;"["&amp;$F87&amp;"]")*(INDIRECT($E87&amp;"[yr]")=T$5-1)*(INDIRECT($E87&amp;"[wk]")=T$6))/
SUM(INDIRECT($E87&amp;"["&amp;$E88&amp;"]")*(INDIRECT($E87&amp;"[yr]")=T$5-1)*(INDIRECT($E87&amp;"[wk]")=T$6))),
(SUM(INDIRECT($E87&amp;"["&amp;$F87&amp;"]")*(INDIRECT($E87&amp;"[yr]")=T$5-1)*(INDIRECT($E87&amp;"[wk]")=T$6)*(INDIRECT($E87&amp;"[site]")=$G$2))/
SUM(INDIRECT($E87&amp;"["&amp;$E88&amp;"]")*(INDIRECT($E87&amp;"[yr]")=T$5-1)*(INDIRECT($E87&amp;"[wk]")=T$6)*(INDIRECT($E87&amp;"[site]")=$G$2))) ))
-1,0)</f>
        <v>0</v>
      </c>
      <c r="U88" s="53">
        <f t="array" aca="1" ref="U88" ca="1">SUM(Q88:T88*$Q$69:$T$69)/SUM($Q$69:$T$69)</f>
        <v>0</v>
      </c>
      <c r="V88" s="91"/>
      <c r="W88" s="80"/>
      <c r="X88" s="56"/>
    </row>
    <row r="89" spans="2:25" ht="3" customHeight="1" x14ac:dyDescent="0.4">
      <c r="B89" s="329"/>
      <c r="D89" s="61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61"/>
      <c r="Q89" s="57"/>
      <c r="R89" s="57"/>
      <c r="S89" s="149"/>
      <c r="T89" s="149"/>
      <c r="U89" s="60"/>
      <c r="V89" s="61"/>
      <c r="W89" s="62"/>
      <c r="X89" s="61"/>
    </row>
    <row r="90" spans="2:25" ht="14.15" customHeight="1" x14ac:dyDescent="0.4">
      <c r="B90" s="329"/>
      <c r="D90" s="201" t="s">
        <v>100</v>
      </c>
      <c r="E90" s="63" t="s">
        <v>101</v>
      </c>
      <c r="F90" s="63" t="s">
        <v>102</v>
      </c>
      <c r="G90" s="63"/>
      <c r="H90" s="63"/>
      <c r="I90" s="132">
        <f t="array" aca="1" ref="I90" ca="1">SUM(INDIRECT($E90&amp;"["&amp;$F90&amp;"]")*(INDIRECT($E90&amp;"[yr]")=I$5)*(INDIRECT($E90&amp;"[wk]")=I$6)*(IF($G$2=0,1,(INDIRECT($E90&amp;"[site]")=$G$2))))</f>
        <v>2</v>
      </c>
      <c r="J90" s="132">
        <f t="array" aca="1" ref="J90" ca="1">SUM(INDIRECT($E90&amp;"["&amp;$F90&amp;"]")*(INDIRECT($E90&amp;"[yr]")=J$5)*(INDIRECT($E90&amp;"[wk]")=J$6)*(IF($G$2=0,1,(INDIRECT($E90&amp;"[site]")=$G$2))))</f>
        <v>1</v>
      </c>
      <c r="K90" s="132">
        <f t="array" aca="1" ref="K90" ca="1">SUM(INDIRECT($E90&amp;"["&amp;$F90&amp;"]")*(INDIRECT($E90&amp;"[yr]")=K$5)*(INDIRECT($E90&amp;"[wk]")=K$6)*(IF($G$2=0,1,(INDIRECT($E90&amp;"[site]")=$G$2))))</f>
        <v>2</v>
      </c>
      <c r="L90" s="132">
        <f t="array" aca="1" ref="L90" ca="1">SUM(INDIRECT($E90&amp;"["&amp;$F90&amp;"]")*(INDIRECT($E90&amp;"[yr]")=L$5)*(INDIRECT($E90&amp;"[wk]")=L$6)*(IF($G$2=0,1,(INDIRECT($E90&amp;"[site]")=$G$2))))</f>
        <v>2</v>
      </c>
      <c r="M90" s="132">
        <f t="array" aca="1" ref="M90" ca="1">SUM(INDIRECT($E90&amp;"["&amp;$F90&amp;"]")*(INDIRECT($E90&amp;"[yr]")=M$5)*(INDIRECT($E90&amp;"[wk]")=M$6)*(IF($G$2=0,1,(INDIRECT($E90&amp;"[site]")=$G$2))))</f>
        <v>2</v>
      </c>
      <c r="N90" s="132">
        <f t="array" aca="1" ref="N90" ca="1">SUM(INDIRECT($E90&amp;"["&amp;$F90&amp;"]")*(INDIRECT($E90&amp;"[yr]")=N$5)*(INDIRECT($E90&amp;"[wk]")=N$6)*(IF($G$2=0,1,(INDIRECT($E90&amp;"[site]")=$G$2))))</f>
        <v>25</v>
      </c>
      <c r="O90" s="132">
        <f t="array" aca="1" ref="O90" ca="1">SUM(INDIRECT($E90&amp;"["&amp;$F90&amp;"]")*(INDIRECT($E90&amp;"[yr]")=O$5)*(INDIRECT($E90&amp;"[wk]")=O$6)*(IF($G$2=0,1,(INDIRECT($E90&amp;"[site]")=$G$2))))</f>
        <v>66</v>
      </c>
      <c r="P90" s="156">
        <f t="array" aca="1" ref="P90" ca="1">SUM(INDIRECT($E90&amp;"["&amp;$F90&amp;"]")*(INDIRECT($E90&amp;"[yr]")=P$5)*(INDIRECT($E90&amp;"[wk]")=P$6)*(IF($G$2=0,1,(INDIRECT($E90&amp;"[site]")=$G$2))))</f>
        <v>67</v>
      </c>
      <c r="Q90" s="132">
        <f t="array" aca="1" ref="Q90" ca="1">SUM(INDIRECT($E90&amp;"["&amp;$F90&amp;"]")*(INDIRECT($E90&amp;"[yr]")=Q$5)*(INDIRECT($E90&amp;"[wk]")=Q$6)*(IF($G$2=0,1,(INDIRECT($E90&amp;"[site]")=$G$2))))</f>
        <v>77</v>
      </c>
      <c r="R90" s="132">
        <f t="array" aca="1" ref="R90" ca="1">SUM(INDIRECT($E90&amp;"["&amp;$F90&amp;"]")*(INDIRECT($E90&amp;"[yr]")=R$5)*(INDIRECT($E90&amp;"[wk]")=R$6)*(IF($G$2=0,1,(INDIRECT($E90&amp;"[site]")=$G$2))))</f>
        <v>67</v>
      </c>
      <c r="S90" s="153">
        <f t="array" aca="1" ref="S90" ca="1">SUM(INDIRECT($E90&amp;"["&amp;$F90&amp;"]")*(INDIRECT($E90&amp;"[yr]")=S$5)*(INDIRECT($E90&amp;"[wk]")=S$6)*(IF($G$2=0,1,(INDIRECT($E90&amp;"[site]")=$G$2))))</f>
        <v>12</v>
      </c>
      <c r="T90" s="132">
        <f t="array" aca="1" ref="T90" ca="1">SUM(INDIRECT($E90&amp;"["&amp;$F90&amp;"]")*(INDIRECT($E90&amp;"[yr]")=T$5)*(INDIRECT($E90&amp;"[wk]")=T$6)*(IF($G$2=0,1,(INDIRECT($E90&amp;"[site]")=$G$2))))</f>
        <v>2</v>
      </c>
      <c r="U90" s="116">
        <f t="array" aca="1" ref="U90" ca="1">SUM(Q90:T90)</f>
        <v>158</v>
      </c>
      <c r="V90" s="49">
        <f t="array" aca="1" ref="V90" ca="1">IFERROR((SUM(T90/S90)-1),0)</f>
        <v>-0.83333333333333337</v>
      </c>
      <c r="W90" s="127"/>
      <c r="X90" s="49"/>
    </row>
    <row r="91" spans="2:25" ht="14.15" customHeight="1" x14ac:dyDescent="0.4">
      <c r="B91" s="329"/>
      <c r="D91" s="209" t="s">
        <v>103</v>
      </c>
      <c r="E91" t="s">
        <v>125</v>
      </c>
      <c r="F91" t="s">
        <v>104</v>
      </c>
      <c r="I91" s="133">
        <f t="array" aca="1" ref="I91" ca="1">IFERROR(SUM(INDIRECT($E90&amp;"["&amp;$F90&amp;"]")*(INDIRECT($E90&amp;"[yr]")=I$5)*(INDIRECT($E90&amp;"[wk]")=I$6)*(IF($G$2=0,1,(INDIRECT($E90&amp;"[site]")=$G$2))))/SUM(INDIRECT($E91&amp;"["&amp;$F91&amp;"]")*(INDIRECT($E91&amp;"[yr]")=I$5)*(INDIRECT($E91&amp;"[wk]")=I$6)*(IF($G$2=0,1,(INDIRECT($E91&amp;"[siteflag]")=$G$2)))),0)</f>
        <v>1.3080102548003977E-5</v>
      </c>
      <c r="J91" s="133">
        <f t="array" aca="1" ref="J91" ca="1">IFERROR(SUM(INDIRECT($E90&amp;"["&amp;$F90&amp;"]")*(INDIRECT($E90&amp;"[yr]")=J$5)*(INDIRECT($E90&amp;"[wk]")=J$6)*(IF($G$2=0,1,(INDIRECT($E90&amp;"[site]")=$G$2))))/SUM(INDIRECT($E91&amp;"["&amp;$F91&amp;"]")*(INDIRECT($E91&amp;"[yr]")=J$5)*(INDIRECT($E91&amp;"[wk]")=J$6)*(IF($G$2=0,1,(INDIRECT($E91&amp;"[siteflag]")=$G$2)))),0)</f>
        <v>6.5889608549835607E-6</v>
      </c>
      <c r="K91" s="133">
        <f t="array" aca="1" ref="K91" ca="1">IFERROR(SUM(INDIRECT($E90&amp;"["&amp;$F90&amp;"]")*(INDIRECT($E90&amp;"[yr]")=K$5)*(INDIRECT($E90&amp;"[wk]")=K$6)*(IF($G$2=0,1,(INDIRECT($E90&amp;"[site]")=$G$2))))/SUM(INDIRECT($E91&amp;"["&amp;$F91&amp;"]")*(INDIRECT($E91&amp;"[yr]")=K$5)*(INDIRECT($E91&amp;"[wk]")=K$6)*(IF($G$2=0,1,(INDIRECT($E91&amp;"[siteflag]")=$G$2)))),0)</f>
        <v>1.4091949973577593E-5</v>
      </c>
      <c r="L91" s="133">
        <f t="array" aca="1" ref="L91" ca="1">IFERROR(SUM(INDIRECT($E90&amp;"["&amp;$F90&amp;"]")*(INDIRECT($E90&amp;"[yr]")=L$5)*(INDIRECT($E90&amp;"[wk]")=L$6)*(IF($G$2=0,1,(INDIRECT($E90&amp;"[site]")=$G$2))))/SUM(INDIRECT($E91&amp;"["&amp;$F91&amp;"]")*(INDIRECT($E91&amp;"[yr]")=L$5)*(INDIRECT($E91&amp;"[wk]")=L$6)*(IF($G$2=0,1,(INDIRECT($E91&amp;"[siteflag]")=$G$2)))),0)</f>
        <v>1.6369023260382053E-5</v>
      </c>
      <c r="M91" s="133">
        <f t="array" aca="1" ref="M91" ca="1">IFERROR(SUM(INDIRECT($E90&amp;"["&amp;$F90&amp;"]")*(INDIRECT($E90&amp;"[yr]")=M$5)*(INDIRECT($E90&amp;"[wk]")=M$6)*(IF($G$2=0,1,(INDIRECT($E90&amp;"[site]")=$G$2))))/SUM(INDIRECT($E91&amp;"["&amp;$F91&amp;"]")*(INDIRECT($E91&amp;"[yr]")=M$5)*(INDIRECT($E91&amp;"[wk]")=M$6)*(IF($G$2=0,1,(INDIRECT($E91&amp;"[siteflag]")=$G$2)))),0)</f>
        <v>1.703258333191395E-5</v>
      </c>
      <c r="N91" s="133">
        <f t="array" aca="1" ref="N91" ca="1">IFERROR(SUM(INDIRECT($E90&amp;"["&amp;$F90&amp;"]")*(INDIRECT($E90&amp;"[yr]")=N$5)*(INDIRECT($E90&amp;"[wk]")=N$6)*(IF($G$2=0,1,(INDIRECT($E90&amp;"[site]")=$G$2))))/SUM(INDIRECT($E91&amp;"["&amp;$F91&amp;"]")*(INDIRECT($E91&amp;"[yr]")=N$5)*(INDIRECT($E91&amp;"[wk]")=N$6)*(IF($G$2=0,1,(INDIRECT($E91&amp;"[siteflag]")=$G$2)))),0)</f>
        <v>1.7242687376283717E-4</v>
      </c>
      <c r="O91" s="133">
        <f t="array" aca="1" ref="O91" ca="1">IFERROR(SUM(INDIRECT($E90&amp;"["&amp;$F90&amp;"]")*(INDIRECT($E90&amp;"[yr]")=O$5)*(INDIRECT($E90&amp;"[wk]")=O$6)*(IF($G$2=0,1,(INDIRECT($E90&amp;"[site]")=$G$2))))/SUM(INDIRECT($E91&amp;"["&amp;$F91&amp;"]")*(INDIRECT($E91&amp;"[yr]")=O$5)*(INDIRECT($E91&amp;"[wk]")=O$6)*(IF($G$2=0,1,(INDIRECT($E91&amp;"[siteflag]")=$G$2)))),0)</f>
        <v>4.1201073724951619E-4</v>
      </c>
      <c r="P91" s="142">
        <f t="array" aca="1" ref="P91" ca="1">IFERROR(SUM(INDIRECT($E90&amp;"["&amp;$F90&amp;"]")*(INDIRECT($E90&amp;"[yr]")=P$5)*(INDIRECT($E90&amp;"[wk]")=P$6)*(IF($G$2=0,1,(INDIRECT($E90&amp;"[site]")=$G$2))))/SUM(INDIRECT($E91&amp;"["&amp;$F91&amp;"]")*(INDIRECT($E91&amp;"[yr]")=P$5)*(INDIRECT($E91&amp;"[wk]")=P$6)*(IF($G$2=0,1,(INDIRECT($E91&amp;"[siteflag]")=$G$2)))),0)</f>
        <v>4.0884072297684863E-4</v>
      </c>
      <c r="Q91" s="133">
        <f t="array" aca="1" ref="Q91" ca="1">IFERROR(SUM(INDIRECT($E90&amp;"["&amp;$F90&amp;"]")*(INDIRECT($E90&amp;"[yr]")=Q$5)*(INDIRECT($E90&amp;"[wk]")=Q$6)*(IF($G$2=0,1,(INDIRECT($E90&amp;"[site]")=$G$2))))/SUM(INDIRECT($E91&amp;"["&amp;$F91&amp;"]")*(INDIRECT($E91&amp;"[yr]")=Q$5)*(INDIRECT($E91&amp;"[wk]")=Q$6)*(IF($G$2=0,1,(INDIRECT($E91&amp;"[siteflag]")=$G$2)))),0)</f>
        <v>4.7530864197530866E-4</v>
      </c>
      <c r="R91" s="133">
        <f t="array" aca="1" ref="R91" ca="1">IFERROR(SUM(INDIRECT($E90&amp;"["&amp;$F90&amp;"]")*(INDIRECT($E90&amp;"[yr]")=R$5)*(INDIRECT($E90&amp;"[wk]")=R$6)*(IF($G$2=0,1,(INDIRECT($E90&amp;"[site]")=$G$2))))/SUM(INDIRECT($E91&amp;"["&amp;$F91&amp;"]")*(INDIRECT($E91&amp;"[yr]")=R$5)*(INDIRECT($E91&amp;"[wk]")=R$6)*(IF($G$2=0,1,(INDIRECT($E91&amp;"[siteflag]")=$G$2)))),0)</f>
        <v>3.971900287518155E-4</v>
      </c>
      <c r="S91" s="135">
        <f t="array" aca="1" ref="S91" ca="1">IFERROR(SUM(INDIRECT($E90&amp;"["&amp;$F90&amp;"]")*(INDIRECT($E90&amp;"[yr]")=S$5)*(INDIRECT($E90&amp;"[wk]")=S$6)*(IF($G$2=0,1,(INDIRECT($E90&amp;"[site]")=$G$2))))/SUM(INDIRECT($E91&amp;"["&amp;$F91&amp;"]")*(INDIRECT($E91&amp;"[yr]")=S$5)*(INDIRECT($E91&amp;"[wk]")=S$6)*(IF($G$2=0,1,(INDIRECT($E91&amp;"[siteflag]")=$G$2)))),0)</f>
        <v>8.1957136417653569E-5</v>
      </c>
      <c r="T91" s="152">
        <f t="array" aca="1" ref="T91" ca="1">IFERROR(SUM(INDIRECT($E90&amp;"["&amp;$F90&amp;"]")*(INDIRECT($E90&amp;"[yr]")=T$5)*(INDIRECT($E90&amp;"[wk]")=T$6)*(IF($G$2=0,1,(INDIRECT($E90&amp;"[site]")=$G$2))))/SUM(INDIRECT($E91&amp;"["&amp;$F91&amp;"]")*(INDIRECT($E91&amp;"[yr]")=T$5)*(INDIRECT($E91&amp;"[wk]")=T$6)*(IF($G$2=0,1,(INDIRECT($E91&amp;"[siteflag]")=$G$2)))),0)</f>
        <v>1.2235484127518216E-5</v>
      </c>
      <c r="U91" s="136">
        <f t="array" aca="1" ref="U91" ca="1">SUM(Q91:T91*$Q$69:$T$69)/SUM($Q$69:$T$69)</f>
        <v>2.4887096558022737E-4</v>
      </c>
      <c r="V91" s="137"/>
      <c r="W91" s="138">
        <v>2.5000000000000001E-2</v>
      </c>
      <c r="X91" s="56"/>
    </row>
    <row r="92" spans="2:25" ht="3" customHeight="1" x14ac:dyDescent="0.4">
      <c r="B92" s="329"/>
      <c r="D92" s="61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8"/>
      <c r="R92" s="57"/>
      <c r="S92" s="57"/>
      <c r="T92" s="59"/>
      <c r="U92" s="60"/>
      <c r="V92" s="61"/>
      <c r="W92" s="62"/>
      <c r="X92" s="61"/>
    </row>
    <row r="93" spans="2:25" ht="14.15" customHeight="1" x14ac:dyDescent="0.4">
      <c r="B93" s="329"/>
      <c r="D93" s="201" t="s">
        <v>105</v>
      </c>
      <c r="E93" s="63" t="s">
        <v>101</v>
      </c>
      <c r="F93" s="63" t="s">
        <v>102</v>
      </c>
      <c r="G93" s="63"/>
      <c r="H93" s="63"/>
      <c r="I93" s="132">
        <f t="array" aca="1" ref="I93" ca="1">IFERROR(SUM((INDIRECT($E93&amp;"["&amp;$F93&amp;"]")*(INDIRECT($E93&amp;"[yr]")=I$5)*(INDIRECT($E93&amp;"[wk]")=I$6)*(INDIRECT($E93&amp;"["&amp;$E94&amp;"]")=$F94)*(IF($G$2=0,1,(INDIRECT($E93&amp;"[site]")=$G$2))))),0)</f>
        <v>1</v>
      </c>
      <c r="J93" s="132">
        <f t="array" aca="1" ref="J93" ca="1">IFERROR(SUM((INDIRECT($E93&amp;"["&amp;$F93&amp;"]")*(INDIRECT($E93&amp;"[yr]")=J$5)*(INDIRECT($E93&amp;"[wk]")=J$6)*(INDIRECT($E93&amp;"["&amp;$E94&amp;"]")=$F94)*(IF($G$2=0,1,(INDIRECT($E93&amp;"[site]")=$G$2))))),0)</f>
        <v>0</v>
      </c>
      <c r="K93" s="132">
        <f t="array" aca="1" ref="K93" ca="1">IFERROR(SUM((INDIRECT($E93&amp;"["&amp;$F93&amp;"]")*(INDIRECT($E93&amp;"[yr]")=K$5)*(INDIRECT($E93&amp;"[wk]")=K$6)*(INDIRECT($E93&amp;"["&amp;$E94&amp;"]")=$F94)*(IF($G$2=0,1,(INDIRECT($E93&amp;"[site]")=$G$2))))),0)</f>
        <v>1</v>
      </c>
      <c r="L93" s="132">
        <f t="array" aca="1" ref="L93" ca="1">IFERROR(SUM((INDIRECT($E93&amp;"["&amp;$F93&amp;"]")*(INDIRECT($E93&amp;"[yr]")=L$5)*(INDIRECT($E93&amp;"[wk]")=L$6)*(INDIRECT($E93&amp;"["&amp;$E94&amp;"]")=$F94)*(IF($G$2=0,1,(INDIRECT($E93&amp;"[site]")=$G$2))))),0)</f>
        <v>1</v>
      </c>
      <c r="M93" s="132">
        <f t="array" aca="1" ref="M93" ca="1">IFERROR(SUM((INDIRECT($E93&amp;"["&amp;$F93&amp;"]")*(INDIRECT($E93&amp;"[yr]")=M$5)*(INDIRECT($E93&amp;"[wk]")=M$6)*(INDIRECT($E93&amp;"["&amp;$E94&amp;"]")=$F94)*(IF($G$2=0,1,(INDIRECT($E93&amp;"[site]")=$G$2))))),0)</f>
        <v>1</v>
      </c>
      <c r="N93" s="132">
        <f t="array" aca="1" ref="N93" ca="1">IFERROR(SUM((INDIRECT($E93&amp;"["&amp;$F93&amp;"]")*(INDIRECT($E93&amp;"[yr]")=N$5)*(INDIRECT($E93&amp;"[wk]")=N$6)*(INDIRECT($E93&amp;"["&amp;$E94&amp;"]")=$F94)*(IF($G$2=0,1,(INDIRECT($E93&amp;"[site]")=$G$2))))),0)</f>
        <v>0</v>
      </c>
      <c r="O93" s="132">
        <f t="array" aca="1" ref="O93" ca="1">IFERROR(SUM((INDIRECT($E93&amp;"["&amp;$F93&amp;"]")*(INDIRECT($E93&amp;"[yr]")=O$5)*(INDIRECT($E93&amp;"[wk]")=O$6)*(INDIRECT($E93&amp;"["&amp;$E94&amp;"]")=$F94)*(IF($G$2=0,1,(INDIRECT($E93&amp;"[site]")=$G$2))))),0)</f>
        <v>7</v>
      </c>
      <c r="P93" s="156">
        <f t="array" aca="1" ref="P93" ca="1">IFERROR(SUM((INDIRECT($E93&amp;"["&amp;$F93&amp;"]")*(INDIRECT($E93&amp;"[yr]")=P$5)*(INDIRECT($E93&amp;"[wk]")=P$6)*(INDIRECT($E93&amp;"["&amp;$E94&amp;"]")=$F94)*(IF($G$2=0,1,(INDIRECT($E93&amp;"[site]")=$G$2))))),0)</f>
        <v>7</v>
      </c>
      <c r="Q93" s="132">
        <f t="array" aca="1" ref="Q93" ca="1">IFERROR(SUM((INDIRECT($E93&amp;"["&amp;$F93&amp;"]")*(INDIRECT($E93&amp;"[yr]")=Q$5)*(INDIRECT($E93&amp;"[wk]")=Q$6)*(INDIRECT($E93&amp;"["&amp;$E94&amp;"]")=$F94)*(IF($G$2=0,1,(INDIRECT($E93&amp;"[site]")=$G$2))))),0)</f>
        <v>2</v>
      </c>
      <c r="R93" s="132">
        <f t="array" aca="1" ref="R93" ca="1">IFERROR(SUM((INDIRECT($E93&amp;"["&amp;$F93&amp;"]")*(INDIRECT($E93&amp;"[yr]")=R$5)*(INDIRECT($E93&amp;"[wk]")=R$6)*(INDIRECT($E93&amp;"["&amp;$E94&amp;"]")=$F94)*(IF($G$2=0,1,(INDIRECT($E93&amp;"[site]")=$G$2))))),0)</f>
        <v>5</v>
      </c>
      <c r="S93" s="153">
        <f t="array" aca="1" ref="S93" ca="1">IFERROR(SUM((INDIRECT($E93&amp;"["&amp;$F93&amp;"]")*(INDIRECT($E93&amp;"[yr]")=S$5)*(INDIRECT($E93&amp;"[wk]")=S$6)*(INDIRECT($E93&amp;"["&amp;$E94&amp;"]")=$F94)*(IF($G$2=0,1,(INDIRECT($E93&amp;"[site]")=$G$2))))),0)</f>
        <v>2</v>
      </c>
      <c r="T93" s="132">
        <f t="array" aca="1" ref="T93" ca="1">IFERROR(SUM((INDIRECT($E93&amp;"["&amp;$F93&amp;"]")*(INDIRECT($E93&amp;"[yr]")=T$5)*(INDIRECT($E93&amp;"[wk]")=T$6)*(INDIRECT($E93&amp;"["&amp;$E94&amp;"]")=$F94)*(IF($G$2=0,1,(INDIRECT($E93&amp;"[site]")=$G$2))))),0)</f>
        <v>1</v>
      </c>
      <c r="U93" s="116">
        <f t="array" aca="1" ref="U93" ca="1">SUM(Q93:T93)</f>
        <v>10</v>
      </c>
      <c r="V93" s="49">
        <f t="array" aca="1" ref="V93" ca="1">IFERROR(SUM(T93/S93)-1,0)</f>
        <v>-0.5</v>
      </c>
      <c r="W93" s="127"/>
      <c r="X93" s="49"/>
    </row>
    <row r="94" spans="2:25" ht="14.15" customHeight="1" x14ac:dyDescent="0.4">
      <c r="B94" s="329"/>
      <c r="D94" s="210" t="s">
        <v>106</v>
      </c>
      <c r="E94" s="40" t="s">
        <v>107</v>
      </c>
      <c r="F94" s="40" t="s">
        <v>108</v>
      </c>
      <c r="G94" s="40"/>
      <c r="H94" s="40"/>
      <c r="I94" s="134">
        <f t="array" aca="1" ref="I94" ca="1">IFERROR((I93/I90),0)</f>
        <v>0.5</v>
      </c>
      <c r="J94" s="134">
        <f t="array" aca="1" ref="J94" ca="1">IFERROR((J93/J90),0)</f>
        <v>0</v>
      </c>
      <c r="K94" s="134">
        <f t="array" aca="1" ref="K94" ca="1">IFERROR((K93/K90),0)</f>
        <v>0.5</v>
      </c>
      <c r="L94" s="134">
        <f t="array" aca="1" ref="L94" ca="1">IFERROR((L93/L90),0)</f>
        <v>0.5</v>
      </c>
      <c r="M94" s="134">
        <f t="array" aca="1" ref="M94" ca="1">IFERROR((M93/M90),0)</f>
        <v>0.5</v>
      </c>
      <c r="N94" s="134">
        <f t="array" aca="1" ref="N94" ca="1">IFERROR((N93/N90),0)</f>
        <v>0</v>
      </c>
      <c r="O94" s="134">
        <f t="array" aca="1" ref="O94" ca="1">IFERROR((O93/O90),0)</f>
        <v>0.10606060606060606</v>
      </c>
      <c r="P94" s="142">
        <f t="array" aca="1" ref="P94" ca="1">IFERROR((P93/P90),0)</f>
        <v>0.1044776119402985</v>
      </c>
      <c r="Q94" s="134">
        <f t="array" aca="1" ref="Q94" ca="1">IFERROR((Q93/Q90),0)</f>
        <v>2.5974025974025976E-2</v>
      </c>
      <c r="R94" s="134">
        <f t="array" aca="1" ref="R94" ca="1">IFERROR((R93/R90),0)</f>
        <v>7.4626865671641784E-2</v>
      </c>
      <c r="S94" s="134">
        <f t="array" aca="1" ref="S94" ca="1">IFERROR((S93/S90),0)</f>
        <v>0.16666666666666666</v>
      </c>
      <c r="T94" s="140">
        <f t="array" aca="1" ref="T94" ca="1">IFERROR((T93/T90),0)</f>
        <v>0.5</v>
      </c>
      <c r="U94" s="141">
        <f t="array" aca="1" ref="U94" ca="1">IFERROR(SUMPRODUCT(Q94:T94,$Q$90:$T$90)/SUM($Q$90:$T$90),0)</f>
        <v>6.3291139240506333E-2</v>
      </c>
      <c r="V94" s="142"/>
      <c r="W94" s="55"/>
      <c r="X94" s="56"/>
    </row>
    <row r="95" spans="2:25" ht="3" customHeight="1" x14ac:dyDescent="0.4">
      <c r="B95" s="329"/>
      <c r="D95" s="61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8"/>
      <c r="R95" s="57"/>
      <c r="S95" s="57"/>
      <c r="T95" s="59"/>
      <c r="U95" s="60"/>
      <c r="V95" s="61"/>
      <c r="W95" s="62"/>
      <c r="X95" s="61"/>
      <c r="Y95" s="146"/>
    </row>
    <row r="96" spans="2:25" ht="14.15" customHeight="1" x14ac:dyDescent="0.4">
      <c r="B96" s="329"/>
      <c r="D96" s="203" t="s">
        <v>109</v>
      </c>
      <c r="E96" t="s">
        <v>56</v>
      </c>
      <c r="F96" t="s">
        <v>110</v>
      </c>
      <c r="I96" s="124">
        <f t="array" aca="1" ref="I96" ca="1">SUM(INDIRECT($E96&amp;"["&amp;$F96&amp;"]")*(INDIRECT($E96&amp;"[yr]")=I$5)*(INDIRECT($E96&amp;"[wk]")=I$6)*(IF($G$2=0,1,(INDIRECT($E96&amp;"[siteflag]")=$G$2))))</f>
        <v>599</v>
      </c>
      <c r="J96" s="124">
        <f t="array" aca="1" ref="J96" ca="1">SUM(INDIRECT($E96&amp;"["&amp;$F96&amp;"]")*(INDIRECT($E96&amp;"[yr]")=J$5)*(INDIRECT($E96&amp;"[wk]")=J$6)*(IF($G$2=0,1,(INDIRECT($E96&amp;"[siteflag]")=$G$2))))</f>
        <v>551</v>
      </c>
      <c r="K96" s="124">
        <f t="array" aca="1" ref="K96" ca="1">SUM(INDIRECT($E96&amp;"["&amp;$F96&amp;"]")*(INDIRECT($E96&amp;"[yr]")=K$5)*(INDIRECT($E96&amp;"[wk]")=K$6)*(IF($G$2=0,1,(INDIRECT($E96&amp;"[siteflag]")=$G$2))))</f>
        <v>440</v>
      </c>
      <c r="L96" s="124">
        <f t="array" aca="1" ref="L96" ca="1">SUM(INDIRECT($E96&amp;"["&amp;$F96&amp;"]")*(INDIRECT($E96&amp;"[yr]")=L$5)*(INDIRECT($E96&amp;"[wk]")=L$6)*(IF($G$2=0,1,(INDIRECT($E96&amp;"[siteflag]")=$G$2))))</f>
        <v>318</v>
      </c>
      <c r="M96" s="124">
        <f t="array" aca="1" ref="M96" ca="1">SUM(INDIRECT($E96&amp;"["&amp;$F96&amp;"]")*(INDIRECT($E96&amp;"[yr]")=M$5)*(INDIRECT($E96&amp;"[wk]")=M$6)*(IF($G$2=0,1,(INDIRECT($E96&amp;"[siteflag]")=$G$2))))</f>
        <v>312</v>
      </c>
      <c r="N96" s="124">
        <f t="array" aca="1" ref="N96" ca="1">SUM(INDIRECT($E96&amp;"["&amp;$F96&amp;"]")*(INDIRECT($E96&amp;"[yr]")=N$5)*(INDIRECT($E96&amp;"[wk]")=N$6)*(IF($G$2=0,1,(INDIRECT($E96&amp;"[siteflag]")=$G$2))))</f>
        <v>381</v>
      </c>
      <c r="O96" s="124">
        <f t="array" aca="1" ref="O96" ca="1">SUM(INDIRECT($E96&amp;"["&amp;$F96&amp;"]")*(INDIRECT($E96&amp;"[yr]")=O$5)*(INDIRECT($E96&amp;"[wk]")=O$6)*(IF($G$2=0,1,(INDIRECT($E96&amp;"[siteflag]")=$G$2))))</f>
        <v>438</v>
      </c>
      <c r="P96" s="157">
        <f t="array" aca="1" ref="P96" ca="1">SUM(INDIRECT($E96&amp;"["&amp;$F96&amp;"]")*(INDIRECT($E96&amp;"[yr]")=P$5)*(INDIRECT($E96&amp;"[wk]")=P$6)*(IF($G$2=0,1,(INDIRECT($E96&amp;"[siteflag]")=$G$2))))</f>
        <v>479</v>
      </c>
      <c r="Q96" s="124">
        <f t="array" aca="1" ref="Q96" ca="1">SUM(INDIRECT($E96&amp;"["&amp;$F96&amp;"]")*(INDIRECT($E96&amp;"[yr]")=Q$5)*(INDIRECT($E96&amp;"[wk]")=Q$6)*(IF($G$2=0,1,(INDIRECT($E96&amp;"[siteflag]")=$G$2))))</f>
        <v>496</v>
      </c>
      <c r="R96" s="124">
        <f t="array" aca="1" ref="R96" ca="1">SUM(INDIRECT($E96&amp;"["&amp;$F96&amp;"]")*(INDIRECT($E96&amp;"[yr]")=R$5)*(INDIRECT($E96&amp;"[wk]")=R$6)*(IF($G$2=0,1,(INDIRECT($E96&amp;"[siteflag]")=$G$2))))</f>
        <v>417</v>
      </c>
      <c r="S96" s="124">
        <f t="array" aca="1" ref="S96" ca="1">SUM(INDIRECT($E96&amp;"["&amp;$F96&amp;"]")*(INDIRECT($E96&amp;"[yr]")=S$5)*(INDIRECT($E96&amp;"[wk]")=S$6)*(IF($G$2=0,1,(INDIRECT($E96&amp;"[siteflag]")=$G$2))))</f>
        <v>387</v>
      </c>
      <c r="T96" s="95">
        <f t="array" aca="1" ref="T96" ca="1">SUM(INDIRECT($E96&amp;"["&amp;$F96&amp;"]")*(INDIRECT($E96&amp;"[yr]")=T$5)*(INDIRECT($E96&amp;"[wk]")=T$6)*(IF($G$2=0,1,(INDIRECT($E96&amp;"[siteflag]")=$G$2))))</f>
        <v>453</v>
      </c>
      <c r="U96" s="96">
        <f ca="1">AVERAGE(Q96:T96)</f>
        <v>438.25</v>
      </c>
      <c r="V96" s="49">
        <f t="array" aca="1" ref="V96" ca="1">SUM(T96/S96)-1</f>
        <v>0.17054263565891481</v>
      </c>
      <c r="W96" s="143">
        <f ca="1">ROUNDUP(T69*4,0)</f>
        <v>1333</v>
      </c>
      <c r="X96" s="49"/>
    </row>
    <row r="97" spans="2:24" ht="14.15" customHeight="1" x14ac:dyDescent="0.4">
      <c r="B97" s="329"/>
      <c r="D97" s="205" t="s">
        <v>111</v>
      </c>
      <c r="I97" s="133">
        <f t="array" aca="1" ref="I97" ca="1">I96/(I69*1000)</f>
        <v>1.8404436728987755E-3</v>
      </c>
      <c r="J97" s="133">
        <f t="array" aca="1" ref="J97" ca="1">J96/(J69*1000)</f>
        <v>1.7918640914988894E-3</v>
      </c>
      <c r="K97" s="133">
        <f t="array" aca="1" ref="K97" ca="1">K96/(K69*1000)</f>
        <v>1.5075669582438216E-3</v>
      </c>
      <c r="L97" s="133">
        <f t="array" aca="1" ref="L97" ca="1">L96/(L69*1000)</f>
        <v>1.2067303678630248E-3</v>
      </c>
      <c r="M97" s="133">
        <f t="array" aca="1" ref="M97" ca="1">M96/(M69*1000)</f>
        <v>1.2152561386015207E-3</v>
      </c>
      <c r="N97" s="133">
        <f t="array" aca="1" ref="N97" ca="1">N96/(N69*1000)</f>
        <v>1.2105268174582749E-3</v>
      </c>
      <c r="O97" s="133">
        <f t="array" aca="1" ref="O97" ca="1">O96/(O69*1000)</f>
        <v>1.2684695538346588E-3</v>
      </c>
      <c r="P97" s="137">
        <f t="array" aca="1" ref="P97" ca="1">P96/(P69*1000)</f>
        <v>1.3527328592649493E-3</v>
      </c>
      <c r="Q97" s="133">
        <f t="array" aca="1" ref="Q97" ca="1">Q96/(Q69*1000)</f>
        <v>1.4546137062149544E-3</v>
      </c>
      <c r="R97" s="133">
        <f t="array" aca="1" ref="R97" ca="1">R96/(R69*1000)</f>
        <v>1.1998549815561859E-3</v>
      </c>
      <c r="S97" s="133">
        <f t="array" aca="1" ref="S97" ca="1">S96/(S69*1000)</f>
        <v>1.2938037831223797E-3</v>
      </c>
      <c r="T97" s="140">
        <f t="array" aca="1" ref="T97" ca="1">T96/(T69*1000)</f>
        <v>1.3598050045627011E-3</v>
      </c>
      <c r="U97" s="144">
        <f ca="1">U96/(AVERAGE(Q69:T69)*1000)</f>
        <v>1.3272460212904497E-3</v>
      </c>
      <c r="V97" s="89"/>
      <c r="W97" s="80"/>
      <c r="X97" s="81"/>
    </row>
    <row r="98" spans="2:24" ht="14.15" customHeight="1" x14ac:dyDescent="0.4">
      <c r="B98" s="330"/>
      <c r="D98" s="202" t="s">
        <v>67</v>
      </c>
      <c r="I98" s="74">
        <f t="array" aca="1" ref="I98" ca="1">IFERROR(I96/SUM(INDIRECT($E96&amp;"["&amp;$F96&amp;"]")*(INDIRECT($E96&amp;"[yr]")=(I$5-1))*(INDIRECT($E96&amp;"[wk]")=I$6)*(IF($G$2=0,1,(INDIRECT($E96&amp;"[siteflag]")=$G$2))))-1,0)</f>
        <v>298.5</v>
      </c>
      <c r="J98" s="74">
        <f t="array" aca="1" ref="J98" ca="1">IFERROR(J96/SUM(INDIRECT($E96&amp;"["&amp;$F96&amp;"]")*(INDIRECT($E96&amp;"[yr]")=(J$5-1))*(INDIRECT($E96&amp;"[wk]")=J$6)*(IF($G$2=0,1,(INDIRECT($E96&amp;"[siteflag]")=$G$2))))-1,0)</f>
        <v>109.2</v>
      </c>
      <c r="K98" s="74">
        <f t="array" aca="1" ref="K98" ca="1">IFERROR(K96/SUM(INDIRECT($E96&amp;"["&amp;$F96&amp;"]")*(INDIRECT($E96&amp;"[yr]")=(K$5-1))*(INDIRECT($E96&amp;"[wk]")=K$6)*(IF($G$2=0,1,(INDIRECT($E96&amp;"[siteflag]")=$G$2))))-1,0)</f>
        <v>145.66666666666666</v>
      </c>
      <c r="L98" s="74">
        <f t="array" aca="1" ref="L98" ca="1">IFERROR(L96/SUM(INDIRECT($E96&amp;"["&amp;$F96&amp;"]")*(INDIRECT($E96&amp;"[yr]")=(L$5-1))*(INDIRECT($E96&amp;"[wk]")=L$6)*(IF($G$2=0,1,(INDIRECT($E96&amp;"[siteflag]")=$G$2))))-1,0)</f>
        <v>158</v>
      </c>
      <c r="M98" s="74">
        <f t="array" aca="1" ref="M98" ca="1">IFERROR(M96/SUM(INDIRECT($E96&amp;"["&amp;$F96&amp;"]")*(INDIRECT($E96&amp;"[yr]")=(M$5-1))*(INDIRECT($E96&amp;"[wk]")=M$6)*(IF($G$2=0,1,(INDIRECT($E96&amp;"[siteflag]")=$G$2))))-1,0)</f>
        <v>311</v>
      </c>
      <c r="N98" s="74">
        <f t="array" aca="1" ref="N98" ca="1">IFERROR(N96/SUM(INDIRECT($E96&amp;"["&amp;$F96&amp;"]")*(INDIRECT($E96&amp;"[yr]")=(N$5-1))*(INDIRECT($E96&amp;"[wk]")=N$6)*(IF($G$2=0,1,(INDIRECT($E96&amp;"[siteflag]")=$G$2))))-1,0)</f>
        <v>380</v>
      </c>
      <c r="O98" s="74">
        <f t="array" aca="1" ref="O98" ca="1">IFERROR(O96/SUM(INDIRECT($E96&amp;"["&amp;$F96&amp;"]")*(INDIRECT($E96&amp;"[yr]")=(O$5-1))*(INDIRECT($E96&amp;"[wk]")=O$6)*(IF($G$2=0,1,(INDIRECT($E96&amp;"[siteflag]")=$G$2))))-1,0)</f>
        <v>108.5</v>
      </c>
      <c r="P98" s="91">
        <f t="array" aca="1" ref="P98" ca="1">IFERROR(P96/SUM(INDIRECT($E96&amp;"["&amp;$F96&amp;"]")*(INDIRECT($E96&amp;"[yr]")=(P$5-1))*(INDIRECT($E96&amp;"[wk]")=P$6)*(IF($G$2=0,1,(INDIRECT($E96&amp;"[siteflag]")=$G$2))))-1,0)</f>
        <v>478</v>
      </c>
      <c r="Q98" s="74">
        <f t="array" aca="1" ref="Q98" ca="1">IFERROR(Q96/SUM(INDIRECT($E96&amp;"["&amp;$F96&amp;"]")*(INDIRECT($E96&amp;"[yr]")=(Q$5-1))*(INDIRECT($E96&amp;"[wk]")=Q$6)*(IF($G$2=0,1,(INDIRECT($E96&amp;"[siteflag]")=$G$2))))-1,0)</f>
        <v>0</v>
      </c>
      <c r="R98" s="74">
        <f t="array" aca="1" ref="R98" ca="1">IFERROR(R96/SUM(INDIRECT($E96&amp;"["&amp;$F96&amp;"]")*(INDIRECT($E96&amp;"[yr]")=(R$5-1))*(INDIRECT($E96&amp;"[wk]")=R$6)*(IF($G$2=0,1,(INDIRECT($E96&amp;"[siteflag]")=$G$2))))-1,0)</f>
        <v>82.4</v>
      </c>
      <c r="S98" s="151">
        <f t="array" aca="1" ref="S98" ca="1">IFERROR(S96/SUM(INDIRECT($E96&amp;"["&amp;$F96&amp;"]")*(INDIRECT($E96&amp;"[yr]")=(S$5-1))*(INDIRECT($E96&amp;"[wk]")=S$6)*(IF($G$2=0,1,(INDIRECT($E96&amp;"[siteflag]")=$G$2))))-1,0)</f>
        <v>128</v>
      </c>
      <c r="T98" s="151">
        <f t="array" aca="1" ref="T98" ca="1">IFERROR(T96/SUM(INDIRECT($E96&amp;"["&amp;$F96&amp;"]")*(INDIRECT($E96&amp;"[yr]")=(T$5-1))*(INDIRECT($E96&amp;"[wk]")=T$6)*(IF($G$2=0,1,(INDIRECT($E96&amp;"[siteflag]")=$G$2))))-1,0)</f>
        <v>225.5</v>
      </c>
      <c r="U98" s="54">
        <f t="array" aca="1" ref="U98" ca="1">SUM(Q98:T98*$Q$69:$T$69)/SUM($Q$69:$T$69)</f>
        <v>107.54761035145899</v>
      </c>
      <c r="V98" s="54"/>
      <c r="W98" s="55"/>
      <c r="X98" s="56"/>
    </row>
    <row r="99" spans="2:24" ht="3" customHeight="1" x14ac:dyDescent="0.4">
      <c r="C99" s="145"/>
      <c r="D99" s="61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61"/>
      <c r="Q99" s="57"/>
      <c r="R99" s="57"/>
      <c r="S99" s="149"/>
      <c r="T99" s="149"/>
      <c r="U99" s="57"/>
      <c r="V99" s="57"/>
      <c r="W99" s="57"/>
      <c r="X99" s="62"/>
    </row>
    <row r="100" spans="2:24" ht="13.5" customHeight="1" x14ac:dyDescent="0.4">
      <c r="B100" s="328" t="s">
        <v>294</v>
      </c>
      <c r="D100" s="203" t="s">
        <v>295</v>
      </c>
      <c r="E100" s="63" t="s">
        <v>108</v>
      </c>
      <c r="F100" t="s">
        <v>166</v>
      </c>
      <c r="I100" s="232">
        <f t="array" aca="1" ref="I100" ca="1">SUM(INDIRECT($E100&amp;"["&amp;$F100&amp;"]")*(INDIRECT($E100&amp;"[yr]")=I$5)*(INDIRECT($E100&amp;"[wk]")=I$6)*(INDIRECT($E100&amp;"[taskflag]")="P")*(INDIRECT($E100&amp;"[errortype]")="SwapOrders"))</f>
        <v>5</v>
      </c>
      <c r="J100" s="232">
        <f t="array" aca="1" ref="J100" ca="1">SUM(INDIRECT($E100&amp;"["&amp;$F100&amp;"]")*(INDIRECT($E100&amp;"[yr]")=J$5)*(INDIRECT($E100&amp;"[wk]")=J$6)*(INDIRECT($E100&amp;"[taskflag]")="P")*(INDIRECT($E100&amp;"[errortype]")="SwapOrders"))</f>
        <v>7</v>
      </c>
      <c r="K100" s="232">
        <f t="array" aca="1" ref="K100" ca="1">SUM(INDIRECT($E100&amp;"["&amp;$F100&amp;"]")*(INDIRECT($E100&amp;"[yr]")=K$5)*(INDIRECT($E100&amp;"[wk]")=K$6)*(INDIRECT($E100&amp;"[taskflag]")="P")*(INDIRECT($E100&amp;"[errortype]")="SwapOrders"))</f>
        <v>3</v>
      </c>
      <c r="L100" s="232">
        <f t="array" aca="1" ref="L100" ca="1">SUM(INDIRECT($E100&amp;"["&amp;$F100&amp;"]")*(INDIRECT($E100&amp;"[yr]")=L$5)*(INDIRECT($E100&amp;"[wk]")=L$6)*(INDIRECT($E100&amp;"[taskflag]")="P")*(INDIRECT($E100&amp;"[errortype]")="SwapOrders"))</f>
        <v>3</v>
      </c>
      <c r="M100" s="232">
        <f t="array" aca="1" ref="M100" ca="1">SUM(INDIRECT($E100&amp;"["&amp;$F100&amp;"]")*(INDIRECT($E100&amp;"[yr]")=M$5)*(INDIRECT($E100&amp;"[wk]")=M$6)*(INDIRECT($E100&amp;"[taskflag]")="P")*(INDIRECT($E100&amp;"[errortype]")="SwapOrders"))</f>
        <v>8</v>
      </c>
      <c r="N100" s="232">
        <f t="array" aca="1" ref="N100" ca="1">SUM(INDIRECT($E100&amp;"["&amp;$F100&amp;"]")*(INDIRECT($E100&amp;"[yr]")=N$5)*(INDIRECT($E100&amp;"[wk]")=N$6)*(INDIRECT($E100&amp;"[taskflag]")="P")*(INDIRECT($E100&amp;"[errortype]")="SwapOrders"))</f>
        <v>7</v>
      </c>
      <c r="O100" s="232">
        <f ca="1">SUM(INDIRECT($E100&amp;"["&amp;$F100&amp;"]")*(INDIRECT($E100&amp;"[yr]")=O$5)*(INDIRECT($E100&amp;"[wk]")=O$6)*(INDIRECT($E100&amp;"[taskflag]")="P")*(INDIRECT($E100&amp;"[errortype]")="SwapOrders"))</f>
        <v>0</v>
      </c>
      <c r="P100" s="150">
        <f ca="1">SUM(INDIRECT($E100&amp;"["&amp;$F100&amp;"]")*(INDIRECT($E100&amp;"[yr]")=P$5)*(INDIRECT($E100&amp;"[wk]")=P$6)*(INDIRECT($E100&amp;"[taskflag]")="P")*(INDIRECT($E100&amp;"[errortype]")="SwapOrders"))</f>
        <v>0</v>
      </c>
      <c r="Q100" s="232">
        <f t="array" aca="1" ref="Q100" ca="1">SUM(INDIRECT($E100&amp;"["&amp;$F100&amp;"]")*(INDIRECT($E100&amp;"[yr]")=Q$5)*(INDIRECT($E100&amp;"[wk]")=Q$6)*(INDIRECT($E100&amp;"[taskflag]")="P")*(INDIRECT($E100&amp;"[errortype]")="SwapOrders"))</f>
        <v>7</v>
      </c>
      <c r="R100" s="232">
        <f t="array" aca="1" ref="R100" ca="1">SUM(INDIRECT($E100&amp;"["&amp;$F100&amp;"]")*(INDIRECT($E100&amp;"[yr]")=R$5)*(INDIRECT($E100&amp;"[wk]")=R$6)*(INDIRECT($E100&amp;"[taskflag]")="P")*(INDIRECT($E100&amp;"[errortype]")="SwapOrders"))</f>
        <v>3</v>
      </c>
      <c r="S100" s="235">
        <f t="array" aca="1" ref="S100" ca="1">SUM(INDIRECT($E100&amp;"["&amp;$F100&amp;"]")*(INDIRECT($E100&amp;"[yr]")=S$5)*(INDIRECT($E100&amp;"[wk]")=S$6)*(INDIRECT($E100&amp;"[taskflag]")="P")*(INDIRECT($E100&amp;"[errortype]")="SwapOrders"))</f>
        <v>5</v>
      </c>
      <c r="T100" s="233">
        <f t="array" aca="1" ref="T100" ca="1">SUM(INDIRECT($E100&amp;"["&amp;$F100&amp;"]")*(INDIRECT($E100&amp;"[yr]")=T$5)*(INDIRECT($E100&amp;"[wk]")=T$6)*(INDIRECT($E100&amp;"[taskflag]")="P")*(INDIRECT($E100&amp;"[errortype]")="SwapOrders"))</f>
        <v>6</v>
      </c>
      <c r="U100" s="150">
        <f ca="1">AVERAGE(Q100:T100)</f>
        <v>5.25</v>
      </c>
      <c r="V100" s="49">
        <f t="array" aca="1" ref="V100" ca="1">SUM(T100/S100)-1</f>
        <v>0.19999999999999996</v>
      </c>
      <c r="W100" s="127"/>
      <c r="X100" s="49"/>
    </row>
    <row r="101" spans="2:24" ht="3" customHeight="1" x14ac:dyDescent="0.4">
      <c r="B101" s="329"/>
      <c r="D101" s="61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61"/>
      <c r="Q101" s="57"/>
      <c r="R101" s="57"/>
      <c r="S101" s="57"/>
      <c r="T101" s="59"/>
      <c r="U101" s="60"/>
      <c r="V101" s="61"/>
      <c r="W101" s="62"/>
      <c r="X101" s="61"/>
    </row>
    <row r="102" spans="2:24" ht="14.15" customHeight="1" x14ac:dyDescent="0.4">
      <c r="B102" s="330"/>
      <c r="D102" s="201" t="s">
        <v>296</v>
      </c>
      <c r="E102" s="63" t="s">
        <v>108</v>
      </c>
      <c r="F102" s="63" t="s">
        <v>166</v>
      </c>
      <c r="G102" s="63"/>
      <c r="H102" s="63"/>
      <c r="I102" s="197">
        <f t="array" aca="1" ref="I102" ca="1">SUM(INDIRECT($E102&amp;"["&amp;$F102&amp;"]")*(INDIRECT($E102&amp;"[yr]")=I$5)*(INDIRECT($E102&amp;"[wk]")=I$6)*(INDIRECT($E102&amp;"[taskflag]")="Rt")*(INDIRECT($E102&amp;"[errortype]")="ReturnError"))</f>
        <v>42</v>
      </c>
      <c r="J102" s="197">
        <f t="array" aca="1" ref="J102" ca="1">SUM(INDIRECT($E102&amp;"["&amp;$F102&amp;"]")*(INDIRECT($E102&amp;"[yr]")=J$5)*(INDIRECT($E102&amp;"[wk]")=J$6)*(INDIRECT($E102&amp;"[taskflag]")="Rt")*(INDIRECT($E102&amp;"[errortype]")="ReturnError"))</f>
        <v>63</v>
      </c>
      <c r="K102" s="197">
        <f t="array" aca="1" ref="K102" ca="1">SUM(INDIRECT($E102&amp;"["&amp;$F102&amp;"]")*(INDIRECT($E102&amp;"[yr]")=K$5)*(INDIRECT($E102&amp;"[wk]")=K$6)*(INDIRECT($E102&amp;"[taskflag]")="Rt")*(INDIRECT($E102&amp;"[errortype]")="ReturnError"))</f>
        <v>28</v>
      </c>
      <c r="L102" s="197">
        <f t="array" aca="1" ref="L102" ca="1">SUM(INDIRECT($E102&amp;"["&amp;$F102&amp;"]")*(INDIRECT($E102&amp;"[yr]")=L$5)*(INDIRECT($E102&amp;"[wk]")=L$6)*(INDIRECT($E102&amp;"[taskflag]")="Rt")*(INDIRECT($E102&amp;"[errortype]")="ReturnError"))</f>
        <v>18</v>
      </c>
      <c r="M102" s="197">
        <f t="array" aca="1" ref="M102" ca="1">SUM(INDIRECT($E102&amp;"["&amp;$F102&amp;"]")*(INDIRECT($E102&amp;"[yr]")=M$5)*(INDIRECT($E102&amp;"[wk]")=M$6)*(INDIRECT($E102&amp;"[taskflag]")="Rt")*(INDIRECT($E102&amp;"[errortype]")="ReturnError"))</f>
        <v>21</v>
      </c>
      <c r="N102" s="197">
        <f t="array" aca="1" ref="N102" ca="1">SUM(INDIRECT($E102&amp;"["&amp;$F102&amp;"]")*(INDIRECT($E102&amp;"[yr]")=N$5)*(INDIRECT($E102&amp;"[wk]")=N$6)*(INDIRECT($E102&amp;"[taskflag]")="Rt")*(INDIRECT($E102&amp;"[errortype]")="ReturnError"))</f>
        <v>32</v>
      </c>
      <c r="O102" s="197">
        <f t="array" aca="1" ref="O102" ca="1">SUM(INDIRECT($E102&amp;"["&amp;$F102&amp;"]")*(INDIRECT($E102&amp;"[yr]")=O$5)*(INDIRECT($E102&amp;"[wk]")=O$6)*(INDIRECT($E102&amp;"[taskflag]")="Rt")*(INDIRECT($E102&amp;"[errortype]")="ReturnError"))</f>
        <v>35</v>
      </c>
      <c r="P102" s="234">
        <f t="array" aca="1" ref="P102" ca="1">SUM(INDIRECT($E102&amp;"["&amp;$F102&amp;"]")*(INDIRECT($E102&amp;"[yr]")=P$5)*(INDIRECT($E102&amp;"[wk]")=P$6)*(INDIRECT($E102&amp;"[taskflag]")="Rt")*(INDIRECT($E102&amp;"[errortype]")="ReturnError"))</f>
        <v>18</v>
      </c>
      <c r="Q102" s="197">
        <f t="array" aca="1" ref="Q102" ca="1">SUM(INDIRECT($E102&amp;"["&amp;$F102&amp;"]")*(INDIRECT($E102&amp;"[yr]")=Q$5)*(INDIRECT($E102&amp;"[wk]")=Q$6)*(INDIRECT($E102&amp;"[taskflag]")="Rt")*(INDIRECT($E102&amp;"[errortype]")="ReturnError"))</f>
        <v>22</v>
      </c>
      <c r="R102" s="197">
        <f t="array" aca="1" ref="R102" ca="1">SUM(INDIRECT($E102&amp;"["&amp;$F102&amp;"]")*(INDIRECT($E102&amp;"[yr]")=R$5)*(INDIRECT($E102&amp;"[wk]")=R$6)*(INDIRECT($E102&amp;"[taskflag]")="Rt")*(INDIRECT($E102&amp;"[errortype]")="ReturnError"))</f>
        <v>10</v>
      </c>
      <c r="S102" s="197">
        <f t="array" aca="1" ref="S102" ca="1">SUM(INDIRECT($E102&amp;"["&amp;$F102&amp;"]")*(INDIRECT($E102&amp;"[yr]")=S$5)*(INDIRECT($E102&amp;"[wk]")=S$6)*(INDIRECT($E102&amp;"[taskflag]")="Rt")*(INDIRECT($E102&amp;"[errortype]")="ReturnError"))</f>
        <v>12</v>
      </c>
      <c r="T102" s="95">
        <f t="array" aca="1" ref="T102" ca="1">SUM(INDIRECT($E102&amp;"["&amp;$F102&amp;"]")*(INDIRECT($E102&amp;"[yr]")=T$5)*(INDIRECT($E102&amp;"[wk]")=T$6)*(INDIRECT($E102&amp;"[taskflag]")="Rt")*(INDIRECT($E102&amp;"[errortype]")="ReturnError"))</f>
        <v>5</v>
      </c>
      <c r="U102" s="72">
        <f ca="1">AVERAGE(Q102:T102)</f>
        <v>12.25</v>
      </c>
      <c r="V102" s="47">
        <f t="array" aca="1" ref="V102" ca="1">SUM(T102/S102)-1</f>
        <v>-0.58333333333333326</v>
      </c>
      <c r="W102" s="131"/>
      <c r="X102" s="49"/>
    </row>
    <row r="103" spans="2:24" ht="3" customHeight="1" x14ac:dyDescent="0.4">
      <c r="C103" s="145"/>
      <c r="D103" s="61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61"/>
      <c r="Q103" s="57"/>
      <c r="R103" s="57"/>
      <c r="S103" s="149"/>
      <c r="T103" s="149"/>
      <c r="U103" s="57"/>
      <c r="V103" s="57"/>
      <c r="W103" s="57"/>
      <c r="X103" s="62"/>
    </row>
    <row r="104" spans="2:24" ht="14.15" customHeight="1" x14ac:dyDescent="0.4">
      <c r="B104" s="328" t="s">
        <v>131</v>
      </c>
      <c r="D104" s="203" t="s">
        <v>132</v>
      </c>
      <c r="E104" s="63" t="s">
        <v>125</v>
      </c>
      <c r="F104" t="s">
        <v>133</v>
      </c>
      <c r="I104" s="126">
        <f t="array" aca="1" ref="I104" ca="1">SUM(INDIRECT($E104&amp;"["&amp;$F104&amp;"]")*(INDIRECT($E104&amp;"[yr]")=I$5)*(INDIRECT($E104&amp;"[wk]")=I$6)*(IF($G$2=0,1,(INDIRECT($E104&amp;"[siteflag]")=$G$2)))/1000)</f>
        <v>147.32499999999999</v>
      </c>
      <c r="J104" s="126">
        <f t="array" aca="1" ref="J104" ca="1">SUM(INDIRECT($E104&amp;"["&amp;$F104&amp;"]")*(INDIRECT($E104&amp;"[yr]")=J$5)*(INDIRECT($E104&amp;"[wk]")=J$6)*(IF($G$2=0,1,(INDIRECT($E104&amp;"[siteflag]")=$G$2)))/1000)</f>
        <v>145.08600000000001</v>
      </c>
      <c r="K104" s="126">
        <f t="array" aca="1" ref="K104" ca="1">SUM(INDIRECT($E104&amp;"["&amp;$F104&amp;"]")*(INDIRECT($E104&amp;"[yr]")=K$5)*(INDIRECT($E104&amp;"[wk]")=K$6)*(IF($G$2=0,1,(INDIRECT($E104&amp;"[siteflag]")=$G$2)))/1000)</f>
        <v>148.96</v>
      </c>
      <c r="L104" s="126">
        <f t="array" aca="1" ref="L104" ca="1">SUM(INDIRECT($E104&amp;"["&amp;$F104&amp;"]")*(INDIRECT($E104&amp;"[yr]")=L$5)*(INDIRECT($E104&amp;"[wk]")=L$6)*(IF($G$2=0,1,(INDIRECT($E104&amp;"[siteflag]")=$G$2)))/1000)</f>
        <v>154.99299999999999</v>
      </c>
      <c r="M104" s="126">
        <f t="array" aca="1" ref="M104" ca="1">SUM(INDIRECT($E104&amp;"["&amp;$F104&amp;"]")*(INDIRECT($E104&amp;"[yr]")=M$5)*(INDIRECT($E104&amp;"[wk]")=M$6)*(IF($G$2=0,1,(INDIRECT($E104&amp;"[siteflag]")=$G$2)))/1000)</f>
        <v>71.709000000000003</v>
      </c>
      <c r="N104" s="126">
        <f t="array" aca="1" ref="N104" ca="1">SUM(INDIRECT($E104&amp;"["&amp;$F104&amp;"]")*(INDIRECT($E104&amp;"[yr]")=N$5)*(INDIRECT($E104&amp;"[wk]")=N$6)*(IF($G$2=0,1,(INDIRECT($E104&amp;"[siteflag]")=$G$2)))/1000)</f>
        <v>131.63499999999999</v>
      </c>
      <c r="O104" s="126">
        <f t="array" aca="1" ref="O104" ca="1">SUM(INDIRECT($E104&amp;"["&amp;$F104&amp;"]")*(INDIRECT($E104&amp;"[yr]")=O$5)*(INDIRECT($E104&amp;"[wk]")=O$6)*(IF($G$2=0,1,(INDIRECT($E104&amp;"[siteflag]")=$G$2)))/1000)</f>
        <v>147.08000000000001</v>
      </c>
      <c r="P104" s="147">
        <f t="array" aca="1" ref="P104" ca="1">SUM(INDIRECT($E104&amp;"["&amp;$F104&amp;"]")*(INDIRECT($E104&amp;"[yr]")=P$5)*(INDIRECT($E104&amp;"[wk]")=P$6)*(IF($G$2=0,1,(INDIRECT($E104&amp;"[siteflag]")=$G$2)))/1000)</f>
        <v>149.512</v>
      </c>
      <c r="Q104" s="126">
        <f t="array" aca="1" ref="Q104" ca="1">SUM(INDIRECT($E104&amp;"["&amp;$F104&amp;"]")*(INDIRECT($E104&amp;"[yr]")=Q$5)*(INDIRECT($E104&amp;"[wk]")=Q$6)*(IF($G$2=0,1,(INDIRECT($E104&amp;"[siteflag]")=$G$2)))/1000)</f>
        <v>155.25899999999999</v>
      </c>
      <c r="R104" s="126">
        <f t="array" aca="1" ref="R104" ca="1">SUM(INDIRECT($E104&amp;"["&amp;$F104&amp;"]")*(INDIRECT($E104&amp;"[yr]")=R$5)*(INDIRECT($E104&amp;"[wk]")=R$6)*(IF($G$2=0,1,(INDIRECT($E104&amp;"[siteflag]")=$G$2)))/1000)</f>
        <v>132.899</v>
      </c>
      <c r="S104" s="148">
        <f t="array" aca="1" ref="S104" ca="1">SUM(INDIRECT($E104&amp;"["&amp;$F104&amp;"]")*(INDIRECT($E104&amp;"[yr]")=S$5)*(INDIRECT($E104&amp;"[wk]")=S$6)*(IF($G$2=0,1,(INDIRECT($E104&amp;"[siteflag]")=$G$2)))/1000)</f>
        <v>136.053</v>
      </c>
      <c r="T104" s="194">
        <f t="array" aca="1" ref="T104" ca="1">SUM(INDIRECT($E104&amp;"["&amp;$F104&amp;"]")*(INDIRECT($E104&amp;"[yr]")=T$5)*(INDIRECT($E104&amp;"[wk]")=T$6)*(IF($G$2=0,1,(INDIRECT($E104&amp;"[siteflag]")=$G$2)))/1000)</f>
        <v>126.404</v>
      </c>
      <c r="U104" s="150">
        <f ca="1">SUM(Q104:T104)</f>
        <v>550.61500000000001</v>
      </c>
      <c r="V104" s="49">
        <f t="array" aca="1" ref="V104" ca="1">SUM(T104/S104)-1</f>
        <v>-7.0920891123312235E-2</v>
      </c>
      <c r="W104" s="127"/>
      <c r="X104" s="49"/>
    </row>
    <row r="105" spans="2:24" ht="14.15" customHeight="1" x14ac:dyDescent="0.4">
      <c r="B105" s="329"/>
      <c r="D105" s="204" t="s">
        <v>67</v>
      </c>
      <c r="I105" s="74">
        <f t="array" aca="1" ref="I105" ca="1">I104/SUM(INDIRECT($E104&amp;"["&amp;$F104&amp;"]")*(INDIRECT($E104&amp;"[yr]")=(I$5-1))*(INDIRECT($E104&amp;"[wk]")=I$6)*(IF($G$2=0,1,(INDIRECT($E104&amp;"[siteflag]")=$G$2)))/1000)-1</f>
        <v>-0.15922385504351555</v>
      </c>
      <c r="J105" s="74">
        <f t="array" aca="1" ref="J105" ca="1">J104/SUM(INDIRECT($E104&amp;"["&amp;$F104&amp;"]")*(INDIRECT($E104&amp;"[yr]")=(J$5-1))*(INDIRECT($E104&amp;"[wk]")=J$6)*(IF($G$2=0,1,(INDIRECT($E104&amp;"[siteflag]")=$G$2)))/1000)-1</f>
        <v>-0.33533683029067496</v>
      </c>
      <c r="K105" s="74">
        <f t="array" aca="1" ref="K105" ca="1">K104/SUM(INDIRECT($E104&amp;"["&amp;$F104&amp;"]")*(INDIRECT($E104&amp;"[yr]")=(K$5-1))*(INDIRECT($E104&amp;"[wk]")=K$6)*(IF($G$2=0,1,(INDIRECT($E104&amp;"[siteflag]")=$G$2)))/1000)-1</f>
        <v>-0.20784497245325562</v>
      </c>
      <c r="L105" s="74">
        <f t="array" aca="1" ref="L105" ca="1">L104/SUM(INDIRECT($E104&amp;"["&amp;$F104&amp;"]")*(INDIRECT($E104&amp;"[yr]")=(L$5-1))*(INDIRECT($E104&amp;"[wk]")=L$6)*(IF($G$2=0,1,(INDIRECT($E104&amp;"[siteflag]")=$G$2)))/1000)-1</f>
        <v>0.10747256202126443</v>
      </c>
      <c r="M105" s="74">
        <f t="array" aca="1" ref="M105" ca="1">M104/SUM(INDIRECT($E104&amp;"["&amp;$F104&amp;"]")*(INDIRECT($E104&amp;"[yr]")=(M$5-1))*(INDIRECT($E104&amp;"[wk]")=M$6)*(IF($G$2=0,1,(INDIRECT($E104&amp;"[siteflag]")=$G$2)))/1000)-1</f>
        <v>-0.40005521811154054</v>
      </c>
      <c r="N105" s="74">
        <f t="array" aca="1" ref="N105" ca="1">N104/SUM(INDIRECT($E104&amp;"["&amp;$F104&amp;"]")*(INDIRECT($E104&amp;"[yr]")=(N$5-1))*(INDIRECT($E104&amp;"[wk]")=N$6)*(IF($G$2=0,1,(INDIRECT($E104&amp;"[siteflag]")=$G$2)))/1000)-1</f>
        <v>-8.1306487071221678E-2</v>
      </c>
      <c r="O105" s="74">
        <f t="array" aca="1" ref="O105" ca="1">O104/SUM(INDIRECT($E104&amp;"["&amp;$F104&amp;"]")*(INDIRECT($E104&amp;"[yr]")=(O$5-1))*(INDIRECT($E104&amp;"[wk]")=O$6)*(IF($G$2=0,1,(INDIRECT($E104&amp;"[siteflag]")=$G$2)))/1000)-1</f>
        <v>4.2869095395436707E-2</v>
      </c>
      <c r="P105" s="91">
        <f t="array" aca="1" ref="P105" ca="1">P104/SUM(INDIRECT($E104&amp;"["&amp;$F104&amp;"]")*(INDIRECT($E104&amp;"[yr]")=(P$5-1))*(INDIRECT($E104&amp;"[wk]")=P$6)*(IF($G$2=0,1,(INDIRECT($E104&amp;"[siteflag]")=$G$2)))/1000)-1</f>
        <v>3.1063609953774218E-3</v>
      </c>
      <c r="Q105" s="74">
        <f t="array" aca="1" ref="Q105" ca="1">Q104/SUM(INDIRECT($E104&amp;"["&amp;$F104&amp;"]")*(INDIRECT($E104&amp;"[yr]")=(Q$5-1))*(INDIRECT($E104&amp;"[wk]")=Q$6)*(IF($G$2=0,1,(INDIRECT($E104&amp;"[siteflag]")=$G$2)))/1000)-1</f>
        <v>-3.6980294130417368E-2</v>
      </c>
      <c r="R105" s="74">
        <f t="array" aca="1" ref="R105" ca="1">R104/SUM(INDIRECT($E104&amp;"["&amp;$F104&amp;"]")*(INDIRECT($E104&amp;"[yr]")=(R$5-1))*(INDIRECT($E104&amp;"[wk]")=R$6)*(IF($G$2=0,1,(INDIRECT($E104&amp;"[siteflag]")=$G$2)))/1000)-1</f>
        <v>-0.23586570914380667</v>
      </c>
      <c r="S105" s="74">
        <f t="array" aca="1" ref="S105" ca="1">S104/SUM(INDIRECT($E104&amp;"["&amp;$F104&amp;"]")*(INDIRECT($E104&amp;"[yr]")=(S$5-1))*(INDIRECT($E104&amp;"[wk]")=S$6)*(IF($G$2=0,1,(INDIRECT($E104&amp;"[siteflag]")=$G$2)))/1000)-1</f>
        <v>-0.32713649851632043</v>
      </c>
      <c r="T105" s="76">
        <f t="array" aca="1" ref="T105" ca="1">T104/SUM(INDIRECT($E104&amp;"["&amp;$F104&amp;"]")*(INDIRECT($E104&amp;"[yr]")=(T$5-1))*(INDIRECT($E104&amp;"[wk]")=T$6)*(IF($G$2=0,1,(INDIRECT($E104&amp;"[siteflag]")=$G$2)))/1000)-1</f>
        <v>-0.27852009977112002</v>
      </c>
      <c r="U105" s="53">
        <f t="array" aca="1" ref="U105" ca="1">SUMPRODUCT(Q105:T105,Q104:T104)/SUM(Q104:T104)</f>
        <v>-0.21212970422165545</v>
      </c>
      <c r="V105" s="91"/>
      <c r="W105" s="80"/>
      <c r="X105" s="56"/>
    </row>
    <row r="106" spans="2:24" ht="3" customHeight="1" x14ac:dyDescent="0.4">
      <c r="B106" s="329"/>
      <c r="D106" s="61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61"/>
      <c r="Q106" s="57"/>
      <c r="R106" s="57"/>
      <c r="S106" s="57"/>
      <c r="T106" s="59"/>
      <c r="U106" s="60"/>
      <c r="V106" s="61"/>
      <c r="W106" s="62"/>
      <c r="X106" s="61"/>
    </row>
    <row r="107" spans="2:24" ht="14.15" customHeight="1" x14ac:dyDescent="0.4">
      <c r="B107" s="329"/>
      <c r="D107" s="201" t="s">
        <v>426</v>
      </c>
      <c r="E107" s="63" t="s">
        <v>125</v>
      </c>
      <c r="F107" s="63" t="s">
        <v>134</v>
      </c>
      <c r="G107" s="63"/>
      <c r="H107" s="63"/>
      <c r="I107" s="128">
        <f t="array" aca="1" ref="I107" ca="1">SUM(INDIRECT($E104&amp;"["&amp;$F104&amp;"]")*(INDIRECT($E104&amp;"[yr]")=I$5)*(INDIRECT($E104&amp;"[wk]")=I$6)*(IF($G$2=0,1,(INDIRECT($E104&amp;"[siteflag]")=$G$2))))/SUM(INDIRECT($E107&amp;"["&amp;$F107&amp;"]")*(INDIRECT($E107&amp;"[yr]")=I$5)*(INDIRECT($E107&amp;"[wk]")=I$6)*(IF($G$2=0,1,(INDIRECT($E107&amp;"[siteflag]")=$G$2))))</f>
        <v>86.311441795067083</v>
      </c>
      <c r="J107" s="128">
        <f t="array" aca="1" ref="J107" ca="1">SUM(INDIRECT($E104&amp;"["&amp;$F104&amp;"]")*(INDIRECT($E104&amp;"[yr]")=J$5)*(INDIRECT($E104&amp;"[wk]")=J$6)*(IF($G$2=0,1,(INDIRECT($E104&amp;"[siteflag]")=$G$2))))/SUM(INDIRECT($E107&amp;"["&amp;$F107&amp;"]")*(INDIRECT($E107&amp;"[yr]")=J$5)*(INDIRECT($E107&amp;"[wk]")=J$6)*(IF($G$2=0,1,(INDIRECT($E107&amp;"[siteflag]")=$G$2))))</f>
        <v>90.576851042577104</v>
      </c>
      <c r="K107" s="128">
        <f t="array" aca="1" ref="K107" ca="1">SUM(INDIRECT($E104&amp;"["&amp;$F104&amp;"]")*(INDIRECT($E104&amp;"[yr]")=K$5)*(INDIRECT($E104&amp;"[wk]")=K$6)*(IF($G$2=0,1,(INDIRECT($E104&amp;"[siteflag]")=$G$2))))/SUM(INDIRECT($E107&amp;"["&amp;$F107&amp;"]")*(INDIRECT($E107&amp;"[yr]")=K$5)*(INDIRECT($E107&amp;"[wk]")=K$6)*(IF($G$2=0,1,(INDIRECT($E107&amp;"[siteflag]")=$G$2))))</f>
        <v>88.524395317049979</v>
      </c>
      <c r="L107" s="128">
        <f t="array" aca="1" ref="L107" ca="1">SUM(INDIRECT($E104&amp;"["&amp;$F104&amp;"]")*(INDIRECT($E104&amp;"[yr]")=L$5)*(INDIRECT($E104&amp;"[wk]")=L$6)*(IF($G$2=0,1,(INDIRECT($E104&amp;"[siteflag]")=$G$2))))/SUM(INDIRECT($E107&amp;"["&amp;$F107&amp;"]")*(INDIRECT($E107&amp;"[yr]")=L$5)*(INDIRECT($E107&amp;"[wk]")=L$6)*(IF($G$2=0,1,(INDIRECT($E107&amp;"[siteflag]")=$G$2))))</f>
        <v>104.76747329998648</v>
      </c>
      <c r="M107" s="128">
        <f t="array" aca="1" ref="M107" ca="1">SUM(INDIRECT($E104&amp;"["&amp;$F104&amp;"]")*(INDIRECT($E104&amp;"[yr]")=M$5)*(INDIRECT($E104&amp;"[wk]")=M$6)*(IF($G$2=0,1,(INDIRECT($E104&amp;"[siteflag]")=$G$2))))/SUM(INDIRECT($E107&amp;"["&amp;$F107&amp;"]")*(INDIRECT($E107&amp;"[yr]")=M$5)*(INDIRECT($E107&amp;"[wk]")=M$6)*(IF($G$2=0,1,(INDIRECT($E107&amp;"[siteflag]")=$G$2))))</f>
        <v>83.860367208513622</v>
      </c>
      <c r="N107" s="128">
        <f t="array" aca="1" ref="N107" ca="1">SUM(INDIRECT($E104&amp;"["&amp;$F104&amp;"]")*(INDIRECT($E104&amp;"[yr]")=N$5)*(INDIRECT($E104&amp;"[wk]")=N$6)*(IF($G$2=0,1,(INDIRECT($E104&amp;"[siteflag]")=$G$2))))/SUM(INDIRECT($E107&amp;"["&amp;$F107&amp;"]")*(INDIRECT($E107&amp;"[yr]")=N$5)*(INDIRECT($E107&amp;"[wk]")=N$6)*(IF($G$2=0,1,(INDIRECT($E107&amp;"[siteflag]")=$G$2))))</f>
        <v>89.074976316145623</v>
      </c>
      <c r="O107" s="128">
        <f t="array" aca="1" ref="O107" ca="1">SUM(INDIRECT($E104&amp;"["&amp;$F104&amp;"]")*(INDIRECT($E104&amp;"[yr]")=O$5)*(INDIRECT($E104&amp;"[wk]")=O$6)*(IF($G$2=0,1,(INDIRECT($E104&amp;"[siteflag]")=$G$2))))/SUM(INDIRECT($E107&amp;"["&amp;$F107&amp;"]")*(INDIRECT($E107&amp;"[yr]")=O$5)*(INDIRECT($E107&amp;"[wk]")=O$6)*(IF($G$2=0,1,(INDIRECT($E107&amp;"[siteflag]")=$G$2))))</f>
        <v>106.60288468507646</v>
      </c>
      <c r="P107" s="154">
        <f t="array" aca="1" ref="P107" ca="1">SUM(INDIRECT($E104&amp;"["&amp;$F104&amp;"]")*(INDIRECT($E104&amp;"[yr]")=P$5)*(INDIRECT($E104&amp;"[wk]")=P$6)*(IF($G$2=0,1,(INDIRECT($E104&amp;"[siteflag]")=$G$2))))/SUM(INDIRECT($E107&amp;"["&amp;$F107&amp;"]")*(INDIRECT($E107&amp;"[yr]")=P$5)*(INDIRECT($E107&amp;"[wk]")=P$6)*(IF($G$2=0,1,(INDIRECT($E107&amp;"[siteflag]")=$G$2))))</f>
        <v>106.77140612725844</v>
      </c>
      <c r="Q107" s="128">
        <f t="array" aca="1" ref="Q107" ca="1">SUM(INDIRECT($E104&amp;"["&amp;$F104&amp;"]")*(INDIRECT($E104&amp;"[yr]")=Q$5)*(INDIRECT($E104&amp;"[wk]")=Q$6)*(IF($G$2=0,1,(INDIRECT($E104&amp;"[siteflag]")=$G$2))))/SUM(INDIRECT($E107&amp;"["&amp;$F107&amp;"]")*(INDIRECT($E107&amp;"[yr]")=Q$5)*(INDIRECT($E107&amp;"[wk]")=Q$6)*(IF($G$2=0,1,(INDIRECT($E107&amp;"[siteflag]")=$G$2))))</f>
        <v>106.31993426008354</v>
      </c>
      <c r="R107" s="128">
        <f t="array" aca="1" ref="R107" ca="1">SUM(INDIRECT($E104&amp;"["&amp;$F104&amp;"]")*(INDIRECT($E104&amp;"[yr]")=R$5)*(INDIRECT($E104&amp;"[wk]")=R$6)*(IF($G$2=0,1,(INDIRECT($E104&amp;"[siteflag]")=$G$2))))/SUM(INDIRECT($E107&amp;"["&amp;$F107&amp;"]")*(INDIRECT($E107&amp;"[yr]")=R$5)*(INDIRECT($E107&amp;"[wk]")=R$6)*(IF($G$2=0,1,(INDIRECT($E107&amp;"[siteflag]")=$G$2))))</f>
        <v>100.29356274998113</v>
      </c>
      <c r="S107" s="128">
        <f t="array" aca="1" ref="S107" ca="1">SUM(INDIRECT($E104&amp;"["&amp;$F104&amp;"]")*(INDIRECT($E104&amp;"[yr]")=S$5)*(INDIRECT($E104&amp;"[wk]")=S$6)*(IF($G$2=0,1,(INDIRECT($E104&amp;"[siteflag]")=$G$2))))/SUM(INDIRECT($E107&amp;"["&amp;$F107&amp;"]")*(INDIRECT($E107&amp;"[yr]")=S$5)*(INDIRECT($E107&amp;"[wk]")=S$6)*(IF($G$2=0,1,(INDIRECT($E107&amp;"[siteflag]")=$G$2))))</f>
        <v>106.17527704073669</v>
      </c>
      <c r="T107" s="129">
        <f t="array" aca="1" ref="T107" ca="1">SUM(INDIRECT($E104&amp;"["&amp;$F104&amp;"]")*(INDIRECT($E104&amp;"[yr]")=T$5)*(INDIRECT($E104&amp;"[wk]")=T$6)*(IF($G$2=0,1,(INDIRECT($E104&amp;"[siteflag]")=$G$2))))/SUM(INDIRECT($E107&amp;"["&amp;$F107&amp;"]")*(INDIRECT($E107&amp;"[yr]")=T$5)*(INDIRECT($E107&amp;"[wk]")=T$6)*(IF($G$2=0,1,(INDIRECT($E107&amp;"[siteflag]")=$G$2))))</f>
        <v>97.398674680228083</v>
      </c>
      <c r="U107" s="130">
        <f ca="1">AVERAGE(Q107:T107)</f>
        <v>102.54686218275737</v>
      </c>
      <c r="V107" s="47">
        <f t="array" aca="1" ref="V107" ca="1">SUM(T107/S107)-1</f>
        <v>-8.2661450058107655E-2</v>
      </c>
      <c r="W107" s="131">
        <v>120</v>
      </c>
      <c r="X107" s="49"/>
    </row>
    <row r="108" spans="2:24" ht="14.15" customHeight="1" x14ac:dyDescent="0.4">
      <c r="B108" s="329"/>
      <c r="D108" s="204" t="s">
        <v>67</v>
      </c>
      <c r="I108" s="74">
        <f t="array" aca="1" ref="I108" ca="1">I107/(SUM(INDIRECT($E104&amp;"["&amp;$F104&amp;"]")*(INDIRECT($E104&amp;"[yr]")=(I$5-1))*(INDIRECT($E104&amp;"[wk]")=I$6)*(IF($G$2=0,1,(INDIRECT($E104&amp;"[siteflag]")=$G$2))))/SUM(INDIRECT($E107&amp;"["&amp;$F107&amp;"]")*(INDIRECT($E107&amp;"[yr]")=(I$5-1))*(INDIRECT($E107&amp;"[wk]")=I$6)*(IF($G$2=0,1,(INDIRECT($E107&amp;"[siteflag]")=$G$2)))))-1</f>
        <v>-0.10641982273972783</v>
      </c>
      <c r="J108" s="74">
        <f t="array" aca="1" ref="J108" ca="1">J107/(SUM(INDIRECT($E104&amp;"["&amp;$F104&amp;"]")*(INDIRECT($E104&amp;"[yr]")=(J$5-1))*(INDIRECT($E104&amp;"[wk]")=J$6)*(IF($G$2=0,1,(INDIRECT($E104&amp;"[siteflag]")=$G$2))))/SUM(INDIRECT($E107&amp;"["&amp;$F107&amp;"]")*(INDIRECT($E107&amp;"[yr]")=(J$5-1))*(INDIRECT($E107&amp;"[wk]")=J$6)*(IF($G$2=0,1,(INDIRECT($E107&amp;"[siteflag]")=$G$2)))))-1</f>
        <v>-0.17101755497235016</v>
      </c>
      <c r="K108" s="74">
        <f t="array" aca="1" ref="K108" ca="1">K107/(SUM(INDIRECT($E104&amp;"["&amp;$F104&amp;"]")*(INDIRECT($E104&amp;"[yr]")=(K$5-1))*(INDIRECT($E104&amp;"[wk]")=K$6)*(IF($G$2=0,1,(INDIRECT($E104&amp;"[siteflag]")=$G$2))))/SUM(INDIRECT($E107&amp;"["&amp;$F107&amp;"]")*(INDIRECT($E107&amp;"[yr]")=(K$5-1))*(INDIRECT($E107&amp;"[wk]")=K$6)*(IF($G$2=0,1,(INDIRECT($E107&amp;"[siteflag]")=$G$2)))))-1</f>
        <v>-7.0381807276070574E-2</v>
      </c>
      <c r="L108" s="74">
        <f t="array" aca="1" ref="L108" ca="1">L107/(SUM(INDIRECT($E104&amp;"["&amp;$F104&amp;"]")*(INDIRECT($E104&amp;"[yr]")=(L$5-1))*(INDIRECT($E104&amp;"[wk]")=L$6)*(IF($G$2=0,1,(INDIRECT($E104&amp;"[siteflag]")=$G$2))))/SUM(INDIRECT($E107&amp;"["&amp;$F107&amp;"]")*(INDIRECT($E107&amp;"[yr]")=(L$5-1))*(INDIRECT($E107&amp;"[wk]")=L$6)*(IF($G$2=0,1,(INDIRECT($E107&amp;"[siteflag]")=$G$2)))))-1</f>
        <v>0.19101584843573871</v>
      </c>
      <c r="M108" s="74">
        <f t="array" aca="1" ref="M108" ca="1">M107/(SUM(INDIRECT($E104&amp;"["&amp;$F104&amp;"]")*(INDIRECT($E104&amp;"[yr]")=(M$5-1))*(INDIRECT($E104&amp;"[wk]")=M$6)*(IF($G$2=0,1,(INDIRECT($E104&amp;"[siteflag]")=$G$2))))/SUM(INDIRECT($E107&amp;"["&amp;$F107&amp;"]")*(INDIRECT($E107&amp;"[yr]")=(M$5-1))*(INDIRECT($E107&amp;"[wk]")=M$6)*(IF($G$2=0,1,(INDIRECT($E107&amp;"[siteflag]")=$G$2)))))-1</f>
        <v>-0.16578839239226029</v>
      </c>
      <c r="N108" s="74">
        <f t="array" aca="1" ref="N108" ca="1">N107/(SUM(INDIRECT($E104&amp;"["&amp;$F104&amp;"]")*(INDIRECT($E104&amp;"[yr]")=(N$5-1))*(INDIRECT($E104&amp;"[wk]")=N$6)*(IF($G$2=0,1,(INDIRECT($E104&amp;"[siteflag]")=$G$2))))/SUM(INDIRECT($E107&amp;"["&amp;$F107&amp;"]")*(INDIRECT($E107&amp;"[yr]")=(N$5-1))*(INDIRECT($E107&amp;"[wk]")=N$6)*(IF($G$2=0,1,(INDIRECT($E107&amp;"[siteflag]")=$G$2)))))-1</f>
        <v>-8.4166136658088808E-2</v>
      </c>
      <c r="O108" s="74">
        <f t="array" aca="1" ref="O108" ca="1">O107/(SUM(INDIRECT($E104&amp;"["&amp;$F104&amp;"]")*(INDIRECT($E104&amp;"[yr]")=(O$5-1))*(INDIRECT($E104&amp;"[wk]")=O$6)*(IF($G$2=0,1,(INDIRECT($E104&amp;"[siteflag]")=$G$2))))/SUM(INDIRECT($E107&amp;"["&amp;$F107&amp;"]")*(INDIRECT($E107&amp;"[yr]")=(O$5-1))*(INDIRECT($E107&amp;"[wk]")=O$6)*(IF($G$2=0,1,(INDIRECT($E107&amp;"[siteflag]")=$G$2)))))-1</f>
        <v>9.0639862104860081E-2</v>
      </c>
      <c r="P108" s="91">
        <f t="array" aca="1" ref="P108" ca="1">P107/(SUM(INDIRECT($E104&amp;"["&amp;$F104&amp;"]")*(INDIRECT($E104&amp;"[yr]")=(P$5-1))*(INDIRECT($E104&amp;"[wk]")=P$6)*(IF($G$2=0,1,(INDIRECT($E104&amp;"[siteflag]")=$G$2))))/SUM(INDIRECT($E107&amp;"["&amp;$F107&amp;"]")*(INDIRECT($E107&amp;"[yr]")=(P$5-1))*(INDIRECT($E107&amp;"[wk]")=P$6)*(IF($G$2=0,1,(INDIRECT($E107&amp;"[siteflag]")=$G$2)))))-1</f>
        <v>1.8507908350515967E-2</v>
      </c>
      <c r="Q108" s="74">
        <f t="array" aca="1" ref="Q108" ca="1">Q107/(SUM(INDIRECT($E104&amp;"["&amp;$F104&amp;"]")*(INDIRECT($E104&amp;"[yr]")=(Q$5-1))*(INDIRECT($E104&amp;"[wk]")=Q$6)*(IF($G$2=0,1,(INDIRECT($E104&amp;"[siteflag]")=$G$2))))/SUM(INDIRECT($E107&amp;"["&amp;$F107&amp;"]")*(INDIRECT($E107&amp;"[yr]")=(Q$5-1))*(INDIRECT($E107&amp;"[wk]")=Q$6)*(IF($G$2=0,1,(INDIRECT($E107&amp;"[siteflag]")=$G$2)))))-1</f>
        <v>9.2407137418998753E-2</v>
      </c>
      <c r="R108" s="74">
        <f t="array" aca="1" ref="R108" ca="1">R107/(SUM(INDIRECT($E104&amp;"["&amp;$F104&amp;"]")*(INDIRECT($E104&amp;"[yr]")=(R$5-1))*(INDIRECT($E104&amp;"[wk]")=R$6)*(IF($G$2=0,1,(INDIRECT($E104&amp;"[siteflag]")=$G$2))))/SUM(INDIRECT($E107&amp;"["&amp;$F107&amp;"]")*(INDIRECT($E107&amp;"[yr]")=(R$5-1))*(INDIRECT($E107&amp;"[wk]")=R$6)*(IF($G$2=0,1,(INDIRECT($E107&amp;"[siteflag]")=$G$2)))))-1</f>
        <v>-5.0584335925109913E-2</v>
      </c>
      <c r="S108" s="74">
        <f t="array" aca="1" ref="S108" ca="1">S107/(SUM(INDIRECT($E104&amp;"["&amp;$F104&amp;"]")*(INDIRECT($E104&amp;"[yr]")=(S$5-1))*(INDIRECT($E104&amp;"[wk]")=S$6)*(IF($G$2=0,1,(INDIRECT($E104&amp;"[siteflag]")=$G$2))))/SUM(INDIRECT($E107&amp;"["&amp;$F107&amp;"]")*(INDIRECT($E107&amp;"[yr]")=(S$5-1))*(INDIRECT($E107&amp;"[wk]")=S$6)*(IF($G$2=0,1,(INDIRECT($E107&amp;"[siteflag]")=$G$2)))))-1</f>
        <v>-0.11762148595819011</v>
      </c>
      <c r="T108" s="76">
        <f t="array" aca="1" ref="T108" ca="1">T107/(SUM(INDIRECT($E104&amp;"["&amp;$F104&amp;"]")*(INDIRECT($E104&amp;"[yr]")=(T$5-1))*(INDIRECT($E104&amp;"[wk]")=T$6)*(IF($G$2=0,1,(INDIRECT($E104&amp;"[siteflag]")=$G$2))))/SUM(INDIRECT($E107&amp;"["&amp;$F107&amp;"]")*(INDIRECT($E107&amp;"[yr]")=(T$5-1))*(INDIRECT($E107&amp;"[wk]")=T$6)*(IF($G$2=0,1,(INDIRECT($E107&amp;"[siteflag]")=$G$2)))))-1</f>
        <v>-0.10974116795613464</v>
      </c>
      <c r="U108" s="53">
        <f t="array" aca="1" ref="U108" ca="1">SUMPRODUCT(Q108:T108,Q107:T107)/SUM(Q107:T107)</f>
        <v>-4.4920196181196845E-2</v>
      </c>
      <c r="V108" s="91"/>
      <c r="W108" s="80"/>
      <c r="X108" s="56"/>
    </row>
    <row r="109" spans="2:24" ht="3" customHeight="1" x14ac:dyDescent="0.4">
      <c r="B109" s="329"/>
      <c r="D109" s="61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61"/>
      <c r="Q109" s="57"/>
      <c r="R109" s="57"/>
      <c r="S109" s="57"/>
      <c r="T109" s="59"/>
      <c r="U109" s="60"/>
      <c r="V109" s="61"/>
      <c r="W109" s="62"/>
      <c r="X109" s="61"/>
    </row>
    <row r="110" spans="2:24" ht="14.15" customHeight="1" x14ac:dyDescent="0.4">
      <c r="B110" s="329"/>
      <c r="D110" s="201" t="s">
        <v>135</v>
      </c>
      <c r="E110" s="63" t="s">
        <v>192</v>
      </c>
      <c r="F110" s="63" t="s">
        <v>143</v>
      </c>
      <c r="H110" s="63"/>
      <c r="I110" s="128">
        <f t="array" aca="1" ref="I110" ca="1">SUM(INDIRECT($E110&amp;"["&amp;$F110&amp;"]")*(INDIRECT($E110&amp;"[yr]")=I$5)*(INDIRECT($E110&amp;"[wk]")=I$6)*(IF($G$2=0,1,(INDIRECT($E110&amp;"[siteflag]")=$G$2))))/1000</f>
        <v>28.817</v>
      </c>
      <c r="J110" s="128">
        <f t="array" aca="1" ref="J110" ca="1">SUM(INDIRECT($E110&amp;"["&amp;$F110&amp;"]")*(INDIRECT($E110&amp;"[yr]")=J$5)*(INDIRECT($E110&amp;"[wk]")=J$6)*(IF($G$2=0,1,(INDIRECT($E110&amp;"[siteflag]")=$G$2))))/1000</f>
        <v>40.39</v>
      </c>
      <c r="K110" s="128">
        <f t="array" aca="1" ref="K110" ca="1">SUM(INDIRECT($E110&amp;"["&amp;$F110&amp;"]")*(INDIRECT($E110&amp;"[yr]")=K$5)*(INDIRECT($E110&amp;"[wk]")=K$6)*(IF($G$2=0,1,(INDIRECT($E110&amp;"[siteflag]")=$G$2))))/1000</f>
        <v>30.108000000000001</v>
      </c>
      <c r="L110" s="128">
        <f t="array" aca="1" ref="L110" ca="1">SUM(INDIRECT($E110&amp;"["&amp;$F110&amp;"]")*(INDIRECT($E110&amp;"[yr]")=L$5)*(INDIRECT($E110&amp;"[wk]")=L$6)*(IF($G$2=0,1,(INDIRECT($E110&amp;"[siteflag]")=$G$2))))/1000</f>
        <v>25.302</v>
      </c>
      <c r="M110" s="128">
        <f t="array" aca="1" ref="M110" ca="1">SUM(INDIRECT($E110&amp;"["&amp;$F110&amp;"]")*(INDIRECT($E110&amp;"[yr]")=M$5)*(INDIRECT($E110&amp;"[wk]")=M$6)*(IF($G$2=0,1,(INDIRECT($E110&amp;"[siteflag]")=$G$2))))/1000</f>
        <v>13.717000000000001</v>
      </c>
      <c r="N110" s="128">
        <f t="array" aca="1" ref="N110" ca="1">SUM(INDIRECT($E110&amp;"["&amp;$F110&amp;"]")*(INDIRECT($E110&amp;"[yr]")=N$5)*(INDIRECT($E110&amp;"[wk]")=N$6)*(IF($G$2=0,1,(INDIRECT($E110&amp;"[siteflag]")=$G$2))))/1000</f>
        <v>24.797999999999998</v>
      </c>
      <c r="O110" s="128">
        <f t="array" aca="1" ref="O110" ca="1">SUM(INDIRECT($E110&amp;"["&amp;$F110&amp;"]")*(INDIRECT($E110&amp;"[yr]")=O$5)*(INDIRECT($E110&amp;"[wk]")=O$6)*(IF($G$2=0,1,(INDIRECT($E110&amp;"[siteflag]")=$G$2))))/1000</f>
        <v>23.93</v>
      </c>
      <c r="P110" s="154">
        <f t="array" aca="1" ref="P110" ca="1">SUM(INDIRECT($E110&amp;"["&amp;$F110&amp;"]")*(INDIRECT($E110&amp;"[yr]")=P$5)*(INDIRECT($E110&amp;"[wk]")=P$6)*(IF($G$2=0,1,(INDIRECT($E110&amp;"[siteflag]")=$G$2))))/1000</f>
        <v>42.176000000000002</v>
      </c>
      <c r="Q110" s="128">
        <f t="array" aca="1" ref="Q110" ca="1">SUM(INDIRECT($E110&amp;"["&amp;$F110&amp;"]")*(INDIRECT($E110&amp;"[yr]")=Q$5)*(INDIRECT($E110&amp;"[wk]")=Q$6)*(IF($G$2=0,1,(INDIRECT($E110&amp;"[siteflag]")=$G$2))))/1000</f>
        <v>34.354999999999997</v>
      </c>
      <c r="R110" s="128">
        <f t="array" aca="1" ref="R110" ca="1">SUM(INDIRECT($E110&amp;"["&amp;$F110&amp;"]")*(INDIRECT($E110&amp;"[yr]")=R$5)*(INDIRECT($E110&amp;"[wk]")=R$6)*(IF($G$2=0,1,(INDIRECT($E110&amp;"[siteflag]")=$G$2))))/1000</f>
        <v>18.146000000000001</v>
      </c>
      <c r="S110" s="128">
        <f t="array" aca="1" ref="S110" ca="1">SUM(INDIRECT($E110&amp;"["&amp;$F110&amp;"]")*(INDIRECT($E110&amp;"[yr]")=S$5)*(INDIRECT($E110&amp;"[wk]")=S$6)*(IF($G$2=0,1,(INDIRECT($E110&amp;"[siteflag]")=$G$2))))/1000</f>
        <v>22.007000000000001</v>
      </c>
      <c r="T110" s="166">
        <f t="array" aca="1" ref="T110" ca="1">SUM(INDIRECT($E110&amp;"["&amp;$F110&amp;"]")*(INDIRECT($E110&amp;"[yr]")=T$5)*(INDIRECT($E110&amp;"[wk]")=T$6)*(IF($G$2=0,1,(INDIRECT($E110&amp;"[siteflag]")=$G$2))))/1000</f>
        <v>10.948</v>
      </c>
      <c r="U110" s="167">
        <f ca="1">AVERAGE(Q110:T110)</f>
        <v>21.363999999999997</v>
      </c>
      <c r="V110" s="47">
        <f t="array" aca="1" ref="V110" ca="1">SUM(T110/S110)-1</f>
        <v>-0.50252192484209579</v>
      </c>
      <c r="W110" s="131"/>
      <c r="X110" s="49"/>
    </row>
    <row r="111" spans="2:24" ht="14.15" customHeight="1" x14ac:dyDescent="0.4">
      <c r="B111" s="329"/>
      <c r="D111" s="211" t="s">
        <v>136</v>
      </c>
      <c r="E111" s="40"/>
      <c r="F111" s="40" t="s">
        <v>350</v>
      </c>
      <c r="G111" s="40"/>
      <c r="H111" s="40"/>
      <c r="I111" s="168">
        <f t="array" aca="1" ref="I111" ca="1">I110*1000/SUM(INDIRECT($E110&amp;"["&amp;$F111&amp;"]")*(INDIRECT($E110&amp;"[yr]")=I$5)*(INDIRECT($E110&amp;"[wk]")=I$6)*(IF($G$2=0,1,(INDIRECT($E110&amp;"[siteflag]")=$G$2))))</f>
        <v>0.99864846132520102</v>
      </c>
      <c r="J111" s="168">
        <f t="array" aca="1" ref="J111" ca="1">J110*1000/SUM(INDIRECT($E110&amp;"["&amp;$F111&amp;"]")*(INDIRECT($E110&amp;"[yr]")=J$5)*(INDIRECT($E110&amp;"[wk]")=J$6)*(IF($G$2=0,1,(INDIRECT($E110&amp;"[siteflag]")=$G$2))))</f>
        <v>1.4235364607196983</v>
      </c>
      <c r="K111" s="168">
        <f t="array" aca="1" ref="K111" ca="1">K110*1000/SUM(INDIRECT($E110&amp;"["&amp;$F111&amp;"]")*(INDIRECT($E110&amp;"[yr]")=K$5)*(INDIRECT($E110&amp;"[wk]")=K$6)*(IF($G$2=0,1,(INDIRECT($E110&amp;"[siteflag]")=$G$2))))</f>
        <v>1.1093997568075464</v>
      </c>
      <c r="L111" s="168">
        <f t="array" aca="1" ref="L111" ca="1">L110*1000/SUM(INDIRECT($E110&amp;"["&amp;$F111&amp;"]")*(INDIRECT($E110&amp;"[yr]")=L$5)*(INDIRECT($E110&amp;"[wk]")=L$6)*(IF($G$2=0,1,(INDIRECT($E110&amp;"[siteflag]")=$G$2))))</f>
        <v>0.78249574764187413</v>
      </c>
      <c r="M111" s="168">
        <f t="array" aca="1" ref="M111" ca="1">M110*1000/SUM(INDIRECT($E110&amp;"["&amp;$F111&amp;"]")*(INDIRECT($E110&amp;"[yr]")=M$5)*(INDIRECT($E110&amp;"[wk]")=M$6)*(IF($G$2=0,1,(INDIRECT($E110&amp;"[siteflag]")=$G$2))))</f>
        <v>0.75112254955645608</v>
      </c>
      <c r="N111" s="168">
        <f t="array" aca="1" ref="N111" ca="1">N110*1000/SUM(INDIRECT($E110&amp;"["&amp;$F111&amp;"]")*(INDIRECT($E110&amp;"[yr]")=N$5)*(INDIRECT($E110&amp;"[wk]")=N$6)*(IF($G$2=0,1,(INDIRECT($E110&amp;"[siteflag]")=$G$2))))</f>
        <v>1.1704347005239062</v>
      </c>
      <c r="O111" s="168">
        <f t="array" aca="1" ref="O111" ca="1">O110*1000/SUM(INDIRECT($E110&amp;"["&amp;$F111&amp;"]")*(INDIRECT($E110&amp;"[yr]")=O$5)*(INDIRECT($E110&amp;"[wk]")=O$6)*(IF($G$2=0,1,(INDIRECT($E110&amp;"[siteflag]")=$G$2))))</f>
        <v>0.78123469687571412</v>
      </c>
      <c r="P111" s="224">
        <f t="array" aca="1" ref="P111" ca="1">P110*1000/SUM(INDIRECT($E110&amp;"["&amp;$F111&amp;"]")*(INDIRECT($E110&amp;"[yr]")=P$5)*(INDIRECT($E110&amp;"[wk]")=P$6)*(IF($G$2=0,1,(INDIRECT($E110&amp;"[siteflag]")=$G$2))))</f>
        <v>1.7744120493079221</v>
      </c>
      <c r="Q111" s="168">
        <f t="array" aca="1" ref="Q111" ca="1">Q110*1000/SUM(INDIRECT($E110&amp;"["&amp;$F111&amp;"]")*(INDIRECT($E110&amp;"[yr]")=Q$5)*(INDIRECT($E110&amp;"[wk]")=Q$6)*(IF($G$2=0,1,(INDIRECT($E110&amp;"[siteflag]")=$G$2))))</f>
        <v>1.2259135027119612</v>
      </c>
      <c r="R111" s="168">
        <f t="array" aca="1" ref="R111" ca="1">R110*1000/SUM(INDIRECT($E110&amp;"["&amp;$F111&amp;"]")*(INDIRECT($E110&amp;"[yr]")=R$5)*(INDIRECT($E110&amp;"[wk]")=R$6)*(IF($G$2=0,1,(INDIRECT($E110&amp;"[siteflag]")=$G$2))))</f>
        <v>0.63480846597866014</v>
      </c>
      <c r="S111" s="168">
        <f t="array" aca="1" ref="S111" ca="1">S110*1000/SUM(INDIRECT($E110&amp;"["&amp;$F111&amp;"]")*(INDIRECT($E110&amp;"[yr]")=S$5)*(INDIRECT($E110&amp;"[wk]")=S$6)*(IF($G$2=0,1,(INDIRECT($E110&amp;"[siteflag]")=$G$2))))</f>
        <v>0.812936352554394</v>
      </c>
      <c r="T111" s="169">
        <f t="array" aca="1" ref="T111" ca="1">T110*1000/SUM(INDIRECT($E110&amp;"["&amp;$F111&amp;"]")*(INDIRECT($E110&amp;"[yr]")=T$5)*(INDIRECT($E110&amp;"[wk]")=T$6)*(IF($G$2=0,1,(INDIRECT($E110&amp;"[siteflag]")=$G$2))))</f>
        <v>0.41689196907962378</v>
      </c>
      <c r="U111" s="170">
        <f ca="1">AVERAGE(Q111:T111)</f>
        <v>0.77263757258115973</v>
      </c>
      <c r="V111" s="83">
        <f t="array" aca="1" ref="V111" ca="1">SUM(T111/S111)-1</f>
        <v>-0.48717760281026512</v>
      </c>
      <c r="W111" s="171"/>
      <c r="X111" s="56"/>
    </row>
    <row r="112" spans="2:24" ht="3" customHeight="1" x14ac:dyDescent="0.4">
      <c r="B112" s="329"/>
      <c r="D112" s="61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61"/>
      <c r="Q112" s="57"/>
      <c r="R112" s="57"/>
      <c r="S112" s="57"/>
      <c r="T112" s="59"/>
      <c r="U112" s="60"/>
      <c r="V112" s="61"/>
      <c r="W112" s="62"/>
      <c r="X112" s="61"/>
    </row>
    <row r="113" spans="2:24" ht="14.15" customHeight="1" x14ac:dyDescent="0.4">
      <c r="B113" s="329"/>
      <c r="D113" s="203" t="s">
        <v>427</v>
      </c>
      <c r="E113" s="63" t="s">
        <v>125</v>
      </c>
      <c r="I113" s="124">
        <f t="array" aca="1" ref="I113" ca="1">SUM(INDIRECT($E113&amp;"["&amp;$E114&amp;"]")*(INDIRECT($E113&amp;"[yr]")=I$5)*(INDIRECT($E113&amp;"[wk]")=I$6)*(IF($G$2=0,1,(INDIRECT($E113&amp;"[siteflag]")=$G$2))))/SUM(INDIRECT($E113&amp;"["&amp;$F114&amp;"]")*(INDIRECT($E113&amp;"[yr]")=I$5)*(INDIRECT($E113&amp;"[wk]")=I$6)*(IF($G$2=0,1,(INDIRECT($E113&amp;"[siteflag]")=$G$2))))</f>
        <v>137.31588785046728</v>
      </c>
      <c r="J113" s="124">
        <f t="array" aca="1" ref="J113" ca="1">SUM(INDIRECT($E113&amp;"["&amp;$E114&amp;"]")*(INDIRECT($E113&amp;"[yr]")=J$5)*(INDIRECT($E113&amp;"[wk]")=J$6)*(IF($G$2=0,1,(INDIRECT($E113&amp;"[siteflag]")=$G$2))))/SUM(INDIRECT($E113&amp;"["&amp;$F114&amp;"]")*(INDIRECT($E113&amp;"[yr]")=J$5)*(INDIRECT($E113&amp;"[wk]")=J$6)*(IF($G$2=0,1,(INDIRECT($E113&amp;"[siteflag]")=$G$2))))</f>
        <v>129.83955765047136</v>
      </c>
      <c r="K113" s="124">
        <f t="array" aca="1" ref="K113" ca="1">SUM(INDIRECT($E113&amp;"["&amp;$E114&amp;"]")*(INDIRECT($E113&amp;"[yr]")=K$5)*(INDIRECT($E113&amp;"[wk]")=K$6)*(IF($G$2=0,1,(INDIRECT($E113&amp;"[siteflag]")=$G$2))))/SUM(INDIRECT($E113&amp;"["&amp;$F114&amp;"]")*(INDIRECT($E113&amp;"[yr]")=K$5)*(INDIRECT($E113&amp;"[wk]")=K$6)*(IF($G$2=0,1,(INDIRECT($E113&amp;"[siteflag]")=$G$2))))</f>
        <v>116.24123532655796</v>
      </c>
      <c r="L113" s="124">
        <f t="array" aca="1" ref="L113" ca="1">SUM(INDIRECT($E113&amp;"["&amp;$E114&amp;"]")*(INDIRECT($E113&amp;"[yr]")=L$5)*(INDIRECT($E113&amp;"[wk]")=L$6)*(IF($G$2=0,1,(INDIRECT($E113&amp;"[siteflag]")=$G$2))))/SUM(INDIRECT($E113&amp;"["&amp;$F114&amp;"]")*(INDIRECT($E113&amp;"[yr]")=L$5)*(INDIRECT($E113&amp;"[wk]")=L$6)*(IF($G$2=0,1,(INDIRECT($E113&amp;"[siteflag]")=$G$2))))</f>
        <v>126.05559667735832</v>
      </c>
      <c r="M113" s="124">
        <f t="array" aca="1" ref="M113" ca="1">SUM(INDIRECT($E113&amp;"["&amp;$E114&amp;"]")*(INDIRECT($E113&amp;"[yr]")=M$5)*(INDIRECT($E113&amp;"[wk]")=M$6)*(IF($G$2=0,1,(INDIRECT($E113&amp;"[siteflag]")=$G$2))))/SUM(INDIRECT($E113&amp;"["&amp;$F114&amp;"]")*(INDIRECT($E113&amp;"[yr]")=M$5)*(INDIRECT($E113&amp;"[wk]")=M$6)*(IF($G$2=0,1,(INDIRECT($E113&amp;"[siteflag]")=$G$2))))</f>
        <v>81.712278106508876</v>
      </c>
      <c r="N113" s="124">
        <f t="array" aca="1" ref="N113" ca="1">SUM(INDIRECT($E113&amp;"["&amp;$E114&amp;"]")*(INDIRECT($E113&amp;"[yr]")=N$5)*(INDIRECT($E113&amp;"[wk]")=N$6)*(IF($G$2=0,1,(INDIRECT($E113&amp;"[siteflag]")=$G$2))))/SUM(INDIRECT($E113&amp;"["&amp;$F114&amp;"]")*(INDIRECT($E113&amp;"[yr]")=N$5)*(INDIRECT($E113&amp;"[wk]")=N$6)*(IF($G$2=0,1,(INDIRECT($E113&amp;"[siteflag]")=$G$2))))</f>
        <v>116.98703418260948</v>
      </c>
      <c r="O113" s="124">
        <f t="array" aca="1" ref="O113" ca="1">SUM(INDIRECT($E113&amp;"["&amp;$E114&amp;"]")*(INDIRECT($E113&amp;"[yr]")=O$5)*(INDIRECT($E113&amp;"[wk]")=O$6)*(IF($G$2=0,1,(INDIRECT($E113&amp;"[siteflag]")=$G$2))))/SUM(INDIRECT($E113&amp;"["&amp;$F114&amp;"]")*(INDIRECT($E113&amp;"[yr]")=O$5)*(INDIRECT($E113&amp;"[wk]")=O$6)*(IF($G$2=0,1,(INDIRECT($E113&amp;"[siteflag]")=$G$2))))</f>
        <v>121.52952651179288</v>
      </c>
      <c r="P113" s="195">
        <f t="array" aca="1" ref="P113" ca="1">SUM(INDIRECT($E113&amp;"["&amp;$E114&amp;"]")*(INDIRECT($E113&amp;"[yr]")=P$5)*(INDIRECT($E113&amp;"[wk]")=P$6)*(IF($G$2=0,1,(INDIRECT($E113&amp;"[siteflag]")=$G$2))))/SUM(INDIRECT($E113&amp;"["&amp;$F114&amp;"]")*(INDIRECT($E113&amp;"[yr]")=P$5)*(INDIRECT($E113&amp;"[wk]")=P$6)*(IF($G$2=0,1,(INDIRECT($E113&amp;"[siteflag]")=$G$2))))</f>
        <v>133.63905052184353</v>
      </c>
      <c r="Q113" s="124">
        <f t="array" aca="1" ref="Q113" ca="1">SUM(INDIRECT($E113&amp;"["&amp;$E114&amp;"]")*(INDIRECT($E113&amp;"[yr]")=Q$5)*(INDIRECT($E113&amp;"[wk]")=Q$6)*(IF($G$2=0,1,(INDIRECT($E113&amp;"[siteflag]")=$G$2))))/SUM(INDIRECT($E113&amp;"["&amp;$F114&amp;"]")*(INDIRECT($E113&amp;"[yr]")=Q$5)*(INDIRECT($E113&amp;"[wk]")=Q$6)*(IF($G$2=0,1,(INDIRECT($E113&amp;"[siteflag]")=$G$2))))</f>
        <v>137.67957844134233</v>
      </c>
      <c r="R113" s="124">
        <f t="array" aca="1" ref="R113" ca="1">SUM(INDIRECT($E113&amp;"["&amp;$E114&amp;"]")*(INDIRECT($E113&amp;"[yr]")=R$5)*(INDIRECT($E113&amp;"[wk]")=R$6)*(IF($G$2=0,1,(INDIRECT($E113&amp;"[siteflag]")=$G$2))))/SUM(INDIRECT($E113&amp;"["&amp;$F114&amp;"]")*(INDIRECT($E113&amp;"[yr]")=R$5)*(INDIRECT($E113&amp;"[wk]")=R$6)*(IF($G$2=0,1,(INDIRECT($E113&amp;"[siteflag]")=$G$2))))</f>
        <v>126.599461116789</v>
      </c>
      <c r="S113" s="124">
        <f t="array" aca="1" ref="S113" ca="1">SUM(INDIRECT($E113&amp;"["&amp;$E114&amp;"]")*(INDIRECT($E113&amp;"[yr]")=S$5)*(INDIRECT($E113&amp;"[wk]")=S$6)*(IF($G$2=0,1,(INDIRECT($E113&amp;"[siteflag]")=$G$2))))/SUM(INDIRECT($E113&amp;"["&amp;$F114&amp;"]")*(INDIRECT($E113&amp;"[yr]")=S$5)*(INDIRECT($E113&amp;"[wk]")=S$6)*(IF($G$2=0,1,(INDIRECT($E113&amp;"[siteflag]")=$G$2))))</f>
        <v>131.32041587901702</v>
      </c>
      <c r="T113" s="172">
        <f t="array" aca="1" ref="T113" ca="1">SUM(INDIRECT($E113&amp;"["&amp;$E114&amp;"]")*(INDIRECT($E113&amp;"[yr]")=T$5)*(INDIRECT($E113&amp;"[wk]")=T$6)*(IF($G$2=0,1,(INDIRECT($E113&amp;"[siteflag]")=$G$2))))/SUM(INDIRECT($E113&amp;"["&amp;$F114&amp;"]")*(INDIRECT($E113&amp;"[yr]")=T$5)*(INDIRECT($E113&amp;"[wk]")=T$6)*(IF($G$2=0,1,(INDIRECT($E113&amp;"[siteflag]")=$G$2))))</f>
        <v>99.81851330073755</v>
      </c>
      <c r="U113" s="173">
        <f ca="1">AVERAGE(Q113:T113)</f>
        <v>123.85449218447147</v>
      </c>
      <c r="V113" s="47">
        <f t="array" aca="1" ref="V113" ca="1">SUM(T113/S113)-1</f>
        <v>-0.23988579664034548</v>
      </c>
      <c r="W113" s="174">
        <v>250</v>
      </c>
      <c r="X113" s="49"/>
    </row>
    <row r="114" spans="2:24" ht="14.15" customHeight="1" x14ac:dyDescent="0.4">
      <c r="B114" s="330"/>
      <c r="D114" s="204" t="s">
        <v>67</v>
      </c>
      <c r="E114" t="s">
        <v>138</v>
      </c>
      <c r="F114" t="s">
        <v>137</v>
      </c>
      <c r="I114" s="74">
        <f t="array" aca="1" ref="I114" ca="1">IFERROR(I113/(IF($G$2=0,(SUM(INDIRECT($E113&amp;"["&amp;$E114&amp;"]")*(INDIRECT($E113&amp;"[yr]")=(I$5-1))*(INDIRECT($E113&amp;"[wk]")=I$6))/SUM(INDIRECT($E113&amp;"["&amp;$F114&amp;"]")*(INDIRECT($E113&amp;"[yr]")=(I$5-1))*(INDIRECT($E113&amp;"[wk]")=I$6))),(SUM(INDIRECT($E113&amp;"["&amp;$E114&amp;"]")*(INDIRECT($E113&amp;"[yr]")=(I$5-1))*(INDIRECT($E113&amp;"[wk]")=I$6)*(INDIRECT($E113&amp;"[siteflag]")=$G$2))/SUM(INDIRECT($E113&amp;"["&amp;$F114&amp;"]")*(INDIRECT($E113&amp;"[yr]")=(I$5-1))*(INDIRECT($E113&amp;"[wk]")=I$6)*(INDIRECT($E113&amp;"[siteflag]")=$G$2)))))-1,0)</f>
        <v>-0.19993027857207213</v>
      </c>
      <c r="J114" s="74">
        <f t="array" aca="1" ref="J114" ca="1">IFERROR(J113/(IF($G$2=0,(SUM(INDIRECT($E113&amp;"["&amp;$E114&amp;"]")*(INDIRECT($E113&amp;"[yr]")=(J$5-1))*(INDIRECT($E113&amp;"[wk]")=J$6))/SUM(INDIRECT($E113&amp;"["&amp;$F114&amp;"]")*(INDIRECT($E113&amp;"[yr]")=(J$5-1))*(INDIRECT($E113&amp;"[wk]")=J$6))),(SUM(INDIRECT($E113&amp;"["&amp;$E114&amp;"]")*(INDIRECT($E113&amp;"[yr]")=(J$5-1))*(INDIRECT($E113&amp;"[wk]")=J$6)*(INDIRECT($E113&amp;"[siteflag]")=$G$2))/SUM(INDIRECT($E113&amp;"["&amp;$F114&amp;"]")*(INDIRECT($E113&amp;"[yr]")=(J$5-1))*(INDIRECT($E113&amp;"[wk]")=J$6)*(INDIRECT($E113&amp;"[siteflag]")=$G$2)))))-1,0)</f>
        <v>-0.40947846581674341</v>
      </c>
      <c r="K114" s="74">
        <f t="array" aca="1" ref="K114" ca="1">IFERROR(K113/(IF($G$2=0,(SUM(INDIRECT($E113&amp;"["&amp;$E114&amp;"]")*(INDIRECT($E113&amp;"[yr]")=(K$5-1))*(INDIRECT($E113&amp;"[wk]")=K$6))/SUM(INDIRECT($E113&amp;"["&amp;$F114&amp;"]")*(INDIRECT($E113&amp;"[yr]")=(K$5-1))*(INDIRECT($E113&amp;"[wk]")=K$6))),(SUM(INDIRECT($E113&amp;"["&amp;$E114&amp;"]")*(INDIRECT($E113&amp;"[yr]")=(K$5-1))*(INDIRECT($E113&amp;"[wk]")=K$6)*(INDIRECT($E113&amp;"[siteflag]")=$G$2))/SUM(INDIRECT($E113&amp;"["&amp;$F114&amp;"]")*(INDIRECT($E113&amp;"[yr]")=(K$5-1))*(INDIRECT($E113&amp;"[wk]")=K$6)*(INDIRECT($E113&amp;"[siteflag]")=$G$2)))))-1,0)</f>
        <v>-0.41133805042836447</v>
      </c>
      <c r="L114" s="74">
        <f t="array" aca="1" ref="L114" ca="1">IFERROR(L113/(IF($G$2=0,(SUM(INDIRECT($E113&amp;"["&amp;$E114&amp;"]")*(INDIRECT($E113&amp;"[yr]")=(L$5-1))*(INDIRECT($E113&amp;"[wk]")=L$6))/SUM(INDIRECT($E113&amp;"["&amp;$F114&amp;"]")*(INDIRECT($E113&amp;"[yr]")=(L$5-1))*(INDIRECT($E113&amp;"[wk]")=L$6))),(SUM(INDIRECT($E113&amp;"["&amp;$E114&amp;"]")*(INDIRECT($E113&amp;"[yr]")=(L$5-1))*(INDIRECT($E113&amp;"[wk]")=L$6)*(INDIRECT($E113&amp;"[siteflag]")=$G$2))/SUM(INDIRECT($E113&amp;"["&amp;$F114&amp;"]")*(INDIRECT($E113&amp;"[yr]")=(L$5-1))*(INDIRECT($E113&amp;"[wk]")=L$6)*(INDIRECT($E113&amp;"[siteflag]")=$G$2)))))-1,0)</f>
        <v>-0.23575326991979728</v>
      </c>
      <c r="M114" s="74">
        <f t="array" aca="1" ref="M114" ca="1">IFERROR(M113/(IF($G$2=0,(SUM(INDIRECT($E113&amp;"["&amp;$E114&amp;"]")*(INDIRECT($E113&amp;"[yr]")=(M$5-1))*(INDIRECT($E113&amp;"[wk]")=M$6))/SUM(INDIRECT($E113&amp;"["&amp;$F114&amp;"]")*(INDIRECT($E113&amp;"[yr]")=(M$5-1))*(INDIRECT($E113&amp;"[wk]")=M$6))),(SUM(INDIRECT($E113&amp;"["&amp;$E114&amp;"]")*(INDIRECT($E113&amp;"[yr]")=(M$5-1))*(INDIRECT($E113&amp;"[wk]")=M$6)*(INDIRECT($E113&amp;"[siteflag]")=$G$2))/SUM(INDIRECT($E113&amp;"["&amp;$F114&amp;"]")*(INDIRECT($E113&amp;"[yr]")=(M$5-1))*(INDIRECT($E113&amp;"[wk]")=M$6)*(INDIRECT($E113&amp;"[siteflag]")=$G$2)))))-1,0)</f>
        <v>-0.53135059246714589</v>
      </c>
      <c r="N114" s="74">
        <f t="array" aca="1" ref="N114" ca="1">IFERROR(N113/(IF($G$2=0,(SUM(INDIRECT($E113&amp;"["&amp;$E114&amp;"]")*(INDIRECT($E113&amp;"[yr]")=(N$5-1))*(INDIRECT($E113&amp;"[wk]")=N$6))/SUM(INDIRECT($E113&amp;"["&amp;$F114&amp;"]")*(INDIRECT($E113&amp;"[yr]")=(N$5-1))*(INDIRECT($E113&amp;"[wk]")=N$6))),(SUM(INDIRECT($E113&amp;"["&amp;$E114&amp;"]")*(INDIRECT($E113&amp;"[yr]")=(N$5-1))*(INDIRECT($E113&amp;"[wk]")=N$6)*(INDIRECT($E113&amp;"[siteflag]")=$G$2))/SUM(INDIRECT($E113&amp;"["&amp;$F114&amp;"]")*(INDIRECT($E113&amp;"[yr]")=(N$5-1))*(INDIRECT($E113&amp;"[wk]")=N$6)*(INDIRECT($E113&amp;"[siteflag]")=$G$2)))))-1,0)</f>
        <v>-0.3507500679452108</v>
      </c>
      <c r="O114" s="74">
        <f t="array" aca="1" ref="O114" ca="1">IFERROR(O113/(IF($G$2=0,(SUM(INDIRECT($E113&amp;"["&amp;$E114&amp;"]")*(INDIRECT($E113&amp;"[yr]")=(O$5-1))*(INDIRECT($E113&amp;"[wk]")=O$6))/SUM(INDIRECT($E113&amp;"["&amp;$F114&amp;"]")*(INDIRECT($E113&amp;"[yr]")=(O$5-1))*(INDIRECT($E113&amp;"[wk]")=O$6))),(SUM(INDIRECT($E113&amp;"["&amp;$E114&amp;"]")*(INDIRECT($E113&amp;"[yr]")=(O$5-1))*(INDIRECT($E113&amp;"[wk]")=O$6)*(INDIRECT($E113&amp;"[siteflag]")=$G$2))/SUM(INDIRECT($E113&amp;"["&amp;$F114&amp;"]")*(INDIRECT($E113&amp;"[yr]")=(O$5-1))*(INDIRECT($E113&amp;"[wk]")=O$6)*(INDIRECT($E113&amp;"[siteflag]")=$G$2)))))-1,0)</f>
        <v>-0.30559429681446393</v>
      </c>
      <c r="P114" s="54">
        <f t="array" aca="1" ref="P114" ca="1">IFERROR(P113/(IF($G$2=0,(SUM(INDIRECT($E113&amp;"["&amp;$E114&amp;"]")*(INDIRECT($E113&amp;"[yr]")=(P$5-1))*(INDIRECT($E113&amp;"[wk]")=P$6))/SUM(INDIRECT($E113&amp;"["&amp;$F114&amp;"]")*(INDIRECT($E113&amp;"[yr]")=(P$5-1))*(INDIRECT($E113&amp;"[wk]")=P$6))),(SUM(INDIRECT($E113&amp;"["&amp;$E114&amp;"]")*(INDIRECT($E113&amp;"[yr]")=(P$5-1))*(INDIRECT($E113&amp;"[wk]")=P$6)*(INDIRECT($E113&amp;"[siteflag]")=$G$2))/SUM(INDIRECT($E113&amp;"["&amp;$F114&amp;"]")*(INDIRECT($E113&amp;"[yr]")=(P$5-1))*(INDIRECT($E113&amp;"[wk]")=P$6)*(INDIRECT($E113&amp;"[siteflag]")=$G$2)))))-1,0)</f>
        <v>-0.21160202384126325</v>
      </c>
      <c r="Q114" s="74">
        <f t="array" aca="1" ref="Q114" ca="1">IFERROR(Q113/(IF($G$2=0,(SUM(INDIRECT($E113&amp;"["&amp;$E114&amp;"]")*(INDIRECT($E113&amp;"[yr]")=(Q$5-1))*(INDIRECT($E113&amp;"[wk]")=Q$6))/SUM(INDIRECT($E113&amp;"["&amp;$F114&amp;"]")*(INDIRECT($E113&amp;"[yr]")=(Q$5-1))*(INDIRECT($E113&amp;"[wk]")=Q$6))),(SUM(INDIRECT($E113&amp;"["&amp;$E114&amp;"]")*(INDIRECT($E113&amp;"[yr]")=(Q$5-1))*(INDIRECT($E113&amp;"[wk]")=Q$6)*(INDIRECT($E113&amp;"[siteflag]")=$G$2))/SUM(INDIRECT($E113&amp;"["&amp;$F114&amp;"]")*(INDIRECT($E113&amp;"[yr]")=(Q$5-1))*(INDIRECT($E113&amp;"[wk]")=Q$6)*(INDIRECT($E113&amp;"[siteflag]")=$G$2)))))-1,0)</f>
        <v>-0.10513880419827937</v>
      </c>
      <c r="R114" s="74">
        <f t="array" aca="1" ref="R114" ca="1">IFERROR(R113/(IF($G$2=0,(SUM(INDIRECT($E113&amp;"["&amp;$E114&amp;"]")*(INDIRECT($E113&amp;"[yr]")=(R$5-1))*(INDIRECT($E113&amp;"[wk]")=R$6))/SUM(INDIRECT($E113&amp;"["&amp;$F114&amp;"]")*(INDIRECT($E113&amp;"[yr]")=(R$5-1))*(INDIRECT($E113&amp;"[wk]")=R$6))),(SUM(INDIRECT($E113&amp;"["&amp;$E114&amp;"]")*(INDIRECT($E113&amp;"[yr]")=(R$5-1))*(INDIRECT($E113&amp;"[wk]")=R$6)*(INDIRECT($E113&amp;"[siteflag]")=$G$2))/SUM(INDIRECT($E113&amp;"["&amp;$F114&amp;"]")*(INDIRECT($E113&amp;"[yr]")=(R$5-1))*(INDIRECT($E113&amp;"[wk]")=R$6)*(INDIRECT($E113&amp;"[siteflag]")=$G$2)))))-1,0)</f>
        <v>-0.27482737879844421</v>
      </c>
      <c r="S114" s="74">
        <f t="array" aca="1" ref="S114" ca="1">IFERROR(S113/(IF($G$2=0,(SUM(INDIRECT($E113&amp;"["&amp;$E114&amp;"]")*(INDIRECT($E113&amp;"[yr]")=(S$5-1))*(INDIRECT($E113&amp;"[wk]")=S$6))/SUM(INDIRECT($E113&amp;"["&amp;$F114&amp;"]")*(INDIRECT($E113&amp;"[yr]")=(S$5-1))*(INDIRECT($E113&amp;"[wk]")=S$6))),(SUM(INDIRECT($E113&amp;"["&amp;$E114&amp;"]")*(INDIRECT($E113&amp;"[yr]")=(S$5-1))*(INDIRECT($E113&amp;"[wk]")=S$6)*(INDIRECT($E113&amp;"[siteflag]")=$G$2))/SUM(INDIRECT($E113&amp;"["&amp;$F114&amp;"]")*(INDIRECT($E113&amp;"[yr]")=(S$5-1))*(INDIRECT($E113&amp;"[wk]")=S$6)*(INDIRECT($E113&amp;"[siteflag]")=$G$2)))))-1,0)</f>
        <v>-0.37235982117521749</v>
      </c>
      <c r="T114" s="76">
        <f t="array" aca="1" ref="T114" ca="1">IFERROR(T113/(IF($G$2=0,(SUM(INDIRECT($E113&amp;"["&amp;$E114&amp;"]")*(INDIRECT($E113&amp;"[yr]")=(T$5-1))*(INDIRECT($E113&amp;"[wk]")=T$6))/SUM(INDIRECT($E113&amp;"["&amp;$F114&amp;"]")*(INDIRECT($E113&amp;"[yr]")=(T$5-1))*(INDIRECT($E113&amp;"[wk]")=T$6))),(SUM(INDIRECT($E113&amp;"["&amp;$E114&amp;"]")*(INDIRECT($E113&amp;"[yr]")=(T$5-1))*(INDIRECT($E113&amp;"[wk]")=T$6)*(INDIRECT($E113&amp;"[siteflag]")=$G$2))/SUM(INDIRECT($E113&amp;"["&amp;$F114&amp;"]")*(INDIRECT($E113&amp;"[yr]")=(T$5-1))*(INDIRECT($E113&amp;"[wk]")=T$6)*(INDIRECT($E113&amp;"[siteflag]")=$G$2)))))-1,0)</f>
        <v>-0.40253120844091606</v>
      </c>
      <c r="U114" s="53">
        <f ca="1">SUMPRODUCT(Q114:T114,Q113:T113)/SUM(Q113:T113)</f>
        <v>-0.2792530476950712</v>
      </c>
      <c r="V114" s="91"/>
      <c r="W114" s="80"/>
      <c r="X114" s="56"/>
    </row>
    <row r="115" spans="2:24" ht="3" customHeight="1" x14ac:dyDescent="0.4">
      <c r="D115" s="61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61"/>
      <c r="Q115" s="57"/>
      <c r="R115" s="57"/>
      <c r="S115" s="57"/>
      <c r="T115" s="59"/>
      <c r="U115" s="57"/>
      <c r="V115" s="57"/>
      <c r="W115" s="123"/>
      <c r="X115" s="57"/>
    </row>
    <row r="116" spans="2:24" ht="14.15" customHeight="1" x14ac:dyDescent="0.4">
      <c r="B116" s="328" t="s">
        <v>139</v>
      </c>
      <c r="D116" s="203" t="s">
        <v>140</v>
      </c>
      <c r="E116" s="63" t="s">
        <v>125</v>
      </c>
      <c r="F116" t="s">
        <v>183</v>
      </c>
      <c r="I116" s="126">
        <f t="array" aca="1" ref="I116" ca="1">SUM(INDIRECT($E116&amp;"["&amp;$F116&amp;"]")*(INDIRECT($E116&amp;"[yr]")=I$5)*(INDIRECT($E116&amp;"[wk]")=I$6)*(IF($G$2=0,1,(INDIRECT($E116&amp;"[siteflag]")=$G$2)))/1000)</f>
        <v>71.364999999999995</v>
      </c>
      <c r="J116" s="126">
        <f t="array" aca="1" ref="J116" ca="1">SUM(INDIRECT($E116&amp;"["&amp;$F116&amp;"]")*(INDIRECT($E116&amp;"[yr]")=J$5)*(INDIRECT($E116&amp;"[wk]")=J$6)*(IF($G$2=0,1,(INDIRECT($E116&amp;"[siteflag]")=$G$2)))/1000)</f>
        <v>88.316999999999993</v>
      </c>
      <c r="K116" s="126">
        <f t="array" aca="1" ref="K116" ca="1">SUM(INDIRECT($E116&amp;"["&amp;$F116&amp;"]")*(INDIRECT($E116&amp;"[yr]")=K$5)*(INDIRECT($E116&amp;"[wk]")=K$6)*(IF($G$2=0,1,(INDIRECT($E116&amp;"[siteflag]")=$G$2)))/1000)</f>
        <v>98.141999999999996</v>
      </c>
      <c r="L116" s="126">
        <f t="array" aca="1" ref="L116" ca="1">SUM(INDIRECT($E116&amp;"["&amp;$F116&amp;"]")*(INDIRECT($E116&amp;"[yr]")=L$5)*(INDIRECT($E116&amp;"[wk]")=L$6)*(IF($G$2=0,1,(INDIRECT($E116&amp;"[siteflag]")=$G$2)))/1000)</f>
        <v>68.552000000000007</v>
      </c>
      <c r="M116" s="126">
        <f t="array" aca="1" ref="M116" ca="1">SUM(INDIRECT($E116&amp;"["&amp;$F116&amp;"]")*(INDIRECT($E116&amp;"[yr]")=M$5)*(INDIRECT($E116&amp;"[wk]")=M$6)*(IF($G$2=0,1,(INDIRECT($E116&amp;"[siteflag]")=$G$2)))/1000)</f>
        <v>51.804000000000002</v>
      </c>
      <c r="N116" s="126">
        <f t="array" aca="1" ref="N116" ca="1">SUM(INDIRECT($E116&amp;"["&amp;$F116&amp;"]")*(INDIRECT($E116&amp;"[yr]")=N$5)*(INDIRECT($E116&amp;"[wk]")=N$6)*(IF($G$2=0,1,(INDIRECT($E116&amp;"[siteflag]")=$G$2)))/1000)</f>
        <v>91.013999999999996</v>
      </c>
      <c r="O116" s="126">
        <f t="array" aca="1" ref="O116" ca="1">SUM(INDIRECT($E116&amp;"["&amp;$F116&amp;"]")*(INDIRECT($E116&amp;"[yr]")=O$5)*(INDIRECT($E116&amp;"[wk]")=O$6)*(IF($G$2=0,1,(INDIRECT($E116&amp;"[siteflag]")=$G$2)))/1000)</f>
        <v>93.787000000000006</v>
      </c>
      <c r="P116" s="147">
        <f t="array" aca="1" ref="P116" ca="1">SUM(INDIRECT($E116&amp;"["&amp;$F116&amp;"]")*(INDIRECT($E116&amp;"[yr]")=P$5)*(INDIRECT($E116&amp;"[wk]")=P$6)*(IF($G$2=0,1,(INDIRECT($E116&amp;"[siteflag]")=$G$2)))/1000)</f>
        <v>86.491</v>
      </c>
      <c r="Q116" s="126">
        <f t="array" aca="1" ref="Q116" ca="1">SUM(INDIRECT($E116&amp;"["&amp;$F116&amp;"]")*(INDIRECT($E116&amp;"[yr]")=Q$5)*(INDIRECT($E116&amp;"[wk]")=Q$6)*(IF($G$2=0,1,(INDIRECT($E116&amp;"[siteflag]")=$G$2)))/1000)</f>
        <v>87.13</v>
      </c>
      <c r="R116" s="126">
        <f t="array" aca="1" ref="R116" ca="1">SUM(INDIRECT($E116&amp;"["&amp;$F116&amp;"]")*(INDIRECT($E116&amp;"[yr]")=R$5)*(INDIRECT($E116&amp;"[wk]")=R$6)*(IF($G$2=0,1,(INDIRECT($E116&amp;"[siteflag]")=$G$2)))/1000)</f>
        <v>90.769000000000005</v>
      </c>
      <c r="S116" s="126">
        <f t="array" aca="1" ref="S116" ca="1">SUM(INDIRECT($E116&amp;"["&amp;$F116&amp;"]")*(INDIRECT($E116&amp;"[yr]")=S$5)*(INDIRECT($E116&amp;"[wk]")=S$6)*(IF($G$2=0,1,(INDIRECT($E116&amp;"[siteflag]")=$G$2)))/1000)</f>
        <v>95.834999999999994</v>
      </c>
      <c r="T116" s="120">
        <f t="array" aca="1" ref="T116" ca="1">SUM(INDIRECT($E116&amp;"["&amp;$F116&amp;"]")*(INDIRECT($E116&amp;"[yr]")=T$5)*(INDIRECT($E116&amp;"[wk]")=T$6)*(IF($G$2=0,1,(INDIRECT($E116&amp;"[siteflag]")=$G$2)))/1000)</f>
        <v>109.619</v>
      </c>
      <c r="U116" s="116">
        <f ca="1">SUM(Q116:T116)</f>
        <v>383.35299999999995</v>
      </c>
      <c r="V116" s="47">
        <f t="array" aca="1" ref="V116" ca="1">SUM(T116/S116)-1</f>
        <v>0.14383054207752921</v>
      </c>
      <c r="W116" s="127"/>
      <c r="X116" s="49"/>
    </row>
    <row r="117" spans="2:24" ht="13.5" customHeight="1" x14ac:dyDescent="0.4">
      <c r="B117" s="329"/>
      <c r="D117" s="202" t="s">
        <v>67</v>
      </c>
      <c r="E117" s="40"/>
      <c r="F117" s="40"/>
      <c r="G117" s="40"/>
      <c r="H117" s="40"/>
      <c r="I117" s="50">
        <f t="array" aca="1" ref="I117" ca="1">I116/SUM(INDIRECT($E116&amp;"["&amp;$F116&amp;"]")*(INDIRECT($E116&amp;"[yr]")=(I$5-1))*(INDIRECT($E116&amp;"[wk]")=I$6)*(IF($G$2=0,1,(INDIRECT($E116&amp;"[siteflag]")=$G$2)))/1000)-1</f>
        <v>1.091098218471636</v>
      </c>
      <c r="J117" s="50">
        <f t="array" aca="1" ref="J117" ca="1">J116/SUM(INDIRECT($E116&amp;"["&amp;$F116&amp;"]")*(INDIRECT($E116&amp;"[yr]")=(J$5-1))*(INDIRECT($E116&amp;"[wk]")=J$6)*(IF($G$2=0,1,(INDIRECT($E116&amp;"[siteflag]")=$G$2)))/1000)-1</f>
        <v>1.7454924148221833</v>
      </c>
      <c r="K117" s="50">
        <f t="array" aca="1" ref="K117" ca="1">K116/SUM(INDIRECT($E116&amp;"["&amp;$F116&amp;"]")*(INDIRECT($E116&amp;"[yr]")=(K$5-1))*(INDIRECT($E116&amp;"[wk]")=K$6)*(IF($G$2=0,1,(INDIRECT($E116&amp;"[siteflag]")=$G$2)))/1000)-1</f>
        <v>2.3226800284389073</v>
      </c>
      <c r="L117" s="50">
        <f t="array" aca="1" ref="L117" ca="1">L116/SUM(INDIRECT($E116&amp;"["&amp;$F116&amp;"]")*(INDIRECT($E116&amp;"[yr]")=(L$5-1))*(INDIRECT($E116&amp;"[wk]")=L$6)*(IF($G$2=0,1,(INDIRECT($E116&amp;"[siteflag]")=$G$2)))/1000)-1</f>
        <v>2.3711335136464227</v>
      </c>
      <c r="M117" s="50">
        <f t="array" aca="1" ref="M117" ca="1">M116/SUM(INDIRECT($E116&amp;"["&amp;$F116&amp;"]")*(INDIRECT($E116&amp;"[yr]")=(M$5-1))*(INDIRECT($E116&amp;"[wk]")=M$6)*(IF($G$2=0,1,(INDIRECT($E116&amp;"[siteflag]")=$G$2)))/1000)-1</f>
        <v>1.2791025076990761</v>
      </c>
      <c r="N117" s="50">
        <f t="array" aca="1" ref="N117" ca="1">N116/SUM(INDIRECT($E116&amp;"["&amp;$F116&amp;"]")*(INDIRECT($E116&amp;"[yr]")=(N$5-1))*(INDIRECT($E116&amp;"[wk]")=N$6)*(IF($G$2=0,1,(INDIRECT($E116&amp;"[siteflag]")=$G$2)))/1000)-1</f>
        <v>1.6720098643649814</v>
      </c>
      <c r="O117" s="50">
        <f t="array" aca="1" ref="O117" ca="1">O116/SUM(INDIRECT($E116&amp;"["&amp;$F116&amp;"]")*(INDIRECT($E116&amp;"[yr]")=(O$5-1))*(INDIRECT($E116&amp;"[wk]")=O$6)*(IF($G$2=0,1,(INDIRECT($E116&amp;"[siteflag]")=$G$2)))/1000)-1</f>
        <v>1.4019002740287347</v>
      </c>
      <c r="P117" s="54">
        <f t="array" aca="1" ref="P117" ca="1">P116/SUM(INDIRECT($E116&amp;"["&amp;$F116&amp;"]")*(INDIRECT($E116&amp;"[yr]")=(P$5-1))*(INDIRECT($E116&amp;"[wk]")=P$6)*(IF($G$2=0,1,(INDIRECT($E116&amp;"[siteflag]")=$G$2)))/1000)-1</f>
        <v>1.1468711991461267</v>
      </c>
      <c r="Q117" s="50">
        <f t="array" aca="1" ref="Q117" ca="1">Q116/SUM(INDIRECT($E116&amp;"["&amp;$F116&amp;"]")*(INDIRECT($E116&amp;"[yr]")=(Q$5-1))*(INDIRECT($E116&amp;"[wk]")=Q$6)*(IF($G$2=0,1,(INDIRECT($E116&amp;"[siteflag]")=$G$2)))/1000)-1</f>
        <v>1.1599444706115669</v>
      </c>
      <c r="R117" s="50">
        <f t="array" aca="1" ref="R117" ca="1">R116/SUM(INDIRECT($E116&amp;"["&amp;$F116&amp;"]")*(INDIRECT($E116&amp;"[yr]")=(R$5-1))*(INDIRECT($E116&amp;"[wk]")=R$6)*(IF($G$2=0,1,(INDIRECT($E116&amp;"[siteflag]")=$G$2)))/1000)-1</f>
        <v>1.1175057154854664</v>
      </c>
      <c r="S117" s="50">
        <f t="array" aca="1" ref="S117" ca="1">S116/SUM(INDIRECT($E116&amp;"["&amp;$F116&amp;"]")*(INDIRECT($E116&amp;"[yr]")=(S$5-1))*(INDIRECT($E116&amp;"[wk]")=S$6)*(IF($G$2=0,1,(INDIRECT($E116&amp;"[siteflag]")=$G$2)))/1000)-1</f>
        <v>1.1389831265065617</v>
      </c>
      <c r="T117" s="52">
        <f t="array" aca="1" ref="T117" ca="1">T116/SUM(INDIRECT($E116&amp;"["&amp;$F116&amp;"]")*(INDIRECT($E116&amp;"[yr]")=(T$5-1))*(INDIRECT($E116&amp;"[wk]")=T$6)*(IF($G$2=0,1,(INDIRECT($E116&amp;"[siteflag]")=$G$2)))/1000)-1</f>
        <v>1.4557327837268694</v>
      </c>
      <c r="U117" s="53">
        <f ca="1">SUMPRODUCT(Q117:T117,Q116:T116)/SUM(Q116:T116)</f>
        <v>1.2292358686677767</v>
      </c>
      <c r="V117" s="91"/>
      <c r="W117" s="80"/>
      <c r="X117" s="56"/>
    </row>
    <row r="118" spans="2:24" ht="3" customHeight="1" x14ac:dyDescent="0.4">
      <c r="B118" s="329"/>
      <c r="D118" s="78"/>
      <c r="P118" s="78"/>
      <c r="T118" s="175"/>
      <c r="U118" s="60"/>
      <c r="V118" s="61"/>
      <c r="W118" s="62"/>
      <c r="X118" s="61"/>
    </row>
    <row r="119" spans="2:24" ht="13.5" hidden="1" customHeight="1" x14ac:dyDescent="0.4">
      <c r="B119" s="329"/>
      <c r="D119" s="201" t="s">
        <v>428</v>
      </c>
      <c r="E119" s="63" t="s">
        <v>125</v>
      </c>
      <c r="F119" s="63" t="s">
        <v>130</v>
      </c>
      <c r="G119" s="63"/>
      <c r="H119" s="63"/>
      <c r="I119" s="128">
        <f t="array" aca="1" ref="I119" ca="1">SUM(INDIRECT($E116&amp;"["&amp;$F116&amp;"]")*(INDIRECT($E116&amp;"[yr]")=I$5)*(INDIRECT($E116&amp;"[wk]")=I$6)*(IF($G$2=0,1,(INDIRECT($E116&amp;"[siteflag]")=$G$2))))
/SUM(INDIRECT($E119&amp;"["&amp;$F119&amp;"]")*(INDIRECT($E119&amp;"[yr]")=I$5)*(INDIRECT($E119&amp;"[wk]")=I$6)*(IF($G$2=0,1,(INDIRECT($E116&amp;"[siteflag]")=$G$2))))</f>
        <v>24.213687103450614</v>
      </c>
      <c r="J119" s="128">
        <f t="array" aca="1" ref="J119" ca="1">SUM(INDIRECT($E116&amp;"["&amp;$F116&amp;"]")*(INDIRECT($E116&amp;"[yr]")=J$5)*(INDIRECT($E116&amp;"[wk]")=J$6)*(IF($G$2=0,1,(INDIRECT($E116&amp;"[siteflag]")=$G$2))))
/SUM(INDIRECT($E119&amp;"["&amp;$F119&amp;"]")*(INDIRECT($E119&amp;"[yr]")=J$5)*(INDIRECT($E119&amp;"[wk]")=J$6)*(IF($G$2=0,1,(INDIRECT($E116&amp;"[siteflag]")=$G$2))))</f>
        <v>25.568004168837938</v>
      </c>
      <c r="K119" s="128">
        <f t="array" aca="1" ref="K119" ca="1">SUM(INDIRECT($E116&amp;"["&amp;$F116&amp;"]")*(INDIRECT($E116&amp;"[yr]")=K$5)*(INDIRECT($E116&amp;"[wk]")=K$6)*(IF($G$2=0,1,(INDIRECT($E116&amp;"[siteflag]")=$G$2))))
/SUM(INDIRECT($E119&amp;"["&amp;$F119&amp;"]")*(INDIRECT($E119&amp;"[yr]")=K$5)*(INDIRECT($E119&amp;"[wk]")=K$6)*(IF($G$2=0,1,(INDIRECT($E116&amp;"[siteflag]")=$G$2))))</f>
        <v>25.769877113748556</v>
      </c>
      <c r="L119" s="128">
        <f t="array" aca="1" ref="L119" ca="1">SUM(INDIRECT($E116&amp;"["&amp;$F116&amp;"]")*(INDIRECT($E116&amp;"[yr]")=L$5)*(INDIRECT($E116&amp;"[wk]")=L$6)*(IF($G$2=0,1,(INDIRECT($E116&amp;"[siteflag]")=$G$2))))
/SUM(INDIRECT($E119&amp;"["&amp;$F119&amp;"]")*(INDIRECT($E119&amp;"[yr]")=L$5)*(INDIRECT($E119&amp;"[wk]")=L$6)*(IF($G$2=0,1,(INDIRECT($E116&amp;"[siteflag]")=$G$2))))</f>
        <v>24.381846635367761</v>
      </c>
      <c r="M119" s="128">
        <f t="array" aca="1" ref="M119" ca="1">SUM(INDIRECT($E116&amp;"["&amp;$F116&amp;"]")*(INDIRECT($E116&amp;"[yr]")=M$5)*(INDIRECT($E116&amp;"[wk]")=M$6)*(IF($G$2=0,1,(INDIRECT($E116&amp;"[siteflag]")=$G$2))))
/SUM(INDIRECT($E119&amp;"["&amp;$F119&amp;"]")*(INDIRECT($E119&amp;"[yr]")=M$5)*(INDIRECT($E119&amp;"[wk]")=M$6)*(IF($G$2=0,1,(INDIRECT($E116&amp;"[siteflag]")=$G$2))))</f>
        <v>23.875011521799241</v>
      </c>
      <c r="N119" s="128">
        <f t="array" aca="1" ref="N119" ca="1">SUM(INDIRECT($E116&amp;"["&amp;$F116&amp;"]")*(INDIRECT($E116&amp;"[yr]")=N$5)*(INDIRECT($E116&amp;"[wk]")=N$6)*(IF($G$2=0,1,(INDIRECT($E116&amp;"[siteflag]")=$G$2))))
/SUM(INDIRECT($E119&amp;"["&amp;$F119&amp;"]")*(INDIRECT($E119&amp;"[yr]")=N$5)*(INDIRECT($E119&amp;"[wk]")=N$6)*(IF($G$2=0,1,(INDIRECT($E116&amp;"[siteflag]")=$G$2))))</f>
        <v>26.1046895167073</v>
      </c>
      <c r="O119" s="128">
        <f t="array" aca="1" ref="O119" ca="1">SUM(INDIRECT($E116&amp;"["&amp;$F116&amp;"]")*(INDIRECT($E116&amp;"[yr]")=O$5)*(INDIRECT($E116&amp;"[wk]")=O$6)*(IF($G$2=0,1,(INDIRECT($E116&amp;"[siteflag]")=$G$2))))
/SUM(INDIRECT($E119&amp;"["&amp;$F119&amp;"]")*(INDIRECT($E119&amp;"[yr]")=O$5)*(INDIRECT($E119&amp;"[wk]")=O$6)*(IF($G$2=0,1,(INDIRECT($E116&amp;"[siteflag]")=$G$2))))</f>
        <v>26.365399752614419</v>
      </c>
      <c r="P119" s="154">
        <f t="array" aca="1" ref="P119" ca="1">SUM(INDIRECT($E116&amp;"["&amp;$F116&amp;"]")*(INDIRECT($E116&amp;"[yr]")=P$5)*(INDIRECT($E116&amp;"[wk]")=P$6)*(IF($G$2=0,1,(INDIRECT($E116&amp;"[siteflag]")=$G$2))))
/SUM(INDIRECT($E119&amp;"["&amp;$F119&amp;"]")*(INDIRECT($E119&amp;"[yr]")=P$5)*(INDIRECT($E119&amp;"[wk]")=P$6)*(IF($G$2=0,1,(INDIRECT($E116&amp;"[siteflag]")=$G$2))))</f>
        <v>24.102271143932004</v>
      </c>
      <c r="Q119" s="128">
        <f t="array" aca="1" ref="Q119" ca="1">SUM(INDIRECT($E116&amp;"["&amp;$F116&amp;"]")*(INDIRECT($E116&amp;"[yr]")=Q$5)*(INDIRECT($E116&amp;"[wk]")=Q$6)*(IF($G$2=0,1,(INDIRECT($E116&amp;"[siteflag]")=$G$2))))
/SUM(INDIRECT($E119&amp;"["&amp;$F119&amp;"]")*(INDIRECT($E119&amp;"[yr]")=Q$5)*(INDIRECT($E119&amp;"[wk]")=Q$6)*(IF($G$2=0,1,(INDIRECT($E116&amp;"[siteflag]")=$G$2))))</f>
        <v>24.119698815192116</v>
      </c>
      <c r="R119" s="128">
        <f t="array" aca="1" ref="R119" ca="1">SUM(INDIRECT($E116&amp;"["&amp;$F116&amp;"]")*(INDIRECT($E116&amp;"[yr]")=R$5)*(INDIRECT($E116&amp;"[wk]")=R$6)*(IF($G$2=0,1,(INDIRECT($E116&amp;"[siteflag]")=$G$2))))
/SUM(INDIRECT($E119&amp;"["&amp;$F119&amp;"]")*(INDIRECT($E119&amp;"[yr]")=R$5)*(INDIRECT($E119&amp;"[wk]")=R$6)*(IF($G$2=0,1,(INDIRECT($E116&amp;"[siteflag]")=$G$2))))</f>
        <v>26.666960455960982</v>
      </c>
      <c r="S119" s="128">
        <f t="array" aca="1" ref="S119" ca="1">SUM(INDIRECT($E116&amp;"["&amp;$F116&amp;"]")*(INDIRECT($E116&amp;"[yr]")=S$5)*(INDIRECT($E116&amp;"[wk]")=S$6)*(IF($G$2=0,1,(INDIRECT($E116&amp;"[siteflag]")=$G$2))))
/SUM(INDIRECT($E119&amp;"["&amp;$F119&amp;"]")*(INDIRECT($E119&amp;"[yr]")=S$5)*(INDIRECT($E119&amp;"[wk]")=S$6)*(IF($G$2=0,1,(INDIRECT($E116&amp;"[siteflag]")=$G$2))))</f>
        <v>28.286599763872491</v>
      </c>
      <c r="T119" s="129">
        <f t="array" aca="1" ref="T119" ca="1">SUM(INDIRECT($E116&amp;"["&amp;$F116&amp;"]")*(INDIRECT($E116&amp;"[yr]")=T$5)*(INDIRECT($E116&amp;"[wk]")=T$6)*(IF($G$2=0,1,(INDIRECT($E116&amp;"[siteflag]")=$G$2))))
/SUM(INDIRECT($E119&amp;"["&amp;$F119&amp;"]")*(INDIRECT($E119&amp;"[yr]")=T$5)*(INDIRECT($E119&amp;"[wk]")=T$6)*(IF($G$2=0,1,(INDIRECT($E119&amp;"[siteflag]")=$G$2))))</f>
        <v>25.761791732274212</v>
      </c>
      <c r="U119" s="130">
        <f ca="1">AVERAGE(Q119:T119)</f>
        <v>26.208762691824951</v>
      </c>
      <c r="V119" s="47">
        <f t="array" aca="1" ref="V119" ca="1">SUM(T119/S119)-1</f>
        <v>-8.9258095800646697E-2</v>
      </c>
      <c r="W119" s="131">
        <v>35</v>
      </c>
      <c r="X119" s="49"/>
    </row>
    <row r="120" spans="2:24" ht="13.5" hidden="1" customHeight="1" x14ac:dyDescent="0.4">
      <c r="B120" s="329"/>
      <c r="D120" s="204" t="s">
        <v>67</v>
      </c>
      <c r="I120" s="74">
        <f t="array" aca="1" ref="I120" ca="1">I119/(SUM(INDIRECT($E116&amp;"["&amp;$F116&amp;"]")*(INDIRECT($E116&amp;"[yr]")=(I$5-1))*(INDIRECT($E116&amp;"[wk]")=I$6)*(IF($G$2=0,1,(INDIRECT($E116&amp;"[siteflag]")=$G$2))))
           /SUM(INDIRECT($E119&amp;"["&amp;$F119&amp;"]")*(INDIRECT($E119&amp;"[yr]")=(I$5-1))*(INDIRECT($E119&amp;"[wk]")=I$6)*(IF($G$2=0,1,(INDIRECT($E116&amp;"[siteflag]")=$G$2)))))-1</f>
        <v>-0.17762292775405519</v>
      </c>
      <c r="J120" s="74">
        <f t="array" aca="1" ref="J120" ca="1">J119/(SUM(INDIRECT($E116&amp;"["&amp;$F116&amp;"]")*(INDIRECT($E116&amp;"[yr]")=(J$5-1))*(INDIRECT($E116&amp;"[wk]")=J$6)*(IF($G$2=0,1,(INDIRECT($E116&amp;"[siteflag]")=$G$2))))
           /SUM(INDIRECT($E119&amp;"["&amp;$F119&amp;"]")*(INDIRECT($E119&amp;"[yr]")=(J$5-1))*(INDIRECT($E119&amp;"[wk]")=J$6)*(IF($G$2=0,1,(INDIRECT($E116&amp;"[siteflag]")=$G$2)))))-1</f>
        <v>-0.11464188498916372</v>
      </c>
      <c r="K120" s="74">
        <f t="array" aca="1" ref="K120" ca="1">K119/(SUM(INDIRECT($E116&amp;"["&amp;$F116&amp;"]")*(INDIRECT($E116&amp;"[yr]")=(K$5-1))*(INDIRECT($E116&amp;"[wk]")=K$6)*(IF($G$2=0,1,(INDIRECT($E116&amp;"[siteflag]")=$G$2))))
           /SUM(INDIRECT($E119&amp;"["&amp;$F119&amp;"]")*(INDIRECT($E119&amp;"[yr]")=(K$5-1))*(INDIRECT($E119&amp;"[wk]")=K$6)*(IF($G$2=0,1,(INDIRECT($E116&amp;"[siteflag]")=$G$2)))))-1</f>
        <v>-0.12370028868710259</v>
      </c>
      <c r="L120" s="74">
        <f t="array" aca="1" ref="L120" ca="1">L119/(SUM(INDIRECT($E116&amp;"["&amp;$F116&amp;"]")*(INDIRECT($E116&amp;"[yr]")=(L$5-1))*(INDIRECT($E116&amp;"[wk]")=L$6)*(IF($G$2=0,1,(INDIRECT($E116&amp;"[siteflag]")=$G$2))))
           /SUM(INDIRECT($E119&amp;"["&amp;$F119&amp;"]")*(INDIRECT($E119&amp;"[yr]")=(L$5-1))*(INDIRECT($E119&amp;"[wk]")=L$6)*(IF($G$2=0,1,(INDIRECT($E116&amp;"[siteflag]")=$G$2)))))-1</f>
        <v>-0.10014379641782623</v>
      </c>
      <c r="M120" s="74">
        <f t="array" aca="1" ref="M120" ca="1">M119/(SUM(INDIRECT($E116&amp;"["&amp;$F116&amp;"]")*(INDIRECT($E116&amp;"[yr]")=(M$5-1))*(INDIRECT($E116&amp;"[wk]")=M$6)*(IF($G$2=0,1,(INDIRECT($E116&amp;"[siteflag]")=$G$2))))
           /SUM(INDIRECT($E119&amp;"["&amp;$F119&amp;"]")*(INDIRECT($E119&amp;"[yr]")=(M$5-1))*(INDIRECT($E119&amp;"[wk]")=M$6)*(IF($G$2=0,1,(INDIRECT($E116&amp;"[siteflag]")=$G$2)))))-1</f>
        <v>-0.16505734013734197</v>
      </c>
      <c r="N120" s="74">
        <f t="array" aca="1" ref="N120" ca="1">N119/(SUM(INDIRECT($E116&amp;"["&amp;$F116&amp;"]")*(INDIRECT($E116&amp;"[yr]")=(N$5-1))*(INDIRECT($E116&amp;"[wk]")=N$6)*(IF($G$2=0,1,(INDIRECT($E116&amp;"[siteflag]")=$G$2))))
           /SUM(INDIRECT($E119&amp;"["&amp;$F119&amp;"]")*(INDIRECT($E119&amp;"[yr]")=(N$5-1))*(INDIRECT($E119&amp;"[wk]")=N$6)*(IF($G$2=0,1,(INDIRECT($E116&amp;"[siteflag]")=$G$2)))))-1</f>
        <v>-9.0068173824596975E-2</v>
      </c>
      <c r="O120" s="74">
        <f t="array" aca="1" ref="O120" ca="1">O119/(SUM(INDIRECT($E116&amp;"["&amp;$F116&amp;"]")*(INDIRECT($E116&amp;"[yr]")=(O$5-1))*(INDIRECT($E116&amp;"[wk]")=O$6)*(IF($G$2=0,1,(INDIRECT($E116&amp;"[siteflag]")=$G$2))))
           /SUM(INDIRECT($E119&amp;"["&amp;$F119&amp;"]")*(INDIRECT($E119&amp;"[yr]")=(O$5-1))*(INDIRECT($E119&amp;"[wk]")=O$6)*(IF($G$2=0,1,(INDIRECT($E116&amp;"[siteflag]")=$G$2)))))-1</f>
        <v>-0.22903133563307965</v>
      </c>
      <c r="P120" s="91">
        <f t="array" aca="1" ref="P120" ca="1">P119/(SUM(INDIRECT($E116&amp;"["&amp;$F116&amp;"]")*(INDIRECT($E116&amp;"[yr]")=(P$5-1))*(INDIRECT($E116&amp;"[wk]")=P$6)*(IF($G$2=0,1,(INDIRECT($E116&amp;"[siteflag]")=$G$2))))
           /SUM(INDIRECT($E119&amp;"["&amp;$F119&amp;"]")*(INDIRECT($E119&amp;"[yr]")=(P$5-1))*(INDIRECT($E119&amp;"[wk]")=P$6)*(IF($G$2=0,1,(INDIRECT($E116&amp;"[siteflag]")=$G$2)))))-1</f>
        <v>-0.33449086751284629</v>
      </c>
      <c r="Q120" s="74">
        <f t="array" aca="1" ref="Q120" ca="1">Q119/(SUM(INDIRECT($E116&amp;"["&amp;$F116&amp;"]")*(INDIRECT($E116&amp;"[yr]")=(Q$5-1))*(INDIRECT($E116&amp;"[wk]")=Q$6)*(IF($G$2=0,1,(INDIRECT($E116&amp;"[siteflag]")=$G$2))))
           /SUM(INDIRECT($E119&amp;"["&amp;$F119&amp;"]")*(INDIRECT($E119&amp;"[yr]")=(Q$5-1))*(INDIRECT($E119&amp;"[wk]")=Q$6)*(IF($G$2=0,1,(INDIRECT($E116&amp;"[siteflag]")=$G$2)))))-1</f>
        <v>-0.26598720182627633</v>
      </c>
      <c r="R120" s="74">
        <f t="array" aca="1" ref="R120" ca="1">R119/(SUM(INDIRECT($E116&amp;"["&amp;$F116&amp;"]")*(INDIRECT($E116&amp;"[yr]")=(R$5-1))*(INDIRECT($E116&amp;"[wk]")=R$6)*(IF($G$2=0,1,(INDIRECT($E116&amp;"[siteflag]")=$G$2))))
           /SUM(INDIRECT($E119&amp;"["&amp;$F119&amp;"]")*(INDIRECT($E119&amp;"[yr]")=(R$5-1))*(INDIRECT($E119&amp;"[wk]")=R$6)*(IF($G$2=0,1,(INDIRECT($E116&amp;"[siteflag]")=$G$2)))))-1</f>
        <v>-0.1772098656498392</v>
      </c>
      <c r="S120" s="74">
        <f t="array" aca="1" ref="S120" ca="1">S119/(SUM(INDIRECT($E116&amp;"["&amp;$F116&amp;"]")*(INDIRECT($E116&amp;"[yr]")=(S$5-1))*(INDIRECT($E116&amp;"[wk]")=S$6)*(IF($G$2=0,1,(INDIRECT($E116&amp;"[siteflag]")=$G$2))))
           /SUM(INDIRECT($E119&amp;"["&amp;$F119&amp;"]")*(INDIRECT($E119&amp;"[yr]")=(S$5-1))*(INDIRECT($E119&amp;"[wk]")=S$6)*(IF($G$2=0,1,(INDIRECT($E116&amp;"[siteflag]")=$G$2)))))-1</f>
        <v>-0.1094304609651251</v>
      </c>
      <c r="T120" s="76">
        <f t="array" aca="1" ref="T120" ca="1">T119/(SUM(INDIRECT($E116&amp;"["&amp;$F116&amp;"]")*(INDIRECT($E116&amp;"[yr]")=(T$5-1))*(INDIRECT($E116&amp;"[wk]")=T$6)*(IF($G$2=0,1,(INDIRECT($E116&amp;"[siteflag]")=$G$2))))/
            SUM(INDIRECT($E119&amp;"["&amp;$F119&amp;"]")*(INDIRECT($E119&amp;"[yr]")=(T$5-1))*(INDIRECT($E119&amp;"[wk]")=T$6)*(IF($G$2=0,1,(INDIRECT($E119&amp;"[siteflag]")=$G$2)))))-1</f>
        <v>-0.19865926295392389</v>
      </c>
      <c r="U120" s="53">
        <f ca="1">SUMPRODUCT(Q120:T120,Q119:T119)/SUM(Q119:T119)</f>
        <v>-0.18461777567694576</v>
      </c>
      <c r="V120" s="91"/>
      <c r="W120" s="80"/>
      <c r="X120" s="56"/>
    </row>
    <row r="121" spans="2:24" ht="14.15" customHeight="1" x14ac:dyDescent="0.4">
      <c r="B121" s="329"/>
      <c r="D121" s="201" t="s">
        <v>141</v>
      </c>
      <c r="E121" s="63" t="s">
        <v>142</v>
      </c>
      <c r="F121" s="63" t="s">
        <v>143</v>
      </c>
      <c r="G121" s="63"/>
      <c r="H121" s="63"/>
      <c r="I121" s="128">
        <f t="array" aca="1" ref="I121" ca="1">SUM(INDIRECT($E121&amp;"["&amp;$F121&amp;"]")*(INDIRECT($E121&amp;"[yr]")=I$5)*(INDIRECT($E121&amp;"[wk]")=I$6)*(IF($G$2=0,1,(INDIRECT($E121&amp;"[siteflag]")=$G$2))))/1000</f>
        <v>3.6120000000000001</v>
      </c>
      <c r="J121" s="128">
        <f t="array" aca="1" ref="J121" ca="1">SUM(INDIRECT($E121&amp;"["&amp;$F121&amp;"]")*(INDIRECT($E121&amp;"[yr]")=J$5)*(INDIRECT($E121&amp;"[wk]")=J$6)*(IF($G$2=0,1,(INDIRECT($E121&amp;"[siteflag]")=$G$2))))/1000</f>
        <v>4.1020000000000003</v>
      </c>
      <c r="K121" s="128">
        <f t="array" aca="1" ref="K121" ca="1">SUM(INDIRECT($E121&amp;"["&amp;$F121&amp;"]")*(INDIRECT($E121&amp;"[yr]")=K$5)*(INDIRECT($E121&amp;"[wk]")=K$6)*(IF($G$2=0,1,(INDIRECT($E121&amp;"[siteflag]")=$G$2))))/1000</f>
        <v>3.1829999999999998</v>
      </c>
      <c r="L121" s="128">
        <f t="array" aca="1" ref="L121" ca="1">SUM(INDIRECT($E121&amp;"["&amp;$F121&amp;"]")*(INDIRECT($E121&amp;"[yr]")=L$5)*(INDIRECT($E121&amp;"[wk]")=L$6)*(IF($G$2=0,1,(INDIRECT($E121&amp;"[siteflag]")=$G$2))))/1000</f>
        <v>2.7669999999999999</v>
      </c>
      <c r="M121" s="128">
        <f t="array" aca="1" ref="M121" ca="1">SUM(INDIRECT($E121&amp;"["&amp;$F121&amp;"]")*(INDIRECT($E121&amp;"[yr]")=M$5)*(INDIRECT($E121&amp;"[wk]")=M$6)*(IF($G$2=0,1,(INDIRECT($E121&amp;"[siteflag]")=$G$2))))/1000</f>
        <v>3.8959999999999999</v>
      </c>
      <c r="N121" s="128">
        <f t="array" aca="1" ref="N121" ca="1">SUM(INDIRECT($E121&amp;"["&amp;$F121&amp;"]")*(INDIRECT($E121&amp;"[yr]")=N$5)*(INDIRECT($E121&amp;"[wk]")=N$6)*(IF($G$2=0,1,(INDIRECT($E121&amp;"[siteflag]")=$G$2))))/1000</f>
        <v>3.8370000000000002</v>
      </c>
      <c r="O121" s="128">
        <f t="array" aca="1" ref="O121" ca="1">SUM(INDIRECT($E121&amp;"["&amp;$F121&amp;"]")*(INDIRECT($E121&amp;"[yr]")=O$5)*(INDIRECT($E121&amp;"[wk]")=O$6)*(IF($G$2=0,1,(INDIRECT($E121&amp;"[siteflag]")=$G$2))))/1000</f>
        <v>4.7859999999999996</v>
      </c>
      <c r="P121" s="154">
        <f t="array" aca="1" ref="P121" ca="1">SUM(INDIRECT($E121&amp;"["&amp;$F121&amp;"]")*(INDIRECT($E121&amp;"[yr]")=P$5)*(INDIRECT($E121&amp;"[wk]")=P$6)*(IF($G$2=0,1,(INDIRECT($E121&amp;"[siteflag]")=$G$2))))/1000</f>
        <v>4.2050000000000001</v>
      </c>
      <c r="Q121" s="128">
        <f t="array" aca="1" ref="Q121" ca="1">SUM(INDIRECT($E121&amp;"["&amp;$F121&amp;"]")*(INDIRECT($E121&amp;"[yr]")=Q$5)*(INDIRECT($E121&amp;"[wk]")=Q$6)*(IF($G$2=0,1,(INDIRECT($E121&amp;"[siteflag]")=$G$2))))/1000</f>
        <v>4.1219999999999999</v>
      </c>
      <c r="R121" s="128">
        <f t="array" aca="1" ref="R121" ca="1">SUM(INDIRECT($E121&amp;"["&amp;$F121&amp;"]")*(INDIRECT($E121&amp;"[yr]")=R$5)*(INDIRECT($E121&amp;"[wk]")=R$6)*(IF($G$2=0,1,(INDIRECT($E121&amp;"[siteflag]")=$G$2))))/1000</f>
        <v>3.8420000000000001</v>
      </c>
      <c r="S121" s="128">
        <f t="array" aca="1" ref="S121" ca="1">SUM(INDIRECT($E121&amp;"["&amp;$F121&amp;"]")*(INDIRECT($E121&amp;"[yr]")=S$5)*(INDIRECT($E121&amp;"[wk]")=S$6)*(IF($G$2=0,1,(INDIRECT($E121&amp;"[siteflag]")=$G$2))))/1000</f>
        <v>3.95</v>
      </c>
      <c r="T121" s="166">
        <f t="array" aca="1" ref="T121" ca="1">SUM(INDIRECT($E121&amp;"["&amp;$F121&amp;"]")*(INDIRECT($E121&amp;"[yr]")=T$5)*(INDIRECT($E121&amp;"[wk]")=T$6)*(IF($G$2=0,1,(INDIRECT($E121&amp;"[siteflag]")=$G$2))))/1000</f>
        <v>3.3130000000000002</v>
      </c>
      <c r="U121" s="167">
        <f ca="1">AVERAGE(Q121:T121)</f>
        <v>3.8067500000000005</v>
      </c>
      <c r="V121" s="47">
        <f t="array" aca="1" ref="V121" ca="1">SUM(T121/S121)-1</f>
        <v>-0.16126582278481016</v>
      </c>
      <c r="W121" s="131"/>
      <c r="X121" s="49"/>
    </row>
    <row r="122" spans="2:24" ht="14.15" customHeight="1" x14ac:dyDescent="0.4">
      <c r="B122" s="329"/>
      <c r="D122" s="78" t="s">
        <v>136</v>
      </c>
      <c r="I122" s="117">
        <f ca="1">I121/I123</f>
        <v>0.880760790051207</v>
      </c>
      <c r="J122" s="117">
        <f t="shared" ref="J122:S122" ca="1" si="4">J121/J123</f>
        <v>0.83936975649682843</v>
      </c>
      <c r="K122" s="117">
        <f t="shared" ca="1" si="4"/>
        <v>0.72621492128678988</v>
      </c>
      <c r="L122" s="117">
        <f t="shared" ca="1" si="4"/>
        <v>0.5564045847576915</v>
      </c>
      <c r="M122" s="117">
        <f t="shared" ca="1" si="4"/>
        <v>1.0831248262440922</v>
      </c>
      <c r="N122" s="117">
        <f t="shared" ca="1" si="4"/>
        <v>0.94507389162561595</v>
      </c>
      <c r="O122" s="117">
        <f t="shared" ca="1" si="4"/>
        <v>0.89827327327327311</v>
      </c>
      <c r="P122" s="155">
        <f t="shared" ca="1" si="4"/>
        <v>0.79973373906428302</v>
      </c>
      <c r="Q122" s="117">
        <f t="shared" ca="1" si="4"/>
        <v>0.81173690429302869</v>
      </c>
      <c r="R122" s="117">
        <f t="shared" ca="1" si="4"/>
        <v>0.63852418148579027</v>
      </c>
      <c r="S122" s="117">
        <f t="shared" ca="1" si="4"/>
        <v>0.88903893765473796</v>
      </c>
      <c r="T122" s="184">
        <f ca="1">T121/T123</f>
        <v>0.57868995633187781</v>
      </c>
      <c r="U122" s="185">
        <f ca="1">U121/U123</f>
        <v>0.71612660490053159</v>
      </c>
      <c r="V122" s="89">
        <f t="array" aca="1" ref="V122" ca="1">SUM(T122/S122)-1</f>
        <v>-0.34908367696644749</v>
      </c>
      <c r="W122" s="178"/>
      <c r="X122" s="81"/>
    </row>
    <row r="123" spans="2:24" ht="14.15" customHeight="1" x14ac:dyDescent="0.4">
      <c r="B123" s="329"/>
      <c r="D123" s="222" t="s">
        <v>257</v>
      </c>
      <c r="E123" s="223" t="s">
        <v>142</v>
      </c>
      <c r="F123" s="40" t="s">
        <v>256</v>
      </c>
      <c r="I123" s="117">
        <f t="array" aca="1" ref="I123" ca="1">SUM(INDIRECT($E123&amp;"["&amp;$F123&amp;"]")*(INDIRECT($E123&amp;"[yr]")=I$5)*(INDIRECT($E123&amp;"[wk]")=I$6)*(IF($G$2=0,1,(INDIRECT($E123&amp;"[siteflag]")=$G$2))))/1000</f>
        <v>4.101</v>
      </c>
      <c r="J123" s="117">
        <f t="array" aca="1" ref="J123" ca="1">SUM(INDIRECT($E123&amp;"["&amp;$F123&amp;"]")*(INDIRECT($E123&amp;"[yr]")=J$5)*(INDIRECT($E123&amp;"[wk]")=J$6)*(IF($G$2=0,1,(INDIRECT($E123&amp;"[siteflag]")=$G$2))))/1000</f>
        <v>4.8869999999999996</v>
      </c>
      <c r="K123" s="117">
        <f t="array" aca="1" ref="K123" ca="1">SUM(INDIRECT($E123&amp;"["&amp;$F123&amp;"]")*(INDIRECT($E123&amp;"[yr]")=K$5)*(INDIRECT($E123&amp;"[wk]")=K$6)*(IF($G$2=0,1,(INDIRECT($E123&amp;"[siteflag]")=$G$2))))/1000</f>
        <v>4.383</v>
      </c>
      <c r="L123" s="117">
        <f t="array" aca="1" ref="L123" ca="1">SUM(INDIRECT($E123&amp;"["&amp;$F123&amp;"]")*(INDIRECT($E123&amp;"[yr]")=L$5)*(INDIRECT($E123&amp;"[wk]")=L$6)*(IF($G$2=0,1,(INDIRECT($E123&amp;"[siteflag]")=$G$2))))/1000</f>
        <v>4.9729999999999999</v>
      </c>
      <c r="M123" s="117">
        <f t="array" aca="1" ref="M123" ca="1">SUM(INDIRECT($E123&amp;"["&amp;$F123&amp;"]")*(INDIRECT($E123&amp;"[yr]")=M$5)*(INDIRECT($E123&amp;"[wk]")=M$6)*(IF($G$2=0,1,(INDIRECT($E123&amp;"[siteflag]")=$G$2))))/1000</f>
        <v>3.597</v>
      </c>
      <c r="N123" s="117">
        <f t="array" aca="1" ref="N123" ca="1">SUM(INDIRECT($E123&amp;"["&amp;$F123&amp;"]")*(INDIRECT($E123&amp;"[yr]")=N$5)*(INDIRECT($E123&amp;"[wk]")=N$6)*(IF($G$2=0,1,(INDIRECT($E123&amp;"[siteflag]")=$G$2))))/1000</f>
        <v>4.0599999999999996</v>
      </c>
      <c r="O123" s="117">
        <f t="array" aca="1" ref="O123" ca="1">SUM(INDIRECT($E123&amp;"["&amp;$F123&amp;"]")*(INDIRECT($E123&amp;"[yr]")=O$5)*(INDIRECT($E123&amp;"[wk]")=O$6)*(IF($G$2=0,1,(INDIRECT($E123&amp;"[siteflag]")=$G$2))))/1000</f>
        <v>5.3280000000000003</v>
      </c>
      <c r="P123" s="155">
        <f t="array" aca="1" ref="P123" ca="1">SUM(INDIRECT($E123&amp;"["&amp;$F123&amp;"]")*(INDIRECT($E123&amp;"[yr]")=P$5)*(INDIRECT($E123&amp;"[wk]")=P$6)*(IF($G$2=0,1,(INDIRECT($E123&amp;"[siteflag]")=$G$2))))/1000</f>
        <v>5.258</v>
      </c>
      <c r="Q123" s="117">
        <f t="array" aca="1" ref="Q123" ca="1">SUM(INDIRECT($E123&amp;"["&amp;$F123&amp;"]")*(INDIRECT($E123&amp;"[yr]")=Q$5)*(INDIRECT($E123&amp;"[wk]")=Q$6)*(IF($G$2=0,1,(INDIRECT($E123&amp;"[siteflag]")=$G$2))))/1000</f>
        <v>5.0780000000000003</v>
      </c>
      <c r="R123" s="117">
        <f t="array" aca="1" ref="R123" ca="1">SUM(INDIRECT($E123&amp;"["&amp;$F123&amp;"]")*(INDIRECT($E123&amp;"[yr]")=R$5)*(INDIRECT($E123&amp;"[wk]")=R$6)*(IF($G$2=0,1,(INDIRECT($E123&amp;"[siteflag]")=$G$2))))/1000</f>
        <v>6.0170000000000003</v>
      </c>
      <c r="S123" s="117">
        <f t="array" aca="1" ref="S123" ca="1">SUM(INDIRECT($E123&amp;"["&amp;$F123&amp;"]")*(INDIRECT($E123&amp;"[yr]")=S$5)*(INDIRECT($E123&amp;"[wk]")=S$6)*(IF($G$2=0,1,(INDIRECT($E123&amp;"[siteflag]")=$G$2))))/1000</f>
        <v>4.4429999999999996</v>
      </c>
      <c r="T123" s="225">
        <f t="array" aca="1" ref="T123" ca="1">SUM(INDIRECT($E123&amp;"["&amp;$F123&amp;"]")*(INDIRECT($E123&amp;"[yr]")=T$5)*(INDIRECT($E123&amp;"[wk]")=T$6)*(IF($G$2=0,1,(INDIRECT($E123&amp;"[siteflag]")=$G$2))))/1000</f>
        <v>5.7249999999999996</v>
      </c>
      <c r="U123" s="185">
        <f ca="1">AVERAGE(Q123:T123)</f>
        <v>5.3157499999999995</v>
      </c>
      <c r="V123" s="89">
        <f t="array" aca="1" ref="V123" ca="1">SUM(T123/S123)-1</f>
        <v>0.28854377672743636</v>
      </c>
      <c r="W123" s="178"/>
      <c r="X123" s="56"/>
    </row>
    <row r="124" spans="2:24" ht="3" customHeight="1" x14ac:dyDescent="0.4">
      <c r="B124" s="329"/>
      <c r="D124" s="61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61"/>
      <c r="Q124" s="57"/>
      <c r="R124" s="57"/>
      <c r="S124" s="57"/>
      <c r="T124" s="59"/>
      <c r="U124" s="60"/>
      <c r="V124" s="61"/>
      <c r="W124" s="62"/>
      <c r="X124" s="61"/>
    </row>
    <row r="125" spans="2:24" ht="14.15" customHeight="1" x14ac:dyDescent="0.4">
      <c r="B125" s="329"/>
      <c r="D125" s="203" t="s">
        <v>154</v>
      </c>
      <c r="E125" s="63" t="s">
        <v>125</v>
      </c>
      <c r="F125" t="s">
        <v>155</v>
      </c>
      <c r="I125" s="126">
        <f t="array" aca="1" ref="I125" ca="1">SUM(INDIRECT($E125&amp;"["&amp;$F125&amp;"]")*(INDIRECT($E125&amp;"[yr]")=I$5)*(INDIRECT($E125&amp;"[wk]")=I$6)*(IF($G$2=0,1,(INDIRECT($E125&amp;"[siteflag]")=$G$2)))/1000)</f>
        <v>94.296000000000006</v>
      </c>
      <c r="J125" s="126">
        <f t="array" aca="1" ref="J125" ca="1">SUM(INDIRECT($E125&amp;"["&amp;$F125&amp;"]")*(INDIRECT($E125&amp;"[yr]")=J$5)*(INDIRECT($E125&amp;"[wk]")=J$6)*(IF($G$2=0,1,(INDIRECT($E125&amp;"[siteflag]")=$G$2)))/1000)</f>
        <v>108.843</v>
      </c>
      <c r="K125" s="126">
        <f t="array" aca="1" ref="K125" ca="1">SUM(INDIRECT($E125&amp;"["&amp;$F125&amp;"]")*(INDIRECT($E125&amp;"[yr]")=K$5)*(INDIRECT($E125&amp;"[wk]")=K$6)*(IF($G$2=0,1,(INDIRECT($E125&amp;"[siteflag]")=$G$2)))/1000)</f>
        <v>116.494</v>
      </c>
      <c r="L125" s="126">
        <f t="array" aca="1" ref="L125" ca="1">SUM(INDIRECT($E125&amp;"["&amp;$F125&amp;"]")*(INDIRECT($E125&amp;"[yr]")=L$5)*(INDIRECT($E125&amp;"[wk]")=L$6)*(IF($G$2=0,1,(INDIRECT($E125&amp;"[siteflag]")=$G$2)))/1000)</f>
        <v>92.063000000000002</v>
      </c>
      <c r="M125" s="126">
        <f t="array" aca="1" ref="M125" ca="1">SUM(INDIRECT($E125&amp;"["&amp;$F125&amp;"]")*(INDIRECT($E125&amp;"[yr]")=M$5)*(INDIRECT($E125&amp;"[wk]")=M$6)*(IF($G$2=0,1,(INDIRECT($E125&amp;"[siteflag]")=$G$2)))/1000)</f>
        <v>63.883000000000003</v>
      </c>
      <c r="N125" s="126">
        <f t="array" aca="1" ref="N125" ca="1">SUM(INDIRECT($E125&amp;"["&amp;$F125&amp;"]")*(INDIRECT($E125&amp;"[yr]")=N$5)*(INDIRECT($E125&amp;"[wk]")=N$6)*(IF($G$2=0,1,(INDIRECT($E125&amp;"[siteflag]")=$G$2)))/1000)</f>
        <v>113.26</v>
      </c>
      <c r="O125" s="126">
        <f t="array" aca="1" ref="O125" ca="1">SUM(INDIRECT($E125&amp;"["&amp;$F125&amp;"]")*(INDIRECT($E125&amp;"[yr]")=O$5)*(INDIRECT($E125&amp;"[wk]")=O$6)*(IF($G$2=0,1,(INDIRECT($E125&amp;"[siteflag]")=$G$2)))/1000)</f>
        <v>110.221</v>
      </c>
      <c r="P125" s="196">
        <f t="array" aca="1" ref="P125" ca="1">SUM(INDIRECT($E125&amp;"["&amp;$F125&amp;"]")*(INDIRECT($E125&amp;"[yr]")=P$5)*(INDIRECT($E125&amp;"[wk]")=P$6)*(IF($G$2=0,1,(INDIRECT($E125&amp;"[siteflag]")=$G$2)))/1000)</f>
        <v>108.649</v>
      </c>
      <c r="Q125" s="126">
        <f t="array" aca="1" ref="Q125" ca="1">SUM(INDIRECT($E125&amp;"["&amp;$F125&amp;"]")*(INDIRECT($E125&amp;"[yr]")=Q$5)*(INDIRECT($E125&amp;"[wk]")=Q$6)*(IF($G$2=0,1,(INDIRECT($E125&amp;"[siteflag]")=$G$2)))/1000)</f>
        <v>100.95699999999999</v>
      </c>
      <c r="R125" s="126">
        <f t="array" aca="1" ref="R125" ca="1">SUM(INDIRECT($E125&amp;"["&amp;$F125&amp;"]")*(INDIRECT($E125&amp;"[yr]")=R$5)*(INDIRECT($E125&amp;"[wk]")=R$6)*(IF($G$2=0,1,(INDIRECT($E125&amp;"[siteflag]")=$G$2)))/1000)</f>
        <v>101.791</v>
      </c>
      <c r="S125" s="126">
        <f t="array" aca="1" ref="S125" ca="1">SUM(INDIRECT($E125&amp;"["&amp;$F125&amp;"]")*(INDIRECT($E125&amp;"[yr]")=S$5)*(INDIRECT($E125&amp;"[wk]")=S$6)*(IF($G$2=0,1,(INDIRECT($E125&amp;"[siteflag]")=$G$2)))/1000)</f>
        <v>66.941000000000003</v>
      </c>
      <c r="T125" s="120">
        <f t="array" aca="1" ref="T125" ca="1">SUM(INDIRECT($E125&amp;"["&amp;$F125&amp;"]")*(INDIRECT($E125&amp;"[yr]")=T$5)*(INDIRECT($E125&amp;"[wk]")=T$6)*(IF($G$2=0,1,(INDIRECT($E125&amp;"[siteflag]")=$G$2)))/1000)</f>
        <v>50.128999999999998</v>
      </c>
      <c r="U125" s="116">
        <f ca="1">AVERAGE(Q125:T125)</f>
        <v>79.954499999999996</v>
      </c>
      <c r="V125" s="47">
        <f t="array" aca="1" ref="V125" ca="1">SUM(T125/S125)-1</f>
        <v>-0.25114653202073478</v>
      </c>
      <c r="W125" s="80"/>
      <c r="X125" s="49"/>
    </row>
    <row r="126" spans="2:24" ht="14.15" customHeight="1" x14ac:dyDescent="0.4">
      <c r="B126" s="329"/>
      <c r="D126" s="204" t="s">
        <v>67</v>
      </c>
      <c r="I126" s="50">
        <f t="array" aca="1" ref="I126" ca="1">I125/SUM(INDIRECT($E125&amp;"["&amp;$F125&amp;"]")*(INDIRECT($E125&amp;"[yr]")=(I$5-1))*(INDIRECT($E125&amp;"[wk]")=I$6)*(IF($G$2=0,1,(INDIRECT($E125&amp;"[siteflag]")=$G$2)))/1000)-1</f>
        <v>0.9215846103684382</v>
      </c>
      <c r="J126" s="50">
        <f t="array" aca="1" ref="J126" ca="1">J125/SUM(INDIRECT($E125&amp;"["&amp;$F125&amp;"]")*(INDIRECT($E125&amp;"[yr]")=(J$5-1))*(INDIRECT($E125&amp;"[wk]")=J$6)*(IF($G$2=0,1,(INDIRECT($E125&amp;"[siteflag]")=$G$2)))/1000)-1</f>
        <v>1.7311803673592294</v>
      </c>
      <c r="K126" s="50">
        <f t="array" aca="1" ref="K126" ca="1">K125/SUM(INDIRECT($E125&amp;"["&amp;$F125&amp;"]")*(INDIRECT($E125&amp;"[yr]")=(K$5-1))*(INDIRECT($E125&amp;"[wk]")=K$6)*(IF($G$2=0,1,(INDIRECT($E125&amp;"[siteflag]")=$G$2)))/1000)-1</f>
        <v>1.9079880179730404</v>
      </c>
      <c r="L126" s="50">
        <f t="array" aca="1" ref="L126" ca="1">L125/SUM(INDIRECT($E125&amp;"["&amp;$F125&amp;"]")*(INDIRECT($E125&amp;"[yr]")=(L$5-1))*(INDIRECT($E125&amp;"[wk]")=L$6)*(IF($G$2=0,1,(INDIRECT($E125&amp;"[siteflag]")=$G$2)))/1000)-1</f>
        <v>1.7522571001494769</v>
      </c>
      <c r="M126" s="50">
        <f t="array" aca="1" ref="M126" ca="1">M125/SUM(INDIRECT($E125&amp;"["&amp;$F125&amp;"]")*(INDIRECT($E125&amp;"[yr]")=(M$5-1))*(INDIRECT($E125&amp;"[wk]")=M$6)*(IF($G$2=0,1,(INDIRECT($E125&amp;"[siteflag]")=$G$2)))/1000)-1</f>
        <v>1.2120152354570637</v>
      </c>
      <c r="N126" s="50">
        <f t="array" aca="1" ref="N126" ca="1">N125/SUM(INDIRECT($E125&amp;"["&amp;$F125&amp;"]")*(INDIRECT($E125&amp;"[yr]")=(N$5-1))*(INDIRECT($E125&amp;"[wk]")=N$6)*(IF($G$2=0,1,(INDIRECT($E125&amp;"[siteflag]")=$G$2)))/1000)-1</f>
        <v>1.4661948829613505</v>
      </c>
      <c r="O126" s="50">
        <f t="array" aca="1" ref="O126" ca="1">O125/SUM(INDIRECT($E125&amp;"["&amp;$F125&amp;"]")*(INDIRECT($E125&amp;"[yr]")=(O$5-1))*(INDIRECT($E125&amp;"[wk]")=O$6)*(IF($G$2=0,1,(INDIRECT($E125&amp;"[siteflag]")=$G$2)))/1000)-1</f>
        <v>1.2619179544008703</v>
      </c>
      <c r="P126" s="54">
        <f t="array" aca="1" ref="P126" ca="1">P125/SUM(INDIRECT($E125&amp;"["&amp;$F125&amp;"]")*(INDIRECT($E125&amp;"[yr]")=(P$5-1))*(INDIRECT($E125&amp;"[wk]")=P$6)*(IF($G$2=0,1,(INDIRECT($E125&amp;"[siteflag]")=$G$2)))/1000)-1</f>
        <v>1.0919383098754261</v>
      </c>
      <c r="Q126" s="50">
        <f t="array" aca="1" ref="Q126" ca="1">Q125/SUM(INDIRECT($E125&amp;"["&amp;$F125&amp;"]")*(INDIRECT($E125&amp;"[yr]")=(Q$5-1))*(INDIRECT($E125&amp;"[wk]")=Q$6)*(IF($G$2=0,1,(INDIRECT($E125&amp;"[siteflag]")=$G$2)))/1000)-1</f>
        <v>1.0803437120072532</v>
      </c>
      <c r="R126" s="50">
        <f t="array" aca="1" ref="R126" ca="1">R125/SUM(INDIRECT($E125&amp;"["&amp;$F125&amp;"]")*(INDIRECT($E125&amp;"[yr]")=(R$5-1))*(INDIRECT($E125&amp;"[wk]")=R$6)*(IF($G$2=0,1,(INDIRECT($E125&amp;"[siteflag]")=$G$2)))/1000)-1</f>
        <v>1.0500060418093202</v>
      </c>
      <c r="S126" s="50">
        <f t="array" aca="1" ref="S126" ca="1">S125/SUM(INDIRECT($E125&amp;"["&amp;$F125&amp;"]")*(INDIRECT($E125&amp;"[yr]")=(S$5-1))*(INDIRECT($E125&amp;"[wk]")=S$6)*(IF($G$2=0,1,(INDIRECT($E125&amp;"[siteflag]")=$G$2)))/1000)-1</f>
        <v>0.14799951981615833</v>
      </c>
      <c r="T126" s="52">
        <f t="array" aca="1" ref="T126" ca="1">T125/SUM(INDIRECT($E125&amp;"["&amp;$F125&amp;"]")*(INDIRECT($E125&amp;"[yr]")=(T$5-1))*(INDIRECT($E125&amp;"[wk]")=T$6)*(IF($G$2=0,1,(INDIRECT($E125&amp;"[siteflag]")=$G$2)))/1000)-1</f>
        <v>-0.11607772605445066</v>
      </c>
      <c r="U126" s="53">
        <f ca="1">SUMPRODUCT(Q126:T126,Q125:T125)/SUM(Q125:T125)</f>
        <v>0.68800943243206647</v>
      </c>
      <c r="V126" s="91"/>
      <c r="W126" s="80"/>
      <c r="X126" s="56"/>
    </row>
    <row r="127" spans="2:24" ht="3" customHeight="1" x14ac:dyDescent="0.4">
      <c r="B127" s="329"/>
      <c r="D127" s="61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61"/>
      <c r="Q127" s="57"/>
      <c r="R127" s="57"/>
      <c r="S127" s="57"/>
      <c r="T127" s="59"/>
      <c r="U127" s="60"/>
      <c r="V127" s="61"/>
      <c r="W127" s="62"/>
      <c r="X127" s="61"/>
    </row>
    <row r="128" spans="2:24" ht="14.15" customHeight="1" x14ac:dyDescent="0.4">
      <c r="B128" s="329"/>
      <c r="D128" s="201" t="s">
        <v>429</v>
      </c>
      <c r="E128" s="63" t="s">
        <v>125</v>
      </c>
      <c r="F128" s="63" t="s">
        <v>185</v>
      </c>
      <c r="G128" s="63"/>
      <c r="H128" s="63"/>
      <c r="I128" s="197">
        <f t="array" aca="1" ref="I128" ca="1">SUM(INDIRECT($E125&amp;"["&amp;$F125&amp;"]")*(INDIRECT($E125&amp;"[yr]")=I$5)*(INDIRECT($E125&amp;"[wk]")=I$6)*(IF($G$2=0,1,(INDIRECT($E125&amp;"[siteflag]")=$G$2))))/
  SUM(INDIRECT($E128&amp;"["&amp;$F128&amp;"]")*(INDIRECT($E128&amp;"[yr]")=I$5)*(INDIRECT($E128&amp;"[wk]")=I$6)*(IF($G$2=0,1,(INDIRECT($E128&amp;"[siteflag]")=$G$2))))</f>
        <v>130.36914143508918</v>
      </c>
      <c r="J128" s="197">
        <f t="array" aca="1" ref="J128" ca="1">SUM(INDIRECT($E125&amp;"["&amp;$F125&amp;"]")*(INDIRECT($E125&amp;"[yr]")=J$5)*(INDIRECT($E125&amp;"[wk]")=J$6)*(IF($G$2=0,1,(INDIRECT($E125&amp;"[siteflag]")=$G$2))))/
  SUM(INDIRECT($E128&amp;"["&amp;$F128&amp;"]")*(INDIRECT($E128&amp;"[yr]")=J$5)*(INDIRECT($E128&amp;"[wk]")=J$6)*(IF($G$2=0,1,(INDIRECT($E128&amp;"[siteflag]")=$G$2))))</f>
        <v>160.15744555620952</v>
      </c>
      <c r="K128" s="197">
        <f t="array" aca="1" ref="K128" ca="1">SUM(INDIRECT($E125&amp;"["&amp;$F125&amp;"]")*(INDIRECT($E125&amp;"[yr]")=K$5)*(INDIRECT($E125&amp;"[wk]")=K$6)*(IF($G$2=0,1,(INDIRECT($E125&amp;"[siteflag]")=$G$2))))/
  SUM(INDIRECT($E128&amp;"["&amp;$F128&amp;"]")*(INDIRECT($E128&amp;"[yr]")=K$5)*(INDIRECT($E128&amp;"[wk]")=K$6)*(IF($G$2=0,1,(INDIRECT($E128&amp;"[siteflag]")=$G$2))))</f>
        <v>181.73790951638065</v>
      </c>
      <c r="L128" s="197">
        <f t="array" aca="1" ref="L128" ca="1">SUM(INDIRECT($E125&amp;"["&amp;$F125&amp;"]")*(INDIRECT($E125&amp;"[yr]")=L$5)*(INDIRECT($E125&amp;"[wk]")=L$6)*(IF($G$2=0,1,(INDIRECT($E125&amp;"[siteflag]")=$G$2))))/
  SUM(INDIRECT($E128&amp;"["&amp;$F128&amp;"]")*(INDIRECT($E128&amp;"[yr]")=L$5)*(INDIRECT($E128&amp;"[wk]")=L$6)*(IF($G$2=0,1,(INDIRECT($E128&amp;"[siteflag]")=$G$2))))</f>
        <v>126.02737850787132</v>
      </c>
      <c r="M128" s="197">
        <f t="array" aca="1" ref="M128" ca="1">SUM(INDIRECT($E125&amp;"["&amp;$F125&amp;"]")*(INDIRECT($E125&amp;"[yr]")=M$5)*(INDIRECT($E125&amp;"[wk]")=M$6)*(IF($G$2=0,1,(INDIRECT($E125&amp;"[siteflag]")=$G$2))))/
  SUM(INDIRECT($E128&amp;"["&amp;$F128&amp;"]")*(INDIRECT($E128&amp;"[yr]")=M$5)*(INDIRECT($E128&amp;"[wk]")=M$6)*(IF($G$2=0,1,(INDIRECT($E128&amp;"[siteflag]")=$G$2))))</f>
        <v>209.24664264657713</v>
      </c>
      <c r="N128" s="197">
        <f t="array" aca="1" ref="N128" ca="1">SUM(INDIRECT($E125&amp;"["&amp;$F125&amp;"]")*(INDIRECT($E125&amp;"[yr]")=N$5)*(INDIRECT($E125&amp;"[wk]")=N$6)*(IF($G$2=0,1,(INDIRECT($E125&amp;"[siteflag]")=$G$2))))/
  SUM(INDIRECT($E128&amp;"["&amp;$F128&amp;"]")*(INDIRECT($E128&amp;"[yr]")=N$5)*(INDIRECT($E128&amp;"[wk]")=N$6)*(IF($G$2=0,1,(INDIRECT($E128&amp;"[siteflag]")=$G$2))))</f>
        <v>145.78452825331445</v>
      </c>
      <c r="O128" s="197">
        <f t="array" aca="1" ref="O128" ca="1">SUM(INDIRECT($E125&amp;"["&amp;$F125&amp;"]")*(INDIRECT($E125&amp;"[yr]")=O$5)*(INDIRECT($E125&amp;"[wk]")=O$6)*(IF($G$2=0,1,(INDIRECT($E125&amp;"[siteflag]")=$G$2))))/
  SUM(INDIRECT($E128&amp;"["&amp;$F128&amp;"]")*(INDIRECT($E128&amp;"[yr]")=O$5)*(INDIRECT($E128&amp;"[wk]")=O$6)*(IF($G$2=0,1,(INDIRECT($E128&amp;"[siteflag]")=$G$2))))</f>
        <v>192.492141110723</v>
      </c>
      <c r="P128" s="93">
        <f t="array" aca="1" ref="P128" ca="1">SUM(INDIRECT($E125&amp;"["&amp;$F125&amp;"]")*(INDIRECT($E125&amp;"[yr]")=P$5)*(INDIRECT($E125&amp;"[wk]")=P$6)*(IF($G$2=0,1,(INDIRECT($E125&amp;"[siteflag]")=$G$2))))/
  SUM(INDIRECT($E128&amp;"["&amp;$F128&amp;"]")*(INDIRECT($E128&amp;"[yr]")=P$5)*(INDIRECT($E128&amp;"[wk]")=P$6)*(IF($G$2=0,1,(INDIRECT($E128&amp;"[siteflag]")=$G$2))))</f>
        <v>157.09803354540196</v>
      </c>
      <c r="Q128" s="197">
        <f t="array" aca="1" ref="Q128" ca="1">SUM(INDIRECT($E125&amp;"["&amp;$F125&amp;"]")*(INDIRECT($E125&amp;"[yr]")=Q$5)*(INDIRECT($E125&amp;"[wk]")=Q$6)*(IF($G$2=0,1,(INDIRECT($E125&amp;"[siteflag]")=$G$2))))/
  SUM(INDIRECT($E128&amp;"["&amp;$F128&amp;"]")*(INDIRECT($E128&amp;"[yr]")=Q$5)*(INDIRECT($E128&amp;"[wk]")=Q$6)*(IF($G$2=0,1,(INDIRECT($E128&amp;"[siteflag]")=$G$2))))</f>
        <v>211.64989517819706</v>
      </c>
      <c r="R128" s="197">
        <f t="array" aca="1" ref="R128" ca="1">SUM(INDIRECT($E125&amp;"["&amp;$F125&amp;"]")*(INDIRECT($E125&amp;"[yr]")=R$5)*(INDIRECT($E125&amp;"[wk]")=R$6)*(IF($G$2=0,1,(INDIRECT($E125&amp;"[siteflag]")=$G$2))))/
  SUM(INDIRECT($E128&amp;"["&amp;$F128&amp;"]")*(INDIRECT($E128&amp;"[yr]")=R$5)*(INDIRECT($E128&amp;"[wk]")=R$6)*(IF($G$2=0,1,(INDIRECT($E128&amp;"[siteflag]")=$G$2))))</f>
        <v>262.21277691911388</v>
      </c>
      <c r="S128" s="197">
        <f t="array" aca="1" ref="S128" ca="1">SUM(INDIRECT($E125&amp;"["&amp;$F125&amp;"]")*(INDIRECT($E125&amp;"[yr]")=S$5)*(INDIRECT($E125&amp;"[wk]")=S$6)*(IF($G$2=0,1,(INDIRECT($E125&amp;"[siteflag]")=$G$2))))/
  SUM(INDIRECT($E128&amp;"["&amp;$F128&amp;"]")*(INDIRECT($E128&amp;"[yr]")=S$5)*(INDIRECT($E128&amp;"[wk]")=S$6)*(IF($G$2=0,1,(INDIRECT($E128&amp;"[siteflag]")=$G$2))))</f>
        <v>120.18132854578097</v>
      </c>
      <c r="T128" s="160">
        <f t="array" aca="1" ref="T128" ca="1">SUM(INDIRECT($E125&amp;"["&amp;$F125&amp;"]")*(INDIRECT($E125&amp;"[yr]")=T$5)*(INDIRECT($E125&amp;"[wk]")=T$6)*(IF($G$2=0,1,(INDIRECT($E125&amp;"[siteflag]")=$G$2))))/
  SUM(INDIRECT($E128&amp;"["&amp;$F128&amp;"]")*(INDIRECT($E128&amp;"[yr]")=T$5)*(INDIRECT($E128&amp;"[wk]")=T$6)*(IF($G$2=0,1,(INDIRECT($E128&amp;"[siteflag]")=$G$2))))</f>
        <v>103.93738337134563</v>
      </c>
      <c r="U128" s="161">
        <f ca="1">AVERAGE(Q128:T128)</f>
        <v>174.49534600360937</v>
      </c>
      <c r="V128" s="47">
        <f t="array" aca="1" ref="V128" ca="1">SUM(T128/S128)-1</f>
        <v>-0.13516197042411204</v>
      </c>
      <c r="W128" s="131">
        <v>250</v>
      </c>
      <c r="X128" s="49"/>
    </row>
    <row r="129" spans="2:24" ht="14.15" customHeight="1" x14ac:dyDescent="0.4">
      <c r="B129" s="329"/>
      <c r="D129" s="204" t="s">
        <v>67</v>
      </c>
      <c r="I129" s="50">
        <f t="array" aca="1" ref="I129" ca="1">I128/(SUM(INDIRECT($E125&amp;"["&amp;$F125&amp;"]")*(INDIRECT($E125&amp;"[yr]")=(I$5-1))*(INDIRECT($E125&amp;"[wk]")=I$6)*(IF($G$2=0,1,(INDIRECT($E125&amp;"[siteflag]")=$G$2))))/
           SUM(INDIRECT($E128&amp;"["&amp;$F128&amp;"]")*(INDIRECT($E128&amp;"[yr]")=(I$5-1))*(INDIRECT($E128&amp;"[wk]")=I$6)*(IF($G$2=0,1,(INDIRECT($E128&amp;"[siteflag]")=$G$2)))))-1</f>
        <v>0.16230231859006183</v>
      </c>
      <c r="J129" s="50">
        <f t="array" aca="1" ref="J129" ca="1">J128/(SUM(INDIRECT($E125&amp;"["&amp;$F125&amp;"]")*(INDIRECT($E125&amp;"[yr]")=(J$5-1))*(INDIRECT($E125&amp;"[wk]")=J$6)*(IF($G$2=0,1,(INDIRECT($E125&amp;"[siteflag]")=$G$2))))/
           SUM(INDIRECT($E128&amp;"["&amp;$F128&amp;"]")*(INDIRECT($E128&amp;"[yr]")=(J$5-1))*(INDIRECT($E128&amp;"[wk]")=J$6)*(IF($G$2=0,1,(INDIRECT($E128&amp;"[siteflag]")=$G$2)))))-1</f>
        <v>7.3423007830562215E-2</v>
      </c>
      <c r="K129" s="50">
        <f t="array" aca="1" ref="K129" ca="1">K128/(SUM(INDIRECT($E125&amp;"["&amp;$F125&amp;"]")*(INDIRECT($E125&amp;"[yr]")=(K$5-1))*(INDIRECT($E125&amp;"[wk]")=K$6)*(IF($G$2=0,1,(INDIRECT($E125&amp;"[siteflag]")=$G$2))))/
           SUM(INDIRECT($E128&amp;"["&amp;$F128&amp;"]")*(INDIRECT($E128&amp;"[yr]")=(K$5-1))*(INDIRECT($E128&amp;"[wk]")=K$6)*(IF($G$2=0,1,(INDIRECT($E128&amp;"[siteflag]")=$G$2)))))-1</f>
        <v>0.75069044638969773</v>
      </c>
      <c r="L129" s="50">
        <f t="array" aca="1" ref="L129" ca="1">L128/(SUM(INDIRECT($E125&amp;"["&amp;$F125&amp;"]")*(INDIRECT($E125&amp;"[yr]")=(L$5-1))*(INDIRECT($E125&amp;"[wk]")=L$6)*(IF($G$2=0,1,(INDIRECT($E125&amp;"[siteflag]")=$G$2))))/
           SUM(INDIRECT($E128&amp;"["&amp;$F128&amp;"]")*(INDIRECT($E128&amp;"[yr]")=(L$5-1))*(INDIRECT($E128&amp;"[wk]")=L$6)*(IF($G$2=0,1,(INDIRECT($E128&amp;"[siteflag]")=$G$2)))))-1</f>
        <v>0.49575094970478073</v>
      </c>
      <c r="M129" s="50">
        <f t="array" aca="1" ref="M129" ca="1">M128/(SUM(INDIRECT($E125&amp;"["&amp;$F125&amp;"]")*(INDIRECT($E125&amp;"[yr]")=(M$5-1))*(INDIRECT($E125&amp;"[wk]")=M$6)*(IF($G$2=0,1,(INDIRECT($E125&amp;"[siteflag]")=$G$2))))/
           SUM(INDIRECT($E128&amp;"["&amp;$F128&amp;"]")*(INDIRECT($E128&amp;"[yr]")=(M$5-1))*(INDIRECT($E128&amp;"[wk]")=M$6)*(IF($G$2=0,1,(INDIRECT($E128&amp;"[siteflag]")=$G$2)))))-1</f>
        <v>0.28170814003391587</v>
      </c>
      <c r="N129" s="50">
        <f t="array" aca="1" ref="N129" ca="1">N128/(SUM(INDIRECT($E125&amp;"["&amp;$F125&amp;"]")*(INDIRECT($E125&amp;"[yr]")=(N$5-1))*(INDIRECT($E125&amp;"[wk]")=N$6)*(IF($G$2=0,1,(INDIRECT($E125&amp;"[siteflag]")=$G$2))))/
           SUM(INDIRECT($E128&amp;"["&amp;$F128&amp;"]")*(INDIRECT($E128&amp;"[yr]")=(N$5-1))*(INDIRECT($E128&amp;"[wk]")=N$6)*(IF($G$2=0,1,(INDIRECT($E128&amp;"[siteflag]")=$G$2)))))-1</f>
        <v>-0.13783172839193891</v>
      </c>
      <c r="O129" s="50">
        <f t="array" aca="1" ref="O129" ca="1">O128/(SUM(INDIRECT($E125&amp;"["&amp;$F125&amp;"]")*(INDIRECT($E125&amp;"[yr]")=(O$5-1))*(INDIRECT($E125&amp;"[wk]")=O$6)*(IF($G$2=0,1,(INDIRECT($E125&amp;"[siteflag]")=$G$2))))/
           SUM(INDIRECT($E128&amp;"["&amp;$F128&amp;"]")*(INDIRECT($E128&amp;"[yr]")=(O$5-1))*(INDIRECT($E128&amp;"[wk]")=O$6)*(IF($G$2=0,1,(INDIRECT($E128&amp;"[siteflag]")=$G$2)))))-1</f>
        <v>9.2910187730042004E-3</v>
      </c>
      <c r="P129" s="54">
        <f t="array" aca="1" ref="P129" ca="1">P128/(SUM(INDIRECT($E125&amp;"["&amp;$F125&amp;"]")*(INDIRECT($E125&amp;"[yr]")=(P$5-1))*(INDIRECT($E125&amp;"[wk]")=P$6)*(IF($G$2=0,1,(INDIRECT($E125&amp;"[siteflag]")=$G$2))))/
           SUM(INDIRECT($E128&amp;"["&amp;$F128&amp;"]")*(INDIRECT($E128&amp;"[yr]")=(P$5-1))*(INDIRECT($E128&amp;"[wk]")=P$6)*(IF($G$2=0,1,(INDIRECT($E128&amp;"[siteflag]")=$G$2)))))-1</f>
        <v>-6.2015514904034563E-2</v>
      </c>
      <c r="Q129" s="50">
        <f t="array" aca="1" ref="Q129" ca="1">Q128/(SUM(INDIRECT($E125&amp;"["&amp;$F125&amp;"]")*(INDIRECT($E125&amp;"[yr]")=(Q$5-1))*(INDIRECT($E125&amp;"[wk]")=Q$6)*(IF($G$2=0,1,(INDIRECT($E125&amp;"[siteflag]")=$G$2))))/
           SUM(INDIRECT($E128&amp;"["&amp;$F128&amp;"]")*(INDIRECT($E128&amp;"[yr]")=(Q$5-1))*(INDIRECT($E128&amp;"[wk]")=Q$6)*(IF($G$2=0,1,(INDIRECT($E128&amp;"[siteflag]")=$G$2)))))-1</f>
        <v>1.5312402841275885E-2</v>
      </c>
      <c r="R129" s="50">
        <f t="array" aca="1" ref="R129" ca="1">R128/(SUM(INDIRECT($E125&amp;"["&amp;$F125&amp;"]")*(INDIRECT($E125&amp;"[yr]")=(R$5-1))*(INDIRECT($E125&amp;"[wk]")=R$6)*(IF($G$2=0,1,(INDIRECT($E125&amp;"[siteflag]")=$G$2))))/
           SUM(INDIRECT($E128&amp;"["&amp;$F128&amp;"]")*(INDIRECT($E128&amp;"[yr]")=(R$5-1))*(INDIRECT($E128&amp;"[wk]")=R$6)*(IF($G$2=0,1,(INDIRECT($E128&amp;"[siteflag]")=$G$2)))))-1</f>
        <v>0.22250489098108628</v>
      </c>
      <c r="S129" s="50">
        <f t="array" aca="1" ref="S129" ca="1">S128/(SUM(INDIRECT($E125&amp;"["&amp;$F125&amp;"]")*(INDIRECT($E125&amp;"[yr]")=(S$5-1))*(INDIRECT($E125&amp;"[wk]")=S$6)*(IF($G$2=0,1,(INDIRECT($E125&amp;"[siteflag]")=$G$2))))/
           SUM(INDIRECT($E128&amp;"["&amp;$F128&amp;"]")*(INDIRECT($E128&amp;"[yr]")=(S$5-1))*(INDIRECT($E128&amp;"[wk]")=S$6)*(IF($G$2=0,1,(INDIRECT($E128&amp;"[siteflag]")=$G$2)))))-1</f>
        <v>-0.12405781701639629</v>
      </c>
      <c r="T129" s="52">
        <f t="array" aca="1" ref="T129" ca="1">T128/(SUM(INDIRECT($E125&amp;"["&amp;$F125&amp;"]")*(INDIRECT($E125&amp;"[yr]")=(T$5-1))*(INDIRECT($E125&amp;"[wk]")=T$6)*(IF($G$2=0,1,(INDIRECT($E125&amp;"[siteflag]")=$G$2))))/
            SUM(INDIRECT($E128&amp;"["&amp;$F128&amp;"]")*(INDIRECT($E128&amp;"[yr]")=(T$5-1))*(INDIRECT($E128&amp;"[wk]")=T$6)*(IF($G$2=0,1,(INDIRECT($E128&amp;"[siteflag]")=$G$2)))))-1</f>
        <v>-0.36661095194778781</v>
      </c>
      <c r="U129" s="53">
        <f ca="1">SUMPRODUCT(Q129:T129,Q128:T128)/SUM(Q128:T128)</f>
        <v>1.2278948505723078E-2</v>
      </c>
      <c r="V129" s="186"/>
      <c r="W129" s="80"/>
      <c r="X129" s="56"/>
    </row>
    <row r="130" spans="2:24" ht="3" customHeight="1" x14ac:dyDescent="0.4">
      <c r="B130" s="329"/>
      <c r="D130" s="61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61"/>
      <c r="Q130" s="57"/>
      <c r="R130" s="57"/>
      <c r="S130" s="57"/>
      <c r="T130" s="59"/>
      <c r="U130" s="60"/>
      <c r="V130" s="61"/>
      <c r="W130" s="62"/>
      <c r="X130" s="61"/>
    </row>
    <row r="131" spans="2:24" ht="14.15" customHeight="1" x14ac:dyDescent="0.4">
      <c r="B131" s="329"/>
      <c r="D131" s="201" t="s">
        <v>430</v>
      </c>
      <c r="E131" t="s">
        <v>156</v>
      </c>
      <c r="F131" s="63" t="s">
        <v>221</v>
      </c>
      <c r="G131" s="63"/>
      <c r="H131" s="63"/>
      <c r="I131" s="128">
        <f t="array" aca="1" ref="I131" ca="1">1000*(SUM(INDIRECT($E131&amp;"["&amp;$F131&amp;"]")*(INDIRECT($E131&amp;"[yr]")=I$5)*(INDIRECT($E131&amp;"[wk]")=I$6)*(IF($G$2=0,1,(INDIRECT($E131&amp;"[siteflag]")=$G$2)))/1000)+
              SUM(INDIRECT($E132&amp;"["&amp;$F132&amp;"]")*(INDIRECT($E132&amp;"[yr]")=I$5)*(INDIRECT($E132&amp;"[wk]")=I$6)*(IF($G$2=0,1,(INDIRECT($E132&amp;"[siteflag]")=$G$2)))/1000))/
              (SUM(INDIRECT($E119&amp;"["&amp;$F119&amp;"]")*(INDIRECT($E119&amp;"[yr]")=I$5)*(INDIRECT($E119&amp;"[wk]")=I$6)*(IF($G$2=0,1,(INDIRECT($E119&amp;"[siteflag]")=$G$2))))+
               SUM(INDIRECT($E128&amp;"["&amp;$F128&amp;"]")*(INDIRECT($E128&amp;"[yr]")=I$5)*(INDIRECT($E128&amp;"[wk]")=I$6)*(IF($G$2=0,1,(INDIRECT($E128&amp;"[siteflag]")=$G$2)))))</f>
        <v>36.602735247643423</v>
      </c>
      <c r="J131" s="128">
        <f t="array" aca="1" ref="J131" ca="1">1000*(SUM(INDIRECT($E131&amp;"["&amp;$F131&amp;"]")*(INDIRECT($E131&amp;"[yr]")=J$5)*(INDIRECT($E131&amp;"[wk]")=J$6)*(IF($G$2=0,1,(INDIRECT($E131&amp;"[siteflag]")=$G$2)))/1000)+
              SUM(INDIRECT($E132&amp;"["&amp;$F132&amp;"]")*(INDIRECT($E132&amp;"[yr]")=J$5)*(INDIRECT($E132&amp;"[wk]")=J$6)*(IF($G$2=0,1,(INDIRECT($E132&amp;"[siteflag]")=$G$2)))/1000))/
              (SUM(INDIRECT($E119&amp;"["&amp;$F119&amp;"]")*(INDIRECT($E119&amp;"[yr]")=J$5)*(INDIRECT($E119&amp;"[wk]")=J$6)*(IF($G$2=0,1,(INDIRECT($E119&amp;"[siteflag]")=$G$2))))+
               SUM(INDIRECT($E128&amp;"["&amp;$F128&amp;"]")*(INDIRECT($E128&amp;"[yr]")=J$5)*(INDIRECT($E128&amp;"[wk]")=J$6)*(IF($G$2=0,1,(INDIRECT($E128&amp;"[siteflag]")=$G$2)))))</f>
        <v>36.420000967632689</v>
      </c>
      <c r="K131" s="128">
        <f t="array" aca="1" ref="K131" ca="1">1000*(SUM(INDIRECT($E131&amp;"["&amp;$F131&amp;"]")*(INDIRECT($E131&amp;"[yr]")=K$5)*(INDIRECT($E131&amp;"[wk]")=K$6)*(IF($G$2=0,1,(INDIRECT($E131&amp;"[siteflag]")=$G$2)))/1000)+
              SUM(INDIRECT($E132&amp;"["&amp;$F132&amp;"]")*(INDIRECT($E132&amp;"[yr]")=K$5)*(INDIRECT($E132&amp;"[wk]")=K$6)*(IF($G$2=0,1,(INDIRECT($E132&amp;"[siteflag]")=$G$2)))/1000))/
              (SUM(INDIRECT($E119&amp;"["&amp;$F119&amp;"]")*(INDIRECT($E119&amp;"[yr]")=K$5)*(INDIRECT($E119&amp;"[wk]")=K$6)*(IF($G$2=0,1,(INDIRECT($E119&amp;"[siteflag]")=$G$2))))+
               SUM(INDIRECT($E128&amp;"["&amp;$F128&amp;"]")*(INDIRECT($E128&amp;"[yr]")=K$5)*(INDIRECT($E128&amp;"[wk]")=K$6)*(IF($G$2=0,1,(INDIRECT($E128&amp;"[siteflag]")=$G$2)))))</f>
        <v>36.08733761855531</v>
      </c>
      <c r="L131" s="128">
        <f t="array" aca="1" ref="L131" ca="1">1000*(SUM(INDIRECT($E131&amp;"["&amp;$F131&amp;"]")*(INDIRECT($E131&amp;"[yr]")=L$5)*(INDIRECT($E131&amp;"[wk]")=L$6)*(IF($G$2=0,1,(INDIRECT($E131&amp;"[siteflag]")=$G$2)))/1000)+
              SUM(INDIRECT($E132&amp;"["&amp;$F132&amp;"]")*(INDIRECT($E132&amp;"[yr]")=L$5)*(INDIRECT($E132&amp;"[wk]")=L$6)*(IF($G$2=0,1,(INDIRECT($E132&amp;"[siteflag]")=$G$2)))/1000))/
              (SUM(INDIRECT($E119&amp;"["&amp;$F119&amp;"]")*(INDIRECT($E119&amp;"[yr]")=L$5)*(INDIRECT($E119&amp;"[wk]")=L$6)*(IF($G$2=0,1,(INDIRECT($E119&amp;"[siteflag]")=$G$2))))+
               SUM(INDIRECT($E128&amp;"["&amp;$F128&amp;"]")*(INDIRECT($E128&amp;"[yr]")=L$5)*(INDIRECT($E128&amp;"[wk]")=L$6)*(IF($G$2=0,1,(INDIRECT($E128&amp;"[siteflag]")=$G$2)))))</f>
        <v>32.982129245362927</v>
      </c>
      <c r="M131" s="128">
        <f t="array" aca="1" ref="M131" ca="1">1000*(SUM(INDIRECT($E131&amp;"["&amp;$F131&amp;"]")*(INDIRECT($E131&amp;"[yr]")=M$5)*(INDIRECT($E131&amp;"[wk]")=M$6)*(IF($G$2=0,1,(INDIRECT($E131&amp;"[siteflag]")=$G$2)))/1000)+
              SUM(INDIRECT($E132&amp;"["&amp;$F132&amp;"]")*(INDIRECT($E132&amp;"[yr]")=M$5)*(INDIRECT($E132&amp;"[wk]")=M$6)*(IF($G$2=0,1,(INDIRECT($E132&amp;"[siteflag]")=$G$2)))/1000))/
              (SUM(INDIRECT($E119&amp;"["&amp;$F119&amp;"]")*(INDIRECT($E119&amp;"[yr]")=M$5)*(INDIRECT($E119&amp;"[wk]")=M$6)*(IF($G$2=0,1,(INDIRECT($E119&amp;"[siteflag]")=$G$2))))+
               SUM(INDIRECT($E128&amp;"["&amp;$F128&amp;"]")*(INDIRECT($E128&amp;"[yr]")=M$5)*(INDIRECT($E128&amp;"[wk]")=M$6)*(IF($G$2=0,1,(INDIRECT($E128&amp;"[siteflag]")=$G$2)))))</f>
        <v>40.694921417316465</v>
      </c>
      <c r="N131" s="128">
        <f t="array" aca="1" ref="N131" ca="1">1000*(SUM(INDIRECT($E131&amp;"["&amp;$F131&amp;"]")*(INDIRECT($E131&amp;"[yr]")=N$5)*(INDIRECT($E131&amp;"[wk]")=N$6)*(IF($G$2=0,1,(INDIRECT($E131&amp;"[siteflag]")=$G$2)))/1000)+
              SUM(INDIRECT($E132&amp;"["&amp;$F132&amp;"]")*(INDIRECT($E132&amp;"[yr]")=N$5)*(INDIRECT($E132&amp;"[wk]")=N$6)*(IF($G$2=0,1,(INDIRECT($E132&amp;"[siteflag]")=$G$2)))/1000))/
              (SUM(INDIRECT($E119&amp;"["&amp;$F119&amp;"]")*(INDIRECT($E119&amp;"[yr]")=N$5)*(INDIRECT($E119&amp;"[wk]")=N$6)*(IF($G$2=0,1,(INDIRECT($E119&amp;"[siteflag]")=$G$2))))+
               SUM(INDIRECT($E128&amp;"["&amp;$F128&amp;"]")*(INDIRECT($E128&amp;"[yr]")=N$5)*(INDIRECT($E128&amp;"[wk]")=N$6)*(IF($G$2=0,1,(INDIRECT($E128&amp;"[siteflag]")=$G$2)))))</f>
        <v>36.297790495848389</v>
      </c>
      <c r="O131" s="128">
        <f t="array" aca="1" ref="O131" ca="1">1000*(SUM(INDIRECT($E131&amp;"["&amp;$F131&amp;"]")*(INDIRECT($E131&amp;"[yr]")=O$5)*(INDIRECT($E131&amp;"[wk]")=O$6)*(IF($G$2=0,1,(INDIRECT($E131&amp;"[siteflag]")=$G$2)))/1000)+
              SUM(INDIRECT($E132&amp;"["&amp;$F132&amp;"]")*(INDIRECT($E132&amp;"[yr]")=O$5)*(INDIRECT($E132&amp;"[wk]")=O$6)*(IF($G$2=0,1,(INDIRECT($E132&amp;"[siteflag]")=$G$2)))/1000))/
              (SUM(INDIRECT($E119&amp;"["&amp;$F119&amp;"]")*(INDIRECT($E119&amp;"[yr]")=O$5)*(INDIRECT($E119&amp;"[wk]")=O$6)*(IF($G$2=0,1,(INDIRECT($E119&amp;"[siteflag]")=$G$2))))+
               SUM(INDIRECT($E128&amp;"["&amp;$F128&amp;"]")*(INDIRECT($E128&amp;"[yr]")=O$5)*(INDIRECT($E128&amp;"[wk]")=O$6)*(IF($G$2=0,1,(INDIRECT($E128&amp;"[siteflag]")=$G$2)))))</f>
        <v>36.662065959610636</v>
      </c>
      <c r="P131" s="154">
        <f t="array" aca="1" ref="P131" ca="1">1000*(SUM(INDIRECT($E131&amp;"["&amp;$F131&amp;"]")*(INDIRECT($E131&amp;"[yr]")=P$5)*(INDIRECT($E131&amp;"[wk]")=P$6)*(IF($G$2=0,1,(INDIRECT($E131&amp;"[siteflag]")=$G$2)))/1000)+
              SUM(INDIRECT($E132&amp;"["&amp;$F132&amp;"]")*(INDIRECT($E132&amp;"[yr]")=P$5)*(INDIRECT($E132&amp;"[wk]")=P$6)*(IF($G$2=0,1,(INDIRECT($E132&amp;"[siteflag]")=$G$2)))/1000))/
              (SUM(INDIRECT($E119&amp;"["&amp;$F119&amp;"]")*(INDIRECT($E119&amp;"[yr]")=P$5)*(INDIRECT($E119&amp;"[wk]")=P$6)*(IF($G$2=0,1,(INDIRECT($E119&amp;"[siteflag]")=$G$2))))+
               SUM(INDIRECT($E128&amp;"["&amp;$F128&amp;"]")*(INDIRECT($E128&amp;"[yr]")=P$5)*(INDIRECT($E128&amp;"[wk]")=P$6)*(IF($G$2=0,1,(INDIRECT($E128&amp;"[siteflag]")=$G$2)))))</f>
        <v>32.604378402373776</v>
      </c>
      <c r="Q131" s="128">
        <f t="array" aca="1" ref="Q131" ca="1">1000*(SUM(INDIRECT($E131&amp;"["&amp;$F131&amp;"]")*(INDIRECT($E131&amp;"[yr]")=Q$5)*(INDIRECT($E131&amp;"[wk]")=Q$6)*(IF($G$2=0,1,(INDIRECT($E131&amp;"[siteflag]")=$G$2)))/1000)+
              SUM(INDIRECT($E132&amp;"["&amp;$F132&amp;"]")*(INDIRECT($E132&amp;"[yr]")=Q$5)*(INDIRECT($E132&amp;"[wk]")=Q$6)*(IF($G$2=0,1,(INDIRECT($E132&amp;"[siteflag]")=$G$2)))/1000))/
              (SUM(INDIRECT($E119&amp;"["&amp;$F119&amp;"]")*(INDIRECT($E119&amp;"[yr]")=Q$5)*(INDIRECT($E119&amp;"[wk]")=Q$6)*(IF($G$2=0,1,(INDIRECT($E119&amp;"[siteflag]")=$G$2))))+
               SUM(INDIRECT($E128&amp;"["&amp;$F128&amp;"]")*(INDIRECT($E128&amp;"[yr]")=Q$5)*(INDIRECT($E128&amp;"[wk]")=Q$6)*(IF($G$2=0,1,(INDIRECT($E128&amp;"[siteflag]")=$G$2)))))</f>
        <v>40.828483396097226</v>
      </c>
      <c r="R131" s="128">
        <f t="array" aca="1" ref="R131" ca="1">1000*(SUM(INDIRECT($E131&amp;"["&amp;$F131&amp;"]")*(INDIRECT($E131&amp;"[yr]")=R$5)*(INDIRECT($E131&amp;"[wk]")=R$6)*(IF($G$2=0,1,(INDIRECT($E131&amp;"[siteflag]")=$G$2)))/1000)+
              SUM(INDIRECT($E132&amp;"["&amp;$F132&amp;"]")*(INDIRECT($E132&amp;"[yr]")=R$5)*(INDIRECT($E132&amp;"[wk]")=R$6)*(IF($G$2=0,1,(INDIRECT($E132&amp;"[siteflag]")=$G$2)))/1000))/
              (SUM(INDIRECT($E119&amp;"["&amp;$F119&amp;"]")*(INDIRECT($E119&amp;"[yr]")=R$5)*(INDIRECT($E119&amp;"[wk]")=R$6)*(IF($G$2=0,1,(INDIRECT($E119&amp;"[siteflag]")=$G$2))))+
               SUM(INDIRECT($E128&amp;"["&amp;$F128&amp;"]")*(INDIRECT($E128&amp;"[yr]")=R$5)*(INDIRECT($E128&amp;"[wk]")=R$6)*(IF($G$2=0,1,(INDIRECT($E128&amp;"[siteflag]")=$G$2)))))</f>
        <v>33.744725738396625</v>
      </c>
      <c r="S131" s="128">
        <f t="array" aca="1" ref="S131" ca="1">1000*(SUM(INDIRECT($E131&amp;"["&amp;$F131&amp;"]")*(INDIRECT($E131&amp;"[yr]")=S$5)*(INDIRECT($E131&amp;"[wk]")=S$6)*(IF($G$2=0,1,(INDIRECT($E131&amp;"[siteflag]")=$G$2)))/1000)+
              SUM(INDIRECT($E132&amp;"["&amp;$F132&amp;"]")*(INDIRECT($E132&amp;"[yr]")=S$5)*(INDIRECT($E132&amp;"[wk]")=S$6)*(IF($G$2=0,1,(INDIRECT($E132&amp;"[siteflag]")=$G$2)))/1000))/
              (SUM(INDIRECT($E119&amp;"["&amp;$F119&amp;"]")*(INDIRECT($E119&amp;"[yr]")=S$5)*(INDIRECT($E119&amp;"[wk]")=S$6)*(IF($G$2=0,1,(INDIRECT($E119&amp;"[siteflag]")=$G$2))))+
               SUM(INDIRECT($E128&amp;"["&amp;$F128&amp;"]")*(INDIRECT($E128&amp;"[yr]")=S$5)*(INDIRECT($E128&amp;"[wk]")=S$6)*(IF($G$2=0,1,(INDIRECT($E128&amp;"[siteflag]")=$G$2)))))</f>
        <v>0.62560202788339669</v>
      </c>
      <c r="T131" s="129">
        <f t="array" aca="1" ref="T131" ca="1">1000*(SUM(INDIRECT($E131&amp;"["&amp;$F131&amp;"]")*(INDIRECT($E131&amp;"[yr]")=T$5)*(INDIRECT($E131&amp;"[wk]")=T$6)*(IF($G$2=0,1,(INDIRECT($E131&amp;"[siteflag]")=$G$2)))/1000)+
              SUM(INDIRECT($E132&amp;"["&amp;$F132&amp;"]")*(INDIRECT($E132&amp;"[yr]")=T$5)*(INDIRECT($E132&amp;"[wk]")=T$6)*(IF($G$2=0,1,(INDIRECT($E132&amp;"[siteflag]")=$G$2)))/1000))/
              (SUM(INDIRECT($E119&amp;"["&amp;$F119&amp;"]")*(INDIRECT($E119&amp;"[yr]")=T$5)*(INDIRECT($E119&amp;"[wk]")=T$6)*(IF($G$2=0,1,(INDIRECT($E119&amp;"[siteflag]")=$G$2))))+
               SUM(INDIRECT($E128&amp;"["&amp;$F128&amp;"]")*(INDIRECT($E128&amp;"[yr]")=T$5)*(INDIRECT($E128&amp;"[wk]")=T$6)*(IF($G$2=0,1,(INDIRECT($E128&amp;"[siteflag]")=$G$2)))))</f>
        <v>0.442014607168489</v>
      </c>
      <c r="U131" s="130">
        <f ca="1">AVERAGE(Q131:T131)</f>
        <v>18.910206442386436</v>
      </c>
      <c r="V131" s="47">
        <f t="array" aca="1" ref="V131" ca="1">SUM(T131/S131)-1</f>
        <v>-0.29345720207468029</v>
      </c>
      <c r="W131" s="131">
        <v>40</v>
      </c>
      <c r="X131" s="49"/>
    </row>
    <row r="132" spans="2:24" ht="14.15" customHeight="1" x14ac:dyDescent="0.4">
      <c r="B132" s="329"/>
      <c r="D132" s="204" t="s">
        <v>67</v>
      </c>
      <c r="E132" t="s">
        <v>157</v>
      </c>
      <c r="F132" t="s">
        <v>226</v>
      </c>
      <c r="I132" s="50">
        <f t="array" aca="1" ref="I132" ca="1">I131/(1000*(SUM(INDIRECT($E131&amp;"["&amp;$F131&amp;"]")*(INDIRECT($E131&amp;"[yr]")=I$5-1)*(INDIRECT($E131&amp;"[wk]")=I$6)*(IF($G$2=0,1,(INDIRECT($E131&amp;"[siteflag]")=$G$2)))/1000)+
                       SUM(INDIRECT($E132&amp;"["&amp;$F132&amp;"]")*(INDIRECT($E132&amp;"[yr]")=I$5-1)*(INDIRECT($E132&amp;"[wk]")=I$6)*(IF($G$2=0,1,(INDIRECT($E132&amp;"[siteflag]")=$G$2)))/1000))/
                       (SUM(INDIRECT($E119&amp;"["&amp;$F119&amp;"]")*(INDIRECT($E119&amp;"[yr]")=I$5-1)*(INDIRECT($E119&amp;"[wk]")=I$6)*(IF($G$2=0,1,(INDIRECT($E119&amp;"[siteflag]")=$G$2))))+
                        SUM(INDIRECT($E128&amp;"["&amp;$F128&amp;"]")*(INDIRECT($E128&amp;"[yr]")=I$5-1)*(INDIRECT($E128&amp;"[wk]")=I$6)*(IF($G$2=0,1,(INDIRECT($E128&amp;"[siteflag]")=$G$2))))))-1</f>
        <v>-0.54460147049032948</v>
      </c>
      <c r="J132" s="50">
        <f t="array" aca="1" ref="J132" ca="1">J131/(1000*(SUM(INDIRECT($E131&amp;"["&amp;$F131&amp;"]")*(INDIRECT($E131&amp;"[yr]")=J$5-1)*(INDIRECT($E131&amp;"[wk]")=J$6)*(IF($G$2=0,1,(INDIRECT($E131&amp;"[siteflag]")=$G$2)))/1000)+
                       SUM(INDIRECT($E132&amp;"["&amp;$F132&amp;"]")*(INDIRECT($E132&amp;"[yr]")=J$5-1)*(INDIRECT($E132&amp;"[wk]")=J$6)*(IF($G$2=0,1,(INDIRECT($E132&amp;"[siteflag]")=$G$2)))/1000))/
                       (SUM(INDIRECT($E119&amp;"["&amp;$F119&amp;"]")*(INDIRECT($E119&amp;"[yr]")=J$5-1)*(INDIRECT($E119&amp;"[wk]")=J$6)*(IF($G$2=0,1,(INDIRECT($E119&amp;"[siteflag]")=$G$2))))+
                        SUM(INDIRECT($E128&amp;"["&amp;$F128&amp;"]")*(INDIRECT($E128&amp;"[yr]")=J$5-1)*(INDIRECT($E128&amp;"[wk]")=J$6)*(IF($G$2=0,1,(INDIRECT($E128&amp;"[siteflag]")=$G$2))))))-1</f>
        <v>-0.5884291040767502</v>
      </c>
      <c r="K132" s="50">
        <f t="array" aca="1" ref="K132" ca="1">K131/(1000*(SUM(INDIRECT($E131&amp;"["&amp;$F131&amp;"]")*(INDIRECT($E131&amp;"[yr]")=K$5-1)*(INDIRECT($E131&amp;"[wk]")=K$6)*(IF($G$2=0,1,(INDIRECT($E131&amp;"[siteflag]")=$G$2)))/1000)+
                       SUM(INDIRECT($E132&amp;"["&amp;$F132&amp;"]")*(INDIRECT($E132&amp;"[yr]")=K$5-1)*(INDIRECT($E132&amp;"[wk]")=K$6)*(IF($G$2=0,1,(INDIRECT($E132&amp;"[siteflag]")=$G$2)))/1000))/
                       (SUM(INDIRECT($E119&amp;"["&amp;$F119&amp;"]")*(INDIRECT($E119&amp;"[yr]")=K$5-1)*(INDIRECT($E119&amp;"[wk]")=K$6)*(IF($G$2=0,1,(INDIRECT($E119&amp;"[siteflag]")=$G$2))))+
                        SUM(INDIRECT($E128&amp;"["&amp;$F128&amp;"]")*(INDIRECT($E128&amp;"[yr]")=K$5-1)*(INDIRECT($E128&amp;"[wk]")=K$6)*(IF($G$2=0,1,(INDIRECT($E128&amp;"[siteflag]")=$G$2))))))-1</f>
        <v>-0.60026590267956204</v>
      </c>
      <c r="L132" s="50">
        <f t="array" aca="1" ref="L132" ca="1">L131/(1000*(SUM(INDIRECT($E131&amp;"["&amp;$F131&amp;"]")*(INDIRECT($E131&amp;"[yr]")=L$5-1)*(INDIRECT($E131&amp;"[wk]")=L$6)*(IF($G$2=0,1,(INDIRECT($E131&amp;"[siteflag]")=$G$2)))/1000)+
                       SUM(INDIRECT($E132&amp;"["&amp;$F132&amp;"]")*(INDIRECT($E132&amp;"[yr]")=L$5-1)*(INDIRECT($E132&amp;"[wk]")=L$6)*(IF($G$2=0,1,(INDIRECT($E132&amp;"[siteflag]")=$G$2)))/1000))/
                       (SUM(INDIRECT($E119&amp;"["&amp;$F119&amp;"]")*(INDIRECT($E119&amp;"[yr]")=L$5-1)*(INDIRECT($E119&amp;"[wk]")=L$6)*(IF($G$2=0,1,(INDIRECT($E119&amp;"[siteflag]")=$G$2))))+
                        SUM(INDIRECT($E128&amp;"["&amp;$F128&amp;"]")*(INDIRECT($E128&amp;"[yr]")=L$5-1)*(INDIRECT($E128&amp;"[wk]")=L$6)*(IF($G$2=0,1,(INDIRECT($E128&amp;"[siteflag]")=$G$2))))))-1</f>
        <v>-0.63055559375404902</v>
      </c>
      <c r="M132" s="50">
        <f t="array" aca="1" ref="M132" ca="1">M131/(1000*(SUM(INDIRECT($E131&amp;"["&amp;$F131&amp;"]")*(INDIRECT($E131&amp;"[yr]")=M$5-1)*(INDIRECT($E131&amp;"[wk]")=M$6)*(IF($G$2=0,1,(INDIRECT($E131&amp;"[siteflag]")=$G$2)))/1000)+
                       SUM(INDIRECT($E132&amp;"["&amp;$F132&amp;"]")*(INDIRECT($E132&amp;"[yr]")=M$5-1)*(INDIRECT($E132&amp;"[wk]")=M$6)*(IF($G$2=0,1,(INDIRECT($E132&amp;"[siteflag]")=$G$2)))/1000))/
                       (SUM(INDIRECT($E119&amp;"["&amp;$F119&amp;"]")*(INDIRECT($E119&amp;"[yr]")=M$5-1)*(INDIRECT($E119&amp;"[wk]")=M$6)*(IF($G$2=0,1,(INDIRECT($E119&amp;"[siteflag]")=$G$2))))+
                        SUM(INDIRECT($E128&amp;"["&amp;$F128&amp;"]")*(INDIRECT($E128&amp;"[yr]")=M$5-1)*(INDIRECT($E128&amp;"[wk]")=M$6)*(IF($G$2=0,1,(INDIRECT($E128&amp;"[siteflag]")=$G$2))))))-1</f>
        <v>-0.55003612887304432</v>
      </c>
      <c r="N132" s="50">
        <f t="array" aca="1" ref="N132" ca="1">N131/(1000*(SUM(INDIRECT($E131&amp;"["&amp;$F131&amp;"]")*(INDIRECT($E131&amp;"[yr]")=N$5-1)*(INDIRECT($E131&amp;"[wk]")=N$6)*(IF($G$2=0,1,(INDIRECT($E131&amp;"[siteflag]")=$G$2)))/1000)+
                       SUM(INDIRECT($E132&amp;"["&amp;$F132&amp;"]")*(INDIRECT($E132&amp;"[yr]")=N$5-1)*(INDIRECT($E132&amp;"[wk]")=N$6)*(IF($G$2=0,1,(INDIRECT($E132&amp;"[siteflag]")=$G$2)))/1000))/
                       (SUM(INDIRECT($E119&amp;"["&amp;$F119&amp;"]")*(INDIRECT($E119&amp;"[yr]")=N$5-1)*(INDIRECT($E119&amp;"[wk]")=N$6)*(IF($G$2=0,1,(INDIRECT($E119&amp;"[siteflag]")=$G$2))))+
                        SUM(INDIRECT($E128&amp;"["&amp;$F128&amp;"]")*(INDIRECT($E128&amp;"[yr]")=N$5-1)*(INDIRECT($E128&amp;"[wk]")=N$6)*(IF($G$2=0,1,(INDIRECT($E128&amp;"[siteflag]")=$G$2))))))-1</f>
        <v>-0.53636633290671953</v>
      </c>
      <c r="O132" s="50">
        <f t="array" aca="1" ref="O132" ca="1">O131/(1000*(SUM(INDIRECT($E131&amp;"["&amp;$F131&amp;"]")*(INDIRECT($E131&amp;"[yr]")=O$5-1)*(INDIRECT($E131&amp;"[wk]")=O$6)*(IF($G$2=0,1,(INDIRECT($E131&amp;"[siteflag]")=$G$2)))/1000)+
                       SUM(INDIRECT($E132&amp;"["&amp;$F132&amp;"]")*(INDIRECT($E132&amp;"[yr]")=O$5-1)*(INDIRECT($E132&amp;"[wk]")=O$6)*(IF($G$2=0,1,(INDIRECT($E132&amp;"[siteflag]")=$G$2)))/1000))/
                       (SUM(INDIRECT($E119&amp;"["&amp;$F119&amp;"]")*(INDIRECT($E119&amp;"[yr]")=O$5-1)*(INDIRECT($E119&amp;"[wk]")=O$6)*(IF($G$2=0,1,(INDIRECT($E119&amp;"[siteflag]")=$G$2))))+
                        SUM(INDIRECT($E128&amp;"["&amp;$F128&amp;"]")*(INDIRECT($E128&amp;"[yr]")=O$5-1)*(INDIRECT($E128&amp;"[wk]")=O$6)*(IF($G$2=0,1,(INDIRECT($E128&amp;"[siteflag]")=$G$2))))))-1</f>
        <v>-0.58552804442334061</v>
      </c>
      <c r="P132" s="54">
        <f t="array" aca="1" ref="P132" ca="1">P131/(1000*(SUM(INDIRECT($E131&amp;"["&amp;$F131&amp;"]")*(INDIRECT($E131&amp;"[yr]")=P$5-1)*(INDIRECT($E131&amp;"[wk]")=P$6)*(IF($G$2=0,1,(INDIRECT($E131&amp;"[siteflag]")=$G$2)))/1000)+
                       SUM(INDIRECT($E132&amp;"["&amp;$F132&amp;"]")*(INDIRECT($E132&amp;"[yr]")=P$5-1)*(INDIRECT($E132&amp;"[wk]")=P$6)*(IF($G$2=0,1,(INDIRECT($E132&amp;"[siteflag]")=$G$2)))/1000))/
                       (SUM(INDIRECT($E119&amp;"["&amp;$F119&amp;"]")*(INDIRECT($E119&amp;"[yr]")=P$5-1)*(INDIRECT($E119&amp;"[wk]")=P$6)*(IF($G$2=0,1,(INDIRECT($E119&amp;"[siteflag]")=$G$2))))+
                        SUM(INDIRECT($E128&amp;"["&amp;$F128&amp;"]")*(INDIRECT($E128&amp;"[yr]")=P$5-1)*(INDIRECT($E128&amp;"[wk]")=P$6)*(IF($G$2=0,1,(INDIRECT($E128&amp;"[siteflag]")=$G$2))))))-1</f>
        <v>-0.69811546742663277</v>
      </c>
      <c r="Q132" s="50">
        <f t="array" aca="1" ref="Q132" ca="1">Q131/(1000*(SUM(INDIRECT($E131&amp;"["&amp;$F131&amp;"]")*(INDIRECT($E131&amp;"[yr]")=Q$5-1)*(INDIRECT($E131&amp;"[wk]")=Q$6)*(IF($G$2=0,1,(INDIRECT($E131&amp;"[siteflag]")=$G$2)))/1000)+
                       SUM(INDIRECT($E132&amp;"["&amp;$F132&amp;"]")*(INDIRECT($E132&amp;"[yr]")=Q$5-1)*(INDIRECT($E132&amp;"[wk]")=Q$6)*(IF($G$2=0,1,(INDIRECT($E132&amp;"[siteflag]")=$G$2)))/1000))/
                       (SUM(INDIRECT($E119&amp;"["&amp;$F119&amp;"]")*(INDIRECT($E119&amp;"[yr]")=Q$5-1)*(INDIRECT($E119&amp;"[wk]")=Q$6)*(IF($G$2=0,1,(INDIRECT($E119&amp;"[siteflag]")=$G$2))))+
                        SUM(INDIRECT($E128&amp;"["&amp;$F128&amp;"]")*(INDIRECT($E128&amp;"[yr]")=Q$5-1)*(INDIRECT($E128&amp;"[wk]")=Q$6)*(IF($G$2=0,1,(INDIRECT($E128&amp;"[siteflag]")=$G$2))))))-1</f>
        <v>-0.54448913168427271</v>
      </c>
      <c r="R132" s="50">
        <f t="array" aca="1" ref="R132" ca="1">R131/(1000*(SUM(INDIRECT($E131&amp;"["&amp;$F131&amp;"]")*(INDIRECT($E131&amp;"[yr]")=R$5-1)*(INDIRECT($E131&amp;"[wk]")=R$6)*(IF($G$2=0,1,(INDIRECT($E131&amp;"[siteflag]")=$G$2)))/1000)+
                       SUM(INDIRECT($E132&amp;"["&amp;$F132&amp;"]")*(INDIRECT($E132&amp;"[yr]")=R$5-1)*(INDIRECT($E132&amp;"[wk]")=R$6)*(IF($G$2=0,1,(INDIRECT($E132&amp;"[siteflag]")=$G$2)))/1000))/
                       (SUM(INDIRECT($E119&amp;"["&amp;$F119&amp;"]")*(INDIRECT($E119&amp;"[yr]")=R$5-1)*(INDIRECT($E119&amp;"[wk]")=R$6)*(IF($G$2=0,1,(INDIRECT($E119&amp;"[siteflag]")=$G$2))))+
                        SUM(INDIRECT($E128&amp;"["&amp;$F128&amp;"]")*(INDIRECT($E128&amp;"[yr]")=R$5-1)*(INDIRECT($E128&amp;"[wk]")=R$6)*(IF($G$2=0,1,(INDIRECT($E128&amp;"[siteflag]")=$G$2))))))-1</f>
        <v>-0.61944008686219421</v>
      </c>
      <c r="S132" s="50">
        <f t="array" aca="1" ref="S132" ca="1">S131/(1000*(SUM(INDIRECT($E131&amp;"["&amp;$F131&amp;"]")*(INDIRECT($E131&amp;"[yr]")=S$5-1)*(INDIRECT($E131&amp;"[wk]")=S$6)*(IF($G$2=0,1,(INDIRECT($E131&amp;"[siteflag]")=$G$2)))/1000)+
                       SUM(INDIRECT($E132&amp;"["&amp;$F132&amp;"]")*(INDIRECT($E132&amp;"[yr]")=S$5-1)*(INDIRECT($E132&amp;"[wk]")=S$6)*(IF($G$2=0,1,(INDIRECT($E132&amp;"[siteflag]")=$G$2)))/1000))/
                       (SUM(INDIRECT($E119&amp;"["&amp;$F119&amp;"]")*(INDIRECT($E119&amp;"[yr]")=S$5-1)*(INDIRECT($E119&amp;"[wk]")=S$6)*(IF($G$2=0,1,(INDIRECT($E119&amp;"[siteflag]")=$G$2))))+
                        SUM(INDIRECT($E128&amp;"["&amp;$F128&amp;"]")*(INDIRECT($E128&amp;"[yr]")=S$5-1)*(INDIRECT($E128&amp;"[wk]")=S$6)*(IF($G$2=0,1,(INDIRECT($E128&amp;"[siteflag]")=$G$2))))))-1</f>
        <v>-0.99203747689375421</v>
      </c>
      <c r="T132" s="52">
        <f t="array" aca="1" ref="T132" ca="1">T131/(1000*(SUM(INDIRECT($E131&amp;"["&amp;$F131&amp;"]")*(INDIRECT($E131&amp;"[yr]")=T$5-1)*(INDIRECT($E131&amp;"[wk]")=T$6)*(IF($G$2=0,1,(INDIRECT($E131&amp;"[siteflag]")=$G$2)))/1000)+
                       SUM(INDIRECT($E132&amp;"["&amp;$F132&amp;"]")*(INDIRECT($E132&amp;"[yr]")=T$5-1)*(INDIRECT($E132&amp;"[wk]")=T$6)*(IF($G$2=0,1,(INDIRECT($E132&amp;"[siteflag]")=$G$2)))/1000))/
                       (SUM(INDIRECT($E119&amp;"["&amp;$F119&amp;"]")*(INDIRECT($E119&amp;"[yr]")=T$5-1)*(INDIRECT($E119&amp;"[wk]")=T$6)*(IF($G$2=0,1,(INDIRECT($E119&amp;"[siteflag]")=$G$2))))+
                        SUM(INDIRECT($E128&amp;"["&amp;$F128&amp;"]")*(INDIRECT($E128&amp;"[yr]")=T$5-1)*(INDIRECT($E128&amp;"[wk]")=T$6)*(IF($G$2=0,1,(INDIRECT($E128&amp;"[siteflag]")=$G$2))))))-1</f>
        <v>-0.99480537876947817</v>
      </c>
      <c r="U132" s="53">
        <f ca="1">SUMPRODUCT(Q132:T132,Q131:T131)/SUM(Q131:T131)</f>
        <v>-0.58425909594763015</v>
      </c>
      <c r="V132" s="186"/>
      <c r="W132" s="80"/>
      <c r="X132" s="56"/>
    </row>
    <row r="133" spans="2:24" ht="3" customHeight="1" x14ac:dyDescent="0.4">
      <c r="B133" s="329"/>
      <c r="D133" s="61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61"/>
      <c r="Q133" s="57"/>
      <c r="R133" s="57"/>
      <c r="S133" s="57"/>
      <c r="T133" s="59"/>
      <c r="U133" s="57"/>
      <c r="V133" s="114"/>
      <c r="W133" s="114"/>
      <c r="X133" s="61"/>
    </row>
    <row r="134" spans="2:24" ht="14.15" customHeight="1" x14ac:dyDescent="0.4">
      <c r="B134" s="329"/>
      <c r="D134" s="201" t="s">
        <v>158</v>
      </c>
      <c r="E134" t="s">
        <v>195</v>
      </c>
      <c r="F134" s="63" t="s">
        <v>159</v>
      </c>
      <c r="G134" s="63"/>
      <c r="H134" s="63"/>
      <c r="I134" s="165">
        <f t="array" aca="1" ref="I134" ca="1">SUM(INDIRECT($E134&amp;"["&amp;$F134&amp;"]")*(INDIRECT($E134&amp;"[yr]")=I$5)*(INDIRECT($E134&amp;"[wk]")=I$6)*(IF($G$2=0,1,(INDIRECT($E134&amp;"[siteflag]")=$G$2))))/1000</f>
        <v>0.27500000000000002</v>
      </c>
      <c r="J134" s="165">
        <f t="array" aca="1" ref="J134" ca="1">SUM(INDIRECT($E134&amp;"["&amp;$F134&amp;"]")*(INDIRECT($E134&amp;"[yr]")=J$5)*(INDIRECT($E134&amp;"[wk]")=J$6)*(IF($G$2=0,1,(INDIRECT($E134&amp;"[siteflag]")=$G$2))))/1000</f>
        <v>0.14799999999999999</v>
      </c>
      <c r="K134" s="165">
        <f t="array" aca="1" ref="K134" ca="1">SUM(INDIRECT($E134&amp;"["&amp;$F134&amp;"]")*(INDIRECT($E134&amp;"[yr]")=K$5)*(INDIRECT($E134&amp;"[wk]")=K$6)*(IF($G$2=0,1,(INDIRECT($E134&amp;"[siteflag]")=$G$2))))/1000</f>
        <v>5.0999999999999997E-2</v>
      </c>
      <c r="L134" s="165">
        <f t="array" aca="1" ref="L134" ca="1">SUM(INDIRECT($E134&amp;"["&amp;$F134&amp;"]")*(INDIRECT($E134&amp;"[yr]")=L$5)*(INDIRECT($E134&amp;"[wk]")=L$6)*(IF($G$2=0,1,(INDIRECT($E134&amp;"[siteflag]")=$G$2))))/1000</f>
        <v>5.1999999999999998E-2</v>
      </c>
      <c r="M134" s="165">
        <f t="array" aca="1" ref="M134" ca="1">SUM(INDIRECT($E134&amp;"["&amp;$F134&amp;"]")*(INDIRECT($E134&amp;"[yr]")=M$5)*(INDIRECT($E134&amp;"[wk]")=M$6)*(IF($G$2=0,1,(INDIRECT($E134&amp;"[siteflag]")=$G$2))))/1000</f>
        <v>1.663</v>
      </c>
      <c r="N134" s="165">
        <f t="array" aca="1" ref="N134" ca="1">SUM(INDIRECT($E134&amp;"["&amp;$F134&amp;"]")*(INDIRECT($E134&amp;"[yr]")=N$5)*(INDIRECT($E134&amp;"[wk]")=N$6)*(IF($G$2=0,1,(INDIRECT($E134&amp;"[siteflag]")=$G$2))))/1000</f>
        <v>0.10299999999999999</v>
      </c>
      <c r="O134" s="165">
        <f t="array" aca="1" ref="O134" ca="1">SUM(INDIRECT($E134&amp;"["&amp;$F134&amp;"]")*(INDIRECT($E134&amp;"[yr]")=O$5)*(INDIRECT($E134&amp;"[wk]")=O$6)*(IF($G$2=0,1,(INDIRECT($E134&amp;"[siteflag]")=$G$2))))/1000</f>
        <v>0.20300000000000001</v>
      </c>
      <c r="P134" s="198">
        <f t="array" aca="1" ref="P134" ca="1">SUM(INDIRECT($E134&amp;"["&amp;$F134&amp;"]")*(INDIRECT($E134&amp;"[yr]")=P$5)*(INDIRECT($E134&amp;"[wk]")=P$6)*(IF($G$2=0,1,(INDIRECT($E134&amp;"[siteflag]")=$G$2))))/1000</f>
        <v>1.7999999999999999E-2</v>
      </c>
      <c r="Q134" s="165">
        <f t="array" aca="1" ref="Q134" ca="1">SUM(INDIRECT($E134&amp;"["&amp;$F134&amp;"]")*(INDIRECT($E134&amp;"[yr]")=Q$5)*(INDIRECT($E134&amp;"[wk]")=Q$6)*(IF($G$2=0,1,(INDIRECT($E134&amp;"[siteflag]")=$G$2))))/1000</f>
        <v>9.4E-2</v>
      </c>
      <c r="R134" s="165">
        <f t="array" aca="1" ref="R134" ca="1">SUM(INDIRECT($E134&amp;"["&amp;$F134&amp;"]")*(INDIRECT($E134&amp;"[yr]")=R$5)*(INDIRECT($E134&amp;"[wk]")=R$6)*(IF($G$2=0,1,(INDIRECT($E134&amp;"[siteflag]")=$G$2))))/1000</f>
        <v>0.107</v>
      </c>
      <c r="S134" s="165">
        <f t="array" aca="1" ref="S134" ca="1">SUM(INDIRECT($E134&amp;"["&amp;$F134&amp;"]")*(INDIRECT($E134&amp;"[yr]")=S$5)*(INDIRECT($E134&amp;"[wk]")=S$6)*(IF($G$2=0,1,(INDIRECT($E134&amp;"[siteflag]")=$G$2))))/1000</f>
        <v>9.1999999999999998E-2</v>
      </c>
      <c r="T134" s="166">
        <f t="array" aca="1" ref="T134" ca="1">SUM(INDIRECT($E134&amp;"["&amp;$F134&amp;"]")*(INDIRECT($E134&amp;"[yr]")=T$5)*(INDIRECT($E134&amp;"[wk]")=T$6)*(IF($H$2=0,1,(INDIRECT($E134&amp;"[siteflag]")=$H$2))))/1000</f>
        <v>8.5999999999999993E-2</v>
      </c>
      <c r="U134" s="173" t="e">
        <f t="array" aca="1" ref="U134" ca="1">SUM(Q134:T134*$R$85:$U$85)/SUM($R$85:$U$85)</f>
        <v>#DIV/0!</v>
      </c>
      <c r="V134" s="47">
        <f t="array" aca="1" ref="V134" ca="1">IFERROR(SUM(T134/S134)-1,0)</f>
        <v>-6.5217391304347894E-2</v>
      </c>
      <c r="W134" s="131"/>
      <c r="X134" s="49"/>
    </row>
    <row r="135" spans="2:24" ht="14.15" customHeight="1" x14ac:dyDescent="0.4">
      <c r="B135" s="330"/>
      <c r="D135" s="231" t="s">
        <v>297</v>
      </c>
      <c r="E135" s="40"/>
      <c r="F135" s="40"/>
      <c r="I135" s="118">
        <f ca="1">I134/($U125/(5.5*4))</f>
        <v>7.566803619558625E-2</v>
      </c>
      <c r="J135" s="118">
        <f t="shared" ref="J135:S135" ca="1" si="5">J134/($U125/(5.5*4))</f>
        <v>4.0723161297988232E-2</v>
      </c>
      <c r="K135" s="118">
        <f t="shared" ca="1" si="5"/>
        <v>1.4032981258090538E-2</v>
      </c>
      <c r="L135" s="118">
        <f t="shared" ca="1" si="5"/>
        <v>1.4308137753347216E-2</v>
      </c>
      <c r="M135" s="118">
        <f t="shared" ca="1" si="5"/>
        <v>0.45758525161185426</v>
      </c>
      <c r="N135" s="118">
        <f t="shared" ca="1" si="5"/>
        <v>2.8341119011437755E-2</v>
      </c>
      <c r="O135" s="118">
        <f t="shared" ca="1" si="5"/>
        <v>5.5856768537105486E-2</v>
      </c>
      <c r="P135" s="239">
        <f t="shared" ca="1" si="5"/>
        <v>4.95281691462019E-3</v>
      </c>
      <c r="Q135" s="118">
        <f t="shared" ca="1" si="5"/>
        <v>2.586471055412766E-2</v>
      </c>
      <c r="R135" s="118">
        <f t="shared" ca="1" si="5"/>
        <v>2.9441744992464464E-2</v>
      </c>
      <c r="S135" s="118">
        <f t="shared" ca="1" si="5"/>
        <v>2.5314397563614307E-2</v>
      </c>
      <c r="T135" s="187">
        <f ca="1">T134/($U125/(5.5*4))</f>
        <v>2.3663458592074242E-2</v>
      </c>
      <c r="U135" s="185" t="e">
        <f t="array" aca="1" ref="U135" ca="1">U134/($U125/(5.5*4))</f>
        <v>#DIV/0!</v>
      </c>
      <c r="V135" s="89">
        <f ca="1">IFERROR(SUM(T135/S135)-1,0)</f>
        <v>-6.5217391304347894E-2</v>
      </c>
      <c r="W135" s="178"/>
      <c r="X135" s="81"/>
    </row>
    <row r="136" spans="2:24" ht="3" customHeight="1" x14ac:dyDescent="0.4">
      <c r="D136" s="229"/>
      <c r="E136" s="58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229"/>
      <c r="Q136" s="63"/>
      <c r="R136" s="63"/>
      <c r="S136" s="63"/>
      <c r="T136" s="63"/>
      <c r="U136" s="63"/>
      <c r="V136" s="63"/>
      <c r="W136" s="63"/>
      <c r="X136" s="63"/>
    </row>
    <row r="137" spans="2:24" ht="14.15" customHeight="1" x14ac:dyDescent="0.4">
      <c r="B137" s="328" t="s">
        <v>549</v>
      </c>
      <c r="D137" s="201" t="s">
        <v>550</v>
      </c>
      <c r="E137" s="63" t="s">
        <v>399</v>
      </c>
      <c r="F137" s="63" t="s">
        <v>57</v>
      </c>
      <c r="G137" s="63" t="s">
        <v>402</v>
      </c>
      <c r="H137" s="63"/>
      <c r="I137" s="128" t="e">
        <f t="array" aca="1" ref="I137" ca="1">IF($G$2=0,
(SUM(INDIRECT($E137&amp;"["&amp;$G137&amp;"]")*(INDIRECT($E137&amp;"[yr]")=I$5)*(INDIRECT($E137&amp;"[wk]")=I$6))/
SUM((INDIRECT($E137&amp;"["&amp;$E138&amp;"]")+INDIRECT($E137&amp;"["&amp;$F138&amp;"]"))*(INDIRECT($E137&amp;"[yr]")=I$5)*(INDIRECT($E137&amp;"[wk]")=I$6))),
(SUM(INDIRECT($E137&amp;"["&amp;$G137&amp;"]")*(INDIRECT($E137&amp;"[yr]")=I$5)*(INDIRECT($E137&amp;"[wk]")=I$6)*(INDIRECT($E137&amp;"[site]")=$G$2))/
SUM((INDIRECT($E137&amp;"["&amp;$E138&amp;"]")+INDIRECT($E137&amp;"["&amp;$F138&amp;"]"))*(INDIRECT($E137&amp;"[yr]")=I$5)*(INDIRECT($E137&amp;"[wk]")=I$6)*(INDIRECT($E137&amp;"[site]")=$G$2))) )</f>
        <v>#REF!</v>
      </c>
      <c r="J137" s="128" t="e">
        <f t="array" aca="1" ref="J137" ca="1">IF($G$2=0,
(SUM(INDIRECT($E137&amp;"["&amp;$G137&amp;"]")*(INDIRECT($E137&amp;"[yr]")=J$5)*(INDIRECT($E137&amp;"[wk]")=J$6))/
SUM((INDIRECT($E137&amp;"["&amp;$E138&amp;"]")+INDIRECT($E137&amp;"["&amp;$F138&amp;"]"))*(INDIRECT($E137&amp;"[yr]")=J$5)*(INDIRECT($E137&amp;"[wk]")=J$6))),
(SUM(INDIRECT($E137&amp;"["&amp;$G137&amp;"]")*(INDIRECT($E137&amp;"[yr]")=J$5)*(INDIRECT($E137&amp;"[wk]")=J$6)*(INDIRECT($E137&amp;"[site]")=$G$2))/
SUM((INDIRECT($E137&amp;"["&amp;$E138&amp;"]")+INDIRECT($E137&amp;"["&amp;$F138&amp;"]"))*(INDIRECT($E137&amp;"[yr]")=J$5)*(INDIRECT($E137&amp;"[wk]")=J$6)*(INDIRECT($E137&amp;"[site]")=$G$2))) )</f>
        <v>#REF!</v>
      </c>
      <c r="K137" s="128" t="e">
        <f t="array" aca="1" ref="K137" ca="1">IF($G$2=0,
(SUM(INDIRECT($E137&amp;"["&amp;$G137&amp;"]")*(INDIRECT($E137&amp;"[yr]")=K$5)*(INDIRECT($E137&amp;"[wk]")=K$6))/
SUM((INDIRECT($E137&amp;"["&amp;$E138&amp;"]")+INDIRECT($E137&amp;"["&amp;$F138&amp;"]"))*(INDIRECT($E137&amp;"[yr]")=K$5)*(INDIRECT($E137&amp;"[wk]")=K$6))),
(SUM(INDIRECT($E137&amp;"["&amp;$G137&amp;"]")*(INDIRECT($E137&amp;"[yr]")=K$5)*(INDIRECT($E137&amp;"[wk]")=K$6)*(INDIRECT($E137&amp;"[site]")=$G$2))/
SUM((INDIRECT($E137&amp;"["&amp;$E138&amp;"]")+INDIRECT($E137&amp;"["&amp;$F138&amp;"]"))*(INDIRECT($E137&amp;"[yr]")=K$5)*(INDIRECT($E137&amp;"[wk]")=K$6)*(INDIRECT($E137&amp;"[site]")=$G$2))) )</f>
        <v>#REF!</v>
      </c>
      <c r="L137" s="128" t="e">
        <f t="array" aca="1" ref="L137" ca="1">IF($G$2=0,
(SUM(INDIRECT($E137&amp;"["&amp;$G137&amp;"]")*(INDIRECT($E137&amp;"[yr]")=L$5)*(INDIRECT($E137&amp;"[wk]")=L$6))/
SUM((INDIRECT($E137&amp;"["&amp;$E138&amp;"]")+INDIRECT($E137&amp;"["&amp;$F138&amp;"]"))*(INDIRECT($E137&amp;"[yr]")=L$5)*(INDIRECT($E137&amp;"[wk]")=L$6))),
(SUM(INDIRECT($E137&amp;"["&amp;$G137&amp;"]")*(INDIRECT($E137&amp;"[yr]")=L$5)*(INDIRECT($E137&amp;"[wk]")=L$6)*(INDIRECT($E137&amp;"[site]")=$G$2))/
SUM((INDIRECT($E137&amp;"["&amp;$E138&amp;"]")+INDIRECT($E137&amp;"["&amp;$F138&amp;"]"))*(INDIRECT($E137&amp;"[yr]")=L$5)*(INDIRECT($E137&amp;"[wk]")=L$6)*(INDIRECT($E137&amp;"[site]")=$G$2))) )</f>
        <v>#REF!</v>
      </c>
      <c r="M137" s="128" t="e">
        <f t="array" aca="1" ref="M137" ca="1">IF($G$2=0,
(SUM(INDIRECT($E137&amp;"["&amp;$G137&amp;"]")*(INDIRECT($E137&amp;"[yr]")=M$5)*(INDIRECT($E137&amp;"[wk]")=M$6))/
SUM((INDIRECT($E137&amp;"["&amp;$E138&amp;"]")+INDIRECT($E137&amp;"["&amp;$F138&amp;"]"))*(INDIRECT($E137&amp;"[yr]")=M$5)*(INDIRECT($E137&amp;"[wk]")=M$6))),
(SUM(INDIRECT($E137&amp;"["&amp;$G137&amp;"]")*(INDIRECT($E137&amp;"[yr]")=M$5)*(INDIRECT($E137&amp;"[wk]")=M$6)*(INDIRECT($E137&amp;"[site]")=$G$2))/
SUM((INDIRECT($E137&amp;"["&amp;$E138&amp;"]")+INDIRECT($E137&amp;"["&amp;$F138&amp;"]"))*(INDIRECT($E137&amp;"[yr]")=M$5)*(INDIRECT($E137&amp;"[wk]")=M$6)*(INDIRECT($E137&amp;"[site]")=$G$2))) )</f>
        <v>#REF!</v>
      </c>
      <c r="N137" s="128" t="e">
        <f t="array" aca="1" ref="N137" ca="1">IF($G$2=0,
(SUM(INDIRECT($E137&amp;"["&amp;$G137&amp;"]")*(INDIRECT($E137&amp;"[yr]")=N$5)*(INDIRECT($E137&amp;"[wk]")=N$6))/
SUM((INDIRECT($E137&amp;"["&amp;$E138&amp;"]")+INDIRECT($E137&amp;"["&amp;$F138&amp;"]"))*(INDIRECT($E137&amp;"[yr]")=N$5)*(INDIRECT($E137&amp;"[wk]")=N$6))),
(SUM(INDIRECT($E137&amp;"["&amp;$G137&amp;"]")*(INDIRECT($E137&amp;"[yr]")=N$5)*(INDIRECT($E137&amp;"[wk]")=N$6)*(INDIRECT($E137&amp;"[site]")=$G$2))/
SUM((INDIRECT($E137&amp;"["&amp;$E138&amp;"]")+INDIRECT($E137&amp;"["&amp;$F138&amp;"]"))*(INDIRECT($E137&amp;"[yr]")=N$5)*(INDIRECT($E137&amp;"[wk]")=N$6)*(INDIRECT($E137&amp;"[site]")=$G$2))) )</f>
        <v>#REF!</v>
      </c>
      <c r="O137" s="128" t="e">
        <f t="array" aca="1" ref="O137" ca="1">IF($G$2=0,
(SUM(INDIRECT($E137&amp;"["&amp;$G137&amp;"]")*(INDIRECT($E137&amp;"[yr]")=O$5)*(INDIRECT($E137&amp;"[wk]")=O$6))/
SUM((INDIRECT($E137&amp;"["&amp;$E138&amp;"]")+INDIRECT($E137&amp;"["&amp;$F138&amp;"]"))*(INDIRECT($E137&amp;"[yr]")=O$5)*(INDIRECT($E137&amp;"[wk]")=O$6))),
(SUM(INDIRECT($E137&amp;"["&amp;$G137&amp;"]")*(INDIRECT($E137&amp;"[yr]")=O$5)*(INDIRECT($E137&amp;"[wk]")=O$6)*(INDIRECT($E137&amp;"[site]")=$G$2))/
SUM((INDIRECT($E137&amp;"["&amp;$E138&amp;"]")+INDIRECT($E137&amp;"["&amp;$F138&amp;"]"))*(INDIRECT($E137&amp;"[yr]")=O$5)*(INDIRECT($E137&amp;"[wk]")=O$6)*(INDIRECT($E137&amp;"[site]")=$G$2))) )</f>
        <v>#REF!</v>
      </c>
      <c r="P137" s="154" t="e">
        <f t="array" aca="1" ref="P137" ca="1">IF($G$2=0,
(SUM(INDIRECT($E137&amp;"["&amp;$G137&amp;"]")*(INDIRECT($E137&amp;"[yr]")=P$5)*(INDIRECT($E137&amp;"[wk]")=P$6))/
SUM((INDIRECT($E137&amp;"["&amp;$E138&amp;"]")+INDIRECT($E137&amp;"["&amp;$F138&amp;"]"))*(INDIRECT($E137&amp;"[yr]")=P$5)*(INDIRECT($E137&amp;"[wk]")=P$6))),
(SUM(INDIRECT($E137&amp;"["&amp;$G137&amp;"]")*(INDIRECT($E137&amp;"[yr]")=P$5)*(INDIRECT($E137&amp;"[wk]")=P$6)*(INDIRECT($E137&amp;"[site]")=$G$2))/
SUM((INDIRECT($E137&amp;"["&amp;$E138&amp;"]")+INDIRECT($E137&amp;"["&amp;$F138&amp;"]"))*(INDIRECT($E137&amp;"[yr]")=P$5)*(INDIRECT($E137&amp;"[wk]")=P$6)*(INDIRECT($E137&amp;"[site]")=$G$2))) )</f>
        <v>#REF!</v>
      </c>
      <c r="Q137" s="128" t="e">
        <f t="array" aca="1" ref="Q137" ca="1">IF($G$2=0,
(SUM(INDIRECT($E137&amp;"["&amp;$G137&amp;"]")*(INDIRECT($E137&amp;"[yr]")=Q$5)*(INDIRECT($E137&amp;"[wk]")=Q$6))/
SUM((INDIRECT($E137&amp;"["&amp;$E138&amp;"]")+INDIRECT($E137&amp;"["&amp;$F138&amp;"]"))*(INDIRECT($E137&amp;"[yr]")=Q$5)*(INDIRECT($E137&amp;"[wk]")=Q$6))),
(SUM(INDIRECT($E137&amp;"["&amp;$G137&amp;"]")*(INDIRECT($E137&amp;"[yr]")=Q$5)*(INDIRECT($E137&amp;"[wk]")=Q$6)*(INDIRECT($E137&amp;"[site]")=$G$2))/
SUM((INDIRECT($E137&amp;"["&amp;$E138&amp;"]")+INDIRECT($E137&amp;"["&amp;$F138&amp;"]"))*(INDIRECT($E137&amp;"[yr]")=Q$5)*(INDIRECT($E137&amp;"[wk]")=Q$6)*(INDIRECT($E137&amp;"[site]")=$G$2))) )</f>
        <v>#REF!</v>
      </c>
      <c r="R137" s="128" t="e">
        <f t="array" aca="1" ref="R137" ca="1">IF($G$2=0,
(SUM(INDIRECT($E137&amp;"["&amp;$G137&amp;"]")*(INDIRECT($E137&amp;"[yr]")=R$5)*(INDIRECT($E137&amp;"[wk]")=R$6))/
SUM((INDIRECT($E137&amp;"["&amp;$E138&amp;"]")+INDIRECT($E137&amp;"["&amp;$F138&amp;"]"))*(INDIRECT($E137&amp;"[yr]")=R$5)*(INDIRECT($E137&amp;"[wk]")=R$6))),
(SUM(INDIRECT($E137&amp;"["&amp;$G137&amp;"]")*(INDIRECT($E137&amp;"[yr]")=R$5)*(INDIRECT($E137&amp;"[wk]")=R$6)*(INDIRECT($E137&amp;"[site]")=$G$2))/
SUM((INDIRECT($E137&amp;"["&amp;$E138&amp;"]")+INDIRECT($E137&amp;"["&amp;$F138&amp;"]"))*(INDIRECT($E137&amp;"[yr]")=R$5)*(INDIRECT($E137&amp;"[wk]")=R$6)*(INDIRECT($E137&amp;"[site]")=$G$2))) )</f>
        <v>#REF!</v>
      </c>
      <c r="S137" s="128" t="e">
        <f t="array" aca="1" ref="S137" ca="1">IF($G$2=0,
(SUM(INDIRECT($E137&amp;"["&amp;$G137&amp;"]")*(INDIRECT($E137&amp;"[yr]")=S$5)*(INDIRECT($E137&amp;"[wk]")=S$6))/
SUM((INDIRECT($E137&amp;"["&amp;$E138&amp;"]")+INDIRECT($E137&amp;"["&amp;$F138&amp;"]"))*(INDIRECT($E137&amp;"[yr]")=S$5)*(INDIRECT($E137&amp;"[wk]")=S$6))),
(SUM(INDIRECT($E137&amp;"["&amp;$G137&amp;"]")*(INDIRECT($E137&amp;"[yr]")=S$5)*(INDIRECT($E137&amp;"[wk]")=S$6)*(INDIRECT($E137&amp;"[site]")=$G$2))/
SUM((INDIRECT($E137&amp;"["&amp;$E138&amp;"]")+INDIRECT($E137&amp;"["&amp;$F138&amp;"]"))*(INDIRECT($E137&amp;"[yr]")=S$5)*(INDIRECT($E137&amp;"[wk]")=S$6)*(INDIRECT($E137&amp;"[site]")=$G$2))) )</f>
        <v>#REF!</v>
      </c>
      <c r="T137" s="129" t="e">
        <f t="array" aca="1" ref="T137" ca="1">IF($G$2=0,
(SUM(INDIRECT($E137&amp;"["&amp;$G137&amp;"]")*(INDIRECT($E137&amp;"[yr]")=T$5)*(INDIRECT($E137&amp;"[wk]")=T$6))/
SUM((INDIRECT($E137&amp;"["&amp;$E138&amp;"]")+INDIRECT($E137&amp;"["&amp;$F138&amp;"]"))*(INDIRECT($E137&amp;"[yr]")=T$5)*(INDIRECT($E137&amp;"[wk]")=T$6))),
(SUM(INDIRECT($E137&amp;"["&amp;$G137&amp;"]")*(INDIRECT($E137&amp;"[yr]")=T$5)*(INDIRECT($E137&amp;"[wk]")=T$6)*(INDIRECT($E137&amp;"[site]")=$G$2))/
SUM((INDIRECT($E137&amp;"["&amp;$E138&amp;"]")+INDIRECT($E137&amp;"["&amp;$F138&amp;"]"))*(INDIRECT($E137&amp;"[yr]")=T$5)*(INDIRECT($E137&amp;"[wk]")=T$6)*(INDIRECT($E137&amp;"[site]")=$G$2))) )</f>
        <v>#REF!</v>
      </c>
      <c r="U137" s="130" t="e">
        <f t="array" aca="1" ref="U137" ca="1">SUM(Q137:T137*$Q$66:$T$66)/SUM($Q$66:$T$66)</f>
        <v>#REF!</v>
      </c>
      <c r="V137" s="47" t="e">
        <f t="array" aca="1" ref="V137" ca="1">SUM(T137/S137)-1</f>
        <v>#REF!</v>
      </c>
      <c r="W137" s="131">
        <v>75</v>
      </c>
      <c r="X137" s="49"/>
    </row>
    <row r="138" spans="2:24" ht="13.2" customHeight="1" x14ac:dyDescent="0.4">
      <c r="B138" s="329"/>
      <c r="D138" s="204" t="s">
        <v>67</v>
      </c>
      <c r="E138" s="40" t="s">
        <v>401</v>
      </c>
      <c r="F138" t="s">
        <v>403</v>
      </c>
      <c r="I138" s="74">
        <f t="array" aca="1" ref="I138" ca="1">IFERROR(I137/
(IF($G$2=0,
(SUM(INDIRECT($E137&amp;"["&amp;$G137&amp;"]")*(INDIRECT($E137&amp;"[yr]")=I$5-1)*(INDIRECT($E137&amp;"[wk]")=I$6))/
SUM((INDIRECT($E137&amp;"["&amp;$E138&amp;"]")+INDIRECT($E137&amp;"["&amp;$F138&amp;"]"))*(INDIRECT($E137&amp;"[yr]")=I$5-1)*(INDIRECT($E137&amp;"[wk]")=I$6))),
(SUM(INDIRECT($E137&amp;"["&amp;$G137&amp;"]")*(INDIRECT($E137&amp;"[yr]")=I$5-1)*(INDIRECT($E137&amp;"[wk]")=I$6)*(INDIRECT($E137&amp;"[site]")=$G$2))/
SUM((INDIRECT($E137&amp;"["&amp;$E138&amp;"]")+INDIRECT($E137&amp;"["&amp;$F138&amp;"]"))*(INDIRECT($E137&amp;"[yr]")=I$5-1)*(INDIRECT($E137&amp;"[wk]")=I$6)*(INDIRECT($E137&amp;"[site]")=$G$2)))))
-1,0)</f>
        <v>0</v>
      </c>
      <c r="J138" s="74">
        <f t="array" aca="1" ref="J138" ca="1">IFERROR(J137/
(IF($G$2=0,
(SUM(INDIRECT($E137&amp;"["&amp;$G137&amp;"]")*(INDIRECT($E137&amp;"[yr]")=J$5-1)*(INDIRECT($E137&amp;"[wk]")=J$6))/
SUM((INDIRECT($E137&amp;"["&amp;$E138&amp;"]")+INDIRECT($E137&amp;"["&amp;$F138&amp;"]"))*(INDIRECT($E137&amp;"[yr]")=J$5-1)*(INDIRECT($E137&amp;"[wk]")=J$6))),
(SUM(INDIRECT($E137&amp;"["&amp;$G137&amp;"]")*(INDIRECT($E137&amp;"[yr]")=J$5-1)*(INDIRECT($E137&amp;"[wk]")=J$6)*(INDIRECT($E137&amp;"[site]")=$G$2))/
SUM((INDIRECT($E137&amp;"["&amp;$E138&amp;"]")+INDIRECT($E137&amp;"["&amp;$F138&amp;"]"))*(INDIRECT($E137&amp;"[yr]")=J$5-1)*(INDIRECT($E137&amp;"[wk]")=J$6)*(INDIRECT($E137&amp;"[site]")=$G$2)))))
-1,0)</f>
        <v>0</v>
      </c>
      <c r="K138" s="74">
        <f t="array" aca="1" ref="K138" ca="1">IFERROR(K137/
(IF($G$2=0,
(SUM(INDIRECT($E137&amp;"["&amp;$G137&amp;"]")*(INDIRECT($E137&amp;"[yr]")=K$5-1)*(INDIRECT($E137&amp;"[wk]")=K$6))/
SUM((INDIRECT($E137&amp;"["&amp;$E138&amp;"]")+INDIRECT($E137&amp;"["&amp;$F138&amp;"]"))*(INDIRECT($E137&amp;"[yr]")=K$5-1)*(INDIRECT($E137&amp;"[wk]")=K$6))),
(SUM(INDIRECT($E137&amp;"["&amp;$G137&amp;"]")*(INDIRECT($E137&amp;"[yr]")=K$5-1)*(INDIRECT($E137&amp;"[wk]")=K$6)*(INDIRECT($E137&amp;"[site]")=$G$2))/
SUM((INDIRECT($E137&amp;"["&amp;$E138&amp;"]")+INDIRECT($E137&amp;"["&amp;$F138&amp;"]"))*(INDIRECT($E137&amp;"[yr]")=K$5-1)*(INDIRECT($E137&amp;"[wk]")=K$6)*(INDIRECT($E137&amp;"[site]")=$G$2)))))
-1,0)</f>
        <v>0</v>
      </c>
      <c r="L138" s="74">
        <f t="array" aca="1" ref="L138" ca="1">IFERROR(L137/
(IF($G$2=0,
(SUM(INDIRECT($E137&amp;"["&amp;$G137&amp;"]")*(INDIRECT($E137&amp;"[yr]")=L$5-1)*(INDIRECT($E137&amp;"[wk]")=L$6))/
SUM((INDIRECT($E137&amp;"["&amp;$E138&amp;"]")+INDIRECT($E137&amp;"["&amp;$F138&amp;"]"))*(INDIRECT($E137&amp;"[yr]")=L$5-1)*(INDIRECT($E137&amp;"[wk]")=L$6))),
(SUM(INDIRECT($E137&amp;"["&amp;$G137&amp;"]")*(INDIRECT($E137&amp;"[yr]")=L$5-1)*(INDIRECT($E137&amp;"[wk]")=L$6)*(INDIRECT($E137&amp;"[site]")=$G$2))/
SUM((INDIRECT($E137&amp;"["&amp;$E138&amp;"]")+INDIRECT($E137&amp;"["&amp;$F138&amp;"]"))*(INDIRECT($E137&amp;"[yr]")=L$5-1)*(INDIRECT($E137&amp;"[wk]")=L$6)*(INDIRECT($E137&amp;"[site]")=$G$2)))))
-1,0)</f>
        <v>0</v>
      </c>
      <c r="M138" s="74">
        <f t="array" aca="1" ref="M138" ca="1">IFERROR(M137/
(IF($G$2=0,
(SUM(INDIRECT($E137&amp;"["&amp;$G137&amp;"]")*(INDIRECT($E137&amp;"[yr]")=M$5-1)*(INDIRECT($E137&amp;"[wk]")=M$6))/
SUM((INDIRECT($E137&amp;"["&amp;$E138&amp;"]")+INDIRECT($E137&amp;"["&amp;$F138&amp;"]"))*(INDIRECT($E137&amp;"[yr]")=M$5-1)*(INDIRECT($E137&amp;"[wk]")=M$6))),
(SUM(INDIRECT($E137&amp;"["&amp;$G137&amp;"]")*(INDIRECT($E137&amp;"[yr]")=M$5-1)*(INDIRECT($E137&amp;"[wk]")=M$6)*(INDIRECT($E137&amp;"[site]")=$G$2))/
SUM((INDIRECT($E137&amp;"["&amp;$E138&amp;"]")+INDIRECT($E137&amp;"["&amp;$F138&amp;"]"))*(INDIRECT($E137&amp;"[yr]")=M$5-1)*(INDIRECT($E137&amp;"[wk]")=M$6)*(INDIRECT($E137&amp;"[site]")=$G$2)))))
-1,0)</f>
        <v>0</v>
      </c>
      <c r="N138" s="74">
        <f t="array" aca="1" ref="N138" ca="1">IFERROR(N137/
(IF($G$2=0,
(SUM(INDIRECT($E137&amp;"["&amp;$G137&amp;"]")*(INDIRECT($E137&amp;"[yr]")=N$5-1)*(INDIRECT($E137&amp;"[wk]")=N$6))/
SUM((INDIRECT($E137&amp;"["&amp;$E138&amp;"]")+INDIRECT($E137&amp;"["&amp;$F138&amp;"]"))*(INDIRECT($E137&amp;"[yr]")=N$5-1)*(INDIRECT($E137&amp;"[wk]")=N$6))),
(SUM(INDIRECT($E137&amp;"["&amp;$G137&amp;"]")*(INDIRECT($E137&amp;"[yr]")=N$5-1)*(INDIRECT($E137&amp;"[wk]")=N$6)*(INDIRECT($E137&amp;"[site]")=$G$2))/
SUM((INDIRECT($E137&amp;"["&amp;$E138&amp;"]")+INDIRECT($E137&amp;"["&amp;$F138&amp;"]"))*(INDIRECT($E137&amp;"[yr]")=N$5-1)*(INDIRECT($E137&amp;"[wk]")=N$6)*(INDIRECT($E137&amp;"[site]")=$G$2)))))
-1,0)</f>
        <v>0</v>
      </c>
      <c r="O138" s="74">
        <f t="array" aca="1" ref="O138" ca="1">IFERROR(O137/
(IF($G$2=0,
(SUM(INDIRECT($E137&amp;"["&amp;$G137&amp;"]")*(INDIRECT($E137&amp;"[yr]")=O$5-1)*(INDIRECT($E137&amp;"[wk]")=O$6))/
SUM((INDIRECT($E137&amp;"["&amp;$E138&amp;"]")+INDIRECT($E137&amp;"["&amp;$F138&amp;"]"))*(INDIRECT($E137&amp;"[yr]")=O$5-1)*(INDIRECT($E137&amp;"[wk]")=O$6))),
(SUM(INDIRECT($E137&amp;"["&amp;$G137&amp;"]")*(INDIRECT($E137&amp;"[yr]")=O$5-1)*(INDIRECT($E137&amp;"[wk]")=O$6)*(INDIRECT($E137&amp;"[site]")=$G$2))/
SUM((INDIRECT($E137&amp;"["&amp;$E138&amp;"]")+INDIRECT($E137&amp;"["&amp;$F138&amp;"]"))*(INDIRECT($E137&amp;"[yr]")=O$5-1)*(INDIRECT($E137&amp;"[wk]")=O$6)*(INDIRECT($E137&amp;"[site]")=$G$2)))))
-1,0)</f>
        <v>0</v>
      </c>
      <c r="P138" s="54">
        <f t="array" aca="1" ref="P138" ca="1">IFERROR(P137/
(IF($G$2=0,
(SUM(INDIRECT($E137&amp;"["&amp;$G137&amp;"]")*(INDIRECT($E137&amp;"[yr]")=P$5-1)*(INDIRECT($E137&amp;"[wk]")=P$6))/
SUM((INDIRECT($E137&amp;"["&amp;$E138&amp;"]")+INDIRECT($E137&amp;"["&amp;$F138&amp;"]"))*(INDIRECT($E137&amp;"[yr]")=P$5-1)*(INDIRECT($E137&amp;"[wk]")=P$6))),
(SUM(INDIRECT($E137&amp;"["&amp;$G137&amp;"]")*(INDIRECT($E137&amp;"[yr]")=P$5-1)*(INDIRECT($E137&amp;"[wk]")=P$6)*(INDIRECT($E137&amp;"[site]")=$G$2))/
SUM((INDIRECT($E137&amp;"["&amp;$E138&amp;"]")+INDIRECT($E137&amp;"["&amp;$F138&amp;"]"))*(INDIRECT($E137&amp;"[yr]")=P$5-1)*(INDIRECT($E137&amp;"[wk]")=P$6)*(INDIRECT($E137&amp;"[site]")=$G$2)))))
-1,0)</f>
        <v>0</v>
      </c>
      <c r="Q138" s="74">
        <f t="array" aca="1" ref="Q138" ca="1">IFERROR(Q137/
(IF($G$2=0,
(SUM(INDIRECT($E137&amp;"["&amp;$G137&amp;"]")*(INDIRECT($E137&amp;"[yr]")=Q$5-1)*(INDIRECT($E137&amp;"[wk]")=Q$6))/
SUM((INDIRECT($E137&amp;"["&amp;$E138&amp;"]")+INDIRECT($E137&amp;"["&amp;$F138&amp;"]"))*(INDIRECT($E137&amp;"[yr]")=Q$5-1)*(INDIRECT($E137&amp;"[wk]")=Q$6))),
(SUM(INDIRECT($E137&amp;"["&amp;$G137&amp;"]")*(INDIRECT($E137&amp;"[yr]")=Q$5-1)*(INDIRECT($E137&amp;"[wk]")=Q$6)*(INDIRECT($E137&amp;"[site]")=$G$2))/
SUM((INDIRECT($E137&amp;"["&amp;$E138&amp;"]")+INDIRECT($E137&amp;"["&amp;$F138&amp;"]"))*(INDIRECT($E137&amp;"[yr]")=Q$5-1)*(INDIRECT($E137&amp;"[wk]")=Q$6)*(INDIRECT($E137&amp;"[site]")=$G$2)))))
-1,0)</f>
        <v>0</v>
      </c>
      <c r="R138" s="74">
        <f t="array" aca="1" ref="R138" ca="1">IFERROR(R137/
(IF($G$2=0,
(SUM(INDIRECT($E137&amp;"["&amp;$G137&amp;"]")*(INDIRECT($E137&amp;"[yr]")=R$5-1)*(INDIRECT($E137&amp;"[wk]")=R$6))/
SUM((INDIRECT($E137&amp;"["&amp;$E138&amp;"]")+INDIRECT($E137&amp;"["&amp;$F138&amp;"]"))*(INDIRECT($E137&amp;"[yr]")=R$5-1)*(INDIRECT($E137&amp;"[wk]")=R$6))),
(SUM(INDIRECT($E137&amp;"["&amp;$G137&amp;"]")*(INDIRECT($E137&amp;"[yr]")=R$5-1)*(INDIRECT($E137&amp;"[wk]")=R$6)*(INDIRECT($E137&amp;"[site]")=$G$2))/
SUM((INDIRECT($E137&amp;"["&amp;$E138&amp;"]")+INDIRECT($E137&amp;"["&amp;$F138&amp;"]"))*(INDIRECT($E137&amp;"[yr]")=R$5-1)*(INDIRECT($E137&amp;"[wk]")=R$6)*(INDIRECT($E137&amp;"[site]")=$G$2)))))
-1,0)</f>
        <v>0</v>
      </c>
      <c r="S138" s="74">
        <f t="array" aca="1" ref="S138" ca="1">IFERROR(S137/
(IF($G$2=0,
(SUM(INDIRECT($E137&amp;"["&amp;$G137&amp;"]")*(INDIRECT($E137&amp;"[yr]")=S$5-1)*(INDIRECT($E137&amp;"[wk]")=S$6))/
SUM((INDIRECT($E137&amp;"["&amp;$E138&amp;"]")+INDIRECT($E137&amp;"["&amp;$F138&amp;"]"))*(INDIRECT($E137&amp;"[yr]")=S$5-1)*(INDIRECT($E137&amp;"[wk]")=S$6))),
(SUM(INDIRECT($E137&amp;"["&amp;$G137&amp;"]")*(INDIRECT($E137&amp;"[yr]")=S$5-1)*(INDIRECT($E137&amp;"[wk]")=S$6)*(INDIRECT($E137&amp;"[site]")=$G$2))/
SUM((INDIRECT($E137&amp;"["&amp;$E138&amp;"]")+INDIRECT($E137&amp;"["&amp;$F138&amp;"]"))*(INDIRECT($E137&amp;"[yr]")=S$5-1)*(INDIRECT($E137&amp;"[wk]")=S$6)*(INDIRECT($E137&amp;"[site]")=$G$2)))))
-1,0)</f>
        <v>0</v>
      </c>
      <c r="T138" s="76">
        <f t="array" aca="1" ref="T138" ca="1">IFERROR(T137/
(IF($G$2=0,
(SUM(INDIRECT($E137&amp;"["&amp;$G137&amp;"]")*(INDIRECT($E137&amp;"[yr]")=T$5-1)*(INDIRECT($E137&amp;"[wk]")=T$6))/
SUM((INDIRECT($E137&amp;"["&amp;$E138&amp;"]")+INDIRECT($E137&amp;"["&amp;$F138&amp;"]"))*(INDIRECT($E137&amp;"[yr]")=T$5-1)*(INDIRECT($E137&amp;"[wk]")=T$6))),
(SUM(INDIRECT($E137&amp;"["&amp;$G137&amp;"]")*(INDIRECT($E137&amp;"[yr]")=T$5-1)*(INDIRECT($E137&amp;"[wk]")=T$6)*(INDIRECT($E137&amp;"[site]")=$G$2))/
SUM((INDIRECT($E137&amp;"["&amp;$E138&amp;"]")+INDIRECT($E137&amp;"["&amp;$F138&amp;"]"))*(INDIRECT($E137&amp;"[yr]")=T$5-1)*(INDIRECT($E137&amp;"[wk]")=T$6)*(INDIRECT($E137&amp;"[site]")=$G$2)))))
-1,0)</f>
        <v>0</v>
      </c>
      <c r="U138" s="53">
        <f t="array" aca="1" ref="U138" ca="1">SUM(Q138:T138*$Q$66:$T$66)/SUM($Q$66:$T$66)</f>
        <v>0</v>
      </c>
      <c r="V138" s="91"/>
      <c r="W138" s="80"/>
      <c r="X138" s="56"/>
    </row>
    <row r="139" spans="2:24" ht="3" customHeight="1" x14ac:dyDescent="0.4">
      <c r="B139" s="329"/>
      <c r="D139" s="61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</row>
    <row r="140" spans="2:24" ht="14.15" customHeight="1" x14ac:dyDescent="0.4">
      <c r="B140" s="329"/>
      <c r="D140" s="201" t="s">
        <v>551</v>
      </c>
      <c r="E140" s="312" t="s">
        <v>125</v>
      </c>
      <c r="F140" t="s">
        <v>133</v>
      </c>
      <c r="G140" t="s">
        <v>138</v>
      </c>
      <c r="H140" t="s">
        <v>183</v>
      </c>
      <c r="I140" s="197">
        <f t="array" aca="1" ref="I140" ca="1">IF($G$2=0,
(SUM(INDIRECT($E140&amp;"["&amp;$G140&amp;"]")*(INDIRECT($E140&amp;"[yr]")=I$5)*(INDIRECT($E140&amp;"[wk]")=I$6))/
SUM((INDIRECT($E140&amp;"["&amp;$F141&amp;"]")+INDIRECT($E140&amp;"["&amp;$E142&amp;"]")+INDIRECT($E140&amp;"["&amp;$G141&amp;"]")+INDIRECT($E140&amp;"["&amp;$H141&amp;"]"))*(INDIRECT($E140&amp;"[yr]")=I$5)*(INDIRECT($E140&amp;"[wk]")=I$6))),
(SUM(INDIRECT($E140&amp;"["&amp;$G140&amp;"]")*(INDIRECT($E140&amp;"[yr]")=I$5)*(INDIRECT($E140&amp;"[wk]")=I$6)*(INDIRECT($E140&amp;"[siteflag]")=$G$2))/
SUM((INDIRECT($E140&amp;"["&amp;$F141&amp;"]")+INDIRECT($E140&amp;"["&amp;$E142&amp;"]")+INDIRECT($E140&amp;"["&amp;$G141&amp;"]")+INDIRECT($E140&amp;"["&amp;$H141&amp;"]"))*(INDIRECT($E140&amp;"[yr]")=I$5)*(INDIRECT($E140&amp;"[wk]")=I$6)*(INDIRECT($E140&amp;"[siteflag]")=$G$2))))</f>
        <v>22.788367584335013</v>
      </c>
      <c r="J140" s="197">
        <f t="array" aca="1" ref="J140" ca="1">IF($G$2=0,
(SUM(INDIRECT($E140&amp;"["&amp;$G140&amp;"]")*(INDIRECT($E140&amp;"[yr]")=J$5)*(INDIRECT($E140&amp;"[wk]")=J$6))/
SUM((INDIRECT($E140&amp;"["&amp;$F141&amp;"]")+INDIRECT($E140&amp;"["&amp;$E142&amp;"]")+INDIRECT($E140&amp;"["&amp;$G141&amp;"]")+INDIRECT($E140&amp;"["&amp;$H141&amp;"]"))*(INDIRECT($E140&amp;"[yr]")=J$5)*(INDIRECT($E140&amp;"[wk]")=J$6))),
(SUM(INDIRECT($E140&amp;"["&amp;$G140&amp;"]")*(INDIRECT($E140&amp;"[yr]")=J$5)*(INDIRECT($E140&amp;"[wk]")=J$6)*(INDIRECT($E140&amp;"[siteflag]")=$G$2))/
SUM((INDIRECT($E140&amp;"["&amp;$F141&amp;"]")+INDIRECT($E140&amp;"["&amp;$E142&amp;"]")+INDIRECT($E140&amp;"["&amp;$G141&amp;"]")+INDIRECT($E140&amp;"["&amp;$H141&amp;"]"))*(INDIRECT($E140&amp;"[yr]")=J$5)*(INDIRECT($E140&amp;"[wk]")=J$6)*(INDIRECT($E140&amp;"[siteflag]")=$G$2))))</f>
        <v>20.945048838977598</v>
      </c>
      <c r="K140" s="197">
        <f t="array" aca="1" ref="K140" ca="1">IF($G$2=0,
(SUM(INDIRECT($E140&amp;"["&amp;$G140&amp;"]")*(INDIRECT($E140&amp;"[yr]")=K$5)*(INDIRECT($E140&amp;"[wk]")=K$6))/
SUM((INDIRECT($E140&amp;"["&amp;$F141&amp;"]")+INDIRECT($E140&amp;"["&amp;$E142&amp;"]")+INDIRECT($E140&amp;"["&amp;$G141&amp;"]")+INDIRECT($E140&amp;"["&amp;$H141&amp;"]"))*(INDIRECT($E140&amp;"[yr]")=K$5)*(INDIRECT($E140&amp;"[wk]")=K$6))),
(SUM(INDIRECT($E140&amp;"["&amp;$G140&amp;"]")*(INDIRECT($E140&amp;"[yr]")=K$5)*(INDIRECT($E140&amp;"[wk]")=K$6)*(INDIRECT($E140&amp;"[siteflag]")=$G$2))/
SUM((INDIRECT($E140&amp;"["&amp;$F141&amp;"]")+INDIRECT($E140&amp;"["&amp;$E142&amp;"]")+INDIRECT($E140&amp;"["&amp;$G141&amp;"]")+INDIRECT($E140&amp;"["&amp;$H141&amp;"]"))*(INDIRECT($E140&amp;"[yr]")=K$5)*(INDIRECT($E140&amp;"[wk]")=K$6)*(INDIRECT($E140&amp;"[siteflag]")=$G$2))))</f>
        <v>19.934742075823493</v>
      </c>
      <c r="L140" s="197">
        <f t="array" aca="1" ref="L140" ca="1">IF($G$2=0,
(SUM(INDIRECT($E140&amp;"["&amp;$G140&amp;"]")*(INDIRECT($E140&amp;"[yr]")=L$5)*(INDIRECT($E140&amp;"[wk]")=L$6))/
SUM((INDIRECT($E140&amp;"["&amp;$F141&amp;"]")+INDIRECT($E140&amp;"["&amp;$E142&amp;"]")+INDIRECT($E140&amp;"["&amp;$G141&amp;"]")+INDIRECT($E140&amp;"["&amp;$H141&amp;"]"))*(INDIRECT($E140&amp;"[yr]")=L$5)*(INDIRECT($E140&amp;"[wk]")=L$6))),
(SUM(INDIRECT($E140&amp;"["&amp;$G140&amp;"]")*(INDIRECT($E140&amp;"[yr]")=L$5)*(INDIRECT($E140&amp;"[wk]")=L$6)*(INDIRECT($E140&amp;"[siteflag]")=$G$2))/
SUM((INDIRECT($E140&amp;"["&amp;$F141&amp;"]")+INDIRECT($E140&amp;"["&amp;$E142&amp;"]")+INDIRECT($E140&amp;"["&amp;$G141&amp;"]")+INDIRECT($E140&amp;"["&amp;$H141&amp;"]"))*(INDIRECT($E140&amp;"[yr]")=L$5)*(INDIRECT($E140&amp;"[wk]")=L$6)*(INDIRECT($E140&amp;"[siteflag]")=$G$2))))</f>
        <v>24.572898964312053</v>
      </c>
      <c r="M140" s="197">
        <f t="array" aca="1" ref="M140" ca="1">IF($G$2=0,
(SUM(INDIRECT($E140&amp;"["&amp;$G140&amp;"]")*(INDIRECT($E140&amp;"[yr]")=M$5)*(INDIRECT($E140&amp;"[wk]")=M$6))/
SUM((INDIRECT($E140&amp;"["&amp;$F141&amp;"]")+INDIRECT($E140&amp;"["&amp;$E142&amp;"]")+INDIRECT($E140&amp;"["&amp;$G141&amp;"]")+INDIRECT($E140&amp;"["&amp;$H141&amp;"]"))*(INDIRECT($E140&amp;"[yr]")=M$5)*(INDIRECT($E140&amp;"[wk]")=M$6))),
(SUM(INDIRECT($E140&amp;"["&amp;$G140&amp;"]")*(INDIRECT($E140&amp;"[yr]")=M$5)*(INDIRECT($E140&amp;"[wk]")=M$6)*(INDIRECT($E140&amp;"[siteflag]")=$G$2))/
SUM((INDIRECT($E140&amp;"["&amp;$F141&amp;"]")+INDIRECT($E140&amp;"["&amp;$E142&amp;"]")+INDIRECT($E140&amp;"["&amp;$G141&amp;"]")+INDIRECT($E140&amp;"["&amp;$H141&amp;"]"))*(INDIRECT($E140&amp;"[yr]")=M$5)*(INDIRECT($E140&amp;"[wk]")=M$6)*(INDIRECT($E140&amp;"[siteflag]")=$G$2))))</f>
        <v>16.005457091804701</v>
      </c>
      <c r="N140" s="197">
        <f t="array" aca="1" ref="N140" ca="1">IF($G$2=0,
(SUM(INDIRECT($E140&amp;"["&amp;$G140&amp;"]")*(INDIRECT($E140&amp;"[yr]")=N$5)*(INDIRECT($E140&amp;"[wk]")=N$6))/
SUM((INDIRECT($E140&amp;"["&amp;$F141&amp;"]")+INDIRECT($E140&amp;"["&amp;$E142&amp;"]")+INDIRECT($E140&amp;"["&amp;$G141&amp;"]")+INDIRECT($E140&amp;"["&amp;$H141&amp;"]"))*(INDIRECT($E140&amp;"[yr]")=N$5)*(INDIRECT($E140&amp;"[wk]")=N$6))),
(SUM(INDIRECT($E140&amp;"["&amp;$G140&amp;"]")*(INDIRECT($E140&amp;"[yr]")=N$5)*(INDIRECT($E140&amp;"[wk]")=N$6)*(INDIRECT($E140&amp;"[siteflag]")=$G$2))/
SUM((INDIRECT($E140&amp;"["&amp;$F141&amp;"]")+INDIRECT($E140&amp;"["&amp;$E142&amp;"]")+INDIRECT($E140&amp;"["&amp;$G141&amp;"]")+INDIRECT($E140&amp;"["&amp;$H141&amp;"]"))*(INDIRECT($E140&amp;"[yr]")=N$5)*(INDIRECT($E140&amp;"[wk]")=N$6)*(INDIRECT($E140&amp;"[siteflag]")=$G$2))))</f>
        <v>18.852003915781474</v>
      </c>
      <c r="O140" s="197">
        <f t="array" aca="1" ref="O140" ca="1">IF($G$2=0,
(SUM(INDIRECT($E140&amp;"["&amp;$G140&amp;"]")*(INDIRECT($E140&amp;"[yr]")=O$5)*(INDIRECT($E140&amp;"[wk]")=O$6))/
SUM((INDIRECT($E140&amp;"["&amp;$F141&amp;"]")+INDIRECT($E140&amp;"["&amp;$E142&amp;"]")+INDIRECT($E140&amp;"["&amp;$G141&amp;"]")+INDIRECT($E140&amp;"["&amp;$H141&amp;"]"))*(INDIRECT($E140&amp;"[yr]")=O$5)*(INDIRECT($E140&amp;"[wk]")=O$6))),
(SUM(INDIRECT($E140&amp;"["&amp;$G140&amp;"]")*(INDIRECT($E140&amp;"[yr]")=O$5)*(INDIRECT($E140&amp;"[wk]")=O$6)*(INDIRECT($E140&amp;"[siteflag]")=$G$2))/
SUM((INDIRECT($E140&amp;"["&amp;$F141&amp;"]")+INDIRECT($E140&amp;"["&amp;$E142&amp;"]")+INDIRECT($E140&amp;"["&amp;$G141&amp;"]")+INDIRECT($E140&amp;"["&amp;$H141&amp;"]"))*(INDIRECT($E140&amp;"[yr]")=O$5)*(INDIRECT($E140&amp;"[wk]")=O$6)*(INDIRECT($E140&amp;"[siteflag]")=$G$2))))</f>
        <v>20.650113751073476</v>
      </c>
      <c r="P140" s="93">
        <f t="array" aca="1" ref="P140" ca="1">IF($G$2=0,
(SUM(INDIRECT($E140&amp;"["&amp;$G140&amp;"]")*(INDIRECT($E140&amp;"[yr]")=P$5)*(INDIRECT($E140&amp;"[wk]")=P$6))/
SUM((INDIRECT($E140&amp;"["&amp;$F141&amp;"]")+INDIRECT($E140&amp;"["&amp;$E142&amp;"]")+INDIRECT($E140&amp;"["&amp;$G141&amp;"]")+INDIRECT($E140&amp;"["&amp;$H141&amp;"]"))*(INDIRECT($E140&amp;"[yr]")=P$5)*(INDIRECT($E140&amp;"[wk]")=P$6))),
(SUM(INDIRECT($E140&amp;"["&amp;$G140&amp;"]")*(INDIRECT($E140&amp;"[yr]")=P$5)*(INDIRECT($E140&amp;"[wk]")=P$6)*(INDIRECT($E140&amp;"[siteflag]")=$G$2))/
SUM((INDIRECT($E140&amp;"["&amp;$F141&amp;"]")+INDIRECT($E140&amp;"["&amp;$E142&amp;"]")+INDIRECT($E140&amp;"["&amp;$G141&amp;"]")+INDIRECT($E140&amp;"["&amp;$H141&amp;"]"))*(INDIRECT($E140&amp;"[yr]")=P$5)*(INDIRECT($E140&amp;"[wk]")=P$6)*(INDIRECT($E140&amp;"[siteflag]")=$G$2))))</f>
        <v>21.394183140867352</v>
      </c>
      <c r="Q140" s="197">
        <f t="array" aca="1" ref="Q140" ca="1">IF($G$2=0,
(SUM(INDIRECT($E140&amp;"["&amp;$G140&amp;"]")*(INDIRECT($E140&amp;"[yr]")=Q$5)*(INDIRECT($E140&amp;"[wk]")=Q$6))/
SUM((INDIRECT($E140&amp;"["&amp;$F141&amp;"]")+INDIRECT($E140&amp;"["&amp;$E142&amp;"]")+INDIRECT($E140&amp;"["&amp;$G141&amp;"]")+INDIRECT($E140&amp;"["&amp;$H141&amp;"]"))*(INDIRECT($E140&amp;"[yr]")=Q$5)*(INDIRECT($E140&amp;"[wk]")=Q$6))),
(SUM(INDIRECT($E140&amp;"["&amp;$G140&amp;"]")*(INDIRECT($E140&amp;"[yr]")=Q$5)*(INDIRECT($E140&amp;"[wk]")=Q$6)*(INDIRECT($E140&amp;"[siteflag]")=$G$2))/
SUM((INDIRECT($E140&amp;"["&amp;$F141&amp;"]")+INDIRECT($E140&amp;"["&amp;$E142&amp;"]")+INDIRECT($E140&amp;"["&amp;$G141&amp;"]")+INDIRECT($E140&amp;"["&amp;$H141&amp;"]"))*(INDIRECT($E140&amp;"[yr]")=Q$5)*(INDIRECT($E140&amp;"[wk]")=Q$6)*(INDIRECT($E140&amp;"[siteflag]")=$G$2))))</f>
        <v>22.458002834997135</v>
      </c>
      <c r="R140" s="197">
        <f t="array" aca="1" ref="R140" ca="1">IF($G$2=0,
(SUM(INDIRECT($E140&amp;"["&amp;$G140&amp;"]")*(INDIRECT($E140&amp;"[yr]")=R$5)*(INDIRECT($E140&amp;"[wk]")=R$6))/
SUM((INDIRECT($E140&amp;"["&amp;$F141&amp;"]")+INDIRECT($E140&amp;"["&amp;$E142&amp;"]")+INDIRECT($E140&amp;"["&amp;$G141&amp;"]")+INDIRECT($E140&amp;"["&amp;$H141&amp;"]"))*(INDIRECT($E140&amp;"[yr]")=R$5)*(INDIRECT($E140&amp;"[wk]")=R$6))),
(SUM(INDIRECT($E140&amp;"["&amp;$G140&amp;"]")*(INDIRECT($E140&amp;"[yr]")=R$5)*(INDIRECT($E140&amp;"[wk]")=R$6)*(INDIRECT($E140&amp;"[siteflag]")=$G$2))/
SUM((INDIRECT($E140&amp;"["&amp;$F141&amp;"]")+INDIRECT($E140&amp;"["&amp;$E142&amp;"]")+INDIRECT($E140&amp;"["&amp;$G141&amp;"]")+INDIRECT($E140&amp;"["&amp;$H141&amp;"]"))*(INDIRECT($E140&amp;"[yr]")=R$5)*(INDIRECT($E140&amp;"[wk]")=R$6)*(INDIRECT($E140&amp;"[siteflag]")=$G$2))))</f>
        <v>22.000678141247135</v>
      </c>
      <c r="S140" s="197">
        <f t="array" aca="1" ref="S140" ca="1">IF($G$2=0,
(SUM(INDIRECT($E140&amp;"["&amp;$G140&amp;"]")*(INDIRECT($E140&amp;"[yr]")=S$5)*(INDIRECT($E140&amp;"[wk]")=S$6))/
SUM((INDIRECT($E140&amp;"["&amp;$F141&amp;"]")+INDIRECT($E140&amp;"["&amp;$E142&amp;"]")+INDIRECT($E140&amp;"["&amp;$G141&amp;"]")+INDIRECT($E140&amp;"["&amp;$H141&amp;"]"))*(INDIRECT($E140&amp;"[yr]")=S$5)*(INDIRECT($E140&amp;"[wk]")=S$6))),
(SUM(INDIRECT($E140&amp;"["&amp;$G140&amp;"]")*(INDIRECT($E140&amp;"[yr]")=S$5)*(INDIRECT($E140&amp;"[wk]")=S$6)*(INDIRECT($E140&amp;"[siteflag]")=$G$2))/
SUM((INDIRECT($E140&amp;"["&amp;$F141&amp;"]")+INDIRECT($E140&amp;"["&amp;$E142&amp;"]")+INDIRECT($E140&amp;"["&amp;$G141&amp;"]")+INDIRECT($E140&amp;"["&amp;$H141&amp;"]"))*(INDIRECT($E140&amp;"[yr]")=S$5)*(INDIRECT($E140&amp;"[wk]")=S$6)*(INDIRECT($E140&amp;"[siteflag]")=$G$2))))</f>
        <v>22.108236267583223</v>
      </c>
      <c r="T140" s="129">
        <f t="array" aca="1" ref="T140" ca="1">IF($G$2=0,
(SUM(INDIRECT($E140&amp;"["&amp;$G140&amp;"]")*(INDIRECT($E140&amp;"[yr]")=T$5)*(INDIRECT($E140&amp;"[wk]")=T$6))/
SUM((INDIRECT($E140&amp;"["&amp;$F141&amp;"]")+INDIRECT($E140&amp;"["&amp;$E142&amp;"]")+INDIRECT($E140&amp;"["&amp;$G141&amp;"]")+INDIRECT($E140&amp;"["&amp;$H141&amp;"]"))*(INDIRECT($E140&amp;"[yr]")=T$5)*(INDIRECT($E140&amp;"[wk]")=T$6))),
(SUM(INDIRECT($E140&amp;"["&amp;$G140&amp;"]")*(INDIRECT($E140&amp;"[yr]")=T$5)*(INDIRECT($E140&amp;"[wk]")=T$6)*(INDIRECT($E140&amp;"[siteflag]")=$G$2))/
SUM((INDIRECT($E140&amp;"["&amp;$F141&amp;"]")+INDIRECT($E140&amp;"["&amp;$E142&amp;"]")+INDIRECT($E140&amp;"["&amp;$G141&amp;"]")+INDIRECT($E140&amp;"["&amp;$H141&amp;"]"))*(INDIRECT($E140&amp;"[yr]")=T$5)*(INDIRECT($E140&amp;"[wk]")=T$6)*(INDIRECT($E140&amp;"[siteflag]")=$G$2))))</f>
        <v>16.632513566881617</v>
      </c>
      <c r="U140" s="130">
        <f t="array" aca="1" ref="U140" ca="1">SUM(Q140:T140*$Q$66:$T$66)/SUM($Q$66:$T$66)</f>
        <v>20.777474103227238</v>
      </c>
      <c r="V140" s="47">
        <f t="array" aca="1" ref="V140" ca="1">SUM(T140/S140)-1</f>
        <v>-0.24767795288720196</v>
      </c>
      <c r="W140" s="131">
        <v>75</v>
      </c>
      <c r="X140" s="49"/>
    </row>
    <row r="141" spans="2:24" ht="14.15" customHeight="1" x14ac:dyDescent="0.4">
      <c r="B141" s="329"/>
      <c r="D141" s="204" t="s">
        <v>67</v>
      </c>
      <c r="E141" t="s">
        <v>155</v>
      </c>
      <c r="F141" t="s">
        <v>134</v>
      </c>
      <c r="G141" t="s">
        <v>137</v>
      </c>
      <c r="H141" t="s">
        <v>151</v>
      </c>
      <c r="I141" s="74">
        <f t="array" aca="1" ref="I141" ca="1">IFERROR(I140/
(IF($G$2=0,
(SUM(INDIRECT($E140&amp;"["&amp;$G140&amp;"]")*(INDIRECT($E140&amp;"[yr]")=I$5-1)*(INDIRECT($E140&amp;"[wk]")=I$6))/
SUM((INDIRECT($E140&amp;"["&amp;$F141&amp;"]")+INDIRECT($E140&amp;"["&amp;$E142&amp;"]")+INDIRECT($E140&amp;"["&amp;$G141&amp;"]")+INDIRECT($E140&amp;"["&amp;$H141&amp;"]"))*(INDIRECT($E140&amp;"[yr]")=I$5-1)*(INDIRECT($E140&amp;"[wk]")=I$6))),
(SUM(INDIRECT($E140&amp;"["&amp;$G140&amp;"]")*(INDIRECT($E140&amp;"[yr]")=I$5-1)*(INDIRECT($E140&amp;"[wk]")=I$6)*(INDIRECT($E140&amp;"[siteflag]")=$G$2))/
SUM((INDIRECT($E140&amp;"["&amp;$F141&amp;"]")+INDIRECT($E140&amp;"["&amp;$E142&amp;"]")+INDIRECT($E140&amp;"["&amp;$G141&amp;"]")+INDIRECT($E140&amp;"["&amp;$H141&amp;"]"))*(INDIRECT($E140&amp;"[yr]")=I$5-1)*(INDIRECT($E140&amp;"[wk]")=I$6)*(INDIRECT($E140&amp;"[siteflag]")=$G$2)))))
-1,0)</f>
        <v>-0.36270082721371899</v>
      </c>
      <c r="J141" s="74">
        <f t="array" aca="1" ref="J141" ca="1">IFERROR(J140/
(IF($G$2=0,
(SUM(INDIRECT($E140&amp;"["&amp;$G140&amp;"]")*(INDIRECT($E140&amp;"[yr]")=J$5-1)*(INDIRECT($E140&amp;"[wk]")=J$6))/
SUM((INDIRECT($E140&amp;"["&amp;$F141&amp;"]")+INDIRECT($E140&amp;"["&amp;$E142&amp;"]")+INDIRECT($E140&amp;"["&amp;$G141&amp;"]")+INDIRECT($E140&amp;"["&amp;$H141&amp;"]"))*(INDIRECT($E140&amp;"[yr]")=J$5-1)*(INDIRECT($E140&amp;"[wk]")=J$6))),
(SUM(INDIRECT($E140&amp;"["&amp;$G140&amp;"]")*(INDIRECT($E140&amp;"[yr]")=J$5-1)*(INDIRECT($E140&amp;"[wk]")=J$6)*(INDIRECT($E140&amp;"[siteflag]")=$G$2))/
SUM((INDIRECT($E140&amp;"["&amp;$F141&amp;"]")+INDIRECT($E140&amp;"["&amp;$E142&amp;"]")+INDIRECT($E140&amp;"["&amp;$G141&amp;"]")+INDIRECT($E140&amp;"["&amp;$H141&amp;"]"))*(INDIRECT($E140&amp;"[yr]")=J$5-1)*(INDIRECT($E140&amp;"[wk]")=J$6)*(INDIRECT($E140&amp;"[siteflag]")=$G$2)))))
-1,0)</f>
        <v>-0.54841980739543139</v>
      </c>
      <c r="K141" s="74">
        <f t="array" aca="1" ref="K141" ca="1">IFERROR(K140/
(IF($G$2=0,
(SUM(INDIRECT($E140&amp;"["&amp;$G140&amp;"]")*(INDIRECT($E140&amp;"[yr]")=K$5-1)*(INDIRECT($E140&amp;"[wk]")=K$6))/
SUM((INDIRECT($E140&amp;"["&amp;$F141&amp;"]")+INDIRECT($E140&amp;"["&amp;$E142&amp;"]")+INDIRECT($E140&amp;"["&amp;$G141&amp;"]")+INDIRECT($E140&amp;"["&amp;$H141&amp;"]"))*(INDIRECT($E140&amp;"[yr]")=K$5-1)*(INDIRECT($E140&amp;"[wk]")=K$6))),
(SUM(INDIRECT($E140&amp;"["&amp;$G140&amp;"]")*(INDIRECT($E140&amp;"[yr]")=K$5-1)*(INDIRECT($E140&amp;"[wk]")=K$6)*(INDIRECT($E140&amp;"[siteflag]")=$G$2))/
SUM((INDIRECT($E140&amp;"["&amp;$F141&amp;"]")+INDIRECT($E140&amp;"["&amp;$E142&amp;"]")+INDIRECT($E140&amp;"["&amp;$G141&amp;"]")+INDIRECT($E140&amp;"["&amp;$H141&amp;"]"))*(INDIRECT($E140&amp;"[yr]")=K$5-1)*(INDIRECT($E140&amp;"[wk]")=K$6)*(INDIRECT($E140&amp;"[siteflag]")=$G$2)))))
-1,0)</f>
        <v>-0.52079957741440053</v>
      </c>
      <c r="L141" s="74">
        <f t="array" aca="1" ref="L141" ca="1">IFERROR(L140/
(IF($G$2=0,
(SUM(INDIRECT($E140&amp;"["&amp;$G140&amp;"]")*(INDIRECT($E140&amp;"[yr]")=L$5-1)*(INDIRECT($E140&amp;"[wk]")=L$6))/
SUM((INDIRECT($E140&amp;"["&amp;$F141&amp;"]")+INDIRECT($E140&amp;"["&amp;$E142&amp;"]")+INDIRECT($E140&amp;"["&amp;$G141&amp;"]")+INDIRECT($E140&amp;"["&amp;$H141&amp;"]"))*(INDIRECT($E140&amp;"[yr]")=L$5-1)*(INDIRECT($E140&amp;"[wk]")=L$6))),
(SUM(INDIRECT($E140&amp;"["&amp;$G140&amp;"]")*(INDIRECT($E140&amp;"[yr]")=L$5-1)*(INDIRECT($E140&amp;"[wk]")=L$6)*(INDIRECT($E140&amp;"[siteflag]")=$G$2))/
SUM((INDIRECT($E140&amp;"["&amp;$F141&amp;"]")+INDIRECT($E140&amp;"["&amp;$E142&amp;"]")+INDIRECT($E140&amp;"["&amp;$G141&amp;"]")+INDIRECT($E140&amp;"["&amp;$H141&amp;"]"))*(INDIRECT($E140&amp;"[yr]")=L$5-1)*(INDIRECT($E140&amp;"[wk]")=L$6)*(INDIRECT($E140&amp;"[siteflag]")=$G$2)))))
-1,0)</f>
        <v>-0.33860906470041119</v>
      </c>
      <c r="M141" s="74">
        <f t="array" aca="1" ref="M141" ca="1">IFERROR(M140/
(IF($G$2=0,
(SUM(INDIRECT($E140&amp;"["&amp;$G140&amp;"]")*(INDIRECT($E140&amp;"[yr]")=M$5-1)*(INDIRECT($E140&amp;"[wk]")=M$6))/
SUM((INDIRECT($E140&amp;"["&amp;$F141&amp;"]")+INDIRECT($E140&amp;"["&amp;$E142&amp;"]")+INDIRECT($E140&amp;"["&amp;$G141&amp;"]")+INDIRECT($E140&amp;"["&amp;$H141&amp;"]"))*(INDIRECT($E140&amp;"[yr]")=M$5-1)*(INDIRECT($E140&amp;"[wk]")=M$6))),
(SUM(INDIRECT($E140&amp;"["&amp;$G140&amp;"]")*(INDIRECT($E140&amp;"[yr]")=M$5-1)*(INDIRECT($E140&amp;"[wk]")=M$6)*(INDIRECT($E140&amp;"[siteflag]")=$G$2))/
SUM((INDIRECT($E140&amp;"["&amp;$F141&amp;"]")+INDIRECT($E140&amp;"["&amp;$E142&amp;"]")+INDIRECT($E140&amp;"["&amp;$G141&amp;"]")+INDIRECT($E140&amp;"["&amp;$H141&amp;"]"))*(INDIRECT($E140&amp;"[yr]")=M$5-1)*(INDIRECT($E140&amp;"[wk]")=M$6)*(INDIRECT($E140&amp;"[siteflag]")=$G$2)))))
-1,0)</f>
        <v>-0.60010240479215815</v>
      </c>
      <c r="N141" s="74">
        <f t="array" aca="1" ref="N141" ca="1">IFERROR(N140/
(IF($G$2=0,
(SUM(INDIRECT($E140&amp;"["&amp;$G140&amp;"]")*(INDIRECT($E140&amp;"[yr]")=N$5-1)*(INDIRECT($E140&amp;"[wk]")=N$6))/
SUM((INDIRECT($E140&amp;"["&amp;$F141&amp;"]")+INDIRECT($E140&amp;"["&amp;$E142&amp;"]")+INDIRECT($E140&amp;"["&amp;$G141&amp;"]")+INDIRECT($E140&amp;"["&amp;$H141&amp;"]"))*(INDIRECT($E140&amp;"[yr]")=N$5-1)*(INDIRECT($E140&amp;"[wk]")=N$6))),
(SUM(INDIRECT($E140&amp;"["&amp;$G140&amp;"]")*(INDIRECT($E140&amp;"[yr]")=N$5-1)*(INDIRECT($E140&amp;"[wk]")=N$6)*(INDIRECT($E140&amp;"[siteflag]")=$G$2))/
SUM((INDIRECT($E140&amp;"["&amp;$F141&amp;"]")+INDIRECT($E140&amp;"["&amp;$E142&amp;"]")+INDIRECT($E140&amp;"["&amp;$G141&amp;"]")+INDIRECT($E140&amp;"["&amp;$H141&amp;"]"))*(INDIRECT($E140&amp;"[yr]")=N$5-1)*(INDIRECT($E140&amp;"[wk]")=N$6)*(INDIRECT($E140&amp;"[siteflag]")=$G$2)))))
-1,0)</f>
        <v>-0.45850848957444512</v>
      </c>
      <c r="O141" s="74">
        <f t="array" aca="1" ref="O141" ca="1">IFERROR(O140/
(IF($G$2=0,
(SUM(INDIRECT($E140&amp;"["&amp;$G140&amp;"]")*(INDIRECT($E140&amp;"[yr]")=O$5-1)*(INDIRECT($E140&amp;"[wk]")=O$6))/
SUM((INDIRECT($E140&amp;"["&amp;$F141&amp;"]")+INDIRECT($E140&amp;"["&amp;$E142&amp;"]")+INDIRECT($E140&amp;"["&amp;$G141&amp;"]")+INDIRECT($E140&amp;"["&amp;$H141&amp;"]"))*(INDIRECT($E140&amp;"[yr]")=O$5-1)*(INDIRECT($E140&amp;"[wk]")=O$6))),
(SUM(INDIRECT($E140&amp;"["&amp;$G140&amp;"]")*(INDIRECT($E140&amp;"[yr]")=O$5-1)*(INDIRECT($E140&amp;"[wk]")=O$6)*(INDIRECT($E140&amp;"[siteflag]")=$G$2))/
SUM((INDIRECT($E140&amp;"["&amp;$F141&amp;"]")+INDIRECT($E140&amp;"["&amp;$E142&amp;"]")+INDIRECT($E140&amp;"["&amp;$G141&amp;"]")+INDIRECT($E140&amp;"["&amp;$H141&amp;"]"))*(INDIRECT($E140&amp;"[yr]")=O$5-1)*(INDIRECT($E140&amp;"[wk]")=O$6)*(INDIRECT($E140&amp;"[siteflag]")=$G$2)))))
-1,0)</f>
        <v>-0.42469059070569326</v>
      </c>
      <c r="P141" s="91">
        <f t="array" aca="1" ref="P141" ca="1">IFERROR(P140/
(IF($G$2=0,
(SUM(INDIRECT($E140&amp;"["&amp;$G140&amp;"]")*(INDIRECT($E140&amp;"[yr]")=P$5-1)*(INDIRECT($E140&amp;"[wk]")=P$6))/
SUM((INDIRECT($E140&amp;"["&amp;$F141&amp;"]")+INDIRECT($E140&amp;"["&amp;$E142&amp;"]")+INDIRECT($E140&amp;"["&amp;$G141&amp;"]")+INDIRECT($E140&amp;"["&amp;$H141&amp;"]"))*(INDIRECT($E140&amp;"[yr]")=P$5-1)*(INDIRECT($E140&amp;"[wk]")=P$6))),
(SUM(INDIRECT($E140&amp;"["&amp;$G140&amp;"]")*(INDIRECT($E140&amp;"[yr]")=P$5-1)*(INDIRECT($E140&amp;"[wk]")=P$6)*(INDIRECT($E140&amp;"[siteflag]")=$G$2))/
SUM((INDIRECT($E140&amp;"["&amp;$F141&amp;"]")+INDIRECT($E140&amp;"["&amp;$E142&amp;"]")+INDIRECT($E140&amp;"["&amp;$G141&amp;"]")+INDIRECT($E140&amp;"["&amp;$H141&amp;"]"))*(INDIRECT($E140&amp;"[yr]")=P$5-1)*(INDIRECT($E140&amp;"[wk]")=P$6)*(INDIRECT($E140&amp;"[siteflag]")=$G$2)))))
-1,0)</f>
        <v>-0.42694657265320046</v>
      </c>
      <c r="Q141" s="74">
        <f t="array" aca="1" ref="Q141" ca="1">IFERROR(Q140/
(IF($G$2=0,
(SUM(INDIRECT($E140&amp;"["&amp;$G140&amp;"]")*(INDIRECT($E140&amp;"[yr]")=Q$5-1)*(INDIRECT($E140&amp;"[wk]")=Q$6))/
SUM((INDIRECT($E140&amp;"["&amp;$F141&amp;"]")+INDIRECT($E140&amp;"["&amp;$E142&amp;"]")+INDIRECT($E140&amp;"["&amp;$G141&amp;"]")+INDIRECT($E140&amp;"["&amp;$H141&amp;"]"))*(INDIRECT($E140&amp;"[yr]")=Q$5-1)*(INDIRECT($E140&amp;"[wk]")=Q$6))),
(SUM(INDIRECT($E140&amp;"["&amp;$G140&amp;"]")*(INDIRECT($E140&amp;"[yr]")=Q$5-1)*(INDIRECT($E140&amp;"[wk]")=Q$6)*(INDIRECT($E140&amp;"[siteflag]")=$G$2))/
SUM((INDIRECT($E140&amp;"["&amp;$F141&amp;"]")+INDIRECT($E140&amp;"["&amp;$E142&amp;"]")+INDIRECT($E140&amp;"["&amp;$G141&amp;"]")+INDIRECT($E140&amp;"["&amp;$H141&amp;"]"))*(INDIRECT($E140&amp;"[yr]")=Q$5-1)*(INDIRECT($E140&amp;"[wk]")=Q$6)*(INDIRECT($E140&amp;"[siteflag]")=$G$2)))))
-1,0)</f>
        <v>-0.35395819331835743</v>
      </c>
      <c r="R141" s="74">
        <f t="array" aca="1" ref="R141" ca="1">IFERROR(R140/
(IF($G$2=0,
(SUM(INDIRECT($E140&amp;"["&amp;$G140&amp;"]")*(INDIRECT($E140&amp;"[yr]")=R$5-1)*(INDIRECT($E140&amp;"[wk]")=R$6))/
SUM((INDIRECT($E140&amp;"["&amp;$F141&amp;"]")+INDIRECT($E140&amp;"["&amp;$E142&amp;"]")+INDIRECT($E140&amp;"["&amp;$G141&amp;"]")+INDIRECT($E140&amp;"["&amp;$H141&amp;"]"))*(INDIRECT($E140&amp;"[yr]")=R$5-1)*(INDIRECT($E140&amp;"[wk]")=R$6))),
(SUM(INDIRECT($E140&amp;"["&amp;$G140&amp;"]")*(INDIRECT($E140&amp;"[yr]")=R$5-1)*(INDIRECT($E140&amp;"[wk]")=R$6)*(INDIRECT($E140&amp;"[siteflag]")=$G$2))/
SUM((INDIRECT($E140&amp;"["&amp;$F141&amp;"]")+INDIRECT($E140&amp;"["&amp;$E142&amp;"]")+INDIRECT($E140&amp;"["&amp;$G141&amp;"]")+INDIRECT($E140&amp;"["&amp;$H141&amp;"]"))*(INDIRECT($E140&amp;"[yr]")=R$5-1)*(INDIRECT($E140&amp;"[wk]")=R$6)*(INDIRECT($E140&amp;"[siteflag]")=$G$2)))))
-1,0)</f>
        <v>-0.42997479986020071</v>
      </c>
      <c r="S141" s="151">
        <f t="array" aca="1" ref="S141" ca="1">IFERROR(S140/
(IF($G$2=0,
(SUM(INDIRECT($E140&amp;"["&amp;$G140&amp;"]")*(INDIRECT($E140&amp;"[yr]")=S$5-1)*(INDIRECT($E140&amp;"[wk]")=S$6))/
SUM((INDIRECT($E140&amp;"["&amp;$F141&amp;"]")+INDIRECT($E140&amp;"["&amp;$E142&amp;"]")+INDIRECT($E140&amp;"["&amp;$G141&amp;"]")+INDIRECT($E140&amp;"["&amp;$H141&amp;"]"))*(INDIRECT($E140&amp;"[yr]")=S$5-1)*(INDIRECT($E140&amp;"[wk]")=S$6))),
(SUM(INDIRECT($E140&amp;"["&amp;$G140&amp;"]")*(INDIRECT($E140&amp;"[yr]")=S$5-1)*(INDIRECT($E140&amp;"[wk]")=S$6)*(INDIRECT($E140&amp;"[siteflag]")=$G$2))/
SUM((INDIRECT($E140&amp;"["&amp;$F141&amp;"]")+INDIRECT($E140&amp;"["&amp;$E142&amp;"]")+INDIRECT($E140&amp;"["&amp;$G141&amp;"]")+INDIRECT($E140&amp;"["&amp;$H141&amp;"]"))*(INDIRECT($E140&amp;"[yr]")=S$5-1)*(INDIRECT($E140&amp;"[wk]")=S$6)*(INDIRECT($E140&amp;"[siteflag]")=$G$2)))))
-1,0)</f>
        <v>-0.51834096627718229</v>
      </c>
      <c r="T141" s="76">
        <f t="array" aca="1" ref="T141" ca="1">IFERROR(T140/
(IF($G$2=0,
(SUM(INDIRECT($E140&amp;"["&amp;$G140&amp;"]")*(INDIRECT($E140&amp;"[yr]")=T$5-1)*(INDIRECT($E140&amp;"[wk]")=T$6))/
SUM((INDIRECT($E140&amp;"["&amp;$F141&amp;"]")+INDIRECT($E140&amp;"["&amp;$E142&amp;"]")+INDIRECT($E140&amp;"["&amp;$G141&amp;"]")+INDIRECT($E140&amp;"["&amp;$H141&amp;"]"))*(INDIRECT($E140&amp;"[yr]")=T$5-1)*(INDIRECT($E140&amp;"[wk]")=T$6))),
(SUM(INDIRECT($E140&amp;"["&amp;$G140&amp;"]")*(INDIRECT($E140&amp;"[yr]")=T$5-1)*(INDIRECT($E140&amp;"[wk]")=T$6)*(INDIRECT($E140&amp;"[siteflag]")=$G$2))/
SUM((INDIRECT($E140&amp;"["&amp;$F141&amp;"]")+INDIRECT($E140&amp;"["&amp;$E142&amp;"]")+INDIRECT($E140&amp;"["&amp;$G141&amp;"]")+INDIRECT($E140&amp;"["&amp;$H141&amp;"]"))*(INDIRECT($E140&amp;"[yr]")=T$5-1)*(INDIRECT($E140&amp;"[wk]")=T$6)*(INDIRECT($E140&amp;"[siteflag]")=$G$2)))))
-1,0)</f>
        <v>-0.57218813583702999</v>
      </c>
      <c r="U141" s="77">
        <f t="array" aca="1" ref="U141" ca="1">SUM(Q141:T141*$Q$66:$T$66)/SUM($Q$66:$T$66)</f>
        <v>-0.46686136165871156</v>
      </c>
      <c r="V141" s="91"/>
      <c r="W141" s="80"/>
      <c r="X141" s="81"/>
    </row>
    <row r="142" spans="2:24" ht="13.2" hidden="1" customHeight="1" x14ac:dyDescent="0.4">
      <c r="B142" s="330"/>
      <c r="D142" s="78"/>
      <c r="E142" t="s">
        <v>185</v>
      </c>
      <c r="F142" t="s">
        <v>164</v>
      </c>
      <c r="G142" t="s">
        <v>163</v>
      </c>
      <c r="P142" s="231"/>
      <c r="T142" s="76"/>
      <c r="U142" s="77"/>
      <c r="V142" s="190"/>
      <c r="W142" s="190"/>
      <c r="X142" s="56"/>
    </row>
    <row r="143" spans="2:24" ht="3" customHeight="1" x14ac:dyDescent="0.4">
      <c r="B143" s="57"/>
      <c r="D143" s="61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</row>
    <row r="144" spans="2:24" ht="14.15" customHeight="1" x14ac:dyDescent="0.4">
      <c r="B144" s="335" t="s">
        <v>489</v>
      </c>
      <c r="D144" s="201" t="s">
        <v>373</v>
      </c>
      <c r="E144" s="63" t="s">
        <v>29</v>
      </c>
      <c r="F144" s="63" t="s">
        <v>291</v>
      </c>
      <c r="G144" s="63"/>
      <c r="H144" s="63"/>
      <c r="I144" s="188">
        <f t="array" aca="1" ref="I144" ca="1" xml:space="preserve"> IFERROR( SUM(INDIRECT($E144&amp;"["&amp;$F144&amp;"]")*(INDIRECT($E144&amp;"[yr]")=I$5)*(INDIRECT($E144&amp;"[wk]")=I$6)*(INDIRECT($E144&amp;"[siteflag]")=$G$2)) -
                     SUM(INDIRECT($E144&amp;"["&amp;$F145&amp;"]")*(INDIRECT($E144&amp;"[yr]")=I$5)*(INDIRECT($E144&amp;"[wk]")=I$6)*(INDIRECT($E144&amp;"[siteflag]")=$G$2)), 0)</f>
        <v>25240</v>
      </c>
      <c r="J144" s="188">
        <f t="array" aca="1" ref="J144" ca="1" xml:space="preserve"> IFERROR( SUM(INDIRECT($E144&amp;"["&amp;$F144&amp;"]")*(INDIRECT($E144&amp;"[yr]")=J$5)*(INDIRECT($E144&amp;"[wk]")=J$6)*(INDIRECT($E144&amp;"[siteflag]")=$G$2)) -
                     SUM(INDIRECT($E144&amp;"["&amp;$F145&amp;"]")*(INDIRECT($E144&amp;"[yr]")=J$5)*(INDIRECT($E144&amp;"[wk]")=J$6)*(INDIRECT($E144&amp;"[siteflag]")=$G$2)), 0)</f>
        <v>18846</v>
      </c>
      <c r="K144" s="188">
        <f t="array" aca="1" ref="K144" ca="1" xml:space="preserve"> IFERROR( SUM(INDIRECT($E144&amp;"["&amp;$F144&amp;"]")*(INDIRECT($E144&amp;"[yr]")=K$5)*(INDIRECT($E144&amp;"[wk]")=K$6)*(INDIRECT($E144&amp;"[siteflag]")=$G$2)) -
                     SUM(INDIRECT($E144&amp;"["&amp;$F145&amp;"]")*(INDIRECT($E144&amp;"[yr]")=K$5)*(INDIRECT($E144&amp;"[wk]")=K$6)*(INDIRECT($E144&amp;"[siteflag]")=$G$2)), 0)</f>
        <v>12068</v>
      </c>
      <c r="L144" s="188">
        <f t="array" aca="1" ref="L144" ca="1" xml:space="preserve"> IFERROR( SUM(INDIRECT($E144&amp;"["&amp;$F144&amp;"]")*(INDIRECT($E144&amp;"[yr]")=L$5)*(INDIRECT($E144&amp;"[wk]")=L$6)*(INDIRECT($E144&amp;"[siteflag]")=$G$2)) -
                     SUM(INDIRECT($E144&amp;"["&amp;$F145&amp;"]")*(INDIRECT($E144&amp;"[yr]")=L$5)*(INDIRECT($E144&amp;"[wk]")=L$6)*(INDIRECT($E144&amp;"[siteflag]")=$G$2)), 0)</f>
        <v>5458</v>
      </c>
      <c r="M144" s="188">
        <f t="array" aca="1" ref="M144" ca="1" xml:space="preserve"> IFERROR( SUM(INDIRECT($E144&amp;"["&amp;$F144&amp;"]")*(INDIRECT($E144&amp;"[yr]")=M$5)*(INDIRECT($E144&amp;"[wk]")=M$6)*(INDIRECT($E144&amp;"[siteflag]")=$G$2)) -
                     SUM(INDIRECT($E144&amp;"["&amp;$F145&amp;"]")*(INDIRECT($E144&amp;"[yr]")=M$5)*(INDIRECT($E144&amp;"[wk]")=M$6)*(INDIRECT($E144&amp;"[siteflag]")=$G$2)), 0)</f>
        <v>5607</v>
      </c>
      <c r="N144" s="188">
        <f t="array" aca="1" ref="N144" ca="1" xml:space="preserve"> IFERROR( SUM(INDIRECT($E144&amp;"["&amp;$F144&amp;"]")*(INDIRECT($E144&amp;"[yr]")=N$5)*(INDIRECT($E144&amp;"[wk]")=N$6)*(INDIRECT($E144&amp;"[siteflag]")=$G$2)) -
                     SUM(INDIRECT($E144&amp;"["&amp;$F145&amp;"]")*(INDIRECT($E144&amp;"[yr]")=N$5)*(INDIRECT($E144&amp;"[wk]")=N$6)*(INDIRECT($E144&amp;"[siteflag]")=$G$2)), 0)</f>
        <v>7213</v>
      </c>
      <c r="O144" s="188">
        <f t="array" aca="1" ref="O144" ca="1" xml:space="preserve"> IFERROR( SUM(INDIRECT($E144&amp;"["&amp;$F144&amp;"]")*(INDIRECT($E144&amp;"[yr]")=O$5)*(INDIRECT($E144&amp;"[wk]")=O$6)*(INDIRECT($E144&amp;"[siteflag]")=$G$2)) -
                     SUM(INDIRECT($E144&amp;"["&amp;$F145&amp;"]")*(INDIRECT($E144&amp;"[yr]")=O$5)*(INDIRECT($E144&amp;"[wk]")=O$6)*(INDIRECT($E144&amp;"[siteflag]")=$G$2)), 0)</f>
        <v>9223</v>
      </c>
      <c r="P144" s="157">
        <f t="array" aca="1" ref="P144" ca="1" xml:space="preserve"> IFERROR( SUM(INDIRECT($E144&amp;"["&amp;$F144&amp;"]")*(INDIRECT($E144&amp;"[yr]")=P$5)*(INDIRECT($E144&amp;"[wk]")=P$6)*(INDIRECT($E144&amp;"[siteflag]")=$G$2)) -
                     SUM(INDIRECT($E144&amp;"["&amp;$F145&amp;"]")*(INDIRECT($E144&amp;"[yr]")=P$5)*(INDIRECT($E144&amp;"[wk]")=P$6)*(INDIRECT($E144&amp;"[siteflag]")=$G$2)), 0)</f>
        <v>10799</v>
      </c>
      <c r="Q144" s="188">
        <f t="array" aca="1" ref="Q144" ca="1" xml:space="preserve"> IFERROR( SUM(INDIRECT($E144&amp;"["&amp;$F144&amp;"]")*(INDIRECT($E144&amp;"[yr]")=Q$5)*(INDIRECT($E144&amp;"[wk]")=Q$6)*(INDIRECT($E144&amp;"[siteflag]")=$G$2)) -
                     SUM(INDIRECT($E144&amp;"["&amp;$F145&amp;"]")*(INDIRECT($E144&amp;"[yr]")=Q$5)*(INDIRECT($E144&amp;"[wk]")=Q$6)*(INDIRECT($E144&amp;"[siteflag]")=$G$2)), 0)</f>
        <v>10909</v>
      </c>
      <c r="R144" s="188">
        <f t="array" aca="1" ref="R144" ca="1" xml:space="preserve"> IFERROR( SUM(INDIRECT($E144&amp;"["&amp;$F144&amp;"]")*(INDIRECT($E144&amp;"[yr]")=R$5)*(INDIRECT($E144&amp;"[wk]")=R$6)*(INDIRECT($E144&amp;"[siteflag]")=$G$2)) -
                     SUM(INDIRECT($E144&amp;"["&amp;$F145&amp;"]")*(INDIRECT($E144&amp;"[yr]")=R$5)*(INDIRECT($E144&amp;"[wk]")=R$6)*(INDIRECT($E144&amp;"[siteflag]")=$G$2)), 0)</f>
        <v>14671</v>
      </c>
      <c r="S144" s="188">
        <f t="array" aca="1" ref="S144" ca="1" xml:space="preserve"> IFERROR( SUM(INDIRECT($E144&amp;"["&amp;$F144&amp;"]")*(INDIRECT($E144&amp;"[yr]")=S$5)*(INDIRECT($E144&amp;"[wk]")=S$6)*(INDIRECT($E144&amp;"[siteflag]")=$G$2)) -
                     SUM(INDIRECT($E144&amp;"["&amp;$F145&amp;"]")*(INDIRECT($E144&amp;"[yr]")=S$5)*(INDIRECT($E144&amp;"[wk]")=S$6)*(INDIRECT($E144&amp;"[siteflag]")=$G$2)), 0)</f>
        <v>10663</v>
      </c>
      <c r="T144" s="237">
        <f t="array" aca="1" ref="T144" ca="1" xml:space="preserve"> IFERROR( SUM(INDIRECT($E144&amp;"["&amp;$F144&amp;"]")*(INDIRECT($E144&amp;"[yr]")=T$5)*(INDIRECT($E144&amp;"[wk]")=T$6)*(INDIRECT($E144&amp;"[siteflag]")=$G$2)) -
                     SUM(INDIRECT($E144&amp;"["&amp;$F145&amp;"]")*(INDIRECT($E144&amp;"[yr]")=T$5)*(INDIRECT($E144&amp;"[wk]")=T$6)*(INDIRECT($E144&amp;"[siteflag]")=$G$2)), 0)</f>
        <v>13515</v>
      </c>
      <c r="U144" s="238">
        <f t="array" aca="1" ref="U144" ca="1">AVERAGE(Q144:T144)</f>
        <v>12439.5</v>
      </c>
      <c r="V144" s="47">
        <f t="array" aca="1" ref="V144" ca="1">SUM(T144/S144)-1</f>
        <v>0.26746694176123031</v>
      </c>
      <c r="W144" s="131"/>
      <c r="X144" s="49"/>
    </row>
    <row r="145" spans="2:24" ht="14.15" customHeight="1" x14ac:dyDescent="0.4">
      <c r="B145" s="336"/>
      <c r="D145" s="262" t="s">
        <v>111</v>
      </c>
      <c r="E145" s="146"/>
      <c r="F145" t="s">
        <v>372</v>
      </c>
      <c r="I145" s="133">
        <f t="array" aca="1" ref="I145" ca="1">I144/SUM(INDIRECT($E144&amp;"["&amp;$F144&amp;"]")*(INDIRECT($E144&amp;"[yr]")=I$5)*(INDIRECT($E144&amp;"[wk]")=I$6)*(INDIRECT($E144&amp;"[siteflag]")=$G$2))</f>
        <v>7.9911350324521138E-2</v>
      </c>
      <c r="J145" s="133">
        <f t="array" aca="1" ref="J145" ca="1">J144/SUM(INDIRECT($E144&amp;"["&amp;$F144&amp;"]")*(INDIRECT($E144&amp;"[yr]")=J$5)*(INDIRECT($E144&amp;"[wk]")=J$6)*(INDIRECT($E144&amp;"[siteflag]")=$G$2))</f>
        <v>6.1516867686181066E-2</v>
      </c>
      <c r="K145" s="133">
        <f t="array" aca="1" ref="K145" ca="1">K144/SUM(INDIRECT($E144&amp;"["&amp;$F144&amp;"]")*(INDIRECT($E144&amp;"[yr]")=K$5)*(INDIRECT($E144&amp;"[wk]")=K$6)*(INDIRECT($E144&amp;"[siteflag]")=$G$2))</f>
        <v>4.1578093292311082E-2</v>
      </c>
      <c r="L145" s="133">
        <f t="array" aca="1" ref="L145" ca="1">L144/SUM(INDIRECT($E144&amp;"["&amp;$F144&amp;"]")*(INDIRECT($E144&amp;"[yr]")=L$5)*(INDIRECT($E144&amp;"[wk]")=L$6)*(INDIRECT($E144&amp;"[siteflag]")=$G$2))</f>
        <v>2.1327227186939517E-2</v>
      </c>
      <c r="M145" s="133">
        <f t="array" aca="1" ref="M145" ca="1">M144/SUM(INDIRECT($E144&amp;"["&amp;$F144&amp;"]")*(INDIRECT($E144&amp;"[yr]")=M$5)*(INDIRECT($E144&amp;"[wk]")=M$6)*(INDIRECT($E144&amp;"[siteflag]")=$G$2))</f>
        <v>2.2045467055650355E-2</v>
      </c>
      <c r="N145" s="133">
        <f t="array" aca="1" ref="N145" ca="1">N144/SUM(INDIRECT($E144&amp;"["&amp;$F144&amp;"]")*(INDIRECT($E144&amp;"[yr]")=N$5)*(INDIRECT($E144&amp;"[wk]")=N$6)*(INDIRECT($E144&amp;"[siteflag]")=$G$2))</f>
        <v>2.3337906221284635E-2</v>
      </c>
      <c r="O145" s="133">
        <f t="array" aca="1" ref="O145" ca="1">O144/SUM(INDIRECT($E144&amp;"["&amp;$F144&amp;"]")*(INDIRECT($E144&amp;"[yr]")=O$5)*(INDIRECT($E144&amp;"[wk]")=O$6)*(INDIRECT($E144&amp;"[siteflag]")=$G$2))</f>
        <v>2.698977531443688E-2</v>
      </c>
      <c r="P145" s="133">
        <f t="array" aca="1" ref="P145" ca="1">P144/SUM(INDIRECT($E144&amp;"["&amp;$F144&amp;"]")*(INDIRECT($E144&amp;"[yr]")=P$5)*(INDIRECT($E144&amp;"[wk]")=P$6)*(INDIRECT($E144&amp;"[siteflag]")=$G$2))</f>
        <v>3.0547501520444678E-2</v>
      </c>
      <c r="Q145" s="257">
        <f t="array" aca="1" ref="Q145" ca="1">Q144/SUM(INDIRECT($E144&amp;"["&amp;$F144&amp;"]")*(INDIRECT($E144&amp;"[yr]")=Q$5)*(INDIRECT($E144&amp;"[wk]")=Q$6)*(INDIRECT($E144&amp;"[siteflag]")=$G$2))</f>
        <v>3.2296934026503084E-2</v>
      </c>
      <c r="R145" s="133">
        <f t="array" aca="1" ref="R145" ca="1">R144/SUM(INDIRECT($E144&amp;"["&amp;$F144&amp;"]")*(INDIRECT($E144&amp;"[yr]")=R$5)*(INDIRECT($E144&amp;"[wk]")=R$6)*(INDIRECT($E144&amp;"[siteflag]")=$G$2))</f>
        <v>4.2293921275822904E-2</v>
      </c>
      <c r="S145" s="133">
        <f t="array" aca="1" ref="S145" ca="1">S144/SUM(INDIRECT($E144&amp;"["&amp;$F144&amp;"]")*(INDIRECT($E144&amp;"[yr]")=S$5)*(INDIRECT($E144&amp;"[wk]")=S$6)*(INDIRECT($E144&amp;"[siteflag]")=$G$2))</f>
        <v>3.5719549778909288E-2</v>
      </c>
      <c r="T145" s="140">
        <f t="array" aca="1" ref="T145" ca="1">T144/SUM(INDIRECT($E144&amp;"["&amp;$F144&amp;"]")*(INDIRECT($E144&amp;"[yr]")=T$5)*(INDIRECT($E144&amp;"[wk]")=T$6)*(INDIRECT($E144&amp;"[siteflag]")=$G$2))</f>
        <v>4.0847722471234318E-2</v>
      </c>
      <c r="U145" s="144">
        <f ca="1">SUM(Q144:T144)/SUMPRODUCT(1/Q145:T145,Q144:T144)</f>
        <v>3.7866513652203095E-2</v>
      </c>
      <c r="V145" s="186"/>
      <c r="W145" s="80"/>
      <c r="X145" s="81"/>
    </row>
    <row r="146" spans="2:24" ht="14.15" customHeight="1" x14ac:dyDescent="0.4">
      <c r="B146" s="336"/>
      <c r="D146" s="263" t="s">
        <v>484</v>
      </c>
      <c r="E146" s="146" t="s">
        <v>29</v>
      </c>
      <c r="F146" t="s">
        <v>480</v>
      </c>
      <c r="I146" s="124">
        <f t="array" aca="1" ref="I146" ca="1">SUM(INDIRECT($E146&amp;"["&amp;$F146&amp;"]")*(INDIRECT($E146&amp;"[yr]")=I$5)*(INDIRECT($E146&amp;"[wk]")=I$6)*(IF($G$2=0,1,(INDIRECT($E146&amp;"[siteflag]")=$G$2))))</f>
        <v>1543</v>
      </c>
      <c r="J146" s="124">
        <f t="array" aca="1" ref="J146" ca="1">SUM(INDIRECT($E146&amp;"["&amp;$F146&amp;"]")*(INDIRECT($E146&amp;"[yr]")=J$5)*(INDIRECT($E146&amp;"[wk]")=J$6)*(IF($G$2=0,1,(INDIRECT($E146&amp;"[siteflag]")=$G$2))))</f>
        <v>649</v>
      </c>
      <c r="K146" s="124">
        <f t="array" aca="1" ref="K146" ca="1">SUM(INDIRECT($E146&amp;"["&amp;$F146&amp;"]")*(INDIRECT($E146&amp;"[yr]")=K$5)*(INDIRECT($E146&amp;"[wk]")=K$6)*(IF($G$2=0,1,(INDIRECT($E146&amp;"[siteflag]")=$G$2))))</f>
        <v>687</v>
      </c>
      <c r="L146" s="124">
        <f t="array" aca="1" ref="L146" ca="1">SUM(INDIRECT($E146&amp;"["&amp;$F146&amp;"]")*(INDIRECT($E146&amp;"[yr]")=L$5)*(INDIRECT($E146&amp;"[wk]")=L$6)*(IF($G$2=0,1,(INDIRECT($E146&amp;"[siteflag]")=$G$2))))</f>
        <v>408</v>
      </c>
      <c r="M146" s="124">
        <f t="array" aca="1" ref="M146" ca="1">SUM(INDIRECT($E146&amp;"["&amp;$F146&amp;"]")*(INDIRECT($E146&amp;"[yr]")=M$5)*(INDIRECT($E146&amp;"[wk]")=M$6)*(IF($G$2=0,1,(INDIRECT($E146&amp;"[siteflag]")=$G$2))))</f>
        <v>412</v>
      </c>
      <c r="N146" s="124">
        <f t="array" aca="1" ref="N146" ca="1">SUM(INDIRECT($E146&amp;"["&amp;$F146&amp;"]")*(INDIRECT($E146&amp;"[yr]")=N$5)*(INDIRECT($E146&amp;"[wk]")=N$6)*(IF($G$2=0,1,(INDIRECT($E146&amp;"[siteflag]")=$G$2))))</f>
        <v>530</v>
      </c>
      <c r="O146" s="124">
        <f t="array" aca="1" ref="O146" ca="1">SUM(INDIRECT($E146&amp;"["&amp;$F146&amp;"]")*(INDIRECT($E146&amp;"[yr]")=O$5)*(INDIRECT($E146&amp;"[wk]")=O$6)*(IF($G$2=0,1,(INDIRECT($E146&amp;"[siteflag]")=$G$2))))</f>
        <v>573</v>
      </c>
      <c r="P146" s="124">
        <f t="array" aca="1" ref="P146" ca="1">SUM(INDIRECT($E146&amp;"["&amp;$F146&amp;"]")*(INDIRECT($E146&amp;"[yr]")=P$5)*(INDIRECT($E146&amp;"[wk]")=P$6)*(IF($G$2=0,1,(INDIRECT($E146&amp;"[siteflag]")=$G$2))))</f>
        <v>910</v>
      </c>
      <c r="Q146" s="125">
        <f t="array" aca="1" ref="Q146" ca="1">SUM(INDIRECT($E146&amp;"["&amp;$F146&amp;"]")*(INDIRECT($E146&amp;"[yr]")=Q$5)*(INDIRECT($E146&amp;"[wk]")=Q$6)*(IF($G$2=0,1,(INDIRECT($E146&amp;"[siteflag]")=$G$2))))</f>
        <v>899</v>
      </c>
      <c r="R146" s="124">
        <f t="array" aca="1" ref="R146" ca="1">SUM(INDIRECT($E146&amp;"["&amp;$F146&amp;"]")*(INDIRECT($E146&amp;"[yr]")=R$5)*(INDIRECT($E146&amp;"[wk]")=R$6)*(IF($G$2=0,1,(INDIRECT($E146&amp;"[siteflag]")=$G$2))))</f>
        <v>908</v>
      </c>
      <c r="S146" s="258">
        <f t="array" aca="1" ref="S146" ca="1">SUM(INDIRECT($E146&amp;"["&amp;$F146&amp;"]")*(INDIRECT($E146&amp;"[yr]")=S$5)*(INDIRECT($E146&amp;"[wk]")=S$6)*(IF($G$2=0,1,(INDIRECT($E146&amp;"[siteflag]")=$G$2))))</f>
        <v>1420</v>
      </c>
      <c r="T146" s="193">
        <f t="array" aca="1" ref="T146" ca="1">SUM(INDIRECT($E146&amp;"["&amp;$F146&amp;"]")*(INDIRECT($E146&amp;"[yr]")=T$5)*(INDIRECT($E146&amp;"[wk]")=T$6)*(IF($G$2=0,1,(INDIRECT($E146&amp;"[siteflag]")=$G$2))))</f>
        <v>532</v>
      </c>
      <c r="U146" s="259">
        <f ca="1">AVERAGE(Q146:T146)</f>
        <v>939.75</v>
      </c>
      <c r="V146" s="81">
        <f ca="1">IFERROR(SUM(T146/S146)-1,0)</f>
        <v>-0.62535211267605639</v>
      </c>
      <c r="W146" s="261"/>
      <c r="X146" s="81"/>
    </row>
    <row r="147" spans="2:24" ht="14.15" customHeight="1" x14ac:dyDescent="0.4">
      <c r="B147" s="336"/>
      <c r="D147" s="263" t="s">
        <v>485</v>
      </c>
      <c r="E147" s="146" t="s">
        <v>29</v>
      </c>
      <c r="F147" t="s">
        <v>481</v>
      </c>
      <c r="I147" s="124">
        <f t="array" aca="1" ref="I147" ca="1">SUM(INDIRECT($E147&amp;"["&amp;$F147&amp;"]")*(INDIRECT($E147&amp;"[yr]")=I$5)*(INDIRECT($E147&amp;"[wk]")=I$6)*(IF($G$2=0,1,(INDIRECT($E147&amp;"[siteflag]")=$G$2))))</f>
        <v>7459</v>
      </c>
      <c r="J147" s="124">
        <f t="array" aca="1" ref="J147" ca="1">SUM(INDIRECT($E147&amp;"["&amp;$F147&amp;"]")*(INDIRECT($E147&amp;"[yr]")=J$5)*(INDIRECT($E147&amp;"[wk]")=J$6)*(IF($G$2=0,1,(INDIRECT($E147&amp;"[siteflag]")=$G$2))))</f>
        <v>5186</v>
      </c>
      <c r="K147" s="124">
        <f t="array" aca="1" ref="K147" ca="1">SUM(INDIRECT($E147&amp;"["&amp;$F147&amp;"]")*(INDIRECT($E147&amp;"[yr]")=K$5)*(INDIRECT($E147&amp;"[wk]")=K$6)*(IF($G$2=0,1,(INDIRECT($E147&amp;"[siteflag]")=$G$2))))</f>
        <v>4274</v>
      </c>
      <c r="L147" s="124">
        <f t="array" aca="1" ref="L147" ca="1">SUM(INDIRECT($E147&amp;"["&amp;$F147&amp;"]")*(INDIRECT($E147&amp;"[yr]")=L$5)*(INDIRECT($E147&amp;"[wk]")=L$6)*(IF($G$2=0,1,(INDIRECT($E147&amp;"[siteflag]")=$G$2))))</f>
        <v>1950</v>
      </c>
      <c r="M147" s="124">
        <f t="array" aca="1" ref="M147" ca="1">SUM(INDIRECT($E147&amp;"["&amp;$F147&amp;"]")*(INDIRECT($E147&amp;"[yr]")=M$5)*(INDIRECT($E147&amp;"[wk]")=M$6)*(IF($G$2=0,1,(INDIRECT($E147&amp;"[siteflag]")=$G$2))))</f>
        <v>2089</v>
      </c>
      <c r="N147" s="124">
        <f t="array" aca="1" ref="N147" ca="1">SUM(INDIRECT($E147&amp;"["&amp;$F147&amp;"]")*(INDIRECT($E147&amp;"[yr]")=N$5)*(INDIRECT($E147&amp;"[wk]")=N$6)*(IF($G$2=0,1,(INDIRECT($E147&amp;"[siteflag]")=$G$2))))</f>
        <v>2595</v>
      </c>
      <c r="O147" s="124">
        <f t="array" aca="1" ref="O147" ca="1">SUM(INDIRECT($E147&amp;"["&amp;$F147&amp;"]")*(INDIRECT($E147&amp;"[yr]")=O$5)*(INDIRECT($E147&amp;"[wk]")=O$6)*(IF($G$2=0,1,(INDIRECT($E147&amp;"[siteflag]")=$G$2))))</f>
        <v>3360</v>
      </c>
      <c r="P147" s="124">
        <f t="array" aca="1" ref="P147" ca="1">SUM(INDIRECT($E147&amp;"["&amp;$F147&amp;"]")*(INDIRECT($E147&amp;"[yr]")=P$5)*(INDIRECT($E147&amp;"[wk]")=P$6)*(IF($G$2=0,1,(INDIRECT($E147&amp;"[siteflag]")=$G$2))))</f>
        <v>3702</v>
      </c>
      <c r="Q147" s="125">
        <f t="array" aca="1" ref="Q147" ca="1">SUM(INDIRECT($E147&amp;"["&amp;$F147&amp;"]")*(INDIRECT($E147&amp;"[yr]")=Q$5)*(INDIRECT($E147&amp;"[wk]")=Q$6)*(IF($G$2=0,1,(INDIRECT($E147&amp;"[siteflag]")=$G$2))))</f>
        <v>3770</v>
      </c>
      <c r="R147" s="124">
        <f t="array" aca="1" ref="R147" ca="1">SUM(INDIRECT($E147&amp;"["&amp;$F147&amp;"]")*(INDIRECT($E147&amp;"[yr]")=R$5)*(INDIRECT($E147&amp;"[wk]")=R$6)*(IF($G$2=0,1,(INDIRECT($E147&amp;"[siteflag]")=$G$2))))</f>
        <v>4210</v>
      </c>
      <c r="S147" s="258">
        <f t="array" aca="1" ref="S147" ca="1">SUM(INDIRECT($E147&amp;"["&amp;$F147&amp;"]")*(INDIRECT($E147&amp;"[yr]")=S$5)*(INDIRECT($E147&amp;"[wk]")=S$6)*(IF($G$2=0,1,(INDIRECT($E147&amp;"[siteflag]")=$G$2))))</f>
        <v>3345</v>
      </c>
      <c r="T147" s="193">
        <f t="array" aca="1" ref="T147" ca="1">SUM(INDIRECT($E147&amp;"["&amp;$F147&amp;"]")*(INDIRECT($E147&amp;"[yr]")=T$5)*(INDIRECT($E147&amp;"[wk]")=T$6)*(IF($G$2=0,1,(INDIRECT($E147&amp;"[siteflag]")=$G$2))))</f>
        <v>4060</v>
      </c>
      <c r="U147" s="259">
        <f ca="1">AVERAGE(Q147:T147)</f>
        <v>3846.25</v>
      </c>
      <c r="V147" s="89">
        <f ca="1">IFERROR(SUM(T147/S147)-1,0)</f>
        <v>0.21375186846038874</v>
      </c>
      <c r="W147" s="261"/>
      <c r="X147" s="81"/>
    </row>
    <row r="148" spans="2:24" ht="14.15" customHeight="1" x14ac:dyDescent="0.4">
      <c r="B148" s="336"/>
      <c r="D148" s="263" t="s">
        <v>486</v>
      </c>
      <c r="E148" s="146" t="s">
        <v>29</v>
      </c>
      <c r="F148" t="s">
        <v>482</v>
      </c>
      <c r="I148" s="124">
        <f t="array" aca="1" ref="I148" ca="1">SUM(INDIRECT($E148&amp;"["&amp;$F148&amp;"]")*(INDIRECT($E148&amp;"[yr]")=I$5)*(INDIRECT($E148&amp;"[wk]")=I$6)*(IF($G$2=0,1,(INDIRECT($E148&amp;"[siteflag]")=$G$2))))</f>
        <v>910</v>
      </c>
      <c r="J148" s="124">
        <f t="array" aca="1" ref="J148" ca="1">SUM(INDIRECT($E148&amp;"["&amp;$F148&amp;"]")*(INDIRECT($E148&amp;"[yr]")=J$5)*(INDIRECT($E148&amp;"[wk]")=J$6)*(IF($G$2=0,1,(INDIRECT($E148&amp;"[siteflag]")=$G$2))))</f>
        <v>869</v>
      </c>
      <c r="K148" s="124">
        <f t="array" aca="1" ref="K148" ca="1">SUM(INDIRECT($E148&amp;"["&amp;$F148&amp;"]")*(INDIRECT($E148&amp;"[yr]")=K$5)*(INDIRECT($E148&amp;"[wk]")=K$6)*(IF($G$2=0,1,(INDIRECT($E148&amp;"[siteflag]")=$G$2))))</f>
        <v>626</v>
      </c>
      <c r="L148" s="124">
        <f t="array" aca="1" ref="L148" ca="1">SUM(INDIRECT($E148&amp;"["&amp;$F148&amp;"]")*(INDIRECT($E148&amp;"[yr]")=L$5)*(INDIRECT($E148&amp;"[wk]")=L$6)*(IF($G$2=0,1,(INDIRECT($E148&amp;"[siteflag]")=$G$2))))</f>
        <v>327</v>
      </c>
      <c r="M148" s="124">
        <f t="array" aca="1" ref="M148" ca="1">SUM(INDIRECT($E148&amp;"["&amp;$F148&amp;"]")*(INDIRECT($E148&amp;"[yr]")=M$5)*(INDIRECT($E148&amp;"[wk]")=M$6)*(IF($G$2=0,1,(INDIRECT($E148&amp;"[siteflag]")=$G$2))))</f>
        <v>411</v>
      </c>
      <c r="N148" s="124">
        <f t="array" aca="1" ref="N148" ca="1">SUM(INDIRECT($E148&amp;"["&amp;$F148&amp;"]")*(INDIRECT($E148&amp;"[yr]")=N$5)*(INDIRECT($E148&amp;"[wk]")=N$6)*(IF($G$2=0,1,(INDIRECT($E148&amp;"[siteflag]")=$G$2))))</f>
        <v>607</v>
      </c>
      <c r="O148" s="124">
        <f t="array" aca="1" ref="O148" ca="1">SUM(INDIRECT($E148&amp;"["&amp;$F148&amp;"]")*(INDIRECT($E148&amp;"[yr]")=O$5)*(INDIRECT($E148&amp;"[wk]")=O$6)*(IF($G$2=0,1,(INDIRECT($E148&amp;"[siteflag]")=$G$2))))</f>
        <v>681</v>
      </c>
      <c r="P148" s="124">
        <f t="array" aca="1" ref="P148" ca="1">SUM(INDIRECT($E148&amp;"["&amp;$F148&amp;"]")*(INDIRECT($E148&amp;"[yr]")=P$5)*(INDIRECT($E148&amp;"[wk]")=P$6)*(IF($G$2=0,1,(INDIRECT($E148&amp;"[siteflag]")=$G$2))))</f>
        <v>693</v>
      </c>
      <c r="Q148" s="125">
        <f t="array" aca="1" ref="Q148" ca="1">SUM(INDIRECT($E148&amp;"["&amp;$F148&amp;"]")*(INDIRECT($E148&amp;"[yr]")=Q$5)*(INDIRECT($E148&amp;"[wk]")=Q$6)*(IF($G$2=0,1,(INDIRECT($E148&amp;"[siteflag]")=$G$2))))</f>
        <v>607</v>
      </c>
      <c r="R148" s="124">
        <f t="array" aca="1" ref="R148" ca="1">SUM(INDIRECT($E148&amp;"["&amp;$F148&amp;"]")*(INDIRECT($E148&amp;"[yr]")=R$5)*(INDIRECT($E148&amp;"[wk]")=R$6)*(IF($G$2=0,1,(INDIRECT($E148&amp;"[siteflag]")=$G$2))))</f>
        <v>534</v>
      </c>
      <c r="S148" s="258">
        <f t="array" aca="1" ref="S148" ca="1">SUM(INDIRECT($E148&amp;"["&amp;$F148&amp;"]")*(INDIRECT($E148&amp;"[yr]")=S$5)*(INDIRECT($E148&amp;"[wk]")=S$6)*(IF($G$2=0,1,(INDIRECT($E148&amp;"[siteflag]")=$G$2))))</f>
        <v>651</v>
      </c>
      <c r="T148" s="193">
        <f t="array" aca="1" ref="T148" ca="1">SUM(INDIRECT($E148&amp;"["&amp;$F148&amp;"]")*(INDIRECT($E148&amp;"[yr]")=T$5)*(INDIRECT($E148&amp;"[wk]")=T$6)*(IF($G$2=0,1,(INDIRECT($E148&amp;"[siteflag]")=$G$2))))</f>
        <v>551</v>
      </c>
      <c r="U148" s="259">
        <f ca="1">AVERAGE(Q148:T148)</f>
        <v>585.75</v>
      </c>
      <c r="V148" s="81">
        <f ca="1">IFERROR(SUM(T148/S148)-1,0)</f>
        <v>-0.15360983102918591</v>
      </c>
      <c r="W148" s="261"/>
      <c r="X148" s="81"/>
    </row>
    <row r="149" spans="2:24" ht="14.15" customHeight="1" x14ac:dyDescent="0.4">
      <c r="B149" s="337"/>
      <c r="D149" s="263" t="s">
        <v>487</v>
      </c>
      <c r="E149" s="146" t="s">
        <v>29</v>
      </c>
      <c r="F149" t="s">
        <v>483</v>
      </c>
      <c r="I149" s="124">
        <f t="array" aca="1" ref="I149" ca="1">SUM(INDIRECT($E149&amp;"["&amp;$F149&amp;"]")*(INDIRECT($E149&amp;"[yr]")=I$5)*(INDIRECT($E149&amp;"[wk]")=I$6)*(IF($G$2=0,1,(INDIRECT($E149&amp;"[siteflag]")=$G$2))))</f>
        <v>82</v>
      </c>
      <c r="J149" s="124">
        <f t="array" aca="1" ref="J149" ca="1">SUM(INDIRECT($E149&amp;"["&amp;$F149&amp;"]")*(INDIRECT($E149&amp;"[yr]")=J$5)*(INDIRECT($E149&amp;"[wk]")=J$6)*(IF($G$2=0,1,(INDIRECT($E149&amp;"[siteflag]")=$G$2))))</f>
        <v>80</v>
      </c>
      <c r="K149" s="124">
        <f t="array" aca="1" ref="K149" ca="1">SUM(INDIRECT($E149&amp;"["&amp;$F149&amp;"]")*(INDIRECT($E149&amp;"[yr]")=K$5)*(INDIRECT($E149&amp;"[wk]")=K$6)*(IF($G$2=0,1,(INDIRECT($E149&amp;"[siteflag]")=$G$2))))</f>
        <v>95</v>
      </c>
      <c r="L149" s="124">
        <f t="array" aca="1" ref="L149" ca="1">SUM(INDIRECT($E149&amp;"["&amp;$F149&amp;"]")*(INDIRECT($E149&amp;"[yr]")=L$5)*(INDIRECT($E149&amp;"[wk]")=L$6)*(IF($G$2=0,1,(INDIRECT($E149&amp;"[siteflag]")=$G$2))))</f>
        <v>83</v>
      </c>
      <c r="M149" s="124">
        <f t="array" aca="1" ref="M149" ca="1">SUM(INDIRECT($E149&amp;"["&amp;$F149&amp;"]")*(INDIRECT($E149&amp;"[yr]")=M$5)*(INDIRECT($E149&amp;"[wk]")=M$6)*(IF($G$2=0,1,(INDIRECT($E149&amp;"[siteflag]")=$G$2))))</f>
        <v>164</v>
      </c>
      <c r="N149" s="124">
        <f t="array" aca="1" ref="N149" ca="1">SUM(INDIRECT($E149&amp;"["&amp;$F149&amp;"]")*(INDIRECT($E149&amp;"[yr]")=N$5)*(INDIRECT($E149&amp;"[wk]")=N$6)*(IF($G$2=0,1,(INDIRECT($E149&amp;"[siteflag]")=$G$2))))</f>
        <v>39</v>
      </c>
      <c r="O149" s="124">
        <f t="array" aca="1" ref="O149" ca="1">SUM(INDIRECT($E149&amp;"["&amp;$F149&amp;"]")*(INDIRECT($E149&amp;"[yr]")=O$5)*(INDIRECT($E149&amp;"[wk]")=O$6)*(IF($G$2=0,1,(INDIRECT($E149&amp;"[siteflag]")=$G$2))))</f>
        <v>74</v>
      </c>
      <c r="P149" s="124">
        <f t="array" aca="1" ref="P149" ca="1">SUM(INDIRECT($E149&amp;"["&amp;$F149&amp;"]")*(INDIRECT($E149&amp;"[yr]")=P$5)*(INDIRECT($E149&amp;"[wk]")=P$6)*(IF($G$2=0,1,(INDIRECT($E149&amp;"[siteflag]")=$G$2))))</f>
        <v>146</v>
      </c>
      <c r="Q149" s="125">
        <f t="array" aca="1" ref="Q149" ca="1">SUM(INDIRECT($E149&amp;"["&amp;$F149&amp;"]")*(INDIRECT($E149&amp;"[yr]")=Q$5)*(INDIRECT($E149&amp;"[wk]")=Q$6)*(IF($G$2=0,1,(INDIRECT($E149&amp;"[siteflag]")=$G$2))))</f>
        <v>315</v>
      </c>
      <c r="R149" s="124">
        <f t="array" aca="1" ref="R149" ca="1">SUM(INDIRECT($E149&amp;"["&amp;$F149&amp;"]")*(INDIRECT($E149&amp;"[yr]")=R$5)*(INDIRECT($E149&amp;"[wk]")=R$6)*(IF($G$2=0,1,(INDIRECT($E149&amp;"[siteflag]")=$G$2))))</f>
        <v>123</v>
      </c>
      <c r="S149" s="258">
        <f t="array" aca="1" ref="S149" ca="1">SUM(INDIRECT($E149&amp;"["&amp;$F149&amp;"]")*(INDIRECT($E149&amp;"[yr]")=S$5)*(INDIRECT($E149&amp;"[wk]")=S$6)*(IF($G$2=0,1,(INDIRECT($E149&amp;"[siteflag]")=$G$2))))</f>
        <v>175</v>
      </c>
      <c r="T149" s="193">
        <f t="array" aca="1" ref="T149" ca="1">SUM(INDIRECT($E149&amp;"["&amp;$F149&amp;"]")*(INDIRECT($E149&amp;"[yr]")=T$5)*(INDIRECT($E149&amp;"[wk]")=T$6)*(IF($G$2=0,1,(INDIRECT($E149&amp;"[siteflag]")=$G$2))))</f>
        <v>169</v>
      </c>
      <c r="U149" s="259">
        <f ca="1">AVERAGE(Q149:T149)</f>
        <v>195.5</v>
      </c>
      <c r="V149" s="81">
        <f ca="1">IFERROR(SUM(T149/S149)-1,0)</f>
        <v>-3.4285714285714253E-2</v>
      </c>
      <c r="W149" s="261"/>
      <c r="X149" s="81"/>
    </row>
    <row r="150" spans="2:24" ht="3" customHeight="1" x14ac:dyDescent="0.4">
      <c r="D150" s="61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8"/>
      <c r="R150" s="57"/>
      <c r="S150" s="57"/>
      <c r="T150" s="59"/>
      <c r="U150" s="57"/>
      <c r="V150" s="114"/>
      <c r="W150" s="114"/>
      <c r="X150" s="61"/>
    </row>
    <row r="151" spans="2:24" ht="14.15" customHeight="1" x14ac:dyDescent="0.4">
      <c r="B151" s="332" t="s">
        <v>488</v>
      </c>
      <c r="D151" s="201" t="s">
        <v>373</v>
      </c>
      <c r="E151" s="63" t="s">
        <v>34</v>
      </c>
      <c r="F151" s="63" t="s">
        <v>291</v>
      </c>
      <c r="G151" s="63"/>
      <c r="H151" s="63"/>
      <c r="I151" s="188">
        <f t="array" aca="1" ref="I151" ca="1" xml:space="preserve"> IFERROR( SUM(INDIRECT($E151&amp;"["&amp;$F151&amp;"]")*(INDIRECT($E151&amp;"[yr]")=I$5)*(INDIRECT($E151&amp;"[wk]")=I$6)*(INDIRECT($E151&amp;"[siteflag]")=$G$2)) -
                     SUM(INDIRECT($E151&amp;"["&amp;$F152&amp;"]")*(INDIRECT($E151&amp;"[yr]")=I$5)*(INDIRECT($E151&amp;"[wk]")=I$6)*(INDIRECT($E151&amp;"[siteflag]")=$G$2)), 0)</f>
        <v>22137</v>
      </c>
      <c r="J151" s="188">
        <f t="array" aca="1" ref="J151" ca="1" xml:space="preserve"> IFERROR( SUM(INDIRECT($E151&amp;"["&amp;$F151&amp;"]")*(INDIRECT($E151&amp;"[yr]")=J$5)*(INDIRECT($E151&amp;"[wk]")=J$6)*(INDIRECT($E151&amp;"[siteflag]")=$G$2)) -
                     SUM(INDIRECT($E151&amp;"["&amp;$F152&amp;"]")*(INDIRECT($E151&amp;"[yr]")=J$5)*(INDIRECT($E151&amp;"[wk]")=J$6)*(INDIRECT($E151&amp;"[siteflag]")=$G$2)), 0)</f>
        <v>16953</v>
      </c>
      <c r="K151" s="188">
        <f t="array" aca="1" ref="K151" ca="1" xml:space="preserve"> IFERROR( SUM(INDIRECT($E151&amp;"["&amp;$F151&amp;"]")*(INDIRECT($E151&amp;"[yr]")=K$5)*(INDIRECT($E151&amp;"[wk]")=K$6)*(INDIRECT($E151&amp;"[siteflag]")=$G$2)) -
                     SUM(INDIRECT($E151&amp;"["&amp;$F152&amp;"]")*(INDIRECT($E151&amp;"[yr]")=K$5)*(INDIRECT($E151&amp;"[wk]")=K$6)*(INDIRECT($E151&amp;"[siteflag]")=$G$2)), 0)</f>
        <v>10889</v>
      </c>
      <c r="L151" s="188">
        <f t="array" aca="1" ref="L151" ca="1" xml:space="preserve"> IFERROR( SUM(INDIRECT($E151&amp;"["&amp;$F151&amp;"]")*(INDIRECT($E151&amp;"[yr]")=L$5)*(INDIRECT($E151&amp;"[wk]")=L$6)*(INDIRECT($E151&amp;"[siteflag]")=$G$2)) -
                     SUM(INDIRECT($E151&amp;"["&amp;$F152&amp;"]")*(INDIRECT($E151&amp;"[yr]")=L$5)*(INDIRECT($E151&amp;"[wk]")=L$6)*(INDIRECT($E151&amp;"[siteflag]")=$G$2)), 0)</f>
        <v>4800</v>
      </c>
      <c r="M151" s="188">
        <f t="array" aca="1" ref="M151" ca="1" xml:space="preserve"> IFERROR( SUM(INDIRECT($E151&amp;"["&amp;$F151&amp;"]")*(INDIRECT($E151&amp;"[yr]")=M$5)*(INDIRECT($E151&amp;"[wk]")=M$6)*(INDIRECT($E151&amp;"[siteflag]")=$G$2)) -
                     SUM(INDIRECT($E151&amp;"["&amp;$F152&amp;"]")*(INDIRECT($E151&amp;"[yr]")=M$5)*(INDIRECT($E151&amp;"[wk]")=M$6)*(INDIRECT($E151&amp;"[siteflag]")=$G$2)), 0)</f>
        <v>4571</v>
      </c>
      <c r="N151" s="188">
        <f t="array" aca="1" ref="N151" ca="1" xml:space="preserve"> IFERROR( SUM(INDIRECT($E151&amp;"["&amp;$F151&amp;"]")*(INDIRECT($E151&amp;"[yr]")=N$5)*(INDIRECT($E151&amp;"[wk]")=N$6)*(INDIRECT($E151&amp;"[siteflag]")=$G$2)) -
                     SUM(INDIRECT($E151&amp;"["&amp;$F152&amp;"]")*(INDIRECT($E151&amp;"[yr]")=N$5)*(INDIRECT($E151&amp;"[wk]")=N$6)*(INDIRECT($E151&amp;"[siteflag]")=$G$2)), 0)</f>
        <v>5886</v>
      </c>
      <c r="O151" s="188">
        <f t="array" aca="1" ref="O151" ca="1" xml:space="preserve"> IFERROR( SUM(INDIRECT($E151&amp;"["&amp;$F151&amp;"]")*(INDIRECT($E151&amp;"[yr]")=O$5)*(INDIRECT($E151&amp;"[wk]")=O$6)*(INDIRECT($E151&amp;"[siteflag]")=$G$2)) -
                     SUM(INDIRECT($E151&amp;"["&amp;$F152&amp;"]")*(INDIRECT($E151&amp;"[yr]")=O$5)*(INDIRECT($E151&amp;"[wk]")=O$6)*(INDIRECT($E151&amp;"[siteflag]")=$G$2)), 0)</f>
        <v>7870</v>
      </c>
      <c r="P151" s="157">
        <f t="array" aca="1" ref="P151" ca="1" xml:space="preserve"> IFERROR( SUM(INDIRECT($E151&amp;"["&amp;$F151&amp;"]")*(INDIRECT($E151&amp;"[yr]")=P$5)*(INDIRECT($E151&amp;"[wk]")=P$6)*(INDIRECT($E151&amp;"[siteflag]")=$G$2)) -
                     SUM(INDIRECT($E151&amp;"["&amp;$F152&amp;"]")*(INDIRECT($E151&amp;"[yr]")=P$5)*(INDIRECT($E151&amp;"[wk]")=P$6)*(INDIRECT($E151&amp;"[siteflag]")=$G$2)), 0)</f>
        <v>9282</v>
      </c>
      <c r="Q151" s="188">
        <f t="array" aca="1" ref="Q151" ca="1" xml:space="preserve"> IFERROR( SUM(INDIRECT($E151&amp;"["&amp;$F151&amp;"]")*(INDIRECT($E151&amp;"[yr]")=Q$5)*(INDIRECT($E151&amp;"[wk]")=Q$6)*(INDIRECT($E151&amp;"[siteflag]")=$G$2)) -
                     SUM(INDIRECT($E151&amp;"["&amp;$F152&amp;"]")*(INDIRECT($E151&amp;"[yr]")=Q$5)*(INDIRECT($E151&amp;"[wk]")=Q$6)*(INDIRECT($E151&amp;"[siteflag]")=$G$2)), 0)</f>
        <v>9520</v>
      </c>
      <c r="R151" s="188">
        <f t="array" aca="1" ref="R151" ca="1" xml:space="preserve"> IFERROR( SUM(INDIRECT($E151&amp;"["&amp;$F151&amp;"]")*(INDIRECT($E151&amp;"[yr]")=R$5)*(INDIRECT($E151&amp;"[wk]")=R$6)*(INDIRECT($E151&amp;"[siteflag]")=$G$2)) -
                     SUM(INDIRECT($E151&amp;"["&amp;$F152&amp;"]")*(INDIRECT($E151&amp;"[yr]")=R$5)*(INDIRECT($E151&amp;"[wk]")=R$6)*(INDIRECT($E151&amp;"[siteflag]")=$G$2)), 0)</f>
        <v>13369</v>
      </c>
      <c r="S151" s="188">
        <f t="array" aca="1" ref="S151" ca="1" xml:space="preserve"> IFERROR( SUM(INDIRECT($E151&amp;"["&amp;$F151&amp;"]")*(INDIRECT($E151&amp;"[yr]")=S$5)*(INDIRECT($E151&amp;"[wk]")=S$6)*(INDIRECT($E151&amp;"[siteflag]")=$G$2)) -
                     SUM(INDIRECT($E151&amp;"["&amp;$F152&amp;"]")*(INDIRECT($E151&amp;"[yr]")=S$5)*(INDIRECT($E151&amp;"[wk]")=S$6)*(INDIRECT($E151&amp;"[siteflag]")=$G$2)), 0)</f>
        <v>8181</v>
      </c>
      <c r="T151" s="237">
        <f t="array" aca="1" ref="T151" ca="1" xml:space="preserve"> IFERROR( SUM(INDIRECT($E151&amp;"["&amp;$F151&amp;"]")*(INDIRECT($E151&amp;"[yr]")=T$5)*(INDIRECT($E151&amp;"[wk]")=T$6)*(INDIRECT($E151&amp;"[siteflag]")=$G$2)) -
                     SUM(INDIRECT($E151&amp;"["&amp;$F152&amp;"]")*(INDIRECT($E151&amp;"[yr]")=T$5)*(INDIRECT($E151&amp;"[wk]")=T$6)*(INDIRECT($E151&amp;"[siteflag]")=$G$2)), 0)</f>
        <v>12546</v>
      </c>
      <c r="U151" s="238">
        <f t="array" aca="1" ref="U151" ca="1">AVERAGE(Q151:T151)</f>
        <v>10904</v>
      </c>
      <c r="V151" s="47">
        <f t="array" aca="1" ref="V151" ca="1">SUM(T151/S151)-1</f>
        <v>0.53355335533553361</v>
      </c>
      <c r="W151" s="131"/>
      <c r="X151" s="49"/>
    </row>
    <row r="152" spans="2:24" ht="14.15" customHeight="1" x14ac:dyDescent="0.4">
      <c r="B152" s="333"/>
      <c r="D152" s="262" t="s">
        <v>111</v>
      </c>
      <c r="E152" s="146"/>
      <c r="F152" t="s">
        <v>372</v>
      </c>
      <c r="I152" s="133">
        <f t="array" aca="1" ref="I152" ca="1">I151/SUM(INDIRECT($E151&amp;"["&amp;$F151&amp;"]")*(INDIRECT($E151&amp;"[yr]")=I$5)*(INDIRECT($E151&amp;"[wk]")=I$6)*(INDIRECT($E151&amp;"[siteflag]")=$G$2))</f>
        <v>7.0635647437595123E-2</v>
      </c>
      <c r="J152" s="133">
        <f t="array" aca="1" ref="J152" ca="1">J151/SUM(INDIRECT($E151&amp;"["&amp;$F151&amp;"]")*(INDIRECT($E151&amp;"[yr]")=J$5)*(INDIRECT($E151&amp;"[wk]")=J$6)*(INDIRECT($E151&amp;"[siteflag]")=$G$2))</f>
        <v>5.5777089049884515E-2</v>
      </c>
      <c r="K152" s="133">
        <f t="array" aca="1" ref="K152" ca="1">K151/SUM(INDIRECT($E151&amp;"["&amp;$F151&amp;"]")*(INDIRECT($E151&amp;"[yr]")=K$5)*(INDIRECT($E151&amp;"[wk]")=K$6)*(INDIRECT($E151&amp;"[siteflag]")=$G$2))</f>
        <v>3.7718790809487028E-2</v>
      </c>
      <c r="L152" s="133">
        <f t="array" aca="1" ref="L152" ca="1">L151/SUM(INDIRECT($E151&amp;"["&amp;$F151&amp;"]")*(INDIRECT($E151&amp;"[yr]")=L$5)*(INDIRECT($E151&amp;"[wk]")=L$6)*(INDIRECT($E151&amp;"[siteflag]")=$G$2))</f>
        <v>1.8884552436107264E-2</v>
      </c>
      <c r="M152" s="133">
        <f t="array" aca="1" ref="M152" ca="1">M151/SUM(INDIRECT($E151&amp;"["&amp;$F151&amp;"]")*(INDIRECT($E151&amp;"[yr]")=M$5)*(INDIRECT($E151&amp;"[wk]")=M$6)*(INDIRECT($E151&amp;"[siteflag]")=$G$2))</f>
        <v>1.809573200422801E-2</v>
      </c>
      <c r="N152" s="133">
        <f t="array" aca="1" ref="N152" ca="1">N151/SUM(INDIRECT($E151&amp;"["&amp;$F151&amp;"]")*(INDIRECT($E151&amp;"[yr]")=N$5)*(INDIRECT($E151&amp;"[wk]")=N$6)*(INDIRECT($E151&amp;"[siteflag]")=$G$2))</f>
        <v>1.9169641228732968E-2</v>
      </c>
      <c r="O152" s="133">
        <f t="array" aca="1" ref="O152" ca="1">O151/SUM(INDIRECT($E151&amp;"["&amp;$F151&amp;"]")*(INDIRECT($E151&amp;"[yr]")=O$5)*(INDIRECT($E151&amp;"[wk]")=O$6)*(INDIRECT($E151&amp;"[siteflag]")=$G$2))</f>
        <v>2.321184718523172E-2</v>
      </c>
      <c r="P152" s="137">
        <f t="array" aca="1" ref="P152" ca="1">P151/SUM(INDIRECT($E151&amp;"["&amp;$F151&amp;"]")*(INDIRECT($E151&amp;"[yr]")=P$5)*(INDIRECT($E151&amp;"[wk]")=P$6)*(INDIRECT($E151&amp;"[siteflag]")=$G$2))</f>
        <v>2.6453714549543001E-2</v>
      </c>
      <c r="Q152" s="257">
        <f t="array" aca="1" ref="Q152" ca="1">Q151/SUM(INDIRECT($E151&amp;"["&amp;$F151&amp;"]")*(INDIRECT($E151&amp;"[yr]")=Q$5)*(INDIRECT($E151&amp;"[wk]")=Q$6)*(INDIRECT($E151&amp;"[siteflag]")=$G$2))</f>
        <v>2.8395533072444402E-2</v>
      </c>
      <c r="R152" s="133">
        <f t="array" aca="1" ref="R152" ca="1">R151/SUM(INDIRECT($E151&amp;"["&amp;$F151&amp;"]")*(INDIRECT($E151&amp;"[yr]")=R$5)*(INDIRECT($E151&amp;"[wk]")=R$6)*(INDIRECT($E151&amp;"[siteflag]")=$G$2))</f>
        <v>3.8943069537658463E-2</v>
      </c>
      <c r="S152" s="133">
        <f t="array" aca="1" ref="S152" ca="1">S151/SUM(INDIRECT($E151&amp;"["&amp;$F151&amp;"]")*(INDIRECT($E151&amp;"[yr]")=S$5)*(INDIRECT($E151&amp;"[wk]")=S$6)*(INDIRECT($E151&amp;"[siteflag]")=$G$2))</f>
        <v>2.7604008502884907E-2</v>
      </c>
      <c r="T152" s="140">
        <f t="array" aca="1" ref="T152" ca="1">T151/SUM(INDIRECT($E151&amp;"["&amp;$F151&amp;"]")*(INDIRECT($E151&amp;"[yr]")=T$5)*(INDIRECT($E151&amp;"[wk]")=T$6)*(INDIRECT($E151&amp;"[siteflag]")=$G$2))</f>
        <v>3.799262314443011E-2</v>
      </c>
      <c r="U152" s="266">
        <f t="array" aca="1" ref="U152" ca="1">SUM(Q151:T151)/SUMPRODUCT(1/Q152:T152,Q151:T151)</f>
        <v>3.3418329819055556E-2</v>
      </c>
      <c r="V152" s="75"/>
      <c r="W152" s="269"/>
      <c r="X152" s="81"/>
    </row>
    <row r="153" spans="2:24" ht="14.15" customHeight="1" x14ac:dyDescent="0.4">
      <c r="B153" s="333"/>
      <c r="D153" s="263" t="s">
        <v>486</v>
      </c>
      <c r="E153" s="146" t="s">
        <v>34</v>
      </c>
      <c r="F153" t="s">
        <v>482</v>
      </c>
      <c r="I153" s="124">
        <f t="array" aca="1" ref="I153" ca="1">SUM(INDIRECT($E153&amp;"["&amp;$F153&amp;"]")*(INDIRECT($E153&amp;"[yr]")=I$5)*(INDIRECT($E153&amp;"[wk]")=I$6)*(IF($G$2=0,1,(INDIRECT($E153&amp;"[siteflag]")=$G$2))))</f>
        <v>590</v>
      </c>
      <c r="J153" s="124">
        <f t="array" aca="1" ref="J153" ca="1">SUM(INDIRECT($E153&amp;"["&amp;$F153&amp;"]")*(INDIRECT($E153&amp;"[yr]")=J$5)*(INDIRECT($E153&amp;"[wk]")=J$6)*(IF($G$2=0,1,(INDIRECT($E153&amp;"[siteflag]")=$G$2))))</f>
        <v>615</v>
      </c>
      <c r="K153" s="124">
        <f t="array" aca="1" ref="K153" ca="1">SUM(INDIRECT($E153&amp;"["&amp;$F153&amp;"]")*(INDIRECT($E153&amp;"[yr]")=K$5)*(INDIRECT($E153&amp;"[wk]")=K$6)*(IF($G$2=0,1,(INDIRECT($E153&amp;"[siteflag]")=$G$2))))</f>
        <v>407</v>
      </c>
      <c r="L153" s="124">
        <f t="array" aca="1" ref="L153" ca="1">SUM(INDIRECT($E153&amp;"["&amp;$F153&amp;"]")*(INDIRECT($E153&amp;"[yr]")=L$5)*(INDIRECT($E153&amp;"[wk]")=L$6)*(IF($G$2=0,1,(INDIRECT($E153&amp;"[siteflag]")=$G$2))))</f>
        <v>233</v>
      </c>
      <c r="M153" s="124">
        <f t="array" aca="1" ref="M153" ca="1">SUM(INDIRECT($E153&amp;"["&amp;$F153&amp;"]")*(INDIRECT($E153&amp;"[yr]")=M$5)*(INDIRECT($E153&amp;"[wk]")=M$6)*(IF($G$2=0,1,(INDIRECT($E153&amp;"[siteflag]")=$G$2))))</f>
        <v>197</v>
      </c>
      <c r="N153" s="124">
        <f t="array" aca="1" ref="N153" ca="1">SUM(INDIRECT($E153&amp;"["&amp;$F153&amp;"]")*(INDIRECT($E153&amp;"[yr]")=N$5)*(INDIRECT($E153&amp;"[wk]")=N$6)*(IF($G$2=0,1,(INDIRECT($E153&amp;"[siteflag]")=$G$2))))</f>
        <v>380</v>
      </c>
      <c r="O153" s="124">
        <f t="array" aca="1" ref="O153" ca="1">SUM(INDIRECT($E153&amp;"["&amp;$F153&amp;"]")*(INDIRECT($E153&amp;"[yr]")=O$5)*(INDIRECT($E153&amp;"[wk]")=O$6)*(IF($G$2=0,1,(INDIRECT($E153&amp;"[siteflag]")=$G$2))))</f>
        <v>475</v>
      </c>
      <c r="P153" s="124">
        <f t="array" aca="1" ref="P153" ca="1">SUM(INDIRECT($E153&amp;"["&amp;$F153&amp;"]")*(INDIRECT($E153&amp;"[yr]")=P$5)*(INDIRECT($E153&amp;"[wk]")=P$6)*(IF($G$2=0,1,(INDIRECT($E153&amp;"[siteflag]")=$G$2))))</f>
        <v>485</v>
      </c>
      <c r="Q153" s="125">
        <f t="array" aca="1" ref="Q153" ca="1">SUM(INDIRECT($E153&amp;"["&amp;$F153&amp;"]")*(INDIRECT($E153&amp;"[yr]")=Q$5)*(INDIRECT($E153&amp;"[wk]")=Q$6)*(IF($G$2=0,1,(INDIRECT($E153&amp;"[siteflag]")=$G$2))))</f>
        <v>494</v>
      </c>
      <c r="R153" s="124">
        <f t="array" aca="1" ref="R153" ca="1">SUM(INDIRECT($E153&amp;"["&amp;$F153&amp;"]")*(INDIRECT($E153&amp;"[yr]")=R$5)*(INDIRECT($E153&amp;"[wk]")=R$6)*(IF($G$2=0,1,(INDIRECT($E153&amp;"[siteflag]")=$G$2))))</f>
        <v>417</v>
      </c>
      <c r="S153" s="258">
        <f t="array" aca="1" ref="S153" ca="1">SUM(INDIRECT($E153&amp;"["&amp;$F153&amp;"]")*(INDIRECT($E153&amp;"[yr]")=S$5)*(INDIRECT($E153&amp;"[wk]")=S$6)*(IF($G$2=0,1,(INDIRECT($E153&amp;"[siteflag]")=$G$2))))</f>
        <v>338</v>
      </c>
      <c r="T153" s="193">
        <f t="array" aca="1" ref="T153" ca="1">SUM(INDIRECT($E153&amp;"["&amp;$F153&amp;"]")*(INDIRECT($E153&amp;"[yr]")=T$5)*(INDIRECT($E153&amp;"[wk]")=T$6)*(IF($G$2=0,1,(INDIRECT($E153&amp;"[siteflag]")=$G$2))))</f>
        <v>388</v>
      </c>
      <c r="U153" s="265">
        <f ca="1">AVERAGE(Q153:T153)</f>
        <v>409.25</v>
      </c>
      <c r="V153" s="267">
        <f ca="1">IFERROR(SUM(T153/S153)-1,0)</f>
        <v>0.14792899408284033</v>
      </c>
      <c r="W153" s="268"/>
      <c r="X153" s="81"/>
    </row>
    <row r="154" spans="2:24" ht="14.15" customHeight="1" x14ac:dyDescent="0.4">
      <c r="B154" s="334"/>
      <c r="D154" s="299" t="s">
        <v>487</v>
      </c>
      <c r="E154" s="223" t="s">
        <v>34</v>
      </c>
      <c r="F154" s="40" t="s">
        <v>483</v>
      </c>
      <c r="G154" s="40"/>
      <c r="H154" s="40"/>
      <c r="I154" s="264">
        <f t="array" aca="1" ref="I154" ca="1">SUM(INDIRECT($E154&amp;"["&amp;$F154&amp;"]")*(INDIRECT($E154&amp;"[yr]")=I$5)*(INDIRECT($E154&amp;"[wk]")=I$6)*(IF($G$2=0,1,(INDIRECT($E154&amp;"[siteflag]")=$G$2))))</f>
        <v>64</v>
      </c>
      <c r="J154" s="264">
        <f t="array" aca="1" ref="J154" ca="1">SUM(INDIRECT($E154&amp;"["&amp;$F154&amp;"]")*(INDIRECT($E154&amp;"[yr]")=J$5)*(INDIRECT($E154&amp;"[wk]")=J$6)*(IF($G$2=0,1,(INDIRECT($E154&amp;"[siteflag]")=$G$2))))</f>
        <v>73</v>
      </c>
      <c r="K154" s="264">
        <f t="array" aca="1" ref="K154" ca="1">SUM(INDIRECT($E154&amp;"["&amp;$F154&amp;"]")*(INDIRECT($E154&amp;"[yr]")=K$5)*(INDIRECT($E154&amp;"[wk]")=K$6)*(IF($G$2=0,1,(INDIRECT($E154&amp;"[siteflag]")=$G$2))))</f>
        <v>91</v>
      </c>
      <c r="L154" s="264">
        <f t="array" aca="1" ref="L154" ca="1">SUM(INDIRECT($E154&amp;"["&amp;$F154&amp;"]")*(INDIRECT($E154&amp;"[yr]")=L$5)*(INDIRECT($E154&amp;"[wk]")=L$6)*(IF($G$2=0,1,(INDIRECT($E154&amp;"[siteflag]")=$G$2))))</f>
        <v>82</v>
      </c>
      <c r="M154" s="264">
        <f t="array" aca="1" ref="M154" ca="1">SUM(INDIRECT($E154&amp;"["&amp;$F154&amp;"]")*(INDIRECT($E154&amp;"[yr]")=M$5)*(INDIRECT($E154&amp;"[wk]")=M$6)*(IF($G$2=0,1,(INDIRECT($E154&amp;"[siteflag]")=$G$2))))</f>
        <v>151</v>
      </c>
      <c r="N154" s="264">
        <f t="array" aca="1" ref="N154" ca="1">SUM(INDIRECT($E154&amp;"["&amp;$F154&amp;"]")*(INDIRECT($E154&amp;"[yr]")=N$5)*(INDIRECT($E154&amp;"[wk]")=N$6)*(IF($G$2=0,1,(INDIRECT($E154&amp;"[siteflag]")=$G$2))))</f>
        <v>40</v>
      </c>
      <c r="O154" s="264">
        <f t="array" aca="1" ref="O154" ca="1">SUM(INDIRECT($E154&amp;"["&amp;$F154&amp;"]")*(INDIRECT($E154&amp;"[yr]")=O$5)*(INDIRECT($E154&amp;"[wk]")=O$6)*(IF($G$2=0,1,(INDIRECT($E154&amp;"[siteflag]")=$G$2))))</f>
        <v>76</v>
      </c>
      <c r="P154" s="264">
        <f t="array" aca="1" ref="P154" ca="1">SUM(INDIRECT($E154&amp;"["&amp;$F154&amp;"]")*(INDIRECT($E154&amp;"[yr]")=P$5)*(INDIRECT($E154&amp;"[wk]")=P$6)*(IF($G$2=0,1,(INDIRECT($E154&amp;"[siteflag]")=$G$2))))</f>
        <v>119</v>
      </c>
      <c r="Q154" s="300">
        <f t="array" aca="1" ref="Q154" ca="1">SUM(INDIRECT($E154&amp;"["&amp;$F154&amp;"]")*(INDIRECT($E154&amp;"[yr]")=Q$5)*(INDIRECT($E154&amp;"[wk]")=Q$6)*(IF($G$2=0,1,(INDIRECT($E154&amp;"[siteflag]")=$G$2))))</f>
        <v>319</v>
      </c>
      <c r="R154" s="264">
        <f t="array" aca="1" ref="R154" ca="1">SUM(INDIRECT($E154&amp;"["&amp;$F154&amp;"]")*(INDIRECT($E154&amp;"[yr]")=R$5)*(INDIRECT($E154&amp;"[wk]")=R$6)*(IF($G$2=0,1,(INDIRECT($E154&amp;"[siteflag]")=$G$2))))</f>
        <v>109</v>
      </c>
      <c r="S154" s="264">
        <f t="array" aca="1" ref="S154" ca="1">SUM(INDIRECT($E154&amp;"["&amp;$F154&amp;"]")*(INDIRECT($E154&amp;"[yr]")=S$5)*(INDIRECT($E154&amp;"[wk]")=S$6)*(IF($G$2=0,1,(INDIRECT($E154&amp;"[siteflag]")=$G$2))))</f>
        <v>156</v>
      </c>
      <c r="T154" s="260">
        <f t="array" aca="1" ref="T154" ca="1">SUM(INDIRECT($E154&amp;"["&amp;$F154&amp;"]")*(INDIRECT($E154&amp;"[yr]")=T$5)*(INDIRECT($E154&amp;"[wk]")=T$6)*(IF($G$2=0,1,(INDIRECT($E154&amp;"[siteflag]")=$G$2))))</f>
        <v>167</v>
      </c>
      <c r="U154" s="301">
        <f ca="1">AVERAGE(Q154:T154)</f>
        <v>187.75</v>
      </c>
      <c r="V154" s="302">
        <f ca="1">IFERROR(SUM(T154/S154)-1,0)</f>
        <v>7.0512820512820484E-2</v>
      </c>
      <c r="W154" s="303"/>
      <c r="X154" s="56"/>
    </row>
  </sheetData>
  <mergeCells count="9">
    <mergeCell ref="B151:B154"/>
    <mergeCell ref="B116:B135"/>
    <mergeCell ref="B3:R3"/>
    <mergeCell ref="B8:B67"/>
    <mergeCell ref="B100:B102"/>
    <mergeCell ref="B69:B98"/>
    <mergeCell ref="B104:B114"/>
    <mergeCell ref="B144:B149"/>
    <mergeCell ref="B137:B142"/>
  </mergeCells>
  <conditionalFormatting sqref="S9:T9">
    <cfRule type="expression" dxfId="327" priority="224">
      <formula>$U$9=0</formula>
    </cfRule>
  </conditionalFormatting>
  <conditionalFormatting sqref="I36">
    <cfRule type="expression" dxfId="326" priority="223">
      <formula>$I$36=0</formula>
    </cfRule>
  </conditionalFormatting>
  <conditionalFormatting sqref="J36:P36">
    <cfRule type="cellIs" dxfId="325" priority="222" operator="equal">
      <formula>0</formula>
    </cfRule>
  </conditionalFormatting>
  <conditionalFormatting sqref="Q36:U36">
    <cfRule type="cellIs" dxfId="324" priority="221" operator="equal">
      <formula>0</formula>
    </cfRule>
  </conditionalFormatting>
  <conditionalFormatting sqref="I39:U41">
    <cfRule type="cellIs" dxfId="323" priority="220" operator="equal">
      <formula>0</formula>
    </cfRule>
  </conditionalFormatting>
  <conditionalFormatting sqref="I46:T46">
    <cfRule type="cellIs" dxfId="322" priority="219" operator="equal">
      <formula>0</formula>
    </cfRule>
  </conditionalFormatting>
  <conditionalFormatting sqref="I52:U52">
    <cfRule type="cellIs" dxfId="321" priority="218" operator="equal">
      <formula>0</formula>
    </cfRule>
  </conditionalFormatting>
  <conditionalFormatting sqref="I61:U61">
    <cfRule type="cellIs" dxfId="320" priority="216" operator="equal">
      <formula>0</formula>
    </cfRule>
  </conditionalFormatting>
  <conditionalFormatting sqref="I67:U67">
    <cfRule type="cellIs" dxfId="319" priority="215" operator="equal">
      <formula>0</formula>
    </cfRule>
  </conditionalFormatting>
  <conditionalFormatting sqref="J49:U49">
    <cfRule type="cellIs" dxfId="318" priority="214" operator="equal">
      <formula>0</formula>
    </cfRule>
  </conditionalFormatting>
  <conditionalFormatting sqref="T31:T32">
    <cfRule type="iconSet" priority="213">
      <iconSet iconSet="5ArrowsGray" reverse="1">
        <cfvo type="percent" val="0"/>
        <cfvo type="formula" val="$W$32*0.9"/>
        <cfvo type="formula" val="$W$32"/>
        <cfvo type="formula" val="$W$32*1.01"/>
        <cfvo type="formula" val="$W$32*1.1" gte="0"/>
      </iconSet>
    </cfRule>
  </conditionalFormatting>
  <conditionalFormatting sqref="T45">
    <cfRule type="iconSet" priority="212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T48">
    <cfRule type="iconSet" priority="211">
      <iconSet iconSet="5ArrowsGray" reverse="1">
        <cfvo type="percent" val="0"/>
        <cfvo type="formula" val="$W$48*0.9"/>
        <cfvo type="formula" val="$W$48"/>
        <cfvo type="formula" val="$W$48*1.01"/>
        <cfvo type="formula" val="$W$48*1.1"/>
      </iconSet>
    </cfRule>
  </conditionalFormatting>
  <conditionalFormatting sqref="U45">
    <cfRule type="iconSet" priority="210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U31:U32">
    <cfRule type="iconSet" priority="209">
      <iconSet iconSet="5ArrowsGray" reverse="1">
        <cfvo type="percent" val="0"/>
        <cfvo type="formula" val="$W$32*0.99"/>
        <cfvo type="formula" val="$W$32"/>
        <cfvo type="formula" val="$W$32*1.01"/>
        <cfvo type="formula" val="$W$32*1.1" gte="0"/>
      </iconSet>
    </cfRule>
  </conditionalFormatting>
  <conditionalFormatting sqref="T8">
    <cfRule type="iconSet" priority="208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8">
    <cfRule type="iconSet" priority="207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12:T12">
    <cfRule type="expression" dxfId="317" priority="206">
      <formula>$U$9=0</formula>
    </cfRule>
  </conditionalFormatting>
  <conditionalFormatting sqref="T11">
    <cfRule type="iconSet" priority="205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11">
    <cfRule type="iconSet" priority="204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70:W70">
    <cfRule type="cellIs" dxfId="316" priority="203" operator="equal">
      <formula>0</formula>
    </cfRule>
  </conditionalFormatting>
  <conditionalFormatting sqref="U85">
    <cfRule type="cellIs" dxfId="315" priority="202" operator="equal">
      <formula>0</formula>
    </cfRule>
  </conditionalFormatting>
  <conditionalFormatting sqref="U88">
    <cfRule type="cellIs" dxfId="314" priority="201" operator="equal">
      <formula>0</formula>
    </cfRule>
  </conditionalFormatting>
  <conditionalFormatting sqref="V91:W91 I91:S91">
    <cfRule type="cellIs" dxfId="313" priority="200" operator="equal">
      <formula>0</formula>
    </cfRule>
  </conditionalFormatting>
  <conditionalFormatting sqref="I94:W94">
    <cfRule type="cellIs" dxfId="312" priority="199" operator="equal">
      <formula>0</formula>
    </cfRule>
  </conditionalFormatting>
  <conditionalFormatting sqref="I97:W98">
    <cfRule type="cellIs" dxfId="311" priority="198" operator="equal">
      <formula>0</formula>
    </cfRule>
  </conditionalFormatting>
  <conditionalFormatting sqref="U84">
    <cfRule type="iconSet" priority="197">
      <iconSet iconSet="5ArrowsGray">
        <cfvo type="percent" val="0"/>
        <cfvo type="formula" val="$W$84*0.9"/>
        <cfvo type="formula" val="$W$84*0.999999999999"/>
        <cfvo type="formula" val="$W$84*1.00001"/>
        <cfvo type="formula" val="$W$84*1.1"/>
      </iconSet>
    </cfRule>
  </conditionalFormatting>
  <conditionalFormatting sqref="U87">
    <cfRule type="iconSet" priority="196">
      <iconSet iconSet="5ArrowsGray">
        <cfvo type="percent" val="0"/>
        <cfvo type="formula" val="$W$87*0.9"/>
        <cfvo type="formula" val="$W$87*0.999999999999"/>
        <cfvo type="formula" val="$W$87*1.00001"/>
        <cfvo type="formula" val="$W$87*1.1"/>
      </iconSet>
    </cfRule>
  </conditionalFormatting>
  <conditionalFormatting sqref="T91">
    <cfRule type="iconSet" priority="195">
      <iconSet iconSet="5ArrowsGray">
        <cfvo type="percent" val="0"/>
        <cfvo type="formula" val="$W$91*0.9"/>
        <cfvo type="formula" val="$W$91"/>
        <cfvo type="formula" val="$W$91*1.01"/>
        <cfvo type="formula" val="$W$91*1.1"/>
      </iconSet>
    </cfRule>
  </conditionalFormatting>
  <conditionalFormatting sqref="U91">
    <cfRule type="iconSet" priority="194">
      <iconSet iconSet="5ArrowsGray">
        <cfvo type="percent" val="0"/>
        <cfvo type="formula" val="$W$91*0.99"/>
        <cfvo type="formula" val="$W$91"/>
        <cfvo type="formula" val="$W$91*1.01"/>
        <cfvo type="formula" val="$W$91*1.1"/>
      </iconSet>
    </cfRule>
  </conditionalFormatting>
  <conditionalFormatting sqref="T96">
    <cfRule type="iconSet" priority="193">
      <iconSet iconSet="5ArrowsGray" reverse="1">
        <cfvo type="percent" val="0"/>
        <cfvo type="formula" val="$W$96*0.9"/>
        <cfvo type="formula" val="$W$96"/>
        <cfvo type="formula" val="$W$96*1.01"/>
        <cfvo type="formula" val="$W$96*1.1"/>
      </iconSet>
    </cfRule>
  </conditionalFormatting>
  <conditionalFormatting sqref="U48">
    <cfRule type="iconSet" priority="192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U96">
    <cfRule type="iconSet" priority="191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U46">
    <cfRule type="cellIs" dxfId="310" priority="186" operator="equal">
      <formula>0</formula>
    </cfRule>
  </conditionalFormatting>
  <conditionalFormatting sqref="T102">
    <cfRule type="iconSet" priority="185">
      <iconSet iconSet="5ArrowsGray">
        <cfvo type="percent" val="0"/>
        <cfvo type="formula" val="$W$101*0.9"/>
        <cfvo type="formula" val="$W$101"/>
        <cfvo type="formula" val="$W$101*1.01"/>
        <cfvo type="formula" val="$W$101*1.1"/>
      </iconSet>
    </cfRule>
  </conditionalFormatting>
  <conditionalFormatting sqref="T119">
    <cfRule type="iconSet" priority="183">
      <iconSet iconSet="5ArrowsGray">
        <cfvo type="percent" val="0"/>
        <cfvo type="formula" val="$W$118*0.99"/>
        <cfvo type="formula" val="$W$118"/>
        <cfvo type="formula" val="$W$118*1.01" gte="0"/>
        <cfvo type="formula" val="$W$118*1.1"/>
      </iconSet>
    </cfRule>
  </conditionalFormatting>
  <conditionalFormatting sqref="T128">
    <cfRule type="iconSet" priority="182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19">
    <cfRule type="iconSet" priority="179">
      <iconSet iconSet="5ArrowsGray">
        <cfvo type="percent" val="0"/>
        <cfvo type="formula" val="$W$118*0.99"/>
        <cfvo type="formula" val="$W$118"/>
        <cfvo type="formula" val="$W$118*1.01" gte="0"/>
        <cfvo type="formula" val="$W$118*1.1"/>
      </iconSet>
    </cfRule>
  </conditionalFormatting>
  <conditionalFormatting sqref="U102">
    <cfRule type="iconSet" priority="177">
      <iconSet iconSet="5ArrowsGray">
        <cfvo type="percent" val="0"/>
        <cfvo type="formula" val="$W$101*0.9"/>
        <cfvo type="formula" val="$W$101"/>
        <cfvo type="formula" val="$W$101*1.01"/>
        <cfvo type="formula" val="$W$101*1.1"/>
      </iconSet>
    </cfRule>
  </conditionalFormatting>
  <conditionalFormatting sqref="U128">
    <cfRule type="iconSet" priority="176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31">
    <cfRule type="iconSet" priority="175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31">
    <cfRule type="iconSet" priority="174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I64:U64">
    <cfRule type="cellIs" dxfId="309" priority="173" operator="equal">
      <formula>0</formula>
    </cfRule>
  </conditionalFormatting>
  <conditionalFormatting sqref="I73:W73">
    <cfRule type="cellIs" dxfId="308" priority="172" operator="equal">
      <formula>0</formula>
    </cfRule>
  </conditionalFormatting>
  <conditionalFormatting sqref="T82:W82">
    <cfRule type="cellIs" dxfId="307" priority="171" operator="equal">
      <formula>0</formula>
    </cfRule>
  </conditionalFormatting>
  <conditionalFormatting sqref="T144">
    <cfRule type="iconSet" priority="170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4">
    <cfRule type="iconSet" priority="169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46">
    <cfRule type="iconSet" priority="168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6">
    <cfRule type="iconSet" priority="167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47">
    <cfRule type="iconSet" priority="152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48">
    <cfRule type="iconSet" priority="151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49">
    <cfRule type="iconSet" priority="150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7">
    <cfRule type="iconSet" priority="146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8">
    <cfRule type="iconSet" priority="145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9">
    <cfRule type="iconSet" priority="144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I145:U145 I98:U98 I91:U91 U88 U85 T82:U82 I73:U73 I70:U70 I67:U67 I61:U61 I46:U46 I33:U33 I12:T12 I9:T9 T135:U135 T132:U132 T129:U129 T126:U126 T120:U120 T117:U117 I64:U64 I49:U49 I116:S135">
    <cfRule type="cellIs" dxfId="306" priority="139" operator="equal">
      <formula>0</formula>
    </cfRule>
  </conditionalFormatting>
  <conditionalFormatting sqref="T151">
    <cfRule type="iconSet" priority="138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51">
    <cfRule type="iconSet" priority="137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53">
    <cfRule type="iconSet" priority="136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53">
    <cfRule type="iconSet" priority="135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54">
    <cfRule type="iconSet" priority="134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54">
    <cfRule type="iconSet" priority="128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I152:U152">
    <cfRule type="cellIs" dxfId="305" priority="121" operator="equal">
      <formula>0</formula>
    </cfRule>
  </conditionalFormatting>
  <conditionalFormatting sqref="Q154:U154 Q147:U147 T100:U100 T102:U102">
    <cfRule type="cellIs" dxfId="304" priority="120" operator="equal">
      <formula>0</formula>
    </cfRule>
  </conditionalFormatting>
  <conditionalFormatting sqref="I100:S102">
    <cfRule type="cellIs" dxfId="303" priority="118" operator="equal">
      <formula>0</formula>
    </cfRule>
  </conditionalFormatting>
  <conditionalFormatting sqref="I76:W76">
    <cfRule type="cellIs" dxfId="302" priority="117" operator="equal">
      <formula>0</formula>
    </cfRule>
  </conditionalFormatting>
  <conditionalFormatting sqref="I76:U76">
    <cfRule type="cellIs" dxfId="301" priority="116" operator="equal">
      <formula>0</formula>
    </cfRule>
  </conditionalFormatting>
  <conditionalFormatting sqref="T79:W79">
    <cfRule type="cellIs" dxfId="300" priority="115" operator="equal">
      <formula>0</formula>
    </cfRule>
  </conditionalFormatting>
  <conditionalFormatting sqref="T79:U79">
    <cfRule type="cellIs" dxfId="299" priority="114" operator="equal">
      <formula>0</formula>
    </cfRule>
  </conditionalFormatting>
  <conditionalFormatting sqref="I80">
    <cfRule type="cellIs" dxfId="298" priority="113" operator="equal">
      <formula>0</formula>
    </cfRule>
  </conditionalFormatting>
  <conditionalFormatting sqref="I82:S82">
    <cfRule type="cellIs" dxfId="297" priority="112" operator="equal">
      <formula>0</formula>
    </cfRule>
  </conditionalFormatting>
  <conditionalFormatting sqref="I79:S79">
    <cfRule type="cellIs" dxfId="296" priority="111" operator="equal">
      <formula>0</formula>
    </cfRule>
  </conditionalFormatting>
  <conditionalFormatting sqref="I43:P43">
    <cfRule type="expression" dxfId="295" priority="110">
      <formula>$I$36=0</formula>
    </cfRule>
  </conditionalFormatting>
  <conditionalFormatting sqref="Q43:U43">
    <cfRule type="cellIs" dxfId="294" priority="108" operator="equal">
      <formula>0</formula>
    </cfRule>
  </conditionalFormatting>
  <conditionalFormatting sqref="Q42:S42">
    <cfRule type="cellIs" dxfId="293" priority="107" operator="equal">
      <formula>0</formula>
    </cfRule>
  </conditionalFormatting>
  <conditionalFormatting sqref="V42">
    <cfRule type="cellIs" dxfId="292" priority="105" operator="equal">
      <formula>0</formula>
    </cfRule>
  </conditionalFormatting>
  <conditionalFormatting sqref="T107">
    <cfRule type="iconSet" priority="104">
      <iconSet iconSet="5ArrowsGray">
        <cfvo type="percent" val="0"/>
        <cfvo type="formula" val="$W$93*0.9"/>
        <cfvo type="formula" val="$W$93"/>
        <cfvo type="formula" val="$W$93*1.01"/>
        <cfvo type="formula" val="$W$93*1.1"/>
      </iconSet>
    </cfRule>
  </conditionalFormatting>
  <conditionalFormatting sqref="T113">
    <cfRule type="iconSet" priority="103">
      <iconSet iconSet="5ArrowsGray">
        <cfvo type="percent" val="0"/>
        <cfvo type="formula" val="$W$99*0.99"/>
        <cfvo type="formula" val="$W$99"/>
        <cfvo type="formula" val="$W$99*1.01"/>
        <cfvo type="formula" val="$W$99*1.1"/>
      </iconSet>
    </cfRule>
  </conditionalFormatting>
  <conditionalFormatting sqref="U113">
    <cfRule type="iconSet" priority="102">
      <iconSet iconSet="5ArrowsGray">
        <cfvo type="percent" val="0"/>
        <cfvo type="formula" val="$X$78*0.99"/>
        <cfvo type="formula" val="$X$78"/>
        <cfvo type="formula" val="$X$78*1.01"/>
        <cfvo type="formula" val="$X$78*1.1"/>
      </iconSet>
    </cfRule>
  </conditionalFormatting>
  <conditionalFormatting sqref="U107">
    <cfRule type="iconSet" priority="101">
      <iconSet iconSet="5ArrowsGray">
        <cfvo type="percent" val="0"/>
        <cfvo type="formula" val="$W$93*0.9"/>
        <cfvo type="formula" val="$W$93"/>
        <cfvo type="formula" val="$W$93*1.01"/>
        <cfvo type="formula" val="$W$93*1.1"/>
      </iconSet>
    </cfRule>
  </conditionalFormatting>
  <conditionalFormatting sqref="I85:S85">
    <cfRule type="cellIs" dxfId="291" priority="97" operator="equal">
      <formula>0</formula>
    </cfRule>
  </conditionalFormatting>
  <conditionalFormatting sqref="T85">
    <cfRule type="cellIs" dxfId="290" priority="96" operator="equal">
      <formula>0</formula>
    </cfRule>
  </conditionalFormatting>
  <conditionalFormatting sqref="T84">
    <cfRule type="iconSet" priority="95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T88">
    <cfRule type="cellIs" dxfId="289" priority="94" operator="equal">
      <formula>0</formula>
    </cfRule>
  </conditionalFormatting>
  <conditionalFormatting sqref="T87">
    <cfRule type="iconSet" priority="93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I88:S88">
    <cfRule type="cellIs" dxfId="288" priority="92" operator="equal">
      <formula>0</formula>
    </cfRule>
  </conditionalFormatting>
  <conditionalFormatting sqref="I18:T18 I15:T15">
    <cfRule type="cellIs" dxfId="287" priority="85" operator="equal">
      <formula>0</formula>
    </cfRule>
  </conditionalFormatting>
  <conditionalFormatting sqref="S15:T15">
    <cfRule type="expression" dxfId="286" priority="91">
      <formula>$U$9=0</formula>
    </cfRule>
  </conditionalFormatting>
  <conditionalFormatting sqref="T14">
    <cfRule type="iconSet" priority="90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14">
    <cfRule type="iconSet" priority="89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18:T18">
    <cfRule type="expression" dxfId="285" priority="88">
      <formula>$U$9=0</formula>
    </cfRule>
  </conditionalFormatting>
  <conditionalFormatting sqref="T17">
    <cfRule type="iconSet" priority="87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17">
    <cfRule type="iconSet" priority="86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55:U55">
    <cfRule type="cellIs" dxfId="284" priority="84" operator="equal">
      <formula>0</formula>
    </cfRule>
  </conditionalFormatting>
  <conditionalFormatting sqref="I55:U55">
    <cfRule type="cellIs" dxfId="283" priority="83" operator="equal">
      <formula>0</formula>
    </cfRule>
  </conditionalFormatting>
  <conditionalFormatting sqref="I58:U58">
    <cfRule type="cellIs" dxfId="282" priority="82" operator="equal">
      <formula>0</formula>
    </cfRule>
  </conditionalFormatting>
  <conditionalFormatting sqref="U20">
    <cfRule type="iconSet" priority="67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3">
    <cfRule type="iconSet" priority="63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6">
    <cfRule type="iconSet" priority="59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9">
    <cfRule type="iconSet" priority="55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S21">
    <cfRule type="expression" dxfId="281" priority="48">
      <formula>$U$9=0</formula>
    </cfRule>
  </conditionalFormatting>
  <conditionalFormatting sqref="I24:S24">
    <cfRule type="expression" dxfId="280" priority="47">
      <formula>$U$9=0</formula>
    </cfRule>
  </conditionalFormatting>
  <conditionalFormatting sqref="I24:S24 I21:S21">
    <cfRule type="cellIs" dxfId="279" priority="46" operator="equal">
      <formula>0</formula>
    </cfRule>
  </conditionalFormatting>
  <conditionalFormatting sqref="I30:S30 I27:S27">
    <cfRule type="cellIs" dxfId="278" priority="43" operator="equal">
      <formula>0</formula>
    </cfRule>
  </conditionalFormatting>
  <conditionalFormatting sqref="S27">
    <cfRule type="expression" dxfId="277" priority="45">
      <formula>$U$9=0</formula>
    </cfRule>
  </conditionalFormatting>
  <conditionalFormatting sqref="I30:S30">
    <cfRule type="expression" dxfId="276" priority="44">
      <formula>$U$9=0</formula>
    </cfRule>
  </conditionalFormatting>
  <conditionalFormatting sqref="T21">
    <cfRule type="expression" dxfId="275" priority="42">
      <formula>$U$9=0</formula>
    </cfRule>
  </conditionalFormatting>
  <conditionalFormatting sqref="T20">
    <cfRule type="iconSet" priority="41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T24">
    <cfRule type="expression" dxfId="274" priority="40">
      <formula>$U$9=0</formula>
    </cfRule>
  </conditionalFormatting>
  <conditionalFormatting sqref="T23">
    <cfRule type="iconSet" priority="39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T24 T21">
    <cfRule type="cellIs" dxfId="273" priority="38" operator="equal">
      <formula>0</formula>
    </cfRule>
  </conditionalFormatting>
  <conditionalFormatting sqref="T30 T27">
    <cfRule type="cellIs" dxfId="272" priority="33" operator="equal">
      <formula>0</formula>
    </cfRule>
  </conditionalFormatting>
  <conditionalFormatting sqref="T27">
    <cfRule type="expression" dxfId="271" priority="37">
      <formula>$U$9=0</formula>
    </cfRule>
  </conditionalFormatting>
  <conditionalFormatting sqref="T26">
    <cfRule type="iconSet" priority="36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T30">
    <cfRule type="expression" dxfId="270" priority="35">
      <formula>$U$9=0</formula>
    </cfRule>
  </conditionalFormatting>
  <conditionalFormatting sqref="T29">
    <cfRule type="iconSet" priority="34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141:S141">
    <cfRule type="cellIs" dxfId="269" priority="19" operator="equal">
      <formula>0</formula>
    </cfRule>
  </conditionalFormatting>
  <conditionalFormatting sqref="V142:W142">
    <cfRule type="cellIs" dxfId="268" priority="21" operator="equal">
      <formula>-1</formula>
    </cfRule>
  </conditionalFormatting>
  <conditionalFormatting sqref="U137">
    <cfRule type="iconSet" priority="31">
      <iconSet iconSet="5ArrowsGray">
        <cfvo type="percent" val="0"/>
        <cfvo type="formula" val="$W$75*0.9"/>
        <cfvo type="formula" val="$W$75*0.999999999999"/>
        <cfvo type="formula" val="$W$75*1.00001"/>
        <cfvo type="formula" val="$W$75*1.1"/>
      </iconSet>
    </cfRule>
  </conditionalFormatting>
  <conditionalFormatting sqref="T137">
    <cfRule type="iconSet" priority="32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U138">
    <cfRule type="cellIs" dxfId="267" priority="29" operator="equal">
      <formula>0</formula>
    </cfRule>
  </conditionalFormatting>
  <conditionalFormatting sqref="T138">
    <cfRule type="cellIs" dxfId="266" priority="30" operator="equal">
      <formula>0</formula>
    </cfRule>
  </conditionalFormatting>
  <conditionalFormatting sqref="U141">
    <cfRule type="cellIs" dxfId="265" priority="25" operator="equal">
      <formula>0</formula>
    </cfRule>
  </conditionalFormatting>
  <conditionalFormatting sqref="U140">
    <cfRule type="iconSet" priority="27">
      <iconSet iconSet="5ArrowsGray">
        <cfvo type="percent" val="0"/>
        <cfvo type="formula" val="$W$75*0.9"/>
        <cfvo type="formula" val="$W$75*0.999999999999"/>
        <cfvo type="formula" val="$W$75*1.00001"/>
        <cfvo type="formula" val="$W$75*1.1"/>
      </iconSet>
    </cfRule>
  </conditionalFormatting>
  <conditionalFormatting sqref="T141">
    <cfRule type="cellIs" dxfId="264" priority="26" operator="equal">
      <formula>0</formula>
    </cfRule>
  </conditionalFormatting>
  <conditionalFormatting sqref="T142">
    <cfRule type="cellIs" dxfId="263" priority="24" operator="equal">
      <formula>0</formula>
    </cfRule>
  </conditionalFormatting>
  <conditionalFormatting sqref="U142">
    <cfRule type="cellIs" dxfId="262" priority="23" operator="equal">
      <formula>0</formula>
    </cfRule>
  </conditionalFormatting>
  <conditionalFormatting sqref="V142:W142">
    <cfRule type="cellIs" dxfId="261" priority="22" operator="equal">
      <formula>0</formula>
    </cfRule>
  </conditionalFormatting>
  <conditionalFormatting sqref="I140:S140">
    <cfRule type="cellIs" dxfId="260" priority="20" operator="equal">
      <formula>0</formula>
    </cfRule>
  </conditionalFormatting>
  <conditionalFormatting sqref="T140">
    <cfRule type="iconSet" priority="17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U9">
    <cfRule type="expression" dxfId="259" priority="16">
      <formula>$U$9=0</formula>
    </cfRule>
  </conditionalFormatting>
  <conditionalFormatting sqref="U9">
    <cfRule type="cellIs" dxfId="258" priority="15" operator="equal">
      <formula>0</formula>
    </cfRule>
  </conditionalFormatting>
  <conditionalFormatting sqref="U12">
    <cfRule type="expression" dxfId="257" priority="14">
      <formula>$U$9=0</formula>
    </cfRule>
  </conditionalFormatting>
  <conditionalFormatting sqref="U12">
    <cfRule type="cellIs" dxfId="256" priority="13" operator="equal">
      <formula>0</formula>
    </cfRule>
  </conditionalFormatting>
  <conditionalFormatting sqref="U15">
    <cfRule type="expression" dxfId="255" priority="12">
      <formula>$U$9=0</formula>
    </cfRule>
  </conditionalFormatting>
  <conditionalFormatting sqref="U15">
    <cfRule type="cellIs" dxfId="254" priority="11" operator="equal">
      <formula>0</formula>
    </cfRule>
  </conditionalFormatting>
  <conditionalFormatting sqref="U18">
    <cfRule type="expression" dxfId="253" priority="10">
      <formula>$U$9=0</formula>
    </cfRule>
  </conditionalFormatting>
  <conditionalFormatting sqref="U18">
    <cfRule type="cellIs" dxfId="252" priority="9" operator="equal">
      <formula>0</formula>
    </cfRule>
  </conditionalFormatting>
  <conditionalFormatting sqref="U21">
    <cfRule type="expression" dxfId="251" priority="8">
      <formula>$U$9=0</formula>
    </cfRule>
  </conditionalFormatting>
  <conditionalFormatting sqref="U21">
    <cfRule type="cellIs" dxfId="250" priority="7" operator="equal">
      <formula>0</formula>
    </cfRule>
  </conditionalFormatting>
  <conditionalFormatting sqref="U24">
    <cfRule type="expression" dxfId="249" priority="6">
      <formula>$U$9=0</formula>
    </cfRule>
  </conditionalFormatting>
  <conditionalFormatting sqref="U24">
    <cfRule type="cellIs" dxfId="248" priority="5" operator="equal">
      <formula>0</formula>
    </cfRule>
  </conditionalFormatting>
  <conditionalFormatting sqref="U27">
    <cfRule type="expression" dxfId="247" priority="4">
      <formula>$U$9=0</formula>
    </cfRule>
  </conditionalFormatting>
  <conditionalFormatting sqref="U27">
    <cfRule type="cellIs" dxfId="246" priority="3" operator="equal">
      <formula>0</formula>
    </cfRule>
  </conditionalFormatting>
  <conditionalFormatting sqref="U30">
    <cfRule type="expression" dxfId="245" priority="2">
      <formula>$U$9=0</formula>
    </cfRule>
  </conditionalFormatting>
  <conditionalFormatting sqref="U30">
    <cfRule type="cellIs" dxfId="244" priority="1" operator="equal">
      <formula>0</formula>
    </cfRule>
  </conditionalFormatting>
  <printOptions horizontalCentered="1" verticalCentered="1"/>
  <pageMargins left="0.1" right="0.1" top="0.5" bottom="0" header="0.3" footer="0.3"/>
  <pageSetup scale="45" orientation="portrait" r:id="rId1"/>
  <colBreaks count="1" manualBreakCount="1">
    <brk id="25" max="1048575" man="1"/>
  </colBreaks>
  <ignoredErrors>
    <ignoredError sqref="U145 P100" formula="1"/>
  </ignoredErrors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negative="1" displayHidden="1" xr2:uid="{00000000-0003-0000-0100-0000C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Revolve!I141:T141</xm:f>
              <xm:sqref>X141</xm:sqref>
            </x14:sparkline>
            <x14:sparkline>
              <xm:f>Revolve!I142:T142</xm:f>
              <xm:sqref>X142</xm:sqref>
            </x14:sparkline>
          </x14:sparklines>
        </x14:sparklineGroup>
        <x14:sparklineGroup manualMax="0" manualMin="0" displayEmptyCellsAs="gap" negative="1" displayHidden="1" xr2:uid="{00000000-0003-0000-0100-0000C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Revolve!I140:T140</xm:f>
              <xm:sqref>X140</xm:sqref>
            </x14:sparkline>
          </x14:sparklines>
        </x14:sparklineGroup>
        <x14:sparklineGroup manualMax="0" manualMin="0" displayEmptyCellsAs="gap" negative="1" displayHidden="1" xr2:uid="{00000000-0003-0000-0100-0000C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Revolve!I138:T138</xm:f>
              <xm:sqref>X138</xm:sqref>
            </x14:sparkline>
          </x14:sparklines>
        </x14:sparklineGroup>
        <x14:sparklineGroup manualMax="0" manualMin="0" displayEmptyCellsAs="gap" negative="1" displayHidden="1" xr2:uid="{00000000-0003-0000-0100-0000C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Revolve!I137:T137</xm:f>
              <xm:sqref>X137</xm:sqref>
            </x14:sparkline>
          </x14:sparklines>
        </x14:sparklineGroup>
        <x14:sparklineGroup manualMax="0" manualMin="0" displayEmptyCellsAs="gap" negative="1" displayHidden="1" xr2:uid="{00000000-0003-0000-0100-0000C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Revolve!I144:T144</xm:f>
              <xm:sqref>X144</xm:sqref>
            </x14:sparkline>
          </x14:sparklines>
        </x14:sparklineGroup>
        <x14:sparklineGroup manualMax="0" manualMin="0" displayEmptyCellsAs="gap" negative="1" displayHidden="1" xr2:uid="{00000000-0003-0000-0100-0000C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Revolve!I145:T145</xm:f>
              <xm:sqref>X145</xm:sqref>
            </x14:sparkline>
          </x14:sparklines>
        </x14:sparklineGroup>
        <x14:sparklineGroup manualMax="0" manualMin="0" displayEmptyCellsAs="gap" negative="1" displayHidden="1" xr2:uid="{00000000-0003-0000-0100-0000C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Revolve!I54:T54</xm:f>
              <xm:sqref>X54</xm:sqref>
            </x14:sparkline>
          </x14:sparklines>
        </x14:sparklineGroup>
        <x14:sparklineGroup manualMax="0" manualMin="0" displayEmptyCellsAs="gap" negative="1" displayHidden="1" xr2:uid="{00000000-0003-0000-0100-0000C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Revolve!I55:T55</xm:f>
              <xm:sqref>X55</xm:sqref>
            </x14:sparkline>
          </x14:sparklines>
        </x14:sparklineGroup>
        <x14:sparklineGroup manualMax="0" manualMin="0" displayEmptyCellsAs="gap" negative="1" displayHidden="1" xr2:uid="{00000000-0003-0000-0100-0000C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Revolve!I14:T14</xm:f>
              <xm:sqref>X14</xm:sqref>
            </x14:sparkline>
          </x14:sparklines>
        </x14:sparklineGroup>
        <x14:sparklineGroup manualMax="0" manualMin="0" displayEmptyCellsAs="gap" negative="1" displayHidden="1" xr2:uid="{00000000-0003-0000-0100-0000C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Revolve!I15:T15</xm:f>
              <xm:sqref>X15</xm:sqref>
            </x14:sparkline>
          </x14:sparklines>
        </x14:sparklineGroup>
        <x14:sparklineGroup manualMax="0" manualMin="0" displayEmptyCellsAs="gap" negative="1" displayHidden="1" xr2:uid="{00000000-0003-0000-0100-0000C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Revolve!I17:T17</xm:f>
              <xm:sqref>X17</xm:sqref>
            </x14:sparkline>
          </x14:sparklines>
        </x14:sparklineGroup>
        <x14:sparklineGroup manualMax="0" manualMin="0" displayEmptyCellsAs="gap" negative="1" displayHidden="1" xr2:uid="{00000000-0003-0000-0100-0000C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Revolve!I18:T18</xm:f>
              <xm:sqref>X18</xm:sqref>
            </x14:sparkline>
          </x14:sparklines>
        </x14:sparklineGroup>
        <x14:sparklineGroup manualMax="0" manualMin="0" displayEmptyCellsAs="gap" negative="1" displayHidden="1" xr2:uid="{00000000-0003-0000-0100-0000C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Revolve!I42:T42</xm:f>
              <xm:sqref>X42</xm:sqref>
            </x14:sparkline>
          </x14:sparklines>
        </x14:sparklineGroup>
        <x14:sparklineGroup manualMax="0" manualMin="0" displayEmptyCellsAs="gap" negative="1" displayHidden="1" xr2:uid="{00000000-0003-0000-0100-0000C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Revolve!I43:T43</xm:f>
              <xm:sqref>X43</xm:sqref>
            </x14:sparkline>
          </x14:sparklines>
        </x14:sparklineGroup>
        <x14:sparklineGroup manualMax="0" manualMin="0" displayEmptyCellsAs="gap" negative="1" displayHidden="1" xr2:uid="{00000000-0003-0000-0100-0000B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Revolve!I64:T64</xm:f>
              <xm:sqref>X64</xm:sqref>
            </x14:sparkline>
          </x14:sparklines>
        </x14:sparklineGroup>
        <x14:sparklineGroup manualMax="0" manualMin="0" displayEmptyCellsAs="gap" negative="1" displayHidden="1" xr2:uid="{00000000-0003-0000-0100-0000B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Revolve!I63:T63</xm:f>
              <xm:sqref>X63</xm:sqref>
            </x14:sparkline>
          </x14:sparklines>
        </x14:sparklineGroup>
        <x14:sparklineGroup manualMax="0" manualMin="0" displayEmptyCellsAs="gap" negative="1" displayHidden="1" xr2:uid="{00000000-0003-0000-0100-0000B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Revolve!I122:T122</xm:f>
              <xm:sqref>X122</xm:sqref>
            </x14:sparkline>
          </x14:sparklines>
        </x14:sparklineGroup>
        <x14:sparklineGroup manualMax="0" manualMin="0" displayEmptyCellsAs="gap" negative="1" displayHidden="1" xr2:uid="{00000000-0003-0000-0100-0000B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Revolve!I66:T66</xm:f>
              <xm:sqref>X66</xm:sqref>
            </x14:sparkline>
          </x14:sparklines>
        </x14:sparklineGroup>
        <x14:sparklineGroup manualMax="0" manualMin="0" displayEmptyCellsAs="gap" negative="1" displayHidden="1" xr2:uid="{00000000-0003-0000-0100-0000B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Revolve!I67:T67</xm:f>
              <xm:sqref>X67</xm:sqref>
            </x14:sparkline>
          </x14:sparklines>
        </x14:sparklineGroup>
        <x14:sparklineGroup manualMax="0" manualMin="0" displayEmptyCellsAs="gap" negative="1" displayHidden="1" xr2:uid="{00000000-0003-0000-0100-0000B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Revolve!I61:T61</xm:f>
              <xm:sqref>X61</xm:sqref>
            </x14:sparkline>
          </x14:sparklines>
        </x14:sparklineGroup>
        <x14:sparklineGroup manualMax="0" manualMin="0" displayEmptyCellsAs="gap" negative="1" displayHidden="1" xr2:uid="{00000000-0003-0000-0100-0000B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Revolve!I97:T97</xm:f>
              <xm:sqref>X97</xm:sqref>
            </x14:sparkline>
          </x14:sparklines>
        </x14:sparklineGroup>
        <x14:sparklineGroup manualMax="0" manualMin="0" displayEmptyCellsAs="gap" negative="1" displayHidden="1" xr2:uid="{00000000-0003-0000-0100-0000B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Revolve!I98:T98</xm:f>
              <xm:sqref>X98</xm:sqref>
            </x14:sparkline>
          </x14:sparklines>
        </x14:sparklineGroup>
        <x14:sparklineGroup manualMax="0" manualMin="0" displayEmptyCellsAs="gap" negative="1" displayHidden="1" xr2:uid="{00000000-0003-0000-0100-0000B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Revolve!I93:T93</xm:f>
              <xm:sqref>X93</xm:sqref>
            </x14:sparkline>
          </x14:sparklines>
        </x14:sparklineGroup>
        <x14:sparklineGroup manualMax="0" manualMin="0" displayEmptyCellsAs="gap" negative="1" displayHidden="1" xr2:uid="{00000000-0003-0000-0100-0000B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Revolve!I94:T94</xm:f>
              <xm:sqref>X94</xm:sqref>
            </x14:sparkline>
          </x14:sparklines>
        </x14:sparklineGroup>
        <x14:sparklineGroup manualMax="0" manualMin="0" displayEmptyCellsAs="gap" negative="1" displayHidden="1" xr2:uid="{00000000-0003-0000-0100-0000B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Revolve!I91:T91</xm:f>
              <xm:sqref>X91</xm:sqref>
            </x14:sparkline>
          </x14:sparklines>
        </x14:sparklineGroup>
        <x14:sparklineGroup manualMax="0" manualMin="0" displayEmptyCellsAs="gap" negative="1" displayHidden="1" xr2:uid="{00000000-0003-0000-0100-0000B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Revolve!I90:T90</xm:f>
              <xm:sqref>X90</xm:sqref>
            </x14:sparkline>
          </x14:sparklines>
        </x14:sparklineGroup>
        <x14:sparklineGroup manualMax="0" manualMin="0" displayEmptyCellsAs="gap" negative="1" displayHidden="1" xr2:uid="{00000000-0003-0000-0100-0000B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Revolve!I88:T88</xm:f>
              <xm:sqref>X88</xm:sqref>
            </x14:sparkline>
          </x14:sparklines>
        </x14:sparklineGroup>
        <x14:sparklineGroup manualMax="0" manualMin="0" displayEmptyCellsAs="gap" negative="1" displayHidden="1" xr2:uid="{00000000-0003-0000-0100-0000B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Revolve!I87:T87</xm:f>
              <xm:sqref>X87</xm:sqref>
            </x14:sparkline>
          </x14:sparklines>
        </x14:sparklineGroup>
        <x14:sparklineGroup manualMax="0" manualMin="0" displayEmptyCellsAs="gap" negative="1" displayHidden="1" xr2:uid="{00000000-0003-0000-0100-0000B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Revolve!I85:T85</xm:f>
              <xm:sqref>X85</xm:sqref>
            </x14:sparkline>
          </x14:sparklines>
        </x14:sparklineGroup>
        <x14:sparklineGroup manualMax="0" manualMin="0" displayEmptyCellsAs="gap" negative="1" displayHidden="1" xr2:uid="{00000000-0003-0000-0100-0000B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Revolve!I84:T84</xm:f>
              <xm:sqref>X84</xm:sqref>
            </x14:sparkline>
          </x14:sparklines>
        </x14:sparklineGroup>
        <x14:sparklineGroup manualMax="0" manualMin="0" displayEmptyCellsAs="gap" negative="1" displayHidden="1" xr2:uid="{00000000-0003-0000-0100-0000A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Revolve!I51:T51</xm:f>
              <xm:sqref>X51</xm:sqref>
            </x14:sparkline>
          </x14:sparklines>
        </x14:sparklineGroup>
        <x14:sparklineGroup manualMax="0" manualMin="0" displayEmptyCellsAs="gap" negative="1" displayHidden="1" xr2:uid="{00000000-0003-0000-0100-0000A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Revolve!I48:T48</xm:f>
              <xm:sqref>X48</xm:sqref>
            </x14:sparkline>
          </x14:sparklines>
        </x14:sparklineGroup>
        <x14:sparklineGroup manualMax="0" manualMin="0" displayEmptyCellsAs="gap" negative="1" displayHidden="1" xr2:uid="{00000000-0003-0000-0100-0000A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Revolve!I33:T33</xm:f>
              <xm:sqref>X33</xm:sqref>
            </x14:sparkline>
          </x14:sparklines>
        </x14:sparklineGroup>
        <x14:sparklineGroup manualMax="0" manualMin="0" displayEmptyCellsAs="gap" negative="1" displayHidden="1" xr2:uid="{00000000-0003-0000-0100-0000A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Revolve!I34:T34</xm:f>
              <xm:sqref>X34</xm:sqref>
            </x14:sparkline>
          </x14:sparklines>
        </x14:sparklineGroup>
        <x14:sparklineGroup manualMax="0" manualMin="0" displayEmptyCellsAs="gap" negative="1" displayHidden="1" xr2:uid="{00000000-0003-0000-0100-0000A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Revolve!I45:T45</xm:f>
              <xm:sqref>X45</xm:sqref>
            </x14:sparkline>
          </x14:sparklines>
        </x14:sparklineGroup>
        <x14:sparklineGroup manualMax="0" manualMin="0" displayEmptyCellsAs="gap" negative="1" displayHidden="1" xr2:uid="{00000000-0003-0000-0100-0000A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Revolve!I39:T39</xm:f>
              <xm:sqref>X39</xm:sqref>
            </x14:sparkline>
            <x14:sparkline>
              <xm:f>Revolve!I40:T40</xm:f>
              <xm:sqref>X40</xm:sqref>
            </x14:sparkline>
            <x14:sparkline>
              <xm:f>Revolve!I41:T41</xm:f>
              <xm:sqref>X41</xm:sqref>
            </x14:sparkline>
          </x14:sparklines>
        </x14:sparklineGroup>
        <x14:sparklineGroup manualMax="0" manualMin="0" displayEmptyCellsAs="gap" negative="1" displayHidden="1" xr2:uid="{00000000-0003-0000-0100-0000A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Revolve!I47:T47</xm:f>
              <xm:sqref>X47</xm:sqref>
            </x14:sparkline>
          </x14:sparklines>
        </x14:sparklineGroup>
        <x14:sparklineGroup manualMax="0" manualMin="0" displayEmptyCellsAs="gap" negative="1" displayHidden="1" xr2:uid="{00000000-0003-0000-0100-0000A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Revolve!I49:T49</xm:f>
              <xm:sqref>X49</xm:sqref>
            </x14:sparkline>
          </x14:sparklines>
        </x14:sparklineGroup>
        <x14:sparklineGroup manualMax="0" manualMin="0" displayEmptyCellsAs="gap" negative="1" displayHidden="1" xr2:uid="{00000000-0003-0000-0100-0000A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Revolve!I70:T70</xm:f>
              <xm:sqref>X70</xm:sqref>
            </x14:sparkline>
          </x14:sparklines>
        </x14:sparklineGroup>
        <x14:sparklineGroup manualMax="0" manualMin="0" displayEmptyCellsAs="gap" negative="1" displayHidden="1" xr2:uid="{00000000-0003-0000-0100-0000A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Revolve!I69:T69</xm:f>
              <xm:sqref>X69</xm:sqref>
            </x14:sparkline>
          </x14:sparklines>
        </x14:sparklineGroup>
        <x14:sparklineGroup manualMax="0" manualMin="0" displayEmptyCellsAs="gap" negative="1" displayHidden="1" xr2:uid="{00000000-0003-0000-0100-0000A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Revolve!I96:T96</xm:f>
              <xm:sqref>X96</xm:sqref>
            </x14:sparkline>
          </x14:sparklines>
        </x14:sparklineGroup>
        <x14:sparklineGroup manualMax="0" manualMin="0" displayEmptyCellsAs="gap" negative="1" displayHidden="1" xr2:uid="{00000000-0003-0000-0100-0000A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Revolve!I132:T132</xm:f>
              <xm:sqref>X132</xm:sqref>
            </x14:sparkline>
          </x14:sparklines>
        </x14:sparklineGroup>
        <x14:sparklineGroup manualMax="0" manualMin="0" displayEmptyCellsAs="gap" negative="1" displayHidden="1" xr2:uid="{00000000-0003-0000-0100-0000A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Revolve!I52:T52</xm:f>
              <xm:sqref>X52</xm:sqref>
            </x14:sparkline>
          </x14:sparklines>
        </x14:sparklineGroup>
        <x14:sparklineGroup manualMax="0" manualMin="0" displayEmptyCellsAs="gap" negative="1" displayHidden="1" xr2:uid="{00000000-0003-0000-0100-0000A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Revolve!I108:T108</xm:f>
              <xm:sqref>X108</xm:sqref>
            </x14:sparkline>
          </x14:sparklines>
        </x14:sparklineGroup>
        <x14:sparklineGroup manualMax="0" manualMin="0" displayEmptyCellsAs="gap" negative="1" displayHidden="1" xr2:uid="{00000000-0003-0000-0100-0000A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Revolve!I12:T12</xm:f>
              <xm:sqref>X12</xm:sqref>
            </x14:sparkline>
          </x14:sparklines>
        </x14:sparklineGroup>
        <x14:sparklineGroup manualMax="0" manualMin="0" displayEmptyCellsAs="gap" negative="1" displayHidden="1" xr2:uid="{00000000-0003-0000-0100-0000A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Revolve!I131:T131</xm:f>
              <xm:sqref>X131</xm:sqref>
            </x14:sparkline>
          </x14:sparklines>
        </x14:sparklineGroup>
        <x14:sparklineGroup manualMax="0" manualMin="0" displayEmptyCellsAs="gap" negative="1" displayHidden="1" xr2:uid="{00000000-0003-0000-0100-00009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Revolve!I46:T46</xm:f>
              <xm:sqref>X46</xm:sqref>
            </x14:sparkline>
          </x14:sparklines>
        </x14:sparklineGroup>
        <x14:sparklineGroup manualMax="0" manualMin="0" displayEmptyCellsAs="gap" negative="1" displayHidden="1" xr2:uid="{00000000-0003-0000-0100-00009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Revolve!I44:T44</xm:f>
              <xm:sqref>X44</xm:sqref>
            </x14:sparkline>
            <x14:sparkline>
              <xm:f>Revolve!I50:T50</xm:f>
              <xm:sqref>X50</xm:sqref>
            </x14:sparkline>
          </x14:sparklines>
        </x14:sparklineGroup>
        <x14:sparklineGroup manualMax="0" manualMin="0" displayEmptyCellsAs="gap" negative="1" displayHidden="1" xr2:uid="{00000000-0003-0000-0100-00009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Revolve!I11:T11</xm:f>
              <xm:sqref>X11</xm:sqref>
            </x14:sparkline>
          </x14:sparklines>
        </x14:sparklineGroup>
        <x14:sparklineGroup manualMax="0" manualMin="0" displayEmptyCellsAs="gap" negative="1" displayHidden="1" xr2:uid="{00000000-0003-0000-0100-00009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Revolve!I9:T9</xm:f>
              <xm:sqref>X9</xm:sqref>
            </x14:sparkline>
          </x14:sparklines>
        </x14:sparklineGroup>
        <x14:sparklineGroup manualMax="0" manualMin="0" displayEmptyCellsAs="gap" negative="1" displayHidden="1" xr2:uid="{00000000-0003-0000-0100-00009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Revolve!I8:T8</xm:f>
              <xm:sqref>X8</xm:sqref>
            </x14:sparkline>
          </x14:sparklines>
        </x14:sparklineGroup>
        <x14:sparklineGroup manualMax="0" manualMin="0" displayEmptyCellsAs="gap" negative="1" displayHidden="1" xr2:uid="{00000000-0003-0000-0100-00009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Revolve!I36:T36</xm:f>
              <xm:sqref>X36</xm:sqref>
            </x14:sparkline>
          </x14:sparklines>
        </x14:sparklineGroup>
        <x14:sparklineGroup manualMax="0" manualMin="0" displayEmptyCellsAs="gap" negative="1" displayHidden="1" xr2:uid="{00000000-0003-0000-0100-00009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Revolve!I38:T38</xm:f>
              <xm:sqref>X38</xm:sqref>
            </x14:sparkline>
          </x14:sparklines>
        </x14:sparklineGroup>
        <x14:sparklineGroup manualMax="0" manualMin="0" displayEmptyCellsAs="gap" negative="1" displayHidden="1" xr2:uid="{00000000-0003-0000-0100-00009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Revolve!I32:T32</xm:f>
              <xm:sqref>X32</xm:sqref>
            </x14:sparkline>
          </x14:sparklines>
        </x14:sparklineGroup>
        <x14:sparklineGroup manualMax="0" manualMin="0" displayEmptyCellsAs="gap" negative="1" displayHidden="1" xr2:uid="{00000000-0003-0000-0100-00009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Revolve!I35:T35</xm:f>
              <xm:sqref>X35</xm:sqref>
            </x14:sparkline>
          </x14:sparklines>
        </x14:sparklineGroup>
        <x14:sparklineGroup manualMax="0" manualMin="0" displayEmptyCellsAs="gap" negative="1" displayHidden="1" xr2:uid="{00000000-0003-0000-0100-00009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Revolve!I134:T134</xm:f>
              <xm:sqref>X134</xm:sqref>
            </x14:sparkline>
          </x14:sparklines>
        </x14:sparklineGroup>
        <x14:sparklineGroup manualMax="0" manualMin="0" displayEmptyCellsAs="gap" negative="1" displayHidden="1" xr2:uid="{00000000-0003-0000-0100-00009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Revolve!I110:T110</xm:f>
              <xm:sqref>X110</xm:sqref>
            </x14:sparkline>
          </x14:sparklines>
        </x14:sparklineGroup>
        <x14:sparklineGroup manualMax="0" manualMin="0" displayEmptyCellsAs="gap" negative="1" displayHidden="1" xr2:uid="{00000000-0003-0000-0100-00009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Revolve!I147:T147</xm:f>
              <xm:sqref>X147</xm:sqref>
            </x14:sparkline>
          </x14:sparklines>
        </x14:sparklineGroup>
        <x14:sparklineGroup manualMax="0" manualMin="0" displayEmptyCellsAs="gap" negative="1" displayHidden="1" xr2:uid="{00000000-0003-0000-0100-00009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Revolve!I135:T135</xm:f>
              <xm:sqref>X135</xm:sqref>
            </x14:sparkline>
          </x14:sparklines>
        </x14:sparklineGroup>
        <x14:sparklineGroup manualMax="0" manualMin="0" displayEmptyCellsAs="gap" negative="1" displayHidden="1" xr2:uid="{00000000-0003-0000-0100-00009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Revolve!I149:T149</xm:f>
              <xm:sqref>X149</xm:sqref>
            </x14:sparkline>
          </x14:sparklines>
        </x14:sparklineGroup>
        <x14:sparklineGroup manualMax="0" manualMin="0" displayEmptyCellsAs="gap" negative="1" displayHidden="1" xr2:uid="{00000000-0003-0000-0100-00009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Revolve!I151:T151</xm:f>
              <xm:sqref>X151</xm:sqref>
            </x14:sparkline>
          </x14:sparklines>
        </x14:sparklineGroup>
        <x14:sparklineGroup manualMax="0" manualMin="0" displayEmptyCellsAs="gap" negative="1" displayHidden="1" xr2:uid="{00000000-0003-0000-0100-00009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Revolve!I154:T154</xm:f>
              <xm:sqref>X154</xm:sqref>
            </x14:sparkline>
          </x14:sparklines>
        </x14:sparklineGroup>
        <x14:sparklineGroup manualMax="0" manualMin="0" displayEmptyCellsAs="gap" negative="1" displayHidden="1" xr2:uid="{00000000-0003-0000-0100-00008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Revolve!I128:T128</xm:f>
              <xm:sqref>X128</xm:sqref>
            </x14:sparkline>
          </x14:sparklines>
        </x14:sparklineGroup>
        <x14:sparklineGroup manualMax="0" manualMin="0" displayEmptyCellsAs="gap" negative="1" displayHidden="1" xr2:uid="{00000000-0003-0000-0100-00008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Revolve!I129:T129</xm:f>
              <xm:sqref>X129</xm:sqref>
            </x14:sparkline>
          </x14:sparklines>
        </x14:sparklineGroup>
        <x14:sparklineGroup manualMax="0" manualMin="0" displayEmptyCellsAs="gap" negative="1" displayHidden="1" xr2:uid="{00000000-0003-0000-0100-00008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Revolve!I125:T125</xm:f>
              <xm:sqref>X125</xm:sqref>
            </x14:sparkline>
          </x14:sparklines>
        </x14:sparklineGroup>
        <x14:sparklineGroup manualMax="0" manualMin="0" displayEmptyCellsAs="gap" negative="1" displayHidden="1" xr2:uid="{00000000-0003-0000-0100-00008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Revolve!I120:T120</xm:f>
              <xm:sqref>X120</xm:sqref>
            </x14:sparkline>
          </x14:sparklines>
        </x14:sparklineGroup>
        <x14:sparklineGroup manualMax="0" manualMin="0" displayEmptyCellsAs="gap" negative="1" displayHidden="1" xr2:uid="{00000000-0003-0000-0100-00008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Revolve!I126:T126</xm:f>
              <xm:sqref>X126</xm:sqref>
            </x14:sparkline>
          </x14:sparklines>
        </x14:sparklineGroup>
        <x14:sparklineGroup manualMax="0" manualMin="0" displayEmptyCellsAs="gap" negative="1" displayHidden="1" xr2:uid="{00000000-0003-0000-0100-00008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Revolve!I116:T116</xm:f>
              <xm:sqref>X116</xm:sqref>
            </x14:sparkline>
          </x14:sparklines>
        </x14:sparklineGroup>
        <x14:sparklineGroup manualMax="0" manualMin="0" displayEmptyCellsAs="gap" negative="1" displayHidden="1" xr2:uid="{00000000-0003-0000-0100-00008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Revolve!I117:T117</xm:f>
              <xm:sqref>X117</xm:sqref>
            </x14:sparkline>
          </x14:sparklines>
        </x14:sparklineGroup>
        <x14:sparklineGroup manualMax="0" manualMin="0" displayEmptyCellsAs="gap" negative="1" displayHidden="1" xr2:uid="{00000000-0003-0000-0100-00008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Revolve!I119:T119</xm:f>
              <xm:sqref>X119</xm:sqref>
            </x14:sparkline>
          </x14:sparklines>
        </x14:sparklineGroup>
        <x14:sparklineGroup manualMax="0" manualMin="0" displayEmptyCellsAs="gap" negative="1" displayHidden="1" xr2:uid="{00000000-0003-0000-0100-00008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Revolve!I111:T111</xm:f>
              <xm:sqref>X111</xm:sqref>
            </x14:sparkline>
          </x14:sparklines>
        </x14:sparklineGroup>
        <x14:sparklineGroup manualMax="0" manualMin="0" displayEmptyCellsAs="gap" negative="1" displayHidden="1" xr2:uid="{00000000-0003-0000-0100-00008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Revolve!I102:T102</xm:f>
              <xm:sqref>X102</xm:sqref>
            </x14:sparkline>
          </x14:sparklines>
        </x14:sparklineGroup>
        <x14:sparklineGroup manualMax="0" manualMin="0" displayEmptyCellsAs="gap" negative="1" displayHidden="1" xr2:uid="{00000000-0003-0000-0100-00008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Revolve!I100:T100</xm:f>
              <xm:sqref>X100</xm:sqref>
            </x14:sparkline>
          </x14:sparklines>
        </x14:sparklineGroup>
        <x14:sparklineGroup manualMax="0" manualMin="0" displayEmptyCellsAs="gap" negative="1" displayHidden="1" xr2:uid="{00000000-0003-0000-0100-00008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Revolve!I113:T113</xm:f>
              <xm:sqref>X113</xm:sqref>
            </x14:sparkline>
          </x14:sparklines>
        </x14:sparklineGroup>
        <x14:sparklineGroup manualMax="0" manualMin="0" displayEmptyCellsAs="gap" negative="1" displayHidden="1" xr2:uid="{00000000-0003-0000-0100-00008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Revolve!I121:T121</xm:f>
              <xm:sqref>X121</xm:sqref>
            </x14:sparkline>
          </x14:sparklines>
        </x14:sparklineGroup>
        <x14:sparklineGroup manualMax="0" manualMin="0" displayEmptyCellsAs="gap" negative="1" displayHidden="1" xr2:uid="{00000000-0003-0000-0100-00008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Revolve!I123:T123</xm:f>
              <xm:sqref>X123</xm:sqref>
            </x14:sparkline>
          </x14:sparklines>
        </x14:sparklineGroup>
        <x14:sparklineGroup manualMax="0" manualMin="0" displayEmptyCellsAs="gap" negative="1" displayHidden="1" xr2:uid="{00000000-0003-0000-0100-00008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Revolve!I57:T57</xm:f>
              <xm:sqref>X57</xm:sqref>
            </x14:sparkline>
          </x14:sparklines>
        </x14:sparklineGroup>
        <x14:sparklineGroup manualMax="0" manualMin="0" displayEmptyCellsAs="gap" negative="1" displayHidden="1" xr2:uid="{00000000-0003-0000-0100-00008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Revolve!I58:T58</xm:f>
              <xm:sqref>X58</xm:sqref>
            </x14:sparkline>
          </x14:sparklines>
        </x14:sparklineGroup>
        <x14:sparklineGroup manualMax="0" manualMin="0" displayEmptyCellsAs="gap" negative="1" displayHidden="1" xr2:uid="{00000000-0003-0000-0100-00007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Revolve!I148:T148</xm:f>
              <xm:sqref>X148</xm:sqref>
            </x14:sparkline>
          </x14:sparklines>
        </x14:sparklineGroup>
        <x14:sparklineGroup manualMax="0" manualMin="0" displayEmptyCellsAs="gap" negative="1" displayHidden="1" xr2:uid="{00000000-0003-0000-0100-00007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Revolve!I60:T60</xm:f>
              <xm:sqref>X60</xm:sqref>
            </x14:sparkline>
          </x14:sparklines>
        </x14:sparklineGroup>
        <x14:sparklineGroup manualMax="0" manualMin="0" displayEmptyCellsAs="gap" negative="1" displayHidden="1" xr2:uid="{00000000-0003-0000-0100-00007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Revolve!I104:T104</xm:f>
              <xm:sqref>X104</xm:sqref>
            </x14:sparkline>
          </x14:sparklines>
        </x14:sparklineGroup>
        <x14:sparklineGroup manualMax="0" manualMin="0" displayEmptyCellsAs="gap" negative="1" displayHidden="1" xr2:uid="{00000000-0003-0000-0100-00007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Revolve!I107:T107</xm:f>
              <xm:sqref>X107</xm:sqref>
            </x14:sparkline>
          </x14:sparklines>
        </x14:sparklineGroup>
        <x14:sparklineGroup manualMax="0" manualMin="0" displayEmptyCellsAs="gap" negative="1" displayHidden="1" xr2:uid="{00000000-0003-0000-0100-00007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Revolve!I72:T72</xm:f>
              <xm:sqref>X72</xm:sqref>
            </x14:sparkline>
          </x14:sparklines>
        </x14:sparklineGroup>
        <x14:sparklineGroup manualMax="0" manualMin="0" displayEmptyCellsAs="gap" negative="1" displayHidden="1" xr2:uid="{00000000-0003-0000-0100-00007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Revolve!I73:T73</xm:f>
              <xm:sqref>X73</xm:sqref>
            </x14:sparkline>
          </x14:sparklines>
        </x14:sparklineGroup>
        <x14:sparklineGroup manualMax="0" manualMin="0" displayEmptyCellsAs="gap" negative="1" displayHidden="1" xr2:uid="{00000000-0003-0000-0100-00007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Revolve!I81:T81</xm:f>
              <xm:sqref>X81</xm:sqref>
            </x14:sparkline>
          </x14:sparklines>
        </x14:sparklineGroup>
        <x14:sparklineGroup manualMax="0" manualMin="0" displayEmptyCellsAs="gap" negative="1" displayHidden="1" xr2:uid="{00000000-0003-0000-0100-00007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Revolve!I82:T82</xm:f>
              <xm:sqref>X82</xm:sqref>
            </x14:sparkline>
          </x14:sparklines>
        </x14:sparklineGroup>
        <x14:sparklineGroup manualMax="0" manualMin="0" displayEmptyCellsAs="gap" negative="1" displayHidden="1" xr2:uid="{00000000-0003-0000-0100-00007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Revolve!I153:T153</xm:f>
              <xm:sqref>X153</xm:sqref>
            </x14:sparkline>
          </x14:sparklines>
        </x14:sparklineGroup>
        <x14:sparklineGroup manualMax="0" manualMin="0" displayEmptyCellsAs="gap" negative="1" displayHidden="1" xr2:uid="{00000000-0003-0000-0100-00007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Revolve!I146:T146</xm:f>
              <xm:sqref>X146</xm:sqref>
            </x14:sparkline>
          </x14:sparklines>
        </x14:sparklineGroup>
        <x14:sparklineGroup manualMax="0" manualMin="0" displayEmptyCellsAs="gap" negative="1" displayHidden="1" xr2:uid="{00000000-0003-0000-0100-00007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Revolve!I114:T114</xm:f>
              <xm:sqref>X114</xm:sqref>
            </x14:sparkline>
          </x14:sparklines>
        </x14:sparklineGroup>
        <x14:sparklineGroup manualMax="0" manualMin="0" displayEmptyCellsAs="gap" negative="1" displayHidden="1" xr2:uid="{00000000-0003-0000-0100-00007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Revolve!I152:T152</xm:f>
              <xm:sqref>X152</xm:sqref>
            </x14:sparkline>
          </x14:sparklines>
        </x14:sparklineGroup>
        <x14:sparklineGroup manualMax="0" manualMin="0" displayEmptyCellsAs="gap" negative="1" displayHidden="1" xr2:uid="{00000000-0003-0000-0100-00007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Revolve!I105:T105</xm:f>
              <xm:sqref>X105</xm:sqref>
            </x14:sparkline>
          </x14:sparklines>
        </x14:sparklineGroup>
        <x14:sparklineGroup manualMax="0" manualMin="0" displayEmptyCellsAs="gap" negative="1" displayHidden="1" xr2:uid="{00000000-0003-0000-0100-00007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Revolve!I76:T76</xm:f>
              <xm:sqref>X76</xm:sqref>
            </x14:sparkline>
          </x14:sparklines>
        </x14:sparklineGroup>
        <x14:sparklineGroup manualMax="0" manualMin="0" displayEmptyCellsAs="gap" negative="1" displayHidden="1" xr2:uid="{00000000-0003-0000-0100-00007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Revolve!I75:T75</xm:f>
              <xm:sqref>X75</xm:sqref>
            </x14:sparkline>
          </x14:sparklines>
        </x14:sparklineGroup>
        <x14:sparklineGroup manualMax="0" manualMin="0" displayEmptyCellsAs="gap" negative="1" displayHidden="1" xr2:uid="{00000000-0003-0000-0100-00007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Revolve!I79:T79</xm:f>
              <xm:sqref>X79</xm:sqref>
            </x14:sparkline>
          </x14:sparklines>
        </x14:sparklineGroup>
        <x14:sparklineGroup manualMax="0" manualMin="0" displayEmptyCellsAs="gap" negative="1" displayHidden="1" xr2:uid="{00000000-0003-0000-0100-00006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Revolve!I78:T78</xm:f>
              <xm:sqref>X78</xm:sqref>
            </x14:sparkline>
          </x14:sparklines>
        </x14:sparklineGroup>
        <x14:sparklineGroup manualMax="0" manualMin="0" displayEmptyCellsAs="gap" negative="1" displayHidden="1" xr2:uid="{00000000-0003-0000-0100-00006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Revolve!I30:T30</xm:f>
              <xm:sqref>X30</xm:sqref>
            </x14:sparkline>
          </x14:sparklines>
        </x14:sparklineGroup>
        <x14:sparklineGroup manualMax="0" manualMin="0" displayEmptyCellsAs="gap" negative="1" displayHidden="1" xr2:uid="{00000000-0003-0000-0100-00006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Revolve!I29:T29</xm:f>
              <xm:sqref>X29</xm:sqref>
            </x14:sparkline>
          </x14:sparklines>
        </x14:sparklineGroup>
        <x14:sparklineGroup manualMax="0" manualMin="0" displayEmptyCellsAs="gap" negative="1" displayHidden="1" xr2:uid="{00000000-0003-0000-0100-00006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Revolve!I26:T26</xm:f>
              <xm:sqref>X26</xm:sqref>
            </x14:sparkline>
          </x14:sparklines>
        </x14:sparklineGroup>
        <x14:sparklineGroup manualMax="0" manualMin="0" displayEmptyCellsAs="gap" negative="1" displayHidden="1" xr2:uid="{00000000-0003-0000-0100-00006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Revolve!I27:T27</xm:f>
              <xm:sqref>X27</xm:sqref>
            </x14:sparkline>
          </x14:sparklines>
        </x14:sparklineGroup>
        <x14:sparklineGroup manualMax="0" manualMin="0" displayEmptyCellsAs="gap" negative="1" displayHidden="1" xr2:uid="{00000000-0003-0000-0100-00006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Revolve!I24:T24</xm:f>
              <xm:sqref>X24</xm:sqref>
            </x14:sparkline>
          </x14:sparklines>
        </x14:sparklineGroup>
        <x14:sparklineGroup manualMax="0" manualMin="0" displayEmptyCellsAs="gap" negative="1" displayHidden="1" xr2:uid="{00000000-0003-0000-0100-00006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Revolve!I23:T23</xm:f>
              <xm:sqref>X23</xm:sqref>
            </x14:sparkline>
          </x14:sparklines>
        </x14:sparklineGroup>
        <x14:sparklineGroup manualMax="0" manualMin="0" displayEmptyCellsAs="gap" negative="1" displayHidden="1" xr2:uid="{00000000-0003-0000-0100-00006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Revolve!I20:T20</xm:f>
              <xm:sqref>X20</xm:sqref>
            </x14:sparkline>
          </x14:sparklines>
        </x14:sparklineGroup>
        <x14:sparklineGroup manualMax="0" manualMin="0" displayEmptyCellsAs="gap" negative="1" displayHidden="1" xr2:uid="{00000000-0003-0000-0100-00006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Revolve!I21:T21</xm:f>
              <xm:sqref>X21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2:Y153"/>
  <sheetViews>
    <sheetView showGridLines="0" view="pageBreakPreview" zoomScaleNormal="40" zoomScaleSheetLayoutView="100" workbookViewId="0">
      <selection activeCell="AB8" sqref="AB8"/>
    </sheetView>
  </sheetViews>
  <sheetFormatPr defaultColWidth="8.84375" defaultRowHeight="14.6" outlineLevelRow="1" outlineLevelCol="1" x14ac:dyDescent="0.4"/>
  <cols>
    <col min="1" max="1" width="3.15234375" customWidth="1"/>
    <col min="2" max="2" width="5.15234375" customWidth="1"/>
    <col min="3" max="3" width="2.53515625" customWidth="1"/>
    <col min="4" max="4" width="26.15234375" customWidth="1"/>
    <col min="5" max="5" width="19.15234375" hidden="1" customWidth="1" outlineLevel="1"/>
    <col min="6" max="6" width="15.15234375" hidden="1" customWidth="1" outlineLevel="1"/>
    <col min="7" max="7" width="2.3828125" hidden="1" customWidth="1" outlineLevel="1"/>
    <col min="8" max="8" width="2.53515625" hidden="1" customWidth="1" outlineLevel="1"/>
    <col min="9" max="16" width="8.15234375" hidden="1" customWidth="1" outlineLevel="1"/>
    <col min="17" max="17" width="13.15234375" customWidth="1" collapsed="1"/>
    <col min="18" max="23" width="13.15234375" customWidth="1"/>
    <col min="24" max="24" width="19.84375" customWidth="1"/>
    <col min="25" max="25" width="3.15234375" customWidth="1"/>
  </cols>
  <sheetData>
    <row r="2" spans="2:24" ht="13.4" customHeight="1" x14ac:dyDescent="0.75">
      <c r="B2" s="25"/>
      <c r="C2" s="26"/>
      <c r="D2" s="26"/>
      <c r="F2" t="s">
        <v>31</v>
      </c>
      <c r="G2" t="s">
        <v>32</v>
      </c>
    </row>
    <row r="3" spans="2:24" ht="30" customHeight="1" x14ac:dyDescent="0.7">
      <c r="B3" s="331" t="s">
        <v>58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W3" s="27"/>
      <c r="X3" s="28"/>
    </row>
    <row r="4" spans="2:24" ht="8.5" customHeight="1" thickBot="1" x14ac:dyDescent="0.6">
      <c r="B4" s="29"/>
      <c r="D4" s="30"/>
      <c r="W4" s="31"/>
      <c r="X4" s="32"/>
    </row>
    <row r="5" spans="2:24" ht="16.399999999999999" customHeight="1" thickTop="1" x14ac:dyDescent="0.55000000000000004">
      <c r="B5" s="29"/>
      <c r="D5" s="33" t="s">
        <v>60</v>
      </c>
      <c r="H5" s="33"/>
      <c r="I5" s="34">
        <f t="shared" ref="I5:R5" ca="1" si="0">IF(J6=1,J5-1,J5)</f>
        <v>2022</v>
      </c>
      <c r="J5" s="34">
        <f t="shared" ca="1" si="0"/>
        <v>2022</v>
      </c>
      <c r="K5" s="34">
        <f t="shared" ca="1" si="0"/>
        <v>2022</v>
      </c>
      <c r="L5" s="34">
        <f t="shared" ca="1" si="0"/>
        <v>2022</v>
      </c>
      <c r="M5" s="34">
        <f t="shared" ca="1" si="0"/>
        <v>2023</v>
      </c>
      <c r="N5" s="34">
        <f t="shared" ca="1" si="0"/>
        <v>2023</v>
      </c>
      <c r="O5" s="34">
        <f t="shared" ca="1" si="0"/>
        <v>2023</v>
      </c>
      <c r="P5" s="34">
        <f t="shared" ca="1" si="0"/>
        <v>2023</v>
      </c>
      <c r="Q5" s="35">
        <f t="shared" ca="1" si="0"/>
        <v>2023</v>
      </c>
      <c r="R5" s="36">
        <f t="shared" ca="1" si="0"/>
        <v>2023</v>
      </c>
      <c r="S5" s="36">
        <f ca="1">IF(T6=1,T5-1,T5)</f>
        <v>2023</v>
      </c>
      <c r="T5" s="37">
        <f ca="1">YEAR(TODAY()-11)</f>
        <v>2023</v>
      </c>
    </row>
    <row r="6" spans="2:24" ht="16.399999999999999" customHeight="1" outlineLevel="1" x14ac:dyDescent="0.55000000000000004">
      <c r="B6" s="29"/>
      <c r="D6" s="33" t="s">
        <v>61</v>
      </c>
      <c r="H6" s="33"/>
      <c r="I6" s="34">
        <f t="shared" ref="I6:S6" ca="1" si="1">IF(J6=1, 52,J6-1)</f>
        <v>49</v>
      </c>
      <c r="J6" s="34">
        <f t="shared" ca="1" si="1"/>
        <v>50</v>
      </c>
      <c r="K6" s="34">
        <f t="shared" ca="1" si="1"/>
        <v>51</v>
      </c>
      <c r="L6" s="34">
        <f t="shared" ca="1" si="1"/>
        <v>52</v>
      </c>
      <c r="M6" s="34">
        <f t="shared" ca="1" si="1"/>
        <v>1</v>
      </c>
      <c r="N6" s="34">
        <f t="shared" ca="1" si="1"/>
        <v>2</v>
      </c>
      <c r="O6" s="34">
        <f t="shared" ca="1" si="1"/>
        <v>3</v>
      </c>
      <c r="P6" s="34">
        <f t="shared" ca="1" si="1"/>
        <v>4</v>
      </c>
      <c r="Q6" s="38">
        <f t="shared" ca="1" si="1"/>
        <v>5</v>
      </c>
      <c r="R6" s="34">
        <f t="shared" ca="1" si="1"/>
        <v>6</v>
      </c>
      <c r="S6" s="34">
        <f t="shared" ca="1" si="1"/>
        <v>7</v>
      </c>
      <c r="T6" s="39">
        <f ca="1">IF((WEEKNUM(TODAY())-2)&gt;0, WEEKNUM(TODAY())-2,52)</f>
        <v>8</v>
      </c>
    </row>
    <row r="7" spans="2:24" ht="16.399999999999999" customHeight="1" x14ac:dyDescent="0.55000000000000004">
      <c r="B7" s="29"/>
      <c r="D7" s="289" t="s">
        <v>227</v>
      </c>
      <c r="E7" s="40" t="s">
        <v>418</v>
      </c>
      <c r="F7" s="40" t="s">
        <v>421</v>
      </c>
      <c r="G7" s="40"/>
      <c r="H7" s="40"/>
      <c r="I7" s="41">
        <f t="array" aca="1" ref="I7" ca="1">SUM(INDIRECT($E7&amp;"["&amp;$F7&amp;"]")*(INDIRECT($E7&amp;"[yr]")=I$5)*(INDIRECT($E7&amp;"[wk]")=I$6))</f>
        <v>45262</v>
      </c>
      <c r="J7" s="41">
        <f t="array" aca="1" ref="J7" ca="1">SUM(INDIRECT($E7&amp;"["&amp;$F7&amp;"]")*(INDIRECT($E7&amp;"[yr]")=J$5)*(INDIRECT($E7&amp;"[wk]")=J$6))</f>
        <v>45269</v>
      </c>
      <c r="K7" s="41">
        <f t="array" aca="1" ref="K7" ca="1">SUM(INDIRECT($E7&amp;"["&amp;$F7&amp;"]")*(INDIRECT($E7&amp;"[yr]")=K$5)*(INDIRECT($E7&amp;"[wk]")=K$6))</f>
        <v>45276</v>
      </c>
      <c r="L7" s="41">
        <f t="array" aca="1" ref="L7" ca="1">SUM(INDIRECT($E7&amp;"["&amp;$F7&amp;"]")*(INDIRECT($E7&amp;"[yr]")=L$5)*(INDIRECT($E7&amp;"[wk]")=L$6))</f>
        <v>45283</v>
      </c>
      <c r="M7" s="41">
        <f t="array" aca="1" ref="M7" ca="1">SUM(INDIRECT($E7&amp;"["&amp;$F7&amp;"]")*(INDIRECT($E7&amp;"[yr]")=M$5)*(INDIRECT($E7&amp;"[wk]")=M$6))</f>
        <v>45290</v>
      </c>
      <c r="N7" s="41">
        <f t="array" aca="1" ref="N7" ca="1">SUM(INDIRECT($E7&amp;"["&amp;$F7&amp;"]")*(INDIRECT($E7&amp;"[yr]")=N$5)*(INDIRECT($E7&amp;"[wk]")=N$6))</f>
        <v>44932</v>
      </c>
      <c r="O7" s="41">
        <f t="array" aca="1" ref="O7" ca="1">SUM(INDIRECT($E7&amp;"["&amp;$F7&amp;"]")*(INDIRECT($E7&amp;"[yr]")=O$5)*(INDIRECT($E7&amp;"[wk]")=O$6))</f>
        <v>44939</v>
      </c>
      <c r="P7" s="287">
        <f t="array" aca="1" ref="P7" ca="1">SUM(INDIRECT($E7&amp;"["&amp;$F7&amp;"]")*(INDIRECT($E7&amp;"[yr]")=P$5)*(INDIRECT($E7&amp;"[wk]")=P$6))</f>
        <v>44946</v>
      </c>
      <c r="Q7" s="41">
        <f t="array" aca="1" ref="Q7" ca="1">SUM(INDIRECT($E7&amp;"["&amp;$F7&amp;"]")*(INDIRECT($E7&amp;"[yr]")=Q$5)*(INDIRECT($E7&amp;"[wk]")=Q$6))</f>
        <v>44953</v>
      </c>
      <c r="R7" s="41">
        <f t="array" aca="1" ref="R7" ca="1">SUM(INDIRECT($E7&amp;"["&amp;$F7&amp;"]")*(INDIRECT($E7&amp;"[yr]")=R$5)*(INDIRECT($E7&amp;"[wk]")=R$6))</f>
        <v>44960</v>
      </c>
      <c r="S7" s="288">
        <f t="array" aca="1" ref="S7" ca="1">SUM(INDIRECT($E7&amp;"["&amp;$F7&amp;"]")*(INDIRECT($E7&amp;"[yr]")=S$5)*(INDIRECT($E7&amp;"[wk]")=S$6))</f>
        <v>44967</v>
      </c>
      <c r="T7" s="294">
        <f t="array" aca="1" ref="T7" ca="1">SUM(INDIRECT($E7&amp;"["&amp;$F7&amp;"]")*(INDIRECT($E7&amp;"[yr]")=T$5)*(INDIRECT($E7&amp;"[wk]")=T$6))</f>
        <v>44974</v>
      </c>
      <c r="U7" s="36" t="s">
        <v>62</v>
      </c>
      <c r="V7" s="42" t="s">
        <v>63</v>
      </c>
      <c r="W7" s="43" t="s">
        <v>64</v>
      </c>
      <c r="X7" s="44" t="s">
        <v>65</v>
      </c>
    </row>
    <row r="8" spans="2:24" ht="14.15" customHeight="1" x14ac:dyDescent="0.4">
      <c r="B8" s="328" t="s">
        <v>66</v>
      </c>
      <c r="D8" s="201" t="s">
        <v>527</v>
      </c>
      <c r="E8" t="s">
        <v>503</v>
      </c>
      <c r="F8" t="s">
        <v>291</v>
      </c>
      <c r="I8" s="45">
        <f t="array" aca="1" ref="I8" ca="1">IFERROR(  (SUM(INDIRECT($E8&amp;"["&amp;$F9&amp;"]")*(INDIRECT($E8&amp;"[yr]")=I$5)*(INDIRECT($E8&amp;"[wk]")=I$6)*(INDIRECT($E8&amp;"[siteflag]")=$G$2)))/
                      (SUM(INDIRECT($E8&amp;"["&amp;$F8&amp;"]")*(INDIRECT($E8&amp;"[yr]")=I$5)*(INDIRECT($E8&amp;"[wk]")=I$6)*(INDIRECT($E8&amp;"[siteflag]")=$G$2))),0)</f>
        <v>0.95660863958736297</v>
      </c>
      <c r="J8" s="45">
        <f t="array" aca="1" ref="J8" ca="1">IFERROR(  (SUM(INDIRECT($E8&amp;"["&amp;$F9&amp;"]")*(INDIRECT($E8&amp;"[yr]")=J$5)*(INDIRECT($E8&amp;"[wk]")=J$6)*(INDIRECT($E8&amp;"[siteflag]")=$G$2)))/
                      (SUM(INDIRECT($E8&amp;"["&amp;$F8&amp;"]")*(INDIRECT($E8&amp;"[yr]")=J$5)*(INDIRECT($E8&amp;"[wk]")=J$6)*(INDIRECT($E8&amp;"[siteflag]")=$G$2))),0)</f>
        <v>0.95875699034062023</v>
      </c>
      <c r="K8" s="45">
        <f t="array" aca="1" ref="K8" ca="1">IFERROR(  (SUM(INDIRECT($E8&amp;"["&amp;$F9&amp;"]")*(INDIRECT($E8&amp;"[yr]")=K$5)*(INDIRECT($E8&amp;"[wk]")=K$6)*(INDIRECT($E8&amp;"[siteflag]")=$G$2)))/
                      (SUM(INDIRECT($E8&amp;"["&amp;$F8&amp;"]")*(INDIRECT($E8&amp;"[yr]")=K$5)*(INDIRECT($E8&amp;"[wk]")=K$6)*(INDIRECT($E8&amp;"[siteflag]")=$G$2))),0)</f>
        <v>0.94521464185820259</v>
      </c>
      <c r="L8" s="45">
        <f t="array" aca="1" ref="L8" ca="1">IFERROR(  (SUM(INDIRECT($E8&amp;"["&amp;$F9&amp;"]")*(INDIRECT($E8&amp;"[yr]")=L$5)*(INDIRECT($E8&amp;"[wk]")=L$6)*(INDIRECT($E8&amp;"[siteflag]")=$G$2)))/
                      (SUM(INDIRECT($E8&amp;"["&amp;$F8&amp;"]")*(INDIRECT($E8&amp;"[yr]")=L$5)*(INDIRECT($E8&amp;"[wk]")=L$6)*(INDIRECT($E8&amp;"[siteflag]")=$G$2))),0)</f>
        <v>0.96869531401905506</v>
      </c>
      <c r="M8" s="45">
        <f t="array" aca="1" ref="M8" ca="1">IFERROR(  (SUM(INDIRECT($E8&amp;"["&amp;$F9&amp;"]")*(INDIRECT($E8&amp;"[yr]")=M$5)*(INDIRECT($E8&amp;"[wk]")=M$6)*(INDIRECT($E8&amp;"[siteflag]")=$G$2)))/
                      (SUM(INDIRECT($E8&amp;"["&amp;$F8&amp;"]")*(INDIRECT($E8&amp;"[yr]")=M$5)*(INDIRECT($E8&amp;"[wk]")=M$6)*(INDIRECT($E8&amp;"[siteflag]")=$G$2))),0)</f>
        <v>0.9699935191186001</v>
      </c>
      <c r="N8" s="45">
        <f t="array" aca="1" ref="N8" ca="1">IFERROR(  (SUM(INDIRECT($E8&amp;"["&amp;$F9&amp;"]")*(INDIRECT($E8&amp;"[yr]")=N$5)*(INDIRECT($E8&amp;"[wk]")=N$6)*(INDIRECT($E8&amp;"[siteflag]")=$G$2)))/
                      (SUM(INDIRECT($E8&amp;"["&amp;$F8&amp;"]")*(INDIRECT($E8&amp;"[yr]")=N$5)*(INDIRECT($E8&amp;"[wk]")=N$6)*(INDIRECT($E8&amp;"[siteflag]")=$G$2))),0)</f>
        <v>0.96685618296937592</v>
      </c>
      <c r="O8" s="45">
        <f t="array" aca="1" ref="O8" ca="1">IFERROR(  (SUM(INDIRECT($E8&amp;"["&amp;$F9&amp;"]")*(INDIRECT($E8&amp;"[yr]")=O$5)*(INDIRECT($E8&amp;"[wk]")=O$6)*(INDIRECT($E8&amp;"[siteflag]")=$G$2)))/
                      (SUM(INDIRECT($E8&amp;"["&amp;$F8&amp;"]")*(INDIRECT($E8&amp;"[yr]")=O$5)*(INDIRECT($E8&amp;"[wk]")=O$6)*(INDIRECT($E8&amp;"[siteflag]")=$G$2))),0)</f>
        <v>0.94117316867808032</v>
      </c>
      <c r="P8" s="47">
        <f t="array" aca="1" ref="P8" ca="1">IFERROR(  (SUM(INDIRECT($E8&amp;"["&amp;$F9&amp;"]")*(INDIRECT($E8&amp;"[yr]")=P$5)*(INDIRECT($E8&amp;"[wk]")=P$6)*(INDIRECT($E8&amp;"[siteflag]")=$G$2)))/
                      (SUM(INDIRECT($E8&amp;"["&amp;$F8&amp;"]")*(INDIRECT($E8&amp;"[yr]")=P$5)*(INDIRECT($E8&amp;"[wk]")=P$6)*(INDIRECT($E8&amp;"[siteflag]")=$G$2))),0)</f>
        <v>0.89766962260259853</v>
      </c>
      <c r="Q8" s="45">
        <f t="array" aca="1" ref="Q8" ca="1">IFERROR(  (SUM(INDIRECT($E8&amp;"["&amp;$F9&amp;"]")*(INDIRECT($E8&amp;"[yr]")=Q$5)*(INDIRECT($E8&amp;"[wk]")=Q$6)*(INDIRECT($E8&amp;"[siteflag]")=$G$2)))/
                      (SUM(INDIRECT($E8&amp;"["&amp;$F8&amp;"]")*(INDIRECT($E8&amp;"[yr]")=Q$5)*(INDIRECT($E8&amp;"[wk]")=Q$6)*(INDIRECT($E8&amp;"[siteflag]")=$G$2))),0)</f>
        <v>0.93786106121656387</v>
      </c>
      <c r="R8" s="45">
        <f t="array" aca="1" ref="R8" ca="1">IFERROR(  (SUM(INDIRECT($E8&amp;"["&amp;$F9&amp;"]")*(INDIRECT($E8&amp;"[yr]")=R$5)*(INDIRECT($E8&amp;"[wk]")=R$6)*(INDIRECT($E8&amp;"[siteflag]")=$G$2)))/
                      (SUM(INDIRECT($E8&amp;"["&amp;$F8&amp;"]")*(INDIRECT($E8&amp;"[yr]")=R$5)*(INDIRECT($E8&amp;"[wk]")=R$6)*(INDIRECT($E8&amp;"[siteflag]")=$G$2))),0)</f>
        <v>0.97023809523809523</v>
      </c>
      <c r="S8" s="163">
        <f t="array" aca="1" ref="S8" ca="1">IFERROR(  (SUM(INDIRECT($E8&amp;"["&amp;$F9&amp;"]")*(INDIRECT($E8&amp;"[yr]")=S$5)*(INDIRECT($E8&amp;"[wk]")=S$6)*(INDIRECT($E8&amp;"[siteflag]")=$G$2)))/
                      (SUM(INDIRECT($E8&amp;"["&amp;$F8&amp;"]")*(INDIRECT($E8&amp;"[yr]")=S$5)*(INDIRECT($E8&amp;"[wk]")=S$6)*(INDIRECT($E8&amp;"[siteflag]")=$G$2))),0)</f>
        <v>0.96551947211799716</v>
      </c>
      <c r="T8" s="162">
        <f t="array" aca="1" ref="T8" ca="1">IFERROR(  (SUM(INDIRECT($E8&amp;"["&amp;$F9&amp;"]")*(INDIRECT($E8&amp;"[yr]")=T$5)*(INDIRECT($E8&amp;"[wk]")=T$6)*(INDIRECT($E8&amp;"[siteflag]")=$G$2)))/
                      (SUM(INDIRECT($E8&amp;"["&amp;$F8&amp;"]")*(INDIRECT($E8&amp;"[yr]")=T$5)*(INDIRECT($E8&amp;"[wk]")=T$6)*(INDIRECT($E8&amp;"[siteflag]")=$G$2))),0)</f>
        <v>0.97440775745673258</v>
      </c>
      <c r="U8" s="46">
        <f t="array" aca="1" ref="U8" ca="1">SUM(Q8:T8*Q66:T66)/SUM(Q66:T66)</f>
        <v>0.96039499795749395</v>
      </c>
      <c r="V8" s="47">
        <f ca="1">SUM(T8/S8)-1</f>
        <v>9.205702831904361E-3</v>
      </c>
      <c r="W8" s="219">
        <v>0.99</v>
      </c>
      <c r="X8" s="49"/>
    </row>
    <row r="9" spans="2:24" ht="14.15" customHeight="1" x14ac:dyDescent="0.4">
      <c r="B9" s="329"/>
      <c r="D9" s="202" t="s">
        <v>67</v>
      </c>
      <c r="E9" s="40"/>
      <c r="F9" s="40" t="s">
        <v>372</v>
      </c>
      <c r="G9" s="40"/>
      <c r="H9" s="40"/>
      <c r="I9" s="226">
        <f t="array" aca="1" ref="I9" ca="1">IFERROR(  I8/((SUM(INDIRECT($E8&amp;"["&amp;$F9&amp;"]")*(INDIRECT($E8&amp;"[yr]")=I$5-1)*(INDIRECT($E8&amp;"[wk]")=I$6)*(INDIRECT($E8&amp;"[siteflag]")=$G$2)))/
                      (SUM(INDIRECT($E8&amp;"["&amp;$F8&amp;"]")*(INDIRECT($E8&amp;"[yr]")=I$5-1)*(INDIRECT($E8&amp;"[wk]")=I$6)*(INDIRECT($E8&amp;"[siteflag]")=$G$2))))-1,0)</f>
        <v>0.10157437881794862</v>
      </c>
      <c r="J9" s="226">
        <f t="array" aca="1" ref="J9" ca="1">IFERROR(  J8/((SUM(INDIRECT($E8&amp;"["&amp;$F9&amp;"]")*(INDIRECT($E8&amp;"[yr]")=J$5-1)*(INDIRECT($E8&amp;"[wk]")=J$6)*(INDIRECT($E8&amp;"[siteflag]")=$G$2)))/
                      (SUM(INDIRECT($E8&amp;"["&amp;$F8&amp;"]")*(INDIRECT($E8&amp;"[yr]")=J$5-1)*(INDIRECT($E8&amp;"[wk]")=J$6)*(INDIRECT($E8&amp;"[siteflag]")=$G$2))))-1,0)</f>
        <v>4.388429629222701E-3</v>
      </c>
      <c r="K9" s="226">
        <f t="array" aca="1" ref="K9" ca="1">IFERROR(  K8/((SUM(INDIRECT($E8&amp;"["&amp;$F9&amp;"]")*(INDIRECT($E8&amp;"[yr]")=K$5-1)*(INDIRECT($E8&amp;"[wk]")=K$6)*(INDIRECT($E8&amp;"[siteflag]")=$G$2)))/
                      (SUM(INDIRECT($E8&amp;"["&amp;$F8&amp;"]")*(INDIRECT($E8&amp;"[yr]")=K$5-1)*(INDIRECT($E8&amp;"[wk]")=K$6)*(INDIRECT($E8&amp;"[siteflag]")=$G$2))))-1,0)</f>
        <v>-3.2602301292234515E-2</v>
      </c>
      <c r="L9" s="226">
        <f t="array" aca="1" ref="L9" ca="1">IFERROR(  L8/((SUM(INDIRECT($E8&amp;"["&amp;$F9&amp;"]")*(INDIRECT($E8&amp;"[yr]")=L$5-1)*(INDIRECT($E8&amp;"[wk]")=L$6)*(INDIRECT($E8&amp;"[siteflag]")=$G$2)))/
                      (SUM(INDIRECT($E8&amp;"["&amp;$F8&amp;"]")*(INDIRECT($E8&amp;"[yr]")=L$5-1)*(INDIRECT($E8&amp;"[wk]")=L$6)*(INDIRECT($E8&amp;"[siteflag]")=$G$2))))-1,0)</f>
        <v>1.6304722504628666E-2</v>
      </c>
      <c r="M9" s="226">
        <f t="array" aca="1" ref="M9" ca="1">IFERROR(  M8/((SUM(INDIRECT($E8&amp;"["&amp;$F9&amp;"]")*(INDIRECT($E8&amp;"[yr]")=M$5-1)*(INDIRECT($E8&amp;"[wk]")=M$6)*(INDIRECT($E8&amp;"[siteflag]")=$G$2)))/
                      (SUM(INDIRECT($E8&amp;"["&amp;$F8&amp;"]")*(INDIRECT($E8&amp;"[yr]")=M$5-1)*(INDIRECT($E8&amp;"[wk]")=M$6)*(INDIRECT($E8&amp;"[siteflag]")=$G$2))))-1,0)</f>
        <v>4.9508219270983922E-3</v>
      </c>
      <c r="N9" s="226">
        <f t="array" aca="1" ref="N9" ca="1">IFERROR(  N8/((SUM(INDIRECT($E8&amp;"["&amp;$F9&amp;"]")*(INDIRECT($E8&amp;"[yr]")=N$5-1)*(INDIRECT($E8&amp;"[wk]")=N$6)*(INDIRECT($E8&amp;"[siteflag]")=$G$2)))/
                      (SUM(INDIRECT($E8&amp;"["&amp;$F8&amp;"]")*(INDIRECT($E8&amp;"[yr]")=N$5-1)*(INDIRECT($E8&amp;"[wk]")=N$6)*(INDIRECT($E8&amp;"[siteflag]")=$G$2))))-1,0)</f>
        <v>-8.6871518866860065E-4</v>
      </c>
      <c r="O9" s="226">
        <f t="array" aca="1" ref="O9" ca="1">IFERROR(  O8/((SUM(INDIRECT($E8&amp;"["&amp;$F9&amp;"]")*(INDIRECT($E8&amp;"[yr]")=O$5-1)*(INDIRECT($E8&amp;"[wk]")=O$6)*(INDIRECT($E8&amp;"[siteflag]")=$G$2)))/
                      (SUM(INDIRECT($E8&amp;"["&amp;$F8&amp;"]")*(INDIRECT($E8&amp;"[yr]")=O$5-1)*(INDIRECT($E8&amp;"[wk]")=O$6)*(INDIRECT($E8&amp;"[siteflag]")=$G$2))))-1,0)</f>
        <v>2.7477658083888912E-2</v>
      </c>
      <c r="P9" s="227">
        <f t="array" aca="1" ref="P9" ca="1">IFERROR(  P8/((SUM(INDIRECT($E8&amp;"["&amp;$F9&amp;"]")*(INDIRECT($E8&amp;"[yr]")=P$5-1)*(INDIRECT($E8&amp;"[wk]")=P$6)*(INDIRECT($E8&amp;"[siteflag]")=$G$2)))/
                      (SUM(INDIRECT($E8&amp;"["&amp;$F8&amp;"]")*(INDIRECT($E8&amp;"[yr]")=P$5-1)*(INDIRECT($E8&amp;"[wk]")=P$6)*(INDIRECT($E8&amp;"[siteflag]")=$G$2))))-1,0)</f>
        <v>-6.7943945278289175E-2</v>
      </c>
      <c r="Q9" s="226">
        <f t="array" aca="1" ref="Q9" ca="1">IFERROR(  Q8/((SUM(INDIRECT($E8&amp;"["&amp;$F9&amp;"]")*(INDIRECT($E8&amp;"[yr]")=Q$5-1)*(INDIRECT($E8&amp;"[wk]")=Q$6)*(INDIRECT($E8&amp;"[siteflag]")=$G$2)))/
                      (SUM(INDIRECT($E8&amp;"["&amp;$F8&amp;"]")*(INDIRECT($E8&amp;"[yr]")=Q$5-1)*(INDIRECT($E8&amp;"[wk]")=Q$6)*(INDIRECT($E8&amp;"[siteflag]")=$G$2))))-1,0)</f>
        <v>-2.5887301705821653E-2</v>
      </c>
      <c r="R9" s="226">
        <f t="array" aca="1" ref="R9" ca="1">IFERROR(  R8/((SUM(INDIRECT($E8&amp;"["&amp;$F9&amp;"]")*(INDIRECT($E8&amp;"[yr]")=R$5-1)*(INDIRECT($E8&amp;"[wk]")=R$6)*(INDIRECT($E8&amp;"[siteflag]")=$G$2)))/
                      (SUM(INDIRECT($E8&amp;"["&amp;$F8&amp;"]")*(INDIRECT($E8&amp;"[yr]")=R$5-1)*(INDIRECT($E8&amp;"[wk]")=R$6)*(INDIRECT($E8&amp;"[siteflag]")=$G$2))))-1,0)</f>
        <v>1.0141996305923051E-2</v>
      </c>
      <c r="S9" s="66">
        <f t="array" aca="1" ref="S9" ca="1">IFERROR(  S8/((SUM(INDIRECT($E8&amp;"["&amp;$F9&amp;"]")*(INDIRECT($E8&amp;"[yr]")=S$5-1)*(INDIRECT($E8&amp;"[wk]")=S$6)*(INDIRECT($E8&amp;"[siteflag]")=$G$2)))/
                      (SUM(INDIRECT($E8&amp;"["&amp;$F8&amp;"]")*(INDIRECT($E8&amp;"[yr]")=S$5-1)*(INDIRECT($E8&amp;"[wk]")=S$6)*(INDIRECT($E8&amp;"[siteflag]")=$G$2))))-1,0)</f>
        <v>8.7272859404039504E-3</v>
      </c>
      <c r="T9" s="50">
        <f t="array" aca="1" ref="T9" ca="1">IFERROR(  T8/((SUM(INDIRECT($E8&amp;"["&amp;$F9&amp;"]")*(INDIRECT($E8&amp;"[yr]")=T$5-1)*(INDIRECT($E8&amp;"[wk]")=T$6)*(INDIRECT($E8&amp;"[siteflag]")=$G$2)))/
                      (SUM(INDIRECT($E8&amp;"["&amp;$F8&amp;"]")*(INDIRECT($E8&amp;"[yr]")=T$5-1)*(INDIRECT($E8&amp;"[wk]")=T$6)*(INDIRECT($E8&amp;"[siteflag]")=$G$2))))-1,0)</f>
        <v>-2.9038961329587165E-3</v>
      </c>
      <c r="U9" s="53">
        <f t="array" aca="1" ref="U9" ca="1">SUM(Q9:T9*Q66:T66)/SUM(Q66:T66)</f>
        <v>-4.1788816314673443E-3</v>
      </c>
      <c r="V9" s="54"/>
      <c r="W9" s="55"/>
      <c r="X9" s="56"/>
    </row>
    <row r="10" spans="2:24" ht="3" customHeight="1" x14ac:dyDescent="0.4">
      <c r="B10" s="329"/>
      <c r="D10" s="61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61"/>
      <c r="Q10" s="57"/>
      <c r="R10" s="57"/>
      <c r="S10" s="149"/>
      <c r="T10" s="149"/>
      <c r="U10" s="60"/>
      <c r="V10" s="61"/>
      <c r="W10" s="62"/>
      <c r="X10" s="61"/>
    </row>
    <row r="11" spans="2:24" ht="14.15" customHeight="1" x14ac:dyDescent="0.4">
      <c r="B11" s="329"/>
      <c r="D11" s="203" t="s">
        <v>528</v>
      </c>
      <c r="E11" t="s">
        <v>514</v>
      </c>
      <c r="F11" t="s">
        <v>291</v>
      </c>
      <c r="I11" s="45">
        <f t="array" aca="1" ref="I11" ca="1">IFERROR(  (SUM(INDIRECT($E11&amp;"["&amp;$F12&amp;"]")*(INDIRECT($E11&amp;"[yr]")=I$5)*(INDIRECT($E11&amp;"[wk]")=I$6)*(INDIRECT($E11&amp;"[siteflag]")=$G$2)))/
                      (SUM(INDIRECT($E11&amp;"["&amp;$F11&amp;"]")*(INDIRECT($E11&amp;"[yr]")=I$5)*(INDIRECT($E11&amp;"[wk]")=I$6)*(INDIRECT($E11&amp;"[siteflag]")=$G$2))),0)</f>
        <v>0.98732357553580763</v>
      </c>
      <c r="J11" s="45">
        <f t="array" aca="1" ref="J11" ca="1">IFERROR(  (SUM(INDIRECT($E11&amp;"["&amp;$F12&amp;"]")*(INDIRECT($E11&amp;"[yr]")=J$5)*(INDIRECT($E11&amp;"[wk]")=J$6)*(INDIRECT($E11&amp;"[siteflag]")=$G$2)))/
                      (SUM(INDIRECT($E11&amp;"["&amp;$F11&amp;"]")*(INDIRECT($E11&amp;"[yr]")=J$5)*(INDIRECT($E11&amp;"[wk]")=J$6)*(INDIRECT($E11&amp;"[siteflag]")=$G$2))),0)</f>
        <v>0.98274209012464042</v>
      </c>
      <c r="K11" s="45">
        <f t="array" aca="1" ref="K11" ca="1">IFERROR(  (SUM(INDIRECT($E11&amp;"["&amp;$F12&amp;"]")*(INDIRECT($E11&amp;"[yr]")=K$5)*(INDIRECT($E11&amp;"[wk]")=K$6)*(INDIRECT($E11&amp;"[siteflag]")=$G$2)))/
                      (SUM(INDIRECT($E11&amp;"["&amp;$F11&amp;"]")*(INDIRECT($E11&amp;"[yr]")=K$5)*(INDIRECT($E11&amp;"[wk]")=K$6)*(INDIRECT($E11&amp;"[siteflag]")=$G$2))),0)</f>
        <v>0.97107387475538165</v>
      </c>
      <c r="L11" s="45">
        <f t="array" aca="1" ref="L11" ca="1">IFERROR(  (SUM(INDIRECT($E11&amp;"["&amp;$F12&amp;"]")*(INDIRECT($E11&amp;"[yr]")=L$5)*(INDIRECT($E11&amp;"[wk]")=L$6)*(INDIRECT($E11&amp;"[siteflag]")=$G$2)))/
                      (SUM(INDIRECT($E11&amp;"["&amp;$F11&amp;"]")*(INDIRECT($E11&amp;"[yr]")=L$5)*(INDIRECT($E11&amp;"[wk]")=L$6)*(INDIRECT($E11&amp;"[siteflag]")=$G$2))),0)</f>
        <v>0.99607294994675188</v>
      </c>
      <c r="M11" s="45">
        <f t="array" aca="1" ref="M11" ca="1">IFERROR(  (SUM(INDIRECT($E11&amp;"["&amp;$F12&amp;"]")*(INDIRECT($E11&amp;"[yr]")=M$5)*(INDIRECT($E11&amp;"[wk]")=M$6)*(INDIRECT($E11&amp;"[siteflag]")=$G$2)))/
                      (SUM(INDIRECT($E11&amp;"["&amp;$F11&amp;"]")*(INDIRECT($E11&amp;"[yr]")=M$5)*(INDIRECT($E11&amp;"[wk]")=M$6)*(INDIRECT($E11&amp;"[siteflag]")=$G$2))),0)</f>
        <v>0.99587534372135655</v>
      </c>
      <c r="N11" s="45">
        <f t="array" aca="1" ref="N11" ca="1">IFERROR(  (SUM(INDIRECT($E11&amp;"["&amp;$F12&amp;"]")*(INDIRECT($E11&amp;"[yr]")=N$5)*(INDIRECT($E11&amp;"[wk]")=N$6)*(INDIRECT($E11&amp;"[siteflag]")=$G$2)))/
                      (SUM(INDIRECT($E11&amp;"["&amp;$F11&amp;"]")*(INDIRECT($E11&amp;"[yr]")=N$5)*(INDIRECT($E11&amp;"[wk]")=N$6)*(INDIRECT($E11&amp;"[siteflag]")=$G$2))),0)</f>
        <v>0.99041823125728345</v>
      </c>
      <c r="O11" s="45">
        <f t="array" aca="1" ref="O11" ca="1">IFERROR(  (SUM(INDIRECT($E11&amp;"["&amp;$F12&amp;"]")*(INDIRECT($E11&amp;"[yr]")=O$5)*(INDIRECT($E11&amp;"[wk]")=O$6)*(INDIRECT($E11&amp;"[siteflag]")=$G$2)))/
                      (SUM(INDIRECT($E11&amp;"["&amp;$F11&amp;"]")*(INDIRECT($E11&amp;"[yr]")=O$5)*(INDIRECT($E11&amp;"[wk]")=O$6)*(INDIRECT($E11&amp;"[siteflag]")=$G$2))),0)</f>
        <v>0.96186491332934843</v>
      </c>
      <c r="P11" s="47">
        <f t="array" aca="1" ref="P11" ca="1">IFERROR(  (SUM(INDIRECT($E11&amp;"["&amp;$F12&amp;"]")*(INDIRECT($E11&amp;"[yr]")=P$5)*(INDIRECT($E11&amp;"[wk]")=P$6)*(INDIRECT($E11&amp;"[siteflag]")=$G$2)))/
                      (SUM(INDIRECT($E11&amp;"["&amp;$F11&amp;"]")*(INDIRECT($E11&amp;"[yr]")=P$5)*(INDIRECT($E11&amp;"[wk]")=P$6)*(INDIRECT($E11&amp;"[siteflag]")=$G$2))),0)</f>
        <v>0.9661351165980796</v>
      </c>
      <c r="Q11" s="45">
        <f t="array" aca="1" ref="Q11" ca="1">IFERROR(  (SUM(INDIRECT($E11&amp;"["&amp;$F12&amp;"]")*(INDIRECT($E11&amp;"[yr]")=Q$5)*(INDIRECT($E11&amp;"[wk]")=Q$6)*(INDIRECT($E11&amp;"[siteflag]")=$G$2)))/
                      (SUM(INDIRECT($E11&amp;"["&amp;$F11&amp;"]")*(INDIRECT($E11&amp;"[yr]")=Q$5)*(INDIRECT($E11&amp;"[wk]")=Q$6)*(INDIRECT($E11&amp;"[siteflag]")=$G$2))),0)</f>
        <v>0.95922133038103141</v>
      </c>
      <c r="R11" s="45">
        <f t="array" aca="1" ref="R11" ca="1">IFERROR(  (SUM(INDIRECT($E11&amp;"["&amp;$F12&amp;"]")*(INDIRECT($E11&amp;"[yr]")=R$5)*(INDIRECT($E11&amp;"[wk]")=R$6)*(INDIRECT($E11&amp;"[siteflag]")=$G$2)))/
                      (SUM(INDIRECT($E11&amp;"["&amp;$F11&amp;"]")*(INDIRECT($E11&amp;"[yr]")=R$5)*(INDIRECT($E11&amp;"[wk]")=R$6)*(INDIRECT($E11&amp;"[siteflag]")=$G$2))),0)</f>
        <v>0.99360899853006968</v>
      </c>
      <c r="S11" s="164">
        <f t="array" aca="1" ref="S11" ca="1">IFERROR(  (SUM(INDIRECT($E11&amp;"["&amp;$F12&amp;"]")*(INDIRECT($E11&amp;"[yr]")=S$5)*(INDIRECT($E11&amp;"[wk]")=S$6)*(INDIRECT($E11&amp;"[siteflag]")=$G$2)))/
                      (SUM(INDIRECT($E11&amp;"["&amp;$F11&amp;"]")*(INDIRECT($E11&amp;"[yr]")=S$5)*(INDIRECT($E11&amp;"[wk]")=S$6)*(INDIRECT($E11&amp;"[siteflag]")=$G$2))),0)</f>
        <v>0.99270169851380041</v>
      </c>
      <c r="T11" s="162">
        <f t="array" aca="1" ref="T11" ca="1">IFERROR(  (SUM(INDIRECT($E11&amp;"["&amp;$F12&amp;"]")*(INDIRECT($E11&amp;"[yr]")=T$5)*(INDIRECT($E11&amp;"[wk]")=T$6)*(INDIRECT($E11&amp;"[siteflag]")=$G$2)))/
                      (SUM(INDIRECT($E11&amp;"["&amp;$F11&amp;"]")*(INDIRECT($E11&amp;"[yr]")=T$5)*(INDIRECT($E11&amp;"[wk]")=T$6)*(INDIRECT($E11&amp;"[siteflag]")=$G$2))),0)</f>
        <v>0.99588701385108569</v>
      </c>
      <c r="U11" s="46">
        <f t="array" aca="1" ref="U11" ca="1">SUM(Q11:T11*Q66:T66)/SUM(Q66:T66)</f>
        <v>0.98357631587217442</v>
      </c>
      <c r="V11" s="47">
        <f ca="1">SUM(T11/S11)-1</f>
        <v>3.2087336427992774E-3</v>
      </c>
      <c r="W11" s="48">
        <v>0.995</v>
      </c>
      <c r="X11" s="49"/>
    </row>
    <row r="12" spans="2:24" ht="14.15" customHeight="1" x14ac:dyDescent="0.4">
      <c r="B12" s="329"/>
      <c r="D12" s="202" t="s">
        <v>67</v>
      </c>
      <c r="E12" s="40"/>
      <c r="F12" s="40" t="s">
        <v>372</v>
      </c>
      <c r="G12" s="40"/>
      <c r="H12" s="40"/>
      <c r="I12" s="50">
        <f t="array" aca="1" ref="I12" ca="1">IFERROR(  I11/((SUM(INDIRECT($E11&amp;"["&amp;$F12&amp;"]")*(INDIRECT($E11&amp;"[yr]")=I$5-1)*(INDIRECT($E11&amp;"[wk]")=I$6)*(INDIRECT($E11&amp;"[siteflag]")=$G$2)))/
                      (SUM(INDIRECT($E11&amp;"["&amp;$F11&amp;"]")*(INDIRECT($E11&amp;"[yr]")=I$5-1)*(INDIRECT($E11&amp;"[wk]")=I$6)*(INDIRECT($E11&amp;"[siteflag]")=$G$2))))-1,0)</f>
        <v>0.11520975982857551</v>
      </c>
      <c r="J12" s="50">
        <f t="array" aca="1" ref="J12" ca="1">IFERROR(  J11/((SUM(INDIRECT($E11&amp;"["&amp;$F12&amp;"]")*(INDIRECT($E11&amp;"[yr]")=J$5-1)*(INDIRECT($E11&amp;"[wk]")=J$6)*(INDIRECT($E11&amp;"[siteflag]")=$G$2)))/
                      (SUM(INDIRECT($E11&amp;"["&amp;$F11&amp;"]")*(INDIRECT($E11&amp;"[yr]")=J$5-1)*(INDIRECT($E11&amp;"[wk]")=J$6)*(INDIRECT($E11&amp;"[siteflag]")=$G$2))))-1,0)</f>
        <v>-1.2633416353891036E-4</v>
      </c>
      <c r="K12" s="50">
        <f t="array" aca="1" ref="K12" ca="1">IFERROR(  K11/((SUM(INDIRECT($E11&amp;"["&amp;$F12&amp;"]")*(INDIRECT($E11&amp;"[yr]")=K$5-1)*(INDIRECT($E11&amp;"[wk]")=K$6)*(INDIRECT($E11&amp;"[siteflag]")=$G$2)))/
                      (SUM(INDIRECT($E11&amp;"["&amp;$F11&amp;"]")*(INDIRECT($E11&amp;"[yr]")=K$5-1)*(INDIRECT($E11&amp;"[wk]")=K$6)*(INDIRECT($E11&amp;"[siteflag]")=$G$2))))-1,0)</f>
        <v>-1.4263429524496329E-2</v>
      </c>
      <c r="L12" s="50">
        <f t="array" aca="1" ref="L12" ca="1">IFERROR(  L11/((SUM(INDIRECT($E11&amp;"["&amp;$F12&amp;"]")*(INDIRECT($E11&amp;"[yr]")=L$5-1)*(INDIRECT($E11&amp;"[wk]")=L$6)*(INDIRECT($E11&amp;"[siteflag]")=$G$2)))/
                      (SUM(INDIRECT($E11&amp;"["&amp;$F11&amp;"]")*(INDIRECT($E11&amp;"[yr]")=L$5-1)*(INDIRECT($E11&amp;"[wk]")=L$6)*(INDIRECT($E11&amp;"[siteflag]")=$G$2))))-1,0)</f>
        <v>3.6952820765387306E-2</v>
      </c>
      <c r="M12" s="50">
        <f t="array" aca="1" ref="M12" ca="1">IFERROR(  M11/((SUM(INDIRECT($E11&amp;"["&amp;$F12&amp;"]")*(INDIRECT($E11&amp;"[yr]")=M$5-1)*(INDIRECT($E11&amp;"[wk]")=M$6)*(INDIRECT($E11&amp;"[siteflag]")=$G$2)))/
                      (SUM(INDIRECT($E11&amp;"["&amp;$F11&amp;"]")*(INDIRECT($E11&amp;"[yr]")=M$5-1)*(INDIRECT($E11&amp;"[wk]")=M$6)*(INDIRECT($E11&amp;"[siteflag]")=$G$2))))-1,0)</f>
        <v>2.0298348124479171E-2</v>
      </c>
      <c r="N12" s="50">
        <f t="array" aca="1" ref="N12" ca="1">IFERROR(  N11/((SUM(INDIRECT($E11&amp;"["&amp;$F12&amp;"]")*(INDIRECT($E11&amp;"[yr]")=N$5-1)*(INDIRECT($E11&amp;"[wk]")=N$6)*(INDIRECT($E11&amp;"[siteflag]")=$G$2)))/
                      (SUM(INDIRECT($E11&amp;"["&amp;$F11&amp;"]")*(INDIRECT($E11&amp;"[yr]")=N$5-1)*(INDIRECT($E11&amp;"[wk]")=N$6)*(INDIRECT($E11&amp;"[siteflag]")=$G$2))))-1,0)</f>
        <v>1.4315519985290681E-2</v>
      </c>
      <c r="O12" s="50">
        <f t="array" aca="1" ref="O12" ca="1">IFERROR(  O11/((SUM(INDIRECT($E11&amp;"["&amp;$F12&amp;"]")*(INDIRECT($E11&amp;"[yr]")=O$5-1)*(INDIRECT($E11&amp;"[wk]")=O$6)*(INDIRECT($E11&amp;"[siteflag]")=$G$2)))/
                      (SUM(INDIRECT($E11&amp;"["&amp;$F11&amp;"]")*(INDIRECT($E11&amp;"[yr]")=O$5-1)*(INDIRECT($E11&amp;"[wk]")=O$6)*(INDIRECT($E11&amp;"[siteflag]")=$G$2))))-1,0)</f>
        <v>2.5250301676606357E-2</v>
      </c>
      <c r="P12" s="54">
        <f t="array" aca="1" ref="P12" ca="1">IFERROR(  P11/((SUM(INDIRECT($E11&amp;"["&amp;$F12&amp;"]")*(INDIRECT($E11&amp;"[yr]")=P$5-1)*(INDIRECT($E11&amp;"[wk]")=P$6)*(INDIRECT($E11&amp;"[siteflag]")=$G$2)))/
                      (SUM(INDIRECT($E11&amp;"["&amp;$F11&amp;"]")*(INDIRECT($E11&amp;"[yr]")=P$5-1)*(INDIRECT($E11&amp;"[wk]")=P$6)*(INDIRECT($E11&amp;"[siteflag]")=$G$2))))-1,0)</f>
        <v>9.942915877175551E-3</v>
      </c>
      <c r="Q12" s="50">
        <f t="array" aca="1" ref="Q12" ca="1">IFERROR(  Q11/((SUM(INDIRECT($E11&amp;"["&amp;$F12&amp;"]")*(INDIRECT($E11&amp;"[yr]")=Q$5-1)*(INDIRECT($E11&amp;"[wk]")=Q$6)*(INDIRECT($E11&amp;"[siteflag]")=$G$2)))/
                      (SUM(INDIRECT($E11&amp;"["&amp;$F11&amp;"]")*(INDIRECT($E11&amp;"[yr]")=Q$5-1)*(INDIRECT($E11&amp;"[wk]")=Q$6)*(INDIRECT($E11&amp;"[siteflag]")=$G$2))))-1,0)</f>
        <v>-2.0220885732798455E-2</v>
      </c>
      <c r="R12" s="50">
        <f t="array" aca="1" ref="R12" ca="1">IFERROR(  R11/((SUM(INDIRECT($E11&amp;"["&amp;$F12&amp;"]")*(INDIRECT($E11&amp;"[yr]")=R$5-1)*(INDIRECT($E11&amp;"[wk]")=R$6)*(INDIRECT($E11&amp;"[siteflag]")=$G$2)))/
                      (SUM(INDIRECT($E11&amp;"["&amp;$F11&amp;"]")*(INDIRECT($E11&amp;"[yr]")=R$5-1)*(INDIRECT($E11&amp;"[wk]")=R$6)*(INDIRECT($E11&amp;"[siteflag]")=$G$2))))-1,0)</f>
        <v>1.7572509671089032E-2</v>
      </c>
      <c r="S12" s="66">
        <f t="array" aca="1" ref="S12" ca="1">IFERROR(  S11/((SUM(INDIRECT($E11&amp;"["&amp;$F12&amp;"]")*(INDIRECT($E11&amp;"[yr]")=S$5-1)*(INDIRECT($E11&amp;"[wk]")=S$6)*(INDIRECT($E11&amp;"[siteflag]")=$G$2)))/
                      (SUM(INDIRECT($E11&amp;"["&amp;$F11&amp;"]")*(INDIRECT($E11&amp;"[yr]")=S$5-1)*(INDIRECT($E11&amp;"[wk]")=S$6)*(INDIRECT($E11&amp;"[siteflag]")=$G$2))))-1,0)</f>
        <v>2.219492401552281E-2</v>
      </c>
      <c r="T12" s="50">
        <f t="array" aca="1" ref="T12" ca="1">IFERROR(  T11/((SUM(INDIRECT($E11&amp;"["&amp;$F12&amp;"]")*(INDIRECT($E11&amp;"[yr]")=T$5-1)*(INDIRECT($E11&amp;"[wk]")=T$6)*(INDIRECT($E11&amp;"[siteflag]")=$G$2)))/
                      (SUM(INDIRECT($E11&amp;"["&amp;$F11&amp;"]")*(INDIRECT($E11&amp;"[yr]")=T$5-1)*(INDIRECT($E11&amp;"[wk]")=T$6)*(INDIRECT($E11&amp;"[siteflag]")=$G$2))))-1,0)</f>
        <v>1.0309418802678438E-2</v>
      </c>
      <c r="U12" s="53">
        <f t="array" aca="1" ref="U12" ca="1">SUM(Q12:T12*Q66:T66)/SUM(Q66:T66)</f>
        <v>5.4864974431317664E-3</v>
      </c>
      <c r="V12" s="54"/>
      <c r="W12" s="55"/>
      <c r="X12" s="56"/>
    </row>
    <row r="13" spans="2:24" ht="3" customHeight="1" x14ac:dyDescent="0.4">
      <c r="B13" s="329"/>
      <c r="D13" s="61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61"/>
      <c r="Q13" s="57"/>
      <c r="R13" s="57"/>
      <c r="S13" s="149"/>
      <c r="T13" s="149"/>
      <c r="U13" s="60"/>
      <c r="V13" s="61"/>
      <c r="W13" s="62"/>
      <c r="X13" s="61"/>
    </row>
    <row r="14" spans="2:24" ht="14.15" customHeight="1" x14ac:dyDescent="0.4">
      <c r="B14" s="329"/>
      <c r="D14" s="270" t="s">
        <v>529</v>
      </c>
      <c r="E14" t="s">
        <v>517</v>
      </c>
      <c r="F14" t="s">
        <v>291</v>
      </c>
      <c r="I14" s="45">
        <f t="array" aca="1" ref="I14" ca="1">IFERROR(  (SUM(INDIRECT($E14&amp;"["&amp;$F15&amp;"]")*(INDIRECT($E14&amp;"[yr]")=I$5)*(INDIRECT($E14&amp;"[wk]")=I$6)*(INDIRECT($E14&amp;"[siteflag]")=$G$2)))/
                      (SUM(INDIRECT($E14&amp;"["&amp;$F14&amp;"]")*(INDIRECT($E14&amp;"[yr]")=I$5)*(INDIRECT($E14&amp;"[wk]")=I$6)*(INDIRECT($E14&amp;"[siteflag]")=$G$2))),0)</f>
        <v>0.90201729106628237</v>
      </c>
      <c r="J14" s="45">
        <f t="array" aca="1" ref="J14" ca="1">IFERROR(  (SUM(INDIRECT($E14&amp;"["&amp;$F15&amp;"]")*(INDIRECT($E14&amp;"[yr]")=J$5)*(INDIRECT($E14&amp;"[wk]")=J$6)*(INDIRECT($E14&amp;"[siteflag]")=$G$2)))/
                      (SUM(INDIRECT($E14&amp;"["&amp;$F14&amp;"]")*(INDIRECT($E14&amp;"[yr]")=J$5)*(INDIRECT($E14&amp;"[wk]")=J$6)*(INDIRECT($E14&amp;"[siteflag]")=$G$2))),0)</f>
        <v>0.91470349309504473</v>
      </c>
      <c r="K14" s="45">
        <f t="array" aca="1" ref="K14" ca="1">IFERROR(  (SUM(INDIRECT($E14&amp;"["&amp;$F15&amp;"]")*(INDIRECT($E14&amp;"[yr]")=K$5)*(INDIRECT($E14&amp;"[wk]")=K$6)*(INDIRECT($E14&amp;"[siteflag]")=$G$2)))/
                      (SUM(INDIRECT($E14&amp;"["&amp;$F14&amp;"]")*(INDIRECT($E14&amp;"[yr]")=K$5)*(INDIRECT($E14&amp;"[wk]")=K$6)*(INDIRECT($E14&amp;"[siteflag]")=$G$2))),0)</f>
        <v>0.86978297161936557</v>
      </c>
      <c r="L14" s="45">
        <f t="array" aca="1" ref="L14" ca="1">IFERROR(  (SUM(INDIRECT($E14&amp;"["&amp;$F15&amp;"]")*(INDIRECT($E14&amp;"[yr]")=L$5)*(INDIRECT($E14&amp;"[wk]")=L$6)*(INDIRECT($E14&amp;"[siteflag]")=$G$2)))/
                      (SUM(INDIRECT($E14&amp;"["&amp;$F14&amp;"]")*(INDIRECT($E14&amp;"[yr]")=L$5)*(INDIRECT($E14&amp;"[wk]")=L$6)*(INDIRECT($E14&amp;"[siteflag]")=$G$2))),0)</f>
        <v>0.93043812451960028</v>
      </c>
      <c r="M14" s="45">
        <f t="array" aca="1" ref="M14" ca="1">IFERROR(  (SUM(INDIRECT($E14&amp;"["&amp;$F15&amp;"]")*(INDIRECT($E14&amp;"[yr]")=M$5)*(INDIRECT($E14&amp;"[wk]")=M$6)*(INDIRECT($E14&amp;"[siteflag]")=$G$2)))/
                      (SUM(INDIRECT($E14&amp;"["&amp;$F14&amp;"]")*(INDIRECT($E14&amp;"[yr]")=M$5)*(INDIRECT($E14&amp;"[wk]")=M$6)*(INDIRECT($E14&amp;"[siteflag]")=$G$2))),0)</f>
        <v>0.91740412979351027</v>
      </c>
      <c r="N14" s="45">
        <f t="array" aca="1" ref="N14" ca="1">IFERROR(  (SUM(INDIRECT($E14&amp;"["&amp;$F15&amp;"]")*(INDIRECT($E14&amp;"[yr]")=N$5)*(INDIRECT($E14&amp;"[wk]")=N$6)*(INDIRECT($E14&amp;"[siteflag]")=$G$2)))/
                      (SUM(INDIRECT($E14&amp;"["&amp;$F14&amp;"]")*(INDIRECT($E14&amp;"[yr]")=N$5)*(INDIRECT($E14&amp;"[wk]")=N$6)*(INDIRECT($E14&amp;"[siteflag]")=$G$2))),0)</f>
        <v>0.93364197530864201</v>
      </c>
      <c r="O14" s="45">
        <f t="array" aca="1" ref="O14" ca="1">IFERROR(  (SUM(INDIRECT($E14&amp;"["&amp;$F15&amp;"]")*(INDIRECT($E14&amp;"[yr]")=O$5)*(INDIRECT($E14&amp;"[wk]")=O$6)*(INDIRECT($E14&amp;"[siteflag]")=$G$2)))/
                      (SUM(INDIRECT($E14&amp;"["&amp;$F14&amp;"]")*(INDIRECT($E14&amp;"[yr]")=O$5)*(INDIRECT($E14&amp;"[wk]")=O$6)*(INDIRECT($E14&amp;"[siteflag]")=$G$2))),0)</f>
        <v>0.90021691973969631</v>
      </c>
      <c r="P14" s="47">
        <f t="array" aca="1" ref="P14" ca="1">IFERROR(  (SUM(INDIRECT($E14&amp;"["&amp;$F15&amp;"]")*(INDIRECT($E14&amp;"[yr]")=P$5)*(INDIRECT($E14&amp;"[wk]")=P$6)*(INDIRECT($E14&amp;"[siteflag]")=$G$2)))/
                      (SUM(INDIRECT($E14&amp;"["&amp;$F14&amp;"]")*(INDIRECT($E14&amp;"[yr]")=P$5)*(INDIRECT($E14&amp;"[wk]")=P$6)*(INDIRECT($E14&amp;"[siteflag]")=$G$2))),0)</f>
        <v>0.87495786990225821</v>
      </c>
      <c r="Q14" s="45">
        <f t="array" aca="1" ref="Q14" ca="1">IFERROR(  (SUM(INDIRECT($E14&amp;"["&amp;$F15&amp;"]")*(INDIRECT($E14&amp;"[yr]")=Q$5)*(INDIRECT($E14&amp;"[wk]")=Q$6)*(INDIRECT($E14&amp;"[siteflag]")=$G$2)))/
                      (SUM(INDIRECT($E14&amp;"["&amp;$F14&amp;"]")*(INDIRECT($E14&amp;"[yr]")=Q$5)*(INDIRECT($E14&amp;"[wk]")=Q$6)*(INDIRECT($E14&amp;"[siteflag]")=$G$2))),0)</f>
        <v>0.95608380338436749</v>
      </c>
      <c r="R14" s="45">
        <f t="array" aca="1" ref="R14" ca="1">IFERROR(  (SUM(INDIRECT($E14&amp;"["&amp;$F15&amp;"]")*(INDIRECT($E14&amp;"[yr]")=R$5)*(INDIRECT($E14&amp;"[wk]")=R$6)*(INDIRECT($E14&amp;"[siteflag]")=$G$2)))/
                      (SUM(INDIRECT($E14&amp;"["&amp;$F14&amp;"]")*(INDIRECT($E14&amp;"[yr]")=R$5)*(INDIRECT($E14&amp;"[wk]")=R$6)*(INDIRECT($E14&amp;"[siteflag]")=$G$2))),0)</f>
        <v>0.9404920212765957</v>
      </c>
      <c r="S14" s="163">
        <f t="array" aca="1" ref="S14" ca="1">IFERROR(  (SUM(INDIRECT($E14&amp;"["&amp;$F15&amp;"]")*(INDIRECT($E14&amp;"[yr]")=S$5)*(INDIRECT($E14&amp;"[wk]")=S$6)*(INDIRECT($E14&amp;"[siteflag]")=$G$2)))/
                      (SUM(INDIRECT($E14&amp;"["&amp;$F14&amp;"]")*(INDIRECT($E14&amp;"[yr]")=S$5)*(INDIRECT($E14&amp;"[wk]")=S$6)*(INDIRECT($E14&amp;"[siteflag]")=$G$2))),0)</f>
        <v>0.95190594941218387</v>
      </c>
      <c r="T14" s="162">
        <f t="array" aca="1" ref="T14" ca="1">IFERROR(  (SUM(INDIRECT($E14&amp;"["&amp;$F15&amp;"]")*(INDIRECT($E14&amp;"[yr]")=T$5)*(INDIRECT($E14&amp;"[wk]")=T$6)*(INDIRECT($E14&amp;"[siteflag]")=$G$2)))/
                      (SUM(INDIRECT($E14&amp;"["&amp;$F14&amp;"]")*(INDIRECT($E14&amp;"[yr]")=T$5)*(INDIRECT($E14&amp;"[wk]")=T$6)*(INDIRECT($E14&amp;"[siteflag]")=$G$2))),0)</f>
        <v>0.94152508889766895</v>
      </c>
      <c r="U14" s="46">
        <f t="array" aca="1" ref="U14" ca="1">SUM(Q14:T14*Q66:T66)/SUM(Q66:T66)</f>
        <v>0.94805048027635186</v>
      </c>
      <c r="V14" s="47">
        <f ca="1">SUM(T14/S14)-1</f>
        <v>-1.0905342613863556E-2</v>
      </c>
      <c r="W14" s="219">
        <v>0.99</v>
      </c>
      <c r="X14" s="49"/>
    </row>
    <row r="15" spans="2:24" ht="14.15" customHeight="1" x14ac:dyDescent="0.4">
      <c r="B15" s="329"/>
      <c r="D15" s="202" t="s">
        <v>67</v>
      </c>
      <c r="E15" s="40"/>
      <c r="F15" s="40" t="s">
        <v>372</v>
      </c>
      <c r="G15" s="40"/>
      <c r="H15" s="40"/>
      <c r="I15" s="226">
        <f t="array" aca="1" ref="I15" ca="1">IFERROR(  I14/((SUM(INDIRECT($E14&amp;"["&amp;$F15&amp;"]")*(INDIRECT($E14&amp;"[yr]")=I$5-1)*(INDIRECT($E14&amp;"[wk]")=I$6)*(INDIRECT($E14&amp;"[siteflag]")=$G$2)))/
                      (SUM(INDIRECT($E14&amp;"["&amp;$F14&amp;"]")*(INDIRECT($E14&amp;"[yr]")=I$5-1)*(INDIRECT($E14&amp;"[wk]")=I$6)*(INDIRECT($E14&amp;"[siteflag]")=$G$2))))-1,0)</f>
        <v>4.7424450008661134E-2</v>
      </c>
      <c r="J15" s="226">
        <f t="array" aca="1" ref="J15" ca="1">IFERROR(  J14/((SUM(INDIRECT($E14&amp;"["&amp;$F15&amp;"]")*(INDIRECT($E14&amp;"[yr]")=J$5-1)*(INDIRECT($E14&amp;"[wk]")=J$6)*(INDIRECT($E14&amp;"[siteflag]")=$G$2)))/
                      (SUM(INDIRECT($E14&amp;"["&amp;$F14&amp;"]")*(INDIRECT($E14&amp;"[yr]")=J$5-1)*(INDIRECT($E14&amp;"[wk]")=J$6)*(INDIRECT($E14&amp;"[siteflag]")=$G$2))))-1,0)</f>
        <v>6.2180781504973526E-2</v>
      </c>
      <c r="K15" s="226">
        <f t="array" aca="1" ref="K15" ca="1">IFERROR(  K14/((SUM(INDIRECT($E14&amp;"["&amp;$F15&amp;"]")*(INDIRECT($E14&amp;"[yr]")=K$5-1)*(INDIRECT($E14&amp;"[wk]")=K$6)*(INDIRECT($E14&amp;"[siteflag]")=$G$2)))/
                      (SUM(INDIRECT($E14&amp;"["&amp;$F14&amp;"]")*(INDIRECT($E14&amp;"[yr]")=K$5-1)*(INDIRECT($E14&amp;"[wk]")=K$6)*(INDIRECT($E14&amp;"[siteflag]")=$G$2))))-1,0)</f>
        <v>-8.1404638899565285E-2</v>
      </c>
      <c r="L15" s="226">
        <f t="array" aca="1" ref="L15" ca="1">IFERROR(  L14/((SUM(INDIRECT($E14&amp;"["&amp;$F15&amp;"]")*(INDIRECT($E14&amp;"[yr]")=L$5-1)*(INDIRECT($E14&amp;"[wk]")=L$6)*(INDIRECT($E14&amp;"[siteflag]")=$G$2)))/
                      (SUM(INDIRECT($E14&amp;"["&amp;$F14&amp;"]")*(INDIRECT($E14&amp;"[yr]")=L$5-1)*(INDIRECT($E14&amp;"[wk]")=L$6)*(INDIRECT($E14&amp;"[siteflag]")=$G$2))))-1,0)</f>
        <v>3.7178741850275365E-2</v>
      </c>
      <c r="M15" s="226">
        <f t="array" aca="1" ref="M15" ca="1">IFERROR(  M14/((SUM(INDIRECT($E14&amp;"["&amp;$F15&amp;"]")*(INDIRECT($E14&amp;"[yr]")=M$5-1)*(INDIRECT($E14&amp;"[wk]")=M$6)*(INDIRECT($E14&amp;"[siteflag]")=$G$2)))/
                      (SUM(INDIRECT($E14&amp;"["&amp;$F14&amp;"]")*(INDIRECT($E14&amp;"[yr]")=M$5-1)*(INDIRECT($E14&amp;"[wk]")=M$6)*(INDIRECT($E14&amp;"[siteflag]")=$G$2))))-1,0)</f>
        <v>5.9509236353744166E-2</v>
      </c>
      <c r="N15" s="226">
        <f t="array" aca="1" ref="N15" ca="1">IFERROR(  N14/((SUM(INDIRECT($E14&amp;"["&amp;$F15&amp;"]")*(INDIRECT($E14&amp;"[yr]")=N$5-1)*(INDIRECT($E14&amp;"[wk]")=N$6)*(INDIRECT($E14&amp;"[siteflag]")=$G$2)))/
                      (SUM(INDIRECT($E14&amp;"["&amp;$F14&amp;"]")*(INDIRECT($E14&amp;"[yr]")=N$5-1)*(INDIRECT($E14&amp;"[wk]")=N$6)*(INDIRECT($E14&amp;"[siteflag]")=$G$2))))-1,0)</f>
        <v>-2.2452710220950411E-3</v>
      </c>
      <c r="O15" s="226">
        <f t="array" aca="1" ref="O15" ca="1">IFERROR(  O14/((SUM(INDIRECT($E14&amp;"["&amp;$F15&amp;"]")*(INDIRECT($E14&amp;"[yr]")=O$5-1)*(INDIRECT($E14&amp;"[wk]")=O$6)*(INDIRECT($E14&amp;"[siteflag]")=$G$2)))/
                      (SUM(INDIRECT($E14&amp;"["&amp;$F14&amp;"]")*(INDIRECT($E14&amp;"[yr]")=O$5-1)*(INDIRECT($E14&amp;"[wk]")=O$6)*(INDIRECT($E14&amp;"[siteflag]")=$G$2))))-1,0)</f>
        <v>0.13188261353874853</v>
      </c>
      <c r="P15" s="227">
        <f t="array" aca="1" ref="P15" ca="1">IFERROR(  P14/((SUM(INDIRECT($E14&amp;"["&amp;$F15&amp;"]")*(INDIRECT($E14&amp;"[yr]")=P$5-1)*(INDIRECT($E14&amp;"[wk]")=P$6)*(INDIRECT($E14&amp;"[siteflag]")=$G$2)))/
                      (SUM(INDIRECT($E14&amp;"["&amp;$F14&amp;"]")*(INDIRECT($E14&amp;"[yr]")=P$5-1)*(INDIRECT($E14&amp;"[wk]")=P$6)*(INDIRECT($E14&amp;"[siteflag]")=$G$2))))-1,0)</f>
        <v>1.2728727062913281E-2</v>
      </c>
      <c r="Q15" s="226">
        <f t="array" aca="1" ref="Q15" ca="1">IFERROR(  Q14/((SUM(INDIRECT($E14&amp;"["&amp;$F15&amp;"]")*(INDIRECT($E14&amp;"[yr]")=Q$5-1)*(INDIRECT($E14&amp;"[wk]")=Q$6)*(INDIRECT($E14&amp;"[siteflag]")=$G$2)))/
                      (SUM(INDIRECT($E14&amp;"["&amp;$F14&amp;"]")*(INDIRECT($E14&amp;"[yr]")=Q$5-1)*(INDIRECT($E14&amp;"[wk]")=Q$6)*(INDIRECT($E14&amp;"[siteflag]")=$G$2))))-1,0)</f>
        <v>2.2356686799389847E-2</v>
      </c>
      <c r="R15" s="226">
        <f t="array" aca="1" ref="R15" ca="1">IFERROR(  R14/((SUM(INDIRECT($E14&amp;"["&amp;$F15&amp;"]")*(INDIRECT($E14&amp;"[yr]")=R$5-1)*(INDIRECT($E14&amp;"[wk]")=R$6)*(INDIRECT($E14&amp;"[siteflag]")=$G$2)))/
                      (SUM(INDIRECT($E14&amp;"["&amp;$F14&amp;"]")*(INDIRECT($E14&amp;"[yr]")=R$5-1)*(INDIRECT($E14&amp;"[wk]")=R$6)*(INDIRECT($E14&amp;"[siteflag]")=$G$2))))-1,0)</f>
        <v>4.8573496257739324E-2</v>
      </c>
      <c r="S15" s="66">
        <f t="array" aca="1" ref="S15" ca="1">IFERROR(  S14/((SUM(INDIRECT($E14&amp;"["&amp;$F15&amp;"]")*(INDIRECT($E14&amp;"[yr]")=S$5-1)*(INDIRECT($E14&amp;"[wk]")=S$6)*(INDIRECT($E14&amp;"[siteflag]")=$G$2)))/
                      (SUM(INDIRECT($E14&amp;"["&amp;$F14&amp;"]")*(INDIRECT($E14&amp;"[yr]")=S$5-1)*(INDIRECT($E14&amp;"[wk]")=S$6)*(INDIRECT($E14&amp;"[siteflag]")=$G$2))))-1,0)</f>
        <v>5.8791029597171418E-2</v>
      </c>
      <c r="T15" s="50">
        <f t="array" aca="1" ref="T15" ca="1">IFERROR(  T14/((SUM(INDIRECT($E14&amp;"["&amp;$F15&amp;"]")*(INDIRECT($E14&amp;"[yr]")=T$5-1)*(INDIRECT($E14&amp;"[wk]")=T$6)*(INDIRECT($E14&amp;"[siteflag]")=$G$2)))/
                      (SUM(INDIRECT($E14&amp;"["&amp;$F14&amp;"]")*(INDIRECT($E14&amp;"[yr]")=T$5-1)*(INDIRECT($E14&amp;"[wk]")=T$6)*(INDIRECT($E14&amp;"[siteflag]")=$G$2))))-1,0)</f>
        <v>-7.3844024024575239E-3</v>
      </c>
      <c r="U15" s="53">
        <f t="array" aca="1" ref="U15" ca="1">SUM(Q15:T15*Q66:T66)/SUM(Q66:T66)</f>
        <v>2.9572766161249407E-2</v>
      </c>
      <c r="V15" s="54"/>
      <c r="W15" s="55"/>
      <c r="X15" s="56"/>
    </row>
    <row r="16" spans="2:24" ht="3" customHeight="1" x14ac:dyDescent="0.4">
      <c r="B16" s="329"/>
      <c r="D16" s="61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61"/>
      <c r="Q16" s="57"/>
      <c r="R16" s="57"/>
      <c r="S16" s="149"/>
      <c r="T16" s="149"/>
      <c r="U16" s="60"/>
      <c r="V16" s="61"/>
      <c r="W16" s="62"/>
      <c r="X16" s="61"/>
    </row>
    <row r="17" spans="2:24" ht="14.15" customHeight="1" x14ac:dyDescent="0.4">
      <c r="B17" s="329"/>
      <c r="D17" s="271" t="s">
        <v>530</v>
      </c>
      <c r="E17" t="s">
        <v>518</v>
      </c>
      <c r="F17" t="s">
        <v>291</v>
      </c>
      <c r="I17" s="45">
        <f t="array" aca="1" ref="I17" ca="1">IFERROR(  (SUM(INDIRECT($E17&amp;"["&amp;$F18&amp;"]")*(INDIRECT($E17&amp;"[yr]")=I$5)*(INDIRECT($E17&amp;"[wk]")=I$6)*(INDIRECT($E17&amp;"[siteflag]")=$G$2)))/
                      (SUM(INDIRECT($E17&amp;"["&amp;$F17&amp;"]")*(INDIRECT($E17&amp;"[yr]")=I$5)*(INDIRECT($E17&amp;"[wk]")=I$6)*(INDIRECT($E17&amp;"[siteflag]")=$G$2))),0)</f>
        <v>0.96294736842105266</v>
      </c>
      <c r="J17" s="45">
        <f t="array" aca="1" ref="J17" ca="1">IFERROR(  (SUM(INDIRECT($E17&amp;"["&amp;$F18&amp;"]")*(INDIRECT($E17&amp;"[yr]")=J$5)*(INDIRECT($E17&amp;"[wk]")=J$6)*(INDIRECT($E17&amp;"[siteflag]")=$G$2)))/
                      (SUM(INDIRECT($E17&amp;"["&amp;$F17&amp;"]")*(INDIRECT($E17&amp;"[yr]")=J$5)*(INDIRECT($E17&amp;"[wk]")=J$6)*(INDIRECT($E17&amp;"[siteflag]")=$G$2))),0)</f>
        <v>0.96489104116222757</v>
      </c>
      <c r="K17" s="45">
        <f t="array" aca="1" ref="K17" ca="1">IFERROR(  (SUM(INDIRECT($E17&amp;"["&amp;$F18&amp;"]")*(INDIRECT($E17&amp;"[yr]")=K$5)*(INDIRECT($E17&amp;"[wk]")=K$6)*(INDIRECT($E17&amp;"[siteflag]")=$G$2)))/
                      (SUM(INDIRECT($E17&amp;"["&amp;$F17&amp;"]")*(INDIRECT($E17&amp;"[yr]")=K$5)*(INDIRECT($E17&amp;"[wk]")=K$6)*(INDIRECT($E17&amp;"[siteflag]")=$G$2))),0)</f>
        <v>0.9274222381122631</v>
      </c>
      <c r="L17" s="45">
        <f t="array" aca="1" ref="L17" ca="1">IFERROR(  (SUM(INDIRECT($E17&amp;"["&amp;$F18&amp;"]")*(INDIRECT($E17&amp;"[yr]")=L$5)*(INDIRECT($E17&amp;"[wk]")=L$6)*(INDIRECT($E17&amp;"[siteflag]")=$G$2)))/
                      (SUM(INDIRECT($E17&amp;"["&amp;$F17&amp;"]")*(INDIRECT($E17&amp;"[yr]")=L$5)*(INDIRECT($E17&amp;"[wk]")=L$6)*(INDIRECT($E17&amp;"[siteflag]")=$G$2))),0)</f>
        <v>0.99270913277052952</v>
      </c>
      <c r="M17" s="45">
        <f t="array" aca="1" ref="M17" ca="1">IFERROR(  (SUM(INDIRECT($E17&amp;"["&amp;$F18&amp;"]")*(INDIRECT($E17&amp;"[yr]")=M$5)*(INDIRECT($E17&amp;"[wk]")=M$6)*(INDIRECT($E17&amp;"[siteflag]")=$G$2)))/
                      (SUM(INDIRECT($E17&amp;"["&amp;$F17&amp;"]")*(INDIRECT($E17&amp;"[yr]")=M$5)*(INDIRECT($E17&amp;"[wk]")=M$6)*(INDIRECT($E17&amp;"[siteflag]")=$G$2))),0)</f>
        <v>0.99345417925478352</v>
      </c>
      <c r="N17" s="45">
        <f t="array" aca="1" ref="N17" ca="1">IFERROR(  (SUM(INDIRECT($E17&amp;"["&amp;$F18&amp;"]")*(INDIRECT($E17&amp;"[yr]")=N$5)*(INDIRECT($E17&amp;"[wk]")=N$6)*(INDIRECT($E17&amp;"[siteflag]")=$G$2)))/
                      (SUM(INDIRECT($E17&amp;"["&amp;$F17&amp;"]")*(INDIRECT($E17&amp;"[yr]")=N$5)*(INDIRECT($E17&amp;"[wk]")=N$6)*(INDIRECT($E17&amp;"[siteflag]")=$G$2))),0)</f>
        <v>0.98204309656823618</v>
      </c>
      <c r="O17" s="45">
        <f t="array" aca="1" ref="O17" ca="1">IFERROR(  (SUM(INDIRECT($E17&amp;"["&amp;$F18&amp;"]")*(INDIRECT($E17&amp;"[yr]")=O$5)*(INDIRECT($E17&amp;"[wk]")=O$6)*(INDIRECT($E17&amp;"[siteflag]")=$G$2)))/
                      (SUM(INDIRECT($E17&amp;"["&amp;$F17&amp;"]")*(INDIRECT($E17&amp;"[yr]")=O$5)*(INDIRECT($E17&amp;"[wk]")=O$6)*(INDIRECT($E17&amp;"[siteflag]")=$G$2))),0)</f>
        <v>0.94838420107719923</v>
      </c>
      <c r="P17" s="47">
        <f t="array" aca="1" ref="P17" ca="1">IFERROR(  (SUM(INDIRECT($E17&amp;"["&amp;$F18&amp;"]")*(INDIRECT($E17&amp;"[yr]")=P$5)*(INDIRECT($E17&amp;"[wk]")=P$6)*(INDIRECT($E17&amp;"[siteflag]")=$G$2)))/
                      (SUM(INDIRECT($E17&amp;"["&amp;$F17&amp;"]")*(INDIRECT($E17&amp;"[yr]")=P$5)*(INDIRECT($E17&amp;"[wk]")=P$6)*(INDIRECT($E17&amp;"[siteflag]")=$G$2))),0)</f>
        <v>0.96838487972508591</v>
      </c>
      <c r="Q17" s="45">
        <f t="array" aca="1" ref="Q17" ca="1">IFERROR(  (SUM(INDIRECT($E17&amp;"["&amp;$F18&amp;"]")*(INDIRECT($E17&amp;"[yr]")=Q$5)*(INDIRECT($E17&amp;"[wk]")=Q$6)*(INDIRECT($E17&amp;"[siteflag]")=$G$2)))/
                      (SUM(INDIRECT($E17&amp;"["&amp;$F17&amp;"]")*(INDIRECT($E17&amp;"[yr]")=Q$5)*(INDIRECT($E17&amp;"[wk]")=Q$6)*(INDIRECT($E17&amp;"[siteflag]")=$G$2))),0)</f>
        <v>0.99051937345424568</v>
      </c>
      <c r="R17" s="45">
        <f t="array" aca="1" ref="R17" ca="1">IFERROR(  (SUM(INDIRECT($E17&amp;"["&amp;$F18&amp;"]")*(INDIRECT($E17&amp;"[yr]")=R$5)*(INDIRECT($E17&amp;"[wk]")=R$6)*(INDIRECT($E17&amp;"[siteflag]")=$G$2)))/
                      (SUM(INDIRECT($E17&amp;"["&amp;$F17&amp;"]")*(INDIRECT($E17&amp;"[yr]")=R$5)*(INDIRECT($E17&amp;"[wk]")=R$6)*(INDIRECT($E17&amp;"[siteflag]")=$G$2))),0)</f>
        <v>0.99176672384219555</v>
      </c>
      <c r="S17" s="164">
        <f t="array" aca="1" ref="S17" ca="1">IFERROR(  (SUM(INDIRECT($E17&amp;"["&amp;$F18&amp;"]")*(INDIRECT($E17&amp;"[yr]")=S$5)*(INDIRECT($E17&amp;"[wk]")=S$6)*(INDIRECT($E17&amp;"[siteflag]")=$G$2)))/
                      (SUM(INDIRECT($E17&amp;"["&amp;$F17&amp;"]")*(INDIRECT($E17&amp;"[yr]")=S$5)*(INDIRECT($E17&amp;"[wk]")=S$6)*(INDIRECT($E17&amp;"[siteflag]")=$G$2))),0)</f>
        <v>0.98896404414382344</v>
      </c>
      <c r="T17" s="162">
        <f t="array" aca="1" ref="T17" ca="1">IFERROR(  (SUM(INDIRECT($E17&amp;"["&amp;$F18&amp;"]")*(INDIRECT($E17&amp;"[yr]")=T$5)*(INDIRECT($E17&amp;"[wk]")=T$6)*(INDIRECT($E17&amp;"[siteflag]")=$G$2)))/
                      (SUM(INDIRECT($E17&amp;"["&amp;$F17&amp;"]")*(INDIRECT($E17&amp;"[yr]")=T$5)*(INDIRECT($E17&amp;"[wk]")=T$6)*(INDIRECT($E17&amp;"[siteflag]")=$G$2))),0)</f>
        <v>0.99452697419859271</v>
      </c>
      <c r="U17" s="46">
        <f t="array" aca="1" ref="U17" ca="1">SUM(Q17:T17*Q66:T66)/SUM(Q66:T66)</f>
        <v>0.99141251136717423</v>
      </c>
      <c r="V17" s="47">
        <f ca="1">SUM(T17/S17)-1</f>
        <v>5.6250073879937634E-3</v>
      </c>
      <c r="W17" s="48">
        <v>0.995</v>
      </c>
      <c r="X17" s="49"/>
    </row>
    <row r="18" spans="2:24" ht="14.15" customHeight="1" x14ac:dyDescent="0.4">
      <c r="B18" s="329"/>
      <c r="D18" s="202" t="s">
        <v>67</v>
      </c>
      <c r="E18" s="40"/>
      <c r="F18" s="40" t="s">
        <v>372</v>
      </c>
      <c r="G18" s="40"/>
      <c r="H18" s="40"/>
      <c r="I18" s="50">
        <f t="array" aca="1" ref="I18" ca="1">IFERROR(  I17/((SUM(INDIRECT($E17&amp;"["&amp;$F18&amp;"]")*(INDIRECT($E17&amp;"[yr]")=I$5-1)*(INDIRECT($E17&amp;"[wk]")=I$6)*(INDIRECT($E17&amp;"[siteflag]")=$G$2)))/
                      (SUM(INDIRECT($E17&amp;"["&amp;$F17&amp;"]")*(INDIRECT($E17&amp;"[yr]")=I$5-1)*(INDIRECT($E17&amp;"[wk]")=I$6)*(INDIRECT($E17&amp;"[siteflag]")=$G$2))))-1,0)</f>
        <v>0.13574932404903883</v>
      </c>
      <c r="J18" s="50">
        <f t="array" aca="1" ref="J18" ca="1">IFERROR(  J17/((SUM(INDIRECT($E17&amp;"["&amp;$F18&amp;"]")*(INDIRECT($E17&amp;"[yr]")=J$5-1)*(INDIRECT($E17&amp;"[wk]")=J$6)*(INDIRECT($E17&amp;"[siteflag]")=$G$2)))/
                      (SUM(INDIRECT($E17&amp;"["&amp;$F17&amp;"]")*(INDIRECT($E17&amp;"[yr]")=J$5-1)*(INDIRECT($E17&amp;"[wk]")=J$6)*(INDIRECT($E17&amp;"[siteflag]")=$G$2))))-1,0)</f>
        <v>-4.495494547078982E-3</v>
      </c>
      <c r="K18" s="50">
        <f t="array" aca="1" ref="K18" ca="1">IFERROR(  K17/((SUM(INDIRECT($E17&amp;"["&amp;$F18&amp;"]")*(INDIRECT($E17&amp;"[yr]")=K$5-1)*(INDIRECT($E17&amp;"[wk]")=K$6)*(INDIRECT($E17&amp;"[siteflag]")=$G$2)))/
                      (SUM(INDIRECT($E17&amp;"["&amp;$F17&amp;"]")*(INDIRECT($E17&amp;"[yr]")=K$5-1)*(INDIRECT($E17&amp;"[wk]")=K$6)*(INDIRECT($E17&amp;"[siteflag]")=$G$2))))-1,0)</f>
        <v>-4.2157688476148758E-2</v>
      </c>
      <c r="L18" s="50">
        <f t="array" aca="1" ref="L18" ca="1">IFERROR(  L17/((SUM(INDIRECT($E17&amp;"["&amp;$F18&amp;"]")*(INDIRECT($E17&amp;"[yr]")=L$5-1)*(INDIRECT($E17&amp;"[wk]")=L$6)*(INDIRECT($E17&amp;"[siteflag]")=$G$2)))/
                      (SUM(INDIRECT($E17&amp;"["&amp;$F17&amp;"]")*(INDIRECT($E17&amp;"[yr]")=L$5-1)*(INDIRECT($E17&amp;"[wk]")=L$6)*(INDIRECT($E17&amp;"[siteflag]")=$G$2))))-1,0)</f>
        <v>0.12009665440928341</v>
      </c>
      <c r="M18" s="50">
        <f t="array" aca="1" ref="M18" ca="1">IFERROR(  M17/((SUM(INDIRECT($E17&amp;"["&amp;$F18&amp;"]")*(INDIRECT($E17&amp;"[yr]")=M$5-1)*(INDIRECT($E17&amp;"[wk]")=M$6)*(INDIRECT($E17&amp;"[siteflag]")=$G$2)))/
                      (SUM(INDIRECT($E17&amp;"["&amp;$F17&amp;"]")*(INDIRECT($E17&amp;"[yr]")=M$5-1)*(INDIRECT($E17&amp;"[wk]")=M$6)*(INDIRECT($E17&amp;"[siteflag]")=$G$2))))-1,0)</f>
        <v>0.12411255203659177</v>
      </c>
      <c r="N18" s="50">
        <f t="array" aca="1" ref="N18" ca="1">IFERROR(  N17/((SUM(INDIRECT($E17&amp;"["&amp;$F18&amp;"]")*(INDIRECT($E17&amp;"[yr]")=N$5-1)*(INDIRECT($E17&amp;"[wk]")=N$6)*(INDIRECT($E17&amp;"[siteflag]")=$G$2)))/
                      (SUM(INDIRECT($E17&amp;"["&amp;$F17&amp;"]")*(INDIRECT($E17&amp;"[yr]")=N$5-1)*(INDIRECT($E17&amp;"[wk]")=N$6)*(INDIRECT($E17&amp;"[siteflag]")=$G$2))))-1,0)</f>
        <v>4.1657984284193095E-2</v>
      </c>
      <c r="O18" s="50">
        <f t="array" aca="1" ref="O18" ca="1">IFERROR(  O17/((SUM(INDIRECT($E17&amp;"["&amp;$F18&amp;"]")*(INDIRECT($E17&amp;"[yr]")=O$5-1)*(INDIRECT($E17&amp;"[wk]")=O$6)*(INDIRECT($E17&amp;"[siteflag]")=$G$2)))/
                      (SUM(INDIRECT($E17&amp;"["&amp;$F17&amp;"]")*(INDIRECT($E17&amp;"[yr]")=O$5-1)*(INDIRECT($E17&amp;"[wk]")=O$6)*(INDIRECT($E17&amp;"[siteflag]")=$G$2))))-1,0)</f>
        <v>0.12527896782445058</v>
      </c>
      <c r="P18" s="54">
        <f t="array" aca="1" ref="P18" ca="1">IFERROR(  P17/((SUM(INDIRECT($E17&amp;"["&amp;$F18&amp;"]")*(INDIRECT($E17&amp;"[yr]")=P$5-1)*(INDIRECT($E17&amp;"[wk]")=P$6)*(INDIRECT($E17&amp;"[siteflag]")=$G$2)))/
                      (SUM(INDIRECT($E17&amp;"["&amp;$F17&amp;"]")*(INDIRECT($E17&amp;"[yr]")=P$5-1)*(INDIRECT($E17&amp;"[wk]")=P$6)*(INDIRECT($E17&amp;"[siteflag]")=$G$2))))-1,0)</f>
        <v>0.20483902673423038</v>
      </c>
      <c r="Q18" s="50">
        <f t="array" aca="1" ref="Q18" ca="1">IFERROR(  Q17/((SUM(INDIRECT($E17&amp;"["&amp;$F18&amp;"]")*(INDIRECT($E17&amp;"[yr]")=Q$5-1)*(INDIRECT($E17&amp;"[wk]")=Q$6)*(INDIRECT($E17&amp;"[siteflag]")=$G$2)))/
                      (SUM(INDIRECT($E17&amp;"["&amp;$F17&amp;"]")*(INDIRECT($E17&amp;"[yr]")=Q$5-1)*(INDIRECT($E17&amp;"[wk]")=Q$6)*(INDIRECT($E17&amp;"[siteflag]")=$G$2))))-1,0)</f>
        <v>6.0927858804789681E-2</v>
      </c>
      <c r="R18" s="50">
        <f t="array" aca="1" ref="R18" ca="1">IFERROR(  R17/((SUM(INDIRECT($E17&amp;"["&amp;$F18&amp;"]")*(INDIRECT($E17&amp;"[yr]")=R$5-1)*(INDIRECT($E17&amp;"[wk]")=R$6)*(INDIRECT($E17&amp;"[siteflag]")=$G$2)))/
                      (SUM(INDIRECT($E17&amp;"["&amp;$F17&amp;"]")*(INDIRECT($E17&amp;"[yr]")=R$5-1)*(INDIRECT($E17&amp;"[wk]")=R$6)*(INDIRECT($E17&amp;"[siteflag]")=$G$2))))-1,0)</f>
        <v>5.1349608414110293E-2</v>
      </c>
      <c r="S18" s="66">
        <f t="array" aca="1" ref="S18" ca="1">IFERROR(  S17/((SUM(INDIRECT($E17&amp;"["&amp;$F18&amp;"]")*(INDIRECT($E17&amp;"[yr]")=S$5-1)*(INDIRECT($E17&amp;"[wk]")=S$6)*(INDIRECT($E17&amp;"[siteflag]")=$G$2)))/
                      (SUM(INDIRECT($E17&amp;"["&amp;$F17&amp;"]")*(INDIRECT($E17&amp;"[yr]")=S$5-1)*(INDIRECT($E17&amp;"[wk]")=S$6)*(INDIRECT($E17&amp;"[siteflag]")=$G$2))))-1,0)</f>
        <v>8.6759718029621125E-2</v>
      </c>
      <c r="T18" s="50">
        <f t="array" aca="1" ref="T18" ca="1">IFERROR(  T17/((SUM(INDIRECT($E17&amp;"["&amp;$F18&amp;"]")*(INDIRECT($E17&amp;"[yr]")=T$5-1)*(INDIRECT($E17&amp;"[wk]")=T$6)*(INDIRECT($E17&amp;"[siteflag]")=$G$2)))/
                      (SUM(INDIRECT($E17&amp;"["&amp;$F17&amp;"]")*(INDIRECT($E17&amp;"[yr]")=T$5-1)*(INDIRECT($E17&amp;"[wk]")=T$6)*(INDIRECT($E17&amp;"[siteflag]")=$G$2))))-1,0)</f>
        <v>3.6778120161278016E-2</v>
      </c>
      <c r="U18" s="53">
        <f t="array" aca="1" ref="U18" ca="1">SUM(Q18:T18*Q66:T66)/SUM(Q66:T66)</f>
        <v>5.8832263376951063E-2</v>
      </c>
      <c r="V18" s="54"/>
      <c r="W18" s="55"/>
      <c r="X18" s="56"/>
    </row>
    <row r="19" spans="2:24" ht="3" customHeight="1" x14ac:dyDescent="0.4">
      <c r="B19" s="329"/>
      <c r="D19" s="61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61"/>
      <c r="Q19" s="57"/>
      <c r="R19" s="57"/>
      <c r="S19" s="149"/>
      <c r="T19" s="149"/>
      <c r="U19" s="60"/>
      <c r="V19" s="61"/>
      <c r="W19" s="62"/>
      <c r="X19" s="61"/>
    </row>
    <row r="20" spans="2:24" ht="14.15" customHeight="1" x14ac:dyDescent="0.4">
      <c r="B20" s="329"/>
      <c r="D20" s="201" t="s">
        <v>531</v>
      </c>
      <c r="E20" t="s">
        <v>29</v>
      </c>
      <c r="F20" t="s">
        <v>291</v>
      </c>
      <c r="I20" s="45">
        <f t="array" aca="1" ref="I20" ca="1">IFERROR(  (SUM(INDIRECT($E20&amp;"["&amp;$F21&amp;"]")*(INDIRECT($E20&amp;"[yr]")=I$5)*(INDIRECT($E20&amp;"[wk]")=I$6)*(INDIRECT($E20&amp;"[siteflag]")=$G$2)))/
                      (SUM(INDIRECT($E20&amp;"["&amp;$F20&amp;"]")*(INDIRECT($E20&amp;"[yr]")=I$5)*(INDIRECT($E20&amp;"[wk]")=I$6)*(INDIRECT($E20&amp;"[siteflag]")=$G$2))),0)</f>
        <v>0.95630002581977791</v>
      </c>
      <c r="J20" s="45">
        <f t="array" aca="1" ref="J20" ca="1">IFERROR(  (SUM(INDIRECT($E20&amp;"["&amp;$F21&amp;"]")*(INDIRECT($E20&amp;"[yr]")=J$5)*(INDIRECT($E20&amp;"[wk]")=J$6)*(INDIRECT($E20&amp;"[siteflag]")=$G$2)))/
                      (SUM(INDIRECT($E20&amp;"["&amp;$F20&amp;"]")*(INDIRECT($E20&amp;"[yr]")=J$5)*(INDIRECT($E20&amp;"[wk]")=J$6)*(INDIRECT($E20&amp;"[siteflag]")=$G$2))),0)</f>
        <v>0.95906656465187456</v>
      </c>
      <c r="K20" s="45">
        <f t="array" aca="1" ref="K20" ca="1">IFERROR(  (SUM(INDIRECT($E20&amp;"["&amp;$F21&amp;"]")*(INDIRECT($E20&amp;"[yr]")=K$5)*(INDIRECT($E20&amp;"[wk]")=K$6)*(INDIRECT($E20&amp;"[siteflag]")=$G$2)))/
                      (SUM(INDIRECT($E20&amp;"["&amp;$F20&amp;"]")*(INDIRECT($E20&amp;"[yr]")=K$5)*(INDIRECT($E20&amp;"[wk]")=K$6)*(INDIRECT($E20&amp;"[siteflag]")=$G$2))),0)</f>
        <v>0.95008646907984973</v>
      </c>
      <c r="L20" s="45">
        <f t="array" aca="1" ref="L20" ca="1">IFERROR(  (SUM(INDIRECT($E20&amp;"["&amp;$F21&amp;"]")*(INDIRECT($E20&amp;"[yr]")=L$5)*(INDIRECT($E20&amp;"[wk]")=L$6)*(INDIRECT($E20&amp;"[siteflag]")=$G$2)))/
                      (SUM(INDIRECT($E20&amp;"["&amp;$F20&amp;"]")*(INDIRECT($E20&amp;"[yr]")=L$5)*(INDIRECT($E20&amp;"[wk]")=L$6)*(INDIRECT($E20&amp;"[siteflag]")=$G$2))),0)</f>
        <v>0.97002525588196198</v>
      </c>
      <c r="M20" s="45">
        <f t="array" aca="1" ref="M20" ca="1">IFERROR(  (SUM(INDIRECT($E20&amp;"["&amp;$F21&amp;"]")*(INDIRECT($E20&amp;"[yr]")=M$5)*(INDIRECT($E20&amp;"[wk]")=M$6)*(INDIRECT($E20&amp;"[siteflag]")=$G$2)))/
                      (SUM(INDIRECT($E20&amp;"["&amp;$F20&amp;"]")*(INDIRECT($E20&amp;"[yr]")=M$5)*(INDIRECT($E20&amp;"[wk]")=M$6)*(INDIRECT($E20&amp;"[siteflag]")=$G$2))),0)</f>
        <v>0.96964640954886738</v>
      </c>
      <c r="N20" s="45">
        <f t="array" aca="1" ref="N20" ca="1">IFERROR(  (SUM(INDIRECT($E20&amp;"["&amp;$F21&amp;"]")*(INDIRECT($E20&amp;"[yr]")=N$5)*(INDIRECT($E20&amp;"[wk]")=N$6)*(INDIRECT($E20&amp;"[siteflag]")=$G$2)))/
                      (SUM(INDIRECT($E20&amp;"["&amp;$F20&amp;"]")*(INDIRECT($E20&amp;"[yr]")=N$5)*(INDIRECT($E20&amp;"[wk]")=N$6)*(INDIRECT($E20&amp;"[siteflag]")=$G$2))),0)</f>
        <v>0.9656963323929213</v>
      </c>
      <c r="O20" s="45">
        <f t="array" aca="1" ref="O20" ca="1">IFERROR(  (SUM(INDIRECT($E20&amp;"["&amp;$F21&amp;"]")*(INDIRECT($E20&amp;"[yr]")=O$5)*(INDIRECT($E20&amp;"[wk]")=O$6)*(INDIRECT($E20&amp;"[siteflag]")=$G$2)))/
                      (SUM(INDIRECT($E20&amp;"["&amp;$F20&amp;"]")*(INDIRECT($E20&amp;"[yr]")=O$5)*(INDIRECT($E20&amp;"[wk]")=O$6)*(INDIRECT($E20&amp;"[siteflag]")=$G$2))),0)</f>
        <v>0.94740314261724845</v>
      </c>
      <c r="P20" s="47">
        <f t="array" aca="1" ref="P20" ca="1">IFERROR(  (SUM(INDIRECT($E20&amp;"["&amp;$F21&amp;"]")*(INDIRECT($E20&amp;"[yr]")=P$5)*(INDIRECT($E20&amp;"[wk]")=P$6)*(INDIRECT($E20&amp;"[siteflag]")=$G$2)))/
                      (SUM(INDIRECT($E20&amp;"["&amp;$F20&amp;"]")*(INDIRECT($E20&amp;"[yr]")=P$5)*(INDIRECT($E20&amp;"[wk]")=P$6)*(INDIRECT($E20&amp;"[siteflag]")=$G$2))),0)</f>
        <v>0.91062652294222113</v>
      </c>
      <c r="Q20" s="45">
        <f t="array" aca="1" ref="Q20" ca="1">IFERROR(  (SUM(INDIRECT($E20&amp;"["&amp;$F21&amp;"]")*(INDIRECT($E20&amp;"[yr]")=Q$5)*(INDIRECT($E20&amp;"[wk]")=Q$6)*(INDIRECT($E20&amp;"[siteflag]")=$G$2)))/
                      (SUM(INDIRECT($E20&amp;"["&amp;$F20&amp;"]")*(INDIRECT($E20&amp;"[yr]")=Q$5)*(INDIRECT($E20&amp;"[wk]")=Q$6)*(INDIRECT($E20&amp;"[siteflag]")=$G$2))),0)</f>
        <v>0.91347530835681623</v>
      </c>
      <c r="R20" s="45">
        <f t="array" aca="1" ref="R20" ca="1">IFERROR(  (SUM(INDIRECT($E20&amp;"["&amp;$F21&amp;"]")*(INDIRECT($E20&amp;"[yr]")=R$5)*(INDIRECT($E20&amp;"[wk]")=R$6)*(INDIRECT($E20&amp;"[siteflag]")=$G$2)))/
                      (SUM(INDIRECT($E20&amp;"["&amp;$F20&amp;"]")*(INDIRECT($E20&amp;"[yr]")=R$5)*(INDIRECT($E20&amp;"[wk]")=R$6)*(INDIRECT($E20&amp;"[siteflag]")=$G$2))),0)</f>
        <v>0.97117643324233383</v>
      </c>
      <c r="S20" s="163">
        <f t="array" aca="1" ref="S20" ca="1">IFERROR(  (SUM(INDIRECT($E20&amp;"["&amp;$F21&amp;"]")*(INDIRECT($E20&amp;"[yr]")=S$5)*(INDIRECT($E20&amp;"[wk]")=S$6)*(INDIRECT($E20&amp;"[siteflag]")=$G$2)))/
                      (SUM(INDIRECT($E20&amp;"["&amp;$F20&amp;"]")*(INDIRECT($E20&amp;"[yr]")=S$5)*(INDIRECT($E20&amp;"[wk]")=S$6)*(INDIRECT($E20&amp;"[siteflag]")=$G$2))),0)</f>
        <v>0.96306366047745362</v>
      </c>
      <c r="T20" s="162">
        <f t="array" aca="1" ref="T20" ca="1">IFERROR(  (SUM(INDIRECT($E20&amp;"["&amp;$F21&amp;"]")*(INDIRECT($E20&amp;"[yr]")=T$5)*(INDIRECT($E20&amp;"[wk]")=T$6)*(INDIRECT($E20&amp;"[siteflag]")=$G$2)))/
                      (SUM(INDIRECT($E20&amp;"["&amp;$F20&amp;"]")*(INDIRECT($E20&amp;"[yr]")=T$5)*(INDIRECT($E20&amp;"[wk]")=T$6)*(INDIRECT($E20&amp;"[siteflag]")=$G$2))),0)</f>
        <v>0.97439280359820091</v>
      </c>
      <c r="U20" s="293">
        <f t="array" aca="1" ref="U20" ca="1">SUM(Q20:T20*Q66:T66)/SUM(Q66:T66)</f>
        <v>0.95269085395422837</v>
      </c>
      <c r="V20" s="47">
        <f ca="1">SUM(T20/S20)-1</f>
        <v>1.1763649263986098E-2</v>
      </c>
      <c r="W20" s="219">
        <v>0.99</v>
      </c>
      <c r="X20" s="49"/>
    </row>
    <row r="21" spans="2:24" ht="14.15" customHeight="1" x14ac:dyDescent="0.4">
      <c r="B21" s="329"/>
      <c r="D21" s="202" t="s">
        <v>67</v>
      </c>
      <c r="E21" s="40"/>
      <c r="F21" s="40" t="s">
        <v>372</v>
      </c>
      <c r="G21" s="40"/>
      <c r="H21" s="40"/>
      <c r="I21" s="226">
        <f t="array" aca="1" ref="I21" ca="1">IFERROR(  I20/((SUM(INDIRECT($E20&amp;"["&amp;$F21&amp;"]")*(INDIRECT($E20&amp;"[yr]")=I$5-1)*(INDIRECT($E20&amp;"[wk]")=I$6)*(INDIRECT($E20&amp;"[siteflag]")=$G$2)))/
                      (SUM(INDIRECT($E20&amp;"["&amp;$F20&amp;"]")*(INDIRECT($E20&amp;"[yr]")=I$5-1)*(INDIRECT($E20&amp;"[wk]")=I$6)*(INDIRECT($E20&amp;"[siteflag]")=$G$2))))-1,0)</f>
        <v>0.10411008597896942</v>
      </c>
      <c r="J21" s="226">
        <f t="array" aca="1" ref="J21" ca="1">IFERROR(  J20/((SUM(INDIRECT($E20&amp;"["&amp;$F21&amp;"]")*(INDIRECT($E20&amp;"[yr]")=J$5-1)*(INDIRECT($E20&amp;"[wk]")=J$6)*(INDIRECT($E20&amp;"[siteflag]")=$G$2)))/
                      (SUM(INDIRECT($E20&amp;"["&amp;$F20&amp;"]")*(INDIRECT($E20&amp;"[yr]")=J$5-1)*(INDIRECT($E20&amp;"[wk]")=J$6)*(INDIRECT($E20&amp;"[siteflag]")=$G$2))))-1,0)</f>
        <v>4.1026999816895504E-3</v>
      </c>
      <c r="K21" s="226">
        <f t="array" aca="1" ref="K21" ca="1">IFERROR(  K20/((SUM(INDIRECT($E20&amp;"["&amp;$F21&amp;"]")*(INDIRECT($E20&amp;"[yr]")=K$5-1)*(INDIRECT($E20&amp;"[wk]")=K$6)*(INDIRECT($E20&amp;"[siteflag]")=$G$2)))/
                      (SUM(INDIRECT($E20&amp;"["&amp;$F20&amp;"]")*(INDIRECT($E20&amp;"[yr]")=K$5-1)*(INDIRECT($E20&amp;"[wk]")=K$6)*(INDIRECT($E20&amp;"[siteflag]")=$G$2))))-1,0)</f>
        <v>-3.4573788957958707E-2</v>
      </c>
      <c r="L21" s="226">
        <f t="array" aca="1" ref="L21" ca="1">IFERROR(  L20/((SUM(INDIRECT($E20&amp;"["&amp;$F21&amp;"]")*(INDIRECT($E20&amp;"[yr]")=L$5-1)*(INDIRECT($E20&amp;"[wk]")=L$6)*(INDIRECT($E20&amp;"[siteflag]")=$G$2)))/
                      (SUM(INDIRECT($E20&amp;"["&amp;$F20&amp;"]")*(INDIRECT($E20&amp;"[yr]")=L$5-1)*(INDIRECT($E20&amp;"[wk]")=L$6)*(INDIRECT($E20&amp;"[siteflag]")=$G$2))))-1,0)</f>
        <v>7.3612482838913973E-3</v>
      </c>
      <c r="M21" s="226">
        <f t="array" aca="1" ref="M21" ca="1">IFERROR(  M20/((SUM(INDIRECT($E20&amp;"["&amp;$F21&amp;"]")*(INDIRECT($E20&amp;"[yr]")=M$5-1)*(INDIRECT($E20&amp;"[wk]")=M$6)*(INDIRECT($E20&amp;"[siteflag]")=$G$2)))/
                      (SUM(INDIRECT($E20&amp;"["&amp;$F20&amp;"]")*(INDIRECT($E20&amp;"[yr]")=M$5-1)*(INDIRECT($E20&amp;"[wk]")=M$6)*(INDIRECT($E20&amp;"[siteflag]")=$G$2))))-1,0)</f>
        <v>2.8064872339113034E-3</v>
      </c>
      <c r="N21" s="226">
        <f t="array" aca="1" ref="N21" ca="1">IFERROR(  N20/((SUM(INDIRECT($E20&amp;"["&amp;$F21&amp;"]")*(INDIRECT($E20&amp;"[yr]")=N$5-1)*(INDIRECT($E20&amp;"[wk]")=N$6)*(INDIRECT($E20&amp;"[siteflag]")=$G$2)))/
                      (SUM(INDIRECT($E20&amp;"["&amp;$F20&amp;"]")*(INDIRECT($E20&amp;"[yr]")=N$5-1)*(INDIRECT($E20&amp;"[wk]")=N$6)*(INDIRECT($E20&amp;"[siteflag]")=$G$2))))-1,0)</f>
        <v>-7.0282194902341333E-3</v>
      </c>
      <c r="O21" s="226">
        <f t="array" aca="1" ref="O21" ca="1">IFERROR(  O20/((SUM(INDIRECT($E20&amp;"["&amp;$F21&amp;"]")*(INDIRECT($E20&amp;"[yr]")=O$5-1)*(INDIRECT($E20&amp;"[wk]")=O$6)*(INDIRECT($E20&amp;"[siteflag]")=$G$2)))/
                      (SUM(INDIRECT($E20&amp;"["&amp;$F20&amp;"]")*(INDIRECT($E20&amp;"[yr]")=O$5-1)*(INDIRECT($E20&amp;"[wk]")=O$6)*(INDIRECT($E20&amp;"[siteflag]")=$G$2))))-1,0)</f>
        <v>4.1419977972028121E-3</v>
      </c>
      <c r="P21" s="227">
        <f t="array" aca="1" ref="P21" ca="1">IFERROR(  P20/((SUM(INDIRECT($E20&amp;"["&amp;$F21&amp;"]")*(INDIRECT($E20&amp;"[yr]")=P$5-1)*(INDIRECT($E20&amp;"[wk]")=P$6)*(INDIRECT($E20&amp;"[siteflag]")=$G$2)))/
                      (SUM(INDIRECT($E20&amp;"["&amp;$F20&amp;"]")*(INDIRECT($E20&amp;"[yr]")=P$5-1)*(INDIRECT($E20&amp;"[wk]")=P$6)*(INDIRECT($E20&amp;"[siteflag]")=$G$2))))-1,0)</f>
        <v>-5.4096584012706894E-2</v>
      </c>
      <c r="Q21" s="226">
        <f t="array" aca="1" ref="Q21" ca="1">IFERROR(  Q20/((SUM(INDIRECT($E20&amp;"["&amp;$F21&amp;"]")*(INDIRECT($E20&amp;"[yr]")=Q$5-1)*(INDIRECT($E20&amp;"[wk]")=Q$6)*(INDIRECT($E20&amp;"[siteflag]")=$G$2)))/
                      (SUM(INDIRECT($E20&amp;"["&amp;$F20&amp;"]")*(INDIRECT($E20&amp;"[yr]")=Q$5-1)*(INDIRECT($E20&amp;"[wk]")=Q$6)*(INDIRECT($E20&amp;"[siteflag]")=$G$2))))-1,0)</f>
        <v>-5.2613638488998915E-2</v>
      </c>
      <c r="R21" s="226">
        <f t="array" aca="1" ref="R21" ca="1">IFERROR(  R20/((SUM(INDIRECT($E20&amp;"["&amp;$F21&amp;"]")*(INDIRECT($E20&amp;"[yr]")=R$5-1)*(INDIRECT($E20&amp;"[wk]")=R$6)*(INDIRECT($E20&amp;"[siteflag]")=$G$2)))/
                      (SUM(INDIRECT($E20&amp;"["&amp;$F20&amp;"]")*(INDIRECT($E20&amp;"[yr]")=R$5-1)*(INDIRECT($E20&amp;"[wk]")=R$6)*(INDIRECT($E20&amp;"[siteflag]")=$G$2))))-1,0)</f>
        <v>1.0560810081884586E-2</v>
      </c>
      <c r="S21" s="66">
        <f t="array" aca="1" ref="S21" ca="1">IFERROR(  S20/((SUM(INDIRECT($E20&amp;"["&amp;$F21&amp;"]")*(INDIRECT($E20&amp;"[yr]")=S$5-1)*(INDIRECT($E20&amp;"[wk]")=S$6)*(INDIRECT($E20&amp;"[siteflag]")=$G$2)))/
                      (SUM(INDIRECT($E20&amp;"["&amp;$F20&amp;"]")*(INDIRECT($E20&amp;"[yr]")=S$5-1)*(INDIRECT($E20&amp;"[wk]")=S$6)*(INDIRECT($E20&amp;"[siteflag]")=$G$2))))-1,0)</f>
        <v>7.6515685886262563E-3</v>
      </c>
      <c r="T21" s="50">
        <f t="array" aca="1" ref="T21" ca="1">IFERROR(  T20/((SUM(INDIRECT($E20&amp;"["&amp;$F21&amp;"]")*(INDIRECT($E20&amp;"[yr]")=T$5-1)*(INDIRECT($E20&amp;"[wk]")=T$6)*(INDIRECT($E20&amp;"[siteflag]")=$G$2)))/
                      (SUM(INDIRECT($E20&amp;"["&amp;$F20&amp;"]")*(INDIRECT($E20&amp;"[yr]")=T$5-1)*(INDIRECT($E20&amp;"[wk]")=T$6)*(INDIRECT($E20&amp;"[siteflag]")=$G$2))))-1,0)</f>
        <v>-4.2017709680629567E-3</v>
      </c>
      <c r="U21" s="53">
        <f t="array" aca="1" ref="U21" ca="1">SUM(Q21:T21*Q66:T66)/SUM(Q66:T66)</f>
        <v>-1.2700992793719359E-2</v>
      </c>
      <c r="V21" s="54"/>
      <c r="W21" s="55"/>
      <c r="X21" s="56"/>
    </row>
    <row r="22" spans="2:24" ht="3" customHeight="1" x14ac:dyDescent="0.4">
      <c r="B22" s="329"/>
      <c r="D22" s="61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61"/>
      <c r="Q22" s="57"/>
      <c r="R22" s="57"/>
      <c r="S22" s="149"/>
      <c r="T22" s="149"/>
      <c r="U22" s="60"/>
      <c r="V22" s="61"/>
      <c r="W22" s="62"/>
      <c r="X22" s="61"/>
    </row>
    <row r="23" spans="2:24" ht="14.15" customHeight="1" x14ac:dyDescent="0.4">
      <c r="B23" s="329"/>
      <c r="D23" s="270" t="s">
        <v>532</v>
      </c>
      <c r="E23" t="s">
        <v>404</v>
      </c>
      <c r="F23" t="s">
        <v>291</v>
      </c>
      <c r="I23" s="45">
        <f t="array" aca="1" ref="I23" ca="1">IFERROR(  (SUM(INDIRECT($E23&amp;"["&amp;$F24&amp;"]")*(INDIRECT($E23&amp;"[yr]")=I$5)*(INDIRECT($E23&amp;"[wk]")=I$6)*(INDIRECT($E23&amp;"[siteflag]")=$G$2)))/
                      (SUM(INDIRECT($E23&amp;"["&amp;$F23&amp;"]")*(INDIRECT($E23&amp;"[yr]")=I$5)*(INDIRECT($E23&amp;"[wk]")=I$6)*(INDIRECT($E23&amp;"[siteflag]")=$G$2))),0)</f>
        <v>0.90572251955537253</v>
      </c>
      <c r="J23" s="45">
        <f t="array" aca="1" ref="J23" ca="1">IFERROR(  (SUM(INDIRECT($E23&amp;"["&amp;$F24&amp;"]")*(INDIRECT($E23&amp;"[yr]")=J$5)*(INDIRECT($E23&amp;"[wk]")=J$6)*(INDIRECT($E23&amp;"[siteflag]")=$G$2)))/
                      (SUM(INDIRECT($E23&amp;"["&amp;$F23&amp;"]")*(INDIRECT($E23&amp;"[yr]")=J$5)*(INDIRECT($E23&amp;"[wk]")=J$6)*(INDIRECT($E23&amp;"[siteflag]")=$G$2))),0)</f>
        <v>0.91313050440352284</v>
      </c>
      <c r="K23" s="45">
        <f t="array" aca="1" ref="K23" ca="1">IFERROR(  (SUM(INDIRECT($E23&amp;"["&amp;$F24&amp;"]")*(INDIRECT($E23&amp;"[yr]")=K$5)*(INDIRECT($E23&amp;"[wk]")=K$6)*(INDIRECT($E23&amp;"[siteflag]")=$G$2)))/
                      (SUM(INDIRECT($E23&amp;"["&amp;$F23&amp;"]")*(INDIRECT($E23&amp;"[yr]")=K$5)*(INDIRECT($E23&amp;"[wk]")=K$6)*(INDIRECT($E23&amp;"[siteflag]")=$G$2))),0)</f>
        <v>0.86664320900774106</v>
      </c>
      <c r="L23" s="45">
        <f t="array" aca="1" ref="L23" ca="1">IFERROR(  (SUM(INDIRECT($E23&amp;"["&amp;$F24&amp;"]")*(INDIRECT($E23&amp;"[yr]")=L$5)*(INDIRECT($E23&amp;"[wk]")=L$6)*(INDIRECT($E23&amp;"[siteflag]")=$G$2)))/
                      (SUM(INDIRECT($E23&amp;"["&amp;$F23&amp;"]")*(INDIRECT($E23&amp;"[yr]")=L$5)*(INDIRECT($E23&amp;"[wk]")=L$6)*(INDIRECT($E23&amp;"[siteflag]")=$G$2))),0)</f>
        <v>0.94479436828454988</v>
      </c>
      <c r="M23" s="45">
        <f t="array" aca="1" ref="M23" ca="1">IFERROR(  (SUM(INDIRECT($E23&amp;"["&amp;$F24&amp;"]")*(INDIRECT($E23&amp;"[yr]")=M$5)*(INDIRECT($E23&amp;"[wk]")=M$6)*(INDIRECT($E23&amp;"[siteflag]")=$G$2)))/
                      (SUM(INDIRECT($E23&amp;"["&amp;$F23&amp;"]")*(INDIRECT($E23&amp;"[yr]")=M$5)*(INDIRECT($E23&amp;"[wk]")=M$6)*(INDIRECT($E23&amp;"[siteflag]")=$G$2))),0)</f>
        <v>0.91858237547892718</v>
      </c>
      <c r="N23" s="45">
        <f t="array" aca="1" ref="N23" ca="1">IFERROR(  (SUM(INDIRECT($E23&amp;"["&amp;$F24&amp;"]")*(INDIRECT($E23&amp;"[yr]")=N$5)*(INDIRECT($E23&amp;"[wk]")=N$6)*(INDIRECT($E23&amp;"[siteflag]")=$G$2)))/
                      (SUM(INDIRECT($E23&amp;"["&amp;$F23&amp;"]")*(INDIRECT($E23&amp;"[yr]")=N$5)*(INDIRECT($E23&amp;"[wk]")=N$6)*(INDIRECT($E23&amp;"[siteflag]")=$G$2))),0)</f>
        <v>0.92414614773629866</v>
      </c>
      <c r="O23" s="45">
        <f t="array" aca="1" ref="O23" ca="1">IFERROR(  (SUM(INDIRECT($E23&amp;"["&amp;$F24&amp;"]")*(INDIRECT($E23&amp;"[yr]")=O$5)*(INDIRECT($E23&amp;"[wk]")=O$6)*(INDIRECT($E23&amp;"[siteflag]")=$G$2)))/
                      (SUM(INDIRECT($E23&amp;"["&amp;$F23&amp;"]")*(INDIRECT($E23&amp;"[yr]")=O$5)*(INDIRECT($E23&amp;"[wk]")=O$6)*(INDIRECT($E23&amp;"[siteflag]")=$G$2))),0)</f>
        <v>0.90816777041942609</v>
      </c>
      <c r="P23" s="47">
        <f t="array" aca="1" ref="P23" ca="1">IFERROR(  (SUM(INDIRECT($E23&amp;"["&amp;$F24&amp;"]")*(INDIRECT($E23&amp;"[yr]")=P$5)*(INDIRECT($E23&amp;"[wk]")=P$6)*(INDIRECT($E23&amp;"[siteflag]")=$G$2)))/
                      (SUM(INDIRECT($E23&amp;"["&amp;$F23&amp;"]")*(INDIRECT($E23&amp;"[yr]")=P$5)*(INDIRECT($E23&amp;"[wk]")=P$6)*(INDIRECT($E23&amp;"[siteflag]")=$G$2))),0)</f>
        <v>0.87658438959306206</v>
      </c>
      <c r="Q23" s="45">
        <f t="array" aca="1" ref="Q23" ca="1">IFERROR(  (SUM(INDIRECT($E23&amp;"["&amp;$F24&amp;"]")*(INDIRECT($E23&amp;"[yr]")=Q$5)*(INDIRECT($E23&amp;"[wk]")=Q$6)*(INDIRECT($E23&amp;"[siteflag]")=$G$2)))/
                      (SUM(INDIRECT($E23&amp;"["&amp;$F23&amp;"]")*(INDIRECT($E23&amp;"[yr]")=Q$5)*(INDIRECT($E23&amp;"[wk]")=Q$6)*(INDIRECT($E23&amp;"[siteflag]")=$G$2))),0)</f>
        <v>0.95426704777460192</v>
      </c>
      <c r="R23" s="45">
        <f t="array" aca="1" ref="R23" ca="1">IFERROR(  (SUM(INDIRECT($E23&amp;"["&amp;$F24&amp;"]")*(INDIRECT($E23&amp;"[yr]")=R$5)*(INDIRECT($E23&amp;"[wk]")=R$6)*(INDIRECT($E23&amp;"[siteflag]")=$G$2)))/
                      (SUM(INDIRECT($E23&amp;"["&amp;$F23&amp;"]")*(INDIRECT($E23&amp;"[yr]")=R$5)*(INDIRECT($E23&amp;"[wk]")=R$6)*(INDIRECT($E23&amp;"[siteflag]")=$G$2))),0)</f>
        <v>0.94990112063282794</v>
      </c>
      <c r="S23" s="164">
        <f t="array" aca="1" ref="S23" ca="1">IFERROR(  (SUM(INDIRECT($E23&amp;"["&amp;$F24&amp;"]")*(INDIRECT($E23&amp;"[yr]")=S$5)*(INDIRECT($E23&amp;"[wk]")=S$6)*(INDIRECT($E23&amp;"[siteflag]")=$G$2)))/
                      (SUM(INDIRECT($E23&amp;"["&amp;$F23&amp;"]")*(INDIRECT($E23&amp;"[yr]")=S$5)*(INDIRECT($E23&amp;"[wk]")=S$6)*(INDIRECT($E23&amp;"[siteflag]")=$G$2))),0)</f>
        <v>0.94686162624821679</v>
      </c>
      <c r="T23" s="162">
        <f t="array" aca="1" ref="T23" ca="1">IFERROR(  (SUM(INDIRECT($E23&amp;"["&amp;$F24&amp;"]")*(INDIRECT($E23&amp;"[yr]")=T$5)*(INDIRECT($E23&amp;"[wk]")=T$6)*(INDIRECT($E23&amp;"[siteflag]")=$G$2)))/
                      (SUM(INDIRECT($E23&amp;"["&amp;$F23&amp;"]")*(INDIRECT($E23&amp;"[yr]")=T$5)*(INDIRECT($E23&amp;"[wk]")=T$6)*(INDIRECT($E23&amp;"[siteflag]")=$G$2))),0)</f>
        <v>0.95322085889570551</v>
      </c>
      <c r="U23" s="46">
        <f t="array" aca="1" ref="U23" ca="1">SUM(Q23:T23*Q66:T66)/SUM(Q66:T66)</f>
        <v>0.95132013586080832</v>
      </c>
      <c r="V23" s="47">
        <f ca="1">SUM(T23/S23)-1</f>
        <v>6.7161161369335698E-3</v>
      </c>
      <c r="W23" s="219">
        <v>0.99</v>
      </c>
      <c r="X23" s="49"/>
    </row>
    <row r="24" spans="2:24" ht="14.15" customHeight="1" x14ac:dyDescent="0.4">
      <c r="B24" s="329"/>
      <c r="D24" s="202" t="s">
        <v>67</v>
      </c>
      <c r="E24" s="40"/>
      <c r="F24" s="40" t="s">
        <v>372</v>
      </c>
      <c r="G24" s="40"/>
      <c r="H24" s="40"/>
      <c r="I24" s="50">
        <f t="array" aca="1" ref="I24" ca="1">IFERROR(  I23/((SUM(INDIRECT($E23&amp;"["&amp;$F24&amp;"]")*(INDIRECT($E23&amp;"[yr]")=I$5-1)*(INDIRECT($E23&amp;"[wk]")=I$6)*(INDIRECT($E23&amp;"[siteflag]")=$G$2)))/
                      (SUM(INDIRECT($E23&amp;"["&amp;$F23&amp;"]")*(INDIRECT($E23&amp;"[yr]")=I$5-1)*(INDIRECT($E23&amp;"[wk]")=I$6)*(INDIRECT($E23&amp;"[siteflag]")=$G$2))))-1,0)</f>
        <v>2.9335753191690461E-3</v>
      </c>
      <c r="J24" s="50">
        <f t="array" aca="1" ref="J24" ca="1">IFERROR(  J23/((SUM(INDIRECT($E23&amp;"["&amp;$F24&amp;"]")*(INDIRECT($E23&amp;"[yr]")=J$5-1)*(INDIRECT($E23&amp;"[wk]")=J$6)*(INDIRECT($E23&amp;"[siteflag]")=$G$2)))/
                      (SUM(INDIRECT($E23&amp;"["&amp;$F23&amp;"]")*(INDIRECT($E23&amp;"[yr]")=J$5-1)*(INDIRECT($E23&amp;"[wk]")=J$6)*(INDIRECT($E23&amp;"[siteflag]")=$G$2))))-1,0)</f>
        <v>3.4140756907702796E-2</v>
      </c>
      <c r="K24" s="50">
        <f t="array" aca="1" ref="K24" ca="1">IFERROR(  K23/((SUM(INDIRECT($E23&amp;"["&amp;$F24&amp;"]")*(INDIRECT($E23&amp;"[yr]")=K$5-1)*(INDIRECT($E23&amp;"[wk]")=K$6)*(INDIRECT($E23&amp;"[siteflag]")=$G$2)))/
                      (SUM(INDIRECT($E23&amp;"["&amp;$F23&amp;"]")*(INDIRECT($E23&amp;"[yr]")=K$5-1)*(INDIRECT($E23&amp;"[wk]")=K$6)*(INDIRECT($E23&amp;"[siteflag]")=$G$2))))-1,0)</f>
        <v>-0.11163730218803858</v>
      </c>
      <c r="L24" s="50">
        <f t="array" aca="1" ref="L24" ca="1">IFERROR(  L23/((SUM(INDIRECT($E23&amp;"["&amp;$F24&amp;"]")*(INDIRECT($E23&amp;"[yr]")=L$5-1)*(INDIRECT($E23&amp;"[wk]")=L$6)*(INDIRECT($E23&amp;"[siteflag]")=$G$2)))/
                      (SUM(INDIRECT($E23&amp;"["&amp;$F23&amp;"]")*(INDIRECT($E23&amp;"[yr]")=L$5-1)*(INDIRECT($E23&amp;"[wk]")=L$6)*(INDIRECT($E23&amp;"[siteflag]")=$G$2))))-1,0)</f>
        <v>1.1621287016871706E-2</v>
      </c>
      <c r="M24" s="50">
        <f t="array" aca="1" ref="M24" ca="1">IFERROR(  M23/((SUM(INDIRECT($E23&amp;"["&amp;$F24&amp;"]")*(INDIRECT($E23&amp;"[yr]")=M$5-1)*(INDIRECT($E23&amp;"[wk]")=M$6)*(INDIRECT($E23&amp;"[siteflag]")=$G$2)))/
                      (SUM(INDIRECT($E23&amp;"["&amp;$F23&amp;"]")*(INDIRECT($E23&amp;"[yr]")=M$5-1)*(INDIRECT($E23&amp;"[wk]")=M$6)*(INDIRECT($E23&amp;"[siteflag]")=$G$2))))-1,0)</f>
        <v>1.1271620047086151E-2</v>
      </c>
      <c r="N24" s="50">
        <f t="array" aca="1" ref="N24" ca="1">IFERROR(  N23/((SUM(INDIRECT($E23&amp;"["&amp;$F24&amp;"]")*(INDIRECT($E23&amp;"[yr]")=N$5-1)*(INDIRECT($E23&amp;"[wk]")=N$6)*(INDIRECT($E23&amp;"[siteflag]")=$G$2)))/
                      (SUM(INDIRECT($E23&amp;"["&amp;$F23&amp;"]")*(INDIRECT($E23&amp;"[yr]")=N$5-1)*(INDIRECT($E23&amp;"[wk]")=N$6)*(INDIRECT($E23&amp;"[siteflag]")=$G$2))))-1,0)</f>
        <v>-3.3209585580059153E-2</v>
      </c>
      <c r="O24" s="50">
        <f t="array" aca="1" ref="O24" ca="1">IFERROR(  O23/((SUM(INDIRECT($E23&amp;"["&amp;$F24&amp;"]")*(INDIRECT($E23&amp;"[yr]")=O$5-1)*(INDIRECT($E23&amp;"[wk]")=O$6)*(INDIRECT($E23&amp;"[siteflag]")=$G$2)))/
                      (SUM(INDIRECT($E23&amp;"["&amp;$F23&amp;"]")*(INDIRECT($E23&amp;"[yr]")=O$5-1)*(INDIRECT($E23&amp;"[wk]")=O$6)*(INDIRECT($E23&amp;"[siteflag]")=$G$2))))-1,0)</f>
        <v>1.3988194434381152E-2</v>
      </c>
      <c r="P24" s="54">
        <f t="array" aca="1" ref="P24" ca="1">IFERROR(  P23/((SUM(INDIRECT($E23&amp;"["&amp;$F24&amp;"]")*(INDIRECT($E23&amp;"[yr]")=P$5-1)*(INDIRECT($E23&amp;"[wk]")=P$6)*(INDIRECT($E23&amp;"[siteflag]")=$G$2)))/
                      (SUM(INDIRECT($E23&amp;"["&amp;$F23&amp;"]")*(INDIRECT($E23&amp;"[yr]")=P$5-1)*(INDIRECT($E23&amp;"[wk]")=P$6)*(INDIRECT($E23&amp;"[siteflag]")=$G$2))))-1,0)</f>
        <v>-2.3334501178243761E-3</v>
      </c>
      <c r="Q24" s="50">
        <f t="array" aca="1" ref="Q24" ca="1">IFERROR(  Q23/((SUM(INDIRECT($E23&amp;"["&amp;$F24&amp;"]")*(INDIRECT($E23&amp;"[yr]")=Q$5-1)*(INDIRECT($E23&amp;"[wk]")=Q$6)*(INDIRECT($E23&amp;"[siteflag]")=$G$2)))/
                      (SUM(INDIRECT($E23&amp;"["&amp;$F23&amp;"]")*(INDIRECT($E23&amp;"[yr]")=Q$5-1)*(INDIRECT($E23&amp;"[wk]")=Q$6)*(INDIRECT($E23&amp;"[siteflag]")=$G$2))))-1,0)</f>
        <v>1.0889316804232552E-2</v>
      </c>
      <c r="R24" s="50">
        <f t="array" aca="1" ref="R24" ca="1">IFERROR(  R23/((SUM(INDIRECT($E23&amp;"["&amp;$F24&amp;"]")*(INDIRECT($E23&amp;"[yr]")=R$5-1)*(INDIRECT($E23&amp;"[wk]")=R$6)*(INDIRECT($E23&amp;"[siteflag]")=$G$2)))/
                      (SUM(INDIRECT($E23&amp;"["&amp;$F23&amp;"]")*(INDIRECT($E23&amp;"[yr]")=R$5-1)*(INDIRECT($E23&amp;"[wk]")=R$6)*(INDIRECT($E23&amp;"[siteflag]")=$G$2))))-1,0)</f>
        <v>4.7401503754083363E-2</v>
      </c>
      <c r="S24" s="66">
        <f t="array" aca="1" ref="S24" ca="1">IFERROR(  S23/((SUM(INDIRECT($E23&amp;"["&amp;$F24&amp;"]")*(INDIRECT($E23&amp;"[yr]")=S$5-1)*(INDIRECT($E23&amp;"[wk]")=S$6)*(INDIRECT($E23&amp;"[siteflag]")=$G$2)))/
                      (SUM(INDIRECT($E23&amp;"["&amp;$F23&amp;"]")*(INDIRECT($E23&amp;"[yr]")=S$5-1)*(INDIRECT($E23&amp;"[wk]")=S$6)*(INDIRECT($E23&amp;"[siteflag]")=$G$2))))-1,0)</f>
        <v>6.1230908018242047E-2</v>
      </c>
      <c r="T24" s="50">
        <f t="array" aca="1" ref="T24" ca="1">IFERROR(  T23/((SUM(INDIRECT($E23&amp;"["&amp;$F24&amp;"]")*(INDIRECT($E23&amp;"[yr]")=T$5-1)*(INDIRECT($E23&amp;"[wk]")=T$6)*(INDIRECT($E23&amp;"[siteflag]")=$G$2)))/
                      (SUM(INDIRECT($E23&amp;"["&amp;$F23&amp;"]")*(INDIRECT($E23&amp;"[yr]")=T$5-1)*(INDIRECT($E23&amp;"[wk]")=T$6)*(INDIRECT($E23&amp;"[siteflag]")=$G$2))))-1,0)</f>
        <v>4.0359414471309307E-3</v>
      </c>
      <c r="U24" s="53">
        <f t="array" aca="1" ref="U24" ca="1">SUM(Q24:T24*Q66:T66)/SUM(Q66:T66)</f>
        <v>2.9142340880616797E-2</v>
      </c>
      <c r="V24" s="54"/>
      <c r="W24" s="55"/>
      <c r="X24" s="56"/>
    </row>
    <row r="25" spans="2:24" ht="3" customHeight="1" x14ac:dyDescent="0.4">
      <c r="B25" s="329"/>
      <c r="D25" s="61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61"/>
      <c r="Q25" s="57"/>
      <c r="R25" s="57"/>
      <c r="S25" s="149"/>
      <c r="T25" s="149"/>
      <c r="U25" s="60"/>
      <c r="V25" s="61"/>
      <c r="W25" s="62"/>
      <c r="X25" s="61"/>
    </row>
    <row r="26" spans="2:24" ht="14.15" customHeight="1" outlineLevel="1" x14ac:dyDescent="0.4">
      <c r="B26" s="329"/>
      <c r="D26" s="203" t="s">
        <v>533</v>
      </c>
      <c r="E26" t="s">
        <v>34</v>
      </c>
      <c r="F26" t="s">
        <v>291</v>
      </c>
      <c r="I26" s="45">
        <f t="array" aca="1" ref="I26" ca="1">IFERROR(  (SUM(INDIRECT($E26&amp;"["&amp;$F27&amp;"]")*(INDIRECT($E26&amp;"[yr]")=I$5)*(INDIRECT($E26&amp;"[wk]")=I$6)*(INDIRECT($E26&amp;"[siteflag]")=$G$2)))/
                      (SUM(INDIRECT($E26&amp;"["&amp;$F26&amp;"]")*(INDIRECT($E26&amp;"[yr]")=I$5)*(INDIRECT($E26&amp;"[wk]")=I$6)*(INDIRECT($E26&amp;"[siteflag]")=$G$2))),0)</f>
        <v>0.97602137225516383</v>
      </c>
      <c r="J26" s="45">
        <f t="array" aca="1" ref="J26" ca="1">IFERROR(  (SUM(INDIRECT($E26&amp;"["&amp;$F27&amp;"]")*(INDIRECT($E26&amp;"[yr]")=J$5)*(INDIRECT($E26&amp;"[wk]")=J$6)*(INDIRECT($E26&amp;"[siteflag]")=$G$2)))/
                      (SUM(INDIRECT($E26&amp;"["&amp;$F26&amp;"]")*(INDIRECT($E26&amp;"[yr]")=J$5)*(INDIRECT($E26&amp;"[wk]")=J$6)*(INDIRECT($E26&amp;"[siteflag]")=$G$2))),0)</f>
        <v>0.97735247208931419</v>
      </c>
      <c r="K26" s="45">
        <f t="array" aca="1" ref="K26" ca="1">IFERROR(  (SUM(INDIRECT($E26&amp;"["&amp;$F27&amp;"]")*(INDIRECT($E26&amp;"[yr]")=K$5)*(INDIRECT($E26&amp;"[wk]")=K$6)*(INDIRECT($E26&amp;"[siteflag]")=$G$2)))/
                      (SUM(INDIRECT($E26&amp;"["&amp;$F26&amp;"]")*(INDIRECT($E26&amp;"[yr]")=K$5)*(INDIRECT($E26&amp;"[wk]")=K$6)*(INDIRECT($E26&amp;"[siteflag]")=$G$2))),0)</f>
        <v>0.96925968592736311</v>
      </c>
      <c r="L26" s="45">
        <f t="array" aca="1" ref="L26" ca="1">IFERROR(  (SUM(INDIRECT($E26&amp;"["&amp;$F27&amp;"]")*(INDIRECT($E26&amp;"[yr]")=L$5)*(INDIRECT($E26&amp;"[wk]")=L$6)*(INDIRECT($E26&amp;"[siteflag]")=$G$2)))/
                      (SUM(INDIRECT($E26&amp;"["&amp;$F26&amp;"]")*(INDIRECT($E26&amp;"[yr]")=L$5)*(INDIRECT($E26&amp;"[wk]")=L$6)*(INDIRECT($E26&amp;"[siteflag]")=$G$2))),0)</f>
        <v>0.99196066706531127</v>
      </c>
      <c r="M26" s="45">
        <f t="array" aca="1" ref="M26" ca="1">IFERROR(  (SUM(INDIRECT($E26&amp;"["&amp;$F27&amp;"]")*(INDIRECT($E26&amp;"[yr]")=M$5)*(INDIRECT($E26&amp;"[wk]")=M$6)*(INDIRECT($E26&amp;"[siteflag]")=$G$2)))/
                      (SUM(INDIRECT($E26&amp;"["&amp;$F26&amp;"]")*(INDIRECT($E26&amp;"[yr]")=M$5)*(INDIRECT($E26&amp;"[wk]")=M$6)*(INDIRECT($E26&amp;"[siteflag]")=$G$2))),0)</f>
        <v>0.99314666144507535</v>
      </c>
      <c r="N26" s="45">
        <f t="array" aca="1" ref="N26" ca="1">IFERROR(  (SUM(INDIRECT($E26&amp;"["&amp;$F27&amp;"]")*(INDIRECT($E26&amp;"[yr]")=N$5)*(INDIRECT($E26&amp;"[wk]")=N$6)*(INDIRECT($E26&amp;"[siteflag]")=$G$2)))/
                      (SUM(INDIRECT($E26&amp;"["&amp;$F26&amp;"]")*(INDIRECT($E26&amp;"[yr]")=N$5)*(INDIRECT($E26&amp;"[wk]")=N$6)*(INDIRECT($E26&amp;"[siteflag]")=$G$2))),0)</f>
        <v>0.98639411916430231</v>
      </c>
      <c r="O26" s="45">
        <f t="array" aca="1" ref="O26" ca="1">IFERROR(  (SUM(INDIRECT($E26&amp;"["&amp;$F27&amp;"]")*(INDIRECT($E26&amp;"[yr]")=O$5)*(INDIRECT($E26&amp;"[wk]")=O$6)*(INDIRECT($E26&amp;"[siteflag]")=$G$2)))/
                      (SUM(INDIRECT($E26&amp;"["&amp;$F26&amp;"]")*(INDIRECT($E26&amp;"[yr]")=O$5)*(INDIRECT($E26&amp;"[wk]")=O$6)*(INDIRECT($E26&amp;"[siteflag]")=$G$2))),0)</f>
        <v>0.96327649934422321</v>
      </c>
      <c r="P26" s="47">
        <f t="array" aca="1" ref="P26" ca="1">IFERROR(  (SUM(INDIRECT($E26&amp;"["&amp;$F27&amp;"]")*(INDIRECT($E26&amp;"[yr]")=P$5)*(INDIRECT($E26&amp;"[wk]")=P$6)*(INDIRECT($E26&amp;"[siteflag]")=$G$2)))/
                      (SUM(INDIRECT($E26&amp;"["&amp;$F26&amp;"]")*(INDIRECT($E26&amp;"[yr]")=P$5)*(INDIRECT($E26&amp;"[wk]")=P$6)*(INDIRECT($E26&amp;"[siteflag]")=$G$2))),0)</f>
        <v>0.95030339287240406</v>
      </c>
      <c r="Q26" s="45">
        <f t="array" aca="1" ref="Q26" ca="1">IFERROR(  (SUM(INDIRECT($E26&amp;"["&amp;$F27&amp;"]")*(INDIRECT($E26&amp;"[yr]")=Q$5)*(INDIRECT($E26&amp;"[wk]")=Q$6)*(INDIRECT($E26&amp;"[siteflag]")=$G$2)))/
                      (SUM(INDIRECT($E26&amp;"["&amp;$F26&amp;"]")*(INDIRECT($E26&amp;"[yr]")=Q$5)*(INDIRECT($E26&amp;"[wk]")=Q$6)*(INDIRECT($E26&amp;"[siteflag]")=$G$2))),0)</f>
        <v>0.94491739910726613</v>
      </c>
      <c r="R26" s="45">
        <f t="array" aca="1" ref="R26" ca="1">IFERROR(  (SUM(INDIRECT($E26&amp;"["&amp;$F27&amp;"]")*(INDIRECT($E26&amp;"[yr]")=R$5)*(INDIRECT($E26&amp;"[wk]")=R$6)*(INDIRECT($E26&amp;"[siteflag]")=$G$2)))/
                      (SUM(INDIRECT($E26&amp;"["&amp;$F26&amp;"]")*(INDIRECT($E26&amp;"[yr]")=R$5)*(INDIRECT($E26&amp;"[wk]")=R$6)*(INDIRECT($E26&amp;"[siteflag]")=$G$2))),0)</f>
        <v>0.99068996301492152</v>
      </c>
      <c r="S26" s="163">
        <f t="array" aca="1" ref="S26" ca="1">IFERROR(  (SUM(INDIRECT($E26&amp;"["&amp;$F27&amp;"]")*(INDIRECT($E26&amp;"[yr]")=S$5)*(INDIRECT($E26&amp;"[wk]")=S$6)*(INDIRECT($E26&amp;"[siteflag]")=$G$2)))/
                      (SUM(INDIRECT($E26&amp;"["&amp;$F26&amp;"]")*(INDIRECT($E26&amp;"[yr]")=S$5)*(INDIRECT($E26&amp;"[wk]")=S$6)*(INDIRECT($E26&amp;"[siteflag]")=$G$2))),0)</f>
        <v>0.98588936734017885</v>
      </c>
      <c r="T26" s="162">
        <f t="array" aca="1" ref="T26" ca="1">IFERROR(  (SUM(INDIRECT($E26&amp;"["&amp;$F27&amp;"]")*(INDIRECT($E26&amp;"[yr]")=T$5)*(INDIRECT($E26&amp;"[wk]")=T$6)*(INDIRECT($E26&amp;"[siteflag]")=$G$2)))/
                      (SUM(INDIRECT($E26&amp;"["&amp;$F26&amp;"]")*(INDIRECT($E26&amp;"[yr]")=T$5)*(INDIRECT($E26&amp;"[wk]")=T$6)*(INDIRECT($E26&amp;"[siteflag]")=$G$2))),0)</f>
        <v>0.99034399517199756</v>
      </c>
      <c r="U26" s="46">
        <f t="array" aca="1" ref="U26" ca="1">SUM(Q26:T26*Q66:T66)/SUM(Q66:T66)</f>
        <v>0.97570420430709326</v>
      </c>
      <c r="V26" s="47">
        <f ca="1">SUM(T26/S26)-1</f>
        <v>4.5183851042402967E-3</v>
      </c>
      <c r="W26" s="48">
        <v>0.995</v>
      </c>
      <c r="X26" s="49"/>
    </row>
    <row r="27" spans="2:24" ht="14.15" customHeight="1" outlineLevel="1" x14ac:dyDescent="0.4">
      <c r="B27" s="329"/>
      <c r="D27" s="202" t="s">
        <v>67</v>
      </c>
      <c r="E27" s="40"/>
      <c r="F27" s="40" t="s">
        <v>372</v>
      </c>
      <c r="G27" s="40"/>
      <c r="H27" s="40"/>
      <c r="I27" s="226">
        <f t="array" aca="1" ref="I27" ca="1">IFERROR(  I26/((SUM(INDIRECT($E26&amp;"["&amp;$F27&amp;"]")*(INDIRECT($E26&amp;"[yr]")=I$5-1)*(INDIRECT($E26&amp;"[wk]")=I$6)*(INDIRECT($E26&amp;"[siteflag]")=$G$2)))/
                      (SUM(INDIRECT($E26&amp;"["&amp;$F26&amp;"]")*(INDIRECT($E26&amp;"[yr]")=I$5-1)*(INDIRECT($E26&amp;"[wk]")=I$6)*(INDIRECT($E26&amp;"[siteflag]")=$G$2))))-1,0)</f>
        <v>0.12644403630537138</v>
      </c>
      <c r="J27" s="226">
        <f t="array" aca="1" ref="J27" ca="1">IFERROR(  J26/((SUM(INDIRECT($E26&amp;"["&amp;$F27&amp;"]")*(INDIRECT($E26&amp;"[yr]")=J$5-1)*(INDIRECT($E26&amp;"[wk]")=J$6)*(INDIRECT($E26&amp;"[siteflag]")=$G$2)))/
                      (SUM(INDIRECT($E26&amp;"["&amp;$F26&amp;"]")*(INDIRECT($E26&amp;"[yr]")=J$5-1)*(INDIRECT($E26&amp;"[wk]")=J$6)*(INDIRECT($E26&amp;"[siteflag]")=$G$2))))-1,0)</f>
        <v>1.1283463425270979E-2</v>
      </c>
      <c r="K27" s="226">
        <f t="array" aca="1" ref="K27" ca="1">IFERROR(  K26/((SUM(INDIRECT($E26&amp;"["&amp;$F27&amp;"]")*(INDIRECT($E26&amp;"[yr]")=K$5-1)*(INDIRECT($E26&amp;"[wk]")=K$6)*(INDIRECT($E26&amp;"[siteflag]")=$G$2)))/
                      (SUM(INDIRECT($E26&amp;"["&amp;$F26&amp;"]")*(INDIRECT($E26&amp;"[yr]")=K$5-1)*(INDIRECT($E26&amp;"[wk]")=K$6)*(INDIRECT($E26&amp;"[siteflag]")=$G$2))))-1,0)</f>
        <v>-1.9820377909380293E-2</v>
      </c>
      <c r="L27" s="226">
        <f t="array" aca="1" ref="L27" ca="1">IFERROR(  L26/((SUM(INDIRECT($E26&amp;"["&amp;$F27&amp;"]")*(INDIRECT($E26&amp;"[yr]")=L$5-1)*(INDIRECT($E26&amp;"[wk]")=L$6)*(INDIRECT($E26&amp;"[siteflag]")=$G$2)))/
                      (SUM(INDIRECT($E26&amp;"["&amp;$F26&amp;"]")*(INDIRECT($E26&amp;"[yr]")=L$5-1)*(INDIRECT($E26&amp;"[wk]")=L$6)*(INDIRECT($E26&amp;"[siteflag]")=$G$2))))-1,0)</f>
        <v>2.6994198560871929E-2</v>
      </c>
      <c r="M27" s="226">
        <f t="array" aca="1" ref="M27" ca="1">IFERROR(  M26/((SUM(INDIRECT($E26&amp;"["&amp;$F27&amp;"]")*(INDIRECT($E26&amp;"[yr]")=M$5-1)*(INDIRECT($E26&amp;"[wk]")=M$6)*(INDIRECT($E26&amp;"[siteflag]")=$G$2)))/
                      (SUM(INDIRECT($E26&amp;"["&amp;$F26&amp;"]")*(INDIRECT($E26&amp;"[yr]")=M$5-1)*(INDIRECT($E26&amp;"[wk]")=M$6)*(INDIRECT($E26&amp;"[siteflag]")=$G$2))))-1,0)</f>
        <v>2.369044088910699E-2</v>
      </c>
      <c r="N27" s="226">
        <f t="array" aca="1" ref="N27" ca="1">IFERROR(  N26/((SUM(INDIRECT($E26&amp;"["&amp;$F27&amp;"]")*(INDIRECT($E26&amp;"[yr]")=N$5-1)*(INDIRECT($E26&amp;"[wk]")=N$6)*(INDIRECT($E26&amp;"[siteflag]")=$G$2)))/
                      (SUM(INDIRECT($E26&amp;"["&amp;$F26&amp;"]")*(INDIRECT($E26&amp;"[yr]")=N$5-1)*(INDIRECT($E26&amp;"[wk]")=N$6)*(INDIRECT($E26&amp;"[siteflag]")=$G$2))))-1,0)</f>
        <v>1.0781755408573179E-2</v>
      </c>
      <c r="O27" s="226">
        <f t="array" aca="1" ref="O27" ca="1">IFERROR(  O26/((SUM(INDIRECT($E26&amp;"["&amp;$F27&amp;"]")*(INDIRECT($E26&amp;"[yr]")=O$5-1)*(INDIRECT($E26&amp;"[wk]")=O$6)*(INDIRECT($E26&amp;"[siteflag]")=$G$2)))/
                      (SUM(INDIRECT($E26&amp;"["&amp;$F26&amp;"]")*(INDIRECT($E26&amp;"[yr]")=O$5-1)*(INDIRECT($E26&amp;"[wk]")=O$6)*(INDIRECT($E26&amp;"[siteflag]")=$G$2))))-1,0)</f>
        <v>8.0711754111508771E-3</v>
      </c>
      <c r="P27" s="227">
        <f t="array" aca="1" ref="P27" ca="1">IFERROR(  P26/((SUM(INDIRECT($E26&amp;"["&amp;$F27&amp;"]")*(INDIRECT($E26&amp;"[yr]")=P$5-1)*(INDIRECT($E26&amp;"[wk]")=P$6)*(INDIRECT($E26&amp;"[siteflag]")=$G$2)))/
                      (SUM(INDIRECT($E26&amp;"["&amp;$F26&amp;"]")*(INDIRECT($E26&amp;"[yr]")=P$5-1)*(INDIRECT($E26&amp;"[wk]")=P$6)*(INDIRECT($E26&amp;"[siteflag]")=$G$2))))-1,0)</f>
        <v>-8.3322336450519785E-3</v>
      </c>
      <c r="Q27" s="226">
        <f t="array" aca="1" ref="Q27" ca="1">IFERROR(  Q26/((SUM(INDIRECT($E26&amp;"["&amp;$F27&amp;"]")*(INDIRECT($E26&amp;"[yr]")=Q$5-1)*(INDIRECT($E26&amp;"[wk]")=Q$6)*(INDIRECT($E26&amp;"[siteflag]")=$G$2)))/
                      (SUM(INDIRECT($E26&amp;"["&amp;$F26&amp;"]")*(INDIRECT($E26&amp;"[yr]")=Q$5-1)*(INDIRECT($E26&amp;"[wk]")=Q$6)*(INDIRECT($E26&amp;"[siteflag]")=$G$2))))-1,0)</f>
        <v>-3.5234149880135623E-2</v>
      </c>
      <c r="R27" s="226">
        <f t="array" aca="1" ref="R27" ca="1">IFERROR(  R26/((SUM(INDIRECT($E26&amp;"["&amp;$F27&amp;"]")*(INDIRECT($E26&amp;"[yr]")=R$5-1)*(INDIRECT($E26&amp;"[wk]")=R$6)*(INDIRECT($E26&amp;"[siteflag]")=$G$2)))/
                      (SUM(INDIRECT($E26&amp;"["&amp;$F26&amp;"]")*(INDIRECT($E26&amp;"[yr]")=R$5-1)*(INDIRECT($E26&amp;"[wk]")=R$6)*(INDIRECT($E26&amp;"[siteflag]")=$G$2))))-1,0)</f>
        <v>3.078623454785645E-2</v>
      </c>
      <c r="S27" s="66">
        <f t="array" aca="1" ref="S27" ca="1">IFERROR(  S26/((SUM(INDIRECT($E26&amp;"["&amp;$F27&amp;"]")*(INDIRECT($E26&amp;"[yr]")=S$5-1)*(INDIRECT($E26&amp;"[wk]")=S$6)*(INDIRECT($E26&amp;"[siteflag]")=$G$2)))/
                      (SUM(INDIRECT($E26&amp;"["&amp;$F26&amp;"]")*(INDIRECT($E26&amp;"[yr]")=S$5-1)*(INDIRECT($E26&amp;"[wk]")=S$6)*(INDIRECT($E26&amp;"[siteflag]")=$G$2))))-1,0)</f>
        <v>2.9921916384785696E-2</v>
      </c>
      <c r="T27" s="50">
        <f t="array" aca="1" ref="T27" ca="1">IFERROR(  T26/((SUM(INDIRECT($E26&amp;"["&amp;$F27&amp;"]")*(INDIRECT($E26&amp;"[yr]")=T$5-1)*(INDIRECT($E26&amp;"[wk]")=T$6)*(INDIRECT($E26&amp;"[siteflag]")=$G$2)))/
                      (SUM(INDIRECT($E26&amp;"["&amp;$F26&amp;"]")*(INDIRECT($E26&amp;"[yr]")=T$5-1)*(INDIRECT($E26&amp;"[wk]")=T$6)*(INDIRECT($E26&amp;"[siteflag]")=$G$2))))-1,0)</f>
        <v>1.0363583198216064E-2</v>
      </c>
      <c r="U27" s="53">
        <f t="array" aca="1" ref="U27" ca="1">SUM(Q27:T27*Q66:T66)/SUM(Q66:T66)</f>
        <v>5.7750600358320338E-3</v>
      </c>
      <c r="V27" s="54"/>
      <c r="W27" s="55"/>
      <c r="X27" s="56"/>
    </row>
    <row r="28" spans="2:24" ht="3" customHeight="1" outlineLevel="1" x14ac:dyDescent="0.4">
      <c r="B28" s="329"/>
      <c r="D28" s="61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61"/>
      <c r="Q28" s="57"/>
      <c r="R28" s="57"/>
      <c r="S28" s="149"/>
      <c r="T28" s="149"/>
      <c r="U28" s="60"/>
      <c r="V28" s="61"/>
      <c r="W28" s="62"/>
      <c r="X28" s="61"/>
    </row>
    <row r="29" spans="2:24" ht="14.15" customHeight="1" outlineLevel="1" x14ac:dyDescent="0.4">
      <c r="B29" s="329"/>
      <c r="D29" s="271" t="s">
        <v>534</v>
      </c>
      <c r="E29" t="s">
        <v>405</v>
      </c>
      <c r="F29" t="s">
        <v>291</v>
      </c>
      <c r="I29" s="45">
        <f t="array" aca="1" ref="I29" ca="1">IFERROR(  (SUM(INDIRECT($E29&amp;"["&amp;$F30&amp;"]")*(INDIRECT($E29&amp;"[yr]")=I$5)*(INDIRECT($E29&amp;"[wk]")=I$6)*(INDIRECT($E29&amp;"[siteflag]")=$G$2)))/
                      (SUM(INDIRECT($E29&amp;"["&amp;$F29&amp;"]")*(INDIRECT($E29&amp;"[yr]")=I$5)*(INDIRECT($E29&amp;"[wk]")=I$6)*(INDIRECT($E29&amp;"[siteflag]")=$G$2))),0)</f>
        <v>0.93103448275862066</v>
      </c>
      <c r="J29" s="45">
        <f t="array" aca="1" ref="J29" ca="1">IFERROR(  (SUM(INDIRECT($E29&amp;"["&amp;$F30&amp;"]")*(INDIRECT($E29&amp;"[yr]")=J$5)*(INDIRECT($E29&amp;"[wk]")=J$6)*(INDIRECT($E29&amp;"[siteflag]")=$G$2)))/
                      (SUM(INDIRECT($E29&amp;"["&amp;$F29&amp;"]")*(INDIRECT($E29&amp;"[yr]")=J$5)*(INDIRECT($E29&amp;"[wk]")=J$6)*(INDIRECT($E29&amp;"[siteflag]")=$G$2))),0)</f>
        <v>0.94126984126984126</v>
      </c>
      <c r="K29" s="45">
        <f t="array" aca="1" ref="K29" ca="1">IFERROR(  (SUM(INDIRECT($E29&amp;"["&amp;$F30&amp;"]")*(INDIRECT($E29&amp;"[yr]")=K$5)*(INDIRECT($E29&amp;"[wk]")=K$6)*(INDIRECT($E29&amp;"[siteflag]")=$G$2)))/
                      (SUM(INDIRECT($E29&amp;"["&amp;$F29&amp;"]")*(INDIRECT($E29&amp;"[yr]")=K$5)*(INDIRECT($E29&amp;"[wk]")=K$6)*(INDIRECT($E29&amp;"[siteflag]")=$G$2))),0)</f>
        <v>0.89732770745428969</v>
      </c>
      <c r="L29" s="45">
        <f t="array" aca="1" ref="L29" ca="1">IFERROR(  (SUM(INDIRECT($E29&amp;"["&amp;$F30&amp;"]")*(INDIRECT($E29&amp;"[yr]")=L$5)*(INDIRECT($E29&amp;"[wk]")=L$6)*(INDIRECT($E29&amp;"[siteflag]")=$G$2)))/
                      (SUM(INDIRECT($E29&amp;"["&amp;$F29&amp;"]")*(INDIRECT($E29&amp;"[yr]")=L$5)*(INDIRECT($E29&amp;"[wk]")=L$6)*(INDIRECT($E29&amp;"[siteflag]")=$G$2))),0)</f>
        <v>0.99107474897731496</v>
      </c>
      <c r="M29" s="45">
        <f t="array" aca="1" ref="M29" ca="1">IFERROR(  (SUM(INDIRECT($E29&amp;"["&amp;$F30&amp;"]")*(INDIRECT($E29&amp;"[yr]")=M$5)*(INDIRECT($E29&amp;"[wk]")=M$6)*(INDIRECT($E29&amp;"[siteflag]")=$G$2)))/
                      (SUM(INDIRECT($E29&amp;"["&amp;$F29&amp;"]")*(INDIRECT($E29&amp;"[yr]")=M$5)*(INDIRECT($E29&amp;"[wk]")=M$6)*(INDIRECT($E29&amp;"[siteflag]")=$G$2))),0)</f>
        <v>0.98779296875</v>
      </c>
      <c r="N29" s="45">
        <f t="array" aca="1" ref="N29" ca="1">IFERROR(  (SUM(INDIRECT($E29&amp;"["&amp;$F30&amp;"]")*(INDIRECT($E29&amp;"[yr]")=N$5)*(INDIRECT($E29&amp;"[wk]")=N$6)*(INDIRECT($E29&amp;"[siteflag]")=$G$2)))/
                      (SUM(INDIRECT($E29&amp;"["&amp;$F29&amp;"]")*(INDIRECT($E29&amp;"[yr]")=N$5)*(INDIRECT($E29&amp;"[wk]")=N$6)*(INDIRECT($E29&amp;"[siteflag]")=$G$2))),0)</f>
        <v>0.97222222222222221</v>
      </c>
      <c r="O29" s="45">
        <f t="array" aca="1" ref="O29" ca="1">IFERROR(  (SUM(INDIRECT($E29&amp;"["&amp;$F30&amp;"]")*(INDIRECT($E29&amp;"[yr]")=O$5)*(INDIRECT($E29&amp;"[wk]")=O$6)*(INDIRECT($E29&amp;"[siteflag]")=$G$2)))/
                      (SUM(INDIRECT($E29&amp;"["&amp;$F29&amp;"]")*(INDIRECT($E29&amp;"[yr]")=O$5)*(INDIRECT($E29&amp;"[wk]")=O$6)*(INDIRECT($E29&amp;"[siteflag]")=$G$2))),0)</f>
        <v>0.93483047115808016</v>
      </c>
      <c r="P29" s="47">
        <f t="array" aca="1" ref="P29" ca="1">IFERROR(  (SUM(INDIRECT($E29&amp;"["&amp;$F30&amp;"]")*(INDIRECT($E29&amp;"[yr]")=P$5)*(INDIRECT($E29&amp;"[wk]")=P$6)*(INDIRECT($E29&amp;"[siteflag]")=$G$2)))/
                      (SUM(INDIRECT($E29&amp;"["&amp;$F29&amp;"]")*(INDIRECT($E29&amp;"[yr]")=P$5)*(INDIRECT($E29&amp;"[wk]")=P$6)*(INDIRECT($E29&amp;"[siteflag]")=$G$2))),0)</f>
        <v>0.94497528830313016</v>
      </c>
      <c r="Q29" s="45">
        <f t="array" aca="1" ref="Q29" ca="1">IFERROR(  (SUM(INDIRECT($E29&amp;"["&amp;$F30&amp;"]")*(INDIRECT($E29&amp;"[yr]")=Q$5)*(INDIRECT($E29&amp;"[wk]")=Q$6)*(INDIRECT($E29&amp;"[siteflag]")=$G$2)))/
                      (SUM(INDIRECT($E29&amp;"["&amp;$F29&amp;"]")*(INDIRECT($E29&amp;"[yr]")=Q$5)*(INDIRECT($E29&amp;"[wk]")=Q$6)*(INDIRECT($E29&amp;"[siteflag]")=$G$2))),0)</f>
        <v>0.97691373025516404</v>
      </c>
      <c r="R29" s="45">
        <f t="array" aca="1" ref="R29" ca="1">IFERROR(  (SUM(INDIRECT($E29&amp;"["&amp;$F30&amp;"]")*(INDIRECT($E29&amp;"[yr]")=R$5)*(INDIRECT($E29&amp;"[wk]")=R$6)*(INDIRECT($E29&amp;"[siteflag]")=$G$2)))/
                      (SUM(INDIRECT($E29&amp;"["&amp;$F29&amp;"]")*(INDIRECT($E29&amp;"[yr]")=R$5)*(INDIRECT($E29&amp;"[wk]")=R$6)*(INDIRECT($E29&amp;"[siteflag]")=$G$2))),0)</f>
        <v>0.98814363143631434</v>
      </c>
      <c r="S29" s="164">
        <f t="array" aca="1" ref="S29" ca="1">IFERROR(  (SUM(INDIRECT($E29&amp;"["&amp;$F30&amp;"]")*(INDIRECT($E29&amp;"[yr]")=S$5)*(INDIRECT($E29&amp;"[wk]")=S$6)*(INDIRECT($E29&amp;"[siteflag]")=$G$2)))/
                      (SUM(INDIRECT($E29&amp;"["&amp;$F29&amp;"]")*(INDIRECT($E29&amp;"[yr]")=S$5)*(INDIRECT($E29&amp;"[wk]")=S$6)*(INDIRECT($E29&amp;"[siteflag]")=$G$2))),0)</f>
        <v>0.98453427065026367</v>
      </c>
      <c r="T29" s="162">
        <f t="array" aca="1" ref="T29" ca="1">IFERROR(  (SUM(INDIRECT($E29&amp;"["&amp;$F30&amp;"]")*(INDIRECT($E29&amp;"[yr]")=T$5)*(INDIRECT($E29&amp;"[wk]")=T$6)*(INDIRECT($E29&amp;"[siteflag]")=$G$2)))/
                      (SUM(INDIRECT($E29&amp;"["&amp;$F29&amp;"]")*(INDIRECT($E29&amp;"[yr]")=T$5)*(INDIRECT($E29&amp;"[wk]")=T$6)*(INDIRECT($E29&amp;"[siteflag]")=$G$2))),0)</f>
        <v>0.98922247882986913</v>
      </c>
      <c r="U29" s="46">
        <f t="array" aca="1" ref="U29" ca="1">SUM(Q29:T29*Q66:T66)/SUM(Q66:T66)</f>
        <v>0.9841907054743867</v>
      </c>
      <c r="V29" s="47">
        <f ca="1">SUM(T29/S29)-1</f>
        <v>4.7618537204490163E-3</v>
      </c>
      <c r="W29" s="48">
        <v>0.995</v>
      </c>
      <c r="X29" s="49"/>
    </row>
    <row r="30" spans="2:24" ht="14.15" customHeight="1" outlineLevel="1" x14ac:dyDescent="0.4">
      <c r="B30" s="329"/>
      <c r="D30" s="202" t="s">
        <v>67</v>
      </c>
      <c r="E30" s="40"/>
      <c r="F30" s="40" t="s">
        <v>372</v>
      </c>
      <c r="G30" s="40"/>
      <c r="H30" s="40"/>
      <c r="I30" s="50">
        <f t="array" aca="1" ref="I30" ca="1">IFERROR(  I29/((SUM(INDIRECT($E29&amp;"["&amp;$F30&amp;"]")*(INDIRECT($E29&amp;"[yr]")=I$5-1)*(INDIRECT($E29&amp;"[wk]")=I$6)*(INDIRECT($E29&amp;"[siteflag]")=$G$2)))/
                      (SUM(INDIRECT($E29&amp;"["&amp;$F29&amp;"]")*(INDIRECT($E29&amp;"[yr]")=I$5-1)*(INDIRECT($E29&amp;"[wk]")=I$6)*(INDIRECT($E29&amp;"[siteflag]")=$G$2))))-1,0)</f>
        <v>5.4924633491637342E-2</v>
      </c>
      <c r="J30" s="50">
        <f t="array" aca="1" ref="J30" ca="1">IFERROR(  J29/((SUM(INDIRECT($E29&amp;"["&amp;$F30&amp;"]")*(INDIRECT($E29&amp;"[yr]")=J$5-1)*(INDIRECT($E29&amp;"[wk]")=J$6)*(INDIRECT($E29&amp;"[siteflag]")=$G$2)))/
                      (SUM(INDIRECT($E29&amp;"["&amp;$F29&amp;"]")*(INDIRECT($E29&amp;"[yr]")=J$5-1)*(INDIRECT($E29&amp;"[wk]")=J$6)*(INDIRECT($E29&amp;"[siteflag]")=$G$2))))-1,0)</f>
        <v>3.0777096114519509E-2</v>
      </c>
      <c r="K30" s="50">
        <f t="array" aca="1" ref="K30" ca="1">IFERROR(  K29/((SUM(INDIRECT($E29&amp;"["&amp;$F30&amp;"]")*(INDIRECT($E29&amp;"[yr]")=K$5-1)*(INDIRECT($E29&amp;"[wk]")=K$6)*(INDIRECT($E29&amp;"[siteflag]")=$G$2)))/
                      (SUM(INDIRECT($E29&amp;"["&amp;$F29&amp;"]")*(INDIRECT($E29&amp;"[yr]")=K$5-1)*(INDIRECT($E29&amp;"[wk]")=K$6)*(INDIRECT($E29&amp;"[siteflag]")=$G$2))))-1,0)</f>
        <v>-8.689752091016878E-2</v>
      </c>
      <c r="L30" s="50">
        <f t="array" aca="1" ref="L30" ca="1">IFERROR(  L29/((SUM(INDIRECT($E29&amp;"["&amp;$F30&amp;"]")*(INDIRECT($E29&amp;"[yr]")=L$5-1)*(INDIRECT($E29&amp;"[wk]")=L$6)*(INDIRECT($E29&amp;"[siteflag]")=$G$2)))/
                      (SUM(INDIRECT($E29&amp;"["&amp;$F29&amp;"]")*(INDIRECT($E29&amp;"[yr]")=L$5-1)*(INDIRECT($E29&amp;"[wk]")=L$6)*(INDIRECT($E29&amp;"[siteflag]")=$G$2))))-1,0)</f>
        <v>7.1380175022541348E-2</v>
      </c>
      <c r="M30" s="50">
        <f t="array" aca="1" ref="M30" ca="1">IFERROR(  M29/((SUM(INDIRECT($E29&amp;"["&amp;$F30&amp;"]")*(INDIRECT($E29&amp;"[yr]")=M$5-1)*(INDIRECT($E29&amp;"[wk]")=M$6)*(INDIRECT($E29&amp;"[siteflag]")=$G$2)))/
                      (SUM(INDIRECT($E29&amp;"["&amp;$F29&amp;"]")*(INDIRECT($E29&amp;"[yr]")=M$5-1)*(INDIRECT($E29&amp;"[wk]")=M$6)*(INDIRECT($E29&amp;"[siteflag]")=$G$2))))-1,0)</f>
        <v>0.10366311171187692</v>
      </c>
      <c r="N30" s="50">
        <f t="array" aca="1" ref="N30" ca="1">IFERROR(  N29/((SUM(INDIRECT($E29&amp;"["&amp;$F30&amp;"]")*(INDIRECT($E29&amp;"[yr]")=N$5-1)*(INDIRECT($E29&amp;"[wk]")=N$6)*(INDIRECT($E29&amp;"[siteflag]")=$G$2)))/
                      (SUM(INDIRECT($E29&amp;"["&amp;$F29&amp;"]")*(INDIRECT($E29&amp;"[yr]")=N$5-1)*(INDIRECT($E29&amp;"[wk]")=N$6)*(INDIRECT($E29&amp;"[siteflag]")=$G$2))))-1,0)</f>
        <v>1.4108009708737823E-2</v>
      </c>
      <c r="O30" s="50">
        <f t="array" aca="1" ref="O30" ca="1">IFERROR(  O29/((SUM(INDIRECT($E29&amp;"["&amp;$F30&amp;"]")*(INDIRECT($E29&amp;"[yr]")=O$5-1)*(INDIRECT($E29&amp;"[wk]")=O$6)*(INDIRECT($E29&amp;"[siteflag]")=$G$2)))/
                      (SUM(INDIRECT($E29&amp;"["&amp;$F29&amp;"]")*(INDIRECT($E29&amp;"[yr]")=O$5-1)*(INDIRECT($E29&amp;"[wk]")=O$6)*(INDIRECT($E29&amp;"[siteflag]")=$G$2))))-1,0)</f>
        <v>4.0979625041636103E-2</v>
      </c>
      <c r="P30" s="54">
        <f t="array" aca="1" ref="P30" ca="1">IFERROR(  P29/((SUM(INDIRECT($E29&amp;"["&amp;$F30&amp;"]")*(INDIRECT($E29&amp;"[yr]")=P$5-1)*(INDIRECT($E29&amp;"[wk]")=P$6)*(INDIRECT($E29&amp;"[siteflag]")=$G$2)))/
                      (SUM(INDIRECT($E29&amp;"["&amp;$F29&amp;"]")*(INDIRECT($E29&amp;"[yr]")=P$5-1)*(INDIRECT($E29&amp;"[wk]")=P$6)*(INDIRECT($E29&amp;"[siteflag]")=$G$2))))-1,0)</f>
        <v>0.15513157994938354</v>
      </c>
      <c r="Q30" s="50">
        <f t="array" aca="1" ref="Q30" ca="1">IFERROR(  Q29/((SUM(INDIRECT($E29&amp;"["&amp;$F30&amp;"]")*(INDIRECT($E29&amp;"[yr]")=Q$5-1)*(INDIRECT($E29&amp;"[wk]")=Q$6)*(INDIRECT($E29&amp;"[siteflag]")=$G$2)))/
                      (SUM(INDIRECT($E29&amp;"["&amp;$F29&amp;"]")*(INDIRECT($E29&amp;"[yr]")=Q$5-1)*(INDIRECT($E29&amp;"[wk]")=Q$6)*(INDIRECT($E29&amp;"[siteflag]")=$G$2))))-1,0)</f>
        <v>3.7425971814276648E-2</v>
      </c>
      <c r="R30" s="50">
        <f t="array" aca="1" ref="R30" ca="1">IFERROR(  R29/((SUM(INDIRECT($E29&amp;"["&amp;$F30&amp;"]")*(INDIRECT($E29&amp;"[yr]")=R$5-1)*(INDIRECT($E29&amp;"[wk]")=R$6)*(INDIRECT($E29&amp;"[siteflag]")=$G$2)))/
                      (SUM(INDIRECT($E29&amp;"["&amp;$F29&amp;"]")*(INDIRECT($E29&amp;"[yr]")=R$5-1)*(INDIRECT($E29&amp;"[wk]")=R$6)*(INDIRECT($E29&amp;"[siteflag]")=$G$2))))-1,0)</f>
        <v>0.12194642712393167</v>
      </c>
      <c r="S30" s="66">
        <f t="array" aca="1" ref="S30" ca="1">IFERROR(  S29/((SUM(INDIRECT($E29&amp;"["&amp;$F30&amp;"]")*(INDIRECT($E29&amp;"[yr]")=S$5-1)*(INDIRECT($E29&amp;"[wk]")=S$6)*(INDIRECT($E29&amp;"[siteflag]")=$G$2)))/
                      (SUM(INDIRECT($E29&amp;"["&amp;$F29&amp;"]")*(INDIRECT($E29&amp;"[yr]")=S$5-1)*(INDIRECT($E29&amp;"[wk]")=S$6)*(INDIRECT($E29&amp;"[siteflag]")=$G$2))))-1,0)</f>
        <v>0.14629787313531595</v>
      </c>
      <c r="T30" s="50">
        <f t="array" aca="1" ref="T30" ca="1">IFERROR(  T29/((SUM(INDIRECT($E29&amp;"["&amp;$F30&amp;"]")*(INDIRECT($E29&amp;"[yr]")=T$5-1)*(INDIRECT($E29&amp;"[wk]")=T$6)*(INDIRECT($E29&amp;"[siteflag]")=$G$2)))/
                      (SUM(INDIRECT($E29&amp;"["&amp;$F29&amp;"]")*(INDIRECT($E29&amp;"[yr]")=T$5-1)*(INDIRECT($E29&amp;"[wk]")=T$6)*(INDIRECT($E29&amp;"[siteflag]")=$G$2))))-1,0)</f>
        <v>5.9082823380001148E-2</v>
      </c>
      <c r="U30" s="53">
        <f t="array" aca="1" ref="U30" ca="1">SUM(Q30:T30*Q66:T66)/SUM(Q66:T66)</f>
        <v>8.6932246733585322E-2</v>
      </c>
      <c r="V30" s="54"/>
      <c r="W30" s="55"/>
      <c r="X30" s="56"/>
    </row>
    <row r="31" spans="2:24" ht="3" customHeight="1" outlineLevel="1" x14ac:dyDescent="0.4">
      <c r="B31" s="329"/>
      <c r="D31" s="201"/>
      <c r="E31" s="63"/>
      <c r="F31" s="63"/>
      <c r="G31" s="63"/>
      <c r="H31" s="63"/>
      <c r="I31" s="64"/>
      <c r="J31" s="64"/>
      <c r="K31" s="64"/>
      <c r="L31" s="64"/>
      <c r="M31" s="64"/>
      <c r="N31" s="64"/>
      <c r="O31" s="64"/>
      <c r="P31" s="47"/>
      <c r="Q31" s="64"/>
      <c r="R31" s="64"/>
      <c r="S31" s="163"/>
      <c r="T31" s="162"/>
      <c r="U31" s="46"/>
      <c r="V31" s="47"/>
      <c r="W31" s="65"/>
      <c r="X31" s="47"/>
    </row>
    <row r="32" spans="2:24" ht="14.15" customHeight="1" x14ac:dyDescent="0.4">
      <c r="B32" s="329"/>
      <c r="D32" s="201" t="s">
        <v>68</v>
      </c>
      <c r="E32" s="63"/>
      <c r="F32" s="63"/>
      <c r="G32" s="63"/>
      <c r="H32" s="63"/>
      <c r="I32" s="64">
        <f t="shared" ref="I32:S32" ca="1" si="2">I35/I38</f>
        <v>8.1012218426081417E-2</v>
      </c>
      <c r="J32" s="64">
        <f t="shared" ca="1" si="2"/>
        <v>9.5048556212799673E-2</v>
      </c>
      <c r="K32" s="64">
        <f t="shared" ca="1" si="2"/>
        <v>0.11852867629265143</v>
      </c>
      <c r="L32" s="64">
        <f t="shared" ca="1" si="2"/>
        <v>0.10222695010724935</v>
      </c>
      <c r="M32" s="64">
        <f t="shared" ca="1" si="2"/>
        <v>6.6172236681484212E-2</v>
      </c>
      <c r="N32" s="64">
        <f t="shared" ca="1" si="2"/>
        <v>2.6589159804079873E-2</v>
      </c>
      <c r="O32" s="64">
        <f t="shared" ca="1" si="2"/>
        <v>5.7063395005720149E-2</v>
      </c>
      <c r="P32" s="47">
        <f t="shared" ca="1" si="2"/>
        <v>7.7817731362799583E-2</v>
      </c>
      <c r="Q32" s="64">
        <f t="shared" ca="1" si="2"/>
        <v>3.941502951281825E-2</v>
      </c>
      <c r="R32" s="64">
        <f t="shared" ca="1" si="2"/>
        <v>1.6035208572522004E-2</v>
      </c>
      <c r="S32" s="163">
        <f t="shared" ca="1" si="2"/>
        <v>2.3878880086090133E-2</v>
      </c>
      <c r="T32" s="162">
        <f ca="1">T35/T38</f>
        <v>1.9947702652222638E-2</v>
      </c>
      <c r="U32" s="46">
        <f ca="1">AVERAGE(Q32:T32)</f>
        <v>2.4819205205913256E-2</v>
      </c>
      <c r="V32" s="47">
        <f t="array" aca="1" ref="V32" ca="1">SUM(T32/S32)-1</f>
        <v>-0.16462989133889383</v>
      </c>
      <c r="W32" s="65">
        <v>0.04</v>
      </c>
      <c r="X32" s="49"/>
    </row>
    <row r="33" spans="2:24" ht="14.15" customHeight="1" x14ac:dyDescent="0.4">
      <c r="B33" s="329"/>
      <c r="D33" s="202" t="s">
        <v>67</v>
      </c>
      <c r="E33" s="40"/>
      <c r="F33" s="40"/>
      <c r="G33" s="40"/>
      <c r="H33" s="40"/>
      <c r="I33" s="50">
        <f ca="1">IFERROR(I32/(SUM(INDIRECT($E35&amp;"["&amp;$F35&amp;"]")*(INDIRECT($E35&amp;"[yr]")=(I$5-1))*(INDIRECT($E35&amp;"[wk]")=I$6))/SUM(INDIRECT($E38&amp;"["&amp;$F38&amp;"]")*(INDIRECT($E38&amp;"[yr]")=(I$5-1))*(INDIRECT($E38&amp;"[wk]")=I$6)))-1,0)</f>
        <v>0</v>
      </c>
      <c r="J33" s="50">
        <f t="shared" ref="J33:S33" ca="1" si="3">IFERROR(J32/(SUM(INDIRECT($E35&amp;"["&amp;$F35&amp;"]")*(INDIRECT($E35&amp;"[yr]")=(J$5-1))*(INDIRECT($E35&amp;"[wk]")=J$6))/SUM(INDIRECT($E38&amp;"["&amp;$F38&amp;"]")*(INDIRECT($E38&amp;"[yr]")=(J$5-1))*(INDIRECT($E38&amp;"[wk]")=J$6)))-1,0)</f>
        <v>0</v>
      </c>
      <c r="K33" s="50">
        <f t="shared" ca="1" si="3"/>
        <v>0</v>
      </c>
      <c r="L33" s="50">
        <f t="shared" ca="1" si="3"/>
        <v>0</v>
      </c>
      <c r="M33" s="50">
        <f t="shared" ca="1" si="3"/>
        <v>0</v>
      </c>
      <c r="N33" s="50">
        <f t="shared" ca="1" si="3"/>
        <v>0</v>
      </c>
      <c r="O33" s="50">
        <f t="shared" ca="1" si="3"/>
        <v>0</v>
      </c>
      <c r="P33" s="54">
        <f t="shared" ca="1" si="3"/>
        <v>0</v>
      </c>
      <c r="Q33" s="50">
        <f t="shared" ca="1" si="3"/>
        <v>0</v>
      </c>
      <c r="R33" s="50">
        <f t="shared" ca="1" si="3"/>
        <v>0</v>
      </c>
      <c r="S33" s="66">
        <f t="shared" ca="1" si="3"/>
        <v>0</v>
      </c>
      <c r="T33" s="50">
        <f ca="1">IFERROR(T32/(SUM(INDIRECT($E35&amp;"["&amp;$F35&amp;"]")*(INDIRECT($E35&amp;"[yr]")=(T$5-1))*(INDIRECT($E35&amp;"[wk]")=T$6))/SUM(INDIRECT($E38&amp;"["&amp;$F38&amp;"]")*(INDIRECT($E38&amp;"[yr]")=(T$5-1))*(INDIRECT($E38&amp;"[wk]")=T$6)))-1,0)</f>
        <v>0</v>
      </c>
      <c r="U33" s="53">
        <f ca="1">IFERROR(AVERAGE(Q33:T33),0)</f>
        <v>0</v>
      </c>
      <c r="V33" s="50"/>
      <c r="W33" s="67"/>
      <c r="X33" s="56"/>
    </row>
    <row r="34" spans="2:24" ht="3" customHeight="1" x14ac:dyDescent="0.4">
      <c r="B34" s="329"/>
      <c r="D34" s="202"/>
      <c r="E34" s="40"/>
      <c r="F34" s="40"/>
      <c r="G34" s="40"/>
      <c r="H34" s="40"/>
      <c r="I34" s="50"/>
      <c r="J34" s="50"/>
      <c r="K34" s="50"/>
      <c r="L34" s="50"/>
      <c r="M34" s="50"/>
      <c r="N34" s="50"/>
      <c r="O34" s="50"/>
      <c r="P34" s="50"/>
      <c r="Q34" s="51"/>
      <c r="R34" s="50"/>
      <c r="S34" s="66"/>
      <c r="T34" s="66"/>
      <c r="U34" s="53"/>
      <c r="V34" s="54"/>
      <c r="W34" s="55"/>
      <c r="X34" s="68"/>
    </row>
    <row r="35" spans="2:24" ht="14.15" customHeight="1" x14ac:dyDescent="0.4">
      <c r="B35" s="329"/>
      <c r="D35" s="201" t="s">
        <v>69</v>
      </c>
      <c r="E35" s="63" t="s">
        <v>371</v>
      </c>
      <c r="F35" t="s">
        <v>38</v>
      </c>
      <c r="I35" s="69">
        <f t="array" aca="1" ref="I35" ca="1">SUM(INDIRECT($E35&amp;"["&amp;$F35&amp;"]")*(INDIRECT($E35&amp;"[yr]")=I$5)*(INDIRECT($E35&amp;"[wk]")=I$6)/1000*(IF($G$2=0,1,(INDIRECT($E35&amp;"[siteflag]")=$G$2))))</f>
        <v>4.197E-2</v>
      </c>
      <c r="J35" s="69">
        <f t="array" aca="1" ref="J35" ca="1">SUM(INDIRECT($E35&amp;"["&amp;$F35&amp;"]")*(INDIRECT($E35&amp;"[yr]")=J$5)*(INDIRECT($E35&amp;"[wk]")=J$6)/1000*(IF($G$2=0,1,(INDIRECT($E35&amp;"[siteflag]")=$G$2))))</f>
        <v>5.1580000000000001E-2</v>
      </c>
      <c r="K35" s="69">
        <f t="array" aca="1" ref="K35" ca="1">SUM(INDIRECT($E35&amp;"["&amp;$F35&amp;"]")*(INDIRECT($E35&amp;"[yr]")=K$5)*(INDIRECT($E35&amp;"[wk]")=K$6)/1000*(IF($G$2=0,1,(INDIRECT($E35&amp;"[siteflag]")=$G$2))))</f>
        <v>7.3469999999999994E-2</v>
      </c>
      <c r="L35" s="69">
        <f t="array" aca="1" ref="L35" ca="1">SUM(INDIRECT($E35&amp;"["&amp;$F35&amp;"]")*(INDIRECT($E35&amp;"[yr]")=L$5)*(INDIRECT($E35&amp;"[wk]")=L$6)/1000*(IF($G$2=0,1,(INDIRECT($E35&amp;"[siteflag]")=$G$2))))</f>
        <v>5.8620000000000005E-2</v>
      </c>
      <c r="M35" s="69">
        <f t="array" aca="1" ref="M35" ca="1">SUM(INDIRECT($E35&amp;"["&amp;$F35&amp;"]")*(INDIRECT($E35&amp;"[yr]")=M$5)*(INDIRECT($E35&amp;"[wk]")=M$6)/1000*(IF($G$2=0,1,(INDIRECT($E35&amp;"[siteflag]")=$G$2))))</f>
        <v>2.8730000000000002E-2</v>
      </c>
      <c r="N35" s="69">
        <f t="array" aca="1" ref="N35" ca="1">SUM(INDIRECT($E35&amp;"["&amp;$F35&amp;"]")*(INDIRECT($E35&amp;"[yr]")=N$5)*(INDIRECT($E35&amp;"[wk]")=N$6)/1000*(IF($G$2=0,1,(INDIRECT($E35&amp;"[siteflag]")=$G$2))))</f>
        <v>1.482E-2</v>
      </c>
      <c r="O35" s="69">
        <f t="array" aca="1" ref="O35" ca="1">SUM(INDIRECT($E35&amp;"["&amp;$F35&amp;"]")*(INDIRECT($E35&amp;"[yr]")=O$5)*(INDIRECT($E35&amp;"[wk]")=O$6)/1000*(IF($G$2=0,1,(INDIRECT($E35&amp;"[siteflag]")=$G$2))))</f>
        <v>2.8930000000000001E-2</v>
      </c>
      <c r="P35" s="69">
        <f t="array" aca="1" ref="P35" ca="1">SUM(INDIRECT($E35&amp;"["&amp;$F35&amp;"]")*(INDIRECT($E35&amp;"[yr]")=P$5)*(INDIRECT($E35&amp;"[wk]")=P$6)/1000*(IF($G$2=0,1,(INDIRECT($E35&amp;"[siteflag]")=$G$2))))</f>
        <v>4.5230000000000006E-2</v>
      </c>
      <c r="Q35" s="70">
        <f t="array" aca="1" ref="Q35" ca="1">SUM(INDIRECT($E35&amp;"["&amp;$F35&amp;"]")*(INDIRECT($E35&amp;"[yr]")=Q$5)*(INDIRECT($E35&amp;"[wk]")=Q$6)/1000*(IF($G$2=0,1,(INDIRECT($E35&amp;"[siteflag]")=$G$2))))</f>
        <v>2.2370000000000001E-2</v>
      </c>
      <c r="R35" s="69">
        <f t="array" aca="1" ref="R35" ca="1">SUM(INDIRECT($E35&amp;"["&amp;$F35&amp;"]")*(INDIRECT($E35&amp;"[yr]")=R$5)*(INDIRECT($E35&amp;"[wk]")=R$6)/1000*(IF($G$2=0,1,(INDIRECT($E35&amp;"[siteflag]")=$G$2))))</f>
        <v>8.3800000000000003E-3</v>
      </c>
      <c r="S35" s="69">
        <f t="array" aca="1" ref="S35" ca="1">SUM(INDIRECT($E35&amp;"["&amp;$F35&amp;"]")*(INDIRECT($E35&amp;"[yr]")=S$5)*(INDIRECT($E35&amp;"[wk]")=S$6)/1000*(IF($G$2=0,1,(INDIRECT($E35&amp;"[siteflag]")=$G$2))))</f>
        <v>1.2870000000000001E-2</v>
      </c>
      <c r="T35" s="71">
        <f t="array" aca="1" ref="T35" ca="1">SUM(INDIRECT($E35&amp;"["&amp;$F35&amp;"]")*(INDIRECT($E35&amp;"[yr]")=T$5)*(INDIRECT($E35&amp;"[wk]")=T$6)/1000*(IF($G$2=0,1,(INDIRECT($E35&amp;"[siteflag]")=$G$2))))</f>
        <v>1.068E-2</v>
      </c>
      <c r="U35" s="72">
        <f t="array" aca="1" ref="U35" ca="1">SUM(Q35:T35)</f>
        <v>5.4300000000000001E-2</v>
      </c>
      <c r="V35" s="49">
        <f t="array" aca="1" ref="V35" ca="1">SUM(T35/S35)-1</f>
        <v>-0.17016317016317017</v>
      </c>
      <c r="W35" s="73"/>
      <c r="X35" s="49"/>
    </row>
    <row r="36" spans="2:24" ht="14.15" customHeight="1" x14ac:dyDescent="0.4">
      <c r="B36" s="329"/>
      <c r="D36" s="202" t="s">
        <v>67</v>
      </c>
      <c r="I36" s="74">
        <f t="array" aca="1" ref="I36" ca="1">IFERROR((I35/SUM(INDIRECT($E35&amp;"["&amp;$F35&amp;"]")*(INDIRECT($E35&amp;"[yr]")=(I$5-1))*(INDIRECT($E35&amp;"[wk]")=I$6)/1000*(IF($G$2=0,1,(INDIRECT($E35&amp;"[siteflag]")=$G$2))))-1),0)</f>
        <v>-0.41382681564245816</v>
      </c>
      <c r="J36" s="74">
        <f t="array" aca="1" ref="J36" ca="1">IFERROR((J35/SUM(INDIRECT($E35&amp;"["&amp;$F35&amp;"]")*(INDIRECT($E35&amp;"[yr]")=(J$5-1))*(INDIRECT($E35&amp;"[wk]")=J$6)/1000*(IF($G$2=0,1,(INDIRECT($E35&amp;"[siteflag]")=$G$2))))-1),0)</f>
        <v>-0.30250169033130492</v>
      </c>
      <c r="K36" s="74">
        <f t="array" aca="1" ref="K36" ca="1">IFERROR((K35/SUM(INDIRECT($E35&amp;"["&amp;$F35&amp;"]")*(INDIRECT($E35&amp;"[yr]")=(K$5-1))*(INDIRECT($E35&amp;"[wk]")=K$6)/1000*(IF($G$2=0,1,(INDIRECT($E35&amp;"[siteflag]")=$G$2))))-1),0)</f>
        <v>0.25439644869387057</v>
      </c>
      <c r="L36" s="74">
        <f t="array" aca="1" ref="L36" ca="1">IFERROR((L35/SUM(INDIRECT($E35&amp;"["&amp;$F35&amp;"]")*(INDIRECT($E35&amp;"[yr]")=(L$5-1))*(INDIRECT($E35&amp;"[wk]")=L$6)/1000*(IF($G$2=0,1,(INDIRECT($E35&amp;"[siteflag]")=$G$2))))-1),0)</f>
        <v>-0.26651651651651653</v>
      </c>
      <c r="M36" s="74">
        <f t="array" aca="1" ref="M36" ca="1">IFERROR((M35/SUM(INDIRECT($E35&amp;"["&amp;$F35&amp;"]")*(INDIRECT($E35&amp;"[yr]")=(M$5-1))*(INDIRECT($E35&amp;"[wk]")=M$6)/1000*(IF($G$2=0,1,(INDIRECT($E35&amp;"[siteflag]")=$G$2))))-1),0)</f>
        <v>-0.3845329905741216</v>
      </c>
      <c r="N36" s="74">
        <f t="array" aca="1" ref="N36" ca="1">IFERROR((N35/SUM(INDIRECT($E35&amp;"["&amp;$F35&amp;"]")*(INDIRECT($E35&amp;"[yr]")=(N$5-1))*(INDIRECT($E35&amp;"[wk]")=N$6)/1000*(IF($G$2=0,1,(INDIRECT($E35&amp;"[siteflag]")=$G$2))))-1),0)</f>
        <v>-0.73968030915158967</v>
      </c>
      <c r="O36" s="74">
        <f t="array" aca="1" ref="O36" ca="1">IFERROR((O35/SUM(INDIRECT($E35&amp;"["&amp;$F35&amp;"]")*(INDIRECT($E35&amp;"[yr]")=(O$5-1))*(INDIRECT($E35&amp;"[wk]")=O$6)/1000*(IF($G$2=0,1,(INDIRECT($E35&amp;"[siteflag]")=$G$2))))-1),0)</f>
        <v>-0.68347921225382935</v>
      </c>
      <c r="P36" s="74">
        <f t="array" aca="1" ref="P36" ca="1">IFERROR((P35/SUM(INDIRECT($E35&amp;"["&amp;$F35&amp;"]")*(INDIRECT($E35&amp;"[yr]")=(P$5-1))*(INDIRECT($E35&amp;"[wk]")=P$6)/1000*(IF($G$2=0,1,(INDIRECT($E35&amp;"[siteflag]")=$G$2))))-1),0)</f>
        <v>-0.38437457465632219</v>
      </c>
      <c r="Q36" s="75">
        <f t="array" aca="1" ref="Q36" ca="1">IFERROR((Q35/SUM(INDIRECT($E35&amp;"["&amp;$F35&amp;"]")*(INDIRECT($E35&amp;"[yr]")=(Q$5-1))*(INDIRECT($E35&amp;"[wk]")=Q$6)/1000*(IF($G$2=0,1,(INDIRECT($E35&amp;"[siteflag]")=$G$2))))-1),0)</f>
        <v>-0.66537023186237843</v>
      </c>
      <c r="R36" s="74">
        <f t="array" aca="1" ref="R36" ca="1">IFERROR((R35/SUM(INDIRECT($E35&amp;"["&amp;$F35&amp;"]")*(INDIRECT($E35&amp;"[yr]")=(R$5-1))*(INDIRECT($E35&amp;"[wk]")=R$6)/1000*(IF($G$2=0,1,(INDIRECT($E35&amp;"[siteflag]")=$G$2))))-1),0)</f>
        <v>-0.90675420051185041</v>
      </c>
      <c r="S36" s="74">
        <f t="array" aca="1" ref="S36" ca="1">IFERROR((S35/SUM(INDIRECT($E35&amp;"["&amp;$F35&amp;"]")*(INDIRECT($E35&amp;"[yr]")=(S$5-1))*(INDIRECT($E35&amp;"[wk]")=S$6)/1000*(IF($G$2=0,1,(INDIRECT($E35&amp;"[siteflag]")=$G$2))))-1),0)</f>
        <v>-0.84968465311843022</v>
      </c>
      <c r="T36" s="76">
        <f t="array" aca="1" ref="T36" ca="1">IFERROR((T35/SUM(INDIRECT($E35&amp;"["&amp;$F35&amp;"]")*(INDIRECT($E35&amp;"[yr]")=(T$5-1))*(INDIRECT($E35&amp;"[wk]")=T$6)/1000*(IF($G$2=0,1,(INDIRECT($E35&amp;"[siteflag]")=$G$2))))-1),0)</f>
        <v>-0.85989767807949624</v>
      </c>
      <c r="U36" s="77">
        <f ca="1">SUMPRODUCT(Q36:T36,$Q$35:$T$35)/SUM($Q$35:$T$35)</f>
        <v>-0.78456871039730991</v>
      </c>
      <c r="V36" s="78"/>
      <c r="W36" s="67"/>
      <c r="X36" s="56"/>
    </row>
    <row r="37" spans="2:24" ht="3" customHeight="1" x14ac:dyDescent="0.4">
      <c r="B37" s="329"/>
      <c r="D37" s="61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8"/>
      <c r="R37" s="57"/>
      <c r="S37" s="57"/>
      <c r="T37" s="59"/>
      <c r="U37" s="60"/>
      <c r="V37" s="61"/>
      <c r="W37" s="62"/>
      <c r="X37" s="61"/>
    </row>
    <row r="38" spans="2:24" ht="14.15" customHeight="1" x14ac:dyDescent="0.4">
      <c r="B38" s="329"/>
      <c r="D38" s="203" t="s">
        <v>70</v>
      </c>
      <c r="E38" s="63" t="s">
        <v>371</v>
      </c>
      <c r="F38" t="s">
        <v>37</v>
      </c>
      <c r="I38" s="69">
        <f t="array" aca="1" ref="I38" ca="1">SUM(INDIRECT($E38&amp;"["&amp;$F38&amp;"]")*(INDIRECT($E38&amp;"[yr]")=I$5)*(INDIRECT($E38&amp;"[wk]")=I$6)*(IF($G$2=0,1,(INDIRECT($E38&amp;"[siteflag]")=$G$2))))/1000</f>
        <v>0.51807000000000003</v>
      </c>
      <c r="J38" s="69">
        <f t="array" aca="1" ref="J38" ca="1">SUM(INDIRECT($E38&amp;"["&amp;$F38&amp;"]")*(INDIRECT($E38&amp;"[yr]")=J$5)*(INDIRECT($E38&amp;"[wk]")=J$6)*(IF($G$2=0,1,(INDIRECT($E38&amp;"[siteflag]")=$G$2))))/1000</f>
        <v>0.54266999999999999</v>
      </c>
      <c r="K38" s="69">
        <f t="array" aca="1" ref="K38" ca="1">SUM(INDIRECT($E38&amp;"["&amp;$F38&amp;"]")*(INDIRECT($E38&amp;"[yr]")=K$5)*(INDIRECT($E38&amp;"[wk]")=K$6)*(IF($G$2=0,1,(INDIRECT($E38&amp;"[siteflag]")=$G$2))))/1000</f>
        <v>0.61985000000000001</v>
      </c>
      <c r="L38" s="69">
        <f t="array" aca="1" ref="L38" ca="1">SUM(INDIRECT($E38&amp;"["&amp;$F38&amp;"]")*(INDIRECT($E38&amp;"[yr]")=L$5)*(INDIRECT($E38&amp;"[wk]")=L$6)*(IF($G$2=0,1,(INDIRECT($E38&amp;"[siteflag]")=$G$2))))/1000</f>
        <v>0.57343000000000011</v>
      </c>
      <c r="M38" s="69">
        <f t="array" aca="1" ref="M38" ca="1">SUM(INDIRECT($E38&amp;"["&amp;$F38&amp;"]")*(INDIRECT($E38&amp;"[yr]")=M$5)*(INDIRECT($E38&amp;"[wk]")=M$6)*(IF($G$2=0,1,(INDIRECT($E38&amp;"[siteflag]")=$G$2))))/1000</f>
        <v>0.43417</v>
      </c>
      <c r="N38" s="69">
        <f t="array" aca="1" ref="N38" ca="1">SUM(INDIRECT($E38&amp;"["&amp;$F38&amp;"]")*(INDIRECT($E38&amp;"[yr]")=N$5)*(INDIRECT($E38&amp;"[wk]")=N$6)*(IF($G$2=0,1,(INDIRECT($E38&amp;"[siteflag]")=$G$2))))/1000</f>
        <v>0.55737000000000003</v>
      </c>
      <c r="O38" s="69">
        <f t="array" aca="1" ref="O38" ca="1">SUM(INDIRECT($E38&amp;"["&amp;$F38&amp;"]")*(INDIRECT($E38&amp;"[yr]")=O$5)*(INDIRECT($E38&amp;"[wk]")=O$6)*(IF($G$2=0,1,(INDIRECT($E38&amp;"[siteflag]")=$G$2))))/1000</f>
        <v>0.50697999999999999</v>
      </c>
      <c r="P38" s="69">
        <f t="array" aca="1" ref="P38" ca="1">SUM(INDIRECT($E38&amp;"["&amp;$F38&amp;"]")*(INDIRECT($E38&amp;"[yr]")=P$5)*(INDIRECT($E38&amp;"[wk]")=P$6)*(IF($G$2=0,1,(INDIRECT($E38&amp;"[siteflag]")=$G$2))))/1000</f>
        <v>0.58123000000000002</v>
      </c>
      <c r="Q38" s="70">
        <f t="array" aca="1" ref="Q38" ca="1">SUM(INDIRECT($E38&amp;"["&amp;$F38&amp;"]")*(INDIRECT($E38&amp;"[yr]")=Q$5)*(INDIRECT($E38&amp;"[wk]")=Q$6)*(IF($G$2=0,1,(INDIRECT($E38&amp;"[siteflag]")=$G$2))))/1000</f>
        <v>0.56755000000000011</v>
      </c>
      <c r="R38" s="69">
        <f t="array" aca="1" ref="R38" ca="1">SUM(INDIRECT($E38&amp;"["&amp;$F38&amp;"]")*(INDIRECT($E38&amp;"[yr]")=R$5)*(INDIRECT($E38&amp;"[wk]")=R$6)*(IF($G$2=0,1,(INDIRECT($E38&amp;"[siteflag]")=$G$2))))/1000</f>
        <v>0.52260000000000006</v>
      </c>
      <c r="S38" s="69">
        <f t="array" aca="1" ref="S38" ca="1">SUM(INDIRECT($E38&amp;"["&amp;$F38&amp;"]")*(INDIRECT($E38&amp;"[yr]")=S$5)*(INDIRECT($E38&amp;"[wk]")=S$6)*(IF($G$2=0,1,(INDIRECT($E38&amp;"[siteflag]")=$G$2))))/1000</f>
        <v>0.53897000000000006</v>
      </c>
      <c r="T38" s="79">
        <f t="array" aca="1" ref="T38" ca="1">SUM(INDIRECT($E38&amp;"["&amp;$F38&amp;"]")*(INDIRECT($E38&amp;"[yr]")=T$5)*(INDIRECT($E38&amp;"[wk]")=T$6)*(IF($G$2=0,1,(INDIRECT($E38&amp;"[siteflag]")=$G$2))))/1000</f>
        <v>0.53539999999999999</v>
      </c>
      <c r="U38" s="72">
        <f ca="1">AVERAGE(Q38:T38)</f>
        <v>0.54113000000000011</v>
      </c>
      <c r="V38" s="49">
        <f t="array" aca="1" ref="V38" ca="1">SUM(T38/S38)-1</f>
        <v>-6.6237452919458706E-3</v>
      </c>
      <c r="W38" s="80"/>
      <c r="X38" s="49"/>
    </row>
    <row r="39" spans="2:24" ht="14.15" customHeight="1" x14ac:dyDescent="0.4">
      <c r="B39" s="329"/>
      <c r="D39" s="204" t="s">
        <v>67</v>
      </c>
      <c r="I39" s="74">
        <f t="array" aca="1" ref="I39" ca="1">IFERROR((I38/SUM(INDIRECT($E38&amp;"["&amp;$F38&amp;"]")*(INDIRECT($E38&amp;"[yr]")=(I$5-1))*(INDIRECT($E38&amp;"[wk]")=I$6)*(IF($G$2=0,1,(INDIRECT($E38&amp;"[siteflag]")=$G$2)))/1000)-1),0)</f>
        <v>-0.20975319564355233</v>
      </c>
      <c r="J39" s="74">
        <f t="array" aca="1" ref="J39" ca="1">IFERROR((J38/SUM(INDIRECT($E38&amp;"["&amp;$F38&amp;"]")*(INDIRECT($E38&amp;"[yr]")=(J$5-1))*(INDIRECT($E38&amp;"[wk]")=J$6)*(IF($G$2=0,1,(INDIRECT($E38&amp;"[siteflag]")=$G$2)))/1000)-1),0)</f>
        <v>-0.20400440044004398</v>
      </c>
      <c r="K39" s="74">
        <f t="array" aca="1" ref="K39" ca="1">IFERROR((K38/SUM(INDIRECT($E38&amp;"["&amp;$F38&amp;"]")*(INDIRECT($E38&amp;"[yr]")=(K$5-1))*(INDIRECT($E38&amp;"[wk]")=K$6)*(IF($G$2=0,1,(INDIRECT($E38&amp;"[siteflag]")=$G$2)))/1000)-1),0)</f>
        <v>-0.12187623958746518</v>
      </c>
      <c r="L39" s="74">
        <f t="array" aca="1" ref="L39" ca="1">IFERROR((L38/SUM(INDIRECT($E38&amp;"["&amp;$F38&amp;"]")*(INDIRECT($E38&amp;"[yr]")=(L$5-1))*(INDIRECT($E38&amp;"[wk]")=L$6)*(IF($G$2=0,1,(INDIRECT($E38&amp;"[siteflag]")=$G$2)))/1000)-1),0)</f>
        <v>-0.11327086039463097</v>
      </c>
      <c r="M39" s="74">
        <f t="array" aca="1" ref="M39" ca="1">IFERROR((M38/SUM(INDIRECT($E38&amp;"["&amp;$F38&amp;"]")*(INDIRECT($E38&amp;"[yr]")=(M$5-1))*(INDIRECT($E38&amp;"[wk]")=M$6)*(IF($G$2=0,1,(INDIRECT($E38&amp;"[siteflag]")=$G$2)))/1000)-1),0)</f>
        <v>-0.20372306281522234</v>
      </c>
      <c r="N39" s="74">
        <f t="array" aca="1" ref="N39" ca="1">IFERROR((N38/SUM(INDIRECT($E38&amp;"["&amp;$F38&amp;"]")*(INDIRECT($E38&amp;"[yr]")=(N$5-1))*(INDIRECT($E38&amp;"[wk]")=N$6)*(IF($G$2=0,1,(INDIRECT($E38&amp;"[siteflag]")=$G$2)))/1000)-1),0)</f>
        <v>-7.3397393270381528E-2</v>
      </c>
      <c r="O39" s="74">
        <f t="array" aca="1" ref="O39" ca="1">IFERROR((O38/SUM(INDIRECT($E38&amp;"["&amp;$F38&amp;"]")*(INDIRECT($E38&amp;"[yr]")=(O$5-1))*(INDIRECT($E38&amp;"[wk]")=O$6)*(IF($G$2=0,1,(INDIRECT($E38&amp;"[siteflag]")=$G$2)))/1000)-1),0)</f>
        <v>-9.1808036114146563E-2</v>
      </c>
      <c r="P39" s="74">
        <f t="array" aca="1" ref="P39" ca="1">IFERROR((P38/SUM(INDIRECT($E38&amp;"["&amp;$F38&amp;"]")*(INDIRECT($E38&amp;"[yr]")=(P$5-1))*(INDIRECT($E38&amp;"[wk]")=P$6)*(IF($G$2=0,1,(INDIRECT($E38&amp;"[siteflag]")=$G$2)))/1000)-1),0)</f>
        <v>2.1493848857645048E-2</v>
      </c>
      <c r="Q39" s="75">
        <f t="array" aca="1" ref="Q39" ca="1">IFERROR((Q38/SUM(INDIRECT($E38&amp;"["&amp;$F38&amp;"]")*(INDIRECT($E38&amp;"[yr]")=(Q$5-1))*(INDIRECT($E38&amp;"[wk]")=Q$6)*(IF($G$2=0,1,(INDIRECT($E38&amp;"[siteflag]")=$G$2)))/1000)-1),0)</f>
        <v>-4.5845802091388776E-2</v>
      </c>
      <c r="R39" s="74">
        <f t="array" aca="1" ref="R39" ca="1">IFERROR((R38/SUM(INDIRECT($E38&amp;"["&amp;$F38&amp;"]")*(INDIRECT($E38&amp;"[yr]")=(R$5-1))*(INDIRECT($E38&amp;"[wk]")=R$6)*(IF($G$2=0,1,(INDIRECT($E38&amp;"[siteflag]")=$G$2)))/1000)-1),0)</f>
        <v>-0.17392472693359462</v>
      </c>
      <c r="S39" s="74">
        <f t="array" aca="1" ref="S39" ca="1">IFERROR((S38/SUM(INDIRECT($E38&amp;"["&amp;$F38&amp;"]")*(INDIRECT($E38&amp;"[yr]")=(S$5-1))*(INDIRECT($E38&amp;"[wk]")=S$6)*(IF($G$2=0,1,(INDIRECT($E38&amp;"[siteflag]")=$G$2)))/1000)-1),0)</f>
        <v>-0.15972373795640915</v>
      </c>
      <c r="T39" s="76">
        <f t="array" aca="1" ref="T39" ca="1">IFERROR((T38/SUM(INDIRECT($E38&amp;"["&amp;$F38&amp;"]")*(INDIRECT($E38&amp;"[yr]")=(T$5-1))*(INDIRECT($E38&amp;"[wk]")=T$6)*(IF($G$2=0,1,(INDIRECT($E38&amp;"[siteflag]")=$G$2)))/1000)-1),0)</f>
        <v>-8.3846680355920689E-2</v>
      </c>
      <c r="U39" s="77">
        <f ca="1">SUMPRODUCT(Q39:T39,$Q$38:$T$38)/SUM($Q$38:$T$38)</f>
        <v>-0.11452454261517102</v>
      </c>
      <c r="V39" s="81"/>
      <c r="W39" s="82"/>
      <c r="X39" s="81"/>
    </row>
    <row r="40" spans="2:24" ht="14.15" customHeight="1" x14ac:dyDescent="0.4">
      <c r="B40" s="329"/>
      <c r="D40" s="210" t="s">
        <v>71</v>
      </c>
      <c r="E40" t="s">
        <v>371</v>
      </c>
      <c r="F40" t="s">
        <v>72</v>
      </c>
      <c r="I40" s="74">
        <f t="array" aca="1" ref="I40" ca="1">SUM(INDIRECT($E40&amp;"["&amp;$F40&amp;"]")*(INDIRECT($E40&amp;"[yr]")=I$5)*(INDIRECT($E40&amp;"[wk]")=I$6)*(IF($G$2=0,1,(INDIRECT($E40&amp;"[siteflag]")=$G$2))))/SUM(INDIRECT($E38&amp;"["&amp;$F38&amp;"]")*(INDIRECT($E38&amp;"[yr]")=I$5)*(INDIRECT($E38&amp;"[wk]")=I$6)*(IF($G$2=0,1,(INDIRECT($E38&amp;"[siteflag]")=$G$2))))</f>
        <v>0</v>
      </c>
      <c r="J40" s="74">
        <f t="array" aca="1" ref="J40" ca="1">SUM(INDIRECT($E40&amp;"["&amp;$F40&amp;"]")*(INDIRECT($E40&amp;"[yr]")=J$5)*(INDIRECT($E40&amp;"[wk]")=J$6)*(IF($G$2=0,1,(INDIRECT($E40&amp;"[siteflag]")=$G$2))))/SUM(INDIRECT($E38&amp;"["&amp;$F38&amp;"]")*(INDIRECT($E38&amp;"[yr]")=J$5)*(INDIRECT($E38&amp;"[wk]")=J$6)*(IF($G$2=0,1,(INDIRECT($E38&amp;"[siteflag]")=$G$2))))</f>
        <v>0</v>
      </c>
      <c r="K40" s="74">
        <f t="array" aca="1" ref="K40" ca="1">SUM(INDIRECT($E40&amp;"["&amp;$F40&amp;"]")*(INDIRECT($E40&amp;"[yr]")=K$5)*(INDIRECT($E40&amp;"[wk]")=K$6)*(IF($G$2=0,1,(INDIRECT($E40&amp;"[siteflag]")=$G$2))))/SUM(INDIRECT($E38&amp;"["&amp;$F38&amp;"]")*(INDIRECT($E38&amp;"[yr]")=K$5)*(INDIRECT($E38&amp;"[wk]")=K$6)*(IF($G$2=0,1,(INDIRECT($E38&amp;"[siteflag]")=$G$2))))</f>
        <v>0</v>
      </c>
      <c r="L40" s="74">
        <f t="array" aca="1" ref="L40" ca="1">SUM(INDIRECT($E40&amp;"["&amp;$F40&amp;"]")*(INDIRECT($E40&amp;"[yr]")=L$5)*(INDIRECT($E40&amp;"[wk]")=L$6)*(IF($G$2=0,1,(INDIRECT($E40&amp;"[siteflag]")=$G$2))))/SUM(INDIRECT($E38&amp;"["&amp;$F38&amp;"]")*(INDIRECT($E38&amp;"[yr]")=L$5)*(INDIRECT($E38&amp;"[wk]")=L$6)*(IF($G$2=0,1,(INDIRECT($E38&amp;"[siteflag]")=$G$2))))</f>
        <v>0</v>
      </c>
      <c r="M40" s="74">
        <f t="array" aca="1" ref="M40" ca="1">SUM(INDIRECT($E40&amp;"["&amp;$F40&amp;"]")*(INDIRECT($E40&amp;"[yr]")=M$5)*(INDIRECT($E40&amp;"[wk]")=M$6)*(IF($G$2=0,1,(INDIRECT($E40&amp;"[siteflag]")=$G$2))))/SUM(INDIRECT($E38&amp;"["&amp;$F38&amp;"]")*(INDIRECT($E38&amp;"[yr]")=M$5)*(INDIRECT($E38&amp;"[wk]")=M$6)*(IF($G$2=0,1,(INDIRECT($E38&amp;"[siteflag]")=$G$2))))</f>
        <v>0</v>
      </c>
      <c r="N40" s="74">
        <f t="array" aca="1" ref="N40" ca="1">SUM(INDIRECT($E40&amp;"["&amp;$F40&amp;"]")*(INDIRECT($E40&amp;"[yr]")=N$5)*(INDIRECT($E40&amp;"[wk]")=N$6)*(IF($G$2=0,1,(INDIRECT($E40&amp;"[siteflag]")=$G$2))))/SUM(INDIRECT($E38&amp;"["&amp;$F38&amp;"]")*(INDIRECT($E38&amp;"[yr]")=N$5)*(INDIRECT($E38&amp;"[wk]")=N$6)*(IF($G$2=0,1,(INDIRECT($E38&amp;"[siteflag]")=$G$2))))</f>
        <v>0</v>
      </c>
      <c r="O40" s="74">
        <f t="array" aca="1" ref="O40" ca="1">SUM(INDIRECT($E40&amp;"["&amp;$F40&amp;"]")*(INDIRECT($E40&amp;"[yr]")=O$5)*(INDIRECT($E40&amp;"[wk]")=O$6)*(IF($G$2=0,1,(INDIRECT($E40&amp;"[siteflag]")=$G$2))))/SUM(INDIRECT($E38&amp;"["&amp;$F38&amp;"]")*(INDIRECT($E38&amp;"[yr]")=O$5)*(INDIRECT($E38&amp;"[wk]")=O$6)*(IF($G$2=0,1,(INDIRECT($E38&amp;"[siteflag]")=$G$2))))</f>
        <v>0</v>
      </c>
      <c r="P40" s="74">
        <f t="array" aca="1" ref="P40" ca="1">SUM(INDIRECT($E40&amp;"["&amp;$F40&amp;"]")*(INDIRECT($E40&amp;"[yr]")=P$5)*(INDIRECT($E40&amp;"[wk]")=P$6)*(IF($G$2=0,1,(INDIRECT($E40&amp;"[siteflag]")=$G$2))))/SUM(INDIRECT($E38&amp;"["&amp;$F38&amp;"]")*(INDIRECT($E38&amp;"[yr]")=P$5)*(INDIRECT($E38&amp;"[wk]")=P$6)*(IF($G$2=0,1,(INDIRECT($E38&amp;"[siteflag]")=$G$2))))</f>
        <v>0</v>
      </c>
      <c r="Q40" s="75">
        <f t="array" aca="1" ref="Q40" ca="1">SUM(INDIRECT($E40&amp;"["&amp;$F40&amp;"]")*(INDIRECT($E40&amp;"[yr]")=Q$5)*(INDIRECT($E40&amp;"[wk]")=Q$6)*(IF($G$2=0,1,(INDIRECT($E40&amp;"[siteflag]")=$G$2))))/SUM(INDIRECT($E38&amp;"["&amp;$F38&amp;"]")*(INDIRECT($E38&amp;"[yr]")=Q$5)*(INDIRECT($E38&amp;"[wk]")=Q$6)*(IF($G$2=0,1,(INDIRECT($E38&amp;"[siteflag]")=$G$2))))</f>
        <v>0</v>
      </c>
      <c r="R40" s="74">
        <f t="array" aca="1" ref="R40" ca="1">SUM(INDIRECT($E40&amp;"["&amp;$F40&amp;"]")*(INDIRECT($E40&amp;"[yr]")=R$5)*(INDIRECT($E40&amp;"[wk]")=R$6)*(IF($G$2=0,1,(INDIRECT($E40&amp;"[siteflag]")=$G$2))))/SUM(INDIRECT($E38&amp;"["&amp;$F38&amp;"]")*(INDIRECT($E38&amp;"[yr]")=R$5)*(INDIRECT($E38&amp;"[wk]")=R$6)*(IF($G$2=0,1,(INDIRECT($E38&amp;"[siteflag]")=$G$2))))</f>
        <v>0</v>
      </c>
      <c r="S40" s="74">
        <f t="array" aca="1" ref="S40" ca="1">SUM(INDIRECT($E40&amp;"["&amp;$F40&amp;"]")*(INDIRECT($E40&amp;"[yr]")=S$5)*(INDIRECT($E40&amp;"[wk]")=S$6)*(IF($G$2=0,1,(INDIRECT($E40&amp;"[siteflag]")=$G$2))))/SUM(INDIRECT($E38&amp;"["&amp;$F38&amp;"]")*(INDIRECT($E38&amp;"[yr]")=S$5)*(INDIRECT($E38&amp;"[wk]")=S$6)*(IF($G$2=0,1,(INDIRECT($E38&amp;"[siteflag]")=$G$2))))</f>
        <v>0</v>
      </c>
      <c r="T40" s="76">
        <f t="array" aca="1" ref="T40" ca="1">SUM(INDIRECT($E40&amp;"["&amp;$F40&amp;"]")*(INDIRECT($E40&amp;"[yr]")=T$5)*(INDIRECT($E40&amp;"[wk]")=T$6)*(IF($G$2=0,1,(INDIRECT($E40&amp;"[siteflag]")=$G$2))))/SUM(INDIRECT($E38&amp;"["&amp;$F38&amp;"]")*(INDIRECT($E38&amp;"[yr]")=T$5)*(INDIRECT($E38&amp;"[wk]")=T$6)*(IF($G$2=0,1,(INDIRECT($E38&amp;"[siteflag]")=$G$2))))</f>
        <v>0</v>
      </c>
      <c r="U40" s="77">
        <f ca="1">SUMPRODUCT(Q38:T38,Q40:T40)/SUM(Q38:T38)</f>
        <v>0</v>
      </c>
      <c r="V40" s="81">
        <f ca="1">IFERROR(SUM(T40/S40)-1,0)</f>
        <v>0</v>
      </c>
      <c r="W40" s="80"/>
      <c r="X40" s="89"/>
    </row>
    <row r="41" spans="2:24" ht="3" customHeight="1" x14ac:dyDescent="0.4">
      <c r="B41" s="329"/>
      <c r="D41" s="205"/>
      <c r="E41" s="58"/>
      <c r="F41" s="57"/>
      <c r="G41" s="57"/>
      <c r="H41" s="57"/>
      <c r="I41" s="84"/>
      <c r="J41" s="84"/>
      <c r="K41" s="84"/>
      <c r="L41" s="84"/>
      <c r="M41" s="84"/>
      <c r="N41" s="84"/>
      <c r="O41" s="84"/>
      <c r="P41" s="84"/>
      <c r="Q41" s="85"/>
      <c r="R41" s="84"/>
      <c r="S41" s="84"/>
      <c r="T41" s="86"/>
      <c r="U41" s="87"/>
      <c r="V41" s="68"/>
      <c r="W41" s="62"/>
      <c r="X41" s="68"/>
    </row>
    <row r="42" spans="2:24" ht="14.15" customHeight="1" x14ac:dyDescent="0.4">
      <c r="B42" s="329"/>
      <c r="D42" s="201" t="s">
        <v>357</v>
      </c>
      <c r="E42" t="s">
        <v>371</v>
      </c>
      <c r="F42" t="s">
        <v>356</v>
      </c>
      <c r="I42" s="92">
        <f t="array" aca="1" ref="I42" ca="1">SUM(INDIRECT($E42&amp;"["&amp;$F42&amp;"]")*(INDIRECT($E42&amp;"[yr]")=I$5)*(INDIRECT($E42&amp;"[wk]")=I$6)*(IF($G$2=0,1,(INDIRECT($E42&amp;"[siteflag]")=$G$2))))</f>
        <v>0</v>
      </c>
      <c r="J42" s="92">
        <f t="array" aca="1" ref="J42" ca="1">SUM(INDIRECT($E42&amp;"["&amp;$F42&amp;"]")*(INDIRECT($E42&amp;"[yr]")=J$5)*(INDIRECT($E42&amp;"[wk]")=J$6)*(IF($G$2=0,1,(INDIRECT($E42&amp;"[siteflag]")=$G$2))))</f>
        <v>0</v>
      </c>
      <c r="K42" s="92">
        <f t="array" aca="1" ref="K42" ca="1">SUM(INDIRECT($E42&amp;"["&amp;$F42&amp;"]")*(INDIRECT($E42&amp;"[yr]")=K$5)*(INDIRECT($E42&amp;"[wk]")=K$6)*(IF($G$2=0,1,(INDIRECT($E42&amp;"[siteflag]")=$G$2))))</f>
        <v>0</v>
      </c>
      <c r="L42" s="92">
        <f t="array" aca="1" ref="L42" ca="1">SUM(INDIRECT($E42&amp;"["&amp;$F42&amp;"]")*(INDIRECT($E42&amp;"[yr]")=L$5)*(INDIRECT($E42&amp;"[wk]")=L$6)*(IF($G$2=0,1,(INDIRECT($E42&amp;"[siteflag]")=$G$2))))</f>
        <v>0</v>
      </c>
      <c r="M42" s="92">
        <f t="array" aca="1" ref="M42" ca="1">SUM(INDIRECT($E42&amp;"["&amp;$F42&amp;"]")*(INDIRECT($E42&amp;"[yr]")=M$5)*(INDIRECT($E42&amp;"[wk]")=M$6)*(IF($G$2=0,1,(INDIRECT($E42&amp;"[siteflag]")=$G$2))))</f>
        <v>0</v>
      </c>
      <c r="N42" s="92">
        <f t="array" aca="1" ref="N42" ca="1">SUM(INDIRECT($E42&amp;"["&amp;$F42&amp;"]")*(INDIRECT($E42&amp;"[yr]")=N$5)*(INDIRECT($E42&amp;"[wk]")=N$6)*(IF($G$2=0,1,(INDIRECT($E42&amp;"[siteflag]")=$G$2))))</f>
        <v>0</v>
      </c>
      <c r="O42" s="92">
        <f t="array" aca="1" ref="O42" ca="1">SUM(INDIRECT($E42&amp;"["&amp;$F42&amp;"]")*(INDIRECT($E42&amp;"[yr]")=O$5)*(INDIRECT($E42&amp;"[wk]")=O$6)*(IF($G$2=0,1,(INDIRECT($E42&amp;"[siteflag]")=$G$2))))</f>
        <v>0</v>
      </c>
      <c r="P42" s="92">
        <f t="array" aca="1" ref="P42" ca="1">SUM(INDIRECT($E42&amp;"["&amp;$F42&amp;"]")*(INDIRECT($E42&amp;"[yr]")=P$5)*(INDIRECT($E42&amp;"[wk]")=P$6)*(IF($G$2=0,1,(INDIRECT($E42&amp;"[siteflag]")=$G$2))))</f>
        <v>0</v>
      </c>
      <c r="Q42" s="106">
        <f t="array" aca="1" ref="Q42" ca="1">SUM(INDIRECT($E42&amp;"["&amp;$F42&amp;"]")*(INDIRECT($E42&amp;"[yr]")=Q$5)*(INDIRECT($E42&amp;"[wk]")=Q$6)*(IF($G$2=0,1,(INDIRECT($E42&amp;"[siteflag]")=$G$2))))</f>
        <v>0</v>
      </c>
      <c r="R42" s="92">
        <f t="array" aca="1" ref="R42" ca="1">SUM(INDIRECT($E42&amp;"["&amp;$F42&amp;"]")*(INDIRECT($E42&amp;"[yr]")=R$5)*(INDIRECT($E42&amp;"[wk]")=R$6)*(IF($G$2=0,1,(INDIRECT($E42&amp;"[siteflag]")=$G$2))))</f>
        <v>0</v>
      </c>
      <c r="S42" s="92">
        <f t="array" aca="1" ref="S42" ca="1">SUM(INDIRECT($E42&amp;"["&amp;$F42&amp;"]")*(INDIRECT($E42&amp;"[yr]")=S$5)*(INDIRECT($E42&amp;"[wk]")=S$6)*(IF($G$2=0,1,(INDIRECT($E42&amp;"[siteflag]")=$G$2))))</f>
        <v>0</v>
      </c>
      <c r="T42" s="107">
        <f t="array" aca="1" ref="T42" ca="1">SUM(INDIRECT($E42&amp;"["&amp;$F42&amp;"]")*(INDIRECT($E42&amp;"[yr]")=T$5)*(INDIRECT($E42&amp;"[wk]")=T$6)*(IF($G$2=0,1,(INDIRECT($E42&amp;"[siteflag]")=$G$2))))</f>
        <v>0</v>
      </c>
      <c r="U42" s="252">
        <f t="array" aca="1" ref="U42" ca="1">SUM(Q42:T42)</f>
        <v>0</v>
      </c>
      <c r="V42" s="49">
        <f ca="1">IFERROR(SUM(T42/S42)-1,0)</f>
        <v>0</v>
      </c>
      <c r="W42" s="82"/>
      <c r="X42" s="81"/>
    </row>
    <row r="43" spans="2:24" ht="14.15" customHeight="1" x14ac:dyDescent="0.4">
      <c r="B43" s="329"/>
      <c r="D43" s="202" t="s">
        <v>67</v>
      </c>
      <c r="I43" s="74">
        <f t="array" aca="1" ref="I43" ca="1">IFERROR((I42/SUM(INDIRECT($E42&amp;"["&amp;$F42&amp;"]")*(INDIRECT($E42&amp;"[yr]")=(I$5-1))*(INDIRECT($E42&amp;"[wk]")=I$6)*(IF($G$2=0,1,(INDIRECT($E42&amp;"[siteflag]")=$G$2))))-1),0)</f>
        <v>0</v>
      </c>
      <c r="J43" s="74">
        <f t="array" aca="1" ref="J43" ca="1">IFERROR((J42/SUM(INDIRECT($E42&amp;"["&amp;$F42&amp;"]")*(INDIRECT($E42&amp;"[yr]")=(J$5-1))*(INDIRECT($E42&amp;"[wk]")=J$6)*(IF($G$2=0,1,(INDIRECT($E42&amp;"[siteflag]")=$G$2))))-1),0)</f>
        <v>0</v>
      </c>
      <c r="K43" s="74">
        <f t="array" aca="1" ref="K43" ca="1">IFERROR((K42/SUM(INDIRECT($E42&amp;"["&amp;$F42&amp;"]")*(INDIRECT($E42&amp;"[yr]")=(K$5-1))*(INDIRECT($E42&amp;"[wk]")=K$6)*(IF($G$2=0,1,(INDIRECT($E42&amp;"[siteflag]")=$G$2))))-1),0)</f>
        <v>0</v>
      </c>
      <c r="L43" s="74">
        <f t="array" aca="1" ref="L43" ca="1">IFERROR((L42/SUM(INDIRECT($E42&amp;"["&amp;$F42&amp;"]")*(INDIRECT($E42&amp;"[yr]")=(L$5-1))*(INDIRECT($E42&amp;"[wk]")=L$6)*(IF($G$2=0,1,(INDIRECT($E42&amp;"[siteflag]")=$G$2))))-1),0)</f>
        <v>0</v>
      </c>
      <c r="M43" s="74">
        <f t="array" aca="1" ref="M43" ca="1">IFERROR((M42/SUM(INDIRECT($E42&amp;"["&amp;$F42&amp;"]")*(INDIRECT($E42&amp;"[yr]")=(M$5-1))*(INDIRECT($E42&amp;"[wk]")=M$6)*(IF($G$2=0,1,(INDIRECT($E42&amp;"[siteflag]")=$G$2))))-1),0)</f>
        <v>0</v>
      </c>
      <c r="N43" s="74">
        <f t="array" aca="1" ref="N43" ca="1">IFERROR((N42/SUM(INDIRECT($E42&amp;"["&amp;$F42&amp;"]")*(INDIRECT($E42&amp;"[yr]")=(N$5-1))*(INDIRECT($E42&amp;"[wk]")=N$6)*(IF($G$2=0,1,(INDIRECT($E42&amp;"[siteflag]")=$G$2))))-1),0)</f>
        <v>0</v>
      </c>
      <c r="O43" s="74">
        <f t="array" aca="1" ref="O43" ca="1">IFERROR((O42/SUM(INDIRECT($E42&amp;"["&amp;$F42&amp;"]")*(INDIRECT($E42&amp;"[yr]")=(O$5-1))*(INDIRECT($E42&amp;"[wk]")=O$6)*(IF($G$2=0,1,(INDIRECT($E42&amp;"[siteflag]")=$G$2))))-1),0)</f>
        <v>0</v>
      </c>
      <c r="P43" s="74">
        <f t="array" aca="1" ref="P43" ca="1">IFERROR((P42/SUM(INDIRECT($E42&amp;"["&amp;$F42&amp;"]")*(INDIRECT($E42&amp;"[yr]")=(P$5-1))*(INDIRECT($E42&amp;"[wk]")=P$6)*(IF($G$2=0,1,(INDIRECT($E42&amp;"[siteflag]")=$G$2))))-1),0)</f>
        <v>0</v>
      </c>
      <c r="Q43" s="75">
        <f t="array" aca="1" ref="Q43" ca="1">IFERROR((Q42/SUM(INDIRECT($E42&amp;"["&amp;$F42&amp;"]")*(INDIRECT($E42&amp;"[yr]")=(Q$5-1))*(INDIRECT($E42&amp;"[wk]")=Q$6)*(IF($G$2=0,1,(INDIRECT($E42&amp;"[siteflag]")=$G$2))))-1),0)</f>
        <v>0</v>
      </c>
      <c r="R43" s="74">
        <f t="array" aca="1" ref="R43" ca="1">IFERROR((R42/SUM(INDIRECT($E42&amp;"["&amp;$F42&amp;"]")*(INDIRECT($E42&amp;"[yr]")=(R$5-1))*(INDIRECT($E42&amp;"[wk]")=R$6)*(IF($G$2=0,1,(INDIRECT($E42&amp;"[siteflag]")=$G$2))))-1),0)</f>
        <v>0</v>
      </c>
      <c r="S43" s="74">
        <f t="array" aca="1" ref="S43" ca="1">IFERROR((S42/SUM(INDIRECT($E42&amp;"["&amp;$F42&amp;"]")*(INDIRECT($E42&amp;"[yr]")=(S$5-1))*(INDIRECT($E42&amp;"[wk]")=S$6)*(IF($G$2=0,1,(INDIRECT($E42&amp;"[siteflag]")=$G$2))))-1),0)</f>
        <v>0</v>
      </c>
      <c r="T43" s="76">
        <f t="array" aca="1" ref="T43" ca="1">IFERROR((T42/SUM(INDIRECT($E42&amp;"["&amp;$F42&amp;"]")*(INDIRECT($E42&amp;"[yr]")=(T$5-1))*(INDIRECT($E42&amp;"[wk]")=T$6)*(IF($G$2=0,1,(INDIRECT($E42&amp;"[siteflag]")=$G$2))))-1),0)</f>
        <v>0</v>
      </c>
      <c r="U43" s="77">
        <f ca="1">SUMPRODUCT(Q43:T43,$Q$35:$T$35)/SUM($Q$35:$T$35)</f>
        <v>0</v>
      </c>
      <c r="V43" s="78"/>
      <c r="W43" s="67"/>
      <c r="X43" s="56"/>
    </row>
    <row r="44" spans="2:24" ht="3" customHeight="1" x14ac:dyDescent="0.4">
      <c r="B44" s="329"/>
      <c r="D44" s="206"/>
      <c r="E44" s="57"/>
      <c r="F44" s="57"/>
      <c r="G44" s="57"/>
      <c r="H44" s="57"/>
      <c r="I44" s="84"/>
      <c r="J44" s="84"/>
      <c r="K44" s="84"/>
      <c r="L44" s="84"/>
      <c r="M44" s="84"/>
      <c r="N44" s="84"/>
      <c r="O44" s="84"/>
      <c r="P44" s="84"/>
      <c r="Q44" s="85"/>
      <c r="R44" s="84"/>
      <c r="S44" s="84"/>
      <c r="T44" s="86"/>
      <c r="U44" s="87"/>
      <c r="V44" s="88"/>
      <c r="W44" s="62"/>
      <c r="X44" s="68"/>
    </row>
    <row r="45" spans="2:24" ht="14.15" customHeight="1" x14ac:dyDescent="0.4">
      <c r="B45" s="329"/>
      <c r="D45" s="203" t="s">
        <v>73</v>
      </c>
      <c r="E45" t="s">
        <v>45</v>
      </c>
      <c r="F45" t="s">
        <v>47</v>
      </c>
      <c r="I45" s="69">
        <f t="array" aca="1" ref="I45" ca="1">IF($G$2=0,(SUM(INDIRECT($E45&amp;"["&amp;$E46&amp;"]")*(INDIRECT($E45&amp;"[yr]")=I$5)*(INDIRECT($E45&amp;"[wk]")=I$6))/SUM(INDIRECT($E45&amp;"["&amp;$F46&amp;"]")*(INDIRECT($E45&amp;"[yr]")=I$5)*(INDIRECT($E45&amp;"[wk]")=I$6))),(SUM(INDIRECT($E45&amp;"["&amp;$F45&amp;"]")*(INDIRECT($E45&amp;"[yr]")=I$5)*(INDIRECT($E45&amp;"[wk]")=I$6)*(INDIRECT($E45&amp;"[siteflag]")=$G$2))))</f>
        <v>0.2</v>
      </c>
      <c r="J45" s="69">
        <f t="array" aca="1" ref="J45" ca="1">IF($G$2=0,(SUM(INDIRECT($E45&amp;"["&amp;$E46&amp;"]")*(INDIRECT($E45&amp;"[yr]")=J$5)*(INDIRECT($E45&amp;"[wk]")=J$6))/SUM(INDIRECT($E45&amp;"["&amp;$F46&amp;"]")*(INDIRECT($E45&amp;"[yr]")=J$5)*(INDIRECT($E45&amp;"[wk]")=J$6))),(SUM(INDIRECT($E45&amp;"["&amp;$F45&amp;"]")*(INDIRECT($E45&amp;"[yr]")=J$5)*(INDIRECT($E45&amp;"[wk]")=J$6)*(INDIRECT($E45&amp;"[siteflag]")=$G$2))))</f>
        <v>0.13</v>
      </c>
      <c r="K45" s="69">
        <f t="array" aca="1" ref="K45" ca="1">IF($G$2=0,(SUM(INDIRECT($E45&amp;"["&amp;$E46&amp;"]")*(INDIRECT($E45&amp;"[yr]")=K$5)*(INDIRECT($E45&amp;"[wk]")=K$6))/SUM(INDIRECT($E45&amp;"["&amp;$F46&amp;"]")*(INDIRECT($E45&amp;"[yr]")=K$5)*(INDIRECT($E45&amp;"[wk]")=K$6))),(SUM(INDIRECT($E45&amp;"["&amp;$F45&amp;"]")*(INDIRECT($E45&amp;"[yr]")=K$5)*(INDIRECT($E45&amp;"[wk]")=K$6)*(INDIRECT($E45&amp;"[siteflag]")=$G$2))))</f>
        <v>0.23</v>
      </c>
      <c r="L45" s="69">
        <f t="array" aca="1" ref="L45" ca="1">IF($G$2=0,(SUM(INDIRECT($E45&amp;"["&amp;$E46&amp;"]")*(INDIRECT($E45&amp;"[yr]")=L$5)*(INDIRECT($E45&amp;"[wk]")=L$6))/SUM(INDIRECT($E45&amp;"["&amp;$F46&amp;"]")*(INDIRECT($E45&amp;"[yr]")=L$5)*(INDIRECT($E45&amp;"[wk]")=L$6))),(SUM(INDIRECT($E45&amp;"["&amp;$F45&amp;"]")*(INDIRECT($E45&amp;"[yr]")=L$5)*(INDIRECT($E45&amp;"[wk]")=L$6)*(INDIRECT($E45&amp;"[siteflag]")=$G$2))))</f>
        <v>0.13</v>
      </c>
      <c r="M45" s="69">
        <f t="array" aca="1" ref="M45" ca="1">IF($G$2=0,(SUM(INDIRECT($E45&amp;"["&amp;$E46&amp;"]")*(INDIRECT($E45&amp;"[yr]")=M$5)*(INDIRECT($E45&amp;"[wk]")=M$6))/SUM(INDIRECT($E45&amp;"["&amp;$F46&amp;"]")*(INDIRECT($E45&amp;"[yr]")=M$5)*(INDIRECT($E45&amp;"[wk]")=M$6))),(SUM(INDIRECT($E45&amp;"["&amp;$F45&amp;"]")*(INDIRECT($E45&amp;"[yr]")=M$5)*(INDIRECT($E45&amp;"[wk]")=M$6)*(INDIRECT($E45&amp;"[siteflag]")=$G$2))))</f>
        <v>0.1</v>
      </c>
      <c r="N45" s="69">
        <f t="array" aca="1" ref="N45" ca="1">IF($G$2=0,(SUM(INDIRECT($E45&amp;"["&amp;$E46&amp;"]")*(INDIRECT($E45&amp;"[yr]")=N$5)*(INDIRECT($E45&amp;"[wk]")=N$6))/SUM(INDIRECT($E45&amp;"["&amp;$F46&amp;"]")*(INDIRECT($E45&amp;"[yr]")=N$5)*(INDIRECT($E45&amp;"[wk]")=N$6))),(SUM(INDIRECT($E45&amp;"["&amp;$F45&amp;"]")*(INDIRECT($E45&amp;"[yr]")=N$5)*(INDIRECT($E45&amp;"[wk]")=N$6)*(INDIRECT($E45&amp;"[siteflag]")=$G$2))))</f>
        <v>0.13</v>
      </c>
      <c r="O45" s="69">
        <f t="array" aca="1" ref="O45" ca="1">IF($G$2=0,(SUM(INDIRECT($E45&amp;"["&amp;$E46&amp;"]")*(INDIRECT($E45&amp;"[yr]")=O$5)*(INDIRECT($E45&amp;"[wk]")=O$6))/SUM(INDIRECT($E45&amp;"["&amp;$F46&amp;"]")*(INDIRECT($E45&amp;"[yr]")=O$5)*(INDIRECT($E45&amp;"[wk]")=O$6))),(SUM(INDIRECT($E45&amp;"["&amp;$F45&amp;"]")*(INDIRECT($E45&amp;"[yr]")=O$5)*(INDIRECT($E45&amp;"[wk]")=O$6)*(INDIRECT($E45&amp;"[siteflag]")=$G$2))))</f>
        <v>0.19</v>
      </c>
      <c r="P45" s="69">
        <f t="array" aca="1" ref="P45" ca="1">IF($G$2=0,(SUM(INDIRECT($E45&amp;"["&amp;$E46&amp;"]")*(INDIRECT($E45&amp;"[yr]")=P$5)*(INDIRECT($E45&amp;"[wk]")=P$6))/SUM(INDIRECT($E45&amp;"["&amp;$F46&amp;"]")*(INDIRECT($E45&amp;"[yr]")=P$5)*(INDIRECT($E45&amp;"[wk]")=P$6))),(SUM(INDIRECT($E45&amp;"["&amp;$F45&amp;"]")*(INDIRECT($E45&amp;"[yr]")=P$5)*(INDIRECT($E45&amp;"[wk]")=P$6)*(INDIRECT($E45&amp;"[siteflag]")=$G$2))))</f>
        <v>0.28999999999999998</v>
      </c>
      <c r="Q45" s="70">
        <f t="array" aca="1" ref="Q45" ca="1">IF($G$2=0,(SUM(INDIRECT($E45&amp;"["&amp;$E46&amp;"]")*(INDIRECT($E45&amp;"[yr]")=Q$5)*(INDIRECT($E45&amp;"[wk]")=Q$6))/SUM(INDIRECT($E45&amp;"["&amp;$F46&amp;"]")*(INDIRECT($E45&amp;"[yr]")=Q$5)*(INDIRECT($E45&amp;"[wk]")=Q$6))),(SUM(INDIRECT($E45&amp;"["&amp;$F45&amp;"]")*(INDIRECT($E45&amp;"[yr]")=Q$5)*(INDIRECT($E45&amp;"[wk]")=Q$6)*(INDIRECT($E45&amp;"[siteflag]")=$G$2))))</f>
        <v>0.11</v>
      </c>
      <c r="R45" s="69">
        <f t="array" aca="1" ref="R45" ca="1">IF($G$2=0,(SUM(INDIRECT($E45&amp;"["&amp;$E46&amp;"]")*(INDIRECT($E45&amp;"[yr]")=R$5)*(INDIRECT($E45&amp;"[wk]")=R$6))/SUM(INDIRECT($E45&amp;"["&amp;$F46&amp;"]")*(INDIRECT($E45&amp;"[yr]")=R$5)*(INDIRECT($E45&amp;"[wk]")=R$6))),(SUM(INDIRECT($E45&amp;"["&amp;$F45&amp;"]")*(INDIRECT($E45&amp;"[yr]")=R$5)*(INDIRECT($E45&amp;"[wk]")=R$6)*(INDIRECT($E45&amp;"[siteflag]")=$G$2))))</f>
        <v>0.06</v>
      </c>
      <c r="S45" s="69">
        <f t="array" aca="1" ref="S45" ca="1">IF($G$2=0,(SUM(INDIRECT($E45&amp;"["&amp;$E46&amp;"]")*(INDIRECT($E45&amp;"[yr]")=S$5)*(INDIRECT($E45&amp;"[wk]")=S$6))/SUM(INDIRECT($E45&amp;"["&amp;$F46&amp;"]")*(INDIRECT($E45&amp;"[yr]")=S$5)*(INDIRECT($E45&amp;"[wk]")=S$6))),(SUM(INDIRECT($E45&amp;"["&amp;$F45&amp;"]")*(INDIRECT($E45&amp;"[yr]")=S$5)*(INDIRECT($E45&amp;"[wk]")=S$6)*(INDIRECT($E45&amp;"[siteflag]")=$G$2))))</f>
        <v>0.11</v>
      </c>
      <c r="T45" s="158">
        <f t="array" aca="1" ref="T45" ca="1">IF($G$2=0,(SUM(INDIRECT($E45&amp;"["&amp;$E46&amp;"]")*(INDIRECT($E45&amp;"[yr]")=T$5)*(INDIRECT($E45&amp;"[wk]")=T$6))/SUM(INDIRECT($E45&amp;"["&amp;$F46&amp;"]")*(INDIRECT($E45&amp;"[yr]")=T$5)*(INDIRECT($E45&amp;"[wk]")=T$6))),(SUM(INDIRECT($E45&amp;"["&amp;$F45&amp;"]")*(INDIRECT($E45&amp;"[yr]")=T$5)*(INDIRECT($E45&amp;"[wk]")=T$6)*(INDIRECT($E45&amp;"[siteflag]")=$G$2))))</f>
        <v>0.05</v>
      </c>
      <c r="U45" s="159">
        <f ca="1">AVERAGE(Q45:T45)</f>
        <v>8.249999999999999E-2</v>
      </c>
      <c r="V45" s="89">
        <f ca="1">IFERROR(SUM(T45/S45)-1,0)</f>
        <v>-0.54545454545454541</v>
      </c>
      <c r="W45" s="90">
        <v>0.04</v>
      </c>
      <c r="X45" s="49"/>
    </row>
    <row r="46" spans="2:24" ht="14.15" customHeight="1" x14ac:dyDescent="0.4">
      <c r="B46" s="329"/>
      <c r="D46" s="204" t="s">
        <v>67</v>
      </c>
      <c r="E46" t="s">
        <v>48</v>
      </c>
      <c r="F46" t="s">
        <v>74</v>
      </c>
      <c r="I46" s="74">
        <f t="array" aca="1" ref="I46" ca="1">IFERROR(I45/(IF($G$2=0,(SUM(INDIRECT($E45&amp;"["&amp;$E46&amp;"]")*(INDIRECT($E45&amp;"[yr]")=(I$5-1))*(INDIRECT($E45&amp;"[wk]")=I$6))/SUM(INDIRECT($E45&amp;"["&amp;$F46&amp;"]")*(INDIRECT($E45&amp;"[yr]")=(I$5-1))*(INDIRECT($E45&amp;"[wk]")=I$6))),(SUM(INDIRECT($E45&amp;"["&amp;$E46&amp;"]")*(INDIRECT($E45&amp;"[yr]")=(I$5-1))*(INDIRECT($E45&amp;"[wk]")=I$6)*(INDIRECT($E45&amp;"[siteflag]")=$G$2))/SUM(INDIRECT($E45&amp;"["&amp;$F46&amp;"]")*(INDIRECT($E45&amp;"[yr]")=(I$5-1))*(INDIRECT($E45&amp;"[wk]")=I$6)*(INDIRECT($E45&amp;"[siteflag]")=$G$2)))))-1,0)</f>
        <v>0.71666666666666679</v>
      </c>
      <c r="J46" s="74">
        <f t="array" aca="1" ref="J46" ca="1">IFERROR(J45/(IF($G$2=0,(SUM(INDIRECT($E45&amp;"["&amp;$E46&amp;"]")*(INDIRECT($E45&amp;"[yr]")=(J$5-1))*(INDIRECT($E45&amp;"[wk]")=J$6))/SUM(INDIRECT($E45&amp;"["&amp;$F46&amp;"]")*(INDIRECT($E45&amp;"[yr]")=(J$5-1))*(INDIRECT($E45&amp;"[wk]")=J$6))),(SUM(INDIRECT($E45&amp;"["&amp;$E46&amp;"]")*(INDIRECT($E45&amp;"[yr]")=(J$5-1))*(INDIRECT($E45&amp;"[wk]")=J$6)*(INDIRECT($E45&amp;"[siteflag]")=$G$2))/SUM(INDIRECT($E45&amp;"["&amp;$F46&amp;"]")*(INDIRECT($E45&amp;"[yr]")=(J$5-1))*(INDIRECT($E45&amp;"[wk]")=J$6)*(INDIRECT($E45&amp;"[siteflag]")=$G$2)))))-1,0)</f>
        <v>-0.32964827586206891</v>
      </c>
      <c r="K46" s="74">
        <f t="array" aca="1" ref="K46" ca="1">IFERROR(K45/(IF($G$2=0,(SUM(INDIRECT($E45&amp;"["&amp;$E46&amp;"]")*(INDIRECT($E45&amp;"[yr]")=(K$5-1))*(INDIRECT($E45&amp;"[wk]")=K$6))/SUM(INDIRECT($E45&amp;"["&amp;$F46&amp;"]")*(INDIRECT($E45&amp;"[yr]")=(K$5-1))*(INDIRECT($E45&amp;"[wk]")=K$6))),(SUM(INDIRECT($E45&amp;"["&amp;$E46&amp;"]")*(INDIRECT($E45&amp;"[yr]")=(K$5-1))*(INDIRECT($E45&amp;"[wk]")=K$6)*(INDIRECT($E45&amp;"[siteflag]")=$G$2))/SUM(INDIRECT($E45&amp;"["&amp;$F46&amp;"]")*(INDIRECT($E45&amp;"[yr]")=(K$5-1))*(INDIRECT($E45&amp;"[wk]")=K$6)*(INDIRECT($E45&amp;"[siteflag]")=$G$2)))))-1,0)</f>
        <v>0.15778461538461541</v>
      </c>
      <c r="L46" s="74">
        <f t="array" aca="1" ref="L46" ca="1">IFERROR(L45/(IF($G$2=0,(SUM(INDIRECT($E45&amp;"["&amp;$E46&amp;"]")*(INDIRECT($E45&amp;"[yr]")=(L$5-1))*(INDIRECT($E45&amp;"[wk]")=L$6))/SUM(INDIRECT($E45&amp;"["&amp;$F46&amp;"]")*(INDIRECT($E45&amp;"[yr]")=(L$5-1))*(INDIRECT($E45&amp;"[wk]")=L$6))),(SUM(INDIRECT($E45&amp;"["&amp;$E46&amp;"]")*(INDIRECT($E45&amp;"[yr]")=(L$5-1))*(INDIRECT($E45&amp;"[wk]")=L$6)*(INDIRECT($E45&amp;"[siteflag]")=$G$2))/SUM(INDIRECT($E45&amp;"["&amp;$F46&amp;"]")*(INDIRECT($E45&amp;"[yr]")=(L$5-1))*(INDIRECT($E45&amp;"[wk]")=L$6)*(INDIRECT($E45&amp;"[siteflag]")=$G$2)))))-1,0)</f>
        <v>-0.53136444444444442</v>
      </c>
      <c r="M46" s="74">
        <f t="array" aca="1" ref="M46" ca="1">IFERROR(M45/(IF($G$2=0,(SUM(INDIRECT($E45&amp;"["&amp;$E46&amp;"]")*(INDIRECT($E45&amp;"[yr]")=(M$5-1))*(INDIRECT($E45&amp;"[wk]")=M$6))/SUM(INDIRECT($E45&amp;"["&amp;$F46&amp;"]")*(INDIRECT($E45&amp;"[yr]")=(M$5-1))*(INDIRECT($E45&amp;"[wk]")=M$6))),(SUM(INDIRECT($E45&amp;"["&amp;$E46&amp;"]")*(INDIRECT($E45&amp;"[yr]")=(M$5-1))*(INDIRECT($E45&amp;"[wk]")=M$6)*(INDIRECT($E45&amp;"[siteflag]")=$G$2))/SUM(INDIRECT($E45&amp;"["&amp;$F46&amp;"]")*(INDIRECT($E45&amp;"[yr]")=(M$5-1))*(INDIRECT($E45&amp;"[wk]")=M$6)*(INDIRECT($E45&amp;"[siteflag]")=$G$2)))))-1,0)</f>
        <v>-0.5540624999999999</v>
      </c>
      <c r="N46" s="74">
        <f t="array" aca="1" ref="N46" ca="1">IFERROR(N45/(IF($G$2=0,(SUM(INDIRECT($E45&amp;"["&amp;$E46&amp;"]")*(INDIRECT($E45&amp;"[yr]")=(N$5-1))*(INDIRECT($E45&amp;"[wk]")=N$6))/SUM(INDIRECT($E45&amp;"["&amp;$F46&amp;"]")*(INDIRECT($E45&amp;"[yr]")=(N$5-1))*(INDIRECT($E45&amp;"[wk]")=N$6))),(SUM(INDIRECT($E45&amp;"["&amp;$E46&amp;"]")*(INDIRECT($E45&amp;"[yr]")=(N$5-1))*(INDIRECT($E45&amp;"[wk]")=N$6)*(INDIRECT($E45&amp;"[siteflag]")=$G$2))/SUM(INDIRECT($E45&amp;"["&amp;$F46&amp;"]")*(INDIRECT($E45&amp;"[yr]")=(N$5-1))*(INDIRECT($E45&amp;"[wk]")=N$6)*(INDIRECT($E45&amp;"[siteflag]")=$G$2)))))-1,0)</f>
        <v>-0.45297575757575748</v>
      </c>
      <c r="O46" s="74">
        <f t="array" aca="1" ref="O46" ca="1">IFERROR(O45/(IF($G$2=0,(SUM(INDIRECT($E45&amp;"["&amp;$E46&amp;"]")*(INDIRECT($E45&amp;"[yr]")=(O$5-1))*(INDIRECT($E45&amp;"[wk]")=O$6))/SUM(INDIRECT($E45&amp;"["&amp;$F46&amp;"]")*(INDIRECT($E45&amp;"[yr]")=(O$5-1))*(INDIRECT($E45&amp;"[wk]")=O$6))),(SUM(INDIRECT($E45&amp;"["&amp;$E46&amp;"]")*(INDIRECT($E45&amp;"[yr]")=(O$5-1))*(INDIRECT($E45&amp;"[wk]")=O$6)*(INDIRECT($E45&amp;"[siteflag]")=$G$2))/SUM(INDIRECT($E45&amp;"["&amp;$F46&amp;"]")*(INDIRECT($E45&amp;"[yr]")=(O$5-1))*(INDIRECT($E45&amp;"[wk]")=O$6)*(INDIRECT($E45&amp;"[siteflag]")=$G$2)))))-1,0)</f>
        <v>-0.18361956521739131</v>
      </c>
      <c r="P46" s="74">
        <f t="array" aca="1" ref="P46" ca="1">IFERROR(P45/(IF($G$2=0,(SUM(INDIRECT($E45&amp;"["&amp;$E46&amp;"]")*(INDIRECT($E45&amp;"[yr]")=(P$5-1))*(INDIRECT($E45&amp;"[wk]")=P$6))/SUM(INDIRECT($E45&amp;"["&amp;$F46&amp;"]")*(INDIRECT($E45&amp;"[yr]")=(P$5-1))*(INDIRECT($E45&amp;"[wk]")=P$6))),(SUM(INDIRECT($E45&amp;"["&amp;$E46&amp;"]")*(INDIRECT($E45&amp;"[yr]")=(P$5-1))*(INDIRECT($E45&amp;"[wk]")=P$6)*(INDIRECT($E45&amp;"[siteflag]")=$G$2))/SUM(INDIRECT($E45&amp;"["&amp;$F46&amp;"]")*(INDIRECT($E45&amp;"[yr]")=(P$5-1))*(INDIRECT($E45&amp;"[wk]")=P$6)*(INDIRECT($E45&amp;"[siteflag]")=$G$2)))))-1,0)</f>
        <v>0.37429473684210524</v>
      </c>
      <c r="Q46" s="51">
        <f t="array" aca="1" ref="Q46" ca="1">IFERROR(Q45/(IF($G$2=0,(SUM(INDIRECT($E45&amp;"["&amp;$E46&amp;"]")*(INDIRECT($E45&amp;"[yr]")=(Q$5-1))*(INDIRECT($E45&amp;"[wk]")=Q$6))/SUM(INDIRECT($E45&amp;"["&amp;$F46&amp;"]")*(INDIRECT($E45&amp;"[yr]")=(Q$5-1))*(INDIRECT($E45&amp;"[wk]")=Q$6))),(SUM(INDIRECT($E45&amp;"["&amp;$E46&amp;"]")*(INDIRECT($E45&amp;"[yr]")=(Q$5-1))*(INDIRECT($E45&amp;"[wk]")=Q$6)*(INDIRECT($E45&amp;"[siteflag]")=$G$2))/SUM(INDIRECT($E45&amp;"["&amp;$F46&amp;"]")*(INDIRECT($E45&amp;"[yr]")=(Q$5-1))*(INDIRECT($E45&amp;"[wk]")=Q$6)*(INDIRECT($E45&amp;"[siteflag]")=$G$2)))))-1,0)</f>
        <v>-0.2398541666666667</v>
      </c>
      <c r="R46" s="74">
        <f t="array" aca="1" ref="R46" ca="1">IFERROR(R45/(IF($G$2=0,(SUM(INDIRECT($E45&amp;"["&amp;$E46&amp;"]")*(INDIRECT($E45&amp;"[yr]")=(R$5-1))*(INDIRECT($E45&amp;"[wk]")=R$6))/SUM(INDIRECT($E45&amp;"["&amp;$F46&amp;"]")*(INDIRECT($E45&amp;"[yr]")=(R$5-1))*(INDIRECT($E45&amp;"[wk]")=R$6))),(SUM(INDIRECT($E45&amp;"["&amp;$E46&amp;"]")*(INDIRECT($E45&amp;"[yr]")=(R$5-1))*(INDIRECT($E45&amp;"[wk]")=R$6)*(INDIRECT($E45&amp;"[siteflag]")=$G$2))/SUM(INDIRECT($E45&amp;"["&amp;$F46&amp;"]")*(INDIRECT($E45&amp;"[yr]")=(R$5-1))*(INDIRECT($E45&amp;"[wk]")=R$6)*(INDIRECT($E45&amp;"[siteflag]")=$G$2)))))-1,0)</f>
        <v>-0.76788936170212763</v>
      </c>
      <c r="S46" s="74">
        <f t="array" aca="1" ref="S46" ca="1">IFERROR(S45/(IF($G$2=0,(SUM(INDIRECT($E45&amp;"["&amp;$E46&amp;"]")*(INDIRECT($E45&amp;"[yr]")=(S$5-1))*(INDIRECT($E45&amp;"[wk]")=S$6))/SUM(INDIRECT($E45&amp;"["&amp;$F46&amp;"]")*(INDIRECT($E45&amp;"[yr]")=(S$5-1))*(INDIRECT($E45&amp;"[wk]")=S$6))),(SUM(INDIRECT($E45&amp;"["&amp;$E46&amp;"]")*(INDIRECT($E45&amp;"[yr]")=(S$5-1))*(INDIRECT($E45&amp;"[wk]")=S$6)*(INDIRECT($E45&amp;"[siteflag]")=$G$2))/SUM(INDIRECT($E45&amp;"["&amp;$F46&amp;"]")*(INDIRECT($E45&amp;"[yr]")=(S$5-1))*(INDIRECT($E45&amp;"[wk]")=S$6)*(INDIRECT($E45&amp;"[siteflag]")=$G$2)))))-1,0)</f>
        <v>-0.39053125</v>
      </c>
      <c r="T46" s="76">
        <f t="array" aca="1" ref="T46" ca="1">IFERROR(T45/(IF($G$2=0,(SUM(INDIRECT($E45&amp;"["&amp;$E46&amp;"]")*(INDIRECT($E45&amp;"[yr]")=(T$5-1))*(INDIRECT($E45&amp;"[wk]")=T$6))/SUM(INDIRECT($E45&amp;"["&amp;$F46&amp;"]")*(INDIRECT($E45&amp;"[yr]")=(T$5-1))*(INDIRECT($E45&amp;"[wk]")=T$6))),(SUM(INDIRECT($E45&amp;"["&amp;$E46&amp;"]")*(INDIRECT($E45&amp;"[yr]")=(T$5-1))*(INDIRECT($E45&amp;"[wk]")=T$6)*(INDIRECT($E45&amp;"[siteflag]")=$G$2))/SUM(INDIRECT($E45&amp;"["&amp;$F46&amp;"]")*(INDIRECT($E45&amp;"[yr]")=(T$5-1))*(INDIRECT($E45&amp;"[wk]")=T$6)*(INDIRECT($E45&amp;"[siteflag]")=$G$2)))))-1,0)</f>
        <v>-0.73523529411764699</v>
      </c>
      <c r="U46" s="77">
        <f ca="1">SUMPRODUCT(Q45:T45,Q46:T46)/SUM(Q45:T45)</f>
        <v>-0.46114400679194956</v>
      </c>
      <c r="V46" s="91"/>
      <c r="W46" s="80"/>
      <c r="X46" s="56"/>
    </row>
    <row r="47" spans="2:24" ht="3" customHeight="1" x14ac:dyDescent="0.4">
      <c r="B47" s="329"/>
      <c r="D47" s="206"/>
      <c r="E47" s="57"/>
      <c r="F47" s="57"/>
      <c r="G47" s="57"/>
      <c r="H47" s="57"/>
      <c r="I47" s="84"/>
      <c r="J47" s="84"/>
      <c r="K47" s="84"/>
      <c r="L47" s="84"/>
      <c r="M47" s="84"/>
      <c r="N47" s="84"/>
      <c r="O47" s="84"/>
      <c r="P47" s="84"/>
      <c r="Q47" s="85"/>
      <c r="R47" s="84"/>
      <c r="S47" s="84"/>
      <c r="T47" s="86"/>
      <c r="U47" s="87"/>
      <c r="V47" s="88"/>
      <c r="W47" s="62"/>
      <c r="X47" s="68"/>
    </row>
    <row r="48" spans="2:24" ht="14.15" customHeight="1" x14ac:dyDescent="0.4">
      <c r="B48" s="329"/>
      <c r="D48" s="203" t="s">
        <v>75</v>
      </c>
      <c r="I48" s="92">
        <f t="array" aca="1" ref="I48" ca="1">IF($G$2=0,(SUM(INDIRECT($E49&amp;"["&amp;$F49&amp;"]")*(INDIRECT($E49&amp;"[yr]")=I$5)*(INDIRECT($E49&amp;"[wk]")=I$6))),(SUM(INDIRECT($E49&amp;"["&amp;$F49&amp;"]")*(INDIRECT($E49&amp;"[yr]")=I$5)*(INDIRECT($E49&amp;"[wk]")=I$6)*(INDIRECT($E49&amp;"[siteflag]")=$G$2))))/100</f>
        <v>32</v>
      </c>
      <c r="J48" s="92">
        <f t="array" aca="1" ref="J48" ca="1">IF($G$2=0,(SUM(INDIRECT($E49&amp;"["&amp;$F49&amp;"]")*(INDIRECT($E49&amp;"[yr]")=J$5)*(INDIRECT($E49&amp;"[wk]")=J$6))),(SUM(INDIRECT($E49&amp;"["&amp;$F49&amp;"]")*(INDIRECT($E49&amp;"[yr]")=J$5)*(INDIRECT($E49&amp;"[wk]")=J$6)*(INDIRECT($E49&amp;"[siteflag]")=$G$2))))/100</f>
        <v>22</v>
      </c>
      <c r="K48" s="92">
        <f t="array" aca="1" ref="K48" ca="1">IF($G$2=0,(SUM(INDIRECT($E49&amp;"["&amp;$F49&amp;"]")*(INDIRECT($E49&amp;"[yr]")=K$5)*(INDIRECT($E49&amp;"[wk]")=K$6))),(SUM(INDIRECT($E49&amp;"["&amp;$F49&amp;"]")*(INDIRECT($E49&amp;"[yr]")=K$5)*(INDIRECT($E49&amp;"[wk]")=K$6)*(INDIRECT($E49&amp;"[siteflag]")=$G$2))))/100</f>
        <v>39</v>
      </c>
      <c r="L48" s="92">
        <f t="array" aca="1" ref="L48" ca="1">IF($G$2=0,(SUM(INDIRECT($E49&amp;"["&amp;$F49&amp;"]")*(INDIRECT($E49&amp;"[yr]")=L$5)*(INDIRECT($E49&amp;"[wk]")=L$6))),(SUM(INDIRECT($E49&amp;"["&amp;$F49&amp;"]")*(INDIRECT($E49&amp;"[yr]")=L$5)*(INDIRECT($E49&amp;"[wk]")=L$6)*(INDIRECT($E49&amp;"[siteflag]")=$G$2))))/100</f>
        <v>21</v>
      </c>
      <c r="M48" s="92">
        <f t="array" aca="1" ref="M48" ca="1">IF($G$2=0,(SUM(INDIRECT($E49&amp;"["&amp;$F49&amp;"]")*(INDIRECT($E49&amp;"[yr]")=M$5)*(INDIRECT($E49&amp;"[wk]")=M$6))),(SUM(INDIRECT($E49&amp;"["&amp;$F49&amp;"]")*(INDIRECT($E49&amp;"[yr]")=M$5)*(INDIRECT($E49&amp;"[wk]")=M$6)*(INDIRECT($E49&amp;"[siteflag]")=$G$2))))/100</f>
        <v>16</v>
      </c>
      <c r="N48" s="92">
        <f t="array" aca="1" ref="N48" ca="1">IF($G$2=0,(SUM(INDIRECT($E49&amp;"["&amp;$F49&amp;"]")*(INDIRECT($E49&amp;"[yr]")=N$5)*(INDIRECT($E49&amp;"[wk]")=N$6))),(SUM(INDIRECT($E49&amp;"["&amp;$F49&amp;"]")*(INDIRECT($E49&amp;"[yr]")=N$5)*(INDIRECT($E49&amp;"[wk]")=N$6)*(INDIRECT($E49&amp;"[siteflag]")=$G$2))))/100</f>
        <v>20</v>
      </c>
      <c r="O48" s="92">
        <f t="array" aca="1" ref="O48" ca="1">IF($G$2=0,(SUM(INDIRECT($E49&amp;"["&amp;$F49&amp;"]")*(INDIRECT($E49&amp;"[yr]")=O$5)*(INDIRECT($E49&amp;"[wk]")=O$6))),(SUM(INDIRECT($E49&amp;"["&amp;$F49&amp;"]")*(INDIRECT($E49&amp;"[yr]")=O$5)*(INDIRECT($E49&amp;"[wk]")=O$6)*(INDIRECT($E49&amp;"[siteflag]")=$G$2))))/100</f>
        <v>35</v>
      </c>
      <c r="P48" s="93">
        <f t="array" aca="1" ref="P48" ca="1">IF($G$2=0,(SUM(INDIRECT($E49&amp;"["&amp;$F49&amp;"]")*(INDIRECT($E49&amp;"[yr]")=P$5)*(INDIRECT($E49&amp;"[wk]")=P$6))),(SUM(INDIRECT($E49&amp;"["&amp;$F49&amp;"]")*(INDIRECT($E49&amp;"[yr]")=P$5)*(INDIRECT($E49&amp;"[wk]")=P$6)*(INDIRECT($E49&amp;"[siteflag]")=$G$2))))/100</f>
        <v>72</v>
      </c>
      <c r="Q48" s="197">
        <f t="array" aca="1" ref="Q48" ca="1">IF($G$2=0,(SUM(INDIRECT($E49&amp;"["&amp;$F49&amp;"]")*(INDIRECT($E49&amp;"[yr]")=Q$5)*(INDIRECT($E49&amp;"[wk]")=Q$6))),(SUM(INDIRECT($E49&amp;"["&amp;$F49&amp;"]")*(INDIRECT($E49&amp;"[yr]")=Q$5)*(INDIRECT($E49&amp;"[wk]")=Q$6)*(INDIRECT($E49&amp;"[siteflag]")=$G$2))))/100</f>
        <v>24</v>
      </c>
      <c r="R48" s="92">
        <f t="array" aca="1" ref="R48" ca="1">IF($G$2=0,(SUM(INDIRECT($E49&amp;"["&amp;$F49&amp;"]")*(INDIRECT($E49&amp;"[yr]")=R$5)*(INDIRECT($E49&amp;"[wk]")=R$6))),(SUM(INDIRECT($E49&amp;"["&amp;$F49&amp;"]")*(INDIRECT($E49&amp;"[yr]")=R$5)*(INDIRECT($E49&amp;"[wk]")=R$6)*(INDIRECT($E49&amp;"[siteflag]")=$G$2))))/100</f>
        <v>10</v>
      </c>
      <c r="S48" s="92">
        <f t="array" aca="1" ref="S48" ca="1">IF($G$2=0,(SUM(INDIRECT($E49&amp;"["&amp;$F49&amp;"]")*(INDIRECT($E49&amp;"[yr]")=S$5)*(INDIRECT($E49&amp;"[wk]")=S$6))),(SUM(INDIRECT($E49&amp;"["&amp;$F49&amp;"]")*(INDIRECT($E49&amp;"[yr]")=S$5)*(INDIRECT($E49&amp;"[wk]")=S$6)*(INDIRECT($E49&amp;"[siteflag]")=$G$2))))/100</f>
        <v>17</v>
      </c>
      <c r="T48" s="160">
        <f t="array" aca="1" ref="T48" ca="1">IF($G$2=0,(SUM(INDIRECT($E49&amp;"["&amp;$F49&amp;"]")*(INDIRECT($E49&amp;"[yr]")=T$5)*(INDIRECT($E49&amp;"[wk]")=T$6))),(SUM(INDIRECT($E49&amp;"["&amp;$F49&amp;"]")*(INDIRECT($E49&amp;"[yr]")=T$5)*(INDIRECT($E49&amp;"[wk]")=T$6)*(INDIRECT($E49&amp;"[siteflag]")=$G$2))))/100</f>
        <v>9</v>
      </c>
      <c r="U48" s="161">
        <f ca="1">AVERAGE(Q48:T48)</f>
        <v>15</v>
      </c>
      <c r="V48" s="81">
        <f t="array" aca="1" ref="V48" ca="1">SUM(T48/S48)-1</f>
        <v>-0.47058823529411764</v>
      </c>
      <c r="W48" s="97">
        <f ca="1">ROUNDUP(S66*W45*10,0)</f>
        <v>7</v>
      </c>
      <c r="X48" s="49"/>
    </row>
    <row r="49" spans="2:24" ht="14.15" customHeight="1" x14ac:dyDescent="0.4">
      <c r="B49" s="329"/>
      <c r="D49" s="204" t="s">
        <v>67</v>
      </c>
      <c r="E49" t="s">
        <v>45</v>
      </c>
      <c r="F49" t="s">
        <v>48</v>
      </c>
      <c r="I49" s="276">
        <f t="array" aca="1" ref="I49" ca="1">IFERROR(I48/(IF($G$2=0,(SUM(INDIRECT($E49&amp;"["&amp;$F49&amp;"]")*(INDIRECT($E49&amp;"[yr]")=(I$5-1))*(INDIRECT($E49&amp;"[wk]")=I$6))),(SUM(INDIRECT($E49&amp;"["&amp;$F49&amp;"]")*(INDIRECT($E49&amp;"[yr]")=(I$5-1))*(INDIRECT($E49&amp;"[wk]")=I$6)*(INDIRECT($E49&amp;"[siteflag]")=$G$2))))/100)-1,0)</f>
        <v>0.52380952380952372</v>
      </c>
      <c r="J49" s="276">
        <f t="array" aca="1" ref="J49" ca="1">IFERROR(J48/(IF($G$2=0,(SUM(INDIRECT($E49&amp;"["&amp;$F49&amp;"]")*(INDIRECT($E49&amp;"[yr]")=(J$5-1))*(INDIRECT($E49&amp;"[wk]")=J$6))),(SUM(INDIRECT($E49&amp;"["&amp;$F49&amp;"]")*(INDIRECT($E49&amp;"[yr]")=(J$5-1))*(INDIRECT($E49&amp;"[wk]")=J$6)*(INDIRECT($E49&amp;"[siteflag]")=$G$2))))/100)-1,0)</f>
        <v>-0.24137931034482762</v>
      </c>
      <c r="K49" s="276">
        <f t="array" aca="1" ref="K49" ca="1">IFERROR(K48/(IF($G$2=0,(SUM(INDIRECT($E49&amp;"["&amp;$F49&amp;"]")*(INDIRECT($E49&amp;"[yr]")=(K$5-1))*(INDIRECT($E49&amp;"[wk]")=K$6))),(SUM(INDIRECT($E49&amp;"["&amp;$F49&amp;"]")*(INDIRECT($E49&amp;"[yr]")=(K$5-1))*(INDIRECT($E49&amp;"[wk]")=K$6)*(INDIRECT($E49&amp;"[siteflag]")=$G$2))))/100)-1,0)</f>
        <v>0.5</v>
      </c>
      <c r="L49" s="276">
        <f t="array" aca="1" ref="L49" ca="1">IFERROR(L48/(IF($G$2=0,(SUM(INDIRECT($E49&amp;"["&amp;$F49&amp;"]")*(INDIRECT($E49&amp;"[yr]")=(L$5-1))*(INDIRECT($E49&amp;"[wk]")=L$6))),(SUM(INDIRECT($E49&amp;"["&amp;$F49&amp;"]")*(INDIRECT($E49&amp;"[yr]")=(L$5-1))*(INDIRECT($E49&amp;"[wk]")=L$6)*(INDIRECT($E49&amp;"[siteflag]")=$G$2))))/100)-1,0)</f>
        <v>-0.53333333333333333</v>
      </c>
      <c r="M49" s="276">
        <f t="array" aca="1" ref="M49" ca="1">IFERROR(M48/(IF($G$2=0,(SUM(INDIRECT($E49&amp;"["&amp;$F49&amp;"]")*(INDIRECT($E49&amp;"[yr]")=(M$5-1))*(INDIRECT($E49&amp;"[wk]")=M$6))),(SUM(INDIRECT($E49&amp;"["&amp;$F49&amp;"]")*(INDIRECT($E49&amp;"[yr]")=(M$5-1))*(INDIRECT($E49&amp;"[wk]")=M$6)*(INDIRECT($E49&amp;"[siteflag]")=$G$2))))/100)-1,0)</f>
        <v>-0.5</v>
      </c>
      <c r="N49" s="276">
        <f t="array" aca="1" ref="N49" ca="1">IFERROR(N48/(IF($G$2=0,(SUM(INDIRECT($E49&amp;"["&amp;$F49&amp;"]")*(INDIRECT($E49&amp;"[yr]")=(N$5-1))*(INDIRECT($E49&amp;"[wk]")=N$6))),(SUM(INDIRECT($E49&amp;"["&amp;$F49&amp;"]")*(INDIRECT($E49&amp;"[yr]")=(N$5-1))*(INDIRECT($E49&amp;"[wk]")=N$6)*(INDIRECT($E49&amp;"[siteflag]")=$G$2))))/100)-1,0)</f>
        <v>-0.39393939393939392</v>
      </c>
      <c r="O49" s="276">
        <f t="array" aca="1" ref="O49" ca="1">IFERROR(O48/(IF($G$2=0,(SUM(INDIRECT($E49&amp;"["&amp;$F49&amp;"]")*(INDIRECT($E49&amp;"[yr]")=(O$5-1))*(INDIRECT($E49&amp;"[wk]")=O$6))),(SUM(INDIRECT($E49&amp;"["&amp;$F49&amp;"]")*(INDIRECT($E49&amp;"[yr]")=(O$5-1))*(INDIRECT($E49&amp;"[wk]")=O$6)*(INDIRECT($E49&amp;"[siteflag]")=$G$2))))/100)-1,0)</f>
        <v>-0.23913043478260865</v>
      </c>
      <c r="P49" s="277">
        <f t="array" aca="1" ref="P49" ca="1">IFERROR(P48/(IF($G$2=0,(SUM(INDIRECT($E49&amp;"["&amp;$F49&amp;"]")*(INDIRECT($E49&amp;"[yr]")=(P$5-1))*(INDIRECT($E49&amp;"[wk]")=P$6))),(SUM(INDIRECT($E49&amp;"["&amp;$F49&amp;"]")*(INDIRECT($E49&amp;"[yr]")=(P$5-1))*(INDIRECT($E49&amp;"[wk]")=P$6)*(INDIRECT($E49&amp;"[siteflag]")=$G$2))))/100)-1,0)</f>
        <v>0.89473684210526305</v>
      </c>
      <c r="Q49" s="276">
        <f t="array" aca="1" ref="Q49" ca="1">IFERROR(Q48/(IF($G$2=0,(SUM(INDIRECT($E49&amp;"["&amp;$F49&amp;"]")*(INDIRECT($E49&amp;"[yr]")=(Q$5-1))*(INDIRECT($E49&amp;"[wk]")=Q$6))),(SUM(INDIRECT($E49&amp;"["&amp;$F49&amp;"]")*(INDIRECT($E49&amp;"[yr]")=(Q$5-1))*(INDIRECT($E49&amp;"[wk]")=Q$6)*(INDIRECT($E49&amp;"[siteflag]")=$G$2))))/100)-1,0)</f>
        <v>0</v>
      </c>
      <c r="R49" s="276">
        <f t="array" aca="1" ref="R49" ca="1">IFERROR(R48/(IF($G$2=0,(SUM(INDIRECT($E49&amp;"["&amp;$F49&amp;"]")*(INDIRECT($E49&amp;"[yr]")=(R$5-1))*(INDIRECT($E49&amp;"[wk]")=R$6))),(SUM(INDIRECT($E49&amp;"["&amp;$F49&amp;"]")*(INDIRECT($E49&amp;"[yr]")=(R$5-1))*(INDIRECT($E49&amp;"[wk]")=R$6)*(INDIRECT($E49&amp;"[siteflag]")=$G$2))))/100)-1,0)</f>
        <v>-0.78723404255319152</v>
      </c>
      <c r="S49" s="278">
        <f t="array" aca="1" ref="S49" ca="1">IFERROR(S48/(IF($G$2=0,(SUM(INDIRECT($E49&amp;"["&amp;$F49&amp;"]")*(INDIRECT($E49&amp;"[yr]")=(S$5-1))*(INDIRECT($E49&amp;"[wk]")=S$6))),(SUM(INDIRECT($E49&amp;"["&amp;$F49&amp;"]")*(INDIRECT($E49&amp;"[yr]")=(S$5-1))*(INDIRECT($E49&amp;"[wk]")=S$6)*(INDIRECT($E49&amp;"[siteflag]")=$G$2))))/100)-1,0)</f>
        <v>-0.46875</v>
      </c>
      <c r="T49" s="99">
        <f ca="1">IFERROR(T48/(IF($G$2=0,(SUM(INDIRECT($E49&amp;"["&amp;$F49&amp;"]")*(INDIRECT($E49&amp;"[yr]")=(T$5-1))*(INDIRECT($E49&amp;"[wk]")=T$6))),(SUM(INDIRECT($E49&amp;"["&amp;$F49&amp;"]")*(INDIRECT($E49&amp;"[yr]")=(T$5-1))*(INDIRECT($E49&amp;"[wk]")=T$6)*(INDIRECT($E49&amp;"[siteflag]")=$G$2))))/100)-1,0)</f>
        <v>0</v>
      </c>
      <c r="U49" s="77">
        <f ca="1">SUMPRODUCT(Q48:T48,Q49:T49)/SUM(Q48:T48)</f>
        <v>-0.26401817375886527</v>
      </c>
      <c r="V49" s="91"/>
      <c r="W49" s="80"/>
      <c r="X49" s="56"/>
    </row>
    <row r="50" spans="2:24" ht="3" customHeight="1" x14ac:dyDescent="0.4">
      <c r="B50" s="329"/>
      <c r="D50" s="207"/>
      <c r="E50" s="57"/>
      <c r="F50" s="57"/>
      <c r="G50" s="57"/>
      <c r="H50" s="57"/>
      <c r="I50" s="279"/>
      <c r="J50" s="279"/>
      <c r="K50" s="279"/>
      <c r="L50" s="279"/>
      <c r="M50" s="279"/>
      <c r="N50" s="279"/>
      <c r="O50" s="279"/>
      <c r="P50" s="279"/>
      <c r="Q50" s="280"/>
      <c r="R50" s="279"/>
      <c r="S50" s="281"/>
      <c r="T50" s="281"/>
      <c r="U50" s="282"/>
      <c r="V50" s="104"/>
      <c r="W50" s="105"/>
      <c r="X50" s="104"/>
    </row>
    <row r="51" spans="2:24" ht="14.15" customHeight="1" x14ac:dyDescent="0.4">
      <c r="B51" s="329"/>
      <c r="D51" s="203" t="s">
        <v>76</v>
      </c>
      <c r="E51" t="s">
        <v>371</v>
      </c>
      <c r="F51" t="s">
        <v>77</v>
      </c>
      <c r="I51" s="92">
        <f t="array" aca="1" ref="I51" ca="1">IF(AND(I5=2013,I6=52),SUM(INDIRECT($E51&amp;"["&amp;$F51&amp;"]")*(INDIRECT($E51&amp;"[yr]")=I$5)*(INDIRECT($E51&amp;"[wk]")=I$6)*(IF($G$2=0,1,(INDIRECT($E51&amp;"[siteflag]")=$G$2))))/2,SUM(INDIRECT($E51&amp;"["&amp;$F51&amp;"]")*(INDIRECT($E51&amp;"[yr]")=I$5)*(INDIRECT($E51&amp;"[wk]")=I$6)*(IF($G$2=0,1,(INDIRECT($E51&amp;"[siteflag]")=$G$2)))))</f>
        <v>13</v>
      </c>
      <c r="J51" s="92">
        <f t="array" aca="1" ref="J51" ca="1">IF(AND(J5=2013,J6=52),SUM(INDIRECT($E51&amp;"["&amp;$F51&amp;"]")*(INDIRECT($E51&amp;"[yr]")=J$5)*(INDIRECT($E51&amp;"[wk]")=J$6)*(IF($G$2=0,1,(INDIRECT($E51&amp;"[siteflag]")=$G$2))))/2,SUM(INDIRECT($E51&amp;"["&amp;$F51&amp;"]")*(INDIRECT($E51&amp;"[yr]")=J$5)*(INDIRECT($E51&amp;"[wk]")=J$6)*(IF($G$2=0,1,(INDIRECT($E51&amp;"[siteflag]")=$G$2)))))</f>
        <v>14</v>
      </c>
      <c r="K51" s="92">
        <f t="array" aca="1" ref="K51" ca="1">IF(AND(K5=2013,K6=52),SUM(INDIRECT($E51&amp;"["&amp;$F51&amp;"]")*(INDIRECT($E51&amp;"[yr]")=K$5)*(INDIRECT($E51&amp;"[wk]")=K$6)*(IF($G$2=0,1,(INDIRECT($E51&amp;"[siteflag]")=$G$2))))/2,SUM(INDIRECT($E51&amp;"["&amp;$F51&amp;"]")*(INDIRECT($E51&amp;"[yr]")=K$5)*(INDIRECT($E51&amp;"[wk]")=K$6)*(IF($G$2=0,1,(INDIRECT($E51&amp;"[siteflag]")=$G$2)))))</f>
        <v>14</v>
      </c>
      <c r="L51" s="92">
        <f t="array" aca="1" ref="L51" ca="1">IF(AND(L5=2013,L6=52),SUM(INDIRECT($E51&amp;"["&amp;$F51&amp;"]")*(INDIRECT($E51&amp;"[yr]")=L$5)*(INDIRECT($E51&amp;"[wk]")=L$6)*(IF($G$2=0,1,(INDIRECT($E51&amp;"[siteflag]")=$G$2))))/2,SUM(INDIRECT($E51&amp;"["&amp;$F51&amp;"]")*(INDIRECT($E51&amp;"[yr]")=L$5)*(INDIRECT($E51&amp;"[wk]")=L$6)*(IF($G$2=0,1,(INDIRECT($E51&amp;"[siteflag]")=$G$2)))))</f>
        <v>14</v>
      </c>
      <c r="M51" s="92">
        <f t="array" aca="1" ref="M51" ca="1">IF(AND(M5=2013,M6=52),SUM(INDIRECT($E51&amp;"["&amp;$F51&amp;"]")*(INDIRECT($E51&amp;"[yr]")=M$5)*(INDIRECT($E51&amp;"[wk]")=M$6)*(IF($G$2=0,1,(INDIRECT($E51&amp;"[siteflag]")=$G$2))))/2,SUM(INDIRECT($E51&amp;"["&amp;$F51&amp;"]")*(INDIRECT($E51&amp;"[yr]")=M$5)*(INDIRECT($E51&amp;"[wk]")=M$6)*(IF($G$2=0,1,(INDIRECT($E51&amp;"[siteflag]")=$G$2)))))</f>
        <v>14</v>
      </c>
      <c r="N51" s="92">
        <f t="array" aca="1" ref="N51" ca="1">IF(AND(N5=2013,N6=52),SUM(INDIRECT($E51&amp;"["&amp;$F51&amp;"]")*(INDIRECT($E51&amp;"[yr]")=N$5)*(INDIRECT($E51&amp;"[wk]")=N$6)*(IF($G$2=0,1,(INDIRECT($E51&amp;"[siteflag]")=$G$2))))/2,SUM(INDIRECT($E51&amp;"["&amp;$F51&amp;"]")*(INDIRECT($E51&amp;"[yr]")=N$5)*(INDIRECT($E51&amp;"[wk]")=N$6)*(IF($G$2=0,1,(INDIRECT($E51&amp;"[siteflag]")=$G$2)))))</f>
        <v>14</v>
      </c>
      <c r="O51" s="92">
        <f t="array" aca="1" ref="O51" ca="1">IF(AND(O5=2013,O6=52),SUM(INDIRECT($E51&amp;"["&amp;$F51&amp;"]")*(INDIRECT($E51&amp;"[yr]")=O$5)*(INDIRECT($E51&amp;"[wk]")=O$6)*(IF($G$2=0,1,(INDIRECT($E51&amp;"[siteflag]")=$G$2))))/2,SUM(INDIRECT($E51&amp;"["&amp;$F51&amp;"]")*(INDIRECT($E51&amp;"[yr]")=O$5)*(INDIRECT($E51&amp;"[wk]")=O$6)*(IF($G$2=0,1,(INDIRECT($E51&amp;"[siteflag]")=$G$2)))))</f>
        <v>14</v>
      </c>
      <c r="P51" s="92">
        <f t="array" aca="1" ref="P51" ca="1">IF(AND(P5=2013,P6=52),SUM(INDIRECT($E51&amp;"["&amp;$F51&amp;"]")*(INDIRECT($E51&amp;"[yr]")=P$5)*(INDIRECT($E51&amp;"[wk]")=P$6)*(IF($G$2=0,1,(INDIRECT($E51&amp;"[siteflag]")=$G$2))))/2,SUM(INDIRECT($E51&amp;"["&amp;$F51&amp;"]")*(INDIRECT($E51&amp;"[yr]")=P$5)*(INDIRECT($E51&amp;"[wk]")=P$6)*(IF($G$2=0,1,(INDIRECT($E51&amp;"[siteflag]")=$G$2)))))</f>
        <v>14</v>
      </c>
      <c r="Q51" s="106">
        <f t="array" aca="1" ref="Q51" ca="1">IF(AND(Q5=2013,Q6=52),SUM(INDIRECT($E51&amp;"["&amp;$F51&amp;"]")*(INDIRECT($E51&amp;"[yr]")=Q$5)*(INDIRECT($E51&amp;"[wk]")=Q$6)*(IF($G$2=0,1,(INDIRECT($E51&amp;"[siteflag]")=$G$2))))/2,SUM(INDIRECT($E51&amp;"["&amp;$F51&amp;"]")*(INDIRECT($E51&amp;"[yr]")=Q$5)*(INDIRECT($E51&amp;"[wk]")=Q$6)*(IF($G$2=0,1,(INDIRECT($E51&amp;"[siteflag]")=$G$2)))))</f>
        <v>14</v>
      </c>
      <c r="R51" s="92">
        <f t="array" aca="1" ref="R51" ca="1">IF(AND(R5=2013,R6=52),SUM(INDIRECT($E51&amp;"["&amp;$F51&amp;"]")*(INDIRECT($E51&amp;"[yr]")=R$5)*(INDIRECT($E51&amp;"[wk]")=R$6)*(IF($G$2=0,1,(INDIRECT($E51&amp;"[siteflag]")=$G$2))))/2,SUM(INDIRECT($E51&amp;"["&amp;$F51&amp;"]")*(INDIRECT($E51&amp;"[yr]")=R$5)*(INDIRECT($E51&amp;"[wk]")=R$6)*(IF($G$2=0,1,(INDIRECT($E51&amp;"[siteflag]")=$G$2)))))</f>
        <v>14</v>
      </c>
      <c r="S51" s="275">
        <f t="array" aca="1" ref="S51" ca="1">IF(AND(S5=2013,S6=52),SUM(INDIRECT($E51&amp;"["&amp;$F51&amp;"]")*(INDIRECT($E51&amp;"[yr]")=S$5)*(INDIRECT($E51&amp;"[wk]")=S$6)*(IF($G$2=0,1,(INDIRECT($E51&amp;"[siteflag]")=$G$2))))/2,SUM(INDIRECT($E51&amp;"["&amp;$F51&amp;"]")*(INDIRECT($E51&amp;"[yr]")=S$5)*(INDIRECT($E51&amp;"[wk]")=S$6)*(IF($G$2=0,1,(INDIRECT($E51&amp;"[siteflag]")=$G$2)))))</f>
        <v>14</v>
      </c>
      <c r="T51" s="275">
        <f t="array" aca="1" ref="T51" ca="1">IF(AND(T5=2013,T6=52),SUM(INDIRECT($E51&amp;"["&amp;$F51&amp;"]")*(INDIRECT($E51&amp;"[yr]")=T$5)*(INDIRECT($E51&amp;"[wk]")=T$6)*(IF($G$2=0,1,(INDIRECT($E51&amp;"[siteflag]")=$G$2))))/2,SUM(INDIRECT($E51&amp;"["&amp;$F51&amp;"]")*(INDIRECT($E51&amp;"[yr]")=T$5)*(INDIRECT($E51&amp;"[wk]")=T$6)*(IF($G$2=0,1,(INDIRECT($E51&amp;"[siteflag]")=$G$2)))))</f>
        <v>14</v>
      </c>
      <c r="U51" s="92">
        <f t="array" aca="1" ref="U51" ca="1">AVERAGE(Q51:T51)</f>
        <v>14</v>
      </c>
      <c r="V51" s="49">
        <f t="array" aca="1" ref="V51" ca="1">SUM(T51/S51)-1</f>
        <v>0</v>
      </c>
      <c r="W51" s="82"/>
      <c r="X51" s="49"/>
    </row>
    <row r="52" spans="2:24" ht="14.15" customHeight="1" x14ac:dyDescent="0.4">
      <c r="B52" s="329"/>
      <c r="D52" s="204" t="s">
        <v>67</v>
      </c>
      <c r="I52" s="74">
        <f t="array" aca="1" ref="I52" ca="1">IFERROR(I51/SUM(INDIRECT($E51&amp;"["&amp;$F51&amp;"]")*(INDIRECT($E51&amp;"[yr]")=(I$5-1))*(INDIRECT($E51&amp;"[wk]")=I$6)*(IF($G$2=0,1,(INDIRECT($E51&amp;"[siteflag]")=$G$2))))-1,0)</f>
        <v>-0.1875</v>
      </c>
      <c r="J52" s="74">
        <f t="array" aca="1" ref="J52" ca="1">IFERROR(J51/SUM(INDIRECT($E51&amp;"["&amp;$F51&amp;"]")*(INDIRECT($E51&amp;"[yr]")=(J$5-1))*(INDIRECT($E51&amp;"[wk]")=J$6)*(IF($G$2=0,1,(INDIRECT($E51&amp;"[siteflag]")=$G$2))))-1,0)</f>
        <v>-0.125</v>
      </c>
      <c r="K52" s="74">
        <f t="array" aca="1" ref="K52" ca="1">IFERROR(K51/SUM(INDIRECT($E51&amp;"["&amp;$F51&amp;"]")*(INDIRECT($E51&amp;"[yr]")=(K$5-1))*(INDIRECT($E51&amp;"[wk]")=K$6)*(IF($G$2=0,1,(INDIRECT($E51&amp;"[siteflag]")=$G$2))))-1,0)</f>
        <v>-0.125</v>
      </c>
      <c r="L52" s="74">
        <f t="array" aca="1" ref="L52" ca="1">IFERROR(L51/SUM(INDIRECT($E51&amp;"["&amp;$F51&amp;"]")*(INDIRECT($E51&amp;"[yr]")=(L$5-1))*(INDIRECT($E51&amp;"[wk]")=L$6)*(IF($G$2=0,1,(INDIRECT($E51&amp;"[siteflag]")=$G$2))))-1,0)</f>
        <v>-0.125</v>
      </c>
      <c r="M52" s="74">
        <f t="array" aca="1" ref="M52" ca="1">IFERROR(M51/SUM(INDIRECT($E51&amp;"["&amp;$F51&amp;"]")*(INDIRECT($E51&amp;"[yr]")=(M$5-1))*(INDIRECT($E51&amp;"[wk]")=M$6)*(IF($G$2=0,1,(INDIRECT($E51&amp;"[siteflag]")=$G$2))))-1,0)</f>
        <v>-0.125</v>
      </c>
      <c r="N52" s="74">
        <f t="array" aca="1" ref="N52" ca="1">IFERROR(N51/SUM(INDIRECT($E51&amp;"["&amp;$F51&amp;"]")*(INDIRECT($E51&amp;"[yr]")=(N$5-1))*(INDIRECT($E51&amp;"[wk]")=N$6)*(IF($G$2=0,1,(INDIRECT($E51&amp;"[siteflag]")=$G$2))))-1,0)</f>
        <v>-6.6666666666666652E-2</v>
      </c>
      <c r="O52" s="74">
        <f t="array" aca="1" ref="O52" ca="1">IFERROR(O51/SUM(INDIRECT($E51&amp;"["&amp;$F51&amp;"]")*(INDIRECT($E51&amp;"[yr]")=(O$5-1))*(INDIRECT($E51&amp;"[wk]")=O$6)*(IF($G$2=0,1,(INDIRECT($E51&amp;"[siteflag]")=$G$2))))-1,0)</f>
        <v>0</v>
      </c>
      <c r="P52" s="74">
        <f t="array" aca="1" ref="P52" ca="1">IFERROR(P51/SUM(INDIRECT($E51&amp;"["&amp;$F51&amp;"]")*(INDIRECT($E51&amp;"[yr]")=(P$5-1))*(INDIRECT($E51&amp;"[wk]")=P$6)*(IF($G$2=0,1,(INDIRECT($E51&amp;"[siteflag]")=$G$2))))-1,0)</f>
        <v>0</v>
      </c>
      <c r="Q52" s="75">
        <f t="array" aca="1" ref="Q52" ca="1">IFERROR(Q51/SUM(INDIRECT($E51&amp;"["&amp;$F51&amp;"]")*(INDIRECT($E51&amp;"[yr]")=(Q$5-1))*(INDIRECT($E51&amp;"[wk]")=Q$6)*(IF($G$2=0,1,(INDIRECT($E51&amp;"[siteflag]")=$G$2))))-1,0)</f>
        <v>0</v>
      </c>
      <c r="R52" s="74">
        <f t="array" aca="1" ref="R52" ca="1">IFERROR(R51/SUM(INDIRECT($E51&amp;"["&amp;$F51&amp;"]")*(INDIRECT($E51&amp;"[yr]")=(R$5-1))*(INDIRECT($E51&amp;"[wk]")=R$6)*(IF($G$2=0,1,(INDIRECT($E51&amp;"[siteflag]")=$G$2))))-1,0)</f>
        <v>0</v>
      </c>
      <c r="S52" s="74">
        <f t="array" aca="1" ref="S52" ca="1">IFERROR(S51/SUM(INDIRECT($E51&amp;"["&amp;$F51&amp;"]")*(INDIRECT($E51&amp;"[yr]")=(S$5-1))*(INDIRECT($E51&amp;"[wk]")=S$6)*(IF($G$2=0,1,(INDIRECT($E51&amp;"[siteflag]")=$G$2))))-1,0)</f>
        <v>0</v>
      </c>
      <c r="T52" s="76">
        <f t="array" aca="1" ref="T52" ca="1">IFERROR(T51/(SUM(INDIRECT($E51&amp;"["&amp;$F51&amp;"]")*(INDIRECT($E51&amp;"[yr]")=(T$5-1))*(INDIRECT($E51&amp;"[wk]")=T$6)*(IF($G$2=0,1,(INDIRECT($E51&amp;"[siteflag]")=$G$2)))))-1,0)</f>
        <v>0</v>
      </c>
      <c r="U52" s="77">
        <f ca="1">AVERAGE(Q52:T52)</f>
        <v>0</v>
      </c>
      <c r="V52" s="108"/>
      <c r="W52" s="108"/>
      <c r="X52" s="56"/>
    </row>
    <row r="53" spans="2:24" ht="3" customHeight="1" x14ac:dyDescent="0.4">
      <c r="B53" s="329"/>
      <c r="D53" s="61"/>
      <c r="E53" s="57"/>
      <c r="F53" s="57"/>
      <c r="G53" s="57"/>
      <c r="H53" s="57"/>
      <c r="I53" s="109"/>
      <c r="J53" s="109"/>
      <c r="K53" s="109"/>
      <c r="L53" s="109"/>
      <c r="M53" s="109"/>
      <c r="N53" s="109"/>
      <c r="O53" s="109"/>
      <c r="P53" s="109"/>
      <c r="Q53" s="110"/>
      <c r="R53" s="109"/>
      <c r="S53" s="109"/>
      <c r="T53" s="111"/>
      <c r="U53" s="112"/>
      <c r="V53" s="113"/>
      <c r="W53" s="105"/>
      <c r="X53" s="114"/>
    </row>
    <row r="54" spans="2:24" ht="14.15" customHeight="1" x14ac:dyDescent="0.4">
      <c r="B54" s="329"/>
      <c r="D54" s="203" t="s">
        <v>78</v>
      </c>
      <c r="E54" t="s">
        <v>79</v>
      </c>
      <c r="F54" t="s">
        <v>79</v>
      </c>
      <c r="I54" s="124">
        <f t="array" aca="1" ref="I54" ca="1">SUM(INDIRECT($E54&amp;"["&amp;$F54&amp;"]")*(INDIRECT($E54&amp;"[yr]")=I$5)*(INDIRECT($E54&amp;"[wk]")=I$6)*(IF($G$2=0,1,(INDIRECT($E54&amp;"[siteflag]")=$G$2))))</f>
        <v>287.190857142857</v>
      </c>
      <c r="J54" s="124">
        <f t="array" aca="1" ref="J54" ca="1">SUM(INDIRECT($E54&amp;"["&amp;$F54&amp;"]")*(INDIRECT($E54&amp;"[yr]")=J$5)*(INDIRECT($E54&amp;"[wk]")=J$6)*(IF($G$2=0,1,(INDIRECT($E54&amp;"[siteflag]")=$G$2))))</f>
        <v>287.58028571428599</v>
      </c>
      <c r="K54" s="124">
        <f t="array" aca="1" ref="K54" ca="1">SUM(INDIRECT($E54&amp;"["&amp;$F54&amp;"]")*(INDIRECT($E54&amp;"[yr]")=K$5)*(INDIRECT($E54&amp;"[wk]")=K$6)*(IF($G$2=0,1,(INDIRECT($E54&amp;"[siteflag]")=$G$2))))</f>
        <v>286.04228571428598</v>
      </c>
      <c r="L54" s="124">
        <f t="array" aca="1" ref="L54" ca="1">SUM(INDIRECT($E54&amp;"["&amp;$F54&amp;"]")*(INDIRECT($E54&amp;"[yr]")=L$5)*(INDIRECT($E54&amp;"[wk]")=L$6)*(IF($G$2=0,1,(INDIRECT($E54&amp;"[siteflag]")=$G$2))))</f>
        <v>284.42228571428598</v>
      </c>
      <c r="M54" s="124">
        <f t="array" aca="1" ref="M54" ca="1">SUM(INDIRECT($E54&amp;"["&amp;$F54&amp;"]")*(INDIRECT($E54&amp;"[yr]")=M$5)*(INDIRECT($E54&amp;"[wk]")=M$6)*(IF($G$2=0,1,(INDIRECT($E54&amp;"[siteflag]")=$G$2))))</f>
        <v>277.89928571428601</v>
      </c>
      <c r="N54" s="124">
        <f t="array" aca="1" ref="N54" ca="1">SUM(INDIRECT($E54&amp;"["&amp;$F54&amp;"]")*(INDIRECT($E54&amp;"[yr]")=N$5)*(INDIRECT($E54&amp;"[wk]")=N$6)*(IF($G$2=0,1,(INDIRECT($E54&amp;"[siteflag]")=$G$2))))</f>
        <v>273.33557142857097</v>
      </c>
      <c r="O54" s="124">
        <f t="array" aca="1" ref="O54" ca="1">SUM(INDIRECT($E54&amp;"["&amp;$F54&amp;"]")*(INDIRECT($E54&amp;"[yr]")=O$5)*(INDIRECT($E54&amp;"[wk]")=O$6)*(IF($G$2=0,1,(INDIRECT($E54&amp;"[siteflag]")=$G$2))))</f>
        <v>271.12471428571399</v>
      </c>
      <c r="P54" s="124">
        <f t="array" aca="1" ref="P54" ca="1">SUM(INDIRECT($E54&amp;"["&amp;$F54&amp;"]")*(INDIRECT($E54&amp;"[yr]")=P$5)*(INDIRECT($E54&amp;"[wk]")=P$6)*(IF($G$2=0,1,(INDIRECT($E54&amp;"[siteflag]")=$G$2))))</f>
        <v>267.18728571428602</v>
      </c>
      <c r="Q54" s="125">
        <f t="array" aca="1" ref="Q54" ca="1">SUM(INDIRECT($E54&amp;"["&amp;$F54&amp;"]")*(INDIRECT($E54&amp;"[yr]")=Q$5)*(INDIRECT($E54&amp;"[wk]")=Q$6)*(IF($G$2=0,1,(INDIRECT($E54&amp;"[siteflag]")=$G$2))))</f>
        <v>260.39042857142897</v>
      </c>
      <c r="R54" s="124">
        <f t="array" aca="1" ref="R54" ca="1">SUM(INDIRECT($E54&amp;"["&amp;$F54&amp;"]")*(INDIRECT($E54&amp;"[yr]")=R$5)*(INDIRECT($E54&amp;"[wk]")=R$6)*(IF($G$2=0,1,(INDIRECT($E54&amp;"[siteflag]")=$G$2))))</f>
        <v>255.694285714286</v>
      </c>
      <c r="S54" s="124">
        <f t="array" aca="1" ref="S54" ca="1">SUM(INDIRECT($E54&amp;"["&amp;$F54&amp;"]")*(INDIRECT($E54&amp;"[yr]")=S$5)*(INDIRECT($E54&amp;"[wk]")=S$6)*(IF($G$2=0,1,(INDIRECT($E54&amp;"[siteflag]")=$G$2))))</f>
        <v>257.11700000000002</v>
      </c>
      <c r="T54" s="115">
        <f t="array" aca="1" ref="T54" ca="1">SUM(INDIRECT($E54&amp;"["&amp;$F54&amp;"]")*(INDIRECT($E54&amp;"[yr]")=T$5)*(INDIRECT($E54&amp;"[wk]")=T$6)*(IF($G$2=0,1,(INDIRECT($E54&amp;"[siteflag]")=$G$2))))</f>
        <v>256.77214285714297</v>
      </c>
      <c r="U54" s="116">
        <f ca="1">AVERAGE(Q54:T54)</f>
        <v>257.49346428571448</v>
      </c>
      <c r="V54" s="49">
        <f t="array" aca="1" ref="V54" ca="1">SUM(T54/S54)-1</f>
        <v>-1.3412459808455068E-3</v>
      </c>
      <c r="W54" s="73"/>
      <c r="X54" s="49"/>
    </row>
    <row r="55" spans="2:24" ht="14.15" customHeight="1" x14ac:dyDescent="0.4">
      <c r="B55" s="329"/>
      <c r="D55" s="204" t="s">
        <v>67</v>
      </c>
      <c r="I55" s="74">
        <f t="array" aca="1" ref="I55" ca="1">IFERROR(I54/SUM(INDIRECT($E54&amp;"["&amp;$F54&amp;"]")*(INDIRECT($E54&amp;"[yr]")=(I$5-1))*(INDIRECT($E54&amp;"[wk]")=I$6)*(IF($G$2=0,1,(INDIRECT($E54&amp;"[siteflag]")=$G$2))))-1,0)</f>
        <v>0.32089316877273499</v>
      </c>
      <c r="J55" s="74">
        <f t="array" aca="1" ref="J55" ca="1">IFERROR(J54/SUM(INDIRECT($E54&amp;"["&amp;$F54&amp;"]")*(INDIRECT($E54&amp;"[yr]")=(J$5-1))*(INDIRECT($E54&amp;"[wk]")=J$6)*(IF($G$2=0,1,(INDIRECT($E54&amp;"[siteflag]")=$G$2))))-1,0)</f>
        <v>0.30799339330988462</v>
      </c>
      <c r="K55" s="74">
        <f t="array" aca="1" ref="K55" ca="1">IFERROR(K54/SUM(INDIRECT($E54&amp;"["&amp;$F54&amp;"]")*(INDIRECT($E54&amp;"[yr]")=(K$5-1))*(INDIRECT($E54&amp;"[wk]")=K$6)*(IF($G$2=0,1,(INDIRECT($E54&amp;"[siteflag]")=$G$2))))-1,0)</f>
        <v>0.27102305404160054</v>
      </c>
      <c r="L55" s="74">
        <f t="array" aca="1" ref="L55" ca="1">IFERROR(L54/SUM(INDIRECT($E54&amp;"["&amp;$F54&amp;"]")*(INDIRECT($E54&amp;"[yr]")=(L$5-1))*(INDIRECT($E54&amp;"[wk]")=L$6)*(IF($G$2=0,1,(INDIRECT($E54&amp;"[siteflag]")=$G$2))))-1,0)</f>
        <v>0.24748570622973309</v>
      </c>
      <c r="M55" s="74">
        <f t="array" aca="1" ref="M55" ca="1">IFERROR(M54/SUM(INDIRECT($E54&amp;"["&amp;$F54&amp;"]")*(INDIRECT($E54&amp;"[yr]")=(M$5-1))*(INDIRECT($E54&amp;"[wk]")=M$6)*(IF($G$2=0,1,(INDIRECT($E54&amp;"[siteflag]")=$G$2))))-1,0)</f>
        <v>0.23016151563270015</v>
      </c>
      <c r="N55" s="74">
        <f t="array" aca="1" ref="N55" ca="1">IFERROR(N54/SUM(INDIRECT($E54&amp;"["&amp;$F54&amp;"]")*(INDIRECT($E54&amp;"[yr]")=(N$5-1))*(INDIRECT($E54&amp;"[wk]")=N$6)*(IF($G$2=0,1,(INDIRECT($E54&amp;"[siteflag]")=$G$2))))-1,0)</f>
        <v>0.17449520650280137</v>
      </c>
      <c r="O55" s="74">
        <f t="array" aca="1" ref="O55" ca="1">IFERROR(O54/SUM(INDIRECT($E54&amp;"["&amp;$F54&amp;"]")*(INDIRECT($E54&amp;"[yr]")=(O$5-1))*(INDIRECT($E54&amp;"[wk]")=O$6)*(IF($G$2=0,1,(INDIRECT($E54&amp;"[siteflag]")=$G$2))))-1,0)</f>
        <v>0.16698395012992306</v>
      </c>
      <c r="P55" s="74">
        <f t="array" aca="1" ref="P55" ca="1">IFERROR(P54/SUM(INDIRECT($E54&amp;"["&amp;$F54&amp;"]")*(INDIRECT($E54&amp;"[yr]")=(P$5-1))*(INDIRECT($E54&amp;"[wk]")=P$6)*(IF($G$2=0,1,(INDIRECT($E54&amp;"[siteflag]")=$G$2))))-1,0)</f>
        <v>0.17214653280931969</v>
      </c>
      <c r="Q55" s="51">
        <f t="array" aca="1" ref="Q55" ca="1">IFERROR(Q54/SUM(INDIRECT($E54&amp;"["&amp;$F54&amp;"]")*(INDIRECT($E54&amp;"[yr]")=(Q$5-1))*(INDIRECT($E54&amp;"[wk]")=Q$6)*(IF($G$2=0,1,(INDIRECT($E54&amp;"[siteflag]")=$G$2))))-1,0)</f>
        <v>0.12674282824823724</v>
      </c>
      <c r="R55" s="74">
        <f t="array" aca="1" ref="R55" ca="1">IFERROR(R54/SUM(INDIRECT($E54&amp;"["&amp;$F54&amp;"]")*(INDIRECT($E54&amp;"[yr]")=(R$5-1))*(INDIRECT($E54&amp;"[wk]")=R$6)*(IF($G$2=0,1,(INDIRECT($E54&amp;"[siteflag]")=$G$2))))-1,0)</f>
        <v>7.6411984108752051E-2</v>
      </c>
      <c r="S55" s="74">
        <f t="array" aca="1" ref="S55" ca="1">IFERROR(S54/SUM(INDIRECT($E54&amp;"["&amp;$F54&amp;"]")*(INDIRECT($E54&amp;"[yr]")=(S$5-1))*(INDIRECT($E54&amp;"[wk]")=S$6)*(IF($G$2=0,1,(INDIRECT($E54&amp;"[siteflag]")=$G$2))))-1,0)</f>
        <v>3.9313083553582873E-2</v>
      </c>
      <c r="T55" s="76">
        <f t="array" aca="1" ref="T55" ca="1">IFERROR(T54/SUM(INDIRECT($E54&amp;"["&amp;$F54&amp;"]")*(INDIRECT($E54&amp;"[yr]")=(T$5-1))*(INDIRECT($E54&amp;"[wk]")=T$6)*(IF($G$2=0,1,(INDIRECT($E54&amp;"[siteflag]")=$G$2))))-1,0)</f>
        <v>1.3327011567478397E-2</v>
      </c>
      <c r="U55" s="53">
        <f ca="1">AVERAGE(Q55:T55)</f>
        <v>6.394872686951264E-2</v>
      </c>
      <c r="V55" s="91"/>
      <c r="W55" s="80"/>
      <c r="X55" s="56"/>
    </row>
    <row r="56" spans="2:24" ht="3" customHeight="1" x14ac:dyDescent="0.4">
      <c r="B56" s="329"/>
      <c r="D56" s="61"/>
      <c r="E56" s="57"/>
      <c r="F56" s="57"/>
      <c r="G56" s="57"/>
      <c r="H56" s="57"/>
      <c r="I56" s="109"/>
      <c r="J56" s="109"/>
      <c r="K56" s="109"/>
      <c r="L56" s="109"/>
      <c r="M56" s="109"/>
      <c r="N56" s="109"/>
      <c r="O56" s="109"/>
      <c r="P56" s="109"/>
      <c r="Q56" s="110"/>
      <c r="R56" s="109"/>
      <c r="S56" s="109"/>
      <c r="T56" s="111"/>
      <c r="U56" s="112"/>
      <c r="V56" s="113"/>
      <c r="W56" s="105"/>
      <c r="X56" s="114"/>
    </row>
    <row r="57" spans="2:24" ht="14.15" customHeight="1" x14ac:dyDescent="0.4">
      <c r="B57" s="329"/>
      <c r="D57" s="203" t="s">
        <v>80</v>
      </c>
      <c r="E57" t="s">
        <v>51</v>
      </c>
      <c r="F57" t="s">
        <v>52</v>
      </c>
      <c r="I57" s="118">
        <f t="array" aca="1" ref="I57" ca="1">SUM(INDIRECT($E57&amp;"["&amp;$F57&amp;"]")*(INDIRECT($E57&amp;"[yr]")=I$5)*(INDIRECT($E57&amp;"[wk]")=I$6)*(IF($G$2=0,1,(INDIRECT($E57&amp;"[site]")=$G$2))))/1000</f>
        <v>9.5229999999999997</v>
      </c>
      <c r="J57" s="118">
        <f t="array" aca="1" ref="J57" ca="1">SUM(INDIRECT($E57&amp;"["&amp;$F57&amp;"]")*(INDIRECT($E57&amp;"[yr]")=J$5)*(INDIRECT($E57&amp;"[wk]")=J$6)*(IF($G$2=0,1,(INDIRECT($E57&amp;"[site]")=$G$2))))/1000</f>
        <v>9.59</v>
      </c>
      <c r="K57" s="118">
        <f t="array" aca="1" ref="K57" ca="1">SUM(INDIRECT($E57&amp;"["&amp;$F57&amp;"]")*(INDIRECT($E57&amp;"[yr]")=K$5)*(INDIRECT($E57&amp;"[wk]")=K$6)*(IF($G$2=0,1,(INDIRECT($E57&amp;"[site]")=$G$2))))/1000</f>
        <v>10.077999999999999</v>
      </c>
      <c r="L57" s="118">
        <f t="array" aca="1" ref="L57" ca="1">SUM(INDIRECT($E57&amp;"["&amp;$F57&amp;"]")*(INDIRECT($E57&amp;"[yr]")=L$5)*(INDIRECT($E57&amp;"[wk]")=L$6)*(IF($G$2=0,1,(INDIRECT($E57&amp;"[site]")=$G$2))))/1000</f>
        <v>9.5559999999999992</v>
      </c>
      <c r="M57" s="118">
        <f t="array" aca="1" ref="M57" ca="1">SUM(INDIRECT($E57&amp;"["&amp;$F57&amp;"]")*(INDIRECT($E57&amp;"[yr]")=M$5)*(INDIRECT($E57&amp;"[wk]")=M$6)*(IF($G$2=0,1,(INDIRECT($E57&amp;"[site]")=$G$2))))/1000</f>
        <v>9.3450000000000006</v>
      </c>
      <c r="N57" s="118">
        <f t="array" aca="1" ref="N57" ca="1">SUM(INDIRECT($E57&amp;"["&amp;$F57&amp;"]")*(INDIRECT($E57&amp;"[yr]")=N$5)*(INDIRECT($E57&amp;"[wk]")=N$6)*(IF($G$2=0,1,(INDIRECT($E57&amp;"[site]")=$G$2))))/1000</f>
        <v>9.1470000000000002</v>
      </c>
      <c r="O57" s="118">
        <f t="array" aca="1" ref="O57" ca="1">SUM(INDIRECT($E57&amp;"["&amp;$F57&amp;"]")*(INDIRECT($E57&amp;"[yr]")=O$5)*(INDIRECT($E57&amp;"[wk]")=O$6)*(IF($G$2=0,1,(INDIRECT($E57&amp;"[site]")=$G$2))))/1000</f>
        <v>10.954000000000001</v>
      </c>
      <c r="P57" s="118">
        <f t="array" aca="1" ref="P57" ca="1">SUM(INDIRECT($E57&amp;"["&amp;$F57&amp;"]")*(INDIRECT($E57&amp;"[yr]")=P$5)*(INDIRECT($E57&amp;"[wk]")=P$6)*(IF($G$2=0,1,(INDIRECT($E57&amp;"[site]")=$G$2))))/1000</f>
        <v>14.175000000000001</v>
      </c>
      <c r="Q57" s="119">
        <f t="array" aca="1" ref="Q57" ca="1">SUM(INDIRECT($E57&amp;"["&amp;$F57&amp;"]")*(INDIRECT($E57&amp;"[yr]")=Q$5)*(INDIRECT($E57&amp;"[wk]")=Q$6)*(IF($G$2=0,1,(INDIRECT($E57&amp;"[site]")=$G$2))))/1000</f>
        <v>11.962</v>
      </c>
      <c r="R57" s="118">
        <f t="array" aca="1" ref="R57" ca="1">SUM(INDIRECT($E57&amp;"["&amp;$F57&amp;"]")*(INDIRECT($E57&amp;"[yr]")=R$5)*(INDIRECT($E57&amp;"[wk]")=R$6)*(IF($G$2=0,1,(INDIRECT($E57&amp;"[site]")=$G$2))))/1000</f>
        <v>9.4280000000000008</v>
      </c>
      <c r="S57" s="118">
        <f t="array" aca="1" ref="S57" ca="1">SUM(INDIRECT($E57&amp;"["&amp;$F57&amp;"]")*(INDIRECT($E57&amp;"[yr]")=S$5)*(INDIRECT($E57&amp;"[wk]")=S$6)*(IF($G$2=0,1,(INDIRECT($E57&amp;"[site]")=$G$2))))/1000</f>
        <v>9.5310000000000006</v>
      </c>
      <c r="T57" s="120">
        <f t="array" aca="1" ref="T57" ca="1">SUM(INDIRECT($E57&amp;"["&amp;$F57&amp;"]")*(INDIRECT($E57&amp;"[yr]")=T$5)*(INDIRECT($E57&amp;"[wk]")=T$6)*(IF($G$2=0,1,(INDIRECT($E57&amp;"[site]")=$G$2))))/1000</f>
        <v>10.16</v>
      </c>
      <c r="U57" s="121">
        <f ca="1">AVERAGE(Q57:T57)</f>
        <v>10.270250000000001</v>
      </c>
      <c r="V57" s="49">
        <f t="array" aca="1" ref="V57" ca="1">SUM(T57/S57)-1</f>
        <v>6.5995173643898841E-2</v>
      </c>
      <c r="W57" s="73"/>
      <c r="X57" s="49"/>
    </row>
    <row r="58" spans="2:24" ht="14.15" customHeight="1" x14ac:dyDescent="0.4">
      <c r="B58" s="329"/>
      <c r="D58" s="204" t="s">
        <v>67</v>
      </c>
      <c r="I58" s="74">
        <f t="array" aca="1" ref="I58" ca="1">IFERROR(I57/SUM(INDIRECT($E57&amp;"["&amp;$F57&amp;"]")*(INDIRECT($E57&amp;"[yr]")=(I$5-1))*(INDIRECT($E57&amp;"[wk]")=I$6)*(IF($G$2=0,1,(INDIRECT($E57&amp;"[site]")=$G$2)))/1000)-1,0)</f>
        <v>-1.1316445182724233E-2</v>
      </c>
      <c r="J58" s="74">
        <f t="array" aca="1" ref="J58" ca="1">IFERROR(J57/SUM(INDIRECT($E57&amp;"["&amp;$F57&amp;"]")*(INDIRECT($E57&amp;"[yr]")=(J$5-1))*(INDIRECT($E57&amp;"[wk]")=J$6)*(IF($G$2=0,1,(INDIRECT($E57&amp;"[site]")=$G$2)))/1000)-1,0)</f>
        <v>0.14534814284008135</v>
      </c>
      <c r="K58" s="74">
        <f t="array" aca="1" ref="K58" ca="1">IFERROR(K57/SUM(INDIRECT($E57&amp;"["&amp;$F57&amp;"]")*(INDIRECT($E57&amp;"[yr]")=(K$5-1))*(INDIRECT($E57&amp;"[wk]")=K$6)*(IF($G$2=0,1,(INDIRECT($E57&amp;"[site]")=$G$2)))/1000)-1,0)</f>
        <v>0.32239863534969149</v>
      </c>
      <c r="L58" s="74">
        <f t="array" aca="1" ref="L58" ca="1">IFERROR(L57/SUM(INDIRECT($E57&amp;"["&amp;$F57&amp;"]")*(INDIRECT($E57&amp;"[yr]")=(L$5-1))*(INDIRECT($E57&amp;"[wk]")=L$6)*(IF($G$2=0,1,(INDIRECT($E57&amp;"[site]")=$G$2)))/1000)-1,0)</f>
        <v>1.0575296108290999E-2</v>
      </c>
      <c r="M58" s="74">
        <f t="array" aca="1" ref="M58" ca="1">IFERROR(M57/SUM(INDIRECT($E57&amp;"["&amp;$F57&amp;"]")*(INDIRECT($E57&amp;"[yr]")=(M$5-1))*(INDIRECT($E57&amp;"[wk]")=M$6)*(IF($G$2=0,1,(INDIRECT($E57&amp;"[site]")=$G$2)))/1000)-1,0)</f>
        <v>0.15856682370443842</v>
      </c>
      <c r="N58" s="74">
        <f t="array" aca="1" ref="N58" ca="1">IFERROR(N57/SUM(INDIRECT($E57&amp;"["&amp;$F57&amp;"]")*(INDIRECT($E57&amp;"[yr]")=(N$5-1))*(INDIRECT($E57&amp;"[wk]")=N$6)*(IF($G$2=0,1,(INDIRECT($E57&amp;"[site]")=$G$2)))/1000)-1,0)</f>
        <v>0.13655566600397617</v>
      </c>
      <c r="O58" s="74">
        <f t="array" aca="1" ref="O58" ca="1">IFERROR(O57/SUM(INDIRECT($E57&amp;"["&amp;$F57&amp;"]")*(INDIRECT($E57&amp;"[yr]")=(O$5-1))*(INDIRECT($E57&amp;"[wk]")=O$6)*(IF($G$2=0,1,(INDIRECT($E57&amp;"[site]")=$G$2)))/1000)-1,0)</f>
        <v>-2.1002770578246399E-2</v>
      </c>
      <c r="P58" s="74">
        <f t="array" aca="1" ref="P58" ca="1">IFERROR(P57/SUM(INDIRECT($E57&amp;"["&amp;$F57&amp;"]")*(INDIRECT($E57&amp;"[yr]")=(P$5-1))*(INDIRECT($E57&amp;"[wk]")=P$6)*(IF($G$2=0,1,(INDIRECT($E57&amp;"[site]")=$G$2)))/1000)-1,0)</f>
        <v>0.39066025703914464</v>
      </c>
      <c r="Q58" s="51">
        <f t="array" aca="1" ref="Q58" ca="1">IFERROR(Q57/SUM(INDIRECT($E57&amp;"["&amp;$F57&amp;"]")*(INDIRECT($E57&amp;"[yr]")=(Q$5-1))*(INDIRECT($E57&amp;"[wk]")=Q$6)*(IF($G$2=0,1,(INDIRECT($E57&amp;"[site]")=$G$2)))/1000)-1,0)</f>
        <v>0.25400985428241962</v>
      </c>
      <c r="R58" s="74">
        <f t="array" aca="1" ref="R58" ca="1">IFERROR(R57/SUM(INDIRECT($E57&amp;"["&amp;$F57&amp;"]")*(INDIRECT($E57&amp;"[yr]")=(R$5-1))*(INDIRECT($E57&amp;"[wk]")=R$6)*(IF($G$2=0,1,(INDIRECT($E57&amp;"[site]")=$G$2)))/1000)-1,0)</f>
        <v>-7.6048608388867067E-2</v>
      </c>
      <c r="S58" s="74">
        <f t="array" aca="1" ref="S58" ca="1">IFERROR(S57/SUM(INDIRECT($E57&amp;"["&amp;$F57&amp;"]")*(INDIRECT($E57&amp;"[yr]")=(S$5-1))*(INDIRECT($E57&amp;"[wk]")=S$6)*(IF($G$2=0,1,(INDIRECT($E57&amp;"[site]")=$G$2)))/1000)-1,0)</f>
        <v>-7.4030894782862178E-2</v>
      </c>
      <c r="T58" s="76">
        <f t="array" aca="1" ref="T58" ca="1">IFERROR(T57/SUM(INDIRECT($E57&amp;"["&amp;$F57&amp;"]")*(INDIRECT($E57&amp;"[yr]")=(T$5-1))*(INDIRECT($E57&amp;"[wk]")=T$6)*(IF($G$2=0,1,(INDIRECT($E57&amp;"[site]")=$G$2)))/1000)-1,0)</f>
        <v>-8.7804878048780566E-3</v>
      </c>
      <c r="U58" s="53">
        <f ca="1">AVERAGE(Q58:T58)</f>
        <v>2.378746582645308E-2</v>
      </c>
      <c r="V58" s="91"/>
      <c r="W58" s="80"/>
      <c r="X58" s="56"/>
    </row>
    <row r="59" spans="2:24" ht="3" customHeight="1" x14ac:dyDescent="0.4">
      <c r="B59" s="329"/>
      <c r="D59" s="61"/>
      <c r="E59" s="57"/>
      <c r="F59" s="57"/>
      <c r="G59" s="57"/>
      <c r="H59" s="57"/>
      <c r="I59" s="109"/>
      <c r="J59" s="109"/>
      <c r="K59" s="109"/>
      <c r="L59" s="109"/>
      <c r="M59" s="109"/>
      <c r="N59" s="109"/>
      <c r="O59" s="109"/>
      <c r="P59" s="109"/>
      <c r="Q59" s="110"/>
      <c r="R59" s="109"/>
      <c r="S59" s="109"/>
      <c r="T59" s="111"/>
      <c r="U59" s="112"/>
      <c r="V59" s="113"/>
      <c r="W59" s="105"/>
      <c r="X59" s="114"/>
    </row>
    <row r="60" spans="2:24" ht="14.15" customHeight="1" x14ac:dyDescent="0.4">
      <c r="B60" s="329"/>
      <c r="D60" s="203" t="s">
        <v>298</v>
      </c>
      <c r="E60" t="s">
        <v>51</v>
      </c>
      <c r="F60" t="s">
        <v>53</v>
      </c>
      <c r="I60" s="240">
        <f t="array" aca="1" ref="I60" ca="1">SUM(INDIRECT($E60&amp;"["&amp;$F60&amp;"]")*(INDIRECT($E60&amp;"[yr]")=I$5)*(INDIRECT($E60&amp;"[wk]")=I$6)*(INDIRECT($E60&amp;"[orders]")=$E$61)*(IF($G$2=0,1,(INDIRECT($E60&amp;"[site]")=$G$2))))/1000/I63</f>
        <v>0.71493547704675264</v>
      </c>
      <c r="J60" s="240">
        <f t="array" aca="1" ref="J60" ca="1">SUM(INDIRECT($E60&amp;"["&amp;$F60&amp;"]")*(INDIRECT($E60&amp;"[yr]")=J$5)*(INDIRECT($E60&amp;"[wk]")=J$6)*(INDIRECT($E60&amp;"[orders]")=$E$61)*(IF($G$2=0,1,(INDIRECT($E60&amp;"[site]")=$G$2))))/1000/J63</f>
        <v>0.69805194805194803</v>
      </c>
      <c r="K60" s="240">
        <f t="array" aca="1" ref="K60" ca="1">SUM(INDIRECT($E60&amp;"["&amp;$F60&amp;"]")*(INDIRECT($E60&amp;"[yr]")=K$5)*(INDIRECT($E60&amp;"[wk]")=K$6)*(INDIRECT($E60&amp;"[orders]")=$E$61)*(IF($G$2=0,1,(INDIRECT($E60&amp;"[site]")=$G$2))))/1000/K63</f>
        <v>0.69711778198863072</v>
      </c>
      <c r="L60" s="240">
        <f t="array" aca="1" ref="L60" ca="1">SUM(INDIRECT($E60&amp;"["&amp;$F60&amp;"]")*(INDIRECT($E60&amp;"[yr]")=L$5)*(INDIRECT($E60&amp;"[wk]")=L$6)*(INDIRECT($E60&amp;"[orders]")=$E$61)*(IF($G$2=0,1,(INDIRECT($E60&amp;"[site]")=$G$2))))/1000/L63</f>
        <v>0.71994104021899352</v>
      </c>
      <c r="M60" s="240">
        <f t="array" aca="1" ref="M60" ca="1">SUM(INDIRECT($E60&amp;"["&amp;$F60&amp;"]")*(INDIRECT($E60&amp;"[yr]")=M$5)*(INDIRECT($E60&amp;"[wk]")=M$6)*(INDIRECT($E60&amp;"[orders]")=$E$61)*(IF($G$2=0,1,(INDIRECT($E60&amp;"[site]")=$G$2))))/1000/M63</f>
        <v>0.71374784853700524</v>
      </c>
      <c r="N60" s="240">
        <f t="array" aca="1" ref="N60" ca="1">SUM(INDIRECT($E60&amp;"["&amp;$F60&amp;"]")*(INDIRECT($E60&amp;"[yr]")=N$5)*(INDIRECT($E60&amp;"[wk]")=N$6)*(INDIRECT($E60&amp;"[orders]")=$E$61)*(IF($G$2=0,1,(INDIRECT($E60&amp;"[site]")=$G$2))))/1000/N63</f>
        <v>0.7087453306965501</v>
      </c>
      <c r="O60" s="240">
        <f t="array" aca="1" ref="O60" ca="1">SUM(INDIRECT($E60&amp;"["&amp;$F60&amp;"]")*(INDIRECT($E60&amp;"[yr]")=O$5)*(INDIRECT($E60&amp;"[wk]")=O$6)*(INDIRECT($E60&amp;"[orders]")=$E$61)*(IF($G$2=0,1,(INDIRECT($E60&amp;"[site]")=$G$2))))/1000/O63</f>
        <v>0.72585841848476484</v>
      </c>
      <c r="P60" s="242">
        <f t="array" aca="1" ref="P60" ca="1">SUM(INDIRECT($E60&amp;"["&amp;$F60&amp;"]")*(INDIRECT($E60&amp;"[yr]")=P$5)*(INDIRECT($E60&amp;"[wk]")=P$6)*(INDIRECT($E60&amp;"[orders]")=$E$61)*(IF($G$2=0,1,(INDIRECT($E60&amp;"[site]")=$G$2))))/1000/P63</f>
        <v>0.73281461917338853</v>
      </c>
      <c r="Q60" s="240">
        <f t="array" aca="1" ref="Q60" ca="1">SUM(INDIRECT($E60&amp;"["&amp;$F60&amp;"]")*(INDIRECT($E60&amp;"[yr]")=Q$5)*(INDIRECT($E60&amp;"[wk]")=Q$6)*(INDIRECT($E60&amp;"[orders]")=$E$61)*(IF($G$2=0,1,(INDIRECT($E60&amp;"[site]")=$G$2))))/1000/Q63</f>
        <v>0.74446799491309879</v>
      </c>
      <c r="R60" s="240">
        <f t="array" aca="1" ref="R60" ca="1">SUM(INDIRECT($E60&amp;"["&amp;$F60&amp;"]")*(INDIRECT($E60&amp;"[yr]")=R$5)*(INDIRECT($E60&amp;"[wk]")=R$6)*(INDIRECT($E60&amp;"[orders]")=$E$61)*(IF($G$2=0,1,(INDIRECT($E60&amp;"[site]")=$G$2))))/1000/R63</f>
        <v>0.7162103901702952</v>
      </c>
      <c r="S60" s="240">
        <f t="array" aca="1" ref="S60" ca="1">SUM(INDIRECT($E60&amp;"["&amp;$F60&amp;"]")*(INDIRECT($E60&amp;"[yr]")=S$5)*(INDIRECT($E60&amp;"[wk]")=S$6)*(INDIRECT($E60&amp;"[orders]")=$E$61)*(IF($G$2=0,1,(INDIRECT($E60&amp;"[site]")=$G$2))))/1000/S63</f>
        <v>0.71703415477734544</v>
      </c>
      <c r="T60" s="241">
        <f t="array" aca="1" ref="T60" ca="1">SUM(INDIRECT($E60&amp;"["&amp;$F60&amp;"]")*(INDIRECT($E60&amp;"[yr]")=T$5)*(INDIRECT($E60&amp;"[wk]")=T$6)*(INDIRECT($E60&amp;"[orders]")=$E$61)*(IF($G$2=0,1,(INDIRECT($E60&amp;"[site]")=$G$2))))/1000/T63</f>
        <v>0.70274140752864156</v>
      </c>
      <c r="U60" s="243">
        <f ca="1">AVERAGE(Q60:T60)</f>
        <v>0.72011348684734522</v>
      </c>
      <c r="V60" s="81">
        <f t="array" aca="1" ref="V60" ca="1">SUM(T60/S60)-1</f>
        <v>-1.9933147052307532E-2</v>
      </c>
      <c r="W60" s="82"/>
      <c r="X60" s="81"/>
    </row>
    <row r="61" spans="2:24" ht="14.15" customHeight="1" x14ac:dyDescent="0.4">
      <c r="B61" s="329"/>
      <c r="D61" s="202" t="s">
        <v>67</v>
      </c>
      <c r="E61" s="40" t="s">
        <v>273</v>
      </c>
      <c r="F61" s="40"/>
      <c r="G61" s="40"/>
      <c r="H61" s="40"/>
      <c r="I61" s="50">
        <f t="array" aca="1" ref="I61" ca="1">IFERROR(I60/ (SUM(INDIRECT($E60&amp;"["&amp;$F60&amp;"]")*(INDIRECT($E60&amp;"[yr]")=(I$5-1))*(INDIRECT($E60&amp;"[wk]")=I$6)*(INDIRECT($E60&amp;"[orders]")=$E$61)*(IF($G$2=0,1,(INDIRECT($E60&amp;"[site]")=$G$2))))/
                             SUM(INDIRECT($E60&amp;"["&amp;$F60&amp;"]")*(INDIRECT($E60&amp;"[yr]")=(I$5-1))*(INDIRECT($E60&amp;"[wk]")=I$6)*(IF($G$2=0,1,(INDIRECT($E60&amp;"[site]")=$G$2)))))-1,0)</f>
        <v>2.5026053106473878E-3</v>
      </c>
      <c r="J61" s="50">
        <f t="array" aca="1" ref="J61" ca="1">IFERROR(J60/ (SUM(INDIRECT($E60&amp;"["&amp;$F60&amp;"]")*(INDIRECT($E60&amp;"[yr]")=(J$5-1))*(INDIRECT($E60&amp;"[wk]")=J$6)*(INDIRECT($E60&amp;"[orders]")=$E$61)*(IF($G$2=0,1,(INDIRECT($E60&amp;"[site]")=$G$2))))/
                             SUM(INDIRECT($E60&amp;"["&amp;$F60&amp;"]")*(INDIRECT($E60&amp;"[yr]")=(J$5-1))*(INDIRECT($E60&amp;"[wk]")=J$6)*(IF($G$2=0,1,(INDIRECT($E60&amp;"[site]")=$G$2)))))-1,0)</f>
        <v>1.3976435001539667E-2</v>
      </c>
      <c r="K61" s="50">
        <f t="array" aca="1" ref="K61" ca="1">IFERROR(K60/ (SUM(INDIRECT($E60&amp;"["&amp;$F60&amp;"]")*(INDIRECT($E60&amp;"[yr]")=(K$5-1))*(INDIRECT($E60&amp;"[wk]")=K$6)*(INDIRECT($E60&amp;"[orders]")=$E$61)*(IF($G$2=0,1,(INDIRECT($E60&amp;"[site]")=$G$2))))/
                             SUM(INDIRECT($E60&amp;"["&amp;$F60&amp;"]")*(INDIRECT($E60&amp;"[yr]")=(K$5-1))*(INDIRECT($E60&amp;"[wk]")=K$6)*(IF($G$2=0,1,(INDIRECT($E60&amp;"[site]")=$G$2)))))-1,0)</f>
        <v>7.8331362464203469E-3</v>
      </c>
      <c r="L61" s="50">
        <f t="array" aca="1" ref="L61" ca="1">IFERROR(L60/ (SUM(INDIRECT($E60&amp;"["&amp;$F60&amp;"]")*(INDIRECT($E60&amp;"[yr]")=(L$5-1))*(INDIRECT($E60&amp;"[wk]")=L$6)*(INDIRECT($E60&amp;"[orders]")=$E$61)*(IF($G$2=0,1,(INDIRECT($E60&amp;"[site]")=$G$2))))/
                             SUM(INDIRECT($E60&amp;"["&amp;$F60&amp;"]")*(INDIRECT($E60&amp;"[yr]")=(L$5-1))*(INDIRECT($E60&amp;"[wk]")=L$6)*(IF($G$2=0,1,(INDIRECT($E60&amp;"[site]")=$G$2)))))-1,0)</f>
        <v>1.7802825603184136E-2</v>
      </c>
      <c r="M61" s="50">
        <f t="array" aca="1" ref="M61" ca="1">IFERROR(M60/ (SUM(INDIRECT($E60&amp;"["&amp;$F60&amp;"]")*(INDIRECT($E60&amp;"[yr]")=(M$5-1))*(INDIRECT($E60&amp;"[wk]")=M$6)*(INDIRECT($E60&amp;"[orders]")=$E$61)*(IF($G$2=0,1,(INDIRECT($E60&amp;"[site]")=$G$2))))/
                             SUM(INDIRECT($E60&amp;"["&amp;$F60&amp;"]")*(INDIRECT($E60&amp;"[yr]")=(M$5-1))*(INDIRECT($E60&amp;"[wk]")=M$6)*(IF($G$2=0,1,(INDIRECT($E60&amp;"[site]")=$G$2)))))-1,0)</f>
        <v>3.4882771712819727E-2</v>
      </c>
      <c r="N61" s="50">
        <f t="array" aca="1" ref="N61" ca="1">IFERROR(N60/ (SUM(INDIRECT($E60&amp;"["&amp;$F60&amp;"]")*(INDIRECT($E60&amp;"[yr]")=(N$5-1))*(INDIRECT($E60&amp;"[wk]")=N$6)*(INDIRECT($E60&amp;"[orders]")=$E$61)*(IF($G$2=0,1,(INDIRECT($E60&amp;"[site]")=$G$2))))/
                             SUM(INDIRECT($E60&amp;"["&amp;$F60&amp;"]")*(INDIRECT($E60&amp;"[yr]")=(N$5-1))*(INDIRECT($E60&amp;"[wk]")=N$6)*(IF($G$2=0,1,(INDIRECT($E60&amp;"[site]")=$G$2)))))-1,0)</f>
        <v>8.0129521173786245E-3</v>
      </c>
      <c r="O61" s="50">
        <f t="array" aca="1" ref="O61" ca="1">IFERROR(O60/ (SUM(INDIRECT($E60&amp;"["&amp;$F60&amp;"]")*(INDIRECT($E60&amp;"[yr]")=(O$5-1))*(INDIRECT($E60&amp;"[wk]")=O$6)*(INDIRECT($E60&amp;"[orders]")=$E$61)*(IF($G$2=0,1,(INDIRECT($E60&amp;"[site]")=$G$2))))/
                             SUM(INDIRECT($E60&amp;"["&amp;$F60&amp;"]")*(INDIRECT($E60&amp;"[yr]")=(O$5-1))*(INDIRECT($E60&amp;"[wk]")=O$6)*(IF($G$2=0,1,(INDIRECT($E60&amp;"[site]")=$G$2)))))-1,0)</f>
        <v>3.9027051250344336E-2</v>
      </c>
      <c r="P61" s="54">
        <f t="array" aca="1" ref="P61" ca="1">IFERROR(P60/ (SUM(INDIRECT($E60&amp;"["&amp;$F60&amp;"]")*(INDIRECT($E60&amp;"[yr]")=(P$5-1))*(INDIRECT($E60&amp;"[wk]")=P$6)*(INDIRECT($E60&amp;"[orders]")=$E$61)*(IF($G$2=0,1,(INDIRECT($E60&amp;"[site]")=$G$2))))/
                             SUM(INDIRECT($E60&amp;"["&amp;$F60&amp;"]")*(INDIRECT($E60&amp;"[yr]")=(P$5-1))*(INDIRECT($E60&amp;"[wk]")=P$6)*(IF($G$2=0,1,(INDIRECT($E60&amp;"[site]")=$G$2)))))-1,0)</f>
        <v>5.9542596288454597E-2</v>
      </c>
      <c r="Q61" s="50">
        <f t="array" aca="1" ref="Q61" ca="1">IFERROR(Q60/ (SUM(INDIRECT($E60&amp;"["&amp;$F60&amp;"]")*(INDIRECT($E60&amp;"[yr]")=(Q$5-1))*(INDIRECT($E60&amp;"[wk]")=Q$6)*(INDIRECT($E60&amp;"[orders]")=$E$61)*(IF($G$2=0,1,(INDIRECT($E60&amp;"[site]")=$G$2))))/
                             SUM(INDIRECT($E60&amp;"["&amp;$F60&amp;"]")*(INDIRECT($E60&amp;"[yr]")=(Q$5-1))*(INDIRECT($E60&amp;"[wk]")=Q$6)*(IF($G$2=0,1,(INDIRECT($E60&amp;"[site]")=$G$2)))))-1,0)</f>
        <v>7.0299448662508146E-2</v>
      </c>
      <c r="R61" s="50">
        <f t="array" aca="1" ref="R61" ca="1">IFERROR(R60/ (SUM(INDIRECT($E60&amp;"["&amp;$F60&amp;"]")*(INDIRECT($E60&amp;"[yr]")=(R$5-1))*(INDIRECT($E60&amp;"[wk]")=R$6)*(INDIRECT($E60&amp;"[orders]")=$E$61)*(IF($G$2=0,1,(INDIRECT($E60&amp;"[site]")=$G$2))))/
                             SUM(INDIRECT($E60&amp;"["&amp;$F60&amp;"]")*(INDIRECT($E60&amp;"[yr]")=(R$5-1))*(INDIRECT($E60&amp;"[wk]")=R$6)*(IF($G$2=0,1,(INDIRECT($E60&amp;"[site]")=$G$2)))))-1,0)</f>
        <v>4.8714522014994044E-2</v>
      </c>
      <c r="S61" s="50">
        <f t="array" aca="1" ref="S61" ca="1">IFERROR(S60/ (SUM(INDIRECT($E60&amp;"["&amp;$F60&amp;"]")*(INDIRECT($E60&amp;"[yr]")=(S$5-1))*(INDIRECT($E60&amp;"[wk]")=S$6)*(INDIRECT($E60&amp;"[orders]")=$E$61)*(IF($G$2=0,1,(INDIRECT($E60&amp;"[site]")=$G$2))))/
                             SUM(INDIRECT($E60&amp;"["&amp;$F60&amp;"]")*(INDIRECT($E60&amp;"[yr]")=(S$5-1))*(INDIRECT($E60&amp;"[wk]")=S$6)*(IF($G$2=0,1,(INDIRECT($E60&amp;"[site]")=$G$2)))))-1,0)</f>
        <v>2.0720380352581724E-2</v>
      </c>
      <c r="T61" s="52">
        <f t="array" aca="1" ref="T61" ca="1">IFERROR(T60/ (SUM(INDIRECT($E60&amp;"["&amp;$F60&amp;"]")*(INDIRECT($E60&amp;"[yr]")=(T$5-1))*(INDIRECT($E60&amp;"[wk]")=T$6)*(INDIRECT($E60&amp;"[orders]")=$E$61)*(IF($G$2=0,1,(INDIRECT($E60&amp;"[site]")=$G$2))))/
                             SUM(INDIRECT($E60&amp;"["&amp;$F60&amp;"]")*(INDIRECT($E60&amp;"[yr]")=(T$5-1))*(INDIRECT($E60&amp;"[wk]")=T$6)*(IF($G$2=0,1,(INDIRECT($E60&amp;"[site]")=$G$2)))))-1,0)</f>
        <v>1.3922814057653943E-2</v>
      </c>
      <c r="U61" s="53">
        <f ca="1">AVERAGE(Q61:T61)</f>
        <v>3.8414291271934464E-2</v>
      </c>
      <c r="V61" s="54"/>
      <c r="W61" s="55"/>
      <c r="X61" s="56"/>
    </row>
    <row r="62" spans="2:24" ht="3" customHeight="1" x14ac:dyDescent="0.4">
      <c r="B62" s="329"/>
      <c r="D62" s="61"/>
      <c r="E62" s="57"/>
      <c r="F62" s="57"/>
      <c r="G62" s="57"/>
      <c r="H62" s="57"/>
      <c r="I62" s="109"/>
      <c r="J62" s="109"/>
      <c r="K62" s="109"/>
      <c r="L62" s="109"/>
      <c r="M62" s="109"/>
      <c r="N62" s="109"/>
      <c r="O62" s="109"/>
      <c r="P62" s="109"/>
      <c r="Q62" s="110"/>
      <c r="R62" s="109"/>
      <c r="S62" s="109"/>
      <c r="T62" s="111"/>
      <c r="U62" s="112"/>
      <c r="V62" s="228"/>
      <c r="W62" s="62"/>
      <c r="X62" s="61"/>
    </row>
    <row r="63" spans="2:24" ht="14.15" customHeight="1" x14ac:dyDescent="0.4">
      <c r="B63" s="329"/>
      <c r="D63" s="203" t="s">
        <v>81</v>
      </c>
      <c r="E63" t="s">
        <v>51</v>
      </c>
      <c r="F63" t="s">
        <v>53</v>
      </c>
      <c r="I63" s="117">
        <f t="array" aca="1" ref="I63" ca="1">SUM(INDIRECT($E63&amp;"["&amp;$F63&amp;"]")*(INDIRECT($E63&amp;"[yr]")=I$5)*(INDIRECT($E63&amp;"[wk]")=I$6)*(IF($G$2=0,1,(INDIRECT($E63&amp;"[site]")=$G$2))))/1000</f>
        <v>9.4540000000000006</v>
      </c>
      <c r="J63" s="118">
        <f t="array" aca="1" ref="J63" ca="1">SUM(INDIRECT($E63&amp;"["&amp;$F63&amp;"]")*(INDIRECT($E63&amp;"[yr]")=J$5)*(INDIRECT($E63&amp;"[wk]")=J$6)*(IF($G$2=0,1,(INDIRECT($E63&amp;"[site]")=$G$2))))/1000</f>
        <v>9.548</v>
      </c>
      <c r="K63" s="118">
        <f t="array" aca="1" ref="K63" ca="1">SUM(INDIRECT($E63&amp;"["&amp;$F63&amp;"]")*(INDIRECT($E63&amp;"[yr]")=K$5)*(INDIRECT($E63&amp;"[wk]")=K$6)*(IF($G$2=0,1,(INDIRECT($E63&amp;"[site]")=$G$2))))/1000</f>
        <v>10.026999999999999</v>
      </c>
      <c r="L63" s="118">
        <f t="array" aca="1" ref="L63" ca="1">SUM(INDIRECT($E63&amp;"["&amp;$F63&amp;"]")*(INDIRECT($E63&amp;"[yr]")=L$5)*(INDIRECT($E63&amp;"[wk]")=L$6)*(IF($G$2=0,1,(INDIRECT($E63&amp;"[site]")=$G$2))))/1000</f>
        <v>9.4979999999999993</v>
      </c>
      <c r="M63" s="118">
        <f t="array" aca="1" ref="M63" ca="1">SUM(INDIRECT($E63&amp;"["&amp;$F63&amp;"]")*(INDIRECT($E63&amp;"[yr]")=M$5)*(INDIRECT($E63&amp;"[wk]")=M$6)*(IF($G$2=0,1,(INDIRECT($E63&amp;"[site]")=$G$2))))/1000</f>
        <v>9.2959999999999994</v>
      </c>
      <c r="N63" s="118">
        <f t="array" aca="1" ref="N63" ca="1">SUM(INDIRECT($E63&amp;"["&amp;$F63&amp;"]")*(INDIRECT($E63&amp;"[yr]")=N$5)*(INDIRECT($E63&amp;"[wk]")=N$6)*(IF($G$2=0,1,(INDIRECT($E63&amp;"[site]")=$G$2))))/1000</f>
        <v>9.1020000000000003</v>
      </c>
      <c r="O63" s="118">
        <f t="array" aca="1" ref="O63" ca="1">SUM(INDIRECT($E63&amp;"["&amp;$F63&amp;"]")*(INDIRECT($E63&amp;"[yr]")=O$5)*(INDIRECT($E63&amp;"[wk]")=O$6)*(IF($G$2=0,1,(INDIRECT($E63&amp;"[site]")=$G$2))))/1000</f>
        <v>10.863</v>
      </c>
      <c r="P63" s="118">
        <f t="array" aca="1" ref="P63" ca="1">SUM(INDIRECT($E63&amp;"["&amp;$F63&amp;"]")*(INDIRECT($E63&amp;"[yr]")=P$5)*(INDIRECT($E63&amp;"[wk]")=P$6)*(IF($G$2=0,1,(INDIRECT($E63&amp;"[site]")=$G$2))))/1000</f>
        <v>14.009</v>
      </c>
      <c r="Q63" s="119">
        <f t="array" aca="1" ref="Q63" ca="1">SUM(INDIRECT($E63&amp;"["&amp;$F63&amp;"]")*(INDIRECT($E63&amp;"[yr]")=Q$5)*(INDIRECT($E63&amp;"[wk]")=Q$6)*(IF($G$2=0,1,(INDIRECT($E63&amp;"[site]")=$G$2))))/1000</f>
        <v>11.795</v>
      </c>
      <c r="R63" s="118">
        <f t="array" aca="1" ref="R63" ca="1">SUM(INDIRECT($E63&amp;"["&amp;$F63&amp;"]")*(INDIRECT($E63&amp;"[yr]")=R$5)*(INDIRECT($E63&amp;"[wk]")=R$6)*(IF($G$2=0,1,(INDIRECT($E63&amp;"[site]")=$G$2))))/1000</f>
        <v>9.2780000000000005</v>
      </c>
      <c r="S63" s="118">
        <f t="array" aca="1" ref="S63" ca="1">SUM(INDIRECT($E63&amp;"["&amp;$F63&amp;"]")*(INDIRECT($E63&amp;"[yr]")=S$5)*(INDIRECT($E63&amp;"[wk]")=S$6)*(IF($G$2=0,1,(INDIRECT($E63&amp;"[site]")=$G$2))))/1000</f>
        <v>9.2520000000000007</v>
      </c>
      <c r="T63" s="120">
        <f t="array" aca="1" ref="T63" ca="1">SUM(INDIRECT($E63&amp;"["&amp;$F63&amp;"]")*(INDIRECT($E63&amp;"[yr]")=T$5)*(INDIRECT($E63&amp;"[wk]")=T$6)*(IF($G$2=0,1,(INDIRECT($E63&amp;"[site]")=$G$2))))/1000</f>
        <v>9.7759999999999998</v>
      </c>
      <c r="U63" s="121">
        <f ca="1">AVERAGE(Q63:T63)</f>
        <v>10.02525</v>
      </c>
      <c r="V63" s="81">
        <f t="array" aca="1" ref="V63" ca="1">SUM(T63/S63)-1</f>
        <v>5.6636402939904684E-2</v>
      </c>
      <c r="W63" s="82"/>
      <c r="X63" s="81"/>
    </row>
    <row r="64" spans="2:24" ht="14.15" customHeight="1" x14ac:dyDescent="0.4">
      <c r="B64" s="330"/>
      <c r="D64" s="204" t="s">
        <v>67</v>
      </c>
      <c r="I64" s="74">
        <f t="array" aca="1" ref="I64" ca="1">IFERROR(I63/SUM(INDIRECT($E63&amp;"["&amp;$F63&amp;"]")*(INDIRECT($E63&amp;"[yr]")=(I$5-1))*(INDIRECT($E63&amp;"[wk]")=I$6)*(IF($G$2=0,1,(INDIRECT($E63&amp;"[site]")=$G$2)))/1000)-1,0)</f>
        <v>-1.1708132970938756E-2</v>
      </c>
      <c r="J64" s="74">
        <f t="array" aca="1" ref="J64" ca="1">IFERROR(J63/SUM(INDIRECT($E63&amp;"["&amp;$F63&amp;"]")*(INDIRECT($E63&amp;"[yr]")=(J$5-1))*(INDIRECT($E63&amp;"[wk]")=J$6)*(IF($G$2=0,1,(INDIRECT($E63&amp;"[site]")=$G$2)))/1000)-1,0)</f>
        <v>0.14594335093614963</v>
      </c>
      <c r="K64" s="74">
        <f t="array" aca="1" ref="K64" ca="1">IFERROR(K63/SUM(INDIRECT($E63&amp;"["&amp;$F63&amp;"]")*(INDIRECT($E63&amp;"[yr]")=(K$5-1))*(INDIRECT($E63&amp;"[wk]")=K$6)*(IF($G$2=0,1,(INDIRECT($E63&amp;"[site]")=$G$2)))/1000)-1,0)</f>
        <v>0.32108036890645586</v>
      </c>
      <c r="L64" s="74">
        <f t="array" aca="1" ref="L64" ca="1">IFERROR(L63/SUM(INDIRECT($E63&amp;"["&amp;$F63&amp;"]")*(INDIRECT($E63&amp;"[yr]")=(L$5-1))*(INDIRECT($E63&amp;"[wk]")=L$6)*(IF($G$2=0,1,(INDIRECT($E63&amp;"[site]")=$G$2)))/1000)-1,0)</f>
        <v>1.1501597444089295E-2</v>
      </c>
      <c r="M64" s="74">
        <f t="array" aca="1" ref="M64" ca="1">IFERROR(M63/SUM(INDIRECT($E63&amp;"["&amp;$F63&amp;"]")*(INDIRECT($E63&amp;"[yr]")=(M$5-1))*(INDIRECT($E63&amp;"[wk]")=M$6)*(IF($G$2=0,1,(INDIRECT($E63&amp;"[site]")=$G$2)))/1000)-1,0)</f>
        <v>0.1589577359431491</v>
      </c>
      <c r="N64" s="74">
        <f t="array" aca="1" ref="N64" ca="1">IFERROR(N63/SUM(INDIRECT($E63&amp;"["&amp;$F63&amp;"]")*(INDIRECT($E63&amp;"[yr]")=(N$5-1))*(INDIRECT($E63&amp;"[wk]")=N$6)*(IF($G$2=0,1,(INDIRECT($E63&amp;"[site]")=$G$2)))/1000)-1,0)</f>
        <v>0.13732350368611779</v>
      </c>
      <c r="O64" s="74">
        <f t="array" aca="1" ref="O64" ca="1">IFERROR(O63/SUM(INDIRECT($E63&amp;"["&amp;$F63&amp;"]")*(INDIRECT($E63&amp;"[yr]")=(O$5-1))*(INDIRECT($E63&amp;"[wk]")=O$6)*(IF($G$2=0,1,(INDIRECT($E63&amp;"[site]")=$G$2)))/1000)-1,0)</f>
        <v>-2.117498648405125E-2</v>
      </c>
      <c r="P64" s="74">
        <f t="array" aca="1" ref="P64" ca="1">IFERROR(P63/SUM(INDIRECT($E63&amp;"["&amp;$F63&amp;"]")*(INDIRECT($E63&amp;"[yr]")=(P$5-1))*(INDIRECT($E63&amp;"[wk]")=P$6)*(IF($G$2=0,1,(INDIRECT($E63&amp;"[site]")=$G$2)))/1000)-1,0)</f>
        <v>0.38060510495713018</v>
      </c>
      <c r="Q64" s="51">
        <f t="array" aca="1" ref="Q64" ca="1">IFERROR(Q63/SUM(INDIRECT($E63&amp;"["&amp;$F63&amp;"]")*(INDIRECT($E63&amp;"[yr]")=(Q$5-1))*(INDIRECT($E63&amp;"[wk]")=Q$6)*(IF($G$2=0,1,(INDIRECT($E63&amp;"[site]")=$G$2)))/1000)-1,0)</f>
        <v>0.24118699358097451</v>
      </c>
      <c r="R64" s="74">
        <f t="array" aca="1" ref="R64" ca="1">IFERROR(R63/SUM(INDIRECT($E63&amp;"["&amp;$F63&amp;"]")*(INDIRECT($E63&amp;"[yr]")=(R$5-1))*(INDIRECT($E63&amp;"[wk]")=R$6)*(IF($G$2=0,1,(INDIRECT($E63&amp;"[site]")=$G$2)))/1000)-1,0)</f>
        <v>-8.6721133969878794E-2</v>
      </c>
      <c r="S64" s="74">
        <f t="array" aca="1" ref="S64" ca="1">IFERROR(S63/SUM(INDIRECT($E63&amp;"["&amp;$F63&amp;"]")*(INDIRECT($E63&amp;"[yr]")=(S$5-1))*(INDIRECT($E63&amp;"[wk]")=S$6)*(IF($G$2=0,1,(INDIRECT($E63&amp;"[site]")=$G$2)))/1000)-1,0)</f>
        <v>-9.7189695550351174E-2</v>
      </c>
      <c r="T64" s="76">
        <f t="array" aca="1" ref="T64" ca="1">IFERROR(T63/SUM(INDIRECT($E63&amp;"["&amp;$F63&amp;"]")*(INDIRECT($E63&amp;"[yr]")=(T$5-1))*(INDIRECT($E63&amp;"[wk]")=T$6)*(IF($G$2=0,1,(INDIRECT($E63&amp;"[site]")=$G$2)))/1000)-1,0)</f>
        <v>-4.2038216560509545E-2</v>
      </c>
      <c r="U64" s="53">
        <f ca="1">AVERAGE(Q64:T64)</f>
        <v>3.8094868750587485E-3</v>
      </c>
      <c r="V64" s="91"/>
      <c r="W64" s="80"/>
      <c r="X64" s="56"/>
    </row>
    <row r="65" spans="2:24" ht="3" customHeight="1" x14ac:dyDescent="0.4">
      <c r="B65" s="122"/>
      <c r="D65" s="61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61"/>
      <c r="Q65" s="57"/>
      <c r="R65" s="57"/>
      <c r="S65" s="149"/>
      <c r="T65" s="59"/>
      <c r="U65" s="61"/>
      <c r="V65" s="114"/>
      <c r="W65" s="62"/>
      <c r="X65" s="57"/>
    </row>
    <row r="66" spans="2:24" ht="14.15" customHeight="1" x14ac:dyDescent="0.4">
      <c r="B66" s="328" t="s">
        <v>92</v>
      </c>
      <c r="D66" s="203" t="s">
        <v>93</v>
      </c>
      <c r="E66" t="s">
        <v>94</v>
      </c>
      <c r="F66" t="s">
        <v>95</v>
      </c>
      <c r="I66" s="126">
        <f t="array" aca="1" ref="I66" ca="1">SUM(INDIRECT($E66&amp;"["&amp;$F66&amp;"]")*(INDIRECT($E66&amp;"[yr]")=I$5)*(INDIRECT($E66&amp;"[wk]")=I$6)/1000*(IF($G$2=0,1,(INDIRECT($E66&amp;"[siteflag]")=$G$2))))</f>
        <v>15.872999999999999</v>
      </c>
      <c r="J66" s="126">
        <f t="array" aca="1" ref="J66" ca="1">SUM(INDIRECT($E66&amp;"["&amp;$F66&amp;"]")*(INDIRECT($E66&amp;"[yr]")=J$5)*(INDIRECT($E66&amp;"[wk]")=J$6)/1000*(IF($G$2=0,1,(INDIRECT($E66&amp;"[siteflag]")=$G$2))))</f>
        <v>16.385000000000002</v>
      </c>
      <c r="K66" s="126">
        <f t="array" aca="1" ref="K66" ca="1">SUM(INDIRECT($E66&amp;"["&amp;$F66&amp;"]")*(INDIRECT($E66&amp;"[yr]")=K$5)*(INDIRECT($E66&amp;"[wk]")=K$6)/1000*(IF($G$2=0,1,(INDIRECT($E66&amp;"[siteflag]")=$G$2))))</f>
        <v>17.120999999999999</v>
      </c>
      <c r="L66" s="126">
        <f t="array" aca="1" ref="L66" ca="1">SUM(INDIRECT($E66&amp;"["&amp;$F66&amp;"]")*(INDIRECT($E66&amp;"[yr]")=L$5)*(INDIRECT($E66&amp;"[wk]")=L$6)/1000*(IF($G$2=0,1,(INDIRECT($E66&amp;"[siteflag]")=$G$2))))</f>
        <v>15.673999999999999</v>
      </c>
      <c r="M66" s="126">
        <f t="array" aca="1" ref="M66" ca="1">SUM(INDIRECT($E66&amp;"["&amp;$F66&amp;"]")*(INDIRECT($E66&amp;"[yr]")=M$5)*(INDIRECT($E66&amp;"[wk]")=M$6)/1000*(IF($G$2=0,1,(INDIRECT($E66&amp;"[siteflag]")=$G$2))))</f>
        <v>15.694000000000001</v>
      </c>
      <c r="N66" s="126">
        <f t="array" aca="1" ref="N66" ca="1">SUM(INDIRECT($E66&amp;"["&amp;$F66&amp;"]")*(INDIRECT($E66&amp;"[yr]")=N$5)*(INDIRECT($E66&amp;"[wk]")=N$6)/1000*(IF($G$2=0,1,(INDIRECT($E66&amp;"[siteflag]")=$G$2))))</f>
        <v>15.832000000000001</v>
      </c>
      <c r="O66" s="126">
        <f t="array" aca="1" ref="O66" ca="1">SUM(INDIRECT($E66&amp;"["&amp;$F66&amp;"]")*(INDIRECT($E66&amp;"[yr]")=O$5)*(INDIRECT($E66&amp;"[wk]")=O$6)/1000*(IF($G$2=0,1,(INDIRECT($E66&amp;"[siteflag]")=$G$2))))</f>
        <v>18.074999999999999</v>
      </c>
      <c r="P66" s="147">
        <f t="array" aca="1" ref="P66" ca="1">SUM(INDIRECT($E66&amp;"["&amp;$F66&amp;"]")*(INDIRECT($E66&amp;"[yr]")=P$5)*(INDIRECT($E66&amp;"[wk]")=P$6)/1000*(IF($G$2=0,1,(INDIRECT($E66&amp;"[siteflag]")=$G$2))))</f>
        <v>24.521000000000001</v>
      </c>
      <c r="Q66" s="126">
        <f t="array" aca="1" ref="Q66" ca="1">SUM(INDIRECT($E66&amp;"["&amp;$F66&amp;"]")*(INDIRECT($E66&amp;"[yr]")=Q$5)*(INDIRECT($E66&amp;"[wk]")=Q$6)/1000*(IF($G$2=0,1,(INDIRECT($E66&amp;"[siteflag]")=$G$2))))</f>
        <v>20.847999999999999</v>
      </c>
      <c r="R66" s="126">
        <f t="array" aca="1" ref="R66" ca="1">SUM(INDIRECT($E66&amp;"["&amp;$F66&amp;"]")*(INDIRECT($E66&amp;"[yr]")=R$5)*(INDIRECT($E66&amp;"[wk]")=R$6)/1000*(IF($G$2=0,1,(INDIRECT($E66&amp;"[siteflag]")=$G$2))))</f>
        <v>15.894</v>
      </c>
      <c r="S66" s="148">
        <f t="array" aca="1" ref="S66" ca="1">SUM(INDIRECT($E66&amp;"["&amp;$F66&amp;"]")*(INDIRECT($E66&amp;"[yr]")=S$5)*(INDIRECT($E66&amp;"[wk]")=S$6)/1000*(IF($G$2=0,1,(INDIRECT($E66&amp;"[siteflag]")=$G$2))))</f>
        <v>15.792</v>
      </c>
      <c r="T66" s="120">
        <f t="array" aca="1" ref="T66" ca="1">SUM(INDIRECT($E66&amp;"["&amp;$F66&amp;"]")*(INDIRECT($E66&amp;"[yr]")=T$5)*(INDIRECT($E66&amp;"[wk]")=T$6)/1000*(IF($G$2=0,1,(INDIRECT($E66&amp;"[siteflag]")=$G$2))))</f>
        <v>16.585999999999999</v>
      </c>
      <c r="U66" s="150">
        <f ca="1">SUM(Q66:T66)</f>
        <v>69.12</v>
      </c>
      <c r="V66" s="49">
        <f t="array" aca="1" ref="V66" ca="1">SUM(T66/S66)-1</f>
        <v>5.0278622087132741E-2</v>
      </c>
      <c r="W66" s="127"/>
      <c r="X66" s="49"/>
    </row>
    <row r="67" spans="2:24" ht="14.15" customHeight="1" x14ac:dyDescent="0.4">
      <c r="B67" s="329"/>
      <c r="D67" s="204" t="s">
        <v>67</v>
      </c>
      <c r="I67" s="74">
        <f t="array" aca="1" ref="I67" ca="1">IFERROR(I66/SUM(INDIRECT($E66&amp;"["&amp;$F66&amp;"]")*(INDIRECT($E66&amp;"[yr]")=(I$5-1))*(INDIRECT($E66&amp;"[wk]")=I$6)*(IF($G$2=0,1,(INDIRECT($E66&amp;"[siteflag]")=$G$2)))/1000)-1,0)</f>
        <v>-0.10332165856965325</v>
      </c>
      <c r="J67" s="74">
        <f t="array" aca="1" ref="J67" ca="1">IFERROR(J66/SUM(INDIRECT($E66&amp;"["&amp;$F66&amp;"]")*(INDIRECT($E66&amp;"[yr]")=(J$5-1))*(INDIRECT($E66&amp;"[wk]")=J$6)*(IF($G$2=0,1,(INDIRECT($E66&amp;"[siteflag]")=$G$2)))/1000)-1,0)</f>
        <v>0.10634706279540862</v>
      </c>
      <c r="K67" s="74">
        <f t="array" aca="1" ref="K67" ca="1">IFERROR(K66/SUM(INDIRECT($E66&amp;"["&amp;$F66&amp;"]")*(INDIRECT($E66&amp;"[yr]")=(K$5-1))*(INDIRECT($E66&amp;"[wk]")=K$6)*(IF($G$2=0,1,(INDIRECT($E66&amp;"[siteflag]")=$G$2)))/1000)-1,0)</f>
        <v>0.31376611418047862</v>
      </c>
      <c r="L67" s="74">
        <f t="array" aca="1" ref="L67" ca="1">IFERROR(L66/SUM(INDIRECT($E66&amp;"["&amp;$F66&amp;"]")*(INDIRECT($E66&amp;"[yr]")=(L$5-1))*(INDIRECT($E66&amp;"[wk]")=L$6)*(IF($G$2=0,1,(INDIRECT($E66&amp;"[siteflag]")=$G$2)))/1000)-1,0)</f>
        <v>-2.7968992248062041E-2</v>
      </c>
      <c r="M67" s="74">
        <f t="array" aca="1" ref="M67" ca="1">IFERROR(M66/SUM(INDIRECT($E66&amp;"["&amp;$F66&amp;"]")*(INDIRECT($E66&amp;"[yr]")=(M$5-1))*(INDIRECT($E66&amp;"[wk]")=M$6)*(IF($G$2=0,1,(INDIRECT($E66&amp;"[siteflag]")=$G$2)))/1000)-1,0)</f>
        <v>0.10614603890611796</v>
      </c>
      <c r="N67" s="74">
        <f t="array" aca="1" ref="N67" ca="1">IFERROR(N66/SUM(INDIRECT($E66&amp;"["&amp;$F66&amp;"]")*(INDIRECT($E66&amp;"[yr]")=(N$5-1))*(INDIRECT($E66&amp;"[wk]")=N$6)*(IF($G$2=0,1,(INDIRECT($E66&amp;"[siteflag]")=$G$2)))/1000)-1,0)</f>
        <v>0.14641564083997105</v>
      </c>
      <c r="O67" s="74">
        <f t="array" aca="1" ref="O67" ca="1">IFERROR(O66/SUM(INDIRECT($E66&amp;"["&amp;$F66&amp;"]")*(INDIRECT($E66&amp;"[yr]")=(O$5-1))*(INDIRECT($E66&amp;"[wk]")=O$6)*(IF($G$2=0,1,(INDIRECT($E66&amp;"[siteflag]")=$G$2)))/1000)-1,0)</f>
        <v>-7.2648914883792548E-2</v>
      </c>
      <c r="P67" s="54">
        <f t="array" aca="1" ref="P67" ca="1">IFERROR(P66/SUM(INDIRECT($E66&amp;"["&amp;$F66&amp;"]")*(INDIRECT($E66&amp;"[yr]")=(P$5-1))*(INDIRECT($E66&amp;"[wk]")=P$6)*(IF($G$2=0,1,(INDIRECT($E66&amp;"[siteflag]")=$G$2)))/1000)-1,0)</f>
        <v>0.369046954385573</v>
      </c>
      <c r="Q67" s="74">
        <f t="array" aca="1" ref="Q67" ca="1">IFERROR(Q66/SUM(INDIRECT($E66&amp;"["&amp;$F66&amp;"]")*(INDIRECT($E66&amp;"[yr]")=(Q$5-1))*(INDIRECT($E66&amp;"[wk]")=Q$6)*(IF($G$2=0,1,(INDIRECT($E66&amp;"[siteflag]")=$G$2)))/1000)-1,0)</f>
        <v>0.26175633964776379</v>
      </c>
      <c r="R67" s="74">
        <f t="array" aca="1" ref="R67" ca="1">IFERROR(R66/SUM(INDIRECT($E66&amp;"["&amp;$F66&amp;"]")*(INDIRECT($E66&amp;"[yr]")=(R$5-1))*(INDIRECT($E66&amp;"[wk]")=R$6)*(IF($G$2=0,1,(INDIRECT($E66&amp;"[siteflag]")=$G$2)))/1000)-1,0)</f>
        <v>-0.1210529226345185</v>
      </c>
      <c r="S67" s="74">
        <f t="array" aca="1" ref="S67" ca="1">IFERROR(S66/SUM(INDIRECT($E66&amp;"["&amp;$F66&amp;"]")*(INDIRECT($E66&amp;"[yr]")=(S$5-1))*(INDIRECT($E66&amp;"[wk]")=S$6)*(IF($G$2=0,1,(INDIRECT($E66&amp;"[siteflag]")=$G$2)))/1000)-1,0)</f>
        <v>-0.10323679727427593</v>
      </c>
      <c r="T67" s="76">
        <f t="array" aca="1" ref="T67" ca="1">IFERROR(T66/SUM(INDIRECT($E66&amp;"["&amp;$F66&amp;"]")*(INDIRECT($E66&amp;"[yr]")=(T$5-1))*(INDIRECT($E66&amp;"[wk]")=T$6)*(IF($H$2=0,1,(INDIRECT($E66&amp;"[siteflag]")=$H$2)))/1000)-1,0)</f>
        <v>-0.95045464864800278</v>
      </c>
      <c r="U67" s="53">
        <f t="array" aca="1" ref="U67" ca="1">SUMPRODUCT(Q67:T67,$Q$66:$T$66)/SUM($Q$66:$T$66)</f>
        <v>-0.20054217720497097</v>
      </c>
      <c r="V67" s="91"/>
      <c r="W67" s="80"/>
      <c r="X67" s="56"/>
    </row>
    <row r="68" spans="2:24" ht="3" customHeight="1" x14ac:dyDescent="0.4">
      <c r="B68" s="329"/>
      <c r="D68" s="61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8"/>
      <c r="R68" s="57"/>
      <c r="S68" s="57"/>
      <c r="T68" s="59"/>
      <c r="U68" s="60"/>
      <c r="V68" s="61"/>
      <c r="W68" s="62"/>
      <c r="X68" s="61"/>
    </row>
    <row r="69" spans="2:24" ht="14.15" customHeight="1" x14ac:dyDescent="0.4">
      <c r="B69" s="329"/>
      <c r="D69" s="203" t="s">
        <v>292</v>
      </c>
      <c r="E69" t="s">
        <v>94</v>
      </c>
      <c r="F69" t="s">
        <v>95</v>
      </c>
      <c r="I69" s="126">
        <f t="array" aca="1" ref="I69" ca="1">SUM(INDIRECT($E69&amp;"["&amp;$F69&amp;"]")*(INDIRECT($E69&amp;"[yr]")=I$5)*(INDIRECT($E69&amp;"[wk]")=I$6)/1000*(IF($G$2=0,1,(INDIRECT($E69&amp;"[siteflag]")=$G$2))))/I63</f>
        <v>1.6789718637613706</v>
      </c>
      <c r="J69" s="126">
        <f t="array" aca="1" ref="J69" ca="1">SUM(INDIRECT($E69&amp;"["&amp;$F69&amp;"]")*(INDIRECT($E69&amp;"[yr]")=J$5)*(INDIRECT($E69&amp;"[wk]")=J$6)/1000*(IF($G$2=0,1,(INDIRECT($E69&amp;"[siteflag]")=$G$2))))/J63</f>
        <v>1.7160661918726436</v>
      </c>
      <c r="K69" s="126">
        <f t="array" aca="1" ref="K69" ca="1">SUM(INDIRECT($E69&amp;"["&amp;$F69&amp;"]")*(INDIRECT($E69&amp;"[yr]")=K$5)*(INDIRECT($E69&amp;"[wk]")=K$6)/1000*(IF($G$2=0,1,(INDIRECT($E69&amp;"[siteflag]")=$G$2))))/K63</f>
        <v>1.7074897776004787</v>
      </c>
      <c r="L69" s="126">
        <f t="array" aca="1" ref="L69" ca="1">SUM(INDIRECT($E69&amp;"["&amp;$F69&amp;"]")*(INDIRECT($E69&amp;"[yr]")=L$5)*(INDIRECT($E69&amp;"[wk]")=L$6)/1000*(IF($G$2=0,1,(INDIRECT($E69&amp;"[siteflag]")=$G$2))))/L63</f>
        <v>1.6502421562434197</v>
      </c>
      <c r="M69" s="126">
        <f t="array" aca="1" ref="M69" ca="1">SUM(INDIRECT($E69&amp;"["&amp;$F69&amp;"]")*(INDIRECT($E69&amp;"[yr]")=M$5)*(INDIRECT($E69&amp;"[wk]")=M$6)/1000*(IF($G$2=0,1,(INDIRECT($E69&amp;"[siteflag]")=$G$2))))/M63</f>
        <v>1.6882530120481929</v>
      </c>
      <c r="N69" s="126">
        <f t="array" aca="1" ref="N69" ca="1">SUM(INDIRECT($E69&amp;"["&amp;$F69&amp;"]")*(INDIRECT($E69&amp;"[yr]")=N$5)*(INDIRECT($E69&amp;"[wk]")=N$6)/1000*(IF($G$2=0,1,(INDIRECT($E69&amp;"[siteflag]")=$G$2))))/N63</f>
        <v>1.7393979345198858</v>
      </c>
      <c r="O69" s="126">
        <f t="array" aca="1" ref="O69" ca="1">SUM(INDIRECT($E69&amp;"["&amp;$F69&amp;"]")*(INDIRECT($E69&amp;"[yr]")=O$5)*(INDIRECT($E69&amp;"[wk]")=O$6)/1000*(IF($G$2=0,1,(INDIRECT($E69&amp;"[siteflag]")=$G$2))))/O63</f>
        <v>1.6639049986191661</v>
      </c>
      <c r="P69" s="147">
        <f t="array" aca="1" ref="P69" ca="1">SUM(INDIRECT($E69&amp;"["&amp;$F69&amp;"]")*(INDIRECT($E69&amp;"[yr]")=P$5)*(INDIRECT($E69&amp;"[wk]")=P$6)/1000*(IF($G$2=0,1,(INDIRECT($E69&amp;"[siteflag]")=$G$2))))/P63</f>
        <v>1.7503747590834464</v>
      </c>
      <c r="Q69" s="126">
        <f t="array" aca="1" ref="Q69" ca="1">SUM(INDIRECT($E69&amp;"["&amp;$F69&amp;"]")*(INDIRECT($E69&amp;"[yr]")=Q$5)*(INDIRECT($E69&amp;"[wk]")=Q$6)/1000*(IF($G$2=0,1,(INDIRECT($E69&amp;"[siteflag]")=$G$2))))/Q63</f>
        <v>1.7675286138194148</v>
      </c>
      <c r="R69" s="126">
        <f t="array" aca="1" ref="R69" ca="1">SUM(INDIRECT($E69&amp;"["&amp;$F69&amp;"]")*(INDIRECT($E69&amp;"[yr]")=R$5)*(INDIRECT($E69&amp;"[wk]")=R$6)/1000*(IF($G$2=0,1,(INDIRECT($E69&amp;"[siteflag]")=$G$2))))/R63</f>
        <v>1.7130847165337357</v>
      </c>
      <c r="S69" s="126">
        <f t="array" aca="1" ref="S69" ca="1">SUM(INDIRECT($E69&amp;"["&amp;$F69&amp;"]")*(INDIRECT($E69&amp;"[yr]")=S$5)*(INDIRECT($E69&amp;"[wk]")=S$6)/1000*(IF($G$2=0,1,(INDIRECT($E69&amp;"[siteflag]")=$G$2))))/S63</f>
        <v>1.7068741893644617</v>
      </c>
      <c r="T69" s="120">
        <f t="array" aca="1" ref="T69" ca="1">SUM(INDIRECT($E69&amp;"["&amp;$F69&amp;"]")*(INDIRECT($E69&amp;"[yr]")=T$5)*(INDIRECT($E69&amp;"[wk]")=T$6)/1000*(IF($G$2=0,1,(INDIRECT($E69&amp;"[siteflag]")=$G$2))))/T63</f>
        <v>1.6966039279869065</v>
      </c>
      <c r="U69" s="196">
        <f ca="1">AVERAGE(Q69:T69)</f>
        <v>1.7210228619261296</v>
      </c>
      <c r="V69" s="49">
        <f t="array" aca="1" ref="V69" ca="1">SUM(T69/S69)-1</f>
        <v>-6.0169996368503176E-3</v>
      </c>
      <c r="W69" s="127"/>
      <c r="X69" s="49"/>
    </row>
    <row r="70" spans="2:24" ht="14.15" customHeight="1" x14ac:dyDescent="0.4">
      <c r="B70" s="329"/>
      <c r="D70" s="204" t="s">
        <v>67</v>
      </c>
      <c r="E70" t="s">
        <v>51</v>
      </c>
      <c r="F70" t="s">
        <v>53</v>
      </c>
      <c r="I70" s="74">
        <f t="array" aca="1" ref="I70" ca="1">IFERROR(I69/(SUM(INDIRECT($E69&amp;"["&amp;$F69&amp;"]")*(INDIRECT($E69&amp;"[yr]")=(I$5-1))*(INDIRECT($E69&amp;"[wk]")=I$6)*(IF($G$2=0,1,(INDIRECT($E69&amp;"[siteflag]")=$G$2))))/
                            (SUM(INDIRECT($E70&amp;"["&amp;$F70&amp;"]")*(INDIRECT($E70&amp;"[yr]")=I$5-1)*(INDIRECT($E70&amp;"[wk]")=I$6)*(IF($G$2=0,1,(INDIRECT($E70&amp;"[site]")=$G$2))))))-1,0)</f>
        <v>-9.2698856132568563E-2</v>
      </c>
      <c r="J70" s="74">
        <f t="array" aca="1" ref="J70" ca="1">IFERROR(J69/(SUM(INDIRECT($E69&amp;"["&amp;$F69&amp;"]")*(INDIRECT($E69&amp;"[yr]")=(J$5-1))*(INDIRECT($E69&amp;"[wk]")=J$6)*(IF($G$2=0,1,(INDIRECT($E69&amp;"[siteflag]")=$G$2))))/
                            (SUM(INDIRECT($E70&amp;"["&amp;$F70&amp;"]")*(INDIRECT($E70&amp;"[yr]")=J$5-1)*(INDIRECT($E70&amp;"[wk]")=J$6)*(IF($G$2=0,1,(INDIRECT($E70&amp;"[site]")=$G$2))))))-1,0)</f>
        <v>-3.455344289784823E-2</v>
      </c>
      <c r="K70" s="74">
        <f t="array" aca="1" ref="K70" ca="1">IFERROR(K69/(SUM(INDIRECT($E69&amp;"["&amp;$F69&amp;"]")*(INDIRECT($E69&amp;"[yr]")=(K$5-1))*(INDIRECT($E69&amp;"[wk]")=K$6)*(IF($G$2=0,1,(INDIRECT($E69&amp;"[siteflag]")=$G$2))))/
                            (SUM(INDIRECT($E70&amp;"["&amp;$F70&amp;"]")*(INDIRECT($E70&amp;"[yr]")=K$5-1)*(INDIRECT($E70&amp;"[wk]")=K$6)*(IF($G$2=0,1,(INDIRECT($E70&amp;"[site]")=$G$2))))))-1,0)</f>
        <v>-5.5365705964063316E-3</v>
      </c>
      <c r="L70" s="74">
        <f t="array" aca="1" ref="L70" ca="1">IFERROR(L69/(SUM(INDIRECT($E69&amp;"["&amp;$F69&amp;"]")*(INDIRECT($E69&amp;"[yr]")=(L$5-1))*(INDIRECT($E69&amp;"[wk]")=L$6)*(IF($G$2=0,1,(INDIRECT($E69&amp;"[siteflag]")=$G$2))))/
                            (SUM(INDIRECT($E70&amp;"["&amp;$F70&amp;"]")*(INDIRECT($E70&amp;"[yr]")=L$5-1)*(INDIRECT($E70&amp;"[wk]")=L$6)*(IF($G$2=0,1,(INDIRECT($E70&amp;"[site]")=$G$2))))))-1,0)</f>
        <v>-3.9021776922436469E-2</v>
      </c>
      <c r="M70" s="74">
        <f t="array" aca="1" ref="M70" ca="1">IFERROR(M69/(SUM(INDIRECT($E69&amp;"["&amp;$F69&amp;"]")*(INDIRECT($E69&amp;"[yr]")=(M$5-1))*(INDIRECT($E69&amp;"[wk]")=M$6)*(IF($G$2=0,1,(INDIRECT($E69&amp;"[siteflag]")=$G$2))))/
                            (SUM(INDIRECT($E70&amp;"["&amp;$F70&amp;"]")*(INDIRECT($E70&amp;"[yr]")=M$5-1)*(INDIRECT($E70&amp;"[wk]")=M$6)*(IF($G$2=0,1,(INDIRECT($E70&amp;"[site]")=$G$2))))))-1,0)</f>
        <v>-4.5568268280338664E-2</v>
      </c>
      <c r="N70" s="74">
        <f t="array" aca="1" ref="N70" ca="1">IFERROR(N69/(SUM(INDIRECT($E69&amp;"["&amp;$F69&amp;"]")*(INDIRECT($E69&amp;"[yr]")=(N$5-1))*(INDIRECT($E69&amp;"[wk]")=N$6)*(IF($G$2=0,1,(INDIRECT($E69&amp;"[siteflag]")=$G$2))))/
                            (SUM(INDIRECT($E70&amp;"["&amp;$F70&amp;"]")*(INDIRECT($E70&amp;"[yr]")=N$5-1)*(INDIRECT($E70&amp;"[wk]")=N$6)*(IF($G$2=0,1,(INDIRECT($E70&amp;"[site]")=$G$2))))))-1,0)</f>
        <v>7.9943280204666234E-3</v>
      </c>
      <c r="O70" s="74">
        <f t="array" aca="1" ref="O70" ca="1">IFERROR(O69/(SUM(INDIRECT($E69&amp;"["&amp;$F69&amp;"]")*(INDIRECT($E69&amp;"[yr]")=(O$5-1))*(INDIRECT($E69&amp;"[wk]")=O$6)*(IF($G$2=0,1,(INDIRECT($E69&amp;"[siteflag]")=$G$2))))/
                            (SUM(INDIRECT($E70&amp;"["&amp;$F70&amp;"]")*(INDIRECT($E70&amp;"[yr]")=O$5-1)*(INDIRECT($E70&amp;"[wk]")=O$6)*(IF($G$2=0,1,(INDIRECT($E70&amp;"[site]")=$G$2))))))-1,0)</f>
        <v>-5.2587467309245017E-2</v>
      </c>
      <c r="P70" s="54">
        <f t="array" aca="1" ref="P70" ca="1">IFERROR(P69/(SUM(INDIRECT($E69&amp;"["&amp;$F69&amp;"]")*(INDIRECT($E69&amp;"[yr]")=(P$5-1))*(INDIRECT($E69&amp;"[wk]")=P$6)*(IF($G$2=0,1,(INDIRECT($E69&amp;"[siteflag]")=$G$2))))/
                            (SUM(INDIRECT($E70&amp;"["&amp;$F70&amp;"]")*(INDIRECT($E70&amp;"[yr]")=P$5-1)*(INDIRECT($E70&amp;"[wk]")=P$6)*(IF($G$2=0,1,(INDIRECT($E70&amp;"[site]")=$G$2))))))-1,0)</f>
        <v>-8.3718005460481359E-3</v>
      </c>
      <c r="Q70" s="74">
        <f t="array" aca="1" ref="Q70" ca="1">IFERROR(Q69/(SUM(INDIRECT($E69&amp;"["&amp;$F69&amp;"]")*(INDIRECT($E69&amp;"[yr]")=(Q$5-1))*(INDIRECT($E69&amp;"[wk]")=Q$6)*(IF($G$2=0,1,(INDIRECT($E69&amp;"[siteflag]")=$G$2))))/
                            (SUM(INDIRECT($E70&amp;"["&amp;$F70&amp;"]")*(INDIRECT($E70&amp;"[yr]")=Q$5-1)*(INDIRECT($E70&amp;"[wk]")=Q$6)*(IF($G$2=0,1,(INDIRECT($E70&amp;"[site]")=$G$2))))))-1,0)</f>
        <v>1.6572318412267695E-2</v>
      </c>
      <c r="R70" s="74">
        <f t="array" aca="1" ref="R70" ca="1">IFERROR(R69/(SUM(INDIRECT($E69&amp;"["&amp;$F69&amp;"]")*(INDIRECT($E69&amp;"[yr]")=(R$5-1))*(INDIRECT($E69&amp;"[wk]")=R$6)*(IF($G$2=0,1,(INDIRECT($E69&amp;"[siteflag]")=$G$2))))/
                            (SUM(INDIRECT($E70&amp;"["&amp;$F70&amp;"]")*(INDIRECT($E70&amp;"[yr]")=R$5-1)*(INDIRECT($E70&amp;"[wk]")=R$6)*(IF($G$2=0,1,(INDIRECT($E70&amp;"[site]")=$G$2))))))-1,0)</f>
        <v>-3.7591791446871636E-2</v>
      </c>
      <c r="S70" s="74">
        <f t="array" aca="1" ref="S70" ca="1">IFERROR(S69/(SUM(INDIRECT($E69&amp;"["&amp;$F69&amp;"]")*(INDIRECT($E69&amp;"[yr]")=(S$5-1))*(INDIRECT($E69&amp;"[wk]")=S$6)*(IF($G$2=0,1,(INDIRECT($E69&amp;"[siteflag]")=$G$2))))/
                            (SUM(INDIRECT($E70&amp;"["&amp;$F70&amp;"]")*(INDIRECT($E70&amp;"[yr]")=S$5-1)*(INDIRECT($E70&amp;"[wk]")=S$6)*(IF($G$2=0,1,(INDIRECT($E70&amp;"[site]")=$G$2))))))-1,0)</f>
        <v>-6.6980867344120787E-3</v>
      </c>
      <c r="T70" s="76">
        <f t="array" aca="1" ref="T70" ca="1">IFERROR(T69/(SUM(INDIRECT($E69&amp;"["&amp;$F69&amp;"]")*(INDIRECT($E69&amp;"[yr]")=(T$5-1))*(INDIRECT($E69&amp;"[wk]")=T$6)*(IF($G$2=0,1,(INDIRECT($E69&amp;"[siteflag]")=$G$2))))/
                            (SUM(INDIRECT($E70&amp;"["&amp;$F70&amp;"]")*(INDIRECT($E70&amp;"[yr]")=T$5-1)*(INDIRECT($E70&amp;"[wk]")=T$6)*(IF($G$2=0,1,(INDIRECT($E70&amp;"[site]")=$G$2))))))-1,0)</f>
        <v>-3.3124304176781028E-2</v>
      </c>
      <c r="U70" s="53">
        <f t="array" aca="1" ref="U70" ca="1">SUMPRODUCT(Q70:T70,$Q$66:$T$66)/SUM($Q$66:$T$66)</f>
        <v>-1.3124423231822141E-2</v>
      </c>
      <c r="V70" s="91"/>
      <c r="W70" s="80"/>
      <c r="X70" s="56"/>
    </row>
    <row r="71" spans="2:24" ht="3" customHeight="1" x14ac:dyDescent="0.4">
      <c r="B71" s="329"/>
      <c r="D71" s="61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61"/>
      <c r="Q71" s="57"/>
      <c r="R71" s="57"/>
      <c r="S71" s="57"/>
      <c r="T71" s="59"/>
      <c r="U71" s="60"/>
      <c r="V71" s="61"/>
      <c r="W71" s="62"/>
      <c r="X71" s="61"/>
    </row>
    <row r="72" spans="2:24" ht="14.15" customHeight="1" x14ac:dyDescent="0.4">
      <c r="B72" s="329"/>
      <c r="D72" s="203" t="s">
        <v>293</v>
      </c>
      <c r="E72" t="s">
        <v>51</v>
      </c>
      <c r="F72" t="s">
        <v>53</v>
      </c>
      <c r="I72" s="126">
        <f t="array" aca="1" ref="I72" ca="1">SUM(INDIRECT($E72&amp;"["&amp;$F73&amp;"]")*(INDIRECT($E72&amp;"[yr]")=I$5)*(INDIRECT($E72&amp;"[wk]")=I$6)*(INDIRECT($E72&amp;"[orders]")=$E73)*(IF($G$2=0,1,(INDIRECT($E72&amp;"[site]")=$G$2))))/
  SUM(INDIRECT($E72&amp;"["&amp;$F72&amp;"]")*(INDIRECT($E72&amp;"[yr]")=I$5)*(INDIRECT($E72&amp;"[wk]")=I$6)*(INDIRECT($E72&amp;"[orders]")=$E73)*(IF($G$2=0,1,(INDIRECT($E72&amp;"[site]")=$G$2))))</f>
        <v>3.3884972170686458</v>
      </c>
      <c r="J72" s="126">
        <f t="array" aca="1" ref="J72" ca="1">SUM(INDIRECT($E72&amp;"["&amp;$F73&amp;"]")*(INDIRECT($E72&amp;"[yr]")=J$5)*(INDIRECT($E72&amp;"[wk]")=J$6)*(INDIRECT($E72&amp;"[orders]")=$E73)*(IF($G$2=0,1,(INDIRECT($E72&amp;"[site]")=$G$2))))/
  SUM(INDIRECT($E72&amp;"["&amp;$F72&amp;"]")*(INDIRECT($E72&amp;"[yr]")=J$5)*(INDIRECT($E72&amp;"[wk]")=J$6)*(INDIRECT($E72&amp;"[orders]")=$E73)*(IF($G$2=0,1,(INDIRECT($E72&amp;"[site]")=$G$2))))</f>
        <v>3.3537981269510926</v>
      </c>
      <c r="K72" s="126">
        <f t="array" aca="1" ref="K72" ca="1">SUM(INDIRECT($E72&amp;"["&amp;$F73&amp;"]")*(INDIRECT($E72&amp;"[yr]")=K$5)*(INDIRECT($E72&amp;"[wk]")=K$6)*(INDIRECT($E72&amp;"[orders]")=$E73)*(IF($G$2=0,1,(INDIRECT($E72&amp;"[site]")=$G$2))))/
  SUM(INDIRECT($E72&amp;"["&amp;$F72&amp;"]")*(INDIRECT($E72&amp;"[yr]")=K$5)*(INDIRECT($E72&amp;"[wk]")=K$6)*(INDIRECT($E72&amp;"[orders]")=$E73)*(IF($G$2=0,1,(INDIRECT($E72&amp;"[site]")=$G$2))))</f>
        <v>3.3207112281857096</v>
      </c>
      <c r="L72" s="126">
        <f t="array" aca="1" ref="L72" ca="1">SUM(INDIRECT($E72&amp;"["&amp;$F73&amp;"]")*(INDIRECT($E72&amp;"[yr]")=L$5)*(INDIRECT($E72&amp;"[wk]")=L$6)*(INDIRECT($E72&amp;"[orders]")=$E73)*(IF($G$2=0,1,(INDIRECT($E72&amp;"[site]")=$G$2))))/
  SUM(INDIRECT($E72&amp;"["&amp;$F72&amp;"]")*(INDIRECT($E72&amp;"[yr]")=L$5)*(INDIRECT($E72&amp;"[wk]")=L$6)*(INDIRECT($E72&amp;"[orders]")=$E73)*(IF($G$2=0,1,(INDIRECT($E72&amp;"[site]")=$G$2))))</f>
        <v>3.2883458646616543</v>
      </c>
      <c r="M72" s="126">
        <f t="array" aca="1" ref="M72" ca="1">SUM(INDIRECT($E72&amp;"["&amp;$F73&amp;"]")*(INDIRECT($E72&amp;"[yr]")=M$5)*(INDIRECT($E72&amp;"[wk]")=M$6)*(INDIRECT($E72&amp;"[orders]")=$E73)*(IF($G$2=0,1,(INDIRECT($E72&amp;"[site]")=$G$2))))/
  SUM(INDIRECT($E72&amp;"["&amp;$F72&amp;"]")*(INDIRECT($E72&amp;"[yr]")=M$5)*(INDIRECT($E72&amp;"[wk]")=M$6)*(INDIRECT($E72&amp;"[orders]")=$E73)*(IF($G$2=0,1,(INDIRECT($E72&amp;"[site]")=$G$2))))</f>
        <v>3.3927095077038709</v>
      </c>
      <c r="N72" s="126">
        <f t="array" aca="1" ref="N72" ca="1">SUM(INDIRECT($E72&amp;"["&amp;$F73&amp;"]")*(INDIRECT($E72&amp;"[yr]")=N$5)*(INDIRECT($E72&amp;"[wk]")=N$6)*(INDIRECT($E72&amp;"[orders]")=$E73)*(IF($G$2=0,1,(INDIRECT($E72&amp;"[site]")=$G$2))))/
  SUM(INDIRECT($E72&amp;"["&amp;$F72&amp;"]")*(INDIRECT($E72&amp;"[yr]")=N$5)*(INDIRECT($E72&amp;"[wk]")=N$6)*(INDIRECT($E72&amp;"[orders]")=$E73)*(IF($G$2=0,1,(INDIRECT($E72&amp;"[site]")=$G$2))))</f>
        <v>3.5145228215767634</v>
      </c>
      <c r="O72" s="126">
        <f t="array" aca="1" ref="O72" ca="1">SUM(INDIRECT($E72&amp;"["&amp;$F73&amp;"]")*(INDIRECT($E72&amp;"[yr]")=O$5)*(INDIRECT($E72&amp;"[wk]")=O$6)*(INDIRECT($E72&amp;"[orders]")=$E73)*(IF($G$2=0,1,(INDIRECT($E72&amp;"[site]")=$G$2))))/
  SUM(INDIRECT($E72&amp;"["&amp;$F72&amp;"]")*(INDIRECT($E72&amp;"[yr]")=O$5)*(INDIRECT($E72&amp;"[wk]")=O$6)*(INDIRECT($E72&amp;"[orders]")=$E73)*(IF($G$2=0,1,(INDIRECT($E72&amp;"[site]")=$G$2))))</f>
        <v>3.3912021490933513</v>
      </c>
      <c r="P72" s="147">
        <f t="array" aca="1" ref="P72" ca="1">SUM(INDIRECT($E72&amp;"["&amp;$F73&amp;"]")*(INDIRECT($E72&amp;"[yr]")=P$5)*(INDIRECT($E72&amp;"[wk]")=P$6)*(INDIRECT($E72&amp;"[orders]")=$E73)*(IF($G$2=0,1,(INDIRECT($E72&amp;"[site]")=$G$2))))/
  SUM(INDIRECT($E72&amp;"["&amp;$F72&amp;"]")*(INDIRECT($E72&amp;"[yr]")=P$5)*(INDIRECT($E72&amp;"[wk]")=P$6)*(INDIRECT($E72&amp;"[orders]")=$E73)*(IF($G$2=0,1,(INDIRECT($E72&amp;"[site]")=$G$2))))</f>
        <v>3.5650547689019505</v>
      </c>
      <c r="Q72" s="126">
        <f t="array" aca="1" ref="Q72" ca="1">SUM(INDIRECT($E72&amp;"["&amp;$F73&amp;"]")*(INDIRECT($E72&amp;"[yr]")=Q$5)*(INDIRECT($E72&amp;"[wk]")=Q$6)*(INDIRECT($E72&amp;"[orders]")=$E73)*(IF($G$2=0,1,(INDIRECT($E72&amp;"[site]")=$G$2))))/
  SUM(INDIRECT($E72&amp;"["&amp;$F72&amp;"]")*(INDIRECT($E72&amp;"[yr]")=Q$5)*(INDIRECT($E72&amp;"[wk]")=Q$6)*(INDIRECT($E72&amp;"[orders]")=$E73)*(IF($G$2=0,1,(INDIRECT($E72&amp;"[site]")=$G$2))))</f>
        <v>3.4691439946914397</v>
      </c>
      <c r="R72" s="126">
        <f t="array" aca="1" ref="R72" ca="1">SUM(INDIRECT($E72&amp;"["&amp;$F73&amp;"]")*(INDIRECT($E72&amp;"[yr]")=R$5)*(INDIRECT($E72&amp;"[wk]")=R$6)*(INDIRECT($E72&amp;"[orders]")=$E73)*(IF($G$2=0,1,(INDIRECT($E72&amp;"[site]")=$G$2))))/
  SUM(INDIRECT($E72&amp;"["&amp;$F72&amp;"]")*(INDIRECT($E72&amp;"[yr]")=R$5)*(INDIRECT($E72&amp;"[wk]")=R$6)*(INDIRECT($E72&amp;"[orders]")=$E73)*(IF($G$2=0,1,(INDIRECT($E72&amp;"[site]")=$G$2))))</f>
        <v>3.5039878465628562</v>
      </c>
      <c r="S72" s="126">
        <f t="array" aca="1" ref="S72" ca="1">SUM(INDIRECT($E72&amp;"["&amp;$F73&amp;"]")*(INDIRECT($E72&amp;"[yr]")=S$5)*(INDIRECT($E72&amp;"[wk]")=S$6)*(INDIRECT($E72&amp;"[orders]")=$E73)*(IF($G$2=0,1,(INDIRECT($E72&amp;"[site]")=$G$2))))/
  SUM(INDIRECT($E72&amp;"["&amp;$F72&amp;"]")*(INDIRECT($E72&amp;"[yr]")=S$5)*(INDIRECT($E72&amp;"[wk]")=S$6)*(INDIRECT($E72&amp;"[orders]")=$E73)*(IF($G$2=0,1,(INDIRECT($E72&amp;"[site]")=$G$2))))</f>
        <v>3.5320855614973263</v>
      </c>
      <c r="T72" s="120">
        <f t="array" aca="1" ref="T72" ca="1">SUM(INDIRECT($E72&amp;"["&amp;$F73&amp;"]")*(INDIRECT($E72&amp;"[yr]")=T$5)*(INDIRECT($E72&amp;"[wk]")=T$6)*(INDIRECT($E72&amp;"[orders]")=$E73)*(IF($G$2=0,1,(INDIRECT($E72&amp;"[site]")=$G$2))))/
  SUM(INDIRECT($E72&amp;"["&amp;$F72&amp;"]")*(INDIRECT($E72&amp;"[yr]")=T$5)*(INDIRECT($E72&amp;"[wk]")=T$6)*(INDIRECT($E72&amp;"[orders]")=$E73)*(IF($G$2=0,1,(INDIRECT($E72&amp;"[site]")=$G$2))))</f>
        <v>3.3726772195457673</v>
      </c>
      <c r="U72" s="196">
        <f ca="1">AVERAGE(Q72:T72)</f>
        <v>3.4694736555743475</v>
      </c>
      <c r="V72" s="49">
        <f t="array" aca="1" ref="V72" ca="1">SUM(T72/S72)-1</f>
        <v>-4.5131506351160589E-2</v>
      </c>
      <c r="W72" s="127"/>
      <c r="X72" s="49"/>
    </row>
    <row r="73" spans="2:24" ht="14.15" customHeight="1" x14ac:dyDescent="0.4">
      <c r="B73" s="329"/>
      <c r="D73" s="202" t="s">
        <v>67</v>
      </c>
      <c r="E73" s="40" t="s">
        <v>272</v>
      </c>
      <c r="F73" s="40" t="s">
        <v>291</v>
      </c>
      <c r="G73" s="40"/>
      <c r="H73" s="40"/>
      <c r="I73" s="50">
        <f t="array" aca="1" ref="I73" ca="1">IFERROR(I72/(SUM(INDIRECT($E72&amp;"["&amp;$F73&amp;"]")*(INDIRECT($E72&amp;"[yr]")=I$5-1)*(INDIRECT($E72&amp;"[wk]")=I$6)*(INDIRECT($E72&amp;"[orders]")=$E73)*(IF($G$2=0,1,(INDIRECT($E72&amp;"[site]")=$G$2))))/
                            SUM(INDIRECT($E72&amp;"["&amp;$F72&amp;"]")*(INDIRECT($E72&amp;"[yr]")=I$5-1)*(INDIRECT($E72&amp;"[wk]")=I$6)*(INDIRECT($E72&amp;"[orders]")=$E73)*(IF($G$2=0,1,(INDIRECT($E72&amp;"[site]")=$G$2)))))-1,0)</f>
        <v>9.230040555341823E-3</v>
      </c>
      <c r="J73" s="50">
        <f t="array" aca="1" ref="J73" ca="1">IFERROR(J72/(SUM(INDIRECT($E72&amp;"["&amp;$F73&amp;"]")*(INDIRECT($E72&amp;"[yr]")=J$5-1)*(INDIRECT($E72&amp;"[wk]")=J$6)*(INDIRECT($E72&amp;"[orders]")=$E73)*(IF($G$2=0,1,(INDIRECT($E72&amp;"[site]")=$G$2))))/
                            SUM(INDIRECT($E72&amp;"["&amp;$F72&amp;"]")*(INDIRECT($E72&amp;"[yr]")=J$5-1)*(INDIRECT($E72&amp;"[wk]")=J$6)*(INDIRECT($E72&amp;"[orders]")=$E73)*(IF($G$2=0,1,(INDIRECT($E72&amp;"[site]")=$G$2)))))-1,0)</f>
        <v>5.1251868134172263E-4</v>
      </c>
      <c r="K73" s="50">
        <f t="array" aca="1" ref="K73" ca="1">IFERROR(K72/(SUM(INDIRECT($E72&amp;"["&amp;$F73&amp;"]")*(INDIRECT($E72&amp;"[yr]")=K$5-1)*(INDIRECT($E72&amp;"[wk]")=K$6)*(INDIRECT($E72&amp;"[orders]")=$E73)*(IF($G$2=0,1,(INDIRECT($E72&amp;"[site]")=$G$2))))/
                            SUM(INDIRECT($E72&amp;"["&amp;$F72&amp;"]")*(INDIRECT($E72&amp;"[yr]")=K$5-1)*(INDIRECT($E72&amp;"[wk]")=K$6)*(INDIRECT($E72&amp;"[orders]")=$E73)*(IF($G$2=0,1,(INDIRECT($E72&amp;"[site]")=$G$2)))))-1,0)</f>
        <v>7.711616386274267E-3</v>
      </c>
      <c r="L73" s="50">
        <f t="array" aca="1" ref="L73" ca="1">IFERROR(L72/(SUM(INDIRECT($E72&amp;"["&amp;$F73&amp;"]")*(INDIRECT($E72&amp;"[yr]")=L$5-1)*(INDIRECT($E72&amp;"[wk]")=L$6)*(INDIRECT($E72&amp;"[orders]")=$E73)*(IF($G$2=0,1,(INDIRECT($E72&amp;"[site]")=$G$2))))/
                            SUM(INDIRECT($E72&amp;"["&amp;$F72&amp;"]")*(INDIRECT($E72&amp;"[yr]")=L$5-1)*(INDIRECT($E72&amp;"[wk]")=L$6)*(INDIRECT($E72&amp;"[orders]")=$E73)*(IF($G$2=0,1,(INDIRECT($E72&amp;"[site]")=$G$2)))))-1,0)</f>
        <v>-3.6839220199293754E-2</v>
      </c>
      <c r="M73" s="50">
        <f t="array" aca="1" ref="M73" ca="1">IFERROR(M72/(SUM(INDIRECT($E72&amp;"["&amp;$F73&amp;"]")*(INDIRECT($E72&amp;"[yr]")=M$5-1)*(INDIRECT($E72&amp;"[wk]")=M$6)*(INDIRECT($E72&amp;"[orders]")=$E73)*(IF($G$2=0,1,(INDIRECT($E72&amp;"[site]")=$G$2))))/
                            SUM(INDIRECT($E72&amp;"["&amp;$F72&amp;"]")*(INDIRECT($E72&amp;"[yr]")=M$5-1)*(INDIRECT($E72&amp;"[wk]")=M$6)*(INDIRECT($E72&amp;"[orders]")=$E73)*(IF($G$2=0,1,(INDIRECT($E72&amp;"[site]")=$G$2)))))-1,0)</f>
        <v>-1.8315047119863426E-2</v>
      </c>
      <c r="N73" s="50">
        <f t="array" aca="1" ref="N73" ca="1">IFERROR(N72/(SUM(INDIRECT($E72&amp;"["&amp;$F73&amp;"]")*(INDIRECT($E72&amp;"[yr]")=N$5-1)*(INDIRECT($E72&amp;"[wk]")=N$6)*(INDIRECT($E72&amp;"[orders]")=$E73)*(IF($G$2=0,1,(INDIRECT($E72&amp;"[site]")=$G$2))))/
                            SUM(INDIRECT($E72&amp;"["&amp;$F72&amp;"]")*(INDIRECT($E72&amp;"[yr]")=N$5-1)*(INDIRECT($E72&amp;"[wk]")=N$6)*(INDIRECT($E72&amp;"[orders]")=$E73)*(IF($G$2=0,1,(INDIRECT($E72&amp;"[site]")=$G$2)))))-1,0)</f>
        <v>3.1181306997578373E-2</v>
      </c>
      <c r="O73" s="50">
        <f t="array" aca="1" ref="O73" ca="1">IFERROR(O72/(SUM(INDIRECT($E72&amp;"["&amp;$F73&amp;"]")*(INDIRECT($E72&amp;"[yr]")=O$5-1)*(INDIRECT($E72&amp;"[wk]")=O$6)*(INDIRECT($E72&amp;"[orders]")=$E73)*(IF($G$2=0,1,(INDIRECT($E72&amp;"[site]")=$G$2))))/
                            SUM(INDIRECT($E72&amp;"["&amp;$F72&amp;"]")*(INDIRECT($E72&amp;"[yr]")=O$5-1)*(INDIRECT($E72&amp;"[wk]")=O$6)*(INDIRECT($E72&amp;"[orders]")=$E73)*(IF($G$2=0,1,(INDIRECT($E72&amp;"[site]")=$G$2)))))-1,0)</f>
        <v>-3.0464000964336768E-2</v>
      </c>
      <c r="P73" s="54">
        <f t="array" aca="1" ref="P73" ca="1">IFERROR(P72/(SUM(INDIRECT($E72&amp;"["&amp;$F73&amp;"]")*(INDIRECT($E72&amp;"[yr]")=P$5-1)*(INDIRECT($E72&amp;"[wk]")=P$6)*(INDIRECT($E72&amp;"[orders]")=$E73)*(IF($G$2=0,1,(INDIRECT($E72&amp;"[site]")=$G$2))))/
                            SUM(INDIRECT($E72&amp;"["&amp;$F72&amp;"]")*(INDIRECT($E72&amp;"[yr]")=P$5-1)*(INDIRECT($E72&amp;"[wk]")=P$6)*(INDIRECT($E72&amp;"[orders]")=$E73)*(IF($G$2=0,1,(INDIRECT($E72&amp;"[site]")=$G$2)))))-1,0)</f>
        <v>3.2971235474970051E-2</v>
      </c>
      <c r="Q73" s="50">
        <f t="array" aca="1" ref="Q73" ca="1">IFERROR(Q72/(SUM(INDIRECT($E72&amp;"["&amp;$F73&amp;"]")*(INDIRECT($E72&amp;"[yr]")=Q$5-1)*(INDIRECT($E72&amp;"[wk]")=Q$6)*(INDIRECT($E72&amp;"[orders]")=$E73)*(IF($G$2=0,1,(INDIRECT($E72&amp;"[site]")=$G$2))))/
                            SUM(INDIRECT($E72&amp;"["&amp;$F72&amp;"]")*(INDIRECT($E72&amp;"[yr]")=Q$5-1)*(INDIRECT($E72&amp;"[wk]")=Q$6)*(INDIRECT($E72&amp;"[orders]")=$E73)*(IF($G$2=0,1,(INDIRECT($E72&amp;"[site]")=$G$2)))))-1,0)</f>
        <v>2.2332033884316482E-2</v>
      </c>
      <c r="R73" s="50">
        <f t="array" aca="1" ref="R73" ca="1">IFERROR(R72/(SUM(INDIRECT($E72&amp;"["&amp;$F73&amp;"]")*(INDIRECT($E72&amp;"[yr]")=R$5-1)*(INDIRECT($E72&amp;"[wk]")=R$6)*(INDIRECT($E72&amp;"[orders]")=$E73)*(IF($G$2=0,1,(INDIRECT($E72&amp;"[site]")=$G$2))))/
                            SUM(INDIRECT($E72&amp;"["&amp;$F72&amp;"]")*(INDIRECT($E72&amp;"[yr]")=R$5-1)*(INDIRECT($E72&amp;"[wk]")=R$6)*(INDIRECT($E72&amp;"[orders]")=$E73)*(IF($G$2=0,1,(INDIRECT($E72&amp;"[site]")=$G$2)))))-1,0)</f>
        <v>1.9267123072244097E-2</v>
      </c>
      <c r="S73" s="50">
        <f t="array" aca="1" ref="S73" ca="1">IFERROR(S72/(SUM(INDIRECT($E72&amp;"["&amp;$F73&amp;"]")*(INDIRECT($E72&amp;"[yr]")=S$5-1)*(INDIRECT($E72&amp;"[wk]")=S$6)*(INDIRECT($E72&amp;"[orders]")=$E73)*(IF($G$2=0,1,(INDIRECT($E72&amp;"[site]")=$G$2))))/
                            SUM(INDIRECT($E72&amp;"["&amp;$F72&amp;"]")*(INDIRECT($E72&amp;"[yr]")=S$5-1)*(INDIRECT($E72&amp;"[wk]")=S$6)*(INDIRECT($E72&amp;"[orders]")=$E73)*(IF($G$2=0,1,(INDIRECT($E72&amp;"[site]")=$G$2)))))-1,0)</f>
        <v>4.0213356225765384E-2</v>
      </c>
      <c r="T73" s="52">
        <f t="array" aca="1" ref="T73" ca="1">IFERROR(T72/(SUM(INDIRECT($E72&amp;"["&amp;$F73&amp;"]")*(INDIRECT($E72&amp;"[yr]")=T$5-1)*(INDIRECT($E72&amp;"[wk]")=T$6)*(INDIRECT($E72&amp;"[orders]")=$E73)*(IF($G$2=0,1,(INDIRECT($E72&amp;"[site]")=$G$2))))/
                            SUM(INDIRECT($E72&amp;"["&amp;$F72&amp;"]")*(INDIRECT($E72&amp;"[yr]")=T$5-1)*(INDIRECT($E72&amp;"[wk]")=T$6)*(INDIRECT($E72&amp;"[orders]")=$E73)*(IF($G$2=0,1,(INDIRECT($E72&amp;"[site]")=$G$2)))))-1,0)</f>
        <v>-1.9654287552914873E-2</v>
      </c>
      <c r="U73" s="53">
        <f t="array" aca="1" ref="U73" ca="1">SUMPRODUCT(Q73:T73,$Q$66:$T$66)/SUM($Q$66:$T$66)</f>
        <v>1.5637633169778915E-2</v>
      </c>
      <c r="V73" s="54"/>
      <c r="W73" s="55"/>
      <c r="X73" s="56"/>
    </row>
    <row r="74" spans="2:24" ht="3" customHeight="1" x14ac:dyDescent="0.4">
      <c r="B74" s="329"/>
      <c r="D74" s="61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61"/>
      <c r="Q74" s="57"/>
      <c r="R74" s="57"/>
      <c r="S74" s="57"/>
      <c r="T74" s="59"/>
      <c r="U74" s="60"/>
      <c r="V74" s="61"/>
      <c r="W74" s="62"/>
      <c r="X74" s="61"/>
    </row>
    <row r="75" spans="2:24" ht="14.15" customHeight="1" x14ac:dyDescent="0.4">
      <c r="B75" s="329"/>
      <c r="D75" s="203" t="s">
        <v>340</v>
      </c>
      <c r="E75" t="s">
        <v>318</v>
      </c>
      <c r="F75" t="s">
        <v>319</v>
      </c>
      <c r="I75" s="246">
        <f t="array" aca="1" ref="I75" ca="1">SUM(INDIRECT($E75&amp;"["&amp;$F75&amp;"]")*(INDIRECT($E75&amp;"[yr]")=I$5)*(INDIRECT($E75&amp;"[wk]")=I$6)*(INDIRECT($E75&amp;"[site]")=$G$2))/1000</f>
        <v>0.36</v>
      </c>
      <c r="J75" s="246">
        <f t="array" aca="1" ref="J75" ca="1">SUM(INDIRECT($E75&amp;"["&amp;$F75&amp;"]")*(INDIRECT($E75&amp;"[yr]")=J$5)*(INDIRECT($E75&amp;"[wk]")=J$6)*(INDIRECT($E75&amp;"[site]")=$G$2))/1000</f>
        <v>0.38700000000000001</v>
      </c>
      <c r="K75" s="246">
        <f t="array" aca="1" ref="K75" ca="1">SUM(INDIRECT($E75&amp;"["&amp;$F75&amp;"]")*(INDIRECT($E75&amp;"[yr]")=K$5)*(INDIRECT($E75&amp;"[wk]")=K$6)*(INDIRECT($E75&amp;"[site]")=$G$2))/1000</f>
        <v>0.41799999999999998</v>
      </c>
      <c r="L75" s="246">
        <f t="array" aca="1" ref="L75" ca="1">SUM(INDIRECT($E75&amp;"["&amp;$F75&amp;"]")*(INDIRECT($E75&amp;"[yr]")=L$5)*(INDIRECT($E75&amp;"[wk]")=L$6)*(INDIRECT($E75&amp;"[site]")=$G$2))/1000</f>
        <v>0.47899999999999998</v>
      </c>
      <c r="M75" s="246">
        <f t="array" aca="1" ref="M75" ca="1">SUM(INDIRECT($E75&amp;"["&amp;$F75&amp;"]")*(INDIRECT($E75&amp;"[yr]")=M$5)*(INDIRECT($E75&amp;"[wk]")=M$6)*(INDIRECT($E75&amp;"[site]")=$G$2))/1000</f>
        <v>0.47</v>
      </c>
      <c r="N75" s="246">
        <f t="array" aca="1" ref="N75" ca="1">SUM(INDIRECT($E75&amp;"["&amp;$F75&amp;"]")*(INDIRECT($E75&amp;"[yr]")=N$5)*(INDIRECT($E75&amp;"[wk]")=N$6)*(INDIRECT($E75&amp;"[site]")=$G$2))/1000</f>
        <v>0.38</v>
      </c>
      <c r="O75" s="246">
        <f t="array" aca="1" ref="O75" ca="1">SUM(INDIRECT($E75&amp;"["&amp;$F75&amp;"]")*(INDIRECT($E75&amp;"[yr]")=O$5)*(INDIRECT($E75&amp;"[wk]")=O$6)*(INDIRECT($E75&amp;"[site]")=$G$2))/1000</f>
        <v>0.46100000000000002</v>
      </c>
      <c r="P75" s="248">
        <f t="array" aca="1" ref="P75" ca="1">SUM(INDIRECT($E75&amp;"["&amp;$F75&amp;"]")*(INDIRECT($E75&amp;"[yr]")=P$5)*(INDIRECT($E75&amp;"[wk]")=P$6)*(INDIRECT($E75&amp;"[site]")=$G$2))/1000</f>
        <v>0.53600000000000003</v>
      </c>
      <c r="Q75" s="246">
        <f t="array" aca="1" ref="Q75" ca="1">SUM(INDIRECT($E75&amp;"["&amp;$F75&amp;"]")*(INDIRECT($E75&amp;"[yr]")=Q$5)*(INDIRECT($E75&amp;"[wk]")=Q$6)*(INDIRECT($E75&amp;"[site]")=$G$2))/1000</f>
        <v>0.42299999999999999</v>
      </c>
      <c r="R75" s="246">
        <f t="array" aca="1" ref="R75" ca="1">SUM(INDIRECT($E75&amp;"["&amp;$F75&amp;"]")*(INDIRECT($E75&amp;"[yr]")=R$5)*(INDIRECT($E75&amp;"[wk]")=R$6)*(INDIRECT($E75&amp;"[site]")=$G$2))/1000</f>
        <v>0.35299999999999998</v>
      </c>
      <c r="S75" s="246">
        <f t="array" aca="1" ref="S75" ca="1">SUM(INDIRECT($E75&amp;"["&amp;$F75&amp;"]")*(INDIRECT($E75&amp;"[yr]")=S$5)*(INDIRECT($E75&amp;"[wk]")=S$6)*(INDIRECT($E75&amp;"[site]")=$G$2))/1000</f>
        <v>0.33200000000000002</v>
      </c>
      <c r="T75" s="120">
        <f t="array" aca="1" ref="T75" ca="1">SUM(INDIRECT($E75&amp;"["&amp;$F75&amp;"]")*(INDIRECT($E75&amp;"[yr]")=T$5)*(INDIRECT($E75&amp;"[wk]")=T$6)*(INDIRECT($E75&amp;"[site]")=$G$2))/1000</f>
        <v>0.41199999999999998</v>
      </c>
      <c r="U75" s="196">
        <f ca="1">AVERAGE(Q75:T75)</f>
        <v>0.38</v>
      </c>
      <c r="V75" s="49">
        <f t="array" aca="1" ref="V75" ca="1">SUM(T75/S75)-1</f>
        <v>0.24096385542168663</v>
      </c>
      <c r="W75" s="127"/>
      <c r="X75" s="49"/>
    </row>
    <row r="76" spans="2:24" ht="14.15" customHeight="1" x14ac:dyDescent="0.4">
      <c r="B76" s="329"/>
      <c r="D76" s="204" t="s">
        <v>67</v>
      </c>
      <c r="I76" s="74">
        <f t="array" aca="1" ref="I76" ca="1">IFERROR(I75/(SUM(INDIRECT($E75&amp;"["&amp;$F75&amp;"]")*(INDIRECT($E75&amp;"[yr]")=I$5-1)*(INDIRECT($E75&amp;"[wk]")=I$6)*(INDIRECT($E75&amp;"[site]")=$G$2))/1000)-1, 0)</f>
        <v>-9.0909090909090939E-2</v>
      </c>
      <c r="J76" s="74">
        <f t="array" aca="1" ref="J76" ca="1">IFERROR(J75/(SUM(INDIRECT($E75&amp;"["&amp;$F75&amp;"]")*(INDIRECT($E75&amp;"[yr]")=J$5-1)*(INDIRECT($E75&amp;"[wk]")=J$6)*(INDIRECT($E75&amp;"[site]")=$G$2))/1000)-1, 0)</f>
        <v>0.15522388059701497</v>
      </c>
      <c r="K76" s="74">
        <f t="array" aca="1" ref="K76" ca="1">IFERROR(K75/(SUM(INDIRECT($E75&amp;"["&amp;$F75&amp;"]")*(INDIRECT($E75&amp;"[yr]")=K$5-1)*(INDIRECT($E75&amp;"[wk]")=K$6)*(INDIRECT($E75&amp;"[site]")=$G$2))/1000)-1, 0)</f>
        <v>0.20114942528735646</v>
      </c>
      <c r="L76" s="74">
        <f t="array" aca="1" ref="L76" ca="1">IFERROR(L75/(SUM(INDIRECT($E75&amp;"["&amp;$F75&amp;"]")*(INDIRECT($E75&amp;"[yr]")=L$5-1)*(INDIRECT($E75&amp;"[wk]")=L$6)*(INDIRECT($E75&amp;"[site]")=$G$2))/1000)-1, 0)</f>
        <v>-0.16695652173913045</v>
      </c>
      <c r="M76" s="74">
        <f t="array" aca="1" ref="M76" ca="1">IFERROR(M75/(SUM(INDIRECT($E75&amp;"["&amp;$F75&amp;"]")*(INDIRECT($E75&amp;"[yr]")=M$5-1)*(INDIRECT($E75&amp;"[wk]")=M$6)*(INDIRECT($E75&amp;"[site]")=$G$2))/1000)-1, 0)</f>
        <v>4.2735042735042583E-3</v>
      </c>
      <c r="N76" s="74">
        <f t="array" aca="1" ref="N76" ca="1">IFERROR(N75/(SUM(INDIRECT($E75&amp;"["&amp;$F75&amp;"]")*(INDIRECT($E75&amp;"[yr]")=N$5-1)*(INDIRECT($E75&amp;"[wk]")=N$6)*(INDIRECT($E75&amp;"[site]")=$G$2))/1000)-1, 0)</f>
        <v>-4.2821158690176331E-2</v>
      </c>
      <c r="O76" s="74">
        <f t="array" aca="1" ref="O76" ca="1">IFERROR(O75/(SUM(INDIRECT($E75&amp;"["&amp;$F75&amp;"]")*(INDIRECT($E75&amp;"[yr]")=O$5-1)*(INDIRECT($E75&amp;"[wk]")=O$6)*(INDIRECT($E75&amp;"[site]")=$G$2))/1000)-1, 0)</f>
        <v>-0.21731748726655342</v>
      </c>
      <c r="P76" s="91">
        <f t="array" aca="1" ref="P76" ca="1">IFERROR(P75/(SUM(INDIRECT($E75&amp;"["&amp;$F75&amp;"]")*(INDIRECT($E75&amp;"[yr]")=P$5-1)*(INDIRECT($E75&amp;"[wk]")=P$6)*(INDIRECT($E75&amp;"[site]")=$G$2))/1000)-1, 0)</f>
        <v>-4.9645390070921835E-2</v>
      </c>
      <c r="Q76" s="74">
        <f t="array" aca="1" ref="Q76" ca="1">IFERROR(Q75/(SUM(INDIRECT($E75&amp;"["&amp;$F75&amp;"]")*(INDIRECT($E75&amp;"[yr]")=Q$5-1)*(INDIRECT($E75&amp;"[wk]")=Q$6)*(INDIRECT($E75&amp;"[site]")=$G$2))/1000)-1, 0)</f>
        <v>-9.9999999999999978E-2</v>
      </c>
      <c r="R76" s="74">
        <f t="array" aca="1" ref="R76" ca="1">IFERROR(R75/(SUM(INDIRECT($E75&amp;"["&amp;$F75&amp;"]")*(INDIRECT($E75&amp;"[yr]")=R$5-1)*(INDIRECT($E75&amp;"[wk]")=R$6)*(INDIRECT($E75&amp;"[site]")=$G$2))/1000)-1, 0)</f>
        <v>-0.24893617021276593</v>
      </c>
      <c r="S76" s="74">
        <f t="array" aca="1" ref="S76" ca="1">IFERROR(S75/(SUM(INDIRECT($E75&amp;"["&amp;$F75&amp;"]")*(INDIRECT($E75&amp;"[yr]")=S$5-1)*(INDIRECT($E75&amp;"[wk]")=S$6)*(INDIRECT($E75&amp;"[site]")=$G$2))/1000)-1, 0)</f>
        <v>-0.39194139194139199</v>
      </c>
      <c r="T76" s="52">
        <f t="array" aca="1" ref="T76" ca="1">IFERROR(T75/(SUM(INDIRECT($E75&amp;"["&amp;$F75&amp;"]")*(INDIRECT($E75&amp;"[yr]")=T$5-1)*(INDIRECT($E75&amp;"[wk]")=T$6)*(INDIRECT($E75&amp;"[site]")=$G$2))/1000)-1, 0)</f>
        <v>-0.14522821576763489</v>
      </c>
      <c r="U76" s="53">
        <f t="array" aca="1" ref="U76" ca="1">SUMPRODUCT(Q76:T76,$Q$75:$T$75)/SUM($Q$75:$T$75)</f>
        <v>-0.21061383888546978</v>
      </c>
      <c r="V76" s="54"/>
      <c r="W76" s="55"/>
      <c r="X76" s="56"/>
    </row>
    <row r="77" spans="2:24" ht="3" customHeight="1" x14ac:dyDescent="0.4">
      <c r="B77" s="329"/>
      <c r="D77" s="206"/>
      <c r="E77" s="57"/>
      <c r="F77" s="57"/>
      <c r="G77" s="57"/>
      <c r="H77" s="57"/>
      <c r="I77" s="84"/>
      <c r="J77" s="57"/>
      <c r="K77" s="57"/>
      <c r="L77" s="57"/>
      <c r="M77" s="57"/>
      <c r="N77" s="57"/>
      <c r="O77" s="57"/>
      <c r="P77" s="61"/>
      <c r="Q77" s="57"/>
      <c r="R77" s="57"/>
      <c r="S77" s="57"/>
      <c r="T77" s="59"/>
      <c r="U77" s="60"/>
      <c r="V77" s="61"/>
      <c r="W77" s="62"/>
      <c r="X77" s="61"/>
    </row>
    <row r="78" spans="2:24" ht="14.15" customHeight="1" x14ac:dyDescent="0.4">
      <c r="B78" s="329"/>
      <c r="D78" s="203" t="s">
        <v>322</v>
      </c>
      <c r="E78" t="s">
        <v>318</v>
      </c>
      <c r="F78" t="s">
        <v>319</v>
      </c>
      <c r="I78" s="244">
        <f t="array" aca="1" ref="I78" ca="1">(SUM(INDIRECT($E78&amp;"["&amp;$F78&amp;"]")*(INDIRECT($E78&amp;"[yr]")=I$5)*(INDIRECT($E78&amp;"[wk]")=I$6)*(INDIRECT($E78&amp;"[site]")=$G$2)) -
   SUM(INDIRECT($E78&amp;"["&amp;$F79&amp;"]")*(INDIRECT($E78&amp;"[yr]")=I$5)*(INDIRECT($E78&amp;"[wk]")=I$6)*(INDIRECT($E78&amp;"[site]")=$G$2))) /
  (SUM(INDIRECT($E78&amp;"["&amp;$F78&amp;"]")*(INDIRECT($E78&amp;"[yr]")=I$5)*(INDIRECT($E78&amp;"[wk]")=I$6)*(INDIRECT($E78&amp;"[site]")=$G$2)) -
   SUM(INDIRECT($E78&amp;"["&amp;$E79&amp;"]")*(INDIRECT($E78&amp;"[yr]")=I$5)*(INDIRECT($E78&amp;"[wk]")=I$6)*(INDIRECT($E78&amp;"[site]")=$G$2)))</f>
        <v>0.8835978835978836</v>
      </c>
      <c r="J78" s="244">
        <f t="array" aca="1" ref="J78" ca="1">(SUM(INDIRECT($E78&amp;"["&amp;$F78&amp;"]")*(INDIRECT($E78&amp;"[yr]")=J$5)*(INDIRECT($E78&amp;"[wk]")=J$6)*(INDIRECT($E78&amp;"[site]")=$G$2)) -
   SUM(INDIRECT($E78&amp;"["&amp;$F79&amp;"]")*(INDIRECT($E78&amp;"[yr]")=J$5)*(INDIRECT($E78&amp;"[wk]")=J$6)*(INDIRECT($E78&amp;"[site]")=$G$2))) /
  (SUM(INDIRECT($E78&amp;"["&amp;$F78&amp;"]")*(INDIRECT($E78&amp;"[yr]")=J$5)*(INDIRECT($E78&amp;"[wk]")=J$6)*(INDIRECT($E78&amp;"[site]")=$G$2)) -
   SUM(INDIRECT($E78&amp;"["&amp;$E79&amp;"]")*(INDIRECT($E78&amp;"[yr]")=J$5)*(INDIRECT($E78&amp;"[wk]")=J$6)*(INDIRECT($E78&amp;"[site]")=$G$2)))</f>
        <v>0.88725490196078427</v>
      </c>
      <c r="K78" s="244">
        <f t="array" aca="1" ref="K78" ca="1">(SUM(INDIRECT($E78&amp;"["&amp;$F78&amp;"]")*(INDIRECT($E78&amp;"[yr]")=K$5)*(INDIRECT($E78&amp;"[wk]")=K$6)*(INDIRECT($E78&amp;"[site]")=$G$2)) -
   SUM(INDIRECT($E78&amp;"["&amp;$F79&amp;"]")*(INDIRECT($E78&amp;"[yr]")=K$5)*(INDIRECT($E78&amp;"[wk]")=K$6)*(INDIRECT($E78&amp;"[site]")=$G$2))) /
  (SUM(INDIRECT($E78&amp;"["&amp;$F78&amp;"]")*(INDIRECT($E78&amp;"[yr]")=K$5)*(INDIRECT($E78&amp;"[wk]")=K$6)*(INDIRECT($E78&amp;"[site]")=$G$2)) -
   SUM(INDIRECT($E78&amp;"["&amp;$E79&amp;"]")*(INDIRECT($E78&amp;"[yr]")=K$5)*(INDIRECT($E78&amp;"[wk]")=K$6)*(INDIRECT($E78&amp;"[site]")=$G$2)))</f>
        <v>0.90990990990990994</v>
      </c>
      <c r="L78" s="244">
        <f t="array" aca="1" ref="L78" ca="1">(SUM(INDIRECT($E78&amp;"["&amp;$F78&amp;"]")*(INDIRECT($E78&amp;"[yr]")=L$5)*(INDIRECT($E78&amp;"[wk]")=L$6)*(INDIRECT($E78&amp;"[site]")=$G$2)) -
   SUM(INDIRECT($E78&amp;"["&amp;$F79&amp;"]")*(INDIRECT($E78&amp;"[yr]")=L$5)*(INDIRECT($E78&amp;"[wk]")=L$6)*(INDIRECT($E78&amp;"[site]")=$G$2))) /
  (SUM(INDIRECT($E78&amp;"["&amp;$F78&amp;"]")*(INDIRECT($E78&amp;"[yr]")=L$5)*(INDIRECT($E78&amp;"[wk]")=L$6)*(INDIRECT($E78&amp;"[site]")=$G$2)) -
   SUM(INDIRECT($E78&amp;"["&amp;$E79&amp;"]")*(INDIRECT($E78&amp;"[yr]")=L$5)*(INDIRECT($E78&amp;"[wk]")=L$6)*(INDIRECT($E78&amp;"[site]")=$G$2)))</f>
        <v>0.89849624060150379</v>
      </c>
      <c r="M78" s="244">
        <f t="array" aca="1" ref="M78" ca="1">(SUM(INDIRECT($E78&amp;"["&amp;$F78&amp;"]")*(INDIRECT($E78&amp;"[yr]")=M$5)*(INDIRECT($E78&amp;"[wk]")=M$6)*(INDIRECT($E78&amp;"[site]")=$G$2)) -
   SUM(INDIRECT($E78&amp;"["&amp;$F79&amp;"]")*(INDIRECT($E78&amp;"[yr]")=M$5)*(INDIRECT($E78&amp;"[wk]")=M$6)*(INDIRECT($E78&amp;"[site]")=$G$2))) /
  (SUM(INDIRECT($E78&amp;"["&amp;$F78&amp;"]")*(INDIRECT($E78&amp;"[yr]")=M$5)*(INDIRECT($E78&amp;"[wk]")=M$6)*(INDIRECT($E78&amp;"[site]")=$G$2)) -
   SUM(INDIRECT($E78&amp;"["&amp;$E79&amp;"]")*(INDIRECT($E78&amp;"[yr]")=M$5)*(INDIRECT($E78&amp;"[wk]")=M$6)*(INDIRECT($E78&amp;"[site]")=$G$2)))</f>
        <v>0.90361445783132532</v>
      </c>
      <c r="N78" s="244">
        <f t="array" aca="1" ref="N78" ca="1">(SUM(INDIRECT($E78&amp;"["&amp;$F78&amp;"]")*(INDIRECT($E78&amp;"[yr]")=N$5)*(INDIRECT($E78&amp;"[wk]")=N$6)*(INDIRECT($E78&amp;"[site]")=$G$2)) -
   SUM(INDIRECT($E78&amp;"["&amp;$F79&amp;"]")*(INDIRECT($E78&amp;"[yr]")=N$5)*(INDIRECT($E78&amp;"[wk]")=N$6)*(INDIRECT($E78&amp;"[site]")=$G$2))) /
  (SUM(INDIRECT($E78&amp;"["&amp;$F78&amp;"]")*(INDIRECT($E78&amp;"[yr]")=N$5)*(INDIRECT($E78&amp;"[wk]")=N$6)*(INDIRECT($E78&amp;"[site]")=$G$2)) -
   SUM(INDIRECT($E78&amp;"["&amp;$E79&amp;"]")*(INDIRECT($E78&amp;"[yr]")=N$5)*(INDIRECT($E78&amp;"[wk]")=N$6)*(INDIRECT($E78&amp;"[site]")=$G$2)))</f>
        <v>0.92574257425742579</v>
      </c>
      <c r="O78" s="244">
        <f t="array" aca="1" ref="O78" ca="1">(SUM(INDIRECT($E78&amp;"["&amp;$F78&amp;"]")*(INDIRECT($E78&amp;"[yr]")=O$5)*(INDIRECT($E78&amp;"[wk]")=O$6)*(INDIRECT($E78&amp;"[site]")=$G$2)) -
   SUM(INDIRECT($E78&amp;"["&amp;$F79&amp;"]")*(INDIRECT($E78&amp;"[yr]")=O$5)*(INDIRECT($E78&amp;"[wk]")=O$6)*(INDIRECT($E78&amp;"[site]")=$G$2))) /
  (SUM(INDIRECT($E78&amp;"["&amp;$F78&amp;"]")*(INDIRECT($E78&amp;"[yr]")=O$5)*(INDIRECT($E78&amp;"[wk]")=O$6)*(INDIRECT($E78&amp;"[site]")=$G$2)) -
   SUM(INDIRECT($E78&amp;"["&amp;$E79&amp;"]")*(INDIRECT($E78&amp;"[yr]")=O$5)*(INDIRECT($E78&amp;"[wk]")=O$6)*(INDIRECT($E78&amp;"[site]")=$G$2)))</f>
        <v>0.86111111111111116</v>
      </c>
      <c r="P78" s="250">
        <f t="array" aca="1" ref="P78" ca="1">(SUM(INDIRECT($E78&amp;"["&amp;$F78&amp;"]")*(INDIRECT($E78&amp;"[yr]")=P$5)*(INDIRECT($E78&amp;"[wk]")=P$6)*(INDIRECT($E78&amp;"[site]")=$G$2)) -
   SUM(INDIRECT($E78&amp;"["&amp;$F79&amp;"]")*(INDIRECT($E78&amp;"[yr]")=P$5)*(INDIRECT($E78&amp;"[wk]")=P$6)*(INDIRECT($E78&amp;"[site]")=$G$2))) /
  (SUM(INDIRECT($E78&amp;"["&amp;$F78&amp;"]")*(INDIRECT($E78&amp;"[yr]")=P$5)*(INDIRECT($E78&amp;"[wk]")=P$6)*(INDIRECT($E78&amp;"[site]")=$G$2)) -
   SUM(INDIRECT($E78&amp;"["&amp;$E79&amp;"]")*(INDIRECT($E78&amp;"[yr]")=P$5)*(INDIRECT($E78&amp;"[wk]")=P$6)*(INDIRECT($E78&amp;"[site]")=$G$2)))</f>
        <v>0.7640845070422535</v>
      </c>
      <c r="Q78" s="244">
        <f t="array" aca="1" ref="Q78" ca="1">(SUM(INDIRECT($E78&amp;"["&amp;$F78&amp;"]")*(INDIRECT($E78&amp;"[yr]")=Q$5)*(INDIRECT($E78&amp;"[wk]")=Q$6)*(INDIRECT($E78&amp;"[site]")=$G$2)) -
   SUM(INDIRECT($E78&amp;"["&amp;$F79&amp;"]")*(INDIRECT($E78&amp;"[yr]")=Q$5)*(INDIRECT($E78&amp;"[wk]")=Q$6)*(INDIRECT($E78&amp;"[site]")=$G$2))) /
  (SUM(INDIRECT($E78&amp;"["&amp;$F78&amp;"]")*(INDIRECT($E78&amp;"[yr]")=Q$5)*(INDIRECT($E78&amp;"[wk]")=Q$6)*(INDIRECT($E78&amp;"[site]")=$G$2)) -
   SUM(INDIRECT($E78&amp;"["&amp;$E79&amp;"]")*(INDIRECT($E78&amp;"[yr]")=Q$5)*(INDIRECT($E78&amp;"[wk]")=Q$6)*(INDIRECT($E78&amp;"[site]")=$G$2)))</f>
        <v>0.89686098654708524</v>
      </c>
      <c r="R78" s="244">
        <f t="array" aca="1" ref="R78" ca="1">(SUM(INDIRECT($E78&amp;"["&amp;$F78&amp;"]")*(INDIRECT($E78&amp;"[yr]")=R$5)*(INDIRECT($E78&amp;"[wk]")=R$6)*(INDIRECT($E78&amp;"[site]")=$G$2)) -
   SUM(INDIRECT($E78&amp;"["&amp;$F79&amp;"]")*(INDIRECT($E78&amp;"[yr]")=R$5)*(INDIRECT($E78&amp;"[wk]")=R$6)*(INDIRECT($E78&amp;"[site]")=$G$2))) /
  (SUM(INDIRECT($E78&amp;"["&amp;$F78&amp;"]")*(INDIRECT($E78&amp;"[yr]")=R$5)*(INDIRECT($E78&amp;"[wk]")=R$6)*(INDIRECT($E78&amp;"[site]")=$G$2)) -
   SUM(INDIRECT($E78&amp;"["&amp;$E79&amp;"]")*(INDIRECT($E78&amp;"[yr]")=R$5)*(INDIRECT($E78&amp;"[wk]")=R$6)*(INDIRECT($E78&amp;"[site]")=$G$2)))</f>
        <v>0.93442622950819676</v>
      </c>
      <c r="S78" s="244">
        <f t="array" aca="1" ref="S78" ca="1">(SUM(INDIRECT($E78&amp;"["&amp;$F78&amp;"]")*(INDIRECT($E78&amp;"[yr]")=S$5)*(INDIRECT($E78&amp;"[wk]")=S$6)*(INDIRECT($E78&amp;"[site]")=$G$2)) -
   SUM(INDIRECT($E78&amp;"["&amp;$F79&amp;"]")*(INDIRECT($E78&amp;"[yr]")=S$5)*(INDIRECT($E78&amp;"[wk]")=S$6)*(INDIRECT($E78&amp;"[site]")=$G$2))) /
  (SUM(INDIRECT($E78&amp;"["&amp;$F78&amp;"]")*(INDIRECT($E78&amp;"[yr]")=S$5)*(INDIRECT($E78&amp;"[wk]")=S$6)*(INDIRECT($E78&amp;"[site]")=$G$2)) -
   SUM(INDIRECT($E78&amp;"["&amp;$E79&amp;"]")*(INDIRECT($E78&amp;"[yr]")=S$5)*(INDIRECT($E78&amp;"[wk]")=S$6)*(INDIRECT($E78&amp;"[site]")=$G$2)))</f>
        <v>0.94252873563218387</v>
      </c>
      <c r="T78" s="241">
        <f t="array" aca="1" ref="T78" ca="1">(SUM(INDIRECT($E78&amp;"["&amp;$F78&amp;"]")*(INDIRECT($E78&amp;"[yr]")=T$5)*(INDIRECT($E78&amp;"[wk]")=T$6)*(INDIRECT($E78&amp;"[site]")=$G$2)) -
   SUM(INDIRECT($E78&amp;"["&amp;$F79&amp;"]")*(INDIRECT($E78&amp;"[yr]")=T$5)*(INDIRECT($E78&amp;"[wk]")=T$6)*(INDIRECT($E78&amp;"[site]")=$G$2))) /
  (SUM(INDIRECT($E78&amp;"["&amp;$F78&amp;"]")*(INDIRECT($E78&amp;"[yr]")=T$5)*(INDIRECT($E78&amp;"[wk]")=T$6)*(INDIRECT($E78&amp;"[site]")=$G$2)) -
   SUM(INDIRECT($E78&amp;"["&amp;$E79&amp;"]")*(INDIRECT($E78&amp;"[yr]")=T$5)*(INDIRECT($E78&amp;"[wk]")=T$6)*(INDIRECT($E78&amp;"[site]")=$G$2)))</f>
        <v>0.9634703196347032</v>
      </c>
      <c r="U78" s="245">
        <f ca="1">AVERAGE(Q78:T78)</f>
        <v>0.93432156783054221</v>
      </c>
      <c r="V78" s="49">
        <f t="array" aca="1" ref="V78" ca="1">SUM(T78/S78)-1</f>
        <v>2.2218509856331448E-2</v>
      </c>
      <c r="W78" s="251">
        <v>0.9</v>
      </c>
      <c r="X78" s="49"/>
    </row>
    <row r="79" spans="2:24" ht="14.15" customHeight="1" x14ac:dyDescent="0.4">
      <c r="B79" s="329"/>
      <c r="D79" s="202" t="s">
        <v>67</v>
      </c>
      <c r="E79" s="40" t="s">
        <v>320</v>
      </c>
      <c r="F79" s="40" t="s">
        <v>321</v>
      </c>
      <c r="G79" s="40"/>
      <c r="H79" s="40"/>
      <c r="I79" s="50">
        <f t="array" aca="1" ref="I79" ca="1">IFERROR(I78/((SUM(INDIRECT($E78&amp;"["&amp;$F78&amp;"]")*(INDIRECT($E78&amp;"[yr]")=I$5-1)*(INDIRECT($E78&amp;"[wk]")=I$6)*(INDIRECT($E78&amp;"[site]")=$G$2))-
SUM(INDIRECT($E78&amp;"["&amp;$F79&amp;"]")*(INDIRECT($E78&amp;"[yr]")=I$5-1)*(INDIRECT($E78&amp;"[wk]")=I$6)*(INDIRECT($E78&amp;"[site]")=$G$2)))/
(SUM(INDIRECT($E78&amp;"["&amp;$F78&amp;"]")*(INDIRECT($E78&amp;"[yr]")=I$5-1)*(INDIRECT($E78&amp;"[wk]")=I$6)*(INDIRECT($E78&amp;"[site]")=$G$2))-
SUM(INDIRECT($E78&amp;"["&amp;$E79&amp;"]")*(INDIRECT($E78&amp;"[yr]")=I$5-1)*(INDIRECT($E78&amp;"[wk]")=I$6)*(INDIRECT($E78&amp;"[site]")=$G$2))))-1,0)</f>
        <v>3.2464918334483617E-2</v>
      </c>
      <c r="J79" s="50">
        <f t="array" aca="1" ref="J79" ca="1">IFERROR(J78/((SUM(INDIRECT($E78&amp;"["&amp;$F78&amp;"]")*(INDIRECT($E78&amp;"[yr]")=J$5-1)*(INDIRECT($E78&amp;"[wk]")=J$6)*(INDIRECT($E78&amp;"[site]")=$G$2))-
SUM(INDIRECT($E78&amp;"["&amp;$F79&amp;"]")*(INDIRECT($E78&amp;"[yr]")=J$5-1)*(INDIRECT($E78&amp;"[wk]")=J$6)*(INDIRECT($E78&amp;"[site]")=$G$2)))/
(SUM(INDIRECT($E78&amp;"["&amp;$F78&amp;"]")*(INDIRECT($E78&amp;"[yr]")=J$5-1)*(INDIRECT($E78&amp;"[wk]")=J$6)*(INDIRECT($E78&amp;"[site]")=$G$2))-
SUM(INDIRECT($E78&amp;"["&amp;$E79&amp;"]")*(INDIRECT($E78&amp;"[yr]")=J$5-1)*(INDIRECT($E78&amp;"[wk]")=J$6)*(INDIRECT($E78&amp;"[site]")=$G$2))))-1,0)</f>
        <v>0.20364037087703291</v>
      </c>
      <c r="K79" s="50">
        <f t="array" aca="1" ref="K79" ca="1">IFERROR(K78/((SUM(INDIRECT($E78&amp;"["&amp;$F78&amp;"]")*(INDIRECT($E78&amp;"[yr]")=K$5-1)*(INDIRECT($E78&amp;"[wk]")=K$6)*(INDIRECT($E78&amp;"[site]")=$G$2))-
SUM(INDIRECT($E78&amp;"["&amp;$F79&amp;"]")*(INDIRECT($E78&amp;"[yr]")=K$5-1)*(INDIRECT($E78&amp;"[wk]")=K$6)*(INDIRECT($E78&amp;"[site]")=$G$2)))/
(SUM(INDIRECT($E78&amp;"["&amp;$F78&amp;"]")*(INDIRECT($E78&amp;"[yr]")=K$5-1)*(INDIRECT($E78&amp;"[wk]")=K$6)*(INDIRECT($E78&amp;"[site]")=$G$2))-
SUM(INDIRECT($E78&amp;"["&amp;$E79&amp;"]")*(INDIRECT($E78&amp;"[yr]")=K$5-1)*(INDIRECT($E78&amp;"[wk]")=K$6)*(INDIRECT($E78&amp;"[site]")=$G$2))))-1,0)</f>
        <v>2.9335585585585688E-2</v>
      </c>
      <c r="L79" s="50">
        <f t="array" aca="1" ref="L79" ca="1">IFERROR(L78/((SUM(INDIRECT($E78&amp;"["&amp;$F78&amp;"]")*(INDIRECT($E78&amp;"[yr]")=L$5-1)*(INDIRECT($E78&amp;"[wk]")=L$6)*(INDIRECT($E78&amp;"[site]")=$G$2))-
SUM(INDIRECT($E78&amp;"["&amp;$F79&amp;"]")*(INDIRECT($E78&amp;"[yr]")=L$5-1)*(INDIRECT($E78&amp;"[wk]")=L$6)*(INDIRECT($E78&amp;"[site]")=$G$2)))/
(SUM(INDIRECT($E78&amp;"["&amp;$F78&amp;"]")*(INDIRECT($E78&amp;"[yr]")=L$5-1)*(INDIRECT($E78&amp;"[wk]")=L$6)*(INDIRECT($E78&amp;"[site]")=$G$2))-
SUM(INDIRECT($E78&amp;"["&amp;$E79&amp;"]")*(INDIRECT($E78&amp;"[yr]")=L$5-1)*(INDIRECT($E78&amp;"[wk]")=L$6)*(INDIRECT($E78&amp;"[site]")=$G$2))))-1,0)</f>
        <v>0.19535623198966601</v>
      </c>
      <c r="M79" s="50">
        <f t="array" aca="1" ref="M79" ca="1">IFERROR(M78/((SUM(INDIRECT($E78&amp;"["&amp;$F78&amp;"]")*(INDIRECT($E78&amp;"[yr]")=M$5-1)*(INDIRECT($E78&amp;"[wk]")=M$6)*(INDIRECT($E78&amp;"[site]")=$G$2))-
SUM(INDIRECT($E78&amp;"["&amp;$F79&amp;"]")*(INDIRECT($E78&amp;"[yr]")=M$5-1)*(INDIRECT($E78&amp;"[wk]")=M$6)*(INDIRECT($E78&amp;"[site]")=$G$2)))/
(SUM(INDIRECT($E78&amp;"["&amp;$F78&amp;"]")*(INDIRECT($E78&amp;"[yr]")=M$5-1)*(INDIRECT($E78&amp;"[wk]")=M$6)*(INDIRECT($E78&amp;"[site]")=$G$2))-
SUM(INDIRECT($E78&amp;"["&amp;$E79&amp;"]")*(INDIRECT($E78&amp;"[yr]")=M$5-1)*(INDIRECT($E78&amp;"[wk]")=M$6)*(INDIRECT($E78&amp;"[site]")=$G$2))))-1,0)</f>
        <v>0.17945466074825633</v>
      </c>
      <c r="N79" s="50">
        <f t="array" aca="1" ref="N79" ca="1">IFERROR(N78/((SUM(INDIRECT($E78&amp;"["&amp;$F78&amp;"]")*(INDIRECT($E78&amp;"[yr]")=N$5-1)*(INDIRECT($E78&amp;"[wk]")=N$6)*(INDIRECT($E78&amp;"[site]")=$G$2))-
SUM(INDIRECT($E78&amp;"["&amp;$F79&amp;"]")*(INDIRECT($E78&amp;"[yr]")=N$5-1)*(INDIRECT($E78&amp;"[wk]")=N$6)*(INDIRECT($E78&amp;"[site]")=$G$2)))/
(SUM(INDIRECT($E78&amp;"["&amp;$F78&amp;"]")*(INDIRECT($E78&amp;"[yr]")=N$5-1)*(INDIRECT($E78&amp;"[wk]")=N$6)*(INDIRECT($E78&amp;"[site]")=$G$2))-
SUM(INDIRECT($E78&amp;"["&amp;$E79&amp;"]")*(INDIRECT($E78&amp;"[yr]")=N$5-1)*(INDIRECT($E78&amp;"[wk]")=N$6)*(INDIRECT($E78&amp;"[site]")=$G$2))))-1,0)</f>
        <v>9.9319306930693241E-2</v>
      </c>
      <c r="O79" s="50">
        <f t="array" aca="1" ref="O79" ca="1">IFERROR(O78/((SUM(INDIRECT($E78&amp;"["&amp;$F78&amp;"]")*(INDIRECT($E78&amp;"[yr]")=O$5-1)*(INDIRECT($E78&amp;"[wk]")=O$6)*(INDIRECT($E78&amp;"[site]")=$G$2))-
SUM(INDIRECT($E78&amp;"["&amp;$F79&amp;"]")*(INDIRECT($E78&amp;"[yr]")=O$5-1)*(INDIRECT($E78&amp;"[wk]")=O$6)*(INDIRECT($E78&amp;"[site]")=$G$2)))/
(SUM(INDIRECT($E78&amp;"["&amp;$F78&amp;"]")*(INDIRECT($E78&amp;"[yr]")=O$5-1)*(INDIRECT($E78&amp;"[wk]")=O$6)*(INDIRECT($E78&amp;"[site]")=$G$2))-
SUM(INDIRECT($E78&amp;"["&amp;$E79&amp;"]")*(INDIRECT($E78&amp;"[yr]")=O$5-1)*(INDIRECT($E78&amp;"[wk]")=O$6)*(INDIRECT($E78&amp;"[site]")=$G$2))))-1,0)</f>
        <v>0.38734567901234573</v>
      </c>
      <c r="P79" s="54">
        <f t="array" aca="1" ref="P79" ca="1">IFERROR(P78/((SUM(INDIRECT($E78&amp;"["&amp;$F78&amp;"]")*(INDIRECT($E78&amp;"[yr]")=P$5-1)*(INDIRECT($E78&amp;"[wk]")=P$6)*(INDIRECT($E78&amp;"[site]")=$G$2))-
SUM(INDIRECT($E78&amp;"["&amp;$F79&amp;"]")*(INDIRECT($E78&amp;"[yr]")=P$5-1)*(INDIRECT($E78&amp;"[wk]")=P$6)*(INDIRECT($E78&amp;"[site]")=$G$2)))/
(SUM(INDIRECT($E78&amp;"["&amp;$F78&amp;"]")*(INDIRECT($E78&amp;"[yr]")=P$5-1)*(INDIRECT($E78&amp;"[wk]")=P$6)*(INDIRECT($E78&amp;"[site]")=$G$2))-
SUM(INDIRECT($E78&amp;"["&amp;$E79&amp;"]")*(INDIRECT($E78&amp;"[yr]")=P$5-1)*(INDIRECT($E78&amp;"[wk]")=P$6)*(INDIRECT($E78&amp;"[site]")=$G$2))))-1,0)</f>
        <v>3.1175994017200503E-2</v>
      </c>
      <c r="Q79" s="50">
        <f t="array" aca="1" ref="Q79" ca="1">IFERROR(Q78/((SUM(INDIRECT($E78&amp;"["&amp;$F78&amp;"]")*(INDIRECT($E78&amp;"[yr]")=Q$5-1)*(INDIRECT($E78&amp;"[wk]")=Q$6)*(INDIRECT($E78&amp;"[site]")=$G$2))-
SUM(INDIRECT($E78&amp;"["&amp;$F79&amp;"]")*(INDIRECT($E78&amp;"[yr]")=Q$5-1)*(INDIRECT($E78&amp;"[wk]")=Q$6)*(INDIRECT($E78&amp;"[site]")=$G$2)))/
(SUM(INDIRECT($E78&amp;"["&amp;$F78&amp;"]")*(INDIRECT($E78&amp;"[yr]")=Q$5-1)*(INDIRECT($E78&amp;"[wk]")=Q$6)*(INDIRECT($E78&amp;"[site]")=$G$2))-
SUM(INDIRECT($E78&amp;"["&amp;$E79&amp;"]")*(INDIRECT($E78&amp;"[yr]")=Q$5-1)*(INDIRECT($E78&amp;"[wk]")=Q$6)*(INDIRECT($E78&amp;"[site]")=$G$2))))-1,0)</f>
        <v>4.0021895197793533E-2</v>
      </c>
      <c r="R79" s="50">
        <f t="array" aca="1" ref="R79" ca="1">IFERROR(R78/((SUM(INDIRECT($E78&amp;"["&amp;$F78&amp;"]")*(INDIRECT($E78&amp;"[yr]")=R$5-1)*(INDIRECT($E78&amp;"[wk]")=R$6)*(INDIRECT($E78&amp;"[site]")=$G$2))-
SUM(INDIRECT($E78&amp;"["&amp;$F79&amp;"]")*(INDIRECT($E78&amp;"[yr]")=R$5-1)*(INDIRECT($E78&amp;"[wk]")=R$6)*(INDIRECT($E78&amp;"[site]")=$G$2)))/
(SUM(INDIRECT($E78&amp;"["&amp;$F78&amp;"]")*(INDIRECT($E78&amp;"[yr]")=R$5-1)*(INDIRECT($E78&amp;"[wk]")=R$6)*(INDIRECT($E78&amp;"[site]")=$G$2))-
SUM(INDIRECT($E78&amp;"["&amp;$E79&amp;"]")*(INDIRECT($E78&amp;"[yr]")=R$5-1)*(INDIRECT($E78&amp;"[wk]")=R$6)*(INDIRECT($E78&amp;"[site]")=$G$2))))-1,0)</f>
        <v>5.9303467553071032E-2</v>
      </c>
      <c r="S79" s="50">
        <f t="array" aca="1" ref="S79" ca="1">IFERROR(S78/((SUM(INDIRECT($E78&amp;"["&amp;$F78&amp;"]")*(INDIRECT($E78&amp;"[yr]")=S$5-1)*(INDIRECT($E78&amp;"[wk]")=S$6)*(INDIRECT($E78&amp;"[site]")=$G$2))-
SUM(INDIRECT($E78&amp;"["&amp;$F79&amp;"]")*(INDIRECT($E78&amp;"[yr]")=S$5-1)*(INDIRECT($E78&amp;"[wk]")=S$6)*(INDIRECT($E78&amp;"[site]")=$G$2)))/
(SUM(INDIRECT($E78&amp;"["&amp;$F78&amp;"]")*(INDIRECT($E78&amp;"[yr]")=S$5-1)*(INDIRECT($E78&amp;"[wk]")=S$6)*(INDIRECT($E78&amp;"[site]")=$G$2))-
SUM(INDIRECT($E78&amp;"["&amp;$E79&amp;"]")*(INDIRECT($E78&amp;"[yr]")=S$5-1)*(INDIRECT($E78&amp;"[wk]")=S$6)*(INDIRECT($E78&amp;"[site]")=$G$2))))-1,0)</f>
        <v>8.5222329074506442E-2</v>
      </c>
      <c r="T79" s="52">
        <f t="array" aca="1" ref="T79" ca="1">IFERROR(T78/((SUM(INDIRECT($E78&amp;"["&amp;$F78&amp;"]")*(INDIRECT($E78&amp;"[yr]")=T$5-1)*(INDIRECT($E78&amp;"[wk]")=T$6)*(INDIRECT($E78&amp;"[site]")=$G$2))-
SUM(INDIRECT($E78&amp;"["&amp;$F79&amp;"]")*(INDIRECT($E78&amp;"[yr]")=T$5-1)*(INDIRECT($E78&amp;"[wk]")=T$6)*(INDIRECT($E78&amp;"[site]")=$G$2)))/
(SUM(INDIRECT($E78&amp;"["&amp;$F78&amp;"]")*(INDIRECT($E78&amp;"[yr]")=T$5-1)*(INDIRECT($E78&amp;"[wk]")=T$6)*(INDIRECT($E78&amp;"[site]")=$G$2))-
SUM(INDIRECT($E78&amp;"["&amp;$E79&amp;"]")*(INDIRECT($E78&amp;"[yr]")=T$5-1)*(INDIRECT($E78&amp;"[wk]")=T$6)*(INDIRECT($E78&amp;"[site]")=$G$2))))-1,0)</f>
        <v>0.1042513709055275</v>
      </c>
      <c r="U79" s="53"/>
      <c r="V79" s="54"/>
      <c r="W79" s="55"/>
      <c r="X79" s="56"/>
    </row>
    <row r="80" spans="2:24" ht="3" customHeight="1" x14ac:dyDescent="0.4">
      <c r="B80" s="329"/>
      <c r="D80" s="78"/>
      <c r="P80" s="231"/>
      <c r="T80" s="175"/>
      <c r="U80" s="230"/>
      <c r="V80" s="78"/>
      <c r="W80" s="80"/>
      <c r="X80" s="78"/>
    </row>
    <row r="81" spans="2:25" ht="14.15" customHeight="1" x14ac:dyDescent="0.4">
      <c r="B81" s="329"/>
      <c r="D81" s="201" t="s">
        <v>432</v>
      </c>
      <c r="E81" s="63" t="s">
        <v>399</v>
      </c>
      <c r="F81" s="63" t="s">
        <v>57</v>
      </c>
      <c r="G81" s="63"/>
      <c r="H81" s="63"/>
      <c r="I81" s="128" t="e">
        <f t="array" aca="1" ref="I81" ca="1">IF($G$2=0,
(SUM(INDIRECT($E81&amp;"["&amp;$F81&amp;"]")*(INDIRECT($E81&amp;"[yr]")=I$5)*(INDIRECT($E81&amp;"[wk]")=I$6))/
SUM(INDIRECT($E81&amp;"["&amp;$E82&amp;"]")*(INDIRECT($E81&amp;"[yr]")=I$5)*(INDIRECT($E81&amp;"[wk]")=I$6))),
(SUM(INDIRECT($E81&amp;"["&amp;$F81&amp;"]")*(INDIRECT($E81&amp;"[yr]")=I$5)*(INDIRECT($E81&amp;"[wk]")=I$6)*(INDIRECT($E81&amp;"[site]")=$G$2))/
SUM(INDIRECT($E81&amp;"["&amp;$E82&amp;"]")*(INDIRECT($E81&amp;"[yr]")=I$5)*(INDIRECT($E81&amp;"[wk]")=I$6)*(INDIRECT($E81&amp;"[site]")=$G$2))) )</f>
        <v>#REF!</v>
      </c>
      <c r="J81" s="128" t="e">
        <f t="array" aca="1" ref="J81" ca="1">IF($G$2=0,
(SUM(INDIRECT($E81&amp;"["&amp;$F81&amp;"]")*(INDIRECT($E81&amp;"[yr]")=J$5)*(INDIRECT($E81&amp;"[wk]")=J$6))/
SUM(INDIRECT($E81&amp;"["&amp;$E82&amp;"]")*(INDIRECT($E81&amp;"[yr]")=J$5)*(INDIRECT($E81&amp;"[wk]")=J$6))),
(SUM(INDIRECT($E81&amp;"["&amp;$F81&amp;"]")*(INDIRECT($E81&amp;"[yr]")=J$5)*(INDIRECT($E81&amp;"[wk]")=J$6)*(INDIRECT($E81&amp;"[site]")=$G$2))/
SUM(INDIRECT($E81&amp;"["&amp;$E82&amp;"]")*(INDIRECT($E81&amp;"[yr]")=J$5)*(INDIRECT($E81&amp;"[wk]")=J$6)*(INDIRECT($E81&amp;"[site]")=$G$2))) )</f>
        <v>#REF!</v>
      </c>
      <c r="K81" s="128" t="e">
        <f t="array" aca="1" ref="K81" ca="1">IF($G$2=0,
(SUM(INDIRECT($E81&amp;"["&amp;$F81&amp;"]")*(INDIRECT($E81&amp;"[yr]")=K$5)*(INDIRECT($E81&amp;"[wk]")=K$6))/
SUM(INDIRECT($E81&amp;"["&amp;$E82&amp;"]")*(INDIRECT($E81&amp;"[yr]")=K$5)*(INDIRECT($E81&amp;"[wk]")=K$6))),
(SUM(INDIRECT($E81&amp;"["&amp;$F81&amp;"]")*(INDIRECT($E81&amp;"[yr]")=K$5)*(INDIRECT($E81&amp;"[wk]")=K$6)*(INDIRECT($E81&amp;"[site]")=$G$2))/
SUM(INDIRECT($E81&amp;"["&amp;$E82&amp;"]")*(INDIRECT($E81&amp;"[yr]")=K$5)*(INDIRECT($E81&amp;"[wk]")=K$6)*(INDIRECT($E81&amp;"[site]")=$G$2))) )</f>
        <v>#REF!</v>
      </c>
      <c r="L81" s="128" t="e">
        <f t="array" aca="1" ref="L81" ca="1">IF($G$2=0,
(SUM(INDIRECT($E81&amp;"["&amp;$F81&amp;"]")*(INDIRECT($E81&amp;"[yr]")=L$5)*(INDIRECT($E81&amp;"[wk]")=L$6))/
SUM(INDIRECT($E81&amp;"["&amp;$E82&amp;"]")*(INDIRECT($E81&amp;"[yr]")=L$5)*(INDIRECT($E81&amp;"[wk]")=L$6))),
(SUM(INDIRECT($E81&amp;"["&amp;$F81&amp;"]")*(INDIRECT($E81&amp;"[yr]")=L$5)*(INDIRECT($E81&amp;"[wk]")=L$6)*(INDIRECT($E81&amp;"[site]")=$G$2))/
SUM(INDIRECT($E81&amp;"["&amp;$E82&amp;"]")*(INDIRECT($E81&amp;"[yr]")=L$5)*(INDIRECT($E81&amp;"[wk]")=L$6)*(INDIRECT($E81&amp;"[site]")=$G$2))) )</f>
        <v>#REF!</v>
      </c>
      <c r="M81" s="128" t="e">
        <f t="array" aca="1" ref="M81" ca="1">IF($G$2=0,
(SUM(INDIRECT($E81&amp;"["&amp;$F81&amp;"]")*(INDIRECT($E81&amp;"[yr]")=M$5)*(INDIRECT($E81&amp;"[wk]")=M$6))/
SUM(INDIRECT($E81&amp;"["&amp;$E82&amp;"]")*(INDIRECT($E81&amp;"[yr]")=M$5)*(INDIRECT($E81&amp;"[wk]")=M$6))),
(SUM(INDIRECT($E81&amp;"["&amp;$F81&amp;"]")*(INDIRECT($E81&amp;"[yr]")=M$5)*(INDIRECT($E81&amp;"[wk]")=M$6)*(INDIRECT($E81&amp;"[site]")=$G$2))/
SUM(INDIRECT($E81&amp;"["&amp;$E82&amp;"]")*(INDIRECT($E81&amp;"[yr]")=M$5)*(INDIRECT($E81&amp;"[wk]")=M$6)*(INDIRECT($E81&amp;"[site]")=$G$2))) )</f>
        <v>#REF!</v>
      </c>
      <c r="N81" s="128" t="e">
        <f t="array" aca="1" ref="N81" ca="1">IF($G$2=0,
(SUM(INDIRECT($E81&amp;"["&amp;$F81&amp;"]")*(INDIRECT($E81&amp;"[yr]")=N$5)*(INDIRECT($E81&amp;"[wk]")=N$6))/
SUM(INDIRECT($E81&amp;"["&amp;$E82&amp;"]")*(INDIRECT($E81&amp;"[yr]")=N$5)*(INDIRECT($E81&amp;"[wk]")=N$6))),
(SUM(INDIRECT($E81&amp;"["&amp;$F81&amp;"]")*(INDIRECT($E81&amp;"[yr]")=N$5)*(INDIRECT($E81&amp;"[wk]")=N$6)*(INDIRECT($E81&amp;"[site]")=$G$2))/
SUM(INDIRECT($E81&amp;"["&amp;$E82&amp;"]")*(INDIRECT($E81&amp;"[yr]")=N$5)*(INDIRECT($E81&amp;"[wk]")=N$6)*(INDIRECT($E81&amp;"[site]")=$G$2))) )</f>
        <v>#REF!</v>
      </c>
      <c r="O81" s="128" t="e">
        <f t="array" aca="1" ref="O81" ca="1">IF($G$2=0,
(SUM(INDIRECT($E81&amp;"["&amp;$F81&amp;"]")*(INDIRECT($E81&amp;"[yr]")=O$5)*(INDIRECT($E81&amp;"[wk]")=O$6))/
SUM(INDIRECT($E81&amp;"["&amp;$E82&amp;"]")*(INDIRECT($E81&amp;"[yr]")=O$5)*(INDIRECT($E81&amp;"[wk]")=O$6))),
(SUM(INDIRECT($E81&amp;"["&amp;$F81&amp;"]")*(INDIRECT($E81&amp;"[yr]")=O$5)*(INDIRECT($E81&amp;"[wk]")=O$6)*(INDIRECT($E81&amp;"[site]")=$G$2))/
SUM(INDIRECT($E81&amp;"["&amp;$E82&amp;"]")*(INDIRECT($E81&amp;"[yr]")=O$5)*(INDIRECT($E81&amp;"[wk]")=O$6)*(INDIRECT($E81&amp;"[site]")=$G$2))) )</f>
        <v>#REF!</v>
      </c>
      <c r="P81" s="154" t="e">
        <f t="array" aca="1" ref="P81" ca="1">IF($G$2=0,
(SUM(INDIRECT($E81&amp;"["&amp;$F81&amp;"]")*(INDIRECT($E81&amp;"[yr]")=P$5)*(INDIRECT($E81&amp;"[wk]")=P$6))/
SUM(INDIRECT($E81&amp;"["&amp;$E82&amp;"]")*(INDIRECT($E81&amp;"[yr]")=P$5)*(INDIRECT($E81&amp;"[wk]")=P$6))),
(SUM(INDIRECT($E81&amp;"["&amp;$F81&amp;"]")*(INDIRECT($E81&amp;"[yr]")=P$5)*(INDIRECT($E81&amp;"[wk]")=P$6)*(INDIRECT($E81&amp;"[site]")=$G$2))/
SUM(INDIRECT($E81&amp;"["&amp;$E82&amp;"]")*(INDIRECT($E81&amp;"[yr]")=P$5)*(INDIRECT($E81&amp;"[wk]")=P$6)*(INDIRECT($E81&amp;"[site]")=$G$2))) )</f>
        <v>#REF!</v>
      </c>
      <c r="Q81" s="128" t="e">
        <f t="array" aca="1" ref="Q81" ca="1">IF($G$2=0,
(SUM(INDIRECT($E81&amp;"["&amp;$F81&amp;"]")*(INDIRECT($E81&amp;"[yr]")=Q$5)*(INDIRECT($E81&amp;"[wk]")=Q$6))/
SUM(INDIRECT($E81&amp;"["&amp;$E82&amp;"]")*(INDIRECT($E81&amp;"[yr]")=Q$5)*(INDIRECT($E81&amp;"[wk]")=Q$6))),
(SUM(INDIRECT($E81&amp;"["&amp;$F81&amp;"]")*(INDIRECT($E81&amp;"[yr]")=Q$5)*(INDIRECT($E81&amp;"[wk]")=Q$6)*(INDIRECT($E81&amp;"[site]")=$G$2))/
SUM(INDIRECT($E81&amp;"["&amp;$E82&amp;"]")*(INDIRECT($E81&amp;"[yr]")=Q$5)*(INDIRECT($E81&amp;"[wk]")=Q$6)*(INDIRECT($E81&amp;"[site]")=$G$2))) )</f>
        <v>#REF!</v>
      </c>
      <c r="R81" s="128" t="e">
        <f t="array" aca="1" ref="R81" ca="1">IF($G$2=0,
(SUM(INDIRECT($E81&amp;"["&amp;$F81&amp;"]")*(INDIRECT($E81&amp;"[yr]")=R$5)*(INDIRECT($E81&amp;"[wk]")=R$6))/
SUM(INDIRECT($E81&amp;"["&amp;$E82&amp;"]")*(INDIRECT($E81&amp;"[yr]")=R$5)*(INDIRECT($E81&amp;"[wk]")=R$6))),
(SUM(INDIRECT($E81&amp;"["&amp;$F81&amp;"]")*(INDIRECT($E81&amp;"[yr]")=R$5)*(INDIRECT($E81&amp;"[wk]")=R$6)*(INDIRECT($E81&amp;"[site]")=$G$2))/
SUM(INDIRECT($E81&amp;"["&amp;$E82&amp;"]")*(INDIRECT($E81&amp;"[yr]")=R$5)*(INDIRECT($E81&amp;"[wk]")=R$6)*(INDIRECT($E81&amp;"[site]")=$G$2))) )</f>
        <v>#REF!</v>
      </c>
      <c r="S81" s="128" t="e">
        <f t="array" aca="1" ref="S81" ca="1">IF($G$2=0,
(SUM(INDIRECT($E81&amp;"["&amp;$F81&amp;"]")*(INDIRECT($E81&amp;"[yr]")=S$5)*(INDIRECT($E81&amp;"[wk]")=S$6))/
SUM(INDIRECT($E81&amp;"["&amp;$E82&amp;"]")*(INDIRECT($E81&amp;"[yr]")=S$5)*(INDIRECT($E81&amp;"[wk]")=S$6))),
(SUM(INDIRECT($E81&amp;"["&amp;$F81&amp;"]")*(INDIRECT($E81&amp;"[yr]")=S$5)*(INDIRECT($E81&amp;"[wk]")=S$6)*(INDIRECT($E81&amp;"[site]")=$G$2))/
SUM(INDIRECT($E81&amp;"["&amp;$E82&amp;"]")*(INDIRECT($E81&amp;"[yr]")=S$5)*(INDIRECT($E81&amp;"[wk]")=S$6)*(INDIRECT($E81&amp;"[site]")=$G$2))) )</f>
        <v>#REF!</v>
      </c>
      <c r="T81" s="129" t="e">
        <f t="array" aca="1" ref="T81" ca="1">IF($G$2=0,
(SUM(INDIRECT($E81&amp;"["&amp;$F81&amp;"]")*(INDIRECT($E81&amp;"[yr]")=T$5)*(INDIRECT($E81&amp;"[wk]")=T$6))/
SUM(INDIRECT($E81&amp;"["&amp;$E82&amp;"]")*(INDIRECT($E81&amp;"[yr]")=T$5)*(INDIRECT($E81&amp;"[wk]")=T$6))),
(SUM(INDIRECT($E81&amp;"["&amp;$F81&amp;"]")*(INDIRECT($E81&amp;"[yr]")=T$5)*(INDIRECT($E81&amp;"[wk]")=T$6)*(INDIRECT($E81&amp;"[site]")=$G$2))/
SUM(INDIRECT($E81&amp;"["&amp;$E82&amp;"]")*(INDIRECT($E81&amp;"[yr]")=T$5)*(INDIRECT($E81&amp;"[wk]")=T$6)*(INDIRECT($E81&amp;"[site]")=$G$2))) )</f>
        <v>#REF!</v>
      </c>
      <c r="U81" s="130" t="e">
        <f t="array" aca="1" ref="U81" ca="1">SUM(Q81:T81*$Q$66:$T$66)/SUM($Q$66:$T$66)</f>
        <v>#REF!</v>
      </c>
      <c r="V81" s="47" t="e">
        <f t="array" aca="1" ref="V81" ca="1">SUM(T81/S81)-1</f>
        <v>#REF!</v>
      </c>
      <c r="W81" s="131">
        <v>75</v>
      </c>
      <c r="X81" s="49"/>
    </row>
    <row r="82" spans="2:25" ht="14.15" customHeight="1" x14ac:dyDescent="0.4">
      <c r="B82" s="329"/>
      <c r="D82" s="204" t="s">
        <v>67</v>
      </c>
      <c r="E82" s="40" t="s">
        <v>401</v>
      </c>
      <c r="I82" s="74">
        <f t="array" aca="1" ref="I82" ca="1">IFERROR(I81/
(IF($G$2=0,
(SUM(INDIRECT($E81&amp;"["&amp;$F81&amp;"]")*(INDIRECT($E81&amp;"[yr]")=I$5-1)*(INDIRECT($E81&amp;"[wk]")=I$6))/
SUM(INDIRECT($E81&amp;"["&amp;$E82&amp;"]")*(INDIRECT($E81&amp;"[yr]")=I$5-1)*(INDIRECT($E81&amp;"[wk]")=I$6))),
(SUM(INDIRECT($E81&amp;"["&amp;$F81&amp;"]")*(INDIRECT($E81&amp;"[yr]")=I$5-1)*(INDIRECT($E81&amp;"[wk]")=I$6)*(INDIRECT($E81&amp;"[site]")=$G$2))/
SUM(INDIRECT($E81&amp;"["&amp;$E82&amp;"]")*(INDIRECT($E81&amp;"[yr]")=I$5-1)*(INDIRECT($E81&amp;"[wk]")=I$6)*(INDIRECT($E81&amp;"[site]")=$G$2))) ))
-1,0)</f>
        <v>0</v>
      </c>
      <c r="J82" s="74">
        <f t="array" aca="1" ref="J82" ca="1">IFERROR(J81/
(IF($G$2=0,
(SUM(INDIRECT($E81&amp;"["&amp;$F81&amp;"]")*(INDIRECT($E81&amp;"[yr]")=J$5-1)*(INDIRECT($E81&amp;"[wk]")=J$6))/
SUM(INDIRECT($E81&amp;"["&amp;$E82&amp;"]")*(INDIRECT($E81&amp;"[yr]")=J$5-1)*(INDIRECT($E81&amp;"[wk]")=J$6))),
(SUM(INDIRECT($E81&amp;"["&amp;$F81&amp;"]")*(INDIRECT($E81&amp;"[yr]")=J$5-1)*(INDIRECT($E81&amp;"[wk]")=J$6)*(INDIRECT($E81&amp;"[site]")=$G$2))/
SUM(INDIRECT($E81&amp;"["&amp;$E82&amp;"]")*(INDIRECT($E81&amp;"[yr]")=J$5-1)*(INDIRECT($E81&amp;"[wk]")=J$6)*(INDIRECT($E81&amp;"[site]")=$G$2))) ))
-1,0)</f>
        <v>0</v>
      </c>
      <c r="K82" s="74">
        <f t="array" aca="1" ref="K82" ca="1">IFERROR(K81/
(IF($G$2=0,
(SUM(INDIRECT($E81&amp;"["&amp;$F81&amp;"]")*(INDIRECT($E81&amp;"[yr]")=K$5-1)*(INDIRECT($E81&amp;"[wk]")=K$6))/
SUM(INDIRECT($E81&amp;"["&amp;$E82&amp;"]")*(INDIRECT($E81&amp;"[yr]")=K$5-1)*(INDIRECT($E81&amp;"[wk]")=K$6))),
(SUM(INDIRECT($E81&amp;"["&amp;$F81&amp;"]")*(INDIRECT($E81&amp;"[yr]")=K$5-1)*(INDIRECT($E81&amp;"[wk]")=K$6)*(INDIRECT($E81&amp;"[site]")=$G$2))/
SUM(INDIRECT($E81&amp;"["&amp;$E82&amp;"]")*(INDIRECT($E81&amp;"[yr]")=K$5-1)*(INDIRECT($E81&amp;"[wk]")=K$6)*(INDIRECT($E81&amp;"[site]")=$G$2))) ))
-1,0)</f>
        <v>0</v>
      </c>
      <c r="L82" s="74">
        <f t="array" aca="1" ref="L82" ca="1">IFERROR(L81/
(IF($G$2=0,
(SUM(INDIRECT($E81&amp;"["&amp;$F81&amp;"]")*(INDIRECT($E81&amp;"[yr]")=L$5-1)*(INDIRECT($E81&amp;"[wk]")=L$6))/
SUM(INDIRECT($E81&amp;"["&amp;$E82&amp;"]")*(INDIRECT($E81&amp;"[yr]")=L$5-1)*(INDIRECT($E81&amp;"[wk]")=L$6))),
(SUM(INDIRECT($E81&amp;"["&amp;$F81&amp;"]")*(INDIRECT($E81&amp;"[yr]")=L$5-1)*(INDIRECT($E81&amp;"[wk]")=L$6)*(INDIRECT($E81&amp;"[site]")=$G$2))/
SUM(INDIRECT($E81&amp;"["&amp;$E82&amp;"]")*(INDIRECT($E81&amp;"[yr]")=L$5-1)*(INDIRECT($E81&amp;"[wk]")=L$6)*(INDIRECT($E81&amp;"[site]")=$G$2))) ))
-1,0)</f>
        <v>0</v>
      </c>
      <c r="M82" s="74">
        <f t="array" aca="1" ref="M82" ca="1">IFERROR(M81/
(IF($G$2=0,
(SUM(INDIRECT($E81&amp;"["&amp;$F81&amp;"]")*(INDIRECT($E81&amp;"[yr]")=M$5-1)*(INDIRECT($E81&amp;"[wk]")=M$6))/
SUM(INDIRECT($E81&amp;"["&amp;$E82&amp;"]")*(INDIRECT($E81&amp;"[yr]")=M$5-1)*(INDIRECT($E81&amp;"[wk]")=M$6))),
(SUM(INDIRECT($E81&amp;"["&amp;$F81&amp;"]")*(INDIRECT($E81&amp;"[yr]")=M$5-1)*(INDIRECT($E81&amp;"[wk]")=M$6)*(INDIRECT($E81&amp;"[site]")=$G$2))/
SUM(INDIRECT($E81&amp;"["&amp;$E82&amp;"]")*(INDIRECT($E81&amp;"[yr]")=M$5-1)*(INDIRECT($E81&amp;"[wk]")=M$6)*(INDIRECT($E81&amp;"[site]")=$G$2))) ))
-1,0)</f>
        <v>0</v>
      </c>
      <c r="N82" s="74">
        <f t="array" aca="1" ref="N82" ca="1">IFERROR(N81/
(IF($G$2=0,
(SUM(INDIRECT($E81&amp;"["&amp;$F81&amp;"]")*(INDIRECT($E81&amp;"[yr]")=N$5-1)*(INDIRECT($E81&amp;"[wk]")=N$6))/
SUM(INDIRECT($E81&amp;"["&amp;$E82&amp;"]")*(INDIRECT($E81&amp;"[yr]")=N$5-1)*(INDIRECT($E81&amp;"[wk]")=N$6))),
(SUM(INDIRECT($E81&amp;"["&amp;$F81&amp;"]")*(INDIRECT($E81&amp;"[yr]")=N$5-1)*(INDIRECT($E81&amp;"[wk]")=N$6)*(INDIRECT($E81&amp;"[site]")=$G$2))/
SUM(INDIRECT($E81&amp;"["&amp;$E82&amp;"]")*(INDIRECT($E81&amp;"[yr]")=N$5-1)*(INDIRECT($E81&amp;"[wk]")=N$6)*(INDIRECT($E81&amp;"[site]")=$G$2))) ))
-1,0)</f>
        <v>0</v>
      </c>
      <c r="O82" s="74">
        <f t="array" aca="1" ref="O82" ca="1">IFERROR(O81/
(IF($G$2=0,
(SUM(INDIRECT($E81&amp;"["&amp;$F81&amp;"]")*(INDIRECT($E81&amp;"[yr]")=O$5-1)*(INDIRECT($E81&amp;"[wk]")=O$6))/
SUM(INDIRECT($E81&amp;"["&amp;$E82&amp;"]")*(INDIRECT($E81&amp;"[yr]")=O$5-1)*(INDIRECT($E81&amp;"[wk]")=O$6))),
(SUM(INDIRECT($E81&amp;"["&amp;$F81&amp;"]")*(INDIRECT($E81&amp;"[yr]")=O$5-1)*(INDIRECT($E81&amp;"[wk]")=O$6)*(INDIRECT($E81&amp;"[site]")=$G$2))/
SUM(INDIRECT($E81&amp;"["&amp;$E82&amp;"]")*(INDIRECT($E81&amp;"[yr]")=O$5-1)*(INDIRECT($E81&amp;"[wk]")=O$6)*(INDIRECT($E81&amp;"[site]")=$G$2))) ))
-1,0)</f>
        <v>0</v>
      </c>
      <c r="P82" s="54">
        <f t="array" aca="1" ref="P82" ca="1">IFERROR(P81/
(IF($G$2=0,
(SUM(INDIRECT($E81&amp;"["&amp;$F81&amp;"]")*(INDIRECT($E81&amp;"[yr]")=P$5-1)*(INDIRECT($E81&amp;"[wk]")=P$6))/
SUM(INDIRECT($E81&amp;"["&amp;$E82&amp;"]")*(INDIRECT($E81&amp;"[yr]")=P$5-1)*(INDIRECT($E81&amp;"[wk]")=P$6))),
(SUM(INDIRECT($E81&amp;"["&amp;$F81&amp;"]")*(INDIRECT($E81&amp;"[yr]")=P$5-1)*(INDIRECT($E81&amp;"[wk]")=P$6)*(INDIRECT($E81&amp;"[site]")=$G$2))/
SUM(INDIRECT($E81&amp;"["&amp;$E82&amp;"]")*(INDIRECT($E81&amp;"[yr]")=P$5-1)*(INDIRECT($E81&amp;"[wk]")=P$6)*(INDIRECT($E81&amp;"[site]")=$G$2))) ))
-1,0)</f>
        <v>0</v>
      </c>
      <c r="Q82" s="74">
        <f t="array" aca="1" ref="Q82" ca="1">IFERROR(Q81/
(IF($G$2=0,
(SUM(INDIRECT($E81&amp;"["&amp;$F81&amp;"]")*(INDIRECT($E81&amp;"[yr]")=Q$5-1)*(INDIRECT($E81&amp;"[wk]")=Q$6))/
SUM(INDIRECT($E81&amp;"["&amp;$E82&amp;"]")*(INDIRECT($E81&amp;"[yr]")=Q$5-1)*(INDIRECT($E81&amp;"[wk]")=Q$6))),
(SUM(INDIRECT($E81&amp;"["&amp;$F81&amp;"]")*(INDIRECT($E81&amp;"[yr]")=Q$5-1)*(INDIRECT($E81&amp;"[wk]")=Q$6)*(INDIRECT($E81&amp;"[site]")=$G$2))/
SUM(INDIRECT($E81&amp;"["&amp;$E82&amp;"]")*(INDIRECT($E81&amp;"[yr]")=Q$5-1)*(INDIRECT($E81&amp;"[wk]")=Q$6)*(INDIRECT($E81&amp;"[site]")=$G$2))) ))
-1,0)</f>
        <v>0</v>
      </c>
      <c r="R82" s="74">
        <f t="array" aca="1" ref="R82" ca="1">IFERROR(R81/
(IF($G$2=0,
(SUM(INDIRECT($E81&amp;"["&amp;$F81&amp;"]")*(INDIRECT($E81&amp;"[yr]")=R$5-1)*(INDIRECT($E81&amp;"[wk]")=R$6))/
SUM(INDIRECT($E81&amp;"["&amp;$E82&amp;"]")*(INDIRECT($E81&amp;"[yr]")=R$5-1)*(INDIRECT($E81&amp;"[wk]")=R$6))),
(SUM(INDIRECT($E81&amp;"["&amp;$F81&amp;"]")*(INDIRECT($E81&amp;"[yr]")=R$5-1)*(INDIRECT($E81&amp;"[wk]")=R$6)*(INDIRECT($E81&amp;"[site]")=$G$2))/
SUM(INDIRECT($E81&amp;"["&amp;$E82&amp;"]")*(INDIRECT($E81&amp;"[yr]")=R$5-1)*(INDIRECT($E81&amp;"[wk]")=R$6)*(INDIRECT($E81&amp;"[site]")=$G$2))) ))
-1,0)</f>
        <v>0</v>
      </c>
      <c r="S82" s="74">
        <f t="array" aca="1" ref="S82" ca="1">IFERROR(S81/
(IF($G$2=0,
(SUM(INDIRECT($E81&amp;"["&amp;$F81&amp;"]")*(INDIRECT($E81&amp;"[yr]")=S$5-1)*(INDIRECT($E81&amp;"[wk]")=S$6))/
SUM(INDIRECT($E81&amp;"["&amp;$E82&amp;"]")*(INDIRECT($E81&amp;"[yr]")=S$5-1)*(INDIRECT($E81&amp;"[wk]")=S$6))),
(SUM(INDIRECT($E81&amp;"["&amp;$F81&amp;"]")*(INDIRECT($E81&amp;"[yr]")=S$5-1)*(INDIRECT($E81&amp;"[wk]")=S$6)*(INDIRECT($E81&amp;"[site]")=$G$2))/
SUM(INDIRECT($E81&amp;"["&amp;$E82&amp;"]")*(INDIRECT($E81&amp;"[yr]")=S$5-1)*(INDIRECT($E81&amp;"[wk]")=S$6)*(INDIRECT($E81&amp;"[site]")=$G$2))) ))
-1,0)</f>
        <v>0</v>
      </c>
      <c r="T82" s="76">
        <f t="array" aca="1" ref="T82" ca="1">IFERROR(T81/
(IF($G$2=0,
(SUM(INDIRECT($E81&amp;"["&amp;$F81&amp;"]")*(INDIRECT($E81&amp;"[yr]")=T$5-1)*(INDIRECT($E81&amp;"[wk]")=T$6))/
SUM(INDIRECT($E81&amp;"["&amp;$E82&amp;"]")*(INDIRECT($E81&amp;"[yr]")=T$5-1)*(INDIRECT($E81&amp;"[wk]")=T$6))),
(SUM(INDIRECT($E81&amp;"["&amp;$F81&amp;"]")*(INDIRECT($E81&amp;"[yr]")=T$5-1)*(INDIRECT($E81&amp;"[wk]")=T$6)*(INDIRECT($E81&amp;"[site]")=$G$2))/
SUM(INDIRECT($E81&amp;"["&amp;$E82&amp;"]")*(INDIRECT($E81&amp;"[yr]")=T$5-1)*(INDIRECT($E81&amp;"[wk]")=T$6)*(INDIRECT($E81&amp;"[site]")=$G$2)))))
-1,0)</f>
        <v>0</v>
      </c>
      <c r="U82" s="53">
        <f t="array" aca="1" ref="U82" ca="1">SUM(Q82:T82*$Q$66:$T$66)/SUM($Q$66:$T$66)</f>
        <v>0</v>
      </c>
      <c r="V82" s="91"/>
      <c r="W82" s="80"/>
      <c r="X82" s="56"/>
    </row>
    <row r="83" spans="2:25" ht="3" customHeight="1" x14ac:dyDescent="0.4">
      <c r="B83" s="329"/>
      <c r="D83" s="61"/>
      <c r="E83" s="40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61"/>
      <c r="Q83" s="57"/>
      <c r="R83" s="57"/>
      <c r="S83" s="149"/>
      <c r="T83" s="57"/>
      <c r="U83" s="60"/>
      <c r="V83" s="61"/>
      <c r="W83" s="62"/>
      <c r="X83" s="61"/>
    </row>
    <row r="84" spans="2:25" ht="14.15" customHeight="1" x14ac:dyDescent="0.4">
      <c r="B84" s="329"/>
      <c r="D84" s="203" t="s">
        <v>433</v>
      </c>
      <c r="E84" s="63" t="s">
        <v>399</v>
      </c>
      <c r="F84" t="s">
        <v>402</v>
      </c>
      <c r="I84" s="128" t="e">
        <f t="array" aca="1" ref="I84" ca="1">IF($G$2=0,
(SUM(INDIRECT($E84&amp;"["&amp;$F84&amp;"]")*(INDIRECT($E84&amp;"[yr]")=I$5)*(INDIRECT($E84&amp;"[wk]")=I$6))/
SUM(INDIRECT($E84&amp;"["&amp;$E85&amp;"]")*(INDIRECT($E84&amp;"[yr]")=I$5)*(INDIRECT($E84&amp;"[wk]")=I$6))),
(SUM(INDIRECT($E84&amp;"["&amp;$F84&amp;"]")*(INDIRECT($E84&amp;"[yr]")=I$5)*(INDIRECT($E84&amp;"[wk]")=I$6)*(INDIRECT($E84&amp;"[site]")=$G$2))/
SUM(INDIRECT($E84&amp;"["&amp;$E85&amp;"]")*(INDIRECT($E84&amp;"[yr]")=I$5)*(INDIRECT($E84&amp;"[wk]")=I$6)*(INDIRECT($E84&amp;"[site]")=$G$2))) )</f>
        <v>#REF!</v>
      </c>
      <c r="J84" s="128" t="e">
        <f t="array" aca="1" ref="J84" ca="1">IF($G$2=0,
(SUM(INDIRECT($E84&amp;"["&amp;$F84&amp;"]")*(INDIRECT($E84&amp;"[yr]")=J$5)*(INDIRECT($E84&amp;"[wk]")=J$6))/
SUM(INDIRECT($E84&amp;"["&amp;$E85&amp;"]")*(INDIRECT($E84&amp;"[yr]")=J$5)*(INDIRECT($E84&amp;"[wk]")=J$6))),
(SUM(INDIRECT($E84&amp;"["&amp;$F84&amp;"]")*(INDIRECT($E84&amp;"[yr]")=J$5)*(INDIRECT($E84&amp;"[wk]")=J$6)*(INDIRECT($E84&amp;"[site]")=$G$2))/
SUM(INDIRECT($E84&amp;"["&amp;$E85&amp;"]")*(INDIRECT($E84&amp;"[yr]")=J$5)*(INDIRECT($E84&amp;"[wk]")=J$6)*(INDIRECT($E84&amp;"[site]")=$G$2))) )</f>
        <v>#REF!</v>
      </c>
      <c r="K84" s="128" t="e">
        <f t="array" aca="1" ref="K84" ca="1">IF($G$2=0,
(SUM(INDIRECT($E84&amp;"["&amp;$F84&amp;"]")*(INDIRECT($E84&amp;"[yr]")=K$5)*(INDIRECT($E84&amp;"[wk]")=K$6))/
SUM(INDIRECT($E84&amp;"["&amp;$E85&amp;"]")*(INDIRECT($E84&amp;"[yr]")=K$5)*(INDIRECT($E84&amp;"[wk]")=K$6))),
(SUM(INDIRECT($E84&amp;"["&amp;$F84&amp;"]")*(INDIRECT($E84&amp;"[yr]")=K$5)*(INDIRECT($E84&amp;"[wk]")=K$6)*(INDIRECT($E84&amp;"[site]")=$G$2))/
SUM(INDIRECT($E84&amp;"["&amp;$E85&amp;"]")*(INDIRECT($E84&amp;"[yr]")=K$5)*(INDIRECT($E84&amp;"[wk]")=K$6)*(INDIRECT($E84&amp;"[site]")=$G$2))) )</f>
        <v>#REF!</v>
      </c>
      <c r="L84" s="128" t="e">
        <f t="array" aca="1" ref="L84" ca="1">IF($G$2=0,
(SUM(INDIRECT($E84&amp;"["&amp;$F84&amp;"]")*(INDIRECT($E84&amp;"[yr]")=L$5)*(INDIRECT($E84&amp;"[wk]")=L$6))/
SUM(INDIRECT($E84&amp;"["&amp;$E85&amp;"]")*(INDIRECT($E84&amp;"[yr]")=L$5)*(INDIRECT($E84&amp;"[wk]")=L$6))),
(SUM(INDIRECT($E84&amp;"["&amp;$F84&amp;"]")*(INDIRECT($E84&amp;"[yr]")=L$5)*(INDIRECT($E84&amp;"[wk]")=L$6)*(INDIRECT($E84&amp;"[site]")=$G$2))/
SUM(INDIRECT($E84&amp;"["&amp;$E85&amp;"]")*(INDIRECT($E84&amp;"[yr]")=L$5)*(INDIRECT($E84&amp;"[wk]")=L$6)*(INDIRECT($E84&amp;"[site]")=$G$2))) )</f>
        <v>#REF!</v>
      </c>
      <c r="M84" s="128" t="e">
        <f t="array" aca="1" ref="M84" ca="1">IF($G$2=0,
(SUM(INDIRECT($E84&amp;"["&amp;$F84&amp;"]")*(INDIRECT($E84&amp;"[yr]")=M$5)*(INDIRECT($E84&amp;"[wk]")=M$6))/
SUM(INDIRECT($E84&amp;"["&amp;$E85&amp;"]")*(INDIRECT($E84&amp;"[yr]")=M$5)*(INDIRECT($E84&amp;"[wk]")=M$6))),
(SUM(INDIRECT($E84&amp;"["&amp;$F84&amp;"]")*(INDIRECT($E84&amp;"[yr]")=M$5)*(INDIRECT($E84&amp;"[wk]")=M$6)*(INDIRECT($E84&amp;"[site]")=$G$2))/
SUM(INDIRECT($E84&amp;"["&amp;$E85&amp;"]")*(INDIRECT($E84&amp;"[yr]")=M$5)*(INDIRECT($E84&amp;"[wk]")=M$6)*(INDIRECT($E84&amp;"[site]")=$G$2))) )</f>
        <v>#REF!</v>
      </c>
      <c r="N84" s="128" t="e">
        <f t="array" aca="1" ref="N84" ca="1">IF($G$2=0,
(SUM(INDIRECT($E84&amp;"["&amp;$F84&amp;"]")*(INDIRECT($E84&amp;"[yr]")=N$5)*(INDIRECT($E84&amp;"[wk]")=N$6))/
SUM(INDIRECT($E84&amp;"["&amp;$E85&amp;"]")*(INDIRECT($E84&amp;"[yr]")=N$5)*(INDIRECT($E84&amp;"[wk]")=N$6))),
(SUM(INDIRECT($E84&amp;"["&amp;$F84&amp;"]")*(INDIRECT($E84&amp;"[yr]")=N$5)*(INDIRECT($E84&amp;"[wk]")=N$6)*(INDIRECT($E84&amp;"[site]")=$G$2))/
SUM(INDIRECT($E84&amp;"["&amp;$E85&amp;"]")*(INDIRECT($E84&amp;"[yr]")=N$5)*(INDIRECT($E84&amp;"[wk]")=N$6)*(INDIRECT($E84&amp;"[site]")=$G$2))) )</f>
        <v>#REF!</v>
      </c>
      <c r="O84" s="128" t="e">
        <f t="array" aca="1" ref="O84" ca="1">IF($G$2=0,
(SUM(INDIRECT($E84&amp;"["&amp;$F84&amp;"]")*(INDIRECT($E84&amp;"[yr]")=O$5)*(INDIRECT($E84&amp;"[wk]")=O$6))/
SUM(INDIRECT($E84&amp;"["&amp;$E85&amp;"]")*(INDIRECT($E84&amp;"[yr]")=O$5)*(INDIRECT($E84&amp;"[wk]")=O$6))),
(SUM(INDIRECT($E84&amp;"["&amp;$F84&amp;"]")*(INDIRECT($E84&amp;"[yr]")=O$5)*(INDIRECT($E84&amp;"[wk]")=O$6)*(INDIRECT($E84&amp;"[site]")=$G$2))/
SUM(INDIRECT($E84&amp;"["&amp;$E85&amp;"]")*(INDIRECT($E84&amp;"[yr]")=O$5)*(INDIRECT($E84&amp;"[wk]")=O$6)*(INDIRECT($E84&amp;"[site]")=$G$2))) )</f>
        <v>#REF!</v>
      </c>
      <c r="P84" s="154" t="e">
        <f t="array" aca="1" ref="P84" ca="1">IF($G$2=0,
(SUM(INDIRECT($E84&amp;"["&amp;$F84&amp;"]")*(INDIRECT($E84&amp;"[yr]")=P$5)*(INDIRECT($E84&amp;"[wk]")=P$6))/
SUM(INDIRECT($E84&amp;"["&amp;$E85&amp;"]")*(INDIRECT($E84&amp;"[yr]")=P$5)*(INDIRECT($E84&amp;"[wk]")=P$6))),
(SUM(INDIRECT($E84&amp;"["&amp;$F84&amp;"]")*(INDIRECT($E84&amp;"[yr]")=P$5)*(INDIRECT($E84&amp;"[wk]")=P$6)*(INDIRECT($E84&amp;"[site]")=$G$2))/
SUM(INDIRECT($E84&amp;"["&amp;$E85&amp;"]")*(INDIRECT($E84&amp;"[yr]")=P$5)*(INDIRECT($E84&amp;"[wk]")=P$6)*(INDIRECT($E84&amp;"[site]")=$G$2))) )</f>
        <v>#REF!</v>
      </c>
      <c r="Q84" s="128" t="e">
        <f t="array" aca="1" ref="Q84" ca="1">IF($G$2=0,
(SUM(INDIRECT($E84&amp;"["&amp;$F84&amp;"]")*(INDIRECT($E84&amp;"[yr]")=Q$5)*(INDIRECT($E84&amp;"[wk]")=Q$6))/
SUM(INDIRECT($E84&amp;"["&amp;$E85&amp;"]")*(INDIRECT($E84&amp;"[yr]")=Q$5)*(INDIRECT($E84&amp;"[wk]")=Q$6))),
(SUM(INDIRECT($E84&amp;"["&amp;$F84&amp;"]")*(INDIRECT($E84&amp;"[yr]")=Q$5)*(INDIRECT($E84&amp;"[wk]")=Q$6)*(INDIRECT($E84&amp;"[site]")=$G$2))/
SUM(INDIRECT($E84&amp;"["&amp;$E85&amp;"]")*(INDIRECT($E84&amp;"[yr]")=Q$5)*(INDIRECT($E84&amp;"[wk]")=Q$6)*(INDIRECT($E84&amp;"[site]")=$G$2))) )</f>
        <v>#REF!</v>
      </c>
      <c r="R84" s="128" t="e">
        <f t="array" aca="1" ref="R84" ca="1">IF($G$2=0,
(SUM(INDIRECT($E84&amp;"["&amp;$F84&amp;"]")*(INDIRECT($E84&amp;"[yr]")=R$5)*(INDIRECT($E84&amp;"[wk]")=R$6))/
SUM(INDIRECT($E84&amp;"["&amp;$E85&amp;"]")*(INDIRECT($E84&amp;"[yr]")=R$5)*(INDIRECT($E84&amp;"[wk]")=R$6))),
(SUM(INDIRECT($E84&amp;"["&amp;$F84&amp;"]")*(INDIRECT($E84&amp;"[yr]")=R$5)*(INDIRECT($E84&amp;"[wk]")=R$6)*(INDIRECT($E84&amp;"[site]")=$G$2))/
SUM(INDIRECT($E84&amp;"["&amp;$E85&amp;"]")*(INDIRECT($E84&amp;"[yr]")=R$5)*(INDIRECT($E84&amp;"[wk]")=R$6)*(INDIRECT($E84&amp;"[site]")=$G$2))) )</f>
        <v>#REF!</v>
      </c>
      <c r="S84" s="128" t="e">
        <f t="array" aca="1" ref="S84" ca="1">IF($G$2=0,
(SUM(INDIRECT($E84&amp;"["&amp;$F84&amp;"]")*(INDIRECT($E84&amp;"[yr]")=S$5)*(INDIRECT($E84&amp;"[wk]")=S$6))/
SUM(INDIRECT($E84&amp;"["&amp;$E85&amp;"]")*(INDIRECT($E84&amp;"[yr]")=S$5)*(INDIRECT($E84&amp;"[wk]")=S$6))),
(SUM(INDIRECT($E84&amp;"["&amp;$F84&amp;"]")*(INDIRECT($E84&amp;"[yr]")=S$5)*(INDIRECT($E84&amp;"[wk]")=S$6)*(INDIRECT($E84&amp;"[site]")=$G$2))/
SUM(INDIRECT($E84&amp;"["&amp;$E85&amp;"]")*(INDIRECT($E84&amp;"[yr]")=S$5)*(INDIRECT($E84&amp;"[wk]")=S$6)*(INDIRECT($E84&amp;"[site]")=$G$2))) )</f>
        <v>#REF!</v>
      </c>
      <c r="T84" s="129" t="e">
        <f t="array" aca="1" ref="T84" ca="1">IF($G$2=0,
(SUM(INDIRECT($E84&amp;"["&amp;$F84&amp;"]")*(INDIRECT($E84&amp;"[yr]")=T$5)*(INDIRECT($E84&amp;"[wk]")=T$6))/
SUM(INDIRECT($E84&amp;"["&amp;$E85&amp;"]")*(INDIRECT($E84&amp;"[yr]")=T$5)*(INDIRECT($E84&amp;"[wk]")=T$6))),
(SUM(INDIRECT($E84&amp;"["&amp;$F84&amp;"]")*(INDIRECT($E84&amp;"[yr]")=T$5)*(INDIRECT($E84&amp;"[wk]")=T$6)*(INDIRECT($E84&amp;"[site]")=$G$2))/
SUM(INDIRECT($E84&amp;"["&amp;$E85&amp;"]")*(INDIRECT($E84&amp;"[yr]")=T$5)*(INDIRECT($E84&amp;"[wk]")=T$6)*(INDIRECT($E84&amp;"[site]")=$G$2))) )</f>
        <v>#REF!</v>
      </c>
      <c r="U84" s="130" t="e">
        <f t="array" aca="1" ref="U84" ca="1">SUM(Q84:T84*$Q$66:$T$66)/SUM($Q$66:$T$66)</f>
        <v>#REF!</v>
      </c>
      <c r="V84" s="49" t="e">
        <f t="array" aca="1" ref="V84" ca="1">SUM(T84/S84)-1</f>
        <v>#REF!</v>
      </c>
      <c r="W84" s="131">
        <v>40</v>
      </c>
      <c r="X84" s="49"/>
    </row>
    <row r="85" spans="2:25" ht="14.15" customHeight="1" x14ac:dyDescent="0.4">
      <c r="B85" s="329"/>
      <c r="D85" s="208" t="s">
        <v>67</v>
      </c>
      <c r="E85" t="s">
        <v>403</v>
      </c>
      <c r="F85" s="40"/>
      <c r="G85" s="40"/>
      <c r="H85" s="40"/>
      <c r="I85" s="74">
        <f t="array" aca="1" ref="I85" ca="1">IFERROR(I84/
(IF($G$2=0,
(SUM(INDIRECT($E84&amp;"["&amp;$F84&amp;"]")*(INDIRECT($E84&amp;"[yr]")=I$5-1)*(INDIRECT($E84&amp;"[wk]")=I$6))/
SUM(INDIRECT($E84&amp;"["&amp;$E85&amp;"]")*(INDIRECT($E84&amp;"[yr]")=I$5-1)*(INDIRECT($E84&amp;"[wk]")=I$6))),
(SUM(INDIRECT($E84&amp;"["&amp;$F84&amp;"]")*(INDIRECT($E84&amp;"[yr]")=I$5-1)*(INDIRECT($E84&amp;"[wk]")=I$6)*(INDIRECT($E84&amp;"[site]")=$G$2))/
SUM(INDIRECT($E84&amp;"["&amp;$E85&amp;"]")*(INDIRECT($E84&amp;"[yr]")=I$5-1)*(INDIRECT($E84&amp;"[wk]")=I$6)*(INDIRECT($E84&amp;"[site]")=$G$2))) ))
-1,0)</f>
        <v>0</v>
      </c>
      <c r="J85" s="74">
        <f t="array" aca="1" ref="J85" ca="1">IFERROR(J84/
(IF($G$2=0,
(SUM(INDIRECT($E84&amp;"["&amp;$F84&amp;"]")*(INDIRECT($E84&amp;"[yr]")=J$5-1)*(INDIRECT($E84&amp;"[wk]")=J$6))/
SUM(INDIRECT($E84&amp;"["&amp;$E85&amp;"]")*(INDIRECT($E84&amp;"[yr]")=J$5-1)*(INDIRECT($E84&amp;"[wk]")=J$6))),
(SUM(INDIRECT($E84&amp;"["&amp;$F84&amp;"]")*(INDIRECT($E84&amp;"[yr]")=J$5-1)*(INDIRECT($E84&amp;"[wk]")=J$6)*(INDIRECT($E84&amp;"[site]")=$G$2))/
SUM(INDIRECT($E84&amp;"["&amp;$E85&amp;"]")*(INDIRECT($E84&amp;"[yr]")=J$5-1)*(INDIRECT($E84&amp;"[wk]")=J$6)*(INDIRECT($E84&amp;"[site]")=$G$2))) ))
-1,0)</f>
        <v>0</v>
      </c>
      <c r="K85" s="74">
        <f t="array" aca="1" ref="K85" ca="1">IFERROR(K84/
(IF($G$2=0,
(SUM(INDIRECT($E84&amp;"["&amp;$F84&amp;"]")*(INDIRECT($E84&amp;"[yr]")=K$5-1)*(INDIRECT($E84&amp;"[wk]")=K$6))/
SUM(INDIRECT($E84&amp;"["&amp;$E85&amp;"]")*(INDIRECT($E84&amp;"[yr]")=K$5-1)*(INDIRECT($E84&amp;"[wk]")=K$6))),
(SUM(INDIRECT($E84&amp;"["&amp;$F84&amp;"]")*(INDIRECT($E84&amp;"[yr]")=K$5-1)*(INDIRECT($E84&amp;"[wk]")=K$6)*(INDIRECT($E84&amp;"[site]")=$G$2))/
SUM(INDIRECT($E84&amp;"["&amp;$E85&amp;"]")*(INDIRECT($E84&amp;"[yr]")=K$5-1)*(INDIRECT($E84&amp;"[wk]")=K$6)*(INDIRECT($E84&amp;"[site]")=$G$2))) ))
-1,0)</f>
        <v>0</v>
      </c>
      <c r="L85" s="74">
        <f t="array" aca="1" ref="L85" ca="1">IFERROR(L84/
(IF($G$2=0,
(SUM(INDIRECT($E84&amp;"["&amp;$F84&amp;"]")*(INDIRECT($E84&amp;"[yr]")=L$5-1)*(INDIRECT($E84&amp;"[wk]")=L$6))/
SUM(INDIRECT($E84&amp;"["&amp;$E85&amp;"]")*(INDIRECT($E84&amp;"[yr]")=L$5-1)*(INDIRECT($E84&amp;"[wk]")=L$6))),
(SUM(INDIRECT($E84&amp;"["&amp;$F84&amp;"]")*(INDIRECT($E84&amp;"[yr]")=L$5-1)*(INDIRECT($E84&amp;"[wk]")=L$6)*(INDIRECT($E84&amp;"[site]")=$G$2))/
SUM(INDIRECT($E84&amp;"["&amp;$E85&amp;"]")*(INDIRECT($E84&amp;"[yr]")=L$5-1)*(INDIRECT($E84&amp;"[wk]")=L$6)*(INDIRECT($E84&amp;"[site]")=$G$2))) ))
-1,0)</f>
        <v>0</v>
      </c>
      <c r="M85" s="74">
        <f t="array" aca="1" ref="M85" ca="1">IFERROR(M84/
(IF($G$2=0,
(SUM(INDIRECT($E84&amp;"["&amp;$F84&amp;"]")*(INDIRECT($E84&amp;"[yr]")=M$5-1)*(INDIRECT($E84&amp;"[wk]")=M$6))/
SUM(INDIRECT($E84&amp;"["&amp;$E85&amp;"]")*(INDIRECT($E84&amp;"[yr]")=M$5-1)*(INDIRECT($E84&amp;"[wk]")=M$6))),
(SUM(INDIRECT($E84&amp;"["&amp;$F84&amp;"]")*(INDIRECT($E84&amp;"[yr]")=M$5-1)*(INDIRECT($E84&amp;"[wk]")=M$6)*(INDIRECT($E84&amp;"[siteflag]")=$G$2))/
SUM(INDIRECT($E84&amp;"["&amp;$E85&amp;"]")*(INDIRECT($E84&amp;"[yr]")=M$5-1)*(INDIRECT($E84&amp;"[wk]")=M$6)*(INDIRECT($E84&amp;"[siteflag]")=$G$2))) ))
-1,0)</f>
        <v>0</v>
      </c>
      <c r="N85" s="74">
        <f t="array" aca="1" ref="N85" ca="1">IFERROR(N84/
(IF($G$2=0,
(SUM(INDIRECT($E84&amp;"["&amp;$F84&amp;"]")*(INDIRECT($E84&amp;"[yr]")=N$5-1)*(INDIRECT($E84&amp;"[wk]")=N$6))/
SUM(INDIRECT($E84&amp;"["&amp;$E85&amp;"]")*(INDIRECT($E84&amp;"[yr]")=N$5-1)*(INDIRECT($E84&amp;"[wk]")=N$6))),
(SUM(INDIRECT($E84&amp;"["&amp;$F84&amp;"]")*(INDIRECT($E84&amp;"[yr]")=N$5-1)*(INDIRECT($E84&amp;"[wk]")=N$6)*(INDIRECT($E84&amp;"[site]")=$G$2))/
SUM(INDIRECT($E84&amp;"["&amp;$E85&amp;"]")*(INDIRECT($E84&amp;"[yr]")=N$5-1)*(INDIRECT($E84&amp;"[wk]")=N$6)*(INDIRECT($E84&amp;"[site]")=$G$2))) ))
-1,0)</f>
        <v>0</v>
      </c>
      <c r="O85" s="74">
        <f t="array" aca="1" ref="O85" ca="1">IFERROR(O84/
(IF($G$2=0,
(SUM(INDIRECT($E84&amp;"["&amp;$F84&amp;"]")*(INDIRECT($E84&amp;"[yr]")=O$5-1)*(INDIRECT($E84&amp;"[wk]")=O$6))/
SUM(INDIRECT($E84&amp;"["&amp;$E85&amp;"]")*(INDIRECT($E84&amp;"[yr]")=O$5-1)*(INDIRECT($E84&amp;"[wk]")=O$6))),
(SUM(INDIRECT($E84&amp;"["&amp;$F84&amp;"]")*(INDIRECT($E84&amp;"[yr]")=O$5-1)*(INDIRECT($E84&amp;"[wk]")=O$6)*(INDIRECT($E84&amp;"[site]")=$G$2))/
SUM(INDIRECT($E84&amp;"["&amp;$E85&amp;"]")*(INDIRECT($E84&amp;"[yr]")=O$5-1)*(INDIRECT($E84&amp;"[wk]")=O$6)*(INDIRECT($E84&amp;"[site]")=$G$2))) ))
-1,0)</f>
        <v>0</v>
      </c>
      <c r="P85" s="54">
        <f t="array" aca="1" ref="P85" ca="1">IFERROR(P84/
(IF($G$2=0,
(SUM(INDIRECT($E84&amp;"["&amp;$F84&amp;"]")*(INDIRECT($E84&amp;"[yr]")=P$5-1)*(INDIRECT($E84&amp;"[wk]")=P$6))/
SUM(INDIRECT($E84&amp;"["&amp;$E85&amp;"]")*(INDIRECT($E84&amp;"[yr]")=P$5-1)*(INDIRECT($E84&amp;"[wk]")=P$6))),
(SUM(INDIRECT($E84&amp;"["&amp;$F84&amp;"]")*(INDIRECT($E84&amp;"[yr]")=P$5-1)*(INDIRECT($E84&amp;"[wk]")=P$6)*(INDIRECT($E84&amp;"[site]")=$G$2))/
SUM(INDIRECT($E84&amp;"["&amp;$E85&amp;"]")*(INDIRECT($E84&amp;"[yr]")=P$5-1)*(INDIRECT($E84&amp;"[wk]")=P$6)*(INDIRECT($E84&amp;"[site]")=$G$2))) ))
-1,0)</f>
        <v>0</v>
      </c>
      <c r="Q85" s="74">
        <f t="array" aca="1" ref="Q85" ca="1">IFERROR(Q84/
(IF($G$2=0,
(SUM(INDIRECT($E84&amp;"["&amp;$F84&amp;"]")*(INDIRECT($E84&amp;"[yr]")=Q$5-1)*(INDIRECT($E84&amp;"[wk]")=Q$6))/
SUM(INDIRECT($E84&amp;"["&amp;$E85&amp;"]")*(INDIRECT($E84&amp;"[yr]")=Q$5-1)*(INDIRECT($E84&amp;"[wk]")=Q$6))),
(SUM(INDIRECT($E84&amp;"["&amp;$F84&amp;"]")*(INDIRECT($E84&amp;"[yr]")=Q$5-1)*(INDIRECT($E84&amp;"[wk]")=Q$6)*(INDIRECT($E84&amp;"[site]")=$G$2))/
SUM(INDIRECT($E84&amp;"["&amp;$E85&amp;"]")*(INDIRECT($E84&amp;"[yr]")=Q$5-1)*(INDIRECT($E84&amp;"[wk]")=Q$6)*(INDIRECT($E84&amp;"[site]")=$G$2))) ))
-1,0)</f>
        <v>0</v>
      </c>
      <c r="R85" s="74">
        <f t="array" aca="1" ref="R85" ca="1">IFERROR(R84/
(IF($G$2=0,
(SUM(INDIRECT($E84&amp;"["&amp;$F84&amp;"]")*(INDIRECT($E84&amp;"[yr]")=R$5-1)*(INDIRECT($E84&amp;"[wk]")=R$6))/
SUM(INDIRECT($E84&amp;"["&amp;$E85&amp;"]")*(INDIRECT($E84&amp;"[yr]")=R$5-1)*(INDIRECT($E84&amp;"[wk]")=R$6))),
(SUM(INDIRECT($E84&amp;"["&amp;$F84&amp;"]")*(INDIRECT($E84&amp;"[yr]")=R$5-1)*(INDIRECT($E84&amp;"[wk]")=R$6)*(INDIRECT($E84&amp;"[site]")=$G$2))/
SUM(INDIRECT($E84&amp;"["&amp;$E85&amp;"]")*(INDIRECT($E84&amp;"[yr]")=R$5-1)*(INDIRECT($E84&amp;"[wk]")=R$6)*(INDIRECT($E84&amp;"[site]")=$G$2))) ))
-1,0)</f>
        <v>0</v>
      </c>
      <c r="S85" s="74">
        <f t="array" aca="1" ref="S85" ca="1">IFERROR(S84/
(IF($G$2=0,
(SUM(INDIRECT($E84&amp;"["&amp;$F84&amp;"]")*(INDIRECT($E84&amp;"[yr]")=S$5-1)*(INDIRECT($E84&amp;"[wk]")=S$6))/
SUM(INDIRECT($E84&amp;"["&amp;$E85&amp;"]")*(INDIRECT($E84&amp;"[yr]")=S$5-1)*(INDIRECT($E84&amp;"[wk]")=S$6))),
(SUM(INDIRECT($E84&amp;"["&amp;$F84&amp;"]")*(INDIRECT($E84&amp;"[yr]")=S$5-1)*(INDIRECT($E84&amp;"[wk]")=S$6)*(INDIRECT($E84&amp;"[site]")=$G$2))/
SUM(INDIRECT($E84&amp;"["&amp;$E85&amp;"]")*(INDIRECT($E84&amp;"[yr]")=S$5-1)*(INDIRECT($E84&amp;"[wk]")=S$6)*(INDIRECT($E84&amp;"[site]")=$G$2))) ))
-1,0)</f>
        <v>0</v>
      </c>
      <c r="T85" s="76">
        <f t="array" aca="1" ref="T85" ca="1">IFERROR(T84/
(IF($G$2=0,
(SUM(INDIRECT($E84&amp;"["&amp;$F84&amp;"]")*(INDIRECT($E84&amp;"[yr]")=T$5-1)*(INDIRECT($E84&amp;"[wk]")=T$6))/
SUM(INDIRECT($E84&amp;"["&amp;$E85&amp;"]")*(INDIRECT($E84&amp;"[yr]")=T$5-1)*(INDIRECT($E84&amp;"[wk]")=T$6))),
(SUM(INDIRECT($E84&amp;"["&amp;$F84&amp;"]")*(INDIRECT($E84&amp;"[yr]")=T$5-1)*(INDIRECT($E84&amp;"[wk]")=T$6)*(INDIRECT($E84&amp;"[site]")=$G$2))/
SUM(INDIRECT($E84&amp;"["&amp;$E85&amp;"]")*(INDIRECT($E84&amp;"[yr]")=T$5-1)*(INDIRECT($E84&amp;"[wk]")=T$6)*(INDIRECT($E84&amp;"[site]")=$G$2))) ))
-1,0)</f>
        <v>0</v>
      </c>
      <c r="U85" s="53">
        <f t="array" aca="1" ref="U85" ca="1">SUM(Q85:T85*$Q$66:$T$66)/SUM($Q$66:$T$66)</f>
        <v>0</v>
      </c>
      <c r="V85" s="91"/>
      <c r="W85" s="80"/>
      <c r="X85" s="56"/>
    </row>
    <row r="86" spans="2:25" ht="3" customHeight="1" x14ac:dyDescent="0.4">
      <c r="B86" s="329"/>
      <c r="D86" s="61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61"/>
      <c r="Q86" s="57"/>
      <c r="R86" s="57"/>
      <c r="S86" s="149"/>
      <c r="T86" s="149"/>
      <c r="U86" s="60"/>
      <c r="V86" s="61"/>
      <c r="W86" s="62"/>
      <c r="X86" s="61"/>
    </row>
    <row r="87" spans="2:25" ht="14.15" customHeight="1" x14ac:dyDescent="0.4">
      <c r="B87" s="329"/>
      <c r="D87" s="201" t="s">
        <v>100</v>
      </c>
      <c r="E87" s="63" t="s">
        <v>101</v>
      </c>
      <c r="F87" s="63" t="s">
        <v>102</v>
      </c>
      <c r="G87" s="63"/>
      <c r="H87" s="63"/>
      <c r="I87" s="132">
        <f t="array" aca="1" ref="I87" ca="1">SUM(INDIRECT($E87&amp;"["&amp;$F87&amp;"]")*(INDIRECT($E87&amp;"[yr]")=I$5)*(INDIRECT($E87&amp;"[wk]")=I$6)*(IF($G$2=0,1,(INDIRECT($E87&amp;"[site]")=$G$2))))</f>
        <v>2</v>
      </c>
      <c r="J87" s="132">
        <f t="array" aca="1" ref="J87" ca="1">SUM(INDIRECT($E87&amp;"["&amp;$F87&amp;"]")*(INDIRECT($E87&amp;"[yr]")=J$5)*(INDIRECT($E87&amp;"[wk]")=J$6)*(IF($G$2=0,1,(INDIRECT($E87&amp;"[site]")=$G$2))))</f>
        <v>1</v>
      </c>
      <c r="K87" s="132">
        <f t="array" aca="1" ref="K87" ca="1">SUM(INDIRECT($E87&amp;"["&amp;$F87&amp;"]")*(INDIRECT($E87&amp;"[yr]")=K$5)*(INDIRECT($E87&amp;"[wk]")=K$6)*(IF($G$2=0,1,(INDIRECT($E87&amp;"[site]")=$G$2))))</f>
        <v>3</v>
      </c>
      <c r="L87" s="132">
        <f t="array" aca="1" ref="L87" ca="1">SUM(INDIRECT($E87&amp;"["&amp;$F87&amp;"]")*(INDIRECT($E87&amp;"[yr]")=L$5)*(INDIRECT($E87&amp;"[wk]")=L$6)*(IF($G$2=0,1,(INDIRECT($E87&amp;"[site]")=$G$2))))</f>
        <v>3</v>
      </c>
      <c r="M87" s="132">
        <f t="array" aca="1" ref="M87" ca="1">SUM(INDIRECT($E87&amp;"["&amp;$F87&amp;"]")*(INDIRECT($E87&amp;"[yr]")=M$5)*(INDIRECT($E87&amp;"[wk]")=M$6)*(IF($G$2=0,1,(INDIRECT($E87&amp;"[site]")=$G$2))))</f>
        <v>2</v>
      </c>
      <c r="N87" s="132">
        <f t="array" aca="1" ref="N87" ca="1">SUM(INDIRECT($E87&amp;"["&amp;$F87&amp;"]")*(INDIRECT($E87&amp;"[yr]")=N$5)*(INDIRECT($E87&amp;"[wk]")=N$6)*(IF($G$2=0,1,(INDIRECT($E87&amp;"[site]")=$G$2))))</f>
        <v>1</v>
      </c>
      <c r="O87" s="132">
        <f t="array" aca="1" ref="O87" ca="1">SUM(INDIRECT($E87&amp;"["&amp;$F87&amp;"]")*(INDIRECT($E87&amp;"[yr]")=O$5)*(INDIRECT($E87&amp;"[wk]")=O$6)*(IF($G$2=0,1,(INDIRECT($E87&amp;"[site]")=$G$2))))</f>
        <v>2</v>
      </c>
      <c r="P87" s="156">
        <f t="array" aca="1" ref="P87" ca="1">SUM(INDIRECT($E87&amp;"["&amp;$F87&amp;"]")*(INDIRECT($E87&amp;"[yr]")=P$5)*(INDIRECT($E87&amp;"[wk]")=P$6)*(IF($G$2=0,1,(INDIRECT($E87&amp;"[site]")=$G$2))))</f>
        <v>1</v>
      </c>
      <c r="Q87" s="132">
        <f t="array" aca="1" ref="Q87" ca="1">SUM(INDIRECT($E87&amp;"["&amp;$F87&amp;"]")*(INDIRECT($E87&amp;"[yr]")=Q$5)*(INDIRECT($E87&amp;"[wk]")=Q$6)*(IF($G$2=0,1,(INDIRECT($E87&amp;"[site]")=$G$2))))</f>
        <v>4</v>
      </c>
      <c r="R87" s="132">
        <f t="array" aca="1" ref="R87" ca="1">SUM(INDIRECT($E87&amp;"["&amp;$F87&amp;"]")*(INDIRECT($E87&amp;"[yr]")=R$5)*(INDIRECT($E87&amp;"[wk]")=R$6)*(IF($G$2=0,1,(INDIRECT($E87&amp;"[site]")=$G$2))))</f>
        <v>3</v>
      </c>
      <c r="S87" s="153">
        <f t="array" aca="1" ref="S87" ca="1">SUM(INDIRECT($E87&amp;"["&amp;$F87&amp;"]")*(INDIRECT($E87&amp;"[yr]")=S$5)*(INDIRECT($E87&amp;"[wk]")=S$6)*(IF($G$2=0,1,(INDIRECT($E87&amp;"[site]")=$G$2))))</f>
        <v>2</v>
      </c>
      <c r="T87" s="132">
        <f t="array" aca="1" ref="T87" ca="1">SUM(INDIRECT($E87&amp;"["&amp;$F87&amp;"]")*(INDIRECT($E87&amp;"[yr]")=T$5)*(INDIRECT($E87&amp;"[wk]")=T$6)*(IF($G$2=0,1,(INDIRECT($E87&amp;"[site]")=$G$2))))</f>
        <v>3</v>
      </c>
      <c r="U87" s="116">
        <f t="array" aca="1" ref="U87" ca="1">SUM(Q87:T87)</f>
        <v>12</v>
      </c>
      <c r="V87" s="49">
        <f t="array" aca="1" ref="V87" ca="1">IFERROR((SUM(T87/S87)-1),0)</f>
        <v>0.5</v>
      </c>
      <c r="W87" s="127"/>
      <c r="X87" s="49"/>
    </row>
    <row r="88" spans="2:25" ht="14.15" customHeight="1" x14ac:dyDescent="0.4">
      <c r="B88" s="329"/>
      <c r="D88" s="209" t="s">
        <v>103</v>
      </c>
      <c r="E88" t="s">
        <v>125</v>
      </c>
      <c r="F88" t="s">
        <v>104</v>
      </c>
      <c r="I88" s="133">
        <f t="array" aca="1" ref="I88" ca="1">IFERROR(SUM(INDIRECT($E87&amp;"["&amp;$F87&amp;"]")*(INDIRECT($E87&amp;"[yr]")=I$5)*(INDIRECT($E87&amp;"[wk]")=I$6)*(IF($G$2=0,1,(INDIRECT($E87&amp;"[site]")=$G$2))))/SUM(INDIRECT($E88&amp;"["&amp;$F88&amp;"]")*(INDIRECT($E88&amp;"[yr]")=I$5)*(INDIRECT($E88&amp;"[wk]")=I$6)*(IF($G$2=0,1,(INDIRECT($E88&amp;"[siteflag]")=$G$2)))),0)</f>
        <v>2.2558087074216106E-4</v>
      </c>
      <c r="J88" s="133">
        <f t="array" aca="1" ref="J88" ca="1">IFERROR(SUM(INDIRECT($E87&amp;"["&amp;$F87&amp;"]")*(INDIRECT($E87&amp;"[yr]")=J$5)*(INDIRECT($E87&amp;"[wk]")=J$6)*(IF($G$2=0,1,(INDIRECT($E87&amp;"[site]")=$G$2))))/SUM(INDIRECT($E88&amp;"["&amp;$F88&amp;"]")*(INDIRECT($E88&amp;"[yr]")=J$5)*(INDIRECT($E88&amp;"[wk]")=J$6)*(IF($G$2=0,1,(INDIRECT($E88&amp;"[siteflag]")=$G$2)))),0)</f>
        <v>1.1063170704723974E-4</v>
      </c>
      <c r="K88" s="133">
        <f t="array" aca="1" ref="K88" ca="1">IFERROR(SUM(INDIRECT($E87&amp;"["&amp;$F87&amp;"]")*(INDIRECT($E87&amp;"[yr]")=K$5)*(INDIRECT($E87&amp;"[wk]")=K$6)*(IF($G$2=0,1,(INDIRECT($E87&amp;"[site]")=$G$2))))/SUM(INDIRECT($E88&amp;"["&amp;$F88&amp;"]")*(INDIRECT($E88&amp;"[yr]")=K$5)*(INDIRECT($E88&amp;"[wk]")=K$6)*(IF($G$2=0,1,(INDIRECT($E88&amp;"[siteflag]")=$G$2)))),0)</f>
        <v>2.9585798816568048E-4</v>
      </c>
      <c r="L88" s="133">
        <f t="array" aca="1" ref="L88" ca="1">IFERROR(SUM(INDIRECT($E87&amp;"["&amp;$F87&amp;"]")*(INDIRECT($E87&amp;"[yr]")=L$5)*(INDIRECT($E87&amp;"[wk]")=L$6)*(IF($G$2=0,1,(INDIRECT($E87&amp;"[site]")=$G$2))))/SUM(INDIRECT($E88&amp;"["&amp;$F88&amp;"]")*(INDIRECT($E88&amp;"[yr]")=L$5)*(INDIRECT($E88&amp;"[wk]")=L$6)*(IF($G$2=0,1,(INDIRECT($E88&amp;"[siteflag]")=$G$2)))),0)</f>
        <v>3.2175032175032174E-4</v>
      </c>
      <c r="M88" s="133">
        <f t="array" aca="1" ref="M88" ca="1">IFERROR(SUM(INDIRECT($E87&amp;"["&amp;$F87&amp;"]")*(INDIRECT($E87&amp;"[yr]")=M$5)*(INDIRECT($E87&amp;"[wk]")=M$6)*(IF($G$2=0,1,(INDIRECT($E87&amp;"[site]")=$G$2))))/SUM(INDIRECT($E88&amp;"["&amp;$F88&amp;"]")*(INDIRECT($E88&amp;"[yr]")=M$5)*(INDIRECT($E88&amp;"[wk]")=M$6)*(IF($G$2=0,1,(INDIRECT($E88&amp;"[siteflag]")=$G$2)))),0)</f>
        <v>2.1299254526091586E-4</v>
      </c>
      <c r="N88" s="133">
        <f t="array" aca="1" ref="N88" ca="1">IFERROR(SUM(INDIRECT($E87&amp;"["&amp;$F87&amp;"]")*(INDIRECT($E87&amp;"[yr]")=N$5)*(INDIRECT($E87&amp;"[wk]")=N$6)*(IF($G$2=0,1,(INDIRECT($E87&amp;"[site]")=$G$2))))/SUM(INDIRECT($E88&amp;"["&amp;$F88&amp;"]")*(INDIRECT($E88&amp;"[yr]")=N$5)*(INDIRECT($E88&amp;"[wk]")=N$6)*(IF($G$2=0,1,(INDIRECT($E88&amp;"[siteflag]")=$G$2)))),0)</f>
        <v>1.0869565217391305E-4</v>
      </c>
      <c r="O88" s="133">
        <f t="array" aca="1" ref="O88" ca="1">IFERROR(SUM(INDIRECT($E87&amp;"["&amp;$F87&amp;"]")*(INDIRECT($E87&amp;"[yr]")=O$5)*(INDIRECT($E87&amp;"[wk]")=O$6)*(IF($G$2=0,1,(INDIRECT($E87&amp;"[site]")=$G$2))))/SUM(INDIRECT($E88&amp;"["&amp;$F88&amp;"]")*(INDIRECT($E88&amp;"[yr]")=O$5)*(INDIRECT($E88&amp;"[wk]")=O$6)*(IF($G$2=0,1,(INDIRECT($E88&amp;"[siteflag]")=$G$2)))),0)</f>
        <v>1.943823500826125E-4</v>
      </c>
      <c r="P88" s="142">
        <f t="array" aca="1" ref="P88" ca="1">IFERROR(SUM(INDIRECT($E87&amp;"["&amp;$F87&amp;"]")*(INDIRECT($E87&amp;"[yr]")=P$5)*(INDIRECT($E87&amp;"[wk]")=P$6)*(IF($G$2=0,1,(INDIRECT($E87&amp;"[site]")=$G$2))))/SUM(INDIRECT($E88&amp;"["&amp;$F88&amp;"]")*(INDIRECT($E88&amp;"[yr]")=P$5)*(INDIRECT($E88&amp;"[wk]")=P$6)*(IF($G$2=0,1,(INDIRECT($E88&amp;"[siteflag]")=$G$2)))),0)</f>
        <v>6.9710700592540953E-5</v>
      </c>
      <c r="Q88" s="133">
        <f t="array" aca="1" ref="Q88" ca="1">IFERROR(SUM(INDIRECT($E87&amp;"["&amp;$F87&amp;"]")*(INDIRECT($E87&amp;"[yr]")=Q$5)*(INDIRECT($E87&amp;"[wk]")=Q$6)*(IF($G$2=0,1,(INDIRECT($E87&amp;"[site]")=$G$2))))/SUM(INDIRECT($E88&amp;"["&amp;$F88&amp;"]")*(INDIRECT($E88&amp;"[yr]")=Q$5)*(INDIRECT($E88&amp;"[wk]")=Q$6)*(IF($G$2=0,1,(INDIRECT($E88&amp;"[siteflag]")=$G$2)))),0)</f>
        <v>2.9706646862235426E-4</v>
      </c>
      <c r="R88" s="133">
        <f t="array" aca="1" ref="R88" ca="1">IFERROR(SUM(INDIRECT($E87&amp;"["&amp;$F87&amp;"]")*(INDIRECT($E87&amp;"[yr]")=R$5)*(INDIRECT($E87&amp;"[wk]")=R$6)*(IF($G$2=0,1,(INDIRECT($E87&amp;"[site]")=$G$2))))/SUM(INDIRECT($E88&amp;"["&amp;$F88&amp;"]")*(INDIRECT($E88&amp;"[yr]")=R$5)*(INDIRECT($E88&amp;"[wk]")=R$6)*(IF($G$2=0,1,(INDIRECT($E88&amp;"[siteflag]")=$G$2)))),0)</f>
        <v>3.187081695527462E-4</v>
      </c>
      <c r="S88" s="135">
        <f t="array" aca="1" ref="S88" ca="1">IFERROR(SUM(INDIRECT($E87&amp;"["&amp;$F87&amp;"]")*(INDIRECT($E87&amp;"[yr]")=S$5)*(INDIRECT($E87&amp;"[wk]")=S$6)*(IF($G$2=0,1,(INDIRECT($E87&amp;"[site]")=$G$2))))/SUM(INDIRECT($E88&amp;"["&amp;$F88&amp;"]")*(INDIRECT($E88&amp;"[yr]")=S$5)*(INDIRECT($E88&amp;"[wk]")=S$6)*(IF($G$2=0,1,(INDIRECT($E88&amp;"[siteflag]")=$G$2)))),0)</f>
        <v>2.183406113537118E-4</v>
      </c>
      <c r="T88" s="152">
        <f t="array" aca="1" ref="T88" ca="1">IFERROR(SUM(INDIRECT($E87&amp;"["&amp;$F87&amp;"]")*(INDIRECT($E87&amp;"[yr]")=T$5)*(INDIRECT($E87&amp;"[wk]")=T$6)*(IF($G$2=0,1,(INDIRECT($E87&amp;"[site]")=$G$2))))/SUM(INDIRECT($E88&amp;"["&amp;$F88&amp;"]")*(INDIRECT($E88&amp;"[yr]")=T$5)*(INDIRECT($E88&amp;"[wk]")=T$6)*(IF($G$2=0,1,(INDIRECT($E88&amp;"[siteflag]")=$G$2)))),0)</f>
        <v>2.988345452734336E-4</v>
      </c>
      <c r="U88" s="136">
        <f t="array" aca="1" ref="U88" ca="1">SUM(Q88:T88*$Q$66:$T$66)/SUM($Q$66:$T$66)</f>
        <v>2.8448052788068831E-4</v>
      </c>
      <c r="V88" s="137"/>
      <c r="W88" s="138">
        <v>2.5000000000000001E-2</v>
      </c>
      <c r="X88" s="56"/>
    </row>
    <row r="89" spans="2:25" ht="3" customHeight="1" x14ac:dyDescent="0.4">
      <c r="B89" s="329"/>
      <c r="D89" s="61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8"/>
      <c r="R89" s="57"/>
      <c r="S89" s="57"/>
      <c r="T89" s="59"/>
      <c r="U89" s="60"/>
      <c r="V89" s="61"/>
      <c r="W89" s="62"/>
      <c r="X89" s="61"/>
    </row>
    <row r="90" spans="2:25" ht="14.15" customHeight="1" x14ac:dyDescent="0.4">
      <c r="B90" s="329"/>
      <c r="D90" s="201" t="s">
        <v>105</v>
      </c>
      <c r="E90" s="63" t="s">
        <v>101</v>
      </c>
      <c r="F90" s="63" t="s">
        <v>102</v>
      </c>
      <c r="G90" s="63"/>
      <c r="H90" s="63"/>
      <c r="I90" s="132">
        <f t="array" aca="1" ref="I90" ca="1">IFERROR(SUM((INDIRECT($E90&amp;"["&amp;$F90&amp;"]")*(INDIRECT($E90&amp;"[yr]")=I$5)*(INDIRECT($E90&amp;"[wk]")=I$6)*(INDIRECT($E90&amp;"["&amp;$E91&amp;"]")=$F91)*(IF($G$2=0,1,(INDIRECT($E90&amp;"[site]")=$G$2))))),0)</f>
        <v>1</v>
      </c>
      <c r="J90" s="132">
        <f t="array" aca="1" ref="J90" ca="1">IFERROR(SUM((INDIRECT($E90&amp;"["&amp;$F90&amp;"]")*(INDIRECT($E90&amp;"[yr]")=J$5)*(INDIRECT($E90&amp;"[wk]")=J$6)*(INDIRECT($E90&amp;"["&amp;$E91&amp;"]")=$F91)*(IF($G$2=0,1,(INDIRECT($E90&amp;"[site]")=$G$2))))),0)</f>
        <v>0</v>
      </c>
      <c r="K90" s="132">
        <f t="array" aca="1" ref="K90" ca="1">IFERROR(SUM((INDIRECT($E90&amp;"["&amp;$F90&amp;"]")*(INDIRECT($E90&amp;"[yr]")=K$5)*(INDIRECT($E90&amp;"[wk]")=K$6)*(INDIRECT($E90&amp;"["&amp;$E91&amp;"]")=$F91)*(IF($G$2=0,1,(INDIRECT($E90&amp;"[site]")=$G$2))))),0)</f>
        <v>1</v>
      </c>
      <c r="L90" s="132">
        <f t="array" aca="1" ref="L90" ca="1">IFERROR(SUM((INDIRECT($E90&amp;"["&amp;$F90&amp;"]")*(INDIRECT($E90&amp;"[yr]")=L$5)*(INDIRECT($E90&amp;"[wk]")=L$6)*(INDIRECT($E90&amp;"["&amp;$E91&amp;"]")=$F91)*(IF($G$2=0,1,(INDIRECT($E90&amp;"[site]")=$G$2))))),0)</f>
        <v>2</v>
      </c>
      <c r="M90" s="132">
        <f t="array" aca="1" ref="M90" ca="1">IFERROR(SUM((INDIRECT($E90&amp;"["&amp;$F90&amp;"]")*(INDIRECT($E90&amp;"[yr]")=M$5)*(INDIRECT($E90&amp;"[wk]")=M$6)*(INDIRECT($E90&amp;"["&amp;$E91&amp;"]")=$F91)*(IF($G$2=0,1,(INDIRECT($E90&amp;"[site]")=$G$2))))),0)</f>
        <v>1</v>
      </c>
      <c r="N90" s="132">
        <f t="array" aca="1" ref="N90" ca="1">IFERROR(SUM((INDIRECT($E90&amp;"["&amp;$F90&amp;"]")*(INDIRECT($E90&amp;"[yr]")=N$5)*(INDIRECT($E90&amp;"[wk]")=N$6)*(INDIRECT($E90&amp;"["&amp;$E91&amp;"]")=$F91)*(IF($G$2=0,1,(INDIRECT($E90&amp;"[site]")=$G$2))))),0)</f>
        <v>0</v>
      </c>
      <c r="O90" s="132">
        <f t="array" aca="1" ref="O90" ca="1">IFERROR(SUM((INDIRECT($E90&amp;"["&amp;$F90&amp;"]")*(INDIRECT($E90&amp;"[yr]")=O$5)*(INDIRECT($E90&amp;"[wk]")=O$6)*(INDIRECT($E90&amp;"["&amp;$E91&amp;"]")=$F91)*(IF($G$2=0,1,(INDIRECT($E90&amp;"[site]")=$G$2))))),0)</f>
        <v>1</v>
      </c>
      <c r="P90" s="156">
        <f t="array" aca="1" ref="P90" ca="1">IFERROR(SUM((INDIRECT($E90&amp;"["&amp;$F90&amp;"]")*(INDIRECT($E90&amp;"[yr]")=P$5)*(INDIRECT($E90&amp;"[wk]")=P$6)*(INDIRECT($E90&amp;"["&amp;$E91&amp;"]")=$F91)*(IF($G$2=0,1,(INDIRECT($E90&amp;"[site]")=$G$2))))),0)</f>
        <v>0</v>
      </c>
      <c r="Q90" s="132">
        <f t="array" aca="1" ref="Q90" ca="1">IFERROR(SUM((INDIRECT($E90&amp;"["&amp;$F90&amp;"]")*(INDIRECT($E90&amp;"[yr]")=Q$5)*(INDIRECT($E90&amp;"[wk]")=Q$6)*(INDIRECT($E90&amp;"["&amp;$E91&amp;"]")=$F91)*(IF($G$2=0,1,(INDIRECT($E90&amp;"[site]")=$G$2))))),0)</f>
        <v>0</v>
      </c>
      <c r="R90" s="132">
        <f t="array" aca="1" ref="R90" ca="1">IFERROR(SUM((INDIRECT($E90&amp;"["&amp;$F90&amp;"]")*(INDIRECT($E90&amp;"[yr]")=R$5)*(INDIRECT($E90&amp;"[wk]")=R$6)*(INDIRECT($E90&amp;"["&amp;$E91&amp;"]")=$F91)*(IF($G$2=0,1,(INDIRECT($E90&amp;"[site]")=$G$2))))),0)</f>
        <v>0</v>
      </c>
      <c r="S90" s="153">
        <f t="array" aca="1" ref="S90" ca="1">IFERROR(SUM((INDIRECT($E90&amp;"["&amp;$F90&amp;"]")*(INDIRECT($E90&amp;"[yr]")=S$5)*(INDIRECT($E90&amp;"[wk]")=S$6)*(INDIRECT($E90&amp;"["&amp;$E91&amp;"]")=$F91)*(IF($G$2=0,1,(INDIRECT($E90&amp;"[site]")=$G$2))))),0)</f>
        <v>0</v>
      </c>
      <c r="T90" s="132">
        <f t="array" aca="1" ref="T90" ca="1">IFERROR(SUM((INDIRECT($E90&amp;"["&amp;$F90&amp;"]")*(INDIRECT($E90&amp;"[yr]")=T$5)*(INDIRECT($E90&amp;"[wk]")=T$6)*(INDIRECT($E90&amp;"["&amp;$E91&amp;"]")=$F91)*(IF($G$2=0,1,(INDIRECT($E90&amp;"[site]")=$G$2))))),0)</f>
        <v>1</v>
      </c>
      <c r="U90" s="116">
        <f t="array" aca="1" ref="U90" ca="1">SUM(Q90:T90)</f>
        <v>1</v>
      </c>
      <c r="V90" s="49">
        <f t="array" aca="1" ref="V90" ca="1">IFERROR(SUM(T90/S90)-1,0)</f>
        <v>0</v>
      </c>
      <c r="W90" s="127"/>
      <c r="X90" s="49"/>
    </row>
    <row r="91" spans="2:25" ht="14.15" customHeight="1" x14ac:dyDescent="0.4">
      <c r="B91" s="329"/>
      <c r="D91" s="210" t="s">
        <v>106</v>
      </c>
      <c r="E91" s="40" t="s">
        <v>107</v>
      </c>
      <c r="F91" s="40" t="s">
        <v>108</v>
      </c>
      <c r="G91" s="40"/>
      <c r="H91" s="40"/>
      <c r="I91" s="134">
        <f t="array" aca="1" ref="I91" ca="1">IFERROR((I90/I87),0)</f>
        <v>0.5</v>
      </c>
      <c r="J91" s="134">
        <f t="array" aca="1" ref="J91" ca="1">IFERROR((J90/J87),0)</f>
        <v>0</v>
      </c>
      <c r="K91" s="134">
        <f t="array" aca="1" ref="K91" ca="1">IFERROR((K90/K87),0)</f>
        <v>0.33333333333333331</v>
      </c>
      <c r="L91" s="134">
        <f t="array" aca="1" ref="L91" ca="1">IFERROR((L90/L87),0)</f>
        <v>0.66666666666666663</v>
      </c>
      <c r="M91" s="134">
        <f t="array" aca="1" ref="M91" ca="1">IFERROR((M90/M87),0)</f>
        <v>0.5</v>
      </c>
      <c r="N91" s="134">
        <f t="array" aca="1" ref="N91" ca="1">IFERROR((N90/N87),0)</f>
        <v>0</v>
      </c>
      <c r="O91" s="134">
        <f t="array" aca="1" ref="O91" ca="1">IFERROR((O90/O87),0)</f>
        <v>0.5</v>
      </c>
      <c r="P91" s="142">
        <f t="array" aca="1" ref="P91" ca="1">IFERROR((P90/P87),0)</f>
        <v>0</v>
      </c>
      <c r="Q91" s="134">
        <f t="array" aca="1" ref="Q91" ca="1">IFERROR((Q90/Q87),0)</f>
        <v>0</v>
      </c>
      <c r="R91" s="134">
        <f t="array" aca="1" ref="R91" ca="1">IFERROR((R90/R87),0)</f>
        <v>0</v>
      </c>
      <c r="S91" s="134">
        <f t="array" aca="1" ref="S91" ca="1">IFERROR((S90/S87),0)</f>
        <v>0</v>
      </c>
      <c r="T91" s="140">
        <f t="array" aca="1" ref="T91" ca="1">IFERROR((T90/T87),0)</f>
        <v>0.33333333333333331</v>
      </c>
      <c r="U91" s="141">
        <f t="array" aca="1" ref="U91" ca="1">IFERROR(SUMPRODUCT(Q91:T91,$Q$87:$T$87)/SUM($Q$87:$T$87),0)</f>
        <v>8.3333333333333329E-2</v>
      </c>
      <c r="V91" s="142"/>
      <c r="W91" s="55"/>
      <c r="X91" s="56"/>
    </row>
    <row r="92" spans="2:25" ht="3" customHeight="1" x14ac:dyDescent="0.4">
      <c r="B92" s="329"/>
      <c r="D92" s="61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8"/>
      <c r="R92" s="57"/>
      <c r="S92" s="57"/>
      <c r="T92" s="59"/>
      <c r="U92" s="60"/>
      <c r="V92" s="61"/>
      <c r="W92" s="62"/>
      <c r="X92" s="61"/>
    </row>
    <row r="93" spans="2:25" ht="14.15" customHeight="1" x14ac:dyDescent="0.4">
      <c r="B93" s="329"/>
      <c r="D93" s="203" t="s">
        <v>109</v>
      </c>
      <c r="E93" t="s">
        <v>56</v>
      </c>
      <c r="F93" t="s">
        <v>110</v>
      </c>
      <c r="I93" s="124">
        <f t="array" aca="1" ref="I93" ca="1">SUM(INDIRECT($E93&amp;"["&amp;$F93&amp;"]")*(INDIRECT($E93&amp;"[yr]")=I$5)*(INDIRECT($E93&amp;"[wk]")=I$6)*(IF($G$2=0,1,(INDIRECT($E93&amp;"[siteflag]")=$G$2))))</f>
        <v>40</v>
      </c>
      <c r="J93" s="124">
        <f t="array" aca="1" ref="J93" ca="1">SUM(INDIRECT($E93&amp;"["&amp;$F93&amp;"]")*(INDIRECT($E93&amp;"[yr]")=J$5)*(INDIRECT($E93&amp;"[wk]")=J$6)*(IF($G$2=0,1,(INDIRECT($E93&amp;"[siteflag]")=$G$2))))</f>
        <v>50</v>
      </c>
      <c r="K93" s="124">
        <f t="array" aca="1" ref="K93" ca="1">SUM(INDIRECT($E93&amp;"["&amp;$F93&amp;"]")*(INDIRECT($E93&amp;"[yr]")=K$5)*(INDIRECT($E93&amp;"[wk]")=K$6)*(IF($G$2=0,1,(INDIRECT($E93&amp;"[siteflag]")=$G$2))))</f>
        <v>69</v>
      </c>
      <c r="L93" s="124">
        <f t="array" aca="1" ref="L93" ca="1">SUM(INDIRECT($E93&amp;"["&amp;$F93&amp;"]")*(INDIRECT($E93&amp;"[yr]")=L$5)*(INDIRECT($E93&amp;"[wk]")=L$6)*(IF($G$2=0,1,(INDIRECT($E93&amp;"[siteflag]")=$G$2))))</f>
        <v>39</v>
      </c>
      <c r="M93" s="124">
        <f t="array" aca="1" ref="M93" ca="1">SUM(INDIRECT($E93&amp;"["&amp;$F93&amp;"]")*(INDIRECT($E93&amp;"[yr]")=M$5)*(INDIRECT($E93&amp;"[wk]")=M$6)*(IF($G$2=0,1,(INDIRECT($E93&amp;"[siteflag]")=$G$2))))</f>
        <v>28</v>
      </c>
      <c r="N93" s="124">
        <f t="array" aca="1" ref="N93" ca="1">SUM(INDIRECT($E93&amp;"["&amp;$F93&amp;"]")*(INDIRECT($E93&amp;"[yr]")=N$5)*(INDIRECT($E93&amp;"[wk]")=N$6)*(IF($G$2=0,1,(INDIRECT($E93&amp;"[siteflag]")=$G$2))))</f>
        <v>43</v>
      </c>
      <c r="O93" s="124">
        <f t="array" aca="1" ref="O93" ca="1">SUM(INDIRECT($E93&amp;"["&amp;$F93&amp;"]")*(INDIRECT($E93&amp;"[yr]")=O$5)*(INDIRECT($E93&amp;"[wk]")=O$6)*(IF($G$2=0,1,(INDIRECT($E93&amp;"[siteflag]")=$G$2))))</f>
        <v>52</v>
      </c>
      <c r="P93" s="157">
        <f t="array" aca="1" ref="P93" ca="1">SUM(INDIRECT($E93&amp;"["&amp;$F93&amp;"]")*(INDIRECT($E93&amp;"[yr]")=P$5)*(INDIRECT($E93&amp;"[wk]")=P$6)*(IF($G$2=0,1,(INDIRECT($E93&amp;"[siteflag]")=$G$2))))</f>
        <v>65</v>
      </c>
      <c r="Q93" s="124">
        <f t="array" aca="1" ref="Q93" ca="1">SUM(INDIRECT($E93&amp;"["&amp;$F93&amp;"]")*(INDIRECT($E93&amp;"[yr]")=Q$5)*(INDIRECT($E93&amp;"[wk]")=Q$6)*(IF($G$2=0,1,(INDIRECT($E93&amp;"[siteflag]")=$G$2))))</f>
        <v>70</v>
      </c>
      <c r="R93" s="124">
        <f t="array" aca="1" ref="R93" ca="1">SUM(INDIRECT($E93&amp;"["&amp;$F93&amp;"]")*(INDIRECT($E93&amp;"[yr]")=R$5)*(INDIRECT($E93&amp;"[wk]")=R$6)*(IF($G$2=0,1,(INDIRECT($E93&amp;"[siteflag]")=$G$2))))</f>
        <v>47</v>
      </c>
      <c r="S93" s="124">
        <f t="array" aca="1" ref="S93" ca="1">SUM(INDIRECT($E93&amp;"["&amp;$F93&amp;"]")*(INDIRECT($E93&amp;"[yr]")=S$5)*(INDIRECT($E93&amp;"[wk]")=S$6)*(IF($G$2=0,1,(INDIRECT($E93&amp;"[siteflag]")=$G$2))))</f>
        <v>22</v>
      </c>
      <c r="T93" s="95">
        <f t="array" aca="1" ref="T93" ca="1">SUM(INDIRECT($E93&amp;"["&amp;$F93&amp;"]")*(INDIRECT($E93&amp;"[yr]")=T$5)*(INDIRECT($E93&amp;"[wk]")=T$6)*(IF($G$2=0,1,(INDIRECT($E93&amp;"[siteflag]")=$G$2))))</f>
        <v>34</v>
      </c>
      <c r="U93" s="96">
        <f ca="1">AVERAGE(Q93:T93)</f>
        <v>43.25</v>
      </c>
      <c r="V93" s="49">
        <f t="array" aca="1" ref="V93" ca="1">SUM(T93/S93)-1</f>
        <v>0.54545454545454541</v>
      </c>
      <c r="W93" s="143">
        <f ca="1">ROUNDUP(T66*4,0)</f>
        <v>67</v>
      </c>
      <c r="X93" s="49"/>
    </row>
    <row r="94" spans="2:25" ht="14.15" customHeight="1" x14ac:dyDescent="0.4">
      <c r="B94" s="329"/>
      <c r="D94" s="205" t="s">
        <v>111</v>
      </c>
      <c r="I94" s="133">
        <f t="array" aca="1" ref="I94" ca="1">I93/(I66*1000)</f>
        <v>2.5200025200025201E-3</v>
      </c>
      <c r="J94" s="133">
        <f t="array" aca="1" ref="J94" ca="1">J93/(J66*1000)</f>
        <v>3.0515715593530668E-3</v>
      </c>
      <c r="K94" s="133">
        <f t="array" aca="1" ref="K94" ca="1">K93/(K66*1000)</f>
        <v>4.0301384264937795E-3</v>
      </c>
      <c r="L94" s="133">
        <f t="array" aca="1" ref="L94" ca="1">L93/(L66*1000)</f>
        <v>2.4881970141635832E-3</v>
      </c>
      <c r="M94" s="133">
        <f t="array" aca="1" ref="M94" ca="1">M93/(M66*1000)</f>
        <v>1.7841213202497771E-3</v>
      </c>
      <c r="N94" s="133">
        <f t="array" aca="1" ref="N94" ca="1">N93/(N66*1000)</f>
        <v>2.7160181910055583E-3</v>
      </c>
      <c r="O94" s="133">
        <f t="array" aca="1" ref="O94" ca="1">O93/(O66*1000)</f>
        <v>2.8769017980636237E-3</v>
      </c>
      <c r="P94" s="137">
        <f t="array" aca="1" ref="P94" ca="1">P93/(P66*1000)</f>
        <v>2.6507891195301984E-3</v>
      </c>
      <c r="Q94" s="133">
        <f t="array" aca="1" ref="Q94" ca="1">Q93/(Q66*1000)</f>
        <v>3.357636224098235E-3</v>
      </c>
      <c r="R94" s="133">
        <f t="array" aca="1" ref="R94" ca="1">R93/(R66*1000)</f>
        <v>2.9570907260601485E-3</v>
      </c>
      <c r="S94" s="133">
        <f t="array" aca="1" ref="S94" ca="1">S93/(S66*1000)</f>
        <v>1.3931104356636271E-3</v>
      </c>
      <c r="T94" s="140">
        <f t="array" aca="1" ref="T94" ca="1">T93/(T66*1000)</f>
        <v>2.0499216206439166E-3</v>
      </c>
      <c r="U94" s="144">
        <f ca="1">U93/(AVERAGE(Q66:T66)*1000)</f>
        <v>2.5028935185185184E-3</v>
      </c>
      <c r="V94" s="89"/>
      <c r="W94" s="80"/>
      <c r="X94" s="81"/>
    </row>
    <row r="95" spans="2:25" ht="14.15" customHeight="1" x14ac:dyDescent="0.4">
      <c r="B95" s="330"/>
      <c r="D95" s="202" t="s">
        <v>67</v>
      </c>
      <c r="I95" s="74">
        <f t="array" aca="1" ref="I95" ca="1">IFERROR(I93/SUM(INDIRECT($E93&amp;"["&amp;$F93&amp;"]")*(INDIRECT($E93&amp;"[yr]")=(I$5-1))*(INDIRECT($E93&amp;"[wk]")=I$6)*(IF($G$2=0,1,(INDIRECT($E93&amp;"[siteflag]")=$G$2))))-1,0)</f>
        <v>19</v>
      </c>
      <c r="J95" s="74">
        <f t="array" aca="1" ref="J95" ca="1">IFERROR(J93/SUM(INDIRECT($E93&amp;"["&amp;$F93&amp;"]")*(INDIRECT($E93&amp;"[yr]")=(J$5-1))*(INDIRECT($E93&amp;"[wk]")=J$6)*(IF($G$2=0,1,(INDIRECT($E93&amp;"[siteflag]")=$G$2))))-1,0)</f>
        <v>49</v>
      </c>
      <c r="K95" s="74">
        <f t="array" aca="1" ref="K95" ca="1">IFERROR(K93/SUM(INDIRECT($E93&amp;"["&amp;$F93&amp;"]")*(INDIRECT($E93&amp;"[yr]")=(K$5-1))*(INDIRECT($E93&amp;"[wk]")=K$6)*(IF($G$2=0,1,(INDIRECT($E93&amp;"[siteflag]")=$G$2))))-1,0)</f>
        <v>0</v>
      </c>
      <c r="L95" s="74">
        <f t="array" aca="1" ref="L95" ca="1">IFERROR(L93/SUM(INDIRECT($E93&amp;"["&amp;$F93&amp;"]")*(INDIRECT($E93&amp;"[yr]")=(L$5-1))*(INDIRECT($E93&amp;"[wk]")=L$6)*(IF($G$2=0,1,(INDIRECT($E93&amp;"[siteflag]")=$G$2))))-1,0)</f>
        <v>0</v>
      </c>
      <c r="M95" s="74">
        <f t="array" aca="1" ref="M95" ca="1">IFERROR(M93/SUM(INDIRECT($E93&amp;"["&amp;$F93&amp;"]")*(INDIRECT($E93&amp;"[yr]")=(M$5-1))*(INDIRECT($E93&amp;"[wk]")=M$6)*(IF($G$2=0,1,(INDIRECT($E93&amp;"[siteflag]")=$G$2))))-1,0)</f>
        <v>0</v>
      </c>
      <c r="N95" s="74">
        <f t="array" aca="1" ref="N95" ca="1">IFERROR(N93/SUM(INDIRECT($E93&amp;"["&amp;$F93&amp;"]")*(INDIRECT($E93&amp;"[yr]")=(N$5-1))*(INDIRECT($E93&amp;"[wk]")=N$6)*(IF($G$2=0,1,(INDIRECT($E93&amp;"[siteflag]")=$G$2))))-1,0)</f>
        <v>0</v>
      </c>
      <c r="O95" s="74">
        <f t="array" aca="1" ref="O95" ca="1">IFERROR(O93/SUM(INDIRECT($E93&amp;"["&amp;$F93&amp;"]")*(INDIRECT($E93&amp;"[yr]")=(O$5-1))*(INDIRECT($E93&amp;"[wk]")=O$6)*(IF($G$2=0,1,(INDIRECT($E93&amp;"[siteflag]")=$G$2))))-1,0)</f>
        <v>0</v>
      </c>
      <c r="P95" s="91">
        <f t="array" aca="1" ref="P95" ca="1">IFERROR(P93/SUM(INDIRECT($E93&amp;"["&amp;$F93&amp;"]")*(INDIRECT($E93&amp;"[yr]")=(P$5-1))*(INDIRECT($E93&amp;"[wk]")=P$6)*(IF($G$2=0,1,(INDIRECT($E93&amp;"[siteflag]")=$G$2))))-1,0)</f>
        <v>0</v>
      </c>
      <c r="Q95" s="74">
        <f t="array" aca="1" ref="Q95" ca="1">IFERROR(Q93/SUM(INDIRECT($E93&amp;"["&amp;$F93&amp;"]")*(INDIRECT($E93&amp;"[yr]")=(Q$5-1))*(INDIRECT($E93&amp;"[wk]")=Q$6)*(IF($G$2=0,1,(INDIRECT($E93&amp;"[siteflag]")=$G$2))))-1,0)</f>
        <v>0</v>
      </c>
      <c r="R95" s="74">
        <f t="array" aca="1" ref="R95" ca="1">IFERROR(R93/SUM(INDIRECT($E93&amp;"["&amp;$F93&amp;"]")*(INDIRECT($E93&amp;"[yr]")=(R$5-1))*(INDIRECT($E93&amp;"[wk]")=R$6)*(IF($G$2=0,1,(INDIRECT($E93&amp;"[siteflag]")=$G$2))))-1,0)</f>
        <v>0</v>
      </c>
      <c r="S95" s="151">
        <f t="array" aca="1" ref="S95" ca="1">IFERROR(S93/SUM(INDIRECT($E93&amp;"["&amp;$F93&amp;"]")*(INDIRECT($E93&amp;"[yr]")=(S$5-1))*(INDIRECT($E93&amp;"[wk]")=S$6)*(IF($G$2=0,1,(INDIRECT($E93&amp;"[siteflag]")=$G$2))))-1,0)</f>
        <v>21</v>
      </c>
      <c r="T95" s="151">
        <f t="array" aca="1" ref="T95" ca="1">IFERROR(T93/SUM(INDIRECT($E93&amp;"["&amp;$F93&amp;"]")*(INDIRECT($E93&amp;"[yr]")=(T$5-1))*(INDIRECT($E93&amp;"[wk]")=T$6)*(IF($G$2=0,1,(INDIRECT($E93&amp;"[siteflag]")=$G$2))))-1,0)</f>
        <v>0</v>
      </c>
      <c r="U95" s="54">
        <f t="array" aca="1" ref="U95" ca="1">SUM(Q95:T95*$Q$66:$T$66)/SUM($Q$66:$T$66)</f>
        <v>4.7979166666666666</v>
      </c>
      <c r="V95" s="54"/>
      <c r="W95" s="55"/>
      <c r="X95" s="56"/>
      <c r="Y95" s="146"/>
    </row>
    <row r="96" spans="2:25" ht="3" customHeight="1" x14ac:dyDescent="0.4">
      <c r="C96" s="145"/>
      <c r="D96" s="61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61"/>
      <c r="Q96" s="57"/>
      <c r="R96" s="57"/>
      <c r="S96" s="149"/>
      <c r="T96" s="149"/>
      <c r="U96" s="57"/>
      <c r="V96" s="57"/>
      <c r="W96" s="57"/>
      <c r="X96" s="62"/>
    </row>
    <row r="97" spans="2:24" ht="14.15" customHeight="1" x14ac:dyDescent="0.4">
      <c r="B97" s="328" t="s">
        <v>294</v>
      </c>
      <c r="D97" s="203" t="s">
        <v>295</v>
      </c>
      <c r="E97" s="63" t="s">
        <v>108</v>
      </c>
      <c r="F97" t="s">
        <v>166</v>
      </c>
      <c r="I97" s="232">
        <f t="array" aca="1" ref="I97" ca="1">SUM(INDIRECT($E97&amp;"["&amp;$F97&amp;"]")*(INDIRECT($E97&amp;"[yr]")=I$5)*(INDIRECT($E97&amp;"[wk]")=I$6)*(INDIRECT($E97&amp;"[taskflag]")="P")*(INDIRECT($E97&amp;"[errortype]")="SwapOrders"))</f>
        <v>5</v>
      </c>
      <c r="J97" s="232">
        <f t="array" aca="1" ref="J97" ca="1">SUM(INDIRECT($E97&amp;"["&amp;$F97&amp;"]")*(INDIRECT($E97&amp;"[yr]")=J$5)*(INDIRECT($E97&amp;"[wk]")=J$6)*(INDIRECT($E97&amp;"[taskflag]")="P")*(INDIRECT($E97&amp;"[errortype]")="SwapOrders"))</f>
        <v>7</v>
      </c>
      <c r="K97" s="232">
        <f t="array" aca="1" ref="K97" ca="1">SUM(INDIRECT($E97&amp;"["&amp;$F97&amp;"]")*(INDIRECT($E97&amp;"[yr]")=K$5)*(INDIRECT($E97&amp;"[wk]")=K$6)*(INDIRECT($E97&amp;"[taskflag]")="P")*(INDIRECT($E97&amp;"[errortype]")="SwapOrders"))</f>
        <v>3</v>
      </c>
      <c r="L97" s="232">
        <f t="array" aca="1" ref="L97" ca="1">SUM(INDIRECT($E97&amp;"["&amp;$F97&amp;"]")*(INDIRECT($E97&amp;"[yr]")=L$5)*(INDIRECT($E97&amp;"[wk]")=L$6)*(INDIRECT($E97&amp;"[taskflag]")="P")*(INDIRECT($E97&amp;"[errortype]")="SwapOrders"))</f>
        <v>3</v>
      </c>
      <c r="M97" s="232">
        <f t="array" aca="1" ref="M97" ca="1">SUM(INDIRECT($E97&amp;"["&amp;$F97&amp;"]")*(INDIRECT($E97&amp;"[yr]")=M$5)*(INDIRECT($E97&amp;"[wk]")=M$6)*(INDIRECT($E97&amp;"[taskflag]")="P")*(INDIRECT($E97&amp;"[errortype]")="SwapOrders"))</f>
        <v>8</v>
      </c>
      <c r="N97" s="232">
        <f t="array" aca="1" ref="N97" ca="1">SUM(INDIRECT($E97&amp;"["&amp;$F97&amp;"]")*(INDIRECT($E97&amp;"[yr]")=N$5)*(INDIRECT($E97&amp;"[wk]")=N$6)*(INDIRECT($E97&amp;"[taskflag]")="P")*(INDIRECT($E97&amp;"[errortype]")="SwapOrders"))</f>
        <v>7</v>
      </c>
      <c r="O97" s="232">
        <f t="array" aca="1" ref="O97" ca="1">SUM(INDIRECT($E97&amp;"["&amp;$F97&amp;"]")*(INDIRECT($E97&amp;"[yr]")=O$5)*(INDIRECT($E97&amp;"[wk]")=O$6)*(INDIRECT($E97&amp;"[taskflag]")="P")*(INDIRECT($E97&amp;"[errortype]")="SwapOrders"))</f>
        <v>3</v>
      </c>
      <c r="P97" s="150">
        <f t="array" aca="1" ref="P97" ca="1">SUM(INDIRECT($E97&amp;"["&amp;$F97&amp;"]")*(INDIRECT($E97&amp;"[yr]")=P$5)*(INDIRECT($E97&amp;"[wk]")=P$6)*(INDIRECT($E97&amp;"[taskflag]")="P")*(INDIRECT($E97&amp;"[errortype]")="SwapOrders"))</f>
        <v>9</v>
      </c>
      <c r="Q97" s="232">
        <f t="array" aca="1" ref="Q97" ca="1">SUM(INDIRECT($E97&amp;"["&amp;$F97&amp;"]")*(INDIRECT($E97&amp;"[yr]")=Q$5)*(INDIRECT($E97&amp;"[wk]")=Q$6)*(INDIRECT($E97&amp;"[taskflag]")="P")*(INDIRECT($E97&amp;"[errortype]")="SwapOrders"))</f>
        <v>7</v>
      </c>
      <c r="R97" s="232">
        <f t="array" aca="1" ref="R97" ca="1">SUM(INDIRECT($E97&amp;"["&amp;$F97&amp;"]")*(INDIRECT($E97&amp;"[yr]")=R$5)*(INDIRECT($E97&amp;"[wk]")=R$6)*(INDIRECT($E97&amp;"[taskflag]")="P")*(INDIRECT($E97&amp;"[errortype]")="SwapOrders"))</f>
        <v>3</v>
      </c>
      <c r="S97" s="235">
        <f t="array" aca="1" ref="S97" ca="1">SUM(INDIRECT($E97&amp;"["&amp;$F97&amp;"]")*(INDIRECT($E97&amp;"[yr]")=S$5)*(INDIRECT($E97&amp;"[wk]")=S$6)*(INDIRECT($E97&amp;"[taskflag]")="P")*(INDIRECT($E97&amp;"[errortype]")="SwapOrders"))</f>
        <v>5</v>
      </c>
      <c r="T97" s="233">
        <f t="array" aca="1" ref="T97" ca="1">SUM(INDIRECT($E97&amp;"["&amp;$F97&amp;"]")*(INDIRECT($E97&amp;"[yr]")=T$5)*(INDIRECT($E97&amp;"[wk]")=T$6)*(INDIRECT($E97&amp;"[taskflag]")="P")*(INDIRECT($E97&amp;"[errortype]")="SwapOrders"))</f>
        <v>6</v>
      </c>
      <c r="U97" s="150">
        <f ca="1">AVERAGE(Q97:T97)</f>
        <v>5.25</v>
      </c>
      <c r="V97" s="49">
        <f t="array" aca="1" ref="V97" ca="1">SUM(T97/S97)-1</f>
        <v>0.19999999999999996</v>
      </c>
      <c r="W97" s="127"/>
      <c r="X97" s="49"/>
    </row>
    <row r="98" spans="2:24" ht="3" customHeight="1" x14ac:dyDescent="0.4">
      <c r="B98" s="329"/>
      <c r="D98" s="61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61"/>
      <c r="Q98" s="57"/>
      <c r="R98" s="57"/>
      <c r="S98" s="57"/>
      <c r="T98" s="59"/>
      <c r="U98" s="60"/>
      <c r="V98" s="61"/>
      <c r="W98" s="62"/>
      <c r="X98" s="61"/>
    </row>
    <row r="99" spans="2:24" ht="14.15" customHeight="1" x14ac:dyDescent="0.4">
      <c r="B99" s="330"/>
      <c r="D99" s="201" t="s">
        <v>296</v>
      </c>
      <c r="E99" s="63" t="s">
        <v>108</v>
      </c>
      <c r="F99" s="63" t="s">
        <v>166</v>
      </c>
      <c r="G99" s="63"/>
      <c r="H99" s="63"/>
      <c r="I99" s="197">
        <f t="array" aca="1" ref="I99" ca="1">SUM(INDIRECT($E99&amp;"["&amp;$F99&amp;"]")*(INDIRECT($E99&amp;"[yr]")=I$5)*(INDIRECT($E99&amp;"[wk]")=I$6)*(INDIRECT($E99&amp;"[taskflag]")="Rt")*(INDIRECT($E99&amp;"[errortype]")="ReturnError"))</f>
        <v>42</v>
      </c>
      <c r="J99" s="197">
        <f t="array" aca="1" ref="J99" ca="1">SUM(INDIRECT($E99&amp;"["&amp;$F99&amp;"]")*(INDIRECT($E99&amp;"[yr]")=J$5)*(INDIRECT($E99&amp;"[wk]")=J$6)*(INDIRECT($E99&amp;"[taskflag]")="Rt")*(INDIRECT($E99&amp;"[errortype]")="ReturnError"))</f>
        <v>63</v>
      </c>
      <c r="K99" s="197">
        <f t="array" aca="1" ref="K99" ca="1">SUM(INDIRECT($E99&amp;"["&amp;$F99&amp;"]")*(INDIRECT($E99&amp;"[yr]")=K$5)*(INDIRECT($E99&amp;"[wk]")=K$6)*(INDIRECT($E99&amp;"[taskflag]")="Rt")*(INDIRECT($E99&amp;"[errortype]")="ReturnError"))</f>
        <v>28</v>
      </c>
      <c r="L99" s="197">
        <f t="array" aca="1" ref="L99" ca="1">SUM(INDIRECT($E99&amp;"["&amp;$F99&amp;"]")*(INDIRECT($E99&amp;"[yr]")=L$5)*(INDIRECT($E99&amp;"[wk]")=L$6)*(INDIRECT($E99&amp;"[taskflag]")="Rt")*(INDIRECT($E99&amp;"[errortype]")="ReturnError"))</f>
        <v>18</v>
      </c>
      <c r="M99" s="197">
        <f t="array" aca="1" ref="M99" ca="1">SUM(INDIRECT($E99&amp;"["&amp;$F99&amp;"]")*(INDIRECT($E99&amp;"[yr]")=M$5)*(INDIRECT($E99&amp;"[wk]")=M$6)*(INDIRECT($E99&amp;"[taskflag]")="Rt")*(INDIRECT($E99&amp;"[errortype]")="ReturnError"))</f>
        <v>21</v>
      </c>
      <c r="N99" s="197">
        <f t="array" aca="1" ref="N99" ca="1">SUM(INDIRECT($E99&amp;"["&amp;$F99&amp;"]")*(INDIRECT($E99&amp;"[yr]")=N$5)*(INDIRECT($E99&amp;"[wk]")=N$6)*(INDIRECT($E99&amp;"[taskflag]")="Rt")*(INDIRECT($E99&amp;"[errortype]")="ReturnError"))</f>
        <v>32</v>
      </c>
      <c r="O99" s="197">
        <f t="array" aca="1" ref="O99" ca="1">SUM(INDIRECT($E99&amp;"["&amp;$F99&amp;"]")*(INDIRECT($E99&amp;"[yr]")=O$5)*(INDIRECT($E99&amp;"[wk]")=O$6)*(INDIRECT($E99&amp;"[taskflag]")="Rt")*(INDIRECT($E99&amp;"[errortype]")="ReturnError"))</f>
        <v>35</v>
      </c>
      <c r="P99" s="234">
        <f t="array" aca="1" ref="P99" ca="1">SUM(INDIRECT($E99&amp;"["&amp;$F99&amp;"]")*(INDIRECT($E99&amp;"[yr]")=P$5)*(INDIRECT($E99&amp;"[wk]")=P$6)*(INDIRECT($E99&amp;"[taskflag]")="Rt")*(INDIRECT($E99&amp;"[errortype]")="ReturnError"))</f>
        <v>18</v>
      </c>
      <c r="Q99" s="197">
        <f t="array" aca="1" ref="Q99" ca="1">SUM(INDIRECT($E99&amp;"["&amp;$F99&amp;"]")*(INDIRECT($E99&amp;"[yr]")=Q$5)*(INDIRECT($E99&amp;"[wk]")=Q$6)*(INDIRECT($E99&amp;"[taskflag]")="Rt")*(INDIRECT($E99&amp;"[errortype]")="ReturnError"))</f>
        <v>22</v>
      </c>
      <c r="R99" s="197">
        <f t="array" aca="1" ref="R99" ca="1">SUM(INDIRECT($E99&amp;"["&amp;$F99&amp;"]")*(INDIRECT($E99&amp;"[yr]")=R$5)*(INDIRECT($E99&amp;"[wk]")=R$6)*(INDIRECT($E99&amp;"[taskflag]")="Rt")*(INDIRECT($E99&amp;"[errortype]")="ReturnError"))</f>
        <v>10</v>
      </c>
      <c r="S99" s="197">
        <f t="array" aca="1" ref="S99" ca="1">SUM(INDIRECT($E99&amp;"["&amp;$F99&amp;"]")*(INDIRECT($E99&amp;"[yr]")=S$5)*(INDIRECT($E99&amp;"[wk]")=S$6)*(INDIRECT($E99&amp;"[taskflag]")="Rt")*(INDIRECT($E99&amp;"[errortype]")="ReturnError"))</f>
        <v>12</v>
      </c>
      <c r="T99" s="95">
        <f t="array" aca="1" ref="T99" ca="1">SUM(INDIRECT($E99&amp;"["&amp;$F99&amp;"]")*(INDIRECT($E99&amp;"[yr]")=T$5)*(INDIRECT($E99&amp;"[wk]")=T$6)*(INDIRECT($E99&amp;"[taskflag]")="Rt")*(INDIRECT($E99&amp;"[errortype]")="ReturnError"))</f>
        <v>5</v>
      </c>
      <c r="U99" s="72">
        <f ca="1">AVERAGE(Q99:T99)</f>
        <v>12.25</v>
      </c>
      <c r="V99" s="47">
        <f t="array" aca="1" ref="V99" ca="1">SUM(T99/S99)-1</f>
        <v>-0.58333333333333326</v>
      </c>
      <c r="W99" s="131"/>
      <c r="X99" s="49"/>
    </row>
    <row r="100" spans="2:24" ht="3" customHeight="1" x14ac:dyDescent="0.4">
      <c r="C100" s="145"/>
      <c r="D100" s="61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61"/>
      <c r="Q100" s="57"/>
      <c r="R100" s="57"/>
      <c r="S100" s="149"/>
      <c r="T100" s="149"/>
      <c r="U100" s="57"/>
      <c r="V100" s="57"/>
      <c r="W100" s="57"/>
      <c r="X100" s="62"/>
    </row>
    <row r="101" spans="2:24" ht="14.15" customHeight="1" x14ac:dyDescent="0.4">
      <c r="B101" s="328" t="s">
        <v>131</v>
      </c>
      <c r="D101" s="203" t="s">
        <v>132</v>
      </c>
      <c r="E101" s="63" t="s">
        <v>125</v>
      </c>
      <c r="F101" t="s">
        <v>133</v>
      </c>
      <c r="I101" s="126">
        <f t="array" aca="1" ref="I101" ca="1">SUM(INDIRECT($E101&amp;"["&amp;$F101&amp;"]")*(INDIRECT($E101&amp;"[yr]")=I$5)*(INDIRECT($E101&amp;"[wk]")=I$6)*(IF($G$2=0,1,(INDIRECT($E101&amp;"[siteflag]")=$G$2)))/1000)</f>
        <v>8.8520000000000003</v>
      </c>
      <c r="J101" s="126">
        <f t="array" aca="1" ref="J101" ca="1">SUM(INDIRECT($E101&amp;"["&amp;$F101&amp;"]")*(INDIRECT($E101&amp;"[yr]")=J$5)*(INDIRECT($E101&amp;"[wk]")=J$6)*(IF($G$2=0,1,(INDIRECT($E101&amp;"[siteflag]")=$G$2)))/1000)</f>
        <v>10.037000000000001</v>
      </c>
      <c r="K101" s="126">
        <f t="array" aca="1" ref="K101" ca="1">SUM(INDIRECT($E101&amp;"["&amp;$F101&amp;"]")*(INDIRECT($E101&amp;"[yr]")=K$5)*(INDIRECT($E101&amp;"[wk]")=K$6)*(IF($G$2=0,1,(INDIRECT($E101&amp;"[siteflag]")=$G$2)))/1000)</f>
        <v>10.939</v>
      </c>
      <c r="L101" s="126">
        <f t="array" aca="1" ref="L101" ca="1">SUM(INDIRECT($E101&amp;"["&amp;$F101&amp;"]")*(INDIRECT($E101&amp;"[yr]")=L$5)*(INDIRECT($E101&amp;"[wk]")=L$6)*(IF($G$2=0,1,(INDIRECT($E101&amp;"[siteflag]")=$G$2)))/1000)</f>
        <v>8.4169999999999998</v>
      </c>
      <c r="M101" s="126">
        <f t="array" aca="1" ref="M101" ca="1">SUM(INDIRECT($E101&amp;"["&amp;$F101&amp;"]")*(INDIRECT($E101&amp;"[yr]")=M$5)*(INDIRECT($E101&amp;"[wk]")=M$6)*(IF($G$2=0,1,(INDIRECT($E101&amp;"[siteflag]")=$G$2)))/1000)</f>
        <v>5.4580000000000002</v>
      </c>
      <c r="N101" s="126">
        <f t="array" aca="1" ref="N101" ca="1">SUM(INDIRECT($E101&amp;"["&amp;$F101&amp;"]")*(INDIRECT($E101&amp;"[yr]")=N$5)*(INDIRECT($E101&amp;"[wk]")=N$6)*(IF($G$2=0,1,(INDIRECT($E101&amp;"[siteflag]")=$G$2)))/1000)</f>
        <v>6.0250000000000004</v>
      </c>
      <c r="O101" s="126">
        <f t="array" aca="1" ref="O101" ca="1">SUM(INDIRECT($E101&amp;"["&amp;$F101&amp;"]")*(INDIRECT($E101&amp;"[yr]")=O$5)*(INDIRECT($E101&amp;"[wk]")=O$6)*(IF($G$2=0,1,(INDIRECT($E101&amp;"[siteflag]")=$G$2)))/1000)</f>
        <v>8.0739999999999998</v>
      </c>
      <c r="P101" s="147">
        <f t="array" aca="1" ref="P101" ca="1">SUM(INDIRECT($E101&amp;"["&amp;$F101&amp;"]")*(INDIRECT($E101&amp;"[yr]")=P$5)*(INDIRECT($E101&amp;"[wk]")=P$6)*(IF($G$2=0,1,(INDIRECT($E101&amp;"[siteflag]")=$G$2)))/1000)</f>
        <v>9.7050000000000001</v>
      </c>
      <c r="Q101" s="126">
        <f t="array" aca="1" ref="Q101" ca="1">SUM(INDIRECT($E101&amp;"["&amp;$F101&amp;"]")*(INDIRECT($E101&amp;"[yr]")=Q$5)*(INDIRECT($E101&amp;"[wk]")=Q$6)*(IF($G$2=0,1,(INDIRECT($E101&amp;"[siteflag]")=$G$2)))/1000)</f>
        <v>9.9009999999999998</v>
      </c>
      <c r="R101" s="126">
        <f t="array" aca="1" ref="R101" ca="1">SUM(INDIRECT($E101&amp;"["&amp;$F101&amp;"]")*(INDIRECT($E101&amp;"[yr]")=R$5)*(INDIRECT($E101&amp;"[wk]")=R$6)*(IF($G$2=0,1,(INDIRECT($E101&amp;"[siteflag]")=$G$2)))/1000)</f>
        <v>8.7889999999999997</v>
      </c>
      <c r="S101" s="148">
        <f t="array" aca="1" ref="S101" ca="1">SUM(INDIRECT($E101&amp;"["&amp;$F101&amp;"]")*(INDIRECT($E101&amp;"[yr]")=S$5)*(INDIRECT($E101&amp;"[wk]")=S$6)*(IF($G$2=0,1,(INDIRECT($E101&amp;"[siteflag]")=$G$2)))/1000)</f>
        <v>9.4689999999999994</v>
      </c>
      <c r="T101" s="194">
        <f t="array" aca="1" ref="T101" ca="1">SUM(INDIRECT($E101&amp;"["&amp;$F101&amp;"]")*(INDIRECT($E101&amp;"[yr]")=T$5)*(INDIRECT($E101&amp;"[wk]")=T$6)*(IF($G$2=0,1,(INDIRECT($E101&amp;"[siteflag]")=$G$2)))/1000)</f>
        <v>8.6720000000000006</v>
      </c>
      <c r="U101" s="150">
        <f ca="1">SUM(Q101:T101)</f>
        <v>36.831000000000003</v>
      </c>
      <c r="V101" s="49">
        <f t="array" aca="1" ref="V101" ca="1">SUM(T101/S101)-1</f>
        <v>-8.4169394867462111E-2</v>
      </c>
      <c r="W101" s="127"/>
      <c r="X101" s="49"/>
    </row>
    <row r="102" spans="2:24" ht="14.15" customHeight="1" x14ac:dyDescent="0.4">
      <c r="B102" s="329"/>
      <c r="D102" s="204" t="s">
        <v>67</v>
      </c>
      <c r="I102" s="74">
        <f t="array" aca="1" ref="I102" ca="1">I101/SUM(INDIRECT($E101&amp;"["&amp;$F101&amp;"]")*(INDIRECT($E101&amp;"[yr]")=(I$5-1))*(INDIRECT($E101&amp;"[wk]")=I$6)*(IF($G$2=0,1,(INDIRECT($E101&amp;"[siteflag]")=$G$2)))/1000)-1</f>
        <v>-0.22330437834517858</v>
      </c>
      <c r="J102" s="74">
        <f t="array" aca="1" ref="J102" ca="1">J101/SUM(INDIRECT($E101&amp;"["&amp;$F101&amp;"]")*(INDIRECT($E101&amp;"[yr]")=(J$5-1))*(INDIRECT($E101&amp;"[wk]")=J$6)*(IF($G$2=0,1,(INDIRECT($E101&amp;"[siteflag]")=$G$2)))/1000)-1</f>
        <v>-0.34790800415800405</v>
      </c>
      <c r="K102" s="74">
        <f t="array" aca="1" ref="K102" ca="1">K101/SUM(INDIRECT($E101&amp;"["&amp;$F101&amp;"]")*(INDIRECT($E101&amp;"[yr]")=(K$5-1))*(INDIRECT($E101&amp;"[wk]")=K$6)*(IF($G$2=0,1,(INDIRECT($E101&amp;"[siteflag]")=$G$2)))/1000)-1</f>
        <v>-0.15853846153846152</v>
      </c>
      <c r="L102" s="74">
        <f t="array" aca="1" ref="L102" ca="1">L101/SUM(INDIRECT($E101&amp;"["&amp;$F101&amp;"]")*(INDIRECT($E101&amp;"[yr]")=(L$5-1))*(INDIRECT($E101&amp;"[wk]")=L$6)*(IF($G$2=0,1,(INDIRECT($E101&amp;"[siteflag]")=$G$2)))/1000)-1</f>
        <v>-0.11937643858547808</v>
      </c>
      <c r="M102" s="74">
        <f t="array" aca="1" ref="M102" ca="1">M101/SUM(INDIRECT($E101&amp;"["&amp;$F101&amp;"]")*(INDIRECT($E101&amp;"[yr]")=(M$5-1))*(INDIRECT($E101&amp;"[wk]")=M$6)*(IF($G$2=0,1,(INDIRECT($E101&amp;"[siteflag]")=$G$2)))/1000)-1</f>
        <v>-0.3657176060429983</v>
      </c>
      <c r="N102" s="74">
        <f t="array" aca="1" ref="N102" ca="1">N101/SUM(INDIRECT($E101&amp;"["&amp;$F101&amp;"]")*(INDIRECT($E101&amp;"[yr]")=(N$5-1))*(INDIRECT($E101&amp;"[wk]")=N$6)*(IF($G$2=0,1,(INDIRECT($E101&amp;"[siteflag]")=$G$2)))/1000)-1</f>
        <v>-0.45371293861637496</v>
      </c>
      <c r="O102" s="74">
        <f t="array" aca="1" ref="O102" ca="1">O101/SUM(INDIRECT($E101&amp;"["&amp;$F101&amp;"]")*(INDIRECT($E101&amp;"[yr]")=(O$5-1))*(INDIRECT($E101&amp;"[wk]")=O$6)*(IF($G$2=0,1,(INDIRECT($E101&amp;"[siteflag]")=$G$2)))/1000)-1</f>
        <v>-0.20726558664702999</v>
      </c>
      <c r="P102" s="91">
        <f t="array" aca="1" ref="P102" ca="1">P101/SUM(INDIRECT($E101&amp;"["&amp;$F101&amp;"]")*(INDIRECT($E101&amp;"[yr]")=(P$5-1))*(INDIRECT($E101&amp;"[wk]")=P$6)*(IF($G$2=0,1,(INDIRECT($E101&amp;"[siteflag]")=$G$2)))/1000)-1</f>
        <v>0.26482471002215568</v>
      </c>
      <c r="Q102" s="74">
        <f t="array" aca="1" ref="Q102" ca="1">Q101/SUM(INDIRECT($E101&amp;"["&amp;$F101&amp;"]")*(INDIRECT($E101&amp;"[yr]")=(Q$5-1))*(INDIRECT($E101&amp;"[wk]")=Q$6)*(IF($G$2=0,1,(INDIRECT($E101&amp;"[siteflag]")=$G$2)))/1000)-1</f>
        <v>-6.36466805371666E-2</v>
      </c>
      <c r="R102" s="74">
        <f t="array" aca="1" ref="R102" ca="1">R101/SUM(INDIRECT($E101&amp;"["&amp;$F101&amp;"]")*(INDIRECT($E101&amp;"[yr]")=(R$5-1))*(INDIRECT($E101&amp;"[wk]")=R$6)*(IF($G$2=0,1,(INDIRECT($E101&amp;"[siteflag]")=$G$2)))/1000)-1</f>
        <v>-0.29416961130742048</v>
      </c>
      <c r="S102" s="74">
        <f t="array" aca="1" ref="S102" ca="1">S101/SUM(INDIRECT($E101&amp;"["&amp;$F101&amp;"]")*(INDIRECT($E101&amp;"[yr]")=(S$5-1))*(INDIRECT($E101&amp;"[wk]")=S$6)*(IF($G$2=0,1,(INDIRECT($E101&amp;"[siteflag]")=$G$2)))/1000)-1</f>
        <v>-0.3606778745526974</v>
      </c>
      <c r="T102" s="76">
        <f t="array" aca="1" ref="T102" ca="1">T101/SUM(INDIRECT($E101&amp;"["&amp;$F101&amp;"]")*(INDIRECT($E101&amp;"[yr]")=(T$5-1))*(INDIRECT($E101&amp;"[wk]")=T$6)*(IF($G$2=0,1,(INDIRECT($E101&amp;"[siteflag]")=$G$2)))/1000)-1</f>
        <v>-0.25587781019392475</v>
      </c>
      <c r="U102" s="53">
        <f t="array" aca="1" ref="U102" ca="1">SUMPRODUCT(Q102:T102,Q101:T101)/SUM(Q101:T101)</f>
        <v>-0.24028274176429126</v>
      </c>
      <c r="V102" s="91"/>
      <c r="W102" s="80"/>
      <c r="X102" s="56"/>
    </row>
    <row r="103" spans="2:24" ht="3" customHeight="1" x14ac:dyDescent="0.4">
      <c r="B103" s="329"/>
      <c r="D103" s="61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61"/>
      <c r="Q103" s="57"/>
      <c r="R103" s="57"/>
      <c r="S103" s="57"/>
      <c r="T103" s="59"/>
      <c r="U103" s="60"/>
      <c r="V103" s="61"/>
      <c r="W103" s="62"/>
      <c r="X103" s="61"/>
    </row>
    <row r="104" spans="2:24" ht="14.15" customHeight="1" x14ac:dyDescent="0.4">
      <c r="B104" s="329"/>
      <c r="D104" s="201" t="s">
        <v>434</v>
      </c>
      <c r="E104" s="63" t="s">
        <v>125</v>
      </c>
      <c r="F104" s="63" t="s">
        <v>134</v>
      </c>
      <c r="G104" s="63"/>
      <c r="H104" s="63"/>
      <c r="I104" s="128">
        <f t="array" aca="1" ref="I104" ca="1">SUM(INDIRECT($E101&amp;"["&amp;$F101&amp;"]")*(INDIRECT($E101&amp;"[yr]")=I$5)*(INDIRECT($E101&amp;"[wk]")=I$6)*(IF($G$2=0,1,(INDIRECT($E101&amp;"[siteflag]")=$G$2))))/SUM(INDIRECT($E104&amp;"["&amp;$F104&amp;"]")*(INDIRECT($E104&amp;"[yr]")=I$5)*(INDIRECT($E104&amp;"[wk]")=I$6)*(IF($G$2=0,1,(INDIRECT($E104&amp;"[siteflag]")=$G$2))))</f>
        <v>36.563403552251138</v>
      </c>
      <c r="J104" s="128">
        <f t="array" aca="1" ref="J104" ca="1">SUM(INDIRECT($E101&amp;"["&amp;$F101&amp;"]")*(INDIRECT($E101&amp;"[yr]")=J$5)*(INDIRECT($E101&amp;"[wk]")=J$6)*(IF($G$2=0,1,(INDIRECT($E101&amp;"[siteflag]")=$G$2))))/SUM(INDIRECT($E104&amp;"["&amp;$F104&amp;"]")*(INDIRECT($E104&amp;"[yr]")=J$5)*(INDIRECT($E104&amp;"[wk]")=J$6)*(IF($G$2=0,1,(INDIRECT($E104&amp;"[siteflag]")=$G$2))))</f>
        <v>40.115907274180657</v>
      </c>
      <c r="K104" s="128">
        <f t="array" aca="1" ref="K104" ca="1">SUM(INDIRECT($E101&amp;"["&amp;$F101&amp;"]")*(INDIRECT($E101&amp;"[yr]")=K$5)*(INDIRECT($E101&amp;"[wk]")=K$6)*(IF($G$2=0,1,(INDIRECT($E101&amp;"[siteflag]")=$G$2))))/SUM(INDIRECT($E104&amp;"["&amp;$F104&amp;"]")*(INDIRECT($E104&amp;"[yr]")=K$5)*(INDIRECT($E104&amp;"[wk]")=K$6)*(IF($G$2=0,1,(INDIRECT($E104&amp;"[siteflag]")=$G$2))))</f>
        <v>32.63424821002387</v>
      </c>
      <c r="L104" s="128">
        <f t="array" aca="1" ref="L104" ca="1">SUM(INDIRECT($E101&amp;"["&amp;$F101&amp;"]")*(INDIRECT($E101&amp;"[yr]")=L$5)*(INDIRECT($E101&amp;"[wk]")=L$6)*(IF($G$2=0,1,(INDIRECT($E101&amp;"[siteflag]")=$G$2))))/SUM(INDIRECT($E104&amp;"["&amp;$F104&amp;"]")*(INDIRECT($E104&amp;"[yr]")=L$5)*(INDIRECT($E104&amp;"[wk]")=L$6)*(IF($G$2=0,1,(INDIRECT($E104&amp;"[siteflag]")=$G$2))))</f>
        <v>29.114493254929087</v>
      </c>
      <c r="M104" s="128">
        <f t="array" aca="1" ref="M104" ca="1">SUM(INDIRECT($E101&amp;"["&amp;$F101&amp;"]")*(INDIRECT($E101&amp;"[yr]")=M$5)*(INDIRECT($E101&amp;"[wk]")=M$6)*(IF($G$2=0,1,(INDIRECT($E101&amp;"[siteflag]")=$G$2))))/SUM(INDIRECT($E104&amp;"["&amp;$F104&amp;"]")*(INDIRECT($E104&amp;"[yr]")=M$5)*(INDIRECT($E104&amp;"[wk]")=M$6)*(IF($G$2=0,1,(INDIRECT($E104&amp;"[siteflag]")=$G$2))))</f>
        <v>35.860709592641264</v>
      </c>
      <c r="N104" s="128">
        <f t="array" aca="1" ref="N104" ca="1">SUM(INDIRECT($E101&amp;"["&amp;$F101&amp;"]")*(INDIRECT($E101&amp;"[yr]")=N$5)*(INDIRECT($E101&amp;"[wk]")=N$6)*(IF($G$2=0,1,(INDIRECT($E101&amp;"[siteflag]")=$G$2))))/SUM(INDIRECT($E104&amp;"["&amp;$F104&amp;"]")*(INDIRECT($E104&amp;"[yr]")=N$5)*(INDIRECT($E104&amp;"[wk]")=N$6)*(IF($G$2=0,1,(INDIRECT($E104&amp;"[siteflag]")=$G$2))))</f>
        <v>32.479784366576823</v>
      </c>
      <c r="O104" s="128">
        <f t="array" aca="1" ref="O104" ca="1">SUM(INDIRECT($E101&amp;"["&amp;$F101&amp;"]")*(INDIRECT($E101&amp;"[yr]")=O$5)*(INDIRECT($E101&amp;"[wk]")=O$6)*(IF($G$2=0,1,(INDIRECT($E101&amp;"[siteflag]")=$G$2))))/SUM(INDIRECT($E104&amp;"["&amp;$F104&amp;"]")*(INDIRECT($E104&amp;"[yr]")=O$5)*(INDIRECT($E104&amp;"[wk]")=O$6)*(IF($G$2=0,1,(INDIRECT($E104&amp;"[siteflag]")=$G$2))))</f>
        <v>39.404587603709125</v>
      </c>
      <c r="P104" s="154">
        <f t="array" aca="1" ref="P104" ca="1">SUM(INDIRECT($E101&amp;"["&amp;$F101&amp;"]")*(INDIRECT($E101&amp;"[yr]")=P$5)*(INDIRECT($E101&amp;"[wk]")=P$6)*(IF($G$2=0,1,(INDIRECT($E101&amp;"[siteflag]")=$G$2))))/SUM(INDIRECT($E104&amp;"["&amp;$F104&amp;"]")*(INDIRECT($E104&amp;"[yr]")=P$5)*(INDIRECT($E104&amp;"[wk]")=P$6)*(IF($G$2=0,1,(INDIRECT($E104&amp;"[siteflag]")=$G$2))))</f>
        <v>42.621870882740453</v>
      </c>
      <c r="Q104" s="128">
        <f t="array" aca="1" ref="Q104" ca="1">SUM(INDIRECT($E101&amp;"["&amp;$F101&amp;"]")*(INDIRECT($E101&amp;"[yr]")=Q$5)*(INDIRECT($E101&amp;"[wk]")=Q$6)*(IF($G$2=0,1,(INDIRECT($E101&amp;"[siteflag]")=$G$2))))/SUM(INDIRECT($E104&amp;"["&amp;$F104&amp;"]")*(INDIRECT($E104&amp;"[yr]")=Q$5)*(INDIRECT($E104&amp;"[wk]")=Q$6)*(IF($G$2=0,1,(INDIRECT($E104&amp;"[siteflag]")=$G$2))))</f>
        <v>39.588164734106357</v>
      </c>
      <c r="R104" s="128">
        <f t="array" aca="1" ref="R104" ca="1">SUM(INDIRECT($E101&amp;"["&amp;$F101&amp;"]")*(INDIRECT($E101&amp;"[yr]")=R$5)*(INDIRECT($E101&amp;"[wk]")=R$6)*(IF($G$2=0,1,(INDIRECT($E101&amp;"[siteflag]")=$G$2))))/SUM(INDIRECT($E104&amp;"["&amp;$F104&amp;"]")*(INDIRECT($E104&amp;"[yr]")=R$5)*(INDIRECT($E104&amp;"[wk]")=R$6)*(IF($G$2=0,1,(INDIRECT($E104&amp;"[siteflag]")=$G$2))))</f>
        <v>37.721030042918457</v>
      </c>
      <c r="S104" s="128">
        <f t="array" aca="1" ref="S104" ca="1">SUM(INDIRECT($E101&amp;"["&amp;$F101&amp;"]")*(INDIRECT($E101&amp;"[yr]")=S$5)*(INDIRECT($E101&amp;"[wk]")=S$6)*(IF($G$2=0,1,(INDIRECT($E101&amp;"[siteflag]")=$G$2))))/SUM(INDIRECT($E104&amp;"["&amp;$F104&amp;"]")*(INDIRECT($E104&amp;"[yr]")=S$5)*(INDIRECT($E104&amp;"[wk]")=S$6)*(IF($G$2=0,1,(INDIRECT($E104&amp;"[siteflag]")=$G$2))))</f>
        <v>38.181451612903224</v>
      </c>
      <c r="T104" s="129">
        <f t="array" aca="1" ref="T104" ca="1">SUM(INDIRECT($E101&amp;"["&amp;$F101&amp;"]")*(INDIRECT($E101&amp;"[yr]")=T$5)*(INDIRECT($E101&amp;"[wk]")=T$6)*(IF($G$2=0,1,(INDIRECT($E101&amp;"[siteflag]")=$G$2))))/SUM(INDIRECT($E104&amp;"["&amp;$F104&amp;"]")*(INDIRECT($E104&amp;"[yr]")=T$5)*(INDIRECT($E104&amp;"[wk]")=T$6)*(IF($G$2=0,1,(INDIRECT($E104&amp;"[siteflag]")=$G$2))))</f>
        <v>39.798072510325838</v>
      </c>
      <c r="U104" s="130">
        <f ca="1">AVERAGE(Q104:T104)</f>
        <v>38.822179725063464</v>
      </c>
      <c r="V104" s="47">
        <f t="array" aca="1" ref="V104" ca="1">SUM(T104/S104)-1</f>
        <v>4.2340477617573979E-2</v>
      </c>
      <c r="W104" s="131">
        <v>85</v>
      </c>
      <c r="X104" s="49"/>
    </row>
    <row r="105" spans="2:24" ht="14.15" customHeight="1" x14ac:dyDescent="0.4">
      <c r="B105" s="329"/>
      <c r="D105" s="204" t="s">
        <v>67</v>
      </c>
      <c r="I105" s="74">
        <f t="array" aca="1" ref="I105" ca="1">I104/(SUM(INDIRECT($E101&amp;"["&amp;$F101&amp;"]")*(INDIRECT($E101&amp;"[yr]")=(I$5-1))*(INDIRECT($E101&amp;"[wk]")=I$6)*(IF($G$2=0,1,(INDIRECT($E101&amp;"[siteflag]")=$G$2))))/SUM(INDIRECT($E104&amp;"["&amp;$F104&amp;"]")*(INDIRECT($E104&amp;"[yr]")=(I$5-1))*(INDIRECT($E104&amp;"[wk]")=I$6)*(IF($G$2=0,1,(INDIRECT($E104&amp;"[siteflag]")=$G$2)))))-1</f>
        <v>-0.2868259533504055</v>
      </c>
      <c r="J105" s="74">
        <f t="array" aca="1" ref="J105" ca="1">J104/(SUM(INDIRECT($E101&amp;"["&amp;$F101&amp;"]")*(INDIRECT($E101&amp;"[yr]")=(J$5-1))*(INDIRECT($E101&amp;"[wk]")=J$6)*(IF($G$2=0,1,(INDIRECT($E101&amp;"[siteflag]")=$G$2))))/SUM(INDIRECT($E104&amp;"["&amp;$F104&amp;"]")*(INDIRECT($E104&amp;"[yr]")=(J$5-1))*(INDIRECT($E104&amp;"[wk]")=J$6)*(IF($G$2=0,1,(INDIRECT($E104&amp;"[siteflag]")=$G$2)))))-1</f>
        <v>-0.26841637396943152</v>
      </c>
      <c r="K105" s="74">
        <f t="array" aca="1" ref="K105" ca="1">K104/(SUM(INDIRECT($E101&amp;"["&amp;$F101&amp;"]")*(INDIRECT($E101&amp;"[yr]")=(K$5-1))*(INDIRECT($E101&amp;"[wk]")=K$6)*(IF($G$2=0,1,(INDIRECT($E101&amp;"[siteflag]")=$G$2))))/SUM(INDIRECT($E104&amp;"["&amp;$F104&amp;"]")*(INDIRECT($E104&amp;"[yr]")=(K$5-1))*(INDIRECT($E104&amp;"[wk]")=K$6)*(IF($G$2=0,1,(INDIRECT($E104&amp;"[siteflag]")=$G$2)))))-1</f>
        <v>-0.18288863135670996</v>
      </c>
      <c r="L105" s="74">
        <f t="array" aca="1" ref="L105" ca="1">L104/(SUM(INDIRECT($E101&amp;"["&amp;$F101&amp;"]")*(INDIRECT($E101&amp;"[yr]")=(L$5-1))*(INDIRECT($E101&amp;"[wk]")=L$6)*(IF($G$2=0,1,(INDIRECT($E101&amp;"[siteflag]")=$G$2))))/SUM(INDIRECT($E104&amp;"["&amp;$F104&amp;"]")*(INDIRECT($E104&amp;"[yr]")=(L$5-1))*(INDIRECT($E104&amp;"[wk]")=L$6)*(IF($G$2=0,1,(INDIRECT($E104&amp;"[siteflag]")=$G$2)))))-1</f>
        <v>-0.20862676840023253</v>
      </c>
      <c r="M105" s="74">
        <f t="array" aca="1" ref="M105" ca="1">M104/(SUM(INDIRECT($E101&amp;"["&amp;$F101&amp;"]")*(INDIRECT($E101&amp;"[yr]")=(M$5-1))*(INDIRECT($E101&amp;"[wk]")=M$6)*(IF($G$2=0,1,(INDIRECT($E101&amp;"[siteflag]")=$G$2))))/SUM(INDIRECT($E104&amp;"["&amp;$F104&amp;"]")*(INDIRECT($E104&amp;"[yr]")=(M$5-1))*(INDIRECT($E104&amp;"[wk]")=M$6)*(IF($G$2=0,1,(INDIRECT($E104&amp;"[siteflag]")=$G$2)))))-1</f>
        <v>-4.3992239331562266E-2</v>
      </c>
      <c r="N105" s="74">
        <f t="array" aca="1" ref="N105" ca="1">N104/(SUM(INDIRECT($E101&amp;"["&amp;$F101&amp;"]")*(INDIRECT($E101&amp;"[yr]")=(N$5-1))*(INDIRECT($E101&amp;"[wk]")=N$6)*(IF($G$2=0,1,(INDIRECT($E101&amp;"[siteflag]")=$G$2))))/SUM(INDIRECT($E104&amp;"["&amp;$F104&amp;"]")*(INDIRECT($E104&amp;"[yr]")=(N$5-1))*(INDIRECT($E104&amp;"[wk]")=N$6)*(IF($G$2=0,1,(INDIRECT($E104&amp;"[siteflag]")=$G$2)))))-1</f>
        <v>-0.3058767635141757</v>
      </c>
      <c r="O105" s="74">
        <f t="array" aca="1" ref="O105" ca="1">O104/(SUM(INDIRECT($E101&amp;"["&amp;$F101&amp;"]")*(INDIRECT($E101&amp;"[yr]")=(O$5-1))*(INDIRECT($E101&amp;"[wk]")=O$6)*(IF($G$2=0,1,(INDIRECT($E101&amp;"[siteflag]")=$G$2))))/SUM(INDIRECT($E104&amp;"["&amp;$F104&amp;"]")*(INDIRECT($E104&amp;"[yr]")=(O$5-1))*(INDIRECT($E104&amp;"[wk]")=O$6)*(IF($G$2=0,1,(INDIRECT($E104&amp;"[siteflag]")=$G$2)))))-1</f>
        <v>-0.23047889304096758</v>
      </c>
      <c r="P105" s="91">
        <f t="array" aca="1" ref="P105" ca="1">P104/(SUM(INDIRECT($E101&amp;"["&amp;$F101&amp;"]")*(INDIRECT($E101&amp;"[yr]")=(P$5-1))*(INDIRECT($E101&amp;"[wk]")=P$6)*(IF($G$2=0,1,(INDIRECT($E101&amp;"[siteflag]")=$G$2))))/SUM(INDIRECT($E104&amp;"["&amp;$F104&amp;"]")*(INDIRECT($E104&amp;"[yr]")=(P$5-1))*(INDIRECT($E104&amp;"[wk]")=P$6)*(IF($G$2=0,1,(INDIRECT($E104&amp;"[siteflag]")=$G$2)))))-1</f>
        <v>0.23705078138750157</v>
      </c>
      <c r="Q105" s="74">
        <f t="array" aca="1" ref="Q105" ca="1">Q104/(SUM(INDIRECT($E101&amp;"["&amp;$F101&amp;"]")*(INDIRECT($E101&amp;"[yr]")=(Q$5-1))*(INDIRECT($E101&amp;"[wk]")=Q$6)*(IF($G$2=0,1,(INDIRECT($E101&amp;"[siteflag]")=$G$2))))/SUM(INDIRECT($E104&amp;"["&amp;$F104&amp;"]")*(INDIRECT($E104&amp;"[yr]")=(Q$5-1))*(INDIRECT($E104&amp;"[wk]")=Q$6)*(IF($G$2=0,1,(INDIRECT($E104&amp;"[siteflag]")=$G$2)))))-1</f>
        <v>0.35192796344673782</v>
      </c>
      <c r="R105" s="74">
        <f t="array" aca="1" ref="R105" ca="1">R104/(SUM(INDIRECT($E101&amp;"["&amp;$F101&amp;"]")*(INDIRECT($E101&amp;"[yr]")=(R$5-1))*(INDIRECT($E101&amp;"[wk]")=R$6)*(IF($G$2=0,1,(INDIRECT($E101&amp;"[siteflag]")=$G$2))))/SUM(INDIRECT($E104&amp;"["&amp;$F104&amp;"]")*(INDIRECT($E104&amp;"[yr]")=(R$5-1))*(INDIRECT($E104&amp;"[wk]")=R$6)*(IF($G$2=0,1,(INDIRECT($E104&amp;"[siteflag]")=$G$2)))))-1</f>
        <v>0.24262500189569147</v>
      </c>
      <c r="S105" s="74">
        <f t="array" aca="1" ref="S105" ca="1">S104/(SUM(INDIRECT($E101&amp;"["&amp;$F101&amp;"]")*(INDIRECT($E101&amp;"[yr]")=(S$5-1))*(INDIRECT($E101&amp;"[wk]")=S$6)*(IF($G$2=0,1,(INDIRECT($E101&amp;"[siteflag]")=$G$2))))/SUM(INDIRECT($E104&amp;"["&amp;$F104&amp;"]")*(INDIRECT($E104&amp;"[yr]")=(S$5-1))*(INDIRECT($E104&amp;"[wk]")=S$6)*(IF($G$2=0,1,(INDIRECT($E104&amp;"[siteflag]")=$G$2)))))-1</f>
        <v>4.9725683395732467E-2</v>
      </c>
      <c r="T105" s="76">
        <f t="array" aca="1" ref="T105" ca="1">T104/(SUM(INDIRECT($E101&amp;"["&amp;$F101&amp;"]")*(INDIRECT($E101&amp;"[yr]")=(T$5-1))*(INDIRECT($E101&amp;"[wk]")=T$6)*(IF($G$2=0,1,(INDIRECT($E101&amp;"[siteflag]")=$G$2))))/SUM(INDIRECT($E104&amp;"["&amp;$F104&amp;"]")*(INDIRECT($E104&amp;"[yr]")=(T$5-1))*(INDIRECT($E104&amp;"[wk]")=T$6)*(IF($G$2=0,1,(INDIRECT($E104&amp;"[siteflag]")=$G$2)))))-1</f>
        <v>0.13889284213091369</v>
      </c>
      <c r="U105" s="53">
        <f t="array" aca="1" ref="U105" ca="1">SUMPRODUCT(Q105:T105,Q104:T104)/SUM(Q104:T104)</f>
        <v>0.19647604520145676</v>
      </c>
      <c r="V105" s="91"/>
      <c r="W105" s="80"/>
      <c r="X105" s="56"/>
    </row>
    <row r="106" spans="2:24" ht="3" customHeight="1" x14ac:dyDescent="0.4">
      <c r="B106" s="329"/>
      <c r="D106" s="61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61"/>
      <c r="Q106" s="57"/>
      <c r="R106" s="57"/>
      <c r="S106" s="57"/>
      <c r="T106" s="59"/>
      <c r="U106" s="60"/>
      <c r="V106" s="61"/>
      <c r="W106" s="62"/>
      <c r="X106" s="61"/>
    </row>
    <row r="107" spans="2:24" ht="14.15" customHeight="1" x14ac:dyDescent="0.4">
      <c r="B107" s="329"/>
      <c r="D107" s="201" t="s">
        <v>135</v>
      </c>
      <c r="E107" s="63" t="s">
        <v>192</v>
      </c>
      <c r="F107" s="63" t="s">
        <v>143</v>
      </c>
      <c r="H107" s="63"/>
      <c r="I107" s="128">
        <f t="array" aca="1" ref="I107" ca="1">SUM(INDIRECT($E107&amp;"["&amp;$F107&amp;"]")*(INDIRECT($E107&amp;"[yr]")=I$5)*(INDIRECT($E107&amp;"[wk]")=I$6)*(IF($G$2=0,1,(INDIRECT($E107&amp;"[siteflag]")=$G$2))))/1000</f>
        <v>2.2930000000000001</v>
      </c>
      <c r="J107" s="128">
        <f t="array" aca="1" ref="J107" ca="1">SUM(INDIRECT($E107&amp;"["&amp;$F107&amp;"]")*(INDIRECT($E107&amp;"[yr]")=J$5)*(INDIRECT($E107&amp;"[wk]")=J$6)*(IF($G$2=0,1,(INDIRECT($E107&amp;"[siteflag]")=$G$2))))/1000</f>
        <v>2.464</v>
      </c>
      <c r="K107" s="128">
        <f t="array" aca="1" ref="K107" ca="1">SUM(INDIRECT($E107&amp;"["&amp;$F107&amp;"]")*(INDIRECT($E107&amp;"[yr]")=K$5)*(INDIRECT($E107&amp;"[wk]")=K$6)*(IF($G$2=0,1,(INDIRECT($E107&amp;"[siteflag]")=$G$2))))/1000</f>
        <v>2.1709999999999998</v>
      </c>
      <c r="L107" s="128">
        <f t="array" aca="1" ref="L107" ca="1">SUM(INDIRECT($E107&amp;"["&amp;$F107&amp;"]")*(INDIRECT($E107&amp;"[yr]")=L$5)*(INDIRECT($E107&amp;"[wk]")=L$6)*(IF($G$2=0,1,(INDIRECT($E107&amp;"[siteflag]")=$G$2))))/1000</f>
        <v>1.37</v>
      </c>
      <c r="M107" s="128">
        <f t="array" aca="1" ref="M107" ca="1">SUM(INDIRECT($E107&amp;"["&amp;$F107&amp;"]")*(INDIRECT($E107&amp;"[yr]")=M$5)*(INDIRECT($E107&amp;"[wk]")=M$6)*(IF($G$2=0,1,(INDIRECT($E107&amp;"[siteflag]")=$G$2))))/1000</f>
        <v>0.69599999999999995</v>
      </c>
      <c r="N107" s="128">
        <f t="array" aca="1" ref="N107" ca="1">SUM(INDIRECT($E107&amp;"["&amp;$F107&amp;"]")*(INDIRECT($E107&amp;"[yr]")=N$5)*(INDIRECT($E107&amp;"[wk]")=N$6)*(IF($G$2=0,1,(INDIRECT($E107&amp;"[siteflag]")=$G$2))))/1000</f>
        <v>0.28100000000000003</v>
      </c>
      <c r="O107" s="128">
        <f t="array" aca="1" ref="O107" ca="1">SUM(INDIRECT($E107&amp;"["&amp;$F107&amp;"]")*(INDIRECT($E107&amp;"[yr]")=O$5)*(INDIRECT($E107&amp;"[wk]")=O$6)*(IF($G$2=0,1,(INDIRECT($E107&amp;"[siteflag]")=$G$2))))/1000</f>
        <v>0.91400000000000003</v>
      </c>
      <c r="P107" s="154">
        <f t="array" aca="1" ref="P107" ca="1">SUM(INDIRECT($E107&amp;"["&amp;$F107&amp;"]")*(INDIRECT($E107&amp;"[yr]")=P$5)*(INDIRECT($E107&amp;"[wk]")=P$6)*(IF($G$2=0,1,(INDIRECT($E107&amp;"[siteflag]")=$G$2))))/1000</f>
        <v>1.3560000000000001</v>
      </c>
      <c r="Q107" s="128">
        <f t="array" aca="1" ref="Q107" ca="1">SUM(INDIRECT($E107&amp;"["&amp;$F107&amp;"]")*(INDIRECT($E107&amp;"[yr]")=Q$5)*(INDIRECT($E107&amp;"[wk]")=Q$6)*(IF($G$2=0,1,(INDIRECT($E107&amp;"[siteflag]")=$G$2))))/1000</f>
        <v>2.3889999999999998</v>
      </c>
      <c r="R107" s="128">
        <f t="array" aca="1" ref="R107" ca="1">SUM(INDIRECT($E107&amp;"["&amp;$F107&amp;"]")*(INDIRECT($E107&amp;"[yr]")=R$5)*(INDIRECT($E107&amp;"[wk]")=R$6)*(IF($G$2=0,1,(INDIRECT($E107&amp;"[siteflag]")=$G$2))))/1000</f>
        <v>1.84</v>
      </c>
      <c r="S107" s="128">
        <f t="array" aca="1" ref="S107" ca="1">SUM(INDIRECT($E107&amp;"["&amp;$F107&amp;"]")*(INDIRECT($E107&amp;"[yr]")=S$5)*(INDIRECT($E107&amp;"[wk]")=S$6)*(IF($G$2=0,1,(INDIRECT($E107&amp;"[siteflag]")=$G$2))))/1000</f>
        <v>2.4500000000000002</v>
      </c>
      <c r="T107" s="166">
        <f t="array" aca="1" ref="T107" ca="1">SUM(INDIRECT($E107&amp;"["&amp;$F107&amp;"]")*(INDIRECT($E107&amp;"[yr]")=T$5)*(INDIRECT($E107&amp;"[wk]")=T$6)*(IF($G$2=0,1,(INDIRECT($E107&amp;"[siteflag]")=$G$2))))/1000</f>
        <v>2.6120000000000001</v>
      </c>
      <c r="U107" s="167">
        <f ca="1">AVERAGE(Q107:T107)</f>
        <v>2.3227500000000001</v>
      </c>
      <c r="V107" s="47">
        <f t="array" aca="1" ref="V107" ca="1">SUM(T107/S107)-1</f>
        <v>6.6122448979591741E-2</v>
      </c>
      <c r="W107" s="131"/>
      <c r="X107" s="49"/>
    </row>
    <row r="108" spans="2:24" ht="14.15" customHeight="1" x14ac:dyDescent="0.4">
      <c r="B108" s="329"/>
      <c r="D108" s="211" t="s">
        <v>136</v>
      </c>
      <c r="E108" s="40"/>
      <c r="F108" s="40" t="s">
        <v>350</v>
      </c>
      <c r="G108" s="40"/>
      <c r="H108" s="40"/>
      <c r="I108" s="168">
        <f t="array" aca="1" ref="I108" ca="1">I107*1000/SUM(INDIRECT($E107&amp;"["&amp;$F108&amp;"]")*(INDIRECT($E107&amp;"[yr]")=I$5)*(INDIRECT($E107&amp;"[wk]")=I$6)*(IF($G$2=0,1,(INDIRECT($E107&amp;"[siteflag]")=$G$2))))</f>
        <v>1.1998953427524857</v>
      </c>
      <c r="J108" s="168">
        <f t="array" aca="1" ref="J108" ca="1">J107*1000/SUM(INDIRECT($E107&amp;"["&amp;$F108&amp;"]")*(INDIRECT($E107&amp;"[yr]")=J$5)*(INDIRECT($E107&amp;"[wk]")=J$6)*(IF($G$2=0,1,(INDIRECT($E107&amp;"[siteflag]")=$G$2))))</f>
        <v>1.1339162448228255</v>
      </c>
      <c r="K108" s="168">
        <f t="array" aca="1" ref="K108" ca="1">K107*1000/SUM(INDIRECT($E107&amp;"["&amp;$F108&amp;"]")*(INDIRECT($E107&amp;"[yr]")=K$5)*(INDIRECT($E107&amp;"[wk]")=K$6)*(IF($G$2=0,1,(INDIRECT($E107&amp;"[siteflag]")=$G$2))))</f>
        <v>1.1037112353838332</v>
      </c>
      <c r="L108" s="168">
        <f t="array" aca="1" ref="L108" ca="1">L107*1000/SUM(INDIRECT($E107&amp;"["&amp;$F108&amp;"]")*(INDIRECT($E107&amp;"[yr]")=L$5)*(INDIRECT($E107&amp;"[wk]")=L$6)*(IF($G$2=0,1,(INDIRECT($E107&amp;"[siteflag]")=$G$2))))</f>
        <v>0.73695535233996767</v>
      </c>
      <c r="M108" s="168">
        <f t="array" aca="1" ref="M108" ca="1">M107*1000/SUM(INDIRECT($E107&amp;"["&amp;$F108&amp;"]")*(INDIRECT($E107&amp;"[yr]")=M$5)*(INDIRECT($E107&amp;"[wk]")=M$6)*(IF($G$2=0,1,(INDIRECT($E107&amp;"[siteflag]")=$G$2))))</f>
        <v>0.34370370370370368</v>
      </c>
      <c r="N108" s="168">
        <f t="array" aca="1" ref="N108" ca="1">N107*1000/SUM(INDIRECT($E107&amp;"["&amp;$F108&amp;"]")*(INDIRECT($E107&amp;"[yr]")=N$5)*(INDIRECT($E107&amp;"[wk]")=N$6)*(IF($G$2=0,1,(INDIRECT($E107&amp;"[siteflag]")=$G$2))))</f>
        <v>0.20954511558538405</v>
      </c>
      <c r="O108" s="168">
        <f t="array" aca="1" ref="O108" ca="1">O107*1000/SUM(INDIRECT($E107&amp;"["&amp;$F108&amp;"]")*(INDIRECT($E107&amp;"[yr]")=O$5)*(INDIRECT($E107&amp;"[wk]")=O$6)*(IF($G$2=0,1,(INDIRECT($E107&amp;"[siteflag]")=$G$2))))</f>
        <v>0.56629491945477073</v>
      </c>
      <c r="P108" s="224">
        <f t="array" aca="1" ref="P108" ca="1">P107*1000/SUM(INDIRECT($E107&amp;"["&amp;$F108&amp;"]")*(INDIRECT($E107&amp;"[yr]")=P$5)*(INDIRECT($E107&amp;"[wk]")=P$6)*(IF($G$2=0,1,(INDIRECT($E107&amp;"[siteflag]")=$G$2))))</f>
        <v>0.83703703703703702</v>
      </c>
      <c r="Q108" s="168">
        <f t="array" aca="1" ref="Q108" ca="1">Q107*1000/SUM(INDIRECT($E107&amp;"["&amp;$F108&amp;"]")*(INDIRECT($E107&amp;"[yr]")=Q$5)*(INDIRECT($E107&amp;"[wk]")=Q$6)*(IF($G$2=0,1,(INDIRECT($E107&amp;"[siteflag]")=$G$2))))</f>
        <v>1.2065656565656566</v>
      </c>
      <c r="R108" s="168">
        <f t="array" aca="1" ref="R108" ca="1">R107*1000/SUM(INDIRECT($E107&amp;"["&amp;$F108&amp;"]")*(INDIRECT($E107&amp;"[yr]")=R$5)*(INDIRECT($E107&amp;"[wk]")=R$6)*(IF($G$2=0,1,(INDIRECT($E107&amp;"[siteflag]")=$G$2))))</f>
        <v>1.0419026047565119</v>
      </c>
      <c r="S108" s="168">
        <f t="array" aca="1" ref="S108" ca="1">S107*1000/SUM(INDIRECT($E107&amp;"["&amp;$F108&amp;"]")*(INDIRECT($E107&amp;"[yr]")=S$5)*(INDIRECT($E107&amp;"[wk]")=S$6)*(IF($G$2=0,1,(INDIRECT($E107&amp;"[siteflag]")=$G$2))))</f>
        <v>1.2887953708574436</v>
      </c>
      <c r="T108" s="169">
        <f t="array" aca="1" ref="T108" ca="1">T107*1000/SUM(INDIRECT($E107&amp;"["&amp;$F108&amp;"]")*(INDIRECT($E107&amp;"[yr]")=T$5)*(INDIRECT($E107&amp;"[wk]")=T$6)*(IF($G$2=0,1,(INDIRECT($E107&amp;"[siteflag]")=$G$2))))</f>
        <v>1.4977064220183487</v>
      </c>
      <c r="U108" s="170">
        <f ca="1">AVERAGE(Q108:T108)</f>
        <v>1.2587425135494903</v>
      </c>
      <c r="V108" s="83">
        <f t="array" aca="1" ref="V108" ca="1">SUM(T108/S108)-1</f>
        <v>0.16209792173750226</v>
      </c>
      <c r="W108" s="171"/>
      <c r="X108" s="56"/>
    </row>
    <row r="109" spans="2:24" ht="3" customHeight="1" x14ac:dyDescent="0.4">
      <c r="B109" s="329"/>
      <c r="D109" s="61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61"/>
      <c r="Q109" s="57"/>
      <c r="R109" s="57"/>
      <c r="S109" s="57"/>
      <c r="T109" s="59"/>
      <c r="U109" s="60"/>
      <c r="V109" s="61"/>
      <c r="W109" s="62"/>
      <c r="X109" s="61"/>
    </row>
    <row r="110" spans="2:24" ht="14.15" customHeight="1" x14ac:dyDescent="0.4">
      <c r="B110" s="329"/>
      <c r="D110" s="203" t="s">
        <v>435</v>
      </c>
      <c r="E110" s="63" t="s">
        <v>125</v>
      </c>
      <c r="I110" s="124">
        <f t="array" aca="1" ref="I110" ca="1">SUM(INDIRECT($E110&amp;"["&amp;$E111&amp;"]")*(INDIRECT($E110&amp;"[yr]")=I$5)*(INDIRECT($E110&amp;"[wk]")=I$6)*(IF($G$2=0,1,(INDIRECT($E110&amp;"[siteflag]")=$G$2))))/SUM(INDIRECT($E110&amp;"["&amp;$F111&amp;"]")*(INDIRECT($E110&amp;"[yr]")=I$5)*(INDIRECT($E110&amp;"[wk]")=I$6)*(IF($G$2=0,1,(INDIRECT($E110&amp;"[siteflag]")=$G$2))))</f>
        <v>116.80175246440307</v>
      </c>
      <c r="J110" s="124">
        <f t="array" aca="1" ref="J110" ca="1">SUM(INDIRECT($E110&amp;"["&amp;$E111&amp;"]")*(INDIRECT($E110&amp;"[yr]")=J$5)*(INDIRECT($E110&amp;"[wk]")=J$6)*(IF($G$2=0,1,(INDIRECT($E110&amp;"[siteflag]")=$G$2))))/SUM(INDIRECT($E110&amp;"["&amp;$F111&amp;"]")*(INDIRECT($E110&amp;"[yr]")=J$5)*(INDIRECT($E110&amp;"[wk]")=J$6)*(IF($G$2=0,1,(INDIRECT($E110&amp;"[siteflag]")=$G$2))))</f>
        <v>136.31043256997455</v>
      </c>
      <c r="K110" s="124">
        <f t="array" aca="1" ref="K110" ca="1">SUM(INDIRECT($E110&amp;"["&amp;$E111&amp;"]")*(INDIRECT($E110&amp;"[yr]")=K$5)*(INDIRECT($E110&amp;"[wk]")=K$6)*(IF($G$2=0,1,(INDIRECT($E110&amp;"[siteflag]")=$G$2))))/SUM(INDIRECT($E110&amp;"["&amp;$F111&amp;"]")*(INDIRECT($E110&amp;"[yr]")=K$5)*(INDIRECT($E110&amp;"[wk]")=K$6)*(IF($G$2=0,1,(INDIRECT($E110&amp;"[siteflag]")=$G$2))))</f>
        <v>141.36160714285714</v>
      </c>
      <c r="L110" s="124">
        <f t="array" aca="1" ref="L110" ca="1">SUM(INDIRECT($E110&amp;"["&amp;$E111&amp;"]")*(INDIRECT($E110&amp;"[yr]")=L$5)*(INDIRECT($E110&amp;"[wk]")=L$6)*(IF($G$2=0,1,(INDIRECT($E110&amp;"[siteflag]")=$G$2))))/SUM(INDIRECT($E110&amp;"["&amp;$F111&amp;"]")*(INDIRECT($E110&amp;"[yr]")=L$5)*(INDIRECT($E110&amp;"[wk]")=L$6)*(IF($G$2=0,1,(INDIRECT($E110&amp;"[siteflag]")=$G$2))))</f>
        <v>83.417721518987335</v>
      </c>
      <c r="M110" s="124">
        <f t="array" aca="1" ref="M110" ca="1">SUM(INDIRECT($E110&amp;"["&amp;$E111&amp;"]")*(INDIRECT($E110&amp;"[yr]")=M$5)*(INDIRECT($E110&amp;"[wk]")=M$6)*(IF($G$2=0,1,(INDIRECT($E110&amp;"[siteflag]")=$G$2))))/SUM(INDIRECT($E110&amp;"["&amp;$F111&amp;"]")*(INDIRECT($E110&amp;"[yr]")=M$5)*(INDIRECT($E110&amp;"[wk]")=M$6)*(IF($G$2=0,1,(INDIRECT($E110&amp;"[siteflag]")=$G$2))))</f>
        <v>105.0301204819277</v>
      </c>
      <c r="N110" s="124">
        <f t="array" aca="1" ref="N110" ca="1">SUM(INDIRECT($E110&amp;"["&amp;$E111&amp;"]")*(INDIRECT($E110&amp;"[yr]")=N$5)*(INDIRECT($E110&amp;"[wk]")=N$6)*(IF($G$2=0,1,(INDIRECT($E110&amp;"[siteflag]")=$G$2))))/SUM(INDIRECT($E110&amp;"["&amp;$F111&amp;"]")*(INDIRECT($E110&amp;"[yr]")=N$5)*(INDIRECT($E110&amp;"[wk]")=N$6)*(IF($G$2=0,1,(INDIRECT($E110&amp;"[siteflag]")=$G$2))))</f>
        <v>97.364953886693016</v>
      </c>
      <c r="O110" s="124">
        <f t="array" aca="1" ref="O110" ca="1">SUM(INDIRECT($E110&amp;"["&amp;$E111&amp;"]")*(INDIRECT($E110&amp;"[yr]")=O$5)*(INDIRECT($E110&amp;"[wk]")=O$6)*(IF($G$2=0,1,(INDIRECT($E110&amp;"[siteflag]")=$G$2))))/SUM(INDIRECT($E110&amp;"["&amp;$F111&amp;"]")*(INDIRECT($E110&amp;"[yr]")=O$5)*(INDIRECT($E110&amp;"[wk]")=O$6)*(IF($G$2=0,1,(INDIRECT($E110&amp;"[siteflag]")=$G$2))))</f>
        <v>79.389140271493204</v>
      </c>
      <c r="P110" s="195">
        <f t="array" aca="1" ref="P110" ca="1">SUM(INDIRECT($E110&amp;"["&amp;$E111&amp;"]")*(INDIRECT($E110&amp;"[yr]")=P$5)*(INDIRECT($E110&amp;"[wk]")=P$6)*(IF($G$2=0,1,(INDIRECT($E110&amp;"[siteflag]")=$G$2))))/SUM(INDIRECT($E110&amp;"["&amp;$F111&amp;"]")*(INDIRECT($E110&amp;"[yr]")=P$5)*(INDIRECT($E110&amp;"[wk]")=P$6)*(IF($G$2=0,1,(INDIRECT($E110&amp;"[siteflag]")=$G$2))))</f>
        <v>136.62471395881005</v>
      </c>
      <c r="Q110" s="124">
        <f t="array" aca="1" ref="Q110" ca="1">SUM(INDIRECT($E110&amp;"["&amp;$E111&amp;"]")*(INDIRECT($E110&amp;"[yr]")=Q$5)*(INDIRECT($E110&amp;"[wk]")=Q$6)*(IF($G$2=0,1,(INDIRECT($E110&amp;"[siteflag]")=$G$2))))/SUM(INDIRECT($E110&amp;"["&amp;$F111&amp;"]")*(INDIRECT($E110&amp;"[yr]")=Q$5)*(INDIRECT($E110&amp;"[wk]")=Q$6)*(IF($G$2=0,1,(INDIRECT($E110&amp;"[siteflag]")=$G$2))))</f>
        <v>141.19293078055964</v>
      </c>
      <c r="R110" s="124">
        <f t="array" aca="1" ref="R110" ca="1">SUM(INDIRECT($E110&amp;"["&amp;$E111&amp;"]")*(INDIRECT($E110&amp;"[yr]")=R$5)*(INDIRECT($E110&amp;"[wk]")=R$6)*(IF($G$2=0,1,(INDIRECT($E110&amp;"[siteflag]")=$G$2))))/SUM(INDIRECT($E110&amp;"["&amp;$F111&amp;"]")*(INDIRECT($E110&amp;"[yr]")=R$5)*(INDIRECT($E110&amp;"[wk]")=R$6)*(IF($G$2=0,1,(INDIRECT($E110&amp;"[siteflag]")=$G$2))))</f>
        <v>116.42958748221906</v>
      </c>
      <c r="S110" s="124">
        <f t="array" aca="1" ref="S110" ca="1">SUM(INDIRECT($E110&amp;"["&amp;$E111&amp;"]")*(INDIRECT($E110&amp;"[yr]")=S$5)*(INDIRECT($E110&amp;"[wk]")=S$6)*(IF($G$2=0,1,(INDIRECT($E110&amp;"[siteflag]")=$G$2))))/SUM(INDIRECT($E110&amp;"["&amp;$F111&amp;"]")*(INDIRECT($E110&amp;"[yr]")=S$5)*(INDIRECT($E110&amp;"[wk]")=S$6)*(IF($G$2=0,1,(INDIRECT($E110&amp;"[siteflag]")=$G$2))))</f>
        <v>129.52631578947367</v>
      </c>
      <c r="T110" s="172">
        <f t="array" aca="1" ref="T110" ca="1">SUM(INDIRECT($E110&amp;"["&amp;$E111&amp;"]")*(INDIRECT($E110&amp;"[yr]")=T$5)*(INDIRECT($E110&amp;"[wk]")=T$6)*(IF($G$2=0,1,(INDIRECT($E110&amp;"[siteflag]")=$G$2))))/SUM(INDIRECT($E110&amp;"["&amp;$F111&amp;"]")*(INDIRECT($E110&amp;"[yr]")=T$5)*(INDIRECT($E110&amp;"[wk]")=T$6)*(IF($G$2=0,1,(INDIRECT($E110&amp;"[siteflag]")=$G$2))))</f>
        <v>119.18639053254439</v>
      </c>
      <c r="U110" s="173">
        <f ca="1">AVERAGE(Q110:T110)</f>
        <v>126.58380614619919</v>
      </c>
      <c r="V110" s="47">
        <f t="array" aca="1" ref="V110" ca="1">SUM(T110/S110)-1</f>
        <v>-7.9828760618308126E-2</v>
      </c>
      <c r="W110" s="174">
        <v>150</v>
      </c>
      <c r="X110" s="49"/>
    </row>
    <row r="111" spans="2:24" ht="14.15" customHeight="1" x14ac:dyDescent="0.4">
      <c r="B111" s="330"/>
      <c r="D111" s="204" t="s">
        <v>67</v>
      </c>
      <c r="E111" t="s">
        <v>138</v>
      </c>
      <c r="F111" t="s">
        <v>137</v>
      </c>
      <c r="I111" s="74">
        <f t="array" aca="1" ref="I111" ca="1">IFERROR(I110/(IF($G$2=0,(SUM(INDIRECT($E110&amp;"["&amp;$E111&amp;"]")*(INDIRECT($E110&amp;"[yr]")=(I$5-1))*(INDIRECT($E110&amp;"[wk]")=I$6))/SUM(INDIRECT($E110&amp;"["&amp;$F111&amp;"]")*(INDIRECT($E110&amp;"[yr]")=(I$5-1))*(INDIRECT($E110&amp;"[wk]")=I$6))),(SUM(INDIRECT($E110&amp;"["&amp;$E111&amp;"]")*(INDIRECT($E110&amp;"[yr]")=(I$5-1))*(INDIRECT($E110&amp;"[wk]")=I$6)*(INDIRECT($E110&amp;"[siteflag]")=$G$2))/SUM(INDIRECT($E110&amp;"["&amp;$F111&amp;"]")*(INDIRECT($E110&amp;"[yr]")=(I$5-1))*(INDIRECT($E110&amp;"[wk]")=I$6)*(INDIRECT($E110&amp;"[siteflag]")=$G$2)))))-1,0)</f>
        <v>1.1236682266255102</v>
      </c>
      <c r="J111" s="74">
        <f t="array" aca="1" ref="J111" ca="1">IFERROR(J110/(IF($G$2=0,(SUM(INDIRECT($E110&amp;"["&amp;$E111&amp;"]")*(INDIRECT($E110&amp;"[yr]")=(J$5-1))*(INDIRECT($E110&amp;"[wk]")=J$6))/SUM(INDIRECT($E110&amp;"["&amp;$F111&amp;"]")*(INDIRECT($E110&amp;"[yr]")=(J$5-1))*(INDIRECT($E110&amp;"[wk]")=J$6))),(SUM(INDIRECT($E110&amp;"["&amp;$E111&amp;"]")*(INDIRECT($E110&amp;"[yr]")=(J$5-1))*(INDIRECT($E110&amp;"[wk]")=J$6)*(INDIRECT($E110&amp;"[siteflag]")=$G$2))/SUM(INDIRECT($E110&amp;"["&amp;$F111&amp;"]")*(INDIRECT($E110&amp;"[yr]")=(J$5-1))*(INDIRECT($E110&amp;"[wk]")=J$6)*(INDIRECT($E110&amp;"[siteflag]")=$G$2)))))-1,0)</f>
        <v>0.28740941998751657</v>
      </c>
      <c r="K111" s="74">
        <f t="array" aca="1" ref="K111" ca="1">IFERROR(K110/(IF($G$2=0,(SUM(INDIRECT($E110&amp;"["&amp;$E111&amp;"]")*(INDIRECT($E110&amp;"[yr]")=(K$5-1))*(INDIRECT($E110&amp;"[wk]")=K$6))/SUM(INDIRECT($E110&amp;"["&amp;$F111&amp;"]")*(INDIRECT($E110&amp;"[yr]")=(K$5-1))*(INDIRECT($E110&amp;"[wk]")=K$6))),(SUM(INDIRECT($E110&amp;"["&amp;$E111&amp;"]")*(INDIRECT($E110&amp;"[yr]")=(K$5-1))*(INDIRECT($E110&amp;"[wk]")=K$6)*(INDIRECT($E110&amp;"[siteflag]")=$G$2))/SUM(INDIRECT($E110&amp;"["&amp;$F111&amp;"]")*(INDIRECT($E110&amp;"[yr]")=(K$5-1))*(INDIRECT($E110&amp;"[wk]")=K$6)*(INDIRECT($E110&amp;"[siteflag]")=$G$2)))))-1,0)</f>
        <v>4.3285436544242586</v>
      </c>
      <c r="L111" s="74">
        <f t="array" aca="1" ref="L111" ca="1">IFERROR(L110/(IF($G$2=0,(SUM(INDIRECT($E110&amp;"["&amp;$E111&amp;"]")*(INDIRECT($E110&amp;"[yr]")=(L$5-1))*(INDIRECT($E110&amp;"[wk]")=L$6))/SUM(INDIRECT($E110&amp;"["&amp;$F111&amp;"]")*(INDIRECT($E110&amp;"[yr]")=(L$5-1))*(INDIRECT($E110&amp;"[wk]")=L$6))),(SUM(INDIRECT($E110&amp;"["&amp;$E111&amp;"]")*(INDIRECT($E110&amp;"[yr]")=(L$5-1))*(INDIRECT($E110&amp;"[wk]")=L$6)*(INDIRECT($E110&amp;"[siteflag]")=$G$2))/SUM(INDIRECT($E110&amp;"["&amp;$F111&amp;"]")*(INDIRECT($E110&amp;"[yr]")=(L$5-1))*(INDIRECT($E110&amp;"[wk]")=L$6)*(INDIRECT($E110&amp;"[siteflag]")=$G$2)))))-1,0)</f>
        <v>-0.48768355138730501</v>
      </c>
      <c r="M111" s="74">
        <f t="array" aca="1" ref="M111" ca="1">IFERROR(M110/(IF($G$2=0,(SUM(INDIRECT($E110&amp;"["&amp;$E111&amp;"]")*(INDIRECT($E110&amp;"[yr]")=(M$5-1))*(INDIRECT($E110&amp;"[wk]")=M$6))/SUM(INDIRECT($E110&amp;"["&amp;$F111&amp;"]")*(INDIRECT($E110&amp;"[yr]")=(M$5-1))*(INDIRECT($E110&amp;"[wk]")=M$6))),(SUM(INDIRECT($E110&amp;"["&amp;$E111&amp;"]")*(INDIRECT($E110&amp;"[yr]")=(M$5-1))*(INDIRECT($E110&amp;"[wk]")=M$6)*(INDIRECT($E110&amp;"[siteflag]")=$G$2))/SUM(INDIRECT($E110&amp;"["&amp;$F111&amp;"]")*(INDIRECT($E110&amp;"[yr]")=(M$5-1))*(INDIRECT($E110&amp;"[wk]")=M$6)*(INDIRECT($E110&amp;"[siteflag]")=$G$2)))))-1,0)</f>
        <v>0.46075192051260849</v>
      </c>
      <c r="N111" s="74">
        <f t="array" aca="1" ref="N111" ca="1">IFERROR(N110/(IF($G$2=0,(SUM(INDIRECT($E110&amp;"["&amp;$E111&amp;"]")*(INDIRECT($E110&amp;"[yr]")=(N$5-1))*(INDIRECT($E110&amp;"[wk]")=N$6))/SUM(INDIRECT($E110&amp;"["&amp;$F111&amp;"]")*(INDIRECT($E110&amp;"[yr]")=(N$5-1))*(INDIRECT($E110&amp;"[wk]")=N$6))),(SUM(INDIRECT($E110&amp;"["&amp;$E111&amp;"]")*(INDIRECT($E110&amp;"[yr]")=(N$5-1))*(INDIRECT($E110&amp;"[wk]")=N$6)*(INDIRECT($E110&amp;"[siteflag]")=$G$2))/SUM(INDIRECT($E110&amp;"["&amp;$F111&amp;"]")*(INDIRECT($E110&amp;"[yr]")=(N$5-1))*(INDIRECT($E110&amp;"[wk]")=N$6)*(INDIRECT($E110&amp;"[siteflag]")=$G$2)))))-1,0)</f>
        <v>-0.37849447355518395</v>
      </c>
      <c r="O111" s="74">
        <f t="array" aca="1" ref="O111" ca="1">IFERROR(O110/(IF($G$2=0,(SUM(INDIRECT($E110&amp;"["&amp;$E111&amp;"]")*(INDIRECT($E110&amp;"[yr]")=(O$5-1))*(INDIRECT($E110&amp;"[wk]")=O$6))/SUM(INDIRECT($E110&amp;"["&amp;$F111&amp;"]")*(INDIRECT($E110&amp;"[yr]")=(O$5-1))*(INDIRECT($E110&amp;"[wk]")=O$6))),(SUM(INDIRECT($E110&amp;"["&amp;$E111&amp;"]")*(INDIRECT($E110&amp;"[yr]")=(O$5-1))*(INDIRECT($E110&amp;"[wk]")=O$6)*(INDIRECT($E110&amp;"[siteflag]")=$G$2))/SUM(INDIRECT($E110&amp;"["&amp;$F111&amp;"]")*(INDIRECT($E110&amp;"[yr]")=(O$5-1))*(INDIRECT($E110&amp;"[wk]")=O$6)*(INDIRECT($E110&amp;"[siteflag]")=$G$2)))))-1,0)</f>
        <v>-0.74834294600797202</v>
      </c>
      <c r="P111" s="54">
        <f t="array" aca="1" ref="P111" ca="1">IFERROR(P110/(IF($G$2=0,(SUM(INDIRECT($E110&amp;"["&amp;$E111&amp;"]")*(INDIRECT($E110&amp;"[yr]")=(P$5-1))*(INDIRECT($E110&amp;"[wk]")=P$6))/SUM(INDIRECT($E110&amp;"["&amp;$F111&amp;"]")*(INDIRECT($E110&amp;"[yr]")=(P$5-1))*(INDIRECT($E110&amp;"[wk]")=P$6))),(SUM(INDIRECT($E110&amp;"["&amp;$E111&amp;"]")*(INDIRECT($E110&amp;"[yr]")=(P$5-1))*(INDIRECT($E110&amp;"[wk]")=P$6)*(INDIRECT($E110&amp;"[siteflag]")=$G$2))/SUM(INDIRECT($E110&amp;"["&amp;$F111&amp;"]")*(INDIRECT($E110&amp;"[yr]")=(P$5-1))*(INDIRECT($E110&amp;"[wk]")=P$6)*(INDIRECT($E110&amp;"[siteflag]")=$G$2)))))-1,0)</f>
        <v>-5.3935839349214199E-2</v>
      </c>
      <c r="Q111" s="74">
        <f t="array" aca="1" ref="Q111" ca="1">IFERROR(Q110/(IF($G$2=0,(SUM(INDIRECT($E110&amp;"["&amp;$E111&amp;"]")*(INDIRECT($E110&amp;"[yr]")=(Q$5-1))*(INDIRECT($E110&amp;"[wk]")=Q$6))/SUM(INDIRECT($E110&amp;"["&amp;$F111&amp;"]")*(INDIRECT($E110&amp;"[yr]")=(Q$5-1))*(INDIRECT($E110&amp;"[wk]")=Q$6))),(SUM(INDIRECT($E110&amp;"["&amp;$E111&amp;"]")*(INDIRECT($E110&amp;"[yr]")=(Q$5-1))*(INDIRECT($E110&amp;"[wk]")=Q$6)*(INDIRECT($E110&amp;"[siteflag]")=$G$2))/SUM(INDIRECT($E110&amp;"["&amp;$F111&amp;"]")*(INDIRECT($E110&amp;"[yr]")=(Q$5-1))*(INDIRECT($E110&amp;"[wk]")=Q$6)*(INDIRECT($E110&amp;"[siteflag]")=$G$2)))))-1,0)</f>
        <v>0.24222391473024407</v>
      </c>
      <c r="R111" s="74">
        <f t="array" aca="1" ref="R111" ca="1">IFERROR(R110/(IF($G$2=0,(SUM(INDIRECT($E110&amp;"["&amp;$E111&amp;"]")*(INDIRECT($E110&amp;"[yr]")=(R$5-1))*(INDIRECT($E110&amp;"[wk]")=R$6))/SUM(INDIRECT($E110&amp;"["&amp;$F111&amp;"]")*(INDIRECT($E110&amp;"[yr]")=(R$5-1))*(INDIRECT($E110&amp;"[wk]")=R$6))),(SUM(INDIRECT($E110&amp;"["&amp;$E111&amp;"]")*(INDIRECT($E110&amp;"[yr]")=(R$5-1))*(INDIRECT($E110&amp;"[wk]")=R$6)*(INDIRECT($E110&amp;"[siteflag]")=$G$2))/SUM(INDIRECT($E110&amp;"["&amp;$F111&amp;"]")*(INDIRECT($E110&amp;"[yr]")=(R$5-1))*(INDIRECT($E110&amp;"[wk]")=R$6)*(INDIRECT($E110&amp;"[siteflag]")=$G$2)))))-1,0)</f>
        <v>7.5214124863678178E-2</v>
      </c>
      <c r="S111" s="74">
        <f t="array" aca="1" ref="S111" ca="1">IFERROR(S110/(IF($G$2=0,(SUM(INDIRECT($E110&amp;"["&amp;$E111&amp;"]")*(INDIRECT($E110&amp;"[yr]")=(S$5-1))*(INDIRECT($E110&amp;"[wk]")=S$6))/SUM(INDIRECT($E110&amp;"["&amp;$F111&amp;"]")*(INDIRECT($E110&amp;"[yr]")=(S$5-1))*(INDIRECT($E110&amp;"[wk]")=S$6))),(SUM(INDIRECT($E110&amp;"["&amp;$E111&amp;"]")*(INDIRECT($E110&amp;"[yr]")=(S$5-1))*(INDIRECT($E110&amp;"[wk]")=S$6)*(INDIRECT($E110&amp;"[siteflag]")=$G$2))/SUM(INDIRECT($E110&amp;"["&amp;$F111&amp;"]")*(INDIRECT($E110&amp;"[yr]")=(S$5-1))*(INDIRECT($E110&amp;"[wk]")=S$6)*(INDIRECT($E110&amp;"[siteflag]")=$G$2)))))-1,0)</f>
        <v>-0.25709217594323708</v>
      </c>
      <c r="T111" s="76">
        <f ca="1">IFERROR(T110/(IF($G$2=0,(SUM(INDIRECT($E110&amp;"["&amp;$E111&amp;"]")*(INDIRECT($E110&amp;"[yr]")=(T$5-1))*(INDIRECT($E110&amp;"[wk]")=T$6))/SUM(INDIRECT($E110&amp;"["&amp;$F111&amp;"]")*(INDIRECT($E110&amp;"[yr]")=(T$5-1))*(INDIRECT($E110&amp;"[wk]")=T$6))),(SUM(INDIRECT($E110&amp;"["&amp;$E111&amp;"]")*(INDIRECT($E110&amp;"[yr]")=(T$5-1))*(INDIRECT($E110&amp;"[wk]")=T$6)*(INDIRECT($E110&amp;"[siteflag]")=$G$2))/SUM(INDIRECT($E110&amp;"["&amp;$F111&amp;"]")*(INDIRECT($E110&amp;"[yr]")=(T$5-1))*(INDIRECT($E110&amp;"[wk]")=T$6)*(INDIRECT($E110&amp;"[siteflag]")=$G$2)))))-1,0)</f>
        <v>0</v>
      </c>
      <c r="U111" s="53">
        <f ca="1">SUMPRODUCT(Q111:T111,Q110:T110)/SUM(Q110:T110)</f>
        <v>1.9072841705433694E-2</v>
      </c>
      <c r="V111" s="91"/>
      <c r="W111" s="80"/>
      <c r="X111" s="56"/>
    </row>
    <row r="112" spans="2:24" ht="3" customHeight="1" x14ac:dyDescent="0.4">
      <c r="B112" s="122"/>
      <c r="D112" s="61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61"/>
      <c r="Q112" s="57"/>
      <c r="R112" s="57"/>
      <c r="S112" s="57"/>
      <c r="T112" s="59"/>
      <c r="U112" s="57"/>
      <c r="V112" s="57"/>
      <c r="W112" s="123"/>
      <c r="X112" s="57"/>
    </row>
    <row r="113" spans="2:24" ht="14.15" customHeight="1" x14ac:dyDescent="0.4">
      <c r="B113" s="328" t="s">
        <v>139</v>
      </c>
      <c r="D113" s="203" t="s">
        <v>140</v>
      </c>
      <c r="E113" s="63" t="s">
        <v>125</v>
      </c>
      <c r="F113" t="s">
        <v>183</v>
      </c>
      <c r="I113" s="126">
        <f t="array" aca="1" ref="I113" ca="1">SUM(INDIRECT($E113&amp;"["&amp;$F113&amp;"]")*(INDIRECT($E113&amp;"[yr]")=I$5)*(INDIRECT($E113&amp;"[wk]")=I$6)*(IF($G$2=0,1,(INDIRECT($E113&amp;"[siteflag]")=$G$2)))/1000)</f>
        <v>7.6449999999999996</v>
      </c>
      <c r="J113" s="126">
        <f t="array" aca="1" ref="J113" ca="1">SUM(INDIRECT($E113&amp;"["&amp;$F113&amp;"]")*(INDIRECT($E113&amp;"[yr]")=J$5)*(INDIRECT($E113&amp;"[wk]")=J$6)*(IF($G$2=0,1,(INDIRECT($E113&amp;"[siteflag]")=$G$2)))/1000)</f>
        <v>10.166</v>
      </c>
      <c r="K113" s="126">
        <f t="array" aca="1" ref="K113" ca="1">SUM(INDIRECT($E113&amp;"["&amp;$F113&amp;"]")*(INDIRECT($E113&amp;"[yr]")=K$5)*(INDIRECT($E113&amp;"[wk]")=K$6)*(IF($G$2=0,1,(INDIRECT($E113&amp;"[siteflag]")=$G$2)))/1000)</f>
        <v>9.2170000000000005</v>
      </c>
      <c r="L113" s="126">
        <f t="array" aca="1" ref="L113" ca="1">SUM(INDIRECT($E113&amp;"["&amp;$F113&amp;"]")*(INDIRECT($E113&amp;"[yr]")=L$5)*(INDIRECT($E113&amp;"[wk]")=L$6)*(IF($G$2=0,1,(INDIRECT($E113&amp;"[siteflag]")=$G$2)))/1000)</f>
        <v>6.8369999999999997</v>
      </c>
      <c r="M113" s="126">
        <f t="array" aca="1" ref="M113" ca="1">SUM(INDIRECT($E113&amp;"["&amp;$F113&amp;"]")*(INDIRECT($E113&amp;"[yr]")=M$5)*(INDIRECT($E113&amp;"[wk]")=M$6)*(IF($G$2=0,1,(INDIRECT($E113&amp;"[siteflag]")=$G$2)))/1000)</f>
        <v>4.4080000000000004</v>
      </c>
      <c r="N113" s="126">
        <f t="array" aca="1" ref="N113" ca="1">SUM(INDIRECT($E113&amp;"["&amp;$F113&amp;"]")*(INDIRECT($E113&amp;"[yr]")=N$5)*(INDIRECT($E113&amp;"[wk]")=N$6)*(IF($G$2=0,1,(INDIRECT($E113&amp;"[siteflag]")=$G$2)))/1000)</f>
        <v>10.007999999999999</v>
      </c>
      <c r="O113" s="126">
        <f t="array" aca="1" ref="O113" ca="1">SUM(INDIRECT($E113&amp;"["&amp;$F113&amp;"]")*(INDIRECT($E113&amp;"[yr]")=O$5)*(INDIRECT($E113&amp;"[wk]")=O$6)*(IF($G$2=0,1,(INDIRECT($E113&amp;"[siteflag]")=$G$2)))/1000)</f>
        <v>9.8439999999999994</v>
      </c>
      <c r="P113" s="147">
        <f t="array" aca="1" ref="P113" ca="1">SUM(INDIRECT($E113&amp;"["&amp;$F113&amp;"]")*(INDIRECT($E113&amp;"[yr]")=P$5)*(INDIRECT($E113&amp;"[wk]")=P$6)*(IF($G$2=0,1,(INDIRECT($E113&amp;"[siteflag]")=$G$2)))/1000)</f>
        <v>9.0960000000000001</v>
      </c>
      <c r="Q113" s="126">
        <f t="array" aca="1" ref="Q113" ca="1">SUM(INDIRECT($E113&amp;"["&amp;$F113&amp;"]")*(INDIRECT($E113&amp;"[yr]")=Q$5)*(INDIRECT($E113&amp;"[wk]")=Q$6)*(IF($G$2=0,1,(INDIRECT($E113&amp;"[siteflag]")=$G$2)))/1000)</f>
        <v>8.5350000000000001</v>
      </c>
      <c r="R113" s="126">
        <f t="array" aca="1" ref="R113" ca="1">SUM(INDIRECT($E113&amp;"["&amp;$F113&amp;"]")*(INDIRECT($E113&amp;"[yr]")=R$5)*(INDIRECT($E113&amp;"[wk]")=R$6)*(IF($G$2=0,1,(INDIRECT($E113&amp;"[siteflag]")=$G$2)))/1000)</f>
        <v>7.8330000000000002</v>
      </c>
      <c r="S113" s="126">
        <f t="array" aca="1" ref="S113" ca="1">SUM(INDIRECT($E113&amp;"["&amp;$F113&amp;"]")*(INDIRECT($E113&amp;"[yr]")=S$5)*(INDIRECT($E113&amp;"[wk]")=S$6)*(IF($G$2=0,1,(INDIRECT($E113&amp;"[siteflag]")=$G$2)))/1000)</f>
        <v>6.8840000000000003</v>
      </c>
      <c r="T113" s="120">
        <f t="array" aca="1" ref="T113" ca="1">SUM(INDIRECT($E113&amp;"["&amp;$F113&amp;"]")*(INDIRECT($E113&amp;"[yr]")=T$5)*(INDIRECT($E113&amp;"[wk]")=T$6)*(IF($G$2=0,1,(INDIRECT($E113&amp;"[siteflag]")=$G$2)))/1000)</f>
        <v>9.0839999999999996</v>
      </c>
      <c r="U113" s="116">
        <f ca="1">SUM(Q113:T113)</f>
        <v>32.335999999999999</v>
      </c>
      <c r="V113" s="47">
        <f t="array" aca="1" ref="V113" ca="1">SUM(T113/S113)-1</f>
        <v>0.31958163858221944</v>
      </c>
      <c r="W113" s="127"/>
      <c r="X113" s="49"/>
    </row>
    <row r="114" spans="2:24" ht="14.15" customHeight="1" x14ac:dyDescent="0.4">
      <c r="B114" s="329"/>
      <c r="D114" s="202" t="s">
        <v>67</v>
      </c>
      <c r="E114" s="40"/>
      <c r="F114" s="40"/>
      <c r="G114" s="40"/>
      <c r="H114" s="40"/>
      <c r="I114" s="50">
        <f t="array" aca="1" ref="I114" ca="1">I113/SUM(INDIRECT($E113&amp;"["&amp;$F113&amp;"]")*(INDIRECT($E113&amp;"[yr]")=(I$5-1))*(INDIRECT($E113&amp;"[wk]")=I$6)*(IF($G$2=0,1,(INDIRECT($E113&amp;"[siteflag]")=$G$2)))/1000)-1</f>
        <v>0.35022960084775701</v>
      </c>
      <c r="J114" s="50">
        <f t="array" aca="1" ref="J114" ca="1">J113/SUM(INDIRECT($E113&amp;"["&amp;$F113&amp;"]")*(INDIRECT($E113&amp;"[yr]")=(J$5-1))*(INDIRECT($E113&amp;"[wk]")=J$6)*(IF($G$2=0,1,(INDIRECT($E113&amp;"[siteflag]")=$G$2)))/1000)-1</f>
        <v>1.0263105441498901</v>
      </c>
      <c r="K114" s="50">
        <f t="array" aca="1" ref="K114" ca="1">K113/SUM(INDIRECT($E113&amp;"["&amp;$F113&amp;"]")*(INDIRECT($E113&amp;"[yr]")=(K$5-1))*(INDIRECT($E113&amp;"[wk]")=K$6)*(IF($G$2=0,1,(INDIRECT($E113&amp;"[siteflag]")=$G$2)))/1000)-1</f>
        <v>0.73709008669430842</v>
      </c>
      <c r="L114" s="50">
        <f t="array" aca="1" ref="L114" ca="1">L113/SUM(INDIRECT($E113&amp;"["&amp;$F113&amp;"]")*(INDIRECT($E113&amp;"[yr]")=(L$5-1))*(INDIRECT($E113&amp;"[wk]")=L$6)*(IF($G$2=0,1,(INDIRECT($E113&amp;"[siteflag]")=$G$2)))/1000)-1</f>
        <v>0.57100183823529393</v>
      </c>
      <c r="M114" s="50">
        <f t="array" aca="1" ref="M114" ca="1">M113/SUM(INDIRECT($E113&amp;"["&amp;$F113&amp;"]")*(INDIRECT($E113&amp;"[yr]")=(M$5-1))*(INDIRECT($E113&amp;"[wk]")=M$6)*(IF($G$2=0,1,(INDIRECT($E113&amp;"[siteflag]")=$G$2)))/1000)-1</f>
        <v>-7.9749478079331859E-2</v>
      </c>
      <c r="N114" s="50">
        <f t="array" aca="1" ref="N114" ca="1">N113/SUM(INDIRECT($E113&amp;"["&amp;$F113&amp;"]")*(INDIRECT($E113&amp;"[yr]")=(N$5-1))*(INDIRECT($E113&amp;"[wk]")=N$6)*(IF($G$2=0,1,(INDIRECT($E113&amp;"[siteflag]")=$G$2)))/1000)-1</f>
        <v>0.74629209562031051</v>
      </c>
      <c r="O114" s="50">
        <f t="array" aca="1" ref="O114" ca="1">O113/SUM(INDIRECT($E113&amp;"["&amp;$F113&amp;"]")*(INDIRECT($E113&amp;"[yr]")=(O$5-1))*(INDIRECT($E113&amp;"[wk]")=O$6)*(IF($G$2=0,1,(INDIRECT($E113&amp;"[siteflag]")=$G$2)))/1000)-1</f>
        <v>0.49061175045426997</v>
      </c>
      <c r="P114" s="54">
        <f t="array" aca="1" ref="P114" ca="1">P113/SUM(INDIRECT($E113&amp;"["&amp;$F113&amp;"]")*(INDIRECT($E113&amp;"[yr]")=(P$5-1))*(INDIRECT($E113&amp;"[wk]")=P$6)*(IF($G$2=0,1,(INDIRECT($E113&amp;"[siteflag]")=$G$2)))/1000)-1</f>
        <v>0.14185287471754959</v>
      </c>
      <c r="Q114" s="50">
        <f t="array" aca="1" ref="Q114" ca="1">Q113/SUM(INDIRECT($E113&amp;"["&amp;$F113&amp;"]")*(INDIRECT($E113&amp;"[yr]")=(Q$5-1))*(INDIRECT($E113&amp;"[wk]")=Q$6)*(IF($G$2=0,1,(INDIRECT($E113&amp;"[siteflag]")=$G$2)))/1000)-1</f>
        <v>0.21945992284612093</v>
      </c>
      <c r="R114" s="50">
        <f t="array" aca="1" ref="R114" ca="1">R113/SUM(INDIRECT($E113&amp;"["&amp;$F113&amp;"]")*(INDIRECT($E113&amp;"[yr]")=(R$5-1))*(INDIRECT($E113&amp;"[wk]")=R$6)*(IF($G$2=0,1,(INDIRECT($E113&amp;"[siteflag]")=$G$2)))/1000)-1</f>
        <v>9.9522740033689105E-2</v>
      </c>
      <c r="S114" s="50">
        <f t="array" aca="1" ref="S114" ca="1">S113/SUM(INDIRECT($E113&amp;"["&amp;$F113&amp;"]")*(INDIRECT($E113&amp;"[yr]")=(S$5-1))*(INDIRECT($E113&amp;"[wk]")=S$6)*(IF($G$2=0,1,(INDIRECT($E113&amp;"[siteflag]")=$G$2)))/1000)-1</f>
        <v>-5.4135751580104308E-2</v>
      </c>
      <c r="T114" s="52">
        <f t="array" aca="1" ref="T114" ca="1">T113/SUM(INDIRECT($E113&amp;"["&amp;$F113&amp;"]")*(INDIRECT($E113&amp;"[yr]")=(T$5-1))*(INDIRECT($E113&amp;"[wk]")=T$6)*(IF($G$2=0,1,(INDIRECT($E113&amp;"[siteflag]")=$G$2)))/1000)-1</f>
        <v>0.13069454817027615</v>
      </c>
      <c r="U114" s="53">
        <f ca="1">SUMPRODUCT(Q114:T114,Q113:T113)/SUM(Q113:T113)</f>
        <v>0.10722448125547004</v>
      </c>
      <c r="V114" s="91"/>
      <c r="W114" s="80"/>
      <c r="X114" s="56"/>
    </row>
    <row r="115" spans="2:24" ht="3" hidden="1" customHeight="1" x14ac:dyDescent="0.4">
      <c r="B115" s="329"/>
      <c r="D115" s="78"/>
      <c r="P115" s="78"/>
      <c r="T115" s="175"/>
      <c r="U115" s="60"/>
      <c r="V115" s="61"/>
      <c r="W115" s="62"/>
      <c r="X115" s="61"/>
    </row>
    <row r="116" spans="2:24" ht="14.15" hidden="1" customHeight="1" x14ac:dyDescent="0.4">
      <c r="B116" s="329"/>
      <c r="D116" s="201" t="s">
        <v>436</v>
      </c>
      <c r="E116" s="63" t="s">
        <v>125</v>
      </c>
      <c r="F116" s="63" t="s">
        <v>130</v>
      </c>
      <c r="G116" s="63"/>
      <c r="H116" s="63"/>
      <c r="I116" s="128">
        <f t="array" aca="1" ref="I116" ca="1">SUM(INDIRECT($E113&amp;"["&amp;$F113&amp;"]")*(INDIRECT($E113&amp;"[yr]")=I$5)*(INDIRECT($E113&amp;"[wk]")=I$6)*(IF($G$2=0,1,(INDIRECT($E113&amp;"[siteflag]")=$G$2))))
/SUM(INDIRECT($E116&amp;"["&amp;$F116&amp;"]")*(INDIRECT($E116&amp;"[yr]")=I$5)*(INDIRECT($E116&amp;"[wk]")=I$6)*(IF($G$2=0,1,(INDIRECT($E113&amp;"[siteflag]")=$G$2))))</f>
        <v>27.84049526584122</v>
      </c>
      <c r="J116" s="128">
        <f t="array" aca="1" ref="J116" ca="1">SUM(INDIRECT($E113&amp;"["&amp;$F113&amp;"]")*(INDIRECT($E113&amp;"[yr]")=J$5)*(INDIRECT($E113&amp;"[wk]")=J$6)*(IF($G$2=0,1,(INDIRECT($E113&amp;"[siteflag]")=$G$2))))
/SUM(INDIRECT($E116&amp;"["&amp;$F116&amp;"]")*(INDIRECT($E116&amp;"[yr]")=J$5)*(INDIRECT($E116&amp;"[wk]")=J$6)*(IF($G$2=0,1,(INDIRECT($E113&amp;"[siteflag]")=$G$2))))</f>
        <v>29.221040528887613</v>
      </c>
      <c r="K116" s="128">
        <f t="array" aca="1" ref="K116" ca="1">SUM(INDIRECT($E113&amp;"["&amp;$F113&amp;"]")*(INDIRECT($E113&amp;"[yr]")=K$5)*(INDIRECT($E113&amp;"[wk]")=K$6)*(IF($G$2=0,1,(INDIRECT($E113&amp;"[siteflag]")=$G$2))))
/SUM(INDIRECT($E116&amp;"["&amp;$F116&amp;"]")*(INDIRECT($E116&amp;"[yr]")=K$5)*(INDIRECT($E116&amp;"[wk]")=K$6)*(IF($G$2=0,1,(INDIRECT($E113&amp;"[siteflag]")=$G$2))))</f>
        <v>26.856060606060606</v>
      </c>
      <c r="L116" s="128">
        <f t="array" aca="1" ref="L116" ca="1">SUM(INDIRECT($E113&amp;"["&amp;$F113&amp;"]")*(INDIRECT($E113&amp;"[yr]")=L$5)*(INDIRECT($E113&amp;"[wk]")=L$6)*(IF($G$2=0,1,(INDIRECT($E113&amp;"[siteflag]")=$G$2))))
/SUM(INDIRECT($E116&amp;"["&amp;$F116&amp;"]")*(INDIRECT($E116&amp;"[yr]")=L$5)*(INDIRECT($E116&amp;"[wk]")=L$6)*(IF($G$2=0,1,(INDIRECT($E113&amp;"[siteflag]")=$G$2))))</f>
        <v>26.428295322767685</v>
      </c>
      <c r="M116" s="128">
        <f t="array" aca="1" ref="M116" ca="1">SUM(INDIRECT($E113&amp;"["&amp;$F113&amp;"]")*(INDIRECT($E113&amp;"[yr]")=M$5)*(INDIRECT($E113&amp;"[wk]")=M$6)*(IF($G$2=0,1,(INDIRECT($E113&amp;"[siteflag]")=$G$2))))
/SUM(INDIRECT($E116&amp;"["&amp;$F116&amp;"]")*(INDIRECT($E116&amp;"[yr]")=M$5)*(INDIRECT($E116&amp;"[wk]")=M$6)*(IF($G$2=0,1,(INDIRECT($E113&amp;"[siteflag]")=$G$2))))</f>
        <v>24.833802816901407</v>
      </c>
      <c r="N116" s="128">
        <f t="array" aca="1" ref="N116" ca="1">SUM(INDIRECT($E113&amp;"["&amp;$F113&amp;"]")*(INDIRECT($E113&amp;"[yr]")=N$5)*(INDIRECT($E113&amp;"[wk]")=N$6)*(IF($G$2=0,1,(INDIRECT($E113&amp;"[siteflag]")=$G$2))))
/SUM(INDIRECT($E116&amp;"["&amp;$F116&amp;"]")*(INDIRECT($E116&amp;"[yr]")=N$5)*(INDIRECT($E116&amp;"[wk]")=N$6)*(IF($G$2=0,1,(INDIRECT($E113&amp;"[siteflag]")=$G$2))))</f>
        <v>29.297423887587819</v>
      </c>
      <c r="O116" s="128">
        <f t="array" aca="1" ref="O116" ca="1">SUM(INDIRECT($E113&amp;"["&amp;$F113&amp;"]")*(INDIRECT($E113&amp;"[yr]")=O$5)*(INDIRECT($E113&amp;"[wk]")=O$6)*(IF($G$2=0,1,(INDIRECT($E113&amp;"[siteflag]")=$G$2))))
/SUM(INDIRECT($E116&amp;"["&amp;$F116&amp;"]")*(INDIRECT($E116&amp;"[yr]")=O$5)*(INDIRECT($E116&amp;"[wk]")=O$6)*(IF($G$2=0,1,(INDIRECT($E113&amp;"[siteflag]")=$G$2))))</f>
        <v>28.077581289218482</v>
      </c>
      <c r="P116" s="154">
        <f t="array" aca="1" ref="P116" ca="1">SUM(INDIRECT($E113&amp;"["&amp;$F113&amp;"]")*(INDIRECT($E113&amp;"[yr]")=P$5)*(INDIRECT($E113&amp;"[wk]")=P$6)*(IF($G$2=0,1,(INDIRECT($E113&amp;"[siteflag]")=$G$2))))
/SUM(INDIRECT($E116&amp;"["&amp;$F116&amp;"]")*(INDIRECT($E116&amp;"[yr]")=P$5)*(INDIRECT($E116&amp;"[wk]")=P$6)*(IF($G$2=0,1,(INDIRECT($E113&amp;"[siteflag]")=$G$2))))</f>
        <v>27.505291805261567</v>
      </c>
      <c r="Q116" s="128">
        <f t="array" aca="1" ref="Q116" ca="1">SUM(INDIRECT($E113&amp;"["&amp;$F113&amp;"]")*(INDIRECT($E113&amp;"[yr]")=Q$5)*(INDIRECT($E113&amp;"[wk]")=Q$6)*(IF($G$2=0,1,(INDIRECT($E113&amp;"[siteflag]")=$G$2))))
/SUM(INDIRECT($E116&amp;"["&amp;$F116&amp;"]")*(INDIRECT($E116&amp;"[yr]")=Q$5)*(INDIRECT($E116&amp;"[wk]")=Q$6)*(IF($G$2=0,1,(INDIRECT($E113&amp;"[siteflag]")=$G$2))))</f>
        <v>28.327248589445734</v>
      </c>
      <c r="R116" s="128">
        <f t="array" aca="1" ref="R116" ca="1">SUM(INDIRECT($E113&amp;"["&amp;$F113&amp;"]")*(INDIRECT($E113&amp;"[yr]")=R$5)*(INDIRECT($E113&amp;"[wk]")=R$6)*(IF($G$2=0,1,(INDIRECT($E113&amp;"[siteflag]")=$G$2))))
/SUM(INDIRECT($E116&amp;"["&amp;$F116&amp;"]")*(INDIRECT($E116&amp;"[yr]")=R$5)*(INDIRECT($E116&amp;"[wk]")=R$6)*(IF($G$2=0,1,(INDIRECT($E113&amp;"[siteflag]")=$G$2))))</f>
        <v>27.445690259285215</v>
      </c>
      <c r="S116" s="128">
        <f t="array" aca="1" ref="S116" ca="1">SUM(INDIRECT($E113&amp;"["&amp;$F113&amp;"]")*(INDIRECT($E113&amp;"[yr]")=S$5)*(INDIRECT($E113&amp;"[wk]")=S$6)*(IF($G$2=0,1,(INDIRECT($E113&amp;"[siteflag]")=$G$2))))
/SUM(INDIRECT($E116&amp;"["&amp;$F116&amp;"]")*(INDIRECT($E116&amp;"[yr]")=S$5)*(INDIRECT($E116&amp;"[wk]")=S$6)*(IF($G$2=0,1,(INDIRECT($E113&amp;"[siteflag]")=$G$2))))</f>
        <v>26.046159667045025</v>
      </c>
      <c r="T116" s="129">
        <f t="array" aca="1" ref="T116" ca="1">SUM(INDIRECT($E113&amp;"["&amp;$F113&amp;"]")*(INDIRECT($E113&amp;"[yr]")=T$5)*(INDIRECT($E113&amp;"[wk]")=T$6)*(IF($G$2=0,1,(INDIRECT($E113&amp;"[siteflag]")=$G$2))))
/SUM(INDIRECT($E116&amp;"["&amp;$F116&amp;"]")*(INDIRECT($E116&amp;"[yr]")=T$5)*(INDIRECT($E116&amp;"[wk]")=T$6)*(IF($G$2=0,1,(INDIRECT($E116&amp;"[siteflag]")=$G$2))))</f>
        <v>28.893129770992367</v>
      </c>
      <c r="U116" s="130">
        <f ca="1">AVERAGE(Q116:T116)</f>
        <v>27.678057071692088</v>
      </c>
      <c r="V116" s="47">
        <f t="array" aca="1" ref="V116" ca="1">SUM(T116/S116)-1</f>
        <v>0.10930479350280109</v>
      </c>
      <c r="W116" s="131">
        <v>35</v>
      </c>
      <c r="X116" s="49"/>
    </row>
    <row r="117" spans="2:24" ht="14.15" hidden="1" customHeight="1" x14ac:dyDescent="0.4">
      <c r="B117" s="329"/>
      <c r="D117" s="204" t="s">
        <v>67</v>
      </c>
      <c r="I117" s="74">
        <f t="array" aca="1" ref="I117" ca="1">I116/(SUM(INDIRECT($E113&amp;"["&amp;$F113&amp;"]")*(INDIRECT($E113&amp;"[yr]")=(I$5-1))*(INDIRECT($E113&amp;"[wk]")=I$6)*(IF($G$2=0,1,(INDIRECT($E113&amp;"[siteflag]")=$G$2))))
           /SUM(INDIRECT($E116&amp;"["&amp;$F116&amp;"]")*(INDIRECT($E116&amp;"[yr]")=(I$5-1))*(INDIRECT($E116&amp;"[wk]")=I$6)*(IF($G$2=0,1,(INDIRECT($E113&amp;"[siteflag]")=$G$2)))))-1</f>
        <v>-0.38733208934584673</v>
      </c>
      <c r="J117" s="74">
        <f t="array" aca="1" ref="J117" ca="1">J116/(SUM(INDIRECT($E113&amp;"["&amp;$F113&amp;"]")*(INDIRECT($E113&amp;"[yr]")=(J$5-1))*(INDIRECT($E113&amp;"[wk]")=J$6)*(IF($G$2=0,1,(INDIRECT($E113&amp;"[siteflag]")=$G$2))))
           /SUM(INDIRECT($E116&amp;"["&amp;$F116&amp;"]")*(INDIRECT($E116&amp;"[yr]")=(J$5-1))*(INDIRECT($E116&amp;"[wk]")=J$6)*(IF($G$2=0,1,(INDIRECT($E113&amp;"[siteflag]")=$G$2)))))-1</f>
        <v>-0.29000501485521224</v>
      </c>
      <c r="K117" s="74">
        <f t="array" aca="1" ref="K117" ca="1">K116/(SUM(INDIRECT($E113&amp;"["&amp;$F113&amp;"]")*(INDIRECT($E113&amp;"[yr]")=(K$5-1))*(INDIRECT($E113&amp;"[wk]")=K$6)*(IF($G$2=0,1,(INDIRECT($E113&amp;"[siteflag]")=$G$2))))
           /SUM(INDIRECT($E116&amp;"["&amp;$F116&amp;"]")*(INDIRECT($E116&amp;"[yr]")=(K$5-1))*(INDIRECT($E116&amp;"[wk]")=K$6)*(IF($G$2=0,1,(INDIRECT($E113&amp;"[siteflag]")=$G$2)))))-1</f>
        <v>-0.18257561479856999</v>
      </c>
      <c r="L117" s="74">
        <f t="array" aca="1" ref="L117" ca="1">L116/(SUM(INDIRECT($E113&amp;"["&amp;$F113&amp;"]")*(INDIRECT($E113&amp;"[yr]")=(L$5-1))*(INDIRECT($E113&amp;"[wk]")=L$6)*(IF($G$2=0,1,(INDIRECT($E113&amp;"[siteflag]")=$G$2))))
           /SUM(INDIRECT($E116&amp;"["&amp;$F116&amp;"]")*(INDIRECT($E116&amp;"[yr]")=(L$5-1))*(INDIRECT($E116&amp;"[wk]")=L$6)*(IF($G$2=0,1,(INDIRECT($E113&amp;"[siteflag]")=$G$2)))))-1</f>
        <v>-4.4160458684826764E-2</v>
      </c>
      <c r="M117" s="74">
        <f t="array" aca="1" ref="M117" ca="1">M116/(SUM(INDIRECT($E113&amp;"["&amp;$F113&amp;"]")*(INDIRECT($E113&amp;"[yr]")=(M$5-1))*(INDIRECT($E113&amp;"[wk]")=M$6)*(IF($G$2=0,1,(INDIRECT($E113&amp;"[siteflag]")=$G$2))))
           /SUM(INDIRECT($E116&amp;"["&amp;$F116&amp;"]")*(INDIRECT($E116&amp;"[yr]")=(M$5-1))*(INDIRECT($E116&amp;"[wk]")=M$6)*(IF($G$2=0,1,(INDIRECT($E113&amp;"[siteflag]")=$G$2)))))-1</f>
        <v>-0.14351895086594735</v>
      </c>
      <c r="N117" s="74">
        <f t="array" aca="1" ref="N117" ca="1">N116/(SUM(INDIRECT($E113&amp;"["&amp;$F113&amp;"]")*(INDIRECT($E113&amp;"[yr]")=(N$5-1))*(INDIRECT($E113&amp;"[wk]")=N$6)*(IF($G$2=0,1,(INDIRECT($E113&amp;"[siteflag]")=$G$2))))
           /SUM(INDIRECT($E116&amp;"["&amp;$F116&amp;"]")*(INDIRECT($E116&amp;"[yr]")=(N$5-1))*(INDIRECT($E116&amp;"[wk]")=N$6)*(IF($G$2=0,1,(INDIRECT($E113&amp;"[siteflag]")=$G$2)))))-1</f>
        <v>1.321748639328324E-2</v>
      </c>
      <c r="O117" s="74">
        <f t="array" aca="1" ref="O117" ca="1">O116/(SUM(INDIRECT($E113&amp;"["&amp;$F113&amp;"]")*(INDIRECT($E113&amp;"[yr]")=(O$5-1))*(INDIRECT($E113&amp;"[wk]")=O$6)*(IF($G$2=0,1,(INDIRECT($E113&amp;"[siteflag]")=$G$2))))
           /SUM(INDIRECT($E116&amp;"["&amp;$F116&amp;"]")*(INDIRECT($E116&amp;"[yr]")=(O$5-1))*(INDIRECT($E116&amp;"[wk]")=O$6)*(IF($G$2=0,1,(INDIRECT($E113&amp;"[siteflag]")=$G$2)))))-1</f>
        <v>-8.8031316393494152E-2</v>
      </c>
      <c r="P117" s="91">
        <f t="array" aca="1" ref="P117" ca="1">P116/(SUM(INDIRECT($E113&amp;"["&amp;$F113&amp;"]")*(INDIRECT($E113&amp;"[yr]")=(P$5-1))*(INDIRECT($E113&amp;"[wk]")=P$6)*(IF($G$2=0,1,(INDIRECT($E113&amp;"[siteflag]")=$G$2))))
           /SUM(INDIRECT($E116&amp;"["&amp;$F116&amp;"]")*(INDIRECT($E116&amp;"[yr]")=(P$5-1))*(INDIRECT($E116&amp;"[wk]")=P$6)*(IF($G$2=0,1,(INDIRECT($E113&amp;"[siteflag]")=$G$2)))))-1</f>
        <v>-0.14231553045104517</v>
      </c>
      <c r="Q117" s="74">
        <f t="array" aca="1" ref="Q117" ca="1">Q116/(SUM(INDIRECT($E113&amp;"["&amp;$F113&amp;"]")*(INDIRECT($E113&amp;"[yr]")=(Q$5-1))*(INDIRECT($E113&amp;"[wk]")=Q$6)*(IF($G$2=0,1,(INDIRECT($E113&amp;"[siteflag]")=$G$2))))
           /SUM(INDIRECT($E116&amp;"["&amp;$F116&amp;"]")*(INDIRECT($E116&amp;"[yr]")=(Q$5-1))*(INDIRECT($E116&amp;"[wk]")=Q$6)*(IF($G$2=0,1,(INDIRECT($E113&amp;"[siteflag]")=$G$2)))))-1</f>
        <v>-9.8255324227959684E-2</v>
      </c>
      <c r="R117" s="74">
        <f t="array" aca="1" ref="R117" ca="1">R116/(SUM(INDIRECT($E113&amp;"["&amp;$F113&amp;"]")*(INDIRECT($E113&amp;"[yr]")=(R$5-1))*(INDIRECT($E113&amp;"[wk]")=R$6)*(IF($G$2=0,1,(INDIRECT($E113&amp;"[siteflag]")=$G$2))))
           /SUM(INDIRECT($E116&amp;"["&amp;$F116&amp;"]")*(INDIRECT($E116&amp;"[yr]")=(R$5-1))*(INDIRECT($E116&amp;"[wk]")=R$6)*(IF($G$2=0,1,(INDIRECT($E113&amp;"[siteflag]")=$G$2)))))-1</f>
        <v>-9.7343454835692622E-2</v>
      </c>
      <c r="S117" s="74">
        <f t="array" aca="1" ref="S117" ca="1">S116/(SUM(INDIRECT($E113&amp;"["&amp;$F113&amp;"]")*(INDIRECT($E113&amp;"[yr]")=(S$5-1))*(INDIRECT($E113&amp;"[wk]")=S$6)*(IF($G$2=0,1,(INDIRECT($E113&amp;"[siteflag]")=$G$2))))
           /SUM(INDIRECT($E116&amp;"["&amp;$F116&amp;"]")*(INDIRECT($E116&amp;"[yr]")=(S$5-1))*(INDIRECT($E116&amp;"[wk]")=S$6)*(IF($G$2=0,1,(INDIRECT($E113&amp;"[siteflag]")=$G$2)))))-1</f>
        <v>-8.4913021865428373E-2</v>
      </c>
      <c r="T117" s="76">
        <f t="array" aca="1" ref="T117" ca="1">T116/(SUM(INDIRECT($E113&amp;"["&amp;$F113&amp;"]")*(INDIRECT($E113&amp;"[yr]")=(T$5-1))*(INDIRECT($E113&amp;"[wk]")=T$6)*(IF($G$2=0,1,(INDIRECT($E113&amp;"[siteflag]")=$G$2))))/
            SUM(INDIRECT($E116&amp;"["&amp;$F116&amp;"]")*(INDIRECT($E116&amp;"[yr]")=(T$5-1))*(INDIRECT($E116&amp;"[wk]")=T$6)*(IF($G$2=0,1,(INDIRECT($E116&amp;"[siteflag]")=$G$2)))))-1</f>
        <v>-7.5017055377242126E-2</v>
      </c>
      <c r="U117" s="53">
        <f ca="1">SUMPRODUCT(Q117:T117,Q116:T116)/SUM(Q116:T116)</f>
        <v>-8.8825752117727585E-2</v>
      </c>
      <c r="V117" s="91"/>
      <c r="W117" s="80"/>
      <c r="X117" s="56"/>
    </row>
    <row r="118" spans="2:24" ht="3" customHeight="1" x14ac:dyDescent="0.4">
      <c r="B118" s="329"/>
      <c r="D118" s="61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61"/>
      <c r="Q118" s="57"/>
      <c r="R118" s="57"/>
      <c r="S118" s="57"/>
      <c r="T118" s="59"/>
      <c r="U118" s="57"/>
      <c r="V118" s="114"/>
      <c r="W118" s="114"/>
      <c r="X118" s="61"/>
    </row>
    <row r="119" spans="2:24" ht="14.15" customHeight="1" x14ac:dyDescent="0.4">
      <c r="B119" s="329"/>
      <c r="D119" s="201" t="s">
        <v>141</v>
      </c>
      <c r="E119" s="63" t="s">
        <v>142</v>
      </c>
      <c r="F119" s="63" t="s">
        <v>143</v>
      </c>
      <c r="G119" s="63"/>
      <c r="H119" s="63"/>
      <c r="I119" s="128">
        <f t="array" aca="1" ref="I119" ca="1">SUM(INDIRECT($E119&amp;"["&amp;$F119&amp;"]")*(INDIRECT($E119&amp;"[yr]")=I$5)*(INDIRECT($E119&amp;"[wk]")=I$6)*(IF($G$2=0,1,(INDIRECT($E119&amp;"[siteflag]")=$G$2))))/1000</f>
        <v>0.44600000000000001</v>
      </c>
      <c r="J119" s="128">
        <f t="array" aca="1" ref="J119" ca="1">SUM(INDIRECT($E119&amp;"["&amp;$F119&amp;"]")*(INDIRECT($E119&amp;"[yr]")=J$5)*(INDIRECT($E119&amp;"[wk]")=J$6)*(IF($G$2=0,1,(INDIRECT($E119&amp;"[siteflag]")=$G$2))))/1000</f>
        <v>0.37</v>
      </c>
      <c r="K119" s="128">
        <f t="array" aca="1" ref="K119" ca="1">SUM(INDIRECT($E119&amp;"["&amp;$F119&amp;"]")*(INDIRECT($E119&amp;"[yr]")=K$5)*(INDIRECT($E119&amp;"[wk]")=K$6)*(IF($G$2=0,1,(INDIRECT($E119&amp;"[siteflag]")=$G$2))))/1000</f>
        <v>0.47399999999999998</v>
      </c>
      <c r="L119" s="128">
        <f t="array" aca="1" ref="L119" ca="1">SUM(INDIRECT($E119&amp;"["&amp;$F119&amp;"]")*(INDIRECT($E119&amp;"[yr]")=L$5)*(INDIRECT($E119&amp;"[wk]")=L$6)*(IF($G$2=0,1,(INDIRECT($E119&amp;"[siteflag]")=$G$2))))/1000</f>
        <v>0.253</v>
      </c>
      <c r="M119" s="128">
        <f t="array" aca="1" ref="M119" ca="1">SUM(INDIRECT($E119&amp;"["&amp;$F119&amp;"]")*(INDIRECT($E119&amp;"[yr]")=M$5)*(INDIRECT($E119&amp;"[wk]")=M$6)*(IF($G$2=0,1,(INDIRECT($E119&amp;"[siteflag]")=$G$2))))/1000</f>
        <v>0.71499999999999997</v>
      </c>
      <c r="N119" s="128">
        <f t="array" aca="1" ref="N119" ca="1">SUM(INDIRECT($E119&amp;"["&amp;$F119&amp;"]")*(INDIRECT($E119&amp;"[yr]")=N$5)*(INDIRECT($E119&amp;"[wk]")=N$6)*(IF($G$2=0,1,(INDIRECT($E119&amp;"[siteflag]")=$G$2))))/1000</f>
        <v>0.41899999999999998</v>
      </c>
      <c r="O119" s="128">
        <f t="array" aca="1" ref="O119" ca="1">SUM(INDIRECT($E119&amp;"["&amp;$F119&amp;"]")*(INDIRECT($E119&amp;"[yr]")=O$5)*(INDIRECT($E119&amp;"[wk]")=O$6)*(IF($G$2=0,1,(INDIRECT($E119&amp;"[siteflag]")=$G$2))))/1000</f>
        <v>0.69399999999999995</v>
      </c>
      <c r="P119" s="154">
        <f t="array" aca="1" ref="P119" ca="1">SUM(INDIRECT($E119&amp;"["&amp;$F119&amp;"]")*(INDIRECT($E119&amp;"[yr]")=P$5)*(INDIRECT($E119&amp;"[wk]")=P$6)*(IF($G$2=0,1,(INDIRECT($E119&amp;"[siteflag]")=$G$2))))/1000</f>
        <v>0.73199999999999998</v>
      </c>
      <c r="Q119" s="128">
        <f t="array" aca="1" ref="Q119" ca="1">SUM(INDIRECT($E119&amp;"["&amp;$F119&amp;"]")*(INDIRECT($E119&amp;"[yr]")=Q$5)*(INDIRECT($E119&amp;"[wk]")=Q$6)*(IF($G$2=0,1,(INDIRECT($E119&amp;"[siteflag]")=$G$2))))/1000</f>
        <v>0.75800000000000001</v>
      </c>
      <c r="R119" s="128">
        <f t="array" aca="1" ref="R119" ca="1">SUM(INDIRECT($E119&amp;"["&amp;$F119&amp;"]")*(INDIRECT($E119&amp;"[yr]")=R$5)*(INDIRECT($E119&amp;"[wk]")=R$6)*(IF($G$2=0,1,(INDIRECT($E119&amp;"[siteflag]")=$G$2))))/1000</f>
        <v>0.74399999999999999</v>
      </c>
      <c r="S119" s="128">
        <f t="array" aca="1" ref="S119" ca="1">SUM(INDIRECT($E119&amp;"["&amp;$F119&amp;"]")*(INDIRECT($E119&amp;"[yr]")=S$5)*(INDIRECT($E119&amp;"[wk]")=S$6)*(IF($G$2=0,1,(INDIRECT($E119&amp;"[siteflag]")=$G$2))))/1000</f>
        <v>0.69399999999999995</v>
      </c>
      <c r="T119" s="166">
        <f t="array" aca="1" ref="T119" ca="1">SUM(INDIRECT($E119&amp;"["&amp;$F119&amp;"]")*(INDIRECT($E119&amp;"[yr]")=T$5)*(INDIRECT($E119&amp;"[wk]")=T$6)*(IF($G$2=0,1,(INDIRECT($E119&amp;"[siteflag]")=$G$2))))/1000</f>
        <v>0.65500000000000003</v>
      </c>
      <c r="U119" s="167">
        <f ca="1">AVERAGE(Q119:T119)</f>
        <v>0.71274999999999999</v>
      </c>
      <c r="V119" s="47">
        <f t="array" aca="1" ref="V119" ca="1">SUM(T119/S119)-1</f>
        <v>-5.6195965417867311E-2</v>
      </c>
      <c r="W119" s="131"/>
      <c r="X119" s="49"/>
    </row>
    <row r="120" spans="2:24" ht="14.15" customHeight="1" x14ac:dyDescent="0.4">
      <c r="B120" s="329"/>
      <c r="D120" s="78" t="s">
        <v>136</v>
      </c>
      <c r="I120" s="117">
        <f ca="1">I119/I121</f>
        <v>0.86434108527131781</v>
      </c>
      <c r="J120" s="117">
        <f t="shared" ref="J120:S120" ca="1" si="4">J119/J121</f>
        <v>0.77244258872651361</v>
      </c>
      <c r="K120" s="117">
        <f t="shared" ca="1" si="4"/>
        <v>1.2845528455284552</v>
      </c>
      <c r="L120" s="117">
        <f t="shared" ca="1" si="4"/>
        <v>0.51527494908350302</v>
      </c>
      <c r="M120" s="117">
        <f t="shared" ca="1" si="4"/>
        <v>1.2201365187713311</v>
      </c>
      <c r="N120" s="117">
        <f t="shared" ca="1" si="4"/>
        <v>1.1836158192090396</v>
      </c>
      <c r="O120" s="117">
        <f t="shared" ca="1" si="4"/>
        <v>0.9519890260631001</v>
      </c>
      <c r="P120" s="155">
        <f t="shared" ca="1" si="4"/>
        <v>1.1007518796992481</v>
      </c>
      <c r="Q120" s="117">
        <f t="shared" ca="1" si="4"/>
        <v>1.02710027100271</v>
      </c>
      <c r="R120" s="117">
        <f t="shared" ca="1" si="4"/>
        <v>1.0362116991643455</v>
      </c>
      <c r="S120" s="117">
        <f t="shared" ca="1" si="4"/>
        <v>1.1585976627712855</v>
      </c>
      <c r="T120" s="184">
        <f ca="1">T119/T121</f>
        <v>1.003062787136294</v>
      </c>
      <c r="U120" s="185">
        <f ca="1">U119/U121</f>
        <v>1.0528064992614476</v>
      </c>
      <c r="V120" s="89">
        <f t="array" aca="1" ref="V120" ca="1">SUM(T120/S120)-1</f>
        <v>-0.13424407853798259</v>
      </c>
      <c r="W120" s="178"/>
      <c r="X120" s="81"/>
    </row>
    <row r="121" spans="2:24" ht="14.15" customHeight="1" x14ac:dyDescent="0.4">
      <c r="B121" s="329"/>
      <c r="D121" s="222" t="s">
        <v>257</v>
      </c>
      <c r="E121" s="223" t="s">
        <v>142</v>
      </c>
      <c r="F121" s="40" t="s">
        <v>256</v>
      </c>
      <c r="I121" s="117">
        <f t="array" aca="1" ref="I121" ca="1">SUM(INDIRECT($E121&amp;"["&amp;$F121&amp;"]")*(INDIRECT($E121&amp;"[yr]")=I$5)*(INDIRECT($E121&amp;"[wk]")=I$6)*(IF($G$2=0,1,(INDIRECT($E121&amp;"[siteflag]")=$G$2))))/1000</f>
        <v>0.51600000000000001</v>
      </c>
      <c r="J121" s="117">
        <f t="array" aca="1" ref="J121" ca="1">SUM(INDIRECT($E121&amp;"["&amp;$F121&amp;"]")*(INDIRECT($E121&amp;"[yr]")=J$5)*(INDIRECT($E121&amp;"[wk]")=J$6)*(IF($G$2=0,1,(INDIRECT($E121&amp;"[siteflag]")=$G$2))))/1000</f>
        <v>0.47899999999999998</v>
      </c>
      <c r="K121" s="117">
        <f t="array" aca="1" ref="K121" ca="1">SUM(INDIRECT($E121&amp;"["&amp;$F121&amp;"]")*(INDIRECT($E121&amp;"[yr]")=K$5)*(INDIRECT($E121&amp;"[wk]")=K$6)*(IF($G$2=0,1,(INDIRECT($E121&amp;"[siteflag]")=$G$2))))/1000</f>
        <v>0.36899999999999999</v>
      </c>
      <c r="L121" s="117">
        <f t="array" aca="1" ref="L121" ca="1">SUM(INDIRECT($E121&amp;"["&amp;$F121&amp;"]")*(INDIRECT($E121&amp;"[yr]")=L$5)*(INDIRECT($E121&amp;"[wk]")=L$6)*(IF($G$2=0,1,(INDIRECT($E121&amp;"[siteflag]")=$G$2))))/1000</f>
        <v>0.49099999999999999</v>
      </c>
      <c r="M121" s="117">
        <f t="array" aca="1" ref="M121" ca="1">SUM(INDIRECT($E121&amp;"["&amp;$F121&amp;"]")*(INDIRECT($E121&amp;"[yr]")=M$5)*(INDIRECT($E121&amp;"[wk]")=M$6)*(IF($G$2=0,1,(INDIRECT($E121&amp;"[siteflag]")=$G$2))))/1000</f>
        <v>0.58599999999999997</v>
      </c>
      <c r="N121" s="117">
        <f t="array" aca="1" ref="N121" ca="1">SUM(INDIRECT($E121&amp;"["&amp;$F121&amp;"]")*(INDIRECT($E121&amp;"[yr]")=N$5)*(INDIRECT($E121&amp;"[wk]")=N$6)*(IF($G$2=0,1,(INDIRECT($E121&amp;"[siteflag]")=$G$2))))/1000</f>
        <v>0.35399999999999998</v>
      </c>
      <c r="O121" s="117">
        <f t="array" aca="1" ref="O121" ca="1">SUM(INDIRECT($E121&amp;"["&amp;$F121&amp;"]")*(INDIRECT($E121&amp;"[yr]")=O$5)*(INDIRECT($E121&amp;"[wk]")=O$6)*(IF($G$2=0,1,(INDIRECT($E121&amp;"[siteflag]")=$G$2))))/1000</f>
        <v>0.72899999999999998</v>
      </c>
      <c r="P121" s="155">
        <f t="array" aca="1" ref="P121" ca="1">SUM(INDIRECT($E121&amp;"["&amp;$F121&amp;"]")*(INDIRECT($E121&amp;"[yr]")=P$5)*(INDIRECT($E121&amp;"[wk]")=P$6)*(IF($G$2=0,1,(INDIRECT($E121&amp;"[siteflag]")=$G$2))))/1000</f>
        <v>0.66500000000000004</v>
      </c>
      <c r="Q121" s="117">
        <f t="array" aca="1" ref="Q121" ca="1">SUM(INDIRECT($E121&amp;"["&amp;$F121&amp;"]")*(INDIRECT($E121&amp;"[yr]")=Q$5)*(INDIRECT($E121&amp;"[wk]")=Q$6)*(IF($G$2=0,1,(INDIRECT($E121&amp;"[siteflag]")=$G$2))))/1000</f>
        <v>0.73799999999999999</v>
      </c>
      <c r="R121" s="117">
        <f t="array" aca="1" ref="R121" ca="1">SUM(INDIRECT($E121&amp;"["&amp;$F121&amp;"]")*(INDIRECT($E121&amp;"[yr]")=R$5)*(INDIRECT($E121&amp;"[wk]")=R$6)*(IF($G$2=0,1,(INDIRECT($E121&amp;"[siteflag]")=$G$2))))/1000</f>
        <v>0.71799999999999997</v>
      </c>
      <c r="S121" s="117">
        <f t="array" aca="1" ref="S121" ca="1">SUM(INDIRECT($E121&amp;"["&amp;$F121&amp;"]")*(INDIRECT($E121&amp;"[yr]")=S$5)*(INDIRECT($E121&amp;"[wk]")=S$6)*(IF($G$2=0,1,(INDIRECT($E121&amp;"[siteflag]")=$G$2))))/1000</f>
        <v>0.59899999999999998</v>
      </c>
      <c r="T121" s="225">
        <f t="array" aca="1" ref="T121" ca="1">SUM(INDIRECT($E121&amp;"["&amp;$F121&amp;"]")*(INDIRECT($E121&amp;"[yr]")=T$5)*(INDIRECT($E121&amp;"[wk]")=T$6)*(IF($G$2=0,1,(INDIRECT($E121&amp;"[siteflag]")=$G$2))))/1000</f>
        <v>0.65300000000000002</v>
      </c>
      <c r="U121" s="185">
        <f ca="1">AVERAGE(Q121:T121)</f>
        <v>0.67699999999999994</v>
      </c>
      <c r="V121" s="89">
        <f t="array" aca="1" ref="V121" ca="1">SUM(T121/S121)-1</f>
        <v>9.0150250417362354E-2</v>
      </c>
      <c r="W121" s="178"/>
      <c r="X121" s="56"/>
    </row>
    <row r="122" spans="2:24" ht="3" customHeight="1" x14ac:dyDescent="0.4">
      <c r="B122" s="329"/>
      <c r="D122" s="61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61"/>
      <c r="Q122" s="57"/>
      <c r="R122" s="57"/>
      <c r="S122" s="57"/>
      <c r="T122" s="59"/>
      <c r="U122" s="60"/>
      <c r="V122" s="61"/>
      <c r="W122" s="62"/>
      <c r="X122" s="61"/>
    </row>
    <row r="123" spans="2:24" ht="14.15" customHeight="1" x14ac:dyDescent="0.4">
      <c r="B123" s="329"/>
      <c r="D123" s="203" t="s">
        <v>154</v>
      </c>
      <c r="E123" s="63" t="s">
        <v>125</v>
      </c>
      <c r="F123" t="s">
        <v>155</v>
      </c>
      <c r="I123" s="126">
        <f t="array" aca="1" ref="I123" ca="1">SUM(INDIRECT($E123&amp;"["&amp;$F123&amp;"]")*(INDIRECT($E123&amp;"[yr]")=I$5)*(INDIRECT($E123&amp;"[wk]")=I$6)*(IF($G$2=0,1,(INDIRECT($E123&amp;"[siteflag]")=$G$2)))/1000)</f>
        <v>8.73</v>
      </c>
      <c r="J123" s="126">
        <f t="array" aca="1" ref="J123" ca="1">SUM(INDIRECT($E123&amp;"["&amp;$F123&amp;"]")*(INDIRECT($E123&amp;"[yr]")=J$5)*(INDIRECT($E123&amp;"[wk]")=J$6)*(IF($G$2=0,1,(INDIRECT($E123&amp;"[siteflag]")=$G$2)))/1000)</f>
        <v>11.023999999999999</v>
      </c>
      <c r="K123" s="126">
        <f t="array" aca="1" ref="K123" ca="1">SUM(INDIRECT($E123&amp;"["&amp;$F123&amp;"]")*(INDIRECT($E123&amp;"[yr]")=K$5)*(INDIRECT($E123&amp;"[wk]")=K$6)*(IF($G$2=0,1,(INDIRECT($E123&amp;"[siteflag]")=$G$2)))/1000)</f>
        <v>10.351000000000001</v>
      </c>
      <c r="L123" s="126">
        <f t="array" aca="1" ref="L123" ca="1">SUM(INDIRECT($E123&amp;"["&amp;$F123&amp;"]")*(INDIRECT($E123&amp;"[yr]")=L$5)*(INDIRECT($E123&amp;"[wk]")=L$6)*(IF($G$2=0,1,(INDIRECT($E123&amp;"[siteflag]")=$G$2)))/1000)</f>
        <v>8.0969999999999995</v>
      </c>
      <c r="M123" s="126">
        <f t="array" aca="1" ref="M123" ca="1">SUM(INDIRECT($E123&amp;"["&amp;$F123&amp;"]")*(INDIRECT($E123&amp;"[yr]")=M$5)*(INDIRECT($E123&amp;"[wk]")=M$6)*(IF($G$2=0,1,(INDIRECT($E123&amp;"[siteflag]")=$G$2)))/1000)</f>
        <v>5.3079999999999998</v>
      </c>
      <c r="N123" s="126">
        <f t="array" aca="1" ref="N123" ca="1">SUM(INDIRECT($E123&amp;"["&amp;$F123&amp;"]")*(INDIRECT($E123&amp;"[yr]")=N$5)*(INDIRECT($E123&amp;"[wk]")=N$6)*(IF($G$2=0,1,(INDIRECT($E123&amp;"[siteflag]")=$G$2)))/1000)</f>
        <v>10.872999999999999</v>
      </c>
      <c r="O123" s="126">
        <f t="array" aca="1" ref="O123" ca="1">SUM(INDIRECT($E123&amp;"["&amp;$F123&amp;"]")*(INDIRECT($E123&amp;"[yr]")=O$5)*(INDIRECT($E123&amp;"[wk]")=O$6)*(IF($G$2=0,1,(INDIRECT($E123&amp;"[siteflag]")=$G$2)))/1000)</f>
        <v>9.8160000000000007</v>
      </c>
      <c r="P123" s="196">
        <f t="array" aca="1" ref="P123" ca="1">SUM(INDIRECT($E123&amp;"["&amp;$F123&amp;"]")*(INDIRECT($E123&amp;"[yr]")=P$5)*(INDIRECT($E123&amp;"[wk]")=P$6)*(IF($G$2=0,1,(INDIRECT($E123&amp;"[siteflag]")=$G$2)))/1000)</f>
        <v>10.135</v>
      </c>
      <c r="Q123" s="126">
        <f t="array" aca="1" ref="Q123" ca="1">SUM(INDIRECT($E123&amp;"["&amp;$F123&amp;"]")*(INDIRECT($E123&amp;"[yr]")=Q$5)*(INDIRECT($E123&amp;"[wk]")=Q$6)*(IF($G$2=0,1,(INDIRECT($E123&amp;"[siteflag]")=$G$2)))/1000)</f>
        <v>9.5229999999999997</v>
      </c>
      <c r="R123" s="126">
        <f t="array" aca="1" ref="R123" ca="1">SUM(INDIRECT($E123&amp;"["&amp;$F123&amp;"]")*(INDIRECT($E123&amp;"[yr]")=R$5)*(INDIRECT($E123&amp;"[wk]")=R$6)*(IF($G$2=0,1,(INDIRECT($E123&amp;"[siteflag]")=$G$2)))/1000)</f>
        <v>8.8659999999999997</v>
      </c>
      <c r="S123" s="126">
        <f t="array" aca="1" ref="S123" ca="1">SUM(INDIRECT($E123&amp;"["&amp;$F123&amp;"]")*(INDIRECT($E123&amp;"[yr]")=S$5)*(INDIRECT($E123&amp;"[wk]")=S$6)*(IF($G$2=0,1,(INDIRECT($E123&amp;"[siteflag]")=$G$2)))/1000)</f>
        <v>3.827</v>
      </c>
      <c r="T123" s="120">
        <f t="array" aca="1" ref="T123" ca="1">SUM(INDIRECT($E123&amp;"["&amp;$F123&amp;"]")*(INDIRECT($E123&amp;"[yr]")=T$5)*(INDIRECT($E123&amp;"[wk]")=T$6)*(IF($G$2=0,1,(INDIRECT($E123&amp;"[siteflag]")=$G$2)))/1000)</f>
        <v>1.5409999999999999</v>
      </c>
      <c r="U123" s="116">
        <f ca="1">AVERAGE(Q123:T123)</f>
        <v>5.9392500000000004</v>
      </c>
      <c r="V123" s="47">
        <f t="array" aca="1" ref="V123" ca="1">SUM(T123/S123)-1</f>
        <v>-0.5973347269401621</v>
      </c>
      <c r="W123" s="80"/>
      <c r="X123" s="49"/>
    </row>
    <row r="124" spans="2:24" ht="14.15" customHeight="1" x14ac:dyDescent="0.4">
      <c r="B124" s="329"/>
      <c r="D124" s="204" t="s">
        <v>67</v>
      </c>
      <c r="I124" s="50">
        <f t="array" aca="1" ref="I124" ca="1">I123/SUM(INDIRECT($E123&amp;"["&amp;$F123&amp;"]")*(INDIRECT($E123&amp;"[yr]")=(I$5-1))*(INDIRECT($E123&amp;"[wk]")=I$6)*(IF($G$2=0,1,(INDIRECT($E123&amp;"[siteflag]")=$G$2)))/1000)-1</f>
        <v>0.10366624525916568</v>
      </c>
      <c r="J124" s="50">
        <f t="array" aca="1" ref="J124" ca="1">J123/SUM(INDIRECT($E123&amp;"["&amp;$F123&amp;"]")*(INDIRECT($E123&amp;"[yr]")=(J$5-1))*(INDIRECT($E123&amp;"[wk]")=J$6)*(IF($G$2=0,1,(INDIRECT($E123&amp;"[siteflag]")=$G$2)))/1000)-1</f>
        <v>0.71713395638629263</v>
      </c>
      <c r="K124" s="50">
        <f t="array" aca="1" ref="K124" ca="1">K123/SUM(INDIRECT($E123&amp;"["&amp;$F123&amp;"]")*(INDIRECT($E123&amp;"[yr]")=(K$5-1))*(INDIRECT($E123&amp;"[wk]")=K$6)*(IF($G$2=0,1,(INDIRECT($E123&amp;"[siteflag]")=$G$2)))/1000)-1</f>
        <v>0.27412604628261938</v>
      </c>
      <c r="L124" s="50">
        <f t="array" aca="1" ref="L124" ca="1">L123/SUM(INDIRECT($E123&amp;"["&amp;$F123&amp;"]")*(INDIRECT($E123&amp;"[yr]")=(L$5-1))*(INDIRECT($E123&amp;"[wk]")=L$6)*(IF($G$2=0,1,(INDIRECT($E123&amp;"[siteflag]")=$G$2)))/1000)-1</f>
        <v>9.3155123531794226E-2</v>
      </c>
      <c r="M124" s="50">
        <f t="array" aca="1" ref="M124" ca="1">M123/SUM(INDIRECT($E123&amp;"["&amp;$F123&amp;"]")*(INDIRECT($E123&amp;"[yr]")=(M$5-1))*(INDIRECT($E123&amp;"[wk]")=M$6)*(IF($G$2=0,1,(INDIRECT($E123&amp;"[siteflag]")=$G$2)))/1000)-1</f>
        <v>-0.14317998385795006</v>
      </c>
      <c r="N124" s="50">
        <f t="array" aca="1" ref="N124" ca="1">N123/SUM(INDIRECT($E123&amp;"["&amp;$F123&amp;"]")*(INDIRECT($E123&amp;"[yr]")=(N$5-1))*(INDIRECT($E123&amp;"[wk]")=N$6)*(IF($G$2=0,1,(INDIRECT($E123&amp;"[siteflag]")=$G$2)))/1000)-1</f>
        <v>0.45633538708813282</v>
      </c>
      <c r="O124" s="50">
        <f t="array" aca="1" ref="O124" ca="1">O123/SUM(INDIRECT($E123&amp;"["&amp;$F123&amp;"]")*(INDIRECT($E123&amp;"[yr]")=(O$5-1))*(INDIRECT($E123&amp;"[wk]")=O$6)*(IF($G$2=0,1,(INDIRECT($E123&amp;"[siteflag]")=$G$2)))/1000)-1</f>
        <v>0.13848295059151017</v>
      </c>
      <c r="P124" s="54">
        <f t="array" aca="1" ref="P124" ca="1">P123/SUM(INDIRECT($E123&amp;"["&amp;$F123&amp;"]")*(INDIRECT($E123&amp;"[yr]")=(P$5-1))*(INDIRECT($E123&amp;"[wk]")=P$6)*(IF($G$2=0,1,(INDIRECT($E123&amp;"[siteflag]")=$G$2)))/1000)-1</f>
        <v>6.270315612876165E-2</v>
      </c>
      <c r="Q124" s="50">
        <f t="array" aca="1" ref="Q124" ca="1">Q123/SUM(INDIRECT($E123&amp;"["&amp;$F123&amp;"]")*(INDIRECT($E123&amp;"[yr]")=(Q$5-1))*(INDIRECT($E123&amp;"[wk]")=Q$6)*(IF($G$2=0,1,(INDIRECT($E123&amp;"[siteflag]")=$G$2)))/1000)-1</f>
        <v>0.1450042082481664</v>
      </c>
      <c r="R124" s="50">
        <f t="array" aca="1" ref="R124" ca="1">R123/SUM(INDIRECT($E123&amp;"["&amp;$F123&amp;"]")*(INDIRECT($E123&amp;"[yr]")=(R$5-1))*(INDIRECT($E123&amp;"[wk]")=R$6)*(IF($G$2=0,1,(INDIRECT($E123&amp;"[siteflag]")=$G$2)))/1000)-1</f>
        <v>6.7720090293454938E-4</v>
      </c>
      <c r="S124" s="50">
        <f t="array" aca="1" ref="S124" ca="1">S123/SUM(INDIRECT($E123&amp;"["&amp;$F123&amp;"]")*(INDIRECT($E123&amp;"[yr]")=(S$5-1))*(INDIRECT($E123&amp;"[wk]")=S$6)*(IF($G$2=0,1,(INDIRECT($E123&amp;"[siteflag]")=$G$2)))/1000)-1</f>
        <v>-0.56137535816618911</v>
      </c>
      <c r="T124" s="52">
        <f t="array" aca="1" ref="T124" ca="1">T123/SUM(INDIRECT($E123&amp;"["&amp;$F123&amp;"]")*(INDIRECT($E123&amp;"[yr]")=(T$5-1))*(INDIRECT($E123&amp;"[wk]")=T$6)*(IF($G$2=0,1,(INDIRECT($E123&amp;"[siteflag]")=$G$2)))/1000)-1</f>
        <v>-0.84431198221863002</v>
      </c>
      <c r="U124" s="53">
        <f ca="1">SUMPRODUCT(Q124:T124,Q123:T123)/SUM(Q123:T123)</f>
        <v>-8.682026863443229E-2</v>
      </c>
      <c r="V124" s="91"/>
      <c r="W124" s="80"/>
      <c r="X124" s="56"/>
    </row>
    <row r="125" spans="2:24" ht="3" customHeight="1" x14ac:dyDescent="0.4">
      <c r="B125" s="329"/>
      <c r="D125" s="61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61"/>
      <c r="Q125" s="57"/>
      <c r="R125" s="57"/>
      <c r="S125" s="57"/>
      <c r="T125" s="59"/>
      <c r="U125" s="60"/>
      <c r="V125" s="61"/>
      <c r="W125" s="62"/>
      <c r="X125" s="61"/>
    </row>
    <row r="126" spans="2:24" ht="14.15" customHeight="1" x14ac:dyDescent="0.4">
      <c r="B126" s="329"/>
      <c r="D126" s="201" t="s">
        <v>437</v>
      </c>
      <c r="E126" s="63" t="s">
        <v>125</v>
      </c>
      <c r="F126" s="63" t="s">
        <v>185</v>
      </c>
      <c r="G126" s="63"/>
      <c r="H126" s="63"/>
      <c r="I126" s="197">
        <f t="array" aca="1" ref="I126" ca="1">IF( SUM(INDIRECT($E126&amp;"["&amp;$F126&amp;"]")*(INDIRECT($E126&amp;"[yr]")=I$5)*(INDIRECT($E126&amp;"[wk]")=I$6)*(IF($G$2=0,1,(INDIRECT($E126&amp;"[siteflag]")=$G$2))))&lt;&gt;0,SUM(INDIRECT($E123&amp;"["&amp;$F123&amp;"]")*(INDIRECT($E123&amp;"[yr]")=I$5)*(INDIRECT($E123&amp;"[wk]")=I$6)*(IF($G$2=0,1,(INDIRECT($E123&amp;"[siteflag]")=$G$2))))/
  SUM(INDIRECT($E126&amp;"["&amp;$F126&amp;"]")*(INDIRECT($E126&amp;"[yr]")=I$5)*(INDIRECT($E126&amp;"[wk]")=I$6)*(IF($G$2=0,1,(INDIRECT($E126&amp;"[siteflag]")=$G$2)))),"N/A")</f>
        <v>182.25469728601254</v>
      </c>
      <c r="J126" s="197">
        <f t="array" aca="1" ref="J126" ca="1">IF( SUM(INDIRECT($E126&amp;"["&amp;$F126&amp;"]")*(INDIRECT($E126&amp;"[yr]")=J$5)*(INDIRECT($E126&amp;"[wk]")=J$6)*(IF($G$2=0,1,(INDIRECT($E126&amp;"[siteflag]")=$G$2))))&lt;&gt;0,SUM(INDIRECT($E123&amp;"["&amp;$F123&amp;"]")*(INDIRECT($E123&amp;"[yr]")=J$5)*(INDIRECT($E123&amp;"[wk]")=J$6)*(IF($G$2=0,1,(INDIRECT($E123&amp;"[siteflag]")=$G$2))))/
  SUM(INDIRECT($E126&amp;"["&amp;$F126&amp;"]")*(INDIRECT($E126&amp;"[yr]")=J$5)*(INDIRECT($E126&amp;"[wk]")=J$6)*(IF($G$2=0,1,(INDIRECT($E126&amp;"[siteflag]")=$G$2)))),"N/A")</f>
        <v>247.17488789237666</v>
      </c>
      <c r="K126" s="197">
        <f t="array" aca="1" ref="K126" ca="1">IF( SUM(INDIRECT($E126&amp;"["&amp;$F126&amp;"]")*(INDIRECT($E126&amp;"[yr]")=K$5)*(INDIRECT($E126&amp;"[wk]")=K$6)*(IF($G$2=0,1,(INDIRECT($E126&amp;"[siteflag]")=$G$2))))&lt;&gt;0,SUM(INDIRECT($E123&amp;"["&amp;$F123&amp;"]")*(INDIRECT($E123&amp;"[yr]")=K$5)*(INDIRECT($E123&amp;"[wk]")=K$6)*(IF($G$2=0,1,(INDIRECT($E123&amp;"[siteflag]")=$G$2))))/
  SUM(INDIRECT($E126&amp;"["&amp;$F126&amp;"]")*(INDIRECT($E126&amp;"[yr]")=K$5)*(INDIRECT($E126&amp;"[wk]")=K$6)*(IF($G$2=0,1,(INDIRECT($E126&amp;"[siteflag]")=$G$2)))),"N/A")</f>
        <v>214.75103734439833</v>
      </c>
      <c r="L126" s="197">
        <f t="array" aca="1" ref="L126" ca="1">IF( SUM(INDIRECT($E126&amp;"["&amp;$F126&amp;"]")*(INDIRECT($E126&amp;"[yr]")=L$5)*(INDIRECT($E126&amp;"[wk]")=L$6)*(IF($G$2=0,1,(INDIRECT($E126&amp;"[siteflag]")=$G$2))))&lt;&gt;0,SUM(INDIRECT($E123&amp;"["&amp;$F123&amp;"]")*(INDIRECT($E123&amp;"[yr]")=L$5)*(INDIRECT($E123&amp;"[wk]")=L$6)*(IF($G$2=0,1,(INDIRECT($E123&amp;"[siteflag]")=$G$2))))/
  SUM(INDIRECT($E126&amp;"["&amp;$F126&amp;"]")*(INDIRECT($E126&amp;"[yr]")=L$5)*(INDIRECT($E126&amp;"[wk]")=L$6)*(IF($G$2=0,1,(INDIRECT($E126&amp;"[siteflag]")=$G$2)))),"N/A")</f>
        <v>153.93536121673003</v>
      </c>
      <c r="M126" s="197">
        <f t="array" aca="1" ref="M126" ca="1">IF( SUM(INDIRECT($E126&amp;"["&amp;$F126&amp;"]")*(INDIRECT($E126&amp;"[yr]")=M$5)*(INDIRECT($E126&amp;"[wk]")=M$6)*(IF($G$2=0,1,(INDIRECT($E126&amp;"[siteflag]")=$G$2))))&lt;&gt;0,SUM(INDIRECT($E123&amp;"["&amp;$F123&amp;"]")*(INDIRECT($E123&amp;"[yr]")=M$5)*(INDIRECT($E123&amp;"[wk]")=M$6)*(IF($G$2=0,1,(INDIRECT($E123&amp;"[siteflag]")=$G$2))))/
  SUM(INDIRECT($E126&amp;"["&amp;$F126&amp;"]")*(INDIRECT($E126&amp;"[yr]")=M$5)*(INDIRECT($E126&amp;"[wk]")=M$6)*(IF($G$2=0,1,(INDIRECT($E126&amp;"[siteflag]")=$G$2)))),"N/A")</f>
        <v>240.18099547511309</v>
      </c>
      <c r="N126" s="197">
        <f t="array" aca="1" ref="N126" ca="1">IF( SUM(INDIRECT($E126&amp;"["&amp;$F126&amp;"]")*(INDIRECT($E126&amp;"[yr]")=N$5)*(INDIRECT($E126&amp;"[wk]")=N$6)*(IF($G$2=0,1,(INDIRECT($E126&amp;"[siteflag]")=$G$2))))&lt;&gt;0,SUM(INDIRECT($E123&amp;"["&amp;$F123&amp;"]")*(INDIRECT($E123&amp;"[yr]")=N$5)*(INDIRECT($E123&amp;"[wk]")=N$6)*(IF($G$2=0,1,(INDIRECT($E123&amp;"[siteflag]")=$G$2))))/
  SUM(INDIRECT($E126&amp;"["&amp;$F126&amp;"]")*(INDIRECT($E126&amp;"[yr]")=N$5)*(INDIRECT($E126&amp;"[wk]")=N$6)*(IF($G$2=0,1,(INDIRECT($E126&amp;"[siteflag]")=$G$2)))),"N/A")</f>
        <v>254.63700234192035</v>
      </c>
      <c r="O126" s="197">
        <f t="array" aca="1" ref="O126" ca="1">IF( SUM(INDIRECT($E126&amp;"["&amp;$F126&amp;"]")*(INDIRECT($E126&amp;"[yr]")=O$5)*(INDIRECT($E126&amp;"[wk]")=O$6)*(IF($G$2=0,1,(INDIRECT($E126&amp;"[siteflag]")=$G$2))))&lt;&gt;0,SUM(INDIRECT($E123&amp;"["&amp;$F123&amp;"]")*(INDIRECT($E123&amp;"[yr]")=O$5)*(INDIRECT($E123&amp;"[wk]")=O$6)*(IF($G$2=0,1,(INDIRECT($E123&amp;"[siteflag]")=$G$2))))/
  SUM(INDIRECT($E126&amp;"["&amp;$F126&amp;"]")*(INDIRECT($E126&amp;"[yr]")=O$5)*(INDIRECT($E126&amp;"[wk]")=O$6)*(IF($G$2=0,1,(INDIRECT($E126&amp;"[siteflag]")=$G$2)))),"N/A")</f>
        <v>658.79194630872485</v>
      </c>
      <c r="P126" s="197">
        <f t="array" aca="1" ref="P126" ca="1">IF( SUM(INDIRECT($E126&amp;"["&amp;$F126&amp;"]")*(INDIRECT($E126&amp;"[yr]")=P$5)*(INDIRECT($E126&amp;"[wk]")=P$6)*(IF($G$2=0,1,(INDIRECT($E126&amp;"[siteflag]")=$G$2))))&lt;&gt;0,SUM(INDIRECT($E123&amp;"["&amp;$F123&amp;"]")*(INDIRECT($E123&amp;"[yr]")=P$5)*(INDIRECT($E123&amp;"[wk]")=P$6)*(IF($G$2=0,1,(INDIRECT($E123&amp;"[siteflag]")=$G$2))))/
  SUM(INDIRECT($E126&amp;"["&amp;$F126&amp;"]")*(INDIRECT($E126&amp;"[yr]")=P$5)*(INDIRECT($E126&amp;"[wk]")=P$6)*(IF($G$2=0,1,(INDIRECT($E126&amp;"[siteflag]")=$G$2)))),"N/A")</f>
        <v>239.03301886792454</v>
      </c>
      <c r="Q126" s="94">
        <f t="array" aca="1" ref="Q126" ca="1">IF( SUM(INDIRECT($E126&amp;"["&amp;$F126&amp;"]")*(INDIRECT($E126&amp;"[yr]")=Q$5)*(INDIRECT($E126&amp;"[wk]")=Q$6)*(IF($G$2=0,1,(INDIRECT($E126&amp;"[siteflag]")=$G$2))))&lt;&gt;0,SUM(INDIRECT($E123&amp;"["&amp;$F123&amp;"]")*(INDIRECT($E123&amp;"[yr]")=Q$5)*(INDIRECT($E123&amp;"[wk]")=Q$6)*(IF($G$2=0,1,(INDIRECT($E123&amp;"[siteflag]")=$G$2))))/
  SUM(INDIRECT($E126&amp;"["&amp;$F126&amp;"]")*(INDIRECT($E126&amp;"[yr]")=Q$5)*(INDIRECT($E126&amp;"[wk]")=Q$6)*(IF($G$2=0,1,(INDIRECT($E126&amp;"[siteflag]")=$G$2)))),"N/A")</f>
        <v>259.48228882833786</v>
      </c>
      <c r="R126" s="197">
        <f t="array" aca="1" ref="R126" ca="1">IF( SUM(INDIRECT($E126&amp;"["&amp;$F126&amp;"]")*(INDIRECT($E126&amp;"[yr]")=R$5)*(INDIRECT($E126&amp;"[wk]")=R$6)*(IF($G$2=0,1,(INDIRECT($E126&amp;"[siteflag]")=$G$2))))&lt;&gt;0,SUM(INDIRECT($E123&amp;"["&amp;$F123&amp;"]")*(INDIRECT($E123&amp;"[yr]")=R$5)*(INDIRECT($E123&amp;"[wk]")=R$6)*(IF($G$2=0,1,(INDIRECT($E123&amp;"[siteflag]")=$G$2))))/
  SUM(INDIRECT($E126&amp;"["&amp;$F126&amp;"]")*(INDIRECT($E126&amp;"[yr]")=R$5)*(INDIRECT($E126&amp;"[wk]")=R$6)*(IF($G$2=0,1,(INDIRECT($E126&amp;"[siteflag]")=$G$2)))),"N/A")</f>
        <v>247.65363128491623</v>
      </c>
      <c r="S126" s="197">
        <f t="array" aca="1" ref="S126" ca="1">IF( SUM(INDIRECT($E126&amp;"["&amp;$F126&amp;"]")*(INDIRECT($E126&amp;"[yr]")=S$5)*(INDIRECT($E126&amp;"[wk]")=S$6)*(IF($G$2=0,1,(INDIRECT($E126&amp;"[siteflag]")=$G$2))))&lt;&gt;0,SUM(INDIRECT($E123&amp;"["&amp;$F123&amp;"]")*(INDIRECT($E123&amp;"[yr]")=S$5)*(INDIRECT($E123&amp;"[wk]")=S$6)*(IF($G$2=0,1,(INDIRECT($E123&amp;"[siteflag]")=$G$2))))/
  SUM(INDIRECT($E126&amp;"["&amp;$F126&amp;"]")*(INDIRECT($E126&amp;"[yr]")=S$5)*(INDIRECT($E126&amp;"[wk]")=S$6)*(IF($G$2=0,1,(INDIRECT($E126&amp;"[siteflag]")=$G$2)))),"N/A")</f>
        <v>91.774580335731414</v>
      </c>
      <c r="T126" s="172">
        <f t="array" aca="1" ref="T126" ca="1">IF( SUM(INDIRECT($E126&amp;"["&amp;$F126&amp;"]")*(INDIRECT($E126&amp;"[yr]")=T$5)*(INDIRECT($E126&amp;"[wk]")=T$6)*(IF($G$2=0,1,(INDIRECT($E126&amp;"[siteflag]")=$G$2))))&lt;&gt;0,SUM(INDIRECT($E123&amp;"["&amp;$F123&amp;"]")*(INDIRECT($E123&amp;"[yr]")=T$5)*(INDIRECT($E123&amp;"[wk]")=T$6)*(IF($G$2=0,1,(INDIRECT($E123&amp;"[siteflag]")=$G$2))))/
  SUM(INDIRECT($E126&amp;"["&amp;$F126&amp;"]")*(INDIRECT($E126&amp;"[yr]")=T$5)*(INDIRECT($E126&amp;"[wk]")=T$6)*(IF($G$2=0,1,(INDIRECT($E126&amp;"[siteflag]")=$G$2)))),"N/A")</f>
        <v>46</v>
      </c>
      <c r="U126" s="161">
        <f t="array" aca="1" ref="U126" ca="1">AVERAGE(Q126:T126)</f>
        <v>161.22762511224639</v>
      </c>
      <c r="V126" s="47">
        <f t="array" aca="1" ref="V126" ca="1">SUM(T126/S126)-1</f>
        <v>-0.49877188398223149</v>
      </c>
      <c r="W126" s="131">
        <v>40</v>
      </c>
      <c r="X126" s="49"/>
    </row>
    <row r="127" spans="2:24" ht="14.15" customHeight="1" x14ac:dyDescent="0.4">
      <c r="B127" s="329"/>
      <c r="D127" s="204" t="s">
        <v>67</v>
      </c>
      <c r="I127" s="50">
        <f t="array" aca="1" ref="I127" ca="1">IF(SUM(INDIRECT($E126&amp;"["&amp;$F126&amp;"]")*(INDIRECT($E126&amp;"[yr]")=(I$5-1))*(INDIRECT($E126&amp;"[wk]")=I$6)*(IF($G$2=0,1,(INDIRECT($E126&amp;"[siteflag]")=$G$2))))&lt;&gt;0,I126/(SUM(INDIRECT($E123&amp;"["&amp;$F123&amp;"]")*(INDIRECT($E123&amp;"[yr]")=(I$5-1))*(INDIRECT($E123&amp;"[wk]")=I$6)*(IF($G$2=0,1,(INDIRECT($E123&amp;"[siteflag]")=$G$2))))/
           SUM(INDIRECT($E126&amp;"["&amp;$F126&amp;"]")*(INDIRECT($E126&amp;"[yr]")=(I$5-1))*(INDIRECT($E126&amp;"[wk]")=I$6)*(IF($G$2=0,1,(INDIRECT($E126&amp;"[siteflag]")=$G$2)))))-1,"N/A")</f>
        <v>0.97231379111032523</v>
      </c>
      <c r="J127" s="50">
        <f t="array" aca="1" ref="J127" ca="1">IF(SUM(INDIRECT($E126&amp;"["&amp;$F126&amp;"]")*(INDIRECT($E126&amp;"[yr]")=(J$5-1))*(INDIRECT($E126&amp;"[wk]")=J$6)*(IF($G$2=0,1,(INDIRECT($E126&amp;"[siteflag]")=$G$2))))&lt;&gt;0,J126/(SUM(INDIRECT($E123&amp;"["&amp;$F123&amp;"]")*(INDIRECT($E123&amp;"[yr]")=(J$5-1))*(INDIRECT($E123&amp;"[wk]")=J$6)*(IF($G$2=0,1,(INDIRECT($E123&amp;"[siteflag]")=$G$2))))/
           SUM(INDIRECT($E126&amp;"["&amp;$F126&amp;"]")*(INDIRECT($E126&amp;"[yr]")=(J$5-1))*(INDIRECT($E126&amp;"[wk]")=J$6)*(IF($G$2=0,1,(INDIRECT($E126&amp;"[siteflag]")=$G$2)))))-1,"N/A")</f>
        <v>1.4948493357361383</v>
      </c>
      <c r="K127" s="50">
        <f t="array" aca="1" ref="K127" ca="1">IF(SUM(INDIRECT($E126&amp;"["&amp;$F126&amp;"]")*(INDIRECT($E126&amp;"[yr]")=(K$5-1))*(INDIRECT($E126&amp;"[wk]")=K$6)*(IF($G$2=0,1,(INDIRECT($E126&amp;"[siteflag]")=$G$2))))&lt;&gt;0,K126/(SUM(INDIRECT($E123&amp;"["&amp;$F123&amp;"]")*(INDIRECT($E123&amp;"[yr]")=(K$5-1))*(INDIRECT($E123&amp;"[wk]")=K$6)*(IF($G$2=0,1,(INDIRECT($E123&amp;"[siteflag]")=$G$2))))/
           SUM(INDIRECT($E126&amp;"["&amp;$F126&amp;"]")*(INDIRECT($E126&amp;"[yr]")=(K$5-1))*(INDIRECT($E126&amp;"[wk]")=K$6)*(IF($G$2=0,1,(INDIRECT($E126&amp;"[siteflag]")=$G$2)))))-1,"N/A")</f>
        <v>0.83717344847805064</v>
      </c>
      <c r="L127" s="50">
        <f t="array" aca="1" ref="L127" ca="1">IF(SUM(INDIRECT($E126&amp;"["&amp;$F126&amp;"]")*(INDIRECT($E126&amp;"[yr]")=(L$5-1))*(INDIRECT($E126&amp;"[wk]")=L$6)*(IF($G$2=0,1,(INDIRECT($E126&amp;"[siteflag]")=$G$2))))&lt;&gt;0,L126/(SUM(INDIRECT($E123&amp;"["&amp;$F123&amp;"]")*(INDIRECT($E123&amp;"[yr]")=(L$5-1))*(INDIRECT($E123&amp;"[wk]")=L$6)*(IF($G$2=0,1,(INDIRECT($E123&amp;"[siteflag]")=$G$2))))/
           SUM(INDIRECT($E126&amp;"["&amp;$F126&amp;"]")*(INDIRECT($E126&amp;"[yr]")=(L$5-1))*(INDIRECT($E126&amp;"[wk]")=L$6)*(IF($G$2=0,1,(INDIRECT($E126&amp;"[siteflag]")=$G$2)))))-1,"N/A")</f>
        <v>0.1056245736101038</v>
      </c>
      <c r="M127" s="50">
        <f t="array" aca="1" ref="M127" ca="1">IF(SUM(INDIRECT($E126&amp;"["&amp;$F126&amp;"]")*(INDIRECT($E126&amp;"[yr]")=(M$5-1))*(INDIRECT($E126&amp;"[wk]")=M$6)*(IF($G$2=0,1,(INDIRECT($E126&amp;"[siteflag]")=$G$2))))&lt;&gt;0,M126/(SUM(INDIRECT($E123&amp;"["&amp;$F123&amp;"]")*(INDIRECT($E123&amp;"[yr]")=(M$5-1))*(INDIRECT($E123&amp;"[wk]")=M$6)*(IF($G$2=0,1,(INDIRECT($E123&amp;"[siteflag]")=$G$2))))/
           SUM(INDIRECT($E126&amp;"["&amp;$F126&amp;"]")*(INDIRECT($E126&amp;"[yr]")=(M$5-1))*(INDIRECT($E126&amp;"[wk]")=M$6)*(IF($G$2=0,1,(INDIRECT($E126&amp;"[siteflag]")=$G$2)))))-1,"N/A")</f>
        <v>1.1052184107019598</v>
      </c>
      <c r="N127" s="50">
        <f t="array" aca="1" ref="N127" ca="1">IF(SUM(INDIRECT($E126&amp;"["&amp;$F126&amp;"]")*(INDIRECT($E126&amp;"[yr]")=(N$5-1))*(INDIRECT($E126&amp;"[wk]")=N$6)*(IF($G$2=0,1,(INDIRECT($E126&amp;"[siteflag]")=$G$2))))&lt;&gt;0,N126/(SUM(INDIRECT($E123&amp;"["&amp;$F123&amp;"]")*(INDIRECT($E123&amp;"[yr]")=(N$5-1))*(INDIRECT($E123&amp;"[wk]")=N$6)*(IF($G$2=0,1,(INDIRECT($E123&amp;"[siteflag]")=$G$2))))/
           SUM(INDIRECT($E126&amp;"["&amp;$F126&amp;"]")*(INDIRECT($E126&amp;"[yr]")=(N$5-1))*(INDIRECT($E126&amp;"[wk]")=N$6)*(IF($G$2=0,1,(INDIRECT($E126&amp;"[siteflag]")=$G$2)))))-1,"N/A")</f>
        <v>1.1862083913899135</v>
      </c>
      <c r="O127" s="50">
        <f t="array" aca="1" ref="O127" ca="1">IF(SUM(INDIRECT($E126&amp;"["&amp;$F126&amp;"]")*(INDIRECT($E126&amp;"[yr]")=(O$5-1))*(INDIRECT($E126&amp;"[wk]")=O$6)*(IF($G$2=0,1,(INDIRECT($E126&amp;"[siteflag]")=$G$2))))&lt;&gt;0,O126/(SUM(INDIRECT($E123&amp;"["&amp;$F123&amp;"]")*(INDIRECT($E123&amp;"[yr]")=(O$5-1))*(INDIRECT($E123&amp;"[wk]")=O$6)*(IF($G$2=0,1,(INDIRECT($E123&amp;"[siteflag]")=$G$2))))/
           SUM(INDIRECT($E126&amp;"["&amp;$F126&amp;"]")*(INDIRECT($E126&amp;"[yr]")=(O$5-1))*(INDIRECT($E126&amp;"[wk]")=O$6)*(IF($G$2=0,1,(INDIRECT($E126&amp;"[siteflag]")=$G$2)))))-1,"N/A")</f>
        <v>3.3705519982439185</v>
      </c>
      <c r="P127" s="50">
        <f t="array" aca="1" ref="P127" ca="1">IF(SUM(INDIRECT($E126&amp;"["&amp;$F126&amp;"]")*(INDIRECT($E126&amp;"[yr]")=(P$5-1))*(INDIRECT($E126&amp;"[wk]")=P$6)*(IF($G$2=0,1,(INDIRECT($E126&amp;"[siteflag]")=$G$2))))&lt;&gt;0,P126/(SUM(INDIRECT($E123&amp;"["&amp;$F123&amp;"]")*(INDIRECT($E123&amp;"[yr]")=(P$5-1))*(INDIRECT($E123&amp;"[wk]")=P$6)*(IF($G$2=0,1,(INDIRECT($E123&amp;"[siteflag]")=$G$2))))/
           SUM(INDIRECT($E126&amp;"["&amp;$F126&amp;"]")*(INDIRECT($E126&amp;"[yr]")=(P$5-1))*(INDIRECT($E126&amp;"[wk]")=P$6)*(IF($G$2=0,1,(INDIRECT($E126&amp;"[siteflag]")=$G$2)))))-1,"N/A")</f>
        <v>0.17298367233080292</v>
      </c>
      <c r="Q127" s="51">
        <f t="array" aca="1" ref="Q127" ca="1">IF(Q126="N/A","N/A",Q126/(SUM(INDIRECT($E123&amp;"["&amp;$F123&amp;"]")*(INDIRECT($E123&amp;"[yr]")=(Q$5-1))*(INDIRECT($E123&amp;"[wk]")=Q$6)*(IF($G$2=0,1,(INDIRECT($E123&amp;"[siteflag]")=$G$2))))/
           SUM(INDIRECT($E126&amp;"["&amp;$F126&amp;"]")*(INDIRECT($E126&amp;"[yr]")=(Q$5-1))*(INDIRECT($E126&amp;"[wk]")=Q$6)*(IF($G$2=0,1,(INDIRECT($E126&amp;"[siteflag]")=$G$2)))))-1)</f>
        <v>0.69410704381131971</v>
      </c>
      <c r="R127" s="50">
        <f t="array" aca="1" ref="R127" ca="1">IF(R126="N/A","N/A",R126/(SUM(INDIRECT($E123&amp;"["&amp;$F123&amp;"]")*(INDIRECT($E123&amp;"[yr]")=(R$5-1))*(INDIRECT($E123&amp;"[wk]")=R$6)*(IF($G$2=0,1,(INDIRECT($E123&amp;"[siteflag]")=$G$2))))/
           SUM(INDIRECT($E126&amp;"["&amp;$F126&amp;"]")*(INDIRECT($E126&amp;"[yr]")=(R$5-1))*(INDIRECT($E126&amp;"[wk]")=R$6)*(IF($G$2=0,1,(INDIRECT($E126&amp;"[siteflag]")=$G$2)))))-1)</f>
        <v>0.86998057934095896</v>
      </c>
      <c r="S127" s="50">
        <f t="array" aca="1" ref="S127" ca="1">IF(S126="N/A","N/A",S126/(SUM(INDIRECT($E123&amp;"["&amp;$F123&amp;"]")*(INDIRECT($E123&amp;"[yr]")=(S$5-1))*(INDIRECT($E123&amp;"[wk]")=S$6)*(IF($G$2=0,1,(INDIRECT($E123&amp;"[siteflag]")=$G$2))))/
           SUM(INDIRECT($E126&amp;"["&amp;$F126&amp;"]")*(INDIRECT($E126&amp;"[yr]")=(S$5-1))*(INDIRECT($E126&amp;"[wk]")=S$6)*(IF($G$2=0,1,(INDIRECT($E126&amp;"[siteflag]")=$G$2)))))-1)</f>
        <v>-0.34784825434781108</v>
      </c>
      <c r="T127" s="52">
        <f t="array" aca="1" ref="T127" ca="1">IF(T126="N/A","N/A",T126/(SUM(INDIRECT($E123&amp;"["&amp;$F123&amp;"]")*(INDIRECT($E123&amp;"[yr]")=(T$5-1))*(INDIRECT($E123&amp;"[wk]")=T$6)*(IF($G$2=0,1,(INDIRECT($E123&amp;"[siteflag]")=$G$2))))/
           SUM(INDIRECT($E126&amp;"["&amp;$F126&amp;"]")*(INDIRECT($E126&amp;"[yr]")=(T$5-1))*(INDIRECT($E126&amp;"[wk]")=T$6)*(IF($G$2=0,1,(INDIRECT($E126&amp;"[siteflag]")=$G$2)))))-1)</f>
        <v>-0.70349565568801786</v>
      </c>
      <c r="U127" s="53">
        <f t="array" aca="1" ref="U127" ca="1">SUMPRODUCT(Q127:T127,Q126:T126)/SUM(Q126:T126)</f>
        <v>0.51368043485972892</v>
      </c>
      <c r="V127" s="186"/>
      <c r="W127" s="80"/>
      <c r="X127" s="56"/>
    </row>
    <row r="128" spans="2:24" ht="3" customHeight="1" x14ac:dyDescent="0.4">
      <c r="B128" s="329"/>
      <c r="D128" s="61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61"/>
      <c r="Q128" s="57"/>
      <c r="R128" s="57"/>
      <c r="S128" s="57"/>
      <c r="T128" s="59"/>
      <c r="U128" s="60"/>
      <c r="V128" s="61"/>
      <c r="W128" s="62"/>
      <c r="X128" s="61"/>
    </row>
    <row r="129" spans="2:24" ht="14.15" customHeight="1" x14ac:dyDescent="0.4">
      <c r="B129" s="329"/>
      <c r="D129" s="201" t="s">
        <v>438</v>
      </c>
      <c r="E129" t="s">
        <v>156</v>
      </c>
      <c r="F129" s="63" t="s">
        <v>221</v>
      </c>
      <c r="G129" s="63"/>
      <c r="H129" s="63"/>
      <c r="I129" s="128">
        <f t="array" aca="1" ref="I129" ca="1">1000*(SUM(INDIRECT($E129&amp;"["&amp;$F129&amp;"]")*(INDIRECT($E129&amp;"[yr]")=I$5)*(INDIRECT($E129&amp;"[wk]")=I$6)*(IF($G$2=0,1,(INDIRECT($E129&amp;"[siteflag]")=$G$2)))/1000)+
              SUM(INDIRECT($E130&amp;"["&amp;$F130&amp;"]")*(INDIRECT($E130&amp;"[yr]")=I$5)*(INDIRECT($E130&amp;"[wk]")=I$6)*(IF($G$2=0,1,(INDIRECT($E130&amp;"[siteflag]")=$G$2)))/1000))/
              (SUM(INDIRECT($E116&amp;"["&amp;$F116&amp;"]")*(INDIRECT($E116&amp;"[yr]")=I$5)*(INDIRECT($E116&amp;"[wk]")=I$6)*(IF($G$2=0,1,(INDIRECT($E116&amp;"[siteflag]")=$G$2))))+
               SUM(INDIRECT($E126&amp;"["&amp;$F126&amp;"]")*(INDIRECT($E126&amp;"[yr]")=I$5)*(INDIRECT($E126&amp;"[wk]")=I$6)*(IF($G$2=0,1,(INDIRECT($E126&amp;"[siteflag]")=$G$2)))))</f>
        <v>24.831007751937982</v>
      </c>
      <c r="J129" s="128">
        <f t="array" aca="1" ref="J129" ca="1">1000*(SUM(INDIRECT($E129&amp;"["&amp;$F129&amp;"]")*(INDIRECT($E129&amp;"[yr]")=J$5)*(INDIRECT($E129&amp;"[wk]")=J$6)*(IF($G$2=0,1,(INDIRECT($E129&amp;"[siteflag]")=$G$2)))/1000)+
              SUM(INDIRECT($E130&amp;"["&amp;$F130&amp;"]")*(INDIRECT($E130&amp;"[yr]")=J$5)*(INDIRECT($E130&amp;"[wk]")=J$6)*(IF($G$2=0,1,(INDIRECT($E130&amp;"[siteflag]")=$G$2)))/1000))/
              (SUM(INDIRECT($E116&amp;"["&amp;$F116&amp;"]")*(INDIRECT($E116&amp;"[yr]")=J$5)*(INDIRECT($E116&amp;"[wk]")=J$6)*(IF($G$2=0,1,(INDIRECT($E116&amp;"[siteflag]")=$G$2))))+
               SUM(INDIRECT($E126&amp;"["&amp;$F126&amp;"]")*(INDIRECT($E126&amp;"[yr]")=J$5)*(INDIRECT($E126&amp;"[wk]")=J$6)*(IF($G$2=0,1,(INDIRECT($E126&amp;"[siteflag]")=$G$2)))))</f>
        <v>20.028025477707008</v>
      </c>
      <c r="K129" s="128">
        <f t="array" aca="1" ref="K129" ca="1">1000*(SUM(INDIRECT($E129&amp;"["&amp;$F129&amp;"]")*(INDIRECT($E129&amp;"[yr]")=K$5)*(INDIRECT($E129&amp;"[wk]")=K$6)*(IF($G$2=0,1,(INDIRECT($E129&amp;"[siteflag]")=$G$2)))/1000)+
              SUM(INDIRECT($E130&amp;"["&amp;$F130&amp;"]")*(INDIRECT($E130&amp;"[yr]")=K$5)*(INDIRECT($E130&amp;"[wk]")=K$6)*(IF($G$2=0,1,(INDIRECT($E130&amp;"[siteflag]")=$G$2)))/1000))/
              (SUM(INDIRECT($E116&amp;"["&amp;$F116&amp;"]")*(INDIRECT($E116&amp;"[yr]")=K$5)*(INDIRECT($E116&amp;"[wk]")=K$6)*(IF($G$2=0,1,(INDIRECT($E116&amp;"[siteflag]")=$G$2))))+
               SUM(INDIRECT($E126&amp;"["&amp;$F126&amp;"]")*(INDIRECT($E126&amp;"[yr]")=K$5)*(INDIRECT($E126&amp;"[wk]")=K$6)*(IF($G$2=0,1,(INDIRECT($E126&amp;"[siteflag]")=$G$2)))))</f>
        <v>21.543178334184979</v>
      </c>
      <c r="L129" s="128">
        <f t="array" aca="1" ref="L129" ca="1">1000*(SUM(INDIRECT($E129&amp;"["&amp;$F129&amp;"]")*(INDIRECT($E129&amp;"[yr]")=L$5)*(INDIRECT($E129&amp;"[wk]")=L$6)*(IF($G$2=0,1,(INDIRECT($E129&amp;"[siteflag]")=$G$2)))/1000)+
              SUM(INDIRECT($E130&amp;"["&amp;$F130&amp;"]")*(INDIRECT($E130&amp;"[yr]")=L$5)*(INDIRECT($E130&amp;"[wk]")=L$6)*(IF($G$2=0,1,(INDIRECT($E130&amp;"[siteflag]")=$G$2)))/1000))/
              (SUM(INDIRECT($E116&amp;"["&amp;$F116&amp;"]")*(INDIRECT($E116&amp;"[yr]")=L$5)*(INDIRECT($E116&amp;"[wk]")=L$6)*(IF($G$2=0,1,(INDIRECT($E116&amp;"[siteflag]")=$G$2))))+
               SUM(INDIRECT($E126&amp;"["&amp;$F126&amp;"]")*(INDIRECT($E126&amp;"[yr]")=L$5)*(INDIRECT($E126&amp;"[wk]")=L$6)*(IF($G$2=0,1,(INDIRECT($E126&amp;"[siteflag]")=$G$2)))))</f>
        <v>21.435913909412143</v>
      </c>
      <c r="M129" s="128">
        <f t="array" aca="1" ref="M129" ca="1">1000*(SUM(INDIRECT($E129&amp;"["&amp;$F129&amp;"]")*(INDIRECT($E129&amp;"[yr]")=M$5)*(INDIRECT($E129&amp;"[wk]")=M$6)*(IF($G$2=0,1,(INDIRECT($E129&amp;"[siteflag]")=$G$2)))/1000)+
              SUM(INDIRECT($E130&amp;"["&amp;$F130&amp;"]")*(INDIRECT($E130&amp;"[yr]")=M$5)*(INDIRECT($E130&amp;"[wk]")=M$6)*(IF($G$2=0,1,(INDIRECT($E130&amp;"[siteflag]")=$G$2)))/1000))/
              (SUM(INDIRECT($E116&amp;"["&amp;$F116&amp;"]")*(INDIRECT($E116&amp;"[yr]")=M$5)*(INDIRECT($E116&amp;"[wk]")=M$6)*(IF($G$2=0,1,(INDIRECT($E116&amp;"[siteflag]")=$G$2))))+
               SUM(INDIRECT($E126&amp;"["&amp;$F126&amp;"]")*(INDIRECT($E126&amp;"[yr]")=M$5)*(INDIRECT($E126&amp;"[wk]")=M$6)*(IF($G$2=0,1,(INDIRECT($E126&amp;"[siteflag]")=$G$2)))))</f>
        <v>29.268537074148298</v>
      </c>
      <c r="N129" s="128">
        <f t="array" aca="1" ref="N129" ca="1">1000*(SUM(INDIRECT($E129&amp;"["&amp;$F129&amp;"]")*(INDIRECT($E129&amp;"[yr]")=N$5)*(INDIRECT($E129&amp;"[wk]")=N$6)*(IF($G$2=0,1,(INDIRECT($E129&amp;"[siteflag]")=$G$2)))/1000)+
              SUM(INDIRECT($E130&amp;"["&amp;$F130&amp;"]")*(INDIRECT($E130&amp;"[yr]")=N$5)*(INDIRECT($E130&amp;"[wk]")=N$6)*(IF($G$2=0,1,(INDIRECT($E130&amp;"[siteflag]")=$G$2)))/1000))/
              (SUM(INDIRECT($E116&amp;"["&amp;$F116&amp;"]")*(INDIRECT($E116&amp;"[yr]")=N$5)*(INDIRECT($E116&amp;"[wk]")=N$6)*(IF($G$2=0,1,(INDIRECT($E116&amp;"[siteflag]")=$G$2))))+
               SUM(INDIRECT($E126&amp;"["&amp;$F126&amp;"]")*(INDIRECT($E126&amp;"[yr]")=N$5)*(INDIRECT($E126&amp;"[wk]")=N$6)*(IF($G$2=0,1,(INDIRECT($E126&amp;"[siteflag]")=$G$2)))))</f>
        <v>22.976841009627893</v>
      </c>
      <c r="O129" s="128">
        <f t="array" aca="1" ref="O129" ca="1">1000*(SUM(INDIRECT($E129&amp;"["&amp;$F129&amp;"]")*(INDIRECT($E129&amp;"[yr]")=O$5)*(INDIRECT($E129&amp;"[wk]")=O$6)*(IF($G$2=0,1,(INDIRECT($E129&amp;"[siteflag]")=$G$2)))/1000)+
              SUM(INDIRECT($E130&amp;"["&amp;$F130&amp;"]")*(INDIRECT($E130&amp;"[yr]")=O$5)*(INDIRECT($E130&amp;"[wk]")=O$6)*(IF($G$2=0,1,(INDIRECT($E130&amp;"[siteflag]")=$G$2)))/1000))/
              (SUM(INDIRECT($E116&amp;"["&amp;$F116&amp;"]")*(INDIRECT($E116&amp;"[yr]")=O$5)*(INDIRECT($E116&amp;"[wk]")=O$6)*(IF($G$2=0,1,(INDIRECT($E116&amp;"[siteflag]")=$G$2))))+
               SUM(INDIRECT($E126&amp;"["&amp;$F126&amp;"]")*(INDIRECT($E126&amp;"[yr]")=O$5)*(INDIRECT($E126&amp;"[wk]")=O$6)*(IF($G$2=0,1,(INDIRECT($E126&amp;"[siteflag]")=$G$2)))))</f>
        <v>25.025991792065664</v>
      </c>
      <c r="P129" s="154">
        <f t="array" aca="1" ref="P129" ca="1">1000*(SUM(INDIRECT($E129&amp;"["&amp;$F129&amp;"]")*(INDIRECT($E129&amp;"[yr]")=P$5)*(INDIRECT($E129&amp;"[wk]")=P$6)*(IF($G$2=0,1,(INDIRECT($E129&amp;"[siteflag]")=$G$2)))/1000)+
              SUM(INDIRECT($E130&amp;"["&amp;$F130&amp;"]")*(INDIRECT($E130&amp;"[yr]")=P$5)*(INDIRECT($E130&amp;"[wk]")=P$6)*(IF($G$2=0,1,(INDIRECT($E130&amp;"[siteflag]")=$G$2)))/1000))/
              (SUM(INDIRECT($E116&amp;"["&amp;$F116&amp;"]")*(INDIRECT($E116&amp;"[yr]")=P$5)*(INDIRECT($E116&amp;"[wk]")=P$6)*(IF($G$2=0,1,(INDIRECT($E116&amp;"[siteflag]")=$G$2))))+
               SUM(INDIRECT($E126&amp;"["&amp;$F126&amp;"]")*(INDIRECT($E126&amp;"[yr]")=P$5)*(INDIRECT($E126&amp;"[wk]")=P$6)*(IF($G$2=0,1,(INDIRECT($E126&amp;"[siteflag]")=$G$2)))))</f>
        <v>23.428035379254894</v>
      </c>
      <c r="Q129" s="128">
        <f t="array" aca="1" ref="Q129" ca="1">1000*(SUM(INDIRECT($E129&amp;"["&amp;$F129&amp;"]")*(INDIRECT($E129&amp;"[yr]")=Q$5)*(INDIRECT($E129&amp;"[wk]")=Q$6)*(IF($G$2=0,1,(INDIRECT($E129&amp;"[siteflag]")=$G$2)))/1000)+
              SUM(INDIRECT($E130&amp;"["&amp;$F130&amp;"]")*(INDIRECT($E130&amp;"[yr]")=Q$5)*(INDIRECT($E130&amp;"[wk]")=Q$6)*(IF($G$2=0,1,(INDIRECT($E130&amp;"[siteflag]")=$G$2)))/1000))/
              (SUM(INDIRECT($E116&amp;"["&amp;$F116&amp;"]")*(INDIRECT($E116&amp;"[yr]")=Q$5)*(INDIRECT($E116&amp;"[wk]")=Q$6)*(IF($G$2=0,1,(INDIRECT($E116&amp;"[siteflag]")=$G$2))))+
               SUM(INDIRECT($E126&amp;"["&amp;$F126&amp;"]")*(INDIRECT($E126&amp;"[yr]")=Q$5)*(INDIRECT($E126&amp;"[wk]")=Q$6)*(IF($G$2=0,1,(INDIRECT($E126&amp;"[siteflag]")=$G$2)))))</f>
        <v>26.526627218934912</v>
      </c>
      <c r="R129" s="128">
        <f t="array" aca="1" ref="R129" ca="1">1000*(SUM(INDIRECT($E129&amp;"["&amp;$F129&amp;"]")*(INDIRECT($E129&amp;"[yr]")=R$5)*(INDIRECT($E129&amp;"[wk]")=R$6)*(IF($G$2=0,1,(INDIRECT($E129&amp;"[siteflag]")=$G$2)))/1000)+
              SUM(INDIRECT($E130&amp;"["&amp;$F130&amp;"]")*(INDIRECT($E130&amp;"[yr]")=R$5)*(INDIRECT($E130&amp;"[wk]")=R$6)*(IF($G$2=0,1,(INDIRECT($E130&amp;"[siteflag]")=$G$2)))/1000))/
              (SUM(INDIRECT($E116&amp;"["&amp;$F116&amp;"]")*(INDIRECT($E116&amp;"[yr]")=R$5)*(INDIRECT($E116&amp;"[wk]")=R$6)*(IF($G$2=0,1,(INDIRECT($E116&amp;"[siteflag]")=$G$2))))+
               SUM(INDIRECT($E126&amp;"["&amp;$F126&amp;"]")*(INDIRECT($E126&amp;"[yr]")=R$5)*(INDIRECT($E126&amp;"[wk]")=R$6)*(IF($G$2=0,1,(INDIRECT($E126&amp;"[siteflag]")=$G$2)))))</f>
        <v>23.785803237858033</v>
      </c>
      <c r="S129" s="128">
        <f t="array" aca="1" ref="S129" ca="1">1000*(SUM(INDIRECT($E129&amp;"["&amp;$F129&amp;"]")*(INDIRECT($E129&amp;"[yr]")=S$5)*(INDIRECT($E129&amp;"[wk]")=S$6)*(IF($G$2=0,1,(INDIRECT($E129&amp;"[siteflag]")=$G$2)))/1000)+
              SUM(INDIRECT($E130&amp;"["&amp;$F130&amp;"]")*(INDIRECT($E130&amp;"[yr]")=S$5)*(INDIRECT($E130&amp;"[wk]")=S$6)*(IF($G$2=0,1,(INDIRECT($E130&amp;"[siteflag]")=$G$2)))/1000))/
              (SUM(INDIRECT($E116&amp;"["&amp;$F116&amp;"]")*(INDIRECT($E116&amp;"[yr]")=S$5)*(INDIRECT($E116&amp;"[wk]")=S$6)*(IF($G$2=0,1,(INDIRECT($E116&amp;"[siteflag]")=$G$2))))+
               SUM(INDIRECT($E126&amp;"["&amp;$F126&amp;"]")*(INDIRECT($E126&amp;"[yr]")=S$5)*(INDIRECT($E126&amp;"[wk]")=S$6)*(IF($G$2=0,1,(INDIRECT($E126&amp;"[siteflag]")=$G$2)))))</f>
        <v>3.715686274509804</v>
      </c>
      <c r="T129" s="129">
        <f t="array" aca="1" ref="T129" ca="1">1000*(SUM(INDIRECT($E129&amp;"["&amp;$F129&amp;"]")*(INDIRECT($E129&amp;"[yr]")=T$5)*(INDIRECT($E129&amp;"[wk]")=T$6)*(IF($G$2=0,1,(INDIRECT($E129&amp;"[siteflag]")=$G$2)))/1000)+
              SUM(INDIRECT($E130&amp;"["&amp;$F130&amp;"]")*(INDIRECT($E130&amp;"[yr]")=T$5)*(INDIRECT($E130&amp;"[wk]")=T$6)*(IF($G$2=0,1,(INDIRECT($E130&amp;"[siteflag]")=$G$2)))/1000))/
              (SUM(INDIRECT($E116&amp;"["&amp;$F116&amp;"]")*(INDIRECT($E116&amp;"[yr]")=T$5)*(INDIRECT($E116&amp;"[wk]")=T$6)*(IF($G$2=0,1,(INDIRECT($E116&amp;"[siteflag]")=$G$2))))+
               SUM(INDIRECT($E126&amp;"["&amp;$F126&amp;"]")*(INDIRECT($E126&amp;"[yr]")=T$5)*(INDIRECT($E126&amp;"[wk]")=T$6)*(IF($G$2=0,1,(INDIRECT($E126&amp;"[siteflag]")=$G$2)))))</f>
        <v>2.9951135383730958</v>
      </c>
      <c r="U129" s="130">
        <f ca="1">AVERAGE(Q129:T129)</f>
        <v>14.255807567418962</v>
      </c>
      <c r="V129" s="47">
        <f t="array" aca="1" ref="V129" ca="1">SUM(T129/S129)-1</f>
        <v>-0.19392722713969457</v>
      </c>
      <c r="W129" s="131">
        <v>40</v>
      </c>
      <c r="X129" s="49"/>
    </row>
    <row r="130" spans="2:24" ht="14.15" customHeight="1" x14ac:dyDescent="0.4">
      <c r="B130" s="329"/>
      <c r="D130" s="204" t="s">
        <v>67</v>
      </c>
      <c r="E130" t="s">
        <v>157</v>
      </c>
      <c r="F130" t="s">
        <v>226</v>
      </c>
      <c r="I130" s="50">
        <f t="array" aca="1" ref="I130" ca="1">I129/(1000*(SUM(INDIRECT($E129&amp;"["&amp;$F129&amp;"]")*(INDIRECT($E129&amp;"[yr]")=I$5-1)*(INDIRECT($E129&amp;"[wk]")=I$6)*(IF($G$2=0,1,(INDIRECT($E129&amp;"[siteflag]")=$G$2)))/1000)+
                       SUM(INDIRECT($E130&amp;"["&amp;$F130&amp;"]")*(INDIRECT($E130&amp;"[yr]")=I$5-1)*(INDIRECT($E130&amp;"[wk]")=I$6)*(IF($G$2=0,1,(INDIRECT($E130&amp;"[siteflag]")=$G$2)))/1000))/
                       (SUM(INDIRECT($E116&amp;"["&amp;$F116&amp;"]")*(INDIRECT($E116&amp;"[yr]")=I$5-1)*(INDIRECT($E116&amp;"[wk]")=I$6)*(IF($G$2=0,1,(INDIRECT($E116&amp;"[siteflag]")=$G$2))))+
                        SUM(INDIRECT($E126&amp;"["&amp;$F126&amp;"]")*(INDIRECT($E126&amp;"[yr]")=I$5-1)*(INDIRECT($E126&amp;"[wk]")=I$6)*(IF($G$2=0,1,(INDIRECT($E126&amp;"[siteflag]")=$G$2))))))-1</f>
        <v>-0.25595469287849415</v>
      </c>
      <c r="J130" s="50">
        <f t="array" aca="1" ref="J130" ca="1">J129/(1000*(SUM(INDIRECT($E129&amp;"["&amp;$F129&amp;"]")*(INDIRECT($E129&amp;"[yr]")=J$5-1)*(INDIRECT($E129&amp;"[wk]")=J$6)*(IF($G$2=0,1,(INDIRECT($E129&amp;"[siteflag]")=$G$2)))/1000)+
                       SUM(INDIRECT($E130&amp;"["&amp;$F130&amp;"]")*(INDIRECT($E130&amp;"[yr]")=J$5-1)*(INDIRECT($E130&amp;"[wk]")=J$6)*(IF($G$2=0,1,(INDIRECT($E130&amp;"[siteflag]")=$G$2)))/1000))/
                       (SUM(INDIRECT($E116&amp;"["&amp;$F116&amp;"]")*(INDIRECT($E116&amp;"[yr]")=J$5-1)*(INDIRECT($E116&amp;"[wk]")=J$6)*(IF($G$2=0,1,(INDIRECT($E116&amp;"[siteflag]")=$G$2))))+
                        SUM(INDIRECT($E126&amp;"["&amp;$F126&amp;"]")*(INDIRECT($E126&amp;"[yr]")=J$5-1)*(INDIRECT($E126&amp;"[wk]")=J$6)*(IF($G$2=0,1,(INDIRECT($E126&amp;"[siteflag]")=$G$2))))))-1</f>
        <v>-0.42982123258799965</v>
      </c>
      <c r="K130" s="50">
        <f t="array" aca="1" ref="K130" ca="1">K129/(1000*(SUM(INDIRECT($E129&amp;"["&amp;$F129&amp;"]")*(INDIRECT($E129&amp;"[yr]")=K$5-1)*(INDIRECT($E129&amp;"[wk]")=K$6)*(IF($G$2=0,1,(INDIRECT($E129&amp;"[siteflag]")=$G$2)))/1000)+
                       SUM(INDIRECT($E130&amp;"["&amp;$F130&amp;"]")*(INDIRECT($E130&amp;"[yr]")=K$5-1)*(INDIRECT($E130&amp;"[wk]")=K$6)*(IF($G$2=0,1,(INDIRECT($E130&amp;"[siteflag]")=$G$2)))/1000))/
                       (SUM(INDIRECT($E116&amp;"["&amp;$F116&amp;"]")*(INDIRECT($E116&amp;"[yr]")=K$5-1)*(INDIRECT($E116&amp;"[wk]")=K$6)*(IF($G$2=0,1,(INDIRECT($E116&amp;"[siteflag]")=$G$2))))+
                        SUM(INDIRECT($E126&amp;"["&amp;$F126&amp;"]")*(INDIRECT($E126&amp;"[yr]")=K$5-1)*(INDIRECT($E126&amp;"[wk]")=K$6)*(IF($G$2=0,1,(INDIRECT($E126&amp;"[siteflag]")=$G$2))))))-1</f>
        <v>-0.35621291135876709</v>
      </c>
      <c r="L130" s="50">
        <f t="array" aca="1" ref="L130" ca="1">L129/(1000*(SUM(INDIRECT($E129&amp;"["&amp;$F129&amp;"]")*(INDIRECT($E129&amp;"[yr]")=L$5-1)*(INDIRECT($E129&amp;"[wk]")=L$6)*(IF($G$2=0,1,(INDIRECT($E129&amp;"[siteflag]")=$G$2)))/1000)+
                       SUM(INDIRECT($E130&amp;"["&amp;$F130&amp;"]")*(INDIRECT($E130&amp;"[yr]")=L$5-1)*(INDIRECT($E130&amp;"[wk]")=L$6)*(IF($G$2=0,1,(INDIRECT($E130&amp;"[siteflag]")=$G$2)))/1000))/
                       (SUM(INDIRECT($E116&amp;"["&amp;$F116&amp;"]")*(INDIRECT($E116&amp;"[yr]")=L$5-1)*(INDIRECT($E116&amp;"[wk]")=L$6)*(IF($G$2=0,1,(INDIRECT($E116&amp;"[siteflag]")=$G$2))))+
                        SUM(INDIRECT($E126&amp;"["&amp;$F126&amp;"]")*(INDIRECT($E126&amp;"[yr]")=L$5-1)*(INDIRECT($E126&amp;"[wk]")=L$6)*(IF($G$2=0,1,(INDIRECT($E126&amp;"[siteflag]")=$G$2))))))-1</f>
        <v>-0.207443211144277</v>
      </c>
      <c r="M130" s="50">
        <f t="array" aca="1" ref="M130" ca="1">M129/(1000*(SUM(INDIRECT($E129&amp;"["&amp;$F129&amp;"]")*(INDIRECT($E129&amp;"[yr]")=M$5-1)*(INDIRECT($E129&amp;"[wk]")=M$6)*(IF($G$2=0,1,(INDIRECT($E129&amp;"[siteflag]")=$G$2)))/1000)+
                       SUM(INDIRECT($E130&amp;"["&amp;$F130&amp;"]")*(INDIRECT($E130&amp;"[yr]")=M$5-1)*(INDIRECT($E130&amp;"[wk]")=M$6)*(IF($G$2=0,1,(INDIRECT($E130&amp;"[siteflag]")=$G$2)))/1000))/
                       (SUM(INDIRECT($E116&amp;"["&amp;$F116&amp;"]")*(INDIRECT($E116&amp;"[yr]")=M$5-1)*(INDIRECT($E116&amp;"[wk]")=M$6)*(IF($G$2=0,1,(INDIRECT($E116&amp;"[siteflag]")=$G$2))))+
                        SUM(INDIRECT($E126&amp;"["&amp;$F126&amp;"]")*(INDIRECT($E126&amp;"[yr]")=M$5-1)*(INDIRECT($E126&amp;"[wk]")=M$6)*(IF($G$2=0,1,(INDIRECT($E126&amp;"[siteflag]")=$G$2))))))-1</f>
        <v>0.3485398588949522</v>
      </c>
      <c r="N130" s="50">
        <f t="array" aca="1" ref="N130" ca="1">N129/(1000*(SUM(INDIRECT($E129&amp;"["&amp;$F129&amp;"]")*(INDIRECT($E129&amp;"[yr]")=N$5-1)*(INDIRECT($E129&amp;"[wk]")=N$6)*(IF($G$2=0,1,(INDIRECT($E129&amp;"[siteflag]")=$G$2)))/1000)+
                       SUM(INDIRECT($E130&amp;"["&amp;$F130&amp;"]")*(INDIRECT($E130&amp;"[yr]")=N$5-1)*(INDIRECT($E130&amp;"[wk]")=N$6)*(IF($G$2=0,1,(INDIRECT($E130&amp;"[siteflag]")=$G$2)))/1000))/
                       (SUM(INDIRECT($E116&amp;"["&amp;$F116&amp;"]")*(INDIRECT($E116&amp;"[yr]")=N$5-1)*(INDIRECT($E116&amp;"[wk]")=N$6)*(IF($G$2=0,1,(INDIRECT($E116&amp;"[siteflag]")=$G$2))))+
                        SUM(INDIRECT($E126&amp;"["&amp;$F126&amp;"]")*(INDIRECT($E126&amp;"[yr]")=N$5-1)*(INDIRECT($E126&amp;"[wk]")=N$6)*(IF($G$2=0,1,(INDIRECT($E126&amp;"[siteflag]")=$G$2))))))-1</f>
        <v>-0.16825484449000883</v>
      </c>
      <c r="O130" s="50">
        <f t="array" aca="1" ref="O130" ca="1">O129/(1000*(SUM(INDIRECT($E129&amp;"["&amp;$F129&amp;"]")*(INDIRECT($E129&amp;"[yr]")=O$5-1)*(INDIRECT($E129&amp;"[wk]")=O$6)*(IF($G$2=0,1,(INDIRECT($E129&amp;"[siteflag]")=$G$2)))/1000)+
                       SUM(INDIRECT($E130&amp;"["&amp;$F130&amp;"]")*(INDIRECT($E130&amp;"[yr]")=O$5-1)*(INDIRECT($E130&amp;"[wk]")=O$6)*(IF($G$2=0,1,(INDIRECT($E130&amp;"[siteflag]")=$G$2)))/1000))/
                       (SUM(INDIRECT($E116&amp;"["&amp;$F116&amp;"]")*(INDIRECT($E116&amp;"[yr]")=O$5-1)*(INDIRECT($E116&amp;"[wk]")=O$6)*(IF($G$2=0,1,(INDIRECT($E116&amp;"[siteflag]")=$G$2))))+
                        SUM(INDIRECT($E126&amp;"["&amp;$F126&amp;"]")*(INDIRECT($E126&amp;"[yr]")=O$5-1)*(INDIRECT($E126&amp;"[wk]")=O$6)*(IF($G$2=0,1,(INDIRECT($E126&amp;"[siteflag]")=$G$2))))))-1</f>
        <v>-8.7184592575615394E-2</v>
      </c>
      <c r="P130" s="54">
        <f t="array" aca="1" ref="P130" ca="1">P129/(1000*(SUM(INDIRECT($E129&amp;"["&amp;$F129&amp;"]")*(INDIRECT($E129&amp;"[yr]")=P$5-1)*(INDIRECT($E129&amp;"[wk]")=P$6)*(IF($G$2=0,1,(INDIRECT($E129&amp;"[siteflag]")=$G$2)))/1000)+
                       SUM(INDIRECT($E130&amp;"["&amp;$F130&amp;"]")*(INDIRECT($E130&amp;"[yr]")=P$5-1)*(INDIRECT($E130&amp;"[wk]")=P$6)*(IF($G$2=0,1,(INDIRECT($E130&amp;"[siteflag]")=$G$2)))/1000))/
                       (SUM(INDIRECT($E116&amp;"["&amp;$F116&amp;"]")*(INDIRECT($E116&amp;"[yr]")=P$5-1)*(INDIRECT($E116&amp;"[wk]")=P$6)*(IF($G$2=0,1,(INDIRECT($E116&amp;"[siteflag]")=$G$2))))+
                        SUM(INDIRECT($E126&amp;"["&amp;$F126&amp;"]")*(INDIRECT($E126&amp;"[yr]")=P$5-1)*(INDIRECT($E126&amp;"[wk]")=P$6)*(IF($G$2=0,1,(INDIRECT($E126&amp;"[siteflag]")=$G$2))))))-1</f>
        <v>-8.7123014261345944E-2</v>
      </c>
      <c r="Q130" s="50">
        <f t="array" aca="1" ref="Q130" ca="1">Q129/(1000*(SUM(INDIRECT($E129&amp;"["&amp;$F129&amp;"]")*(INDIRECT($E129&amp;"[yr]")=Q$5-1)*(INDIRECT($E129&amp;"[wk]")=Q$6)*(IF($G$2=0,1,(INDIRECT($E129&amp;"[siteflag]")=$G$2)))/1000)+
                       SUM(INDIRECT($E130&amp;"["&amp;$F130&amp;"]")*(INDIRECT($E130&amp;"[yr]")=Q$5-1)*(INDIRECT($E130&amp;"[wk]")=Q$6)*(IF($G$2=0,1,(INDIRECT($E130&amp;"[siteflag]")=$G$2)))/1000))/
                       (SUM(INDIRECT($E116&amp;"["&amp;$F116&amp;"]")*(INDIRECT($E116&amp;"[yr]")=Q$5-1)*(INDIRECT($E116&amp;"[wk]")=Q$6)*(IF($G$2=0,1,(INDIRECT($E116&amp;"[siteflag]")=$G$2))))+
                        SUM(INDIRECT($E126&amp;"["&amp;$F126&amp;"]")*(INDIRECT($E126&amp;"[yr]")=Q$5-1)*(INDIRECT($E126&amp;"[wk]")=Q$6)*(IF($G$2=0,1,(INDIRECT($E126&amp;"[siteflag]")=$G$2))))))-1</f>
        <v>-3.0478228174604105E-3</v>
      </c>
      <c r="R130" s="50">
        <f t="array" aca="1" ref="R130" ca="1">R129/(1000*(SUM(INDIRECT($E129&amp;"["&amp;$F129&amp;"]")*(INDIRECT($E129&amp;"[yr]")=R$5-1)*(INDIRECT($E129&amp;"[wk]")=R$6)*(IF($G$2=0,1,(INDIRECT($E129&amp;"[siteflag]")=$G$2)))/1000)+
                       SUM(INDIRECT($E130&amp;"["&amp;$F130&amp;"]")*(INDIRECT($E130&amp;"[yr]")=R$5-1)*(INDIRECT($E130&amp;"[wk]")=R$6)*(IF($G$2=0,1,(INDIRECT($E130&amp;"[siteflag]")=$G$2)))/1000))/
                       (SUM(INDIRECT($E116&amp;"["&amp;$F116&amp;"]")*(INDIRECT($E116&amp;"[yr]")=R$5-1)*(INDIRECT($E116&amp;"[wk]")=R$6)*(IF($G$2=0,1,(INDIRECT($E116&amp;"[siteflag]")=$G$2))))+
                        SUM(INDIRECT($E126&amp;"["&amp;$F126&amp;"]")*(INDIRECT($E126&amp;"[yr]")=R$5-1)*(INDIRECT($E126&amp;"[wk]")=R$6)*(IF($G$2=0,1,(INDIRECT($E126&amp;"[siteflag]")=$G$2))))))-1</f>
        <v>-0.1779364388705863</v>
      </c>
      <c r="S130" s="50">
        <f t="array" aca="1" ref="S130" ca="1">S129/(1000*(SUM(INDIRECT($E129&amp;"["&amp;$F129&amp;"]")*(INDIRECT($E129&amp;"[yr]")=S$5-1)*(INDIRECT($E129&amp;"[wk]")=S$6)*(IF($G$2=0,1,(INDIRECT($E129&amp;"[siteflag]")=$G$2)))/1000)+
                       SUM(INDIRECT($E130&amp;"["&amp;$F130&amp;"]")*(INDIRECT($E130&amp;"[yr]")=S$5-1)*(INDIRECT($E130&amp;"[wk]")=S$6)*(IF($G$2=0,1,(INDIRECT($E130&amp;"[siteflag]")=$G$2)))/1000))/
                       (SUM(INDIRECT($E116&amp;"["&amp;$F116&amp;"]")*(INDIRECT($E116&amp;"[yr]")=S$5-1)*(INDIRECT($E116&amp;"[wk]")=S$6)*(IF($G$2=0,1,(INDIRECT($E116&amp;"[siteflag]")=$G$2))))+
                        SUM(INDIRECT($E126&amp;"["&amp;$F126&amp;"]")*(INDIRECT($E126&amp;"[yr]")=S$5-1)*(INDIRECT($E126&amp;"[wk]")=S$6)*(IF($G$2=0,1,(INDIRECT($E126&amp;"[siteflag]")=$G$2))))))-1</f>
        <v>-0.86662823077485429</v>
      </c>
      <c r="T130" s="52">
        <f t="array" aca="1" ref="T130" ca="1">T129/(1000*(SUM(INDIRECT($E129&amp;"["&amp;$F129&amp;"]")*(INDIRECT($E129&amp;"[yr]")=T$5-1)*(INDIRECT($E129&amp;"[wk]")=T$6)*(IF($G$2=0,1,(INDIRECT($E129&amp;"[siteflag]")=$G$2)))/1000)+
                       SUM(INDIRECT($E130&amp;"["&amp;$F130&amp;"]")*(INDIRECT($E130&amp;"[yr]")=T$5-1)*(INDIRECT($E130&amp;"[wk]")=T$6)*(IF($G$2=0,1,(INDIRECT($E130&amp;"[siteflag]")=$G$2)))/1000))/
                       (SUM(INDIRECT($E116&amp;"["&amp;$F116&amp;"]")*(INDIRECT($E116&amp;"[yr]")=T$5-1)*(INDIRECT($E116&amp;"[wk]")=T$6)*(IF($G$2=0,1,(INDIRECT($E116&amp;"[siteflag]")=$G$2))))+
                        SUM(INDIRECT($E126&amp;"["&amp;$F126&amp;"]")*(INDIRECT($E126&amp;"[yr]")=T$5-1)*(INDIRECT($E126&amp;"[wk]")=T$6)*(IF($G$2=0,1,(INDIRECT($E126&amp;"[siteflag]")=$G$2))))))-1</f>
        <v>-0.89240919361931914</v>
      </c>
      <c r="U130" s="53">
        <f ca="1">SUMPRODUCT(Q130:T130,Q129:T129)/SUM(Q129:T129)</f>
        <v>-0.17898310942807547</v>
      </c>
      <c r="V130" s="186"/>
      <c r="W130" s="80"/>
      <c r="X130" s="56"/>
    </row>
    <row r="131" spans="2:24" ht="3" customHeight="1" x14ac:dyDescent="0.4">
      <c r="B131" s="329"/>
      <c r="D131" s="61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61"/>
      <c r="Q131" s="57"/>
      <c r="R131" s="57"/>
      <c r="S131" s="57"/>
      <c r="T131" s="59"/>
      <c r="U131" s="57"/>
      <c r="V131" s="114"/>
      <c r="W131" s="114"/>
      <c r="X131" s="61"/>
    </row>
    <row r="132" spans="2:24" ht="14.15" customHeight="1" x14ac:dyDescent="0.4">
      <c r="B132" s="329"/>
      <c r="D132" s="201" t="s">
        <v>158</v>
      </c>
      <c r="E132" t="s">
        <v>195</v>
      </c>
      <c r="F132" s="63" t="s">
        <v>159</v>
      </c>
      <c r="G132" s="63"/>
      <c r="H132" s="63"/>
      <c r="I132" s="165">
        <f t="array" aca="1" ref="I132" ca="1">SUM(INDIRECT($E132&amp;"["&amp;$F132&amp;"]")*(INDIRECT($E132&amp;"[yr]")=I$5)*(INDIRECT($E132&amp;"[wk]")=I$6)*(IF($G$2=0,1,(INDIRECT($E132&amp;"[siteflag]")=$G$2))))/1000</f>
        <v>2.5000000000000001E-2</v>
      </c>
      <c r="J132" s="165">
        <f t="array" aca="1" ref="J132" ca="1">SUM(INDIRECT($E132&amp;"["&amp;$F132&amp;"]")*(INDIRECT($E132&amp;"[yr]")=J$5)*(INDIRECT($E132&amp;"[wk]")=J$6)*(IF($G$2=0,1,(INDIRECT($E132&amp;"[siteflag]")=$G$2))))/1000</f>
        <v>4.0000000000000001E-3</v>
      </c>
      <c r="K132" s="165">
        <f t="array" aca="1" ref="K132" ca="1">SUM(INDIRECT($E132&amp;"["&amp;$F132&amp;"]")*(INDIRECT($E132&amp;"[yr]")=K$5)*(INDIRECT($E132&amp;"[wk]")=K$6)*(IF($G$2=0,1,(INDIRECT($E132&amp;"[siteflag]")=$G$2))))/1000</f>
        <v>1E-3</v>
      </c>
      <c r="L132" s="165">
        <f t="array" aca="1" ref="L132" ca="1">SUM(INDIRECT($E132&amp;"["&amp;$F132&amp;"]")*(INDIRECT($E132&amp;"[yr]")=L$5)*(INDIRECT($E132&amp;"[wk]")=L$6)*(IF($G$2=0,1,(INDIRECT($E132&amp;"[siteflag]")=$G$2))))/1000</f>
        <v>1E-3</v>
      </c>
      <c r="M132" s="165">
        <f t="array" aca="1" ref="M132" ca="1">SUM(INDIRECT($E132&amp;"["&amp;$F132&amp;"]")*(INDIRECT($E132&amp;"[yr]")=M$5)*(INDIRECT($E132&amp;"[wk]")=M$6)*(IF($G$2=0,1,(INDIRECT($E132&amp;"[siteflag]")=$G$2))))/1000</f>
        <v>0.14699999999999999</v>
      </c>
      <c r="N132" s="165">
        <f t="array" aca="1" ref="N132" ca="1">SUM(INDIRECT($E132&amp;"["&amp;$F132&amp;"]")*(INDIRECT($E132&amp;"[yr]")=N$5)*(INDIRECT($E132&amp;"[wk]")=N$6)*(IF($G$2=0,1,(INDIRECT($E132&amp;"[siteflag]")=$G$2))))/1000</f>
        <v>7.0000000000000001E-3</v>
      </c>
      <c r="O132" s="165">
        <f t="array" aca="1" ref="O132" ca="1">SUM(INDIRECT($E132&amp;"["&amp;$F132&amp;"]")*(INDIRECT($E132&amp;"[yr]")=O$5)*(INDIRECT($E132&amp;"[wk]")=O$6)*(IF($G$2=0,1,(INDIRECT($E132&amp;"[siteflag]")=$G$2))))/1000</f>
        <v>4.0000000000000001E-3</v>
      </c>
      <c r="P132" s="198">
        <f t="array" aca="1" ref="P132" ca="1">SUM(INDIRECT($E132&amp;"["&amp;$F132&amp;"]")*(INDIRECT($E132&amp;"[yr]")=P$5)*(INDIRECT($E132&amp;"[wk]")=P$6)*(IF($G$2=0,1,(INDIRECT($E132&amp;"[siteflag]")=$G$2))))/1000</f>
        <v>1.9E-2</v>
      </c>
      <c r="Q132" s="165">
        <f t="array" aca="1" ref="Q132" ca="1">SUM(INDIRECT($E132&amp;"["&amp;$F132&amp;"]")*(INDIRECT($E132&amp;"[yr]")=Q$5)*(INDIRECT($E132&amp;"[wk]")=Q$6)*(IF($G$2=0,1,(INDIRECT($E132&amp;"[siteflag]")=$G$2))))/1000</f>
        <v>1.2E-2</v>
      </c>
      <c r="R132" s="165">
        <f t="array" aca="1" ref="R132" ca="1">SUM(INDIRECT($E132&amp;"["&amp;$F132&amp;"]")*(INDIRECT($E132&amp;"[yr]")=R$5)*(INDIRECT($E132&amp;"[wk]")=R$6)*(IF($G$2=0,1,(INDIRECT($E132&amp;"[siteflag]")=$G$2))))/1000</f>
        <v>0.04</v>
      </c>
      <c r="S132" s="165">
        <f t="array" aca="1" ref="S132" ca="1">SUM(INDIRECT($E132&amp;"["&amp;$F132&amp;"]")*(INDIRECT($E132&amp;"[yr]")=S$5)*(INDIRECT($E132&amp;"[wk]")=S$6)*(IF($G$2=0,1,(INDIRECT($E132&amp;"[siteflag]")=$G$2))))/1000</f>
        <v>7.0000000000000001E-3</v>
      </c>
      <c r="T132" s="166">
        <f t="array" aca="1" ref="T132" ca="1">SUM(INDIRECT($E132&amp;"["&amp;$F132&amp;"]")*(INDIRECT($E132&amp;"[yr]")=T$5)*(INDIRECT($E132&amp;"[wk]")=T$6)*(IF($H$2=0,1,(INDIRECT($E132&amp;"[siteflag]")=$H$2))))/1000</f>
        <v>8.5999999999999993E-2</v>
      </c>
      <c r="U132" s="173" t="e">
        <f t="array" aca="1" ref="U132" ca="1">SUM(Q132:T132*$R$82:$U$82)/SUM($R$82:$U$82)</f>
        <v>#DIV/0!</v>
      </c>
      <c r="V132" s="47">
        <f t="array" aca="1" ref="V132" ca="1">IFERROR(SUM(T132/S132)-1,0)</f>
        <v>11.285714285714285</v>
      </c>
      <c r="W132" s="131"/>
      <c r="X132" s="49"/>
    </row>
    <row r="133" spans="2:24" ht="14.15" customHeight="1" x14ac:dyDescent="0.4">
      <c r="B133" s="329"/>
      <c r="D133" s="231" t="s">
        <v>297</v>
      </c>
      <c r="E133" s="40"/>
      <c r="F133" s="40"/>
      <c r="I133" s="118">
        <f ca="1">I132/($U123/(5.5*4))</f>
        <v>9.2604285052826529E-2</v>
      </c>
      <c r="J133" s="118">
        <f t="shared" ref="J133:S133" ca="1" si="5">J132/($U123/(5.5*4))</f>
        <v>1.4816685608452245E-2</v>
      </c>
      <c r="K133" s="118">
        <f t="shared" ca="1" si="5"/>
        <v>3.7041714021130612E-3</v>
      </c>
      <c r="L133" s="118">
        <f t="shared" ca="1" si="5"/>
        <v>3.7041714021130612E-3</v>
      </c>
      <c r="M133" s="118">
        <f t="shared" ca="1" si="5"/>
        <v>0.54451319611061999</v>
      </c>
      <c r="N133" s="118">
        <f t="shared" ca="1" si="5"/>
        <v>2.5929199814791429E-2</v>
      </c>
      <c r="O133" s="118">
        <f t="shared" ca="1" si="5"/>
        <v>1.4816685608452245E-2</v>
      </c>
      <c r="P133" s="239">
        <f t="shared" ca="1" si="5"/>
        <v>7.0379256640148158E-2</v>
      </c>
      <c r="Q133" s="118">
        <f t="shared" ca="1" si="5"/>
        <v>4.4450056825356736E-2</v>
      </c>
      <c r="R133" s="118">
        <f t="shared" ca="1" si="5"/>
        <v>0.14816685608452246</v>
      </c>
      <c r="S133" s="118">
        <f t="shared" ca="1" si="5"/>
        <v>2.5929199814791429E-2</v>
      </c>
      <c r="T133" s="187">
        <f ca="1">T132/($U123/(5.5*4))</f>
        <v>0.31855874058172323</v>
      </c>
      <c r="U133" s="185" t="e">
        <f ca="1">U132/($U123/(5.5*4))</f>
        <v>#DIV/0!</v>
      </c>
      <c r="V133" s="89">
        <f ca="1">IFERROR(SUM(T133/S133)-1,0)</f>
        <v>11.285714285714285</v>
      </c>
      <c r="W133" s="178"/>
      <c r="X133" s="81"/>
    </row>
    <row r="134" spans="2:24" ht="3" customHeight="1" x14ac:dyDescent="0.4">
      <c r="B134" s="236"/>
      <c r="D134" s="229"/>
      <c r="E134" s="58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229"/>
      <c r="Q134" s="63"/>
      <c r="R134" s="63"/>
      <c r="S134" s="63"/>
      <c r="T134" s="63"/>
      <c r="U134" s="63"/>
      <c r="V134" s="63"/>
      <c r="W134" s="63"/>
      <c r="X134" s="63"/>
    </row>
    <row r="135" spans="2:24" ht="14.15" customHeight="1" x14ac:dyDescent="0.4">
      <c r="B135" s="328" t="s">
        <v>549</v>
      </c>
      <c r="D135" s="201" t="s">
        <v>550</v>
      </c>
      <c r="E135" s="63" t="s">
        <v>399</v>
      </c>
      <c r="F135" s="63" t="s">
        <v>57</v>
      </c>
      <c r="G135" s="63" t="s">
        <v>402</v>
      </c>
      <c r="H135" s="63"/>
      <c r="I135" s="128" t="e">
        <f t="array" aca="1" ref="I135" ca="1">IF($G$2=0,
(SUM(INDIRECT($E135&amp;"["&amp;$G135&amp;"]")*(INDIRECT($E135&amp;"[yr]")=I$5)*(INDIRECT($E135&amp;"[wk]")=I$6))/
SUM((INDIRECT($E135&amp;"["&amp;$E136&amp;"]")+INDIRECT($E135&amp;"["&amp;$F136&amp;"]"))*(INDIRECT($E135&amp;"[yr]")=I$5)*(INDIRECT($E135&amp;"[wk]")=I$6))),
(SUM(INDIRECT($E135&amp;"["&amp;$G135&amp;"]")*(INDIRECT($E135&amp;"[yr]")=I$5)*(INDIRECT($E135&amp;"[wk]")=I$6)*(INDIRECT($E135&amp;"[site]")=$G$2))/
SUM((INDIRECT($E135&amp;"["&amp;$E136&amp;"]")+INDIRECT($E135&amp;"["&amp;$F136&amp;"]"))*(INDIRECT($E135&amp;"[yr]")=I$5)*(INDIRECT($E135&amp;"[wk]")=I$6)*(INDIRECT($E135&amp;"[site]")=$G$2))) )</f>
        <v>#REF!</v>
      </c>
      <c r="J135" s="128" t="e">
        <f t="array" aca="1" ref="J135" ca="1">IF($G$2=0,
(SUM(INDIRECT($E135&amp;"["&amp;$G135&amp;"]")*(INDIRECT($E135&amp;"[yr]")=J$5)*(INDIRECT($E135&amp;"[wk]")=J$6))/
SUM((INDIRECT($E135&amp;"["&amp;$E136&amp;"]")+INDIRECT($E135&amp;"["&amp;$F136&amp;"]"))*(INDIRECT($E135&amp;"[yr]")=J$5)*(INDIRECT($E135&amp;"[wk]")=J$6))),
(SUM(INDIRECT($E135&amp;"["&amp;$G135&amp;"]")*(INDIRECT($E135&amp;"[yr]")=J$5)*(INDIRECT($E135&amp;"[wk]")=J$6)*(INDIRECT($E135&amp;"[site]")=$G$2))/
SUM((INDIRECT($E135&amp;"["&amp;$E136&amp;"]")+INDIRECT($E135&amp;"["&amp;$F136&amp;"]"))*(INDIRECT($E135&amp;"[yr]")=J$5)*(INDIRECT($E135&amp;"[wk]")=J$6)*(INDIRECT($E135&amp;"[site]")=$G$2))) )</f>
        <v>#REF!</v>
      </c>
      <c r="K135" s="128" t="e">
        <f t="array" aca="1" ref="K135" ca="1">IF($G$2=0,
(SUM(INDIRECT($E135&amp;"["&amp;$G135&amp;"]")*(INDIRECT($E135&amp;"[yr]")=K$5)*(INDIRECT($E135&amp;"[wk]")=K$6))/
SUM((INDIRECT($E135&amp;"["&amp;$E136&amp;"]")+INDIRECT($E135&amp;"["&amp;$F136&amp;"]"))*(INDIRECT($E135&amp;"[yr]")=K$5)*(INDIRECT($E135&amp;"[wk]")=K$6))),
(SUM(INDIRECT($E135&amp;"["&amp;$G135&amp;"]")*(INDIRECT($E135&amp;"[yr]")=K$5)*(INDIRECT($E135&amp;"[wk]")=K$6)*(INDIRECT($E135&amp;"[site]")=$G$2))/
SUM((INDIRECT($E135&amp;"["&amp;$E136&amp;"]")+INDIRECT($E135&amp;"["&amp;$F136&amp;"]"))*(INDIRECT($E135&amp;"[yr]")=K$5)*(INDIRECT($E135&amp;"[wk]")=K$6)*(INDIRECT($E135&amp;"[site]")=$G$2))) )</f>
        <v>#REF!</v>
      </c>
      <c r="L135" s="128" t="e">
        <f t="array" aca="1" ref="L135" ca="1">IF($G$2=0,
(SUM(INDIRECT($E135&amp;"["&amp;$G135&amp;"]")*(INDIRECT($E135&amp;"[yr]")=L$5)*(INDIRECT($E135&amp;"[wk]")=L$6))/
SUM((INDIRECT($E135&amp;"["&amp;$E136&amp;"]")+INDIRECT($E135&amp;"["&amp;$F136&amp;"]"))*(INDIRECT($E135&amp;"[yr]")=L$5)*(INDIRECT($E135&amp;"[wk]")=L$6))),
(SUM(INDIRECT($E135&amp;"["&amp;$G135&amp;"]")*(INDIRECT($E135&amp;"[yr]")=L$5)*(INDIRECT($E135&amp;"[wk]")=L$6)*(INDIRECT($E135&amp;"[site]")=$G$2))/
SUM((INDIRECT($E135&amp;"["&amp;$E136&amp;"]")+INDIRECT($E135&amp;"["&amp;$F136&amp;"]"))*(INDIRECT($E135&amp;"[yr]")=L$5)*(INDIRECT($E135&amp;"[wk]")=L$6)*(INDIRECT($E135&amp;"[site]")=$G$2))) )</f>
        <v>#REF!</v>
      </c>
      <c r="M135" s="128" t="e">
        <f t="array" aca="1" ref="M135" ca="1">IF($G$2=0,
(SUM(INDIRECT($E135&amp;"["&amp;$G135&amp;"]")*(INDIRECT($E135&amp;"[yr]")=M$5)*(INDIRECT($E135&amp;"[wk]")=M$6))/
SUM((INDIRECT($E135&amp;"["&amp;$E136&amp;"]")+INDIRECT($E135&amp;"["&amp;$F136&amp;"]"))*(INDIRECT($E135&amp;"[yr]")=M$5)*(INDIRECT($E135&amp;"[wk]")=M$6))),
(SUM(INDIRECT($E135&amp;"["&amp;$G135&amp;"]")*(INDIRECT($E135&amp;"[yr]")=M$5)*(INDIRECT($E135&amp;"[wk]")=M$6)*(INDIRECT($E135&amp;"[site]")=$G$2))/
SUM((INDIRECT($E135&amp;"["&amp;$E136&amp;"]")+INDIRECT($E135&amp;"["&amp;$F136&amp;"]"))*(INDIRECT($E135&amp;"[yr]")=M$5)*(INDIRECT($E135&amp;"[wk]")=M$6)*(INDIRECT($E135&amp;"[site]")=$G$2))) )</f>
        <v>#REF!</v>
      </c>
      <c r="N135" s="128" t="e">
        <f t="array" aca="1" ref="N135" ca="1">IF($G$2=0,
(SUM(INDIRECT($E135&amp;"["&amp;$G135&amp;"]")*(INDIRECT($E135&amp;"[yr]")=N$5)*(INDIRECT($E135&amp;"[wk]")=N$6))/
SUM((INDIRECT($E135&amp;"["&amp;$E136&amp;"]")+INDIRECT($E135&amp;"["&amp;$F136&amp;"]"))*(INDIRECT($E135&amp;"[yr]")=N$5)*(INDIRECT($E135&amp;"[wk]")=N$6))),
(SUM(INDIRECT($E135&amp;"["&amp;$G135&amp;"]")*(INDIRECT($E135&amp;"[yr]")=N$5)*(INDIRECT($E135&amp;"[wk]")=N$6)*(INDIRECT($E135&amp;"[site]")=$G$2))/
SUM((INDIRECT($E135&amp;"["&amp;$E136&amp;"]")+INDIRECT($E135&amp;"["&amp;$F136&amp;"]"))*(INDIRECT($E135&amp;"[yr]")=N$5)*(INDIRECT($E135&amp;"[wk]")=N$6)*(INDIRECT($E135&amp;"[site]")=$G$2))) )</f>
        <v>#REF!</v>
      </c>
      <c r="O135" s="128" t="e">
        <f t="array" aca="1" ref="O135" ca="1">IF($G$2=0,
(SUM(INDIRECT($E135&amp;"["&amp;$G135&amp;"]")*(INDIRECT($E135&amp;"[yr]")=O$5)*(INDIRECT($E135&amp;"[wk]")=O$6))/
SUM((INDIRECT($E135&amp;"["&amp;$E136&amp;"]")+INDIRECT($E135&amp;"["&amp;$F136&amp;"]"))*(INDIRECT($E135&amp;"[yr]")=O$5)*(INDIRECT($E135&amp;"[wk]")=O$6))),
(SUM(INDIRECT($E135&amp;"["&amp;$G135&amp;"]")*(INDIRECT($E135&amp;"[yr]")=O$5)*(INDIRECT($E135&amp;"[wk]")=O$6)*(INDIRECT($E135&amp;"[site]")=$G$2))/
SUM((INDIRECT($E135&amp;"["&amp;$E136&amp;"]")+INDIRECT($E135&amp;"["&amp;$F136&amp;"]"))*(INDIRECT($E135&amp;"[yr]")=O$5)*(INDIRECT($E135&amp;"[wk]")=O$6)*(INDIRECT($E135&amp;"[site]")=$G$2))) )</f>
        <v>#REF!</v>
      </c>
      <c r="P135" s="154" t="e">
        <f t="array" aca="1" ref="P135" ca="1">IF($G$2=0,
(SUM(INDIRECT($E135&amp;"["&amp;$G135&amp;"]")*(INDIRECT($E135&amp;"[yr]")=P$5)*(INDIRECT($E135&amp;"[wk]")=P$6))/
SUM((INDIRECT($E135&amp;"["&amp;$E136&amp;"]")+INDIRECT($E135&amp;"["&amp;$F136&amp;"]"))*(INDIRECT($E135&amp;"[yr]")=P$5)*(INDIRECT($E135&amp;"[wk]")=P$6))),
(SUM(INDIRECT($E135&amp;"["&amp;$G135&amp;"]")*(INDIRECT($E135&amp;"[yr]")=P$5)*(INDIRECT($E135&amp;"[wk]")=P$6)*(INDIRECT($E135&amp;"[site]")=$G$2))/
SUM((INDIRECT($E135&amp;"["&amp;$E136&amp;"]")+INDIRECT($E135&amp;"["&amp;$F136&amp;"]"))*(INDIRECT($E135&amp;"[yr]")=P$5)*(INDIRECT($E135&amp;"[wk]")=P$6)*(INDIRECT($E135&amp;"[site]")=$G$2))) )</f>
        <v>#REF!</v>
      </c>
      <c r="Q135" s="128" t="e">
        <f t="array" aca="1" ref="Q135" ca="1">IF($G$2=0,
(SUM(INDIRECT($E135&amp;"["&amp;$G135&amp;"]")*(INDIRECT($E135&amp;"[yr]")=Q$5)*(INDIRECT($E135&amp;"[wk]")=Q$6))/
SUM((INDIRECT($E135&amp;"["&amp;$E136&amp;"]")+INDIRECT($E135&amp;"["&amp;$F136&amp;"]"))*(INDIRECT($E135&amp;"[yr]")=Q$5)*(INDIRECT($E135&amp;"[wk]")=Q$6))),
(SUM(INDIRECT($E135&amp;"["&amp;$G135&amp;"]")*(INDIRECT($E135&amp;"[yr]")=Q$5)*(INDIRECT($E135&amp;"[wk]")=Q$6)*(INDIRECT($E135&amp;"[site]")=$G$2))/
SUM((INDIRECT($E135&amp;"["&amp;$E136&amp;"]")+INDIRECT($E135&amp;"["&amp;$F136&amp;"]"))*(INDIRECT($E135&amp;"[yr]")=Q$5)*(INDIRECT($E135&amp;"[wk]")=Q$6)*(INDIRECT($E135&amp;"[site]")=$G$2))) )</f>
        <v>#REF!</v>
      </c>
      <c r="R135" s="128" t="e">
        <f t="array" aca="1" ref="R135" ca="1">IF($G$2=0,
(SUM(INDIRECT($E135&amp;"["&amp;$G135&amp;"]")*(INDIRECT($E135&amp;"[yr]")=R$5)*(INDIRECT($E135&amp;"[wk]")=R$6))/
SUM((INDIRECT($E135&amp;"["&amp;$E136&amp;"]")+INDIRECT($E135&amp;"["&amp;$F136&amp;"]"))*(INDIRECT($E135&amp;"[yr]")=R$5)*(INDIRECT($E135&amp;"[wk]")=R$6))),
(SUM(INDIRECT($E135&amp;"["&amp;$G135&amp;"]")*(INDIRECT($E135&amp;"[yr]")=R$5)*(INDIRECT($E135&amp;"[wk]")=R$6)*(INDIRECT($E135&amp;"[site]")=$G$2))/
SUM((INDIRECT($E135&amp;"["&amp;$E136&amp;"]")+INDIRECT($E135&amp;"["&amp;$F136&amp;"]"))*(INDIRECT($E135&amp;"[yr]")=R$5)*(INDIRECT($E135&amp;"[wk]")=R$6)*(INDIRECT($E135&amp;"[site]")=$G$2))) )</f>
        <v>#REF!</v>
      </c>
      <c r="S135" s="128" t="e">
        <f t="array" aca="1" ref="S135" ca="1">IF($G$2=0,
(SUM(INDIRECT($E135&amp;"["&amp;$G135&amp;"]")*(INDIRECT($E135&amp;"[yr]")=S$5)*(INDIRECT($E135&amp;"[wk]")=S$6))/
SUM((INDIRECT($E135&amp;"["&amp;$E136&amp;"]")+INDIRECT($E135&amp;"["&amp;$F136&amp;"]"))*(INDIRECT($E135&amp;"[yr]")=S$5)*(INDIRECT($E135&amp;"[wk]")=S$6))),
(SUM(INDIRECT($E135&amp;"["&amp;$G135&amp;"]")*(INDIRECT($E135&amp;"[yr]")=S$5)*(INDIRECT($E135&amp;"[wk]")=S$6)*(INDIRECT($E135&amp;"[site]")=$G$2))/
SUM((INDIRECT($E135&amp;"["&amp;$E136&amp;"]")+INDIRECT($E135&amp;"["&amp;$F136&amp;"]"))*(INDIRECT($E135&amp;"[yr]")=S$5)*(INDIRECT($E135&amp;"[wk]")=S$6)*(INDIRECT($E135&amp;"[site]")=$G$2))) )</f>
        <v>#REF!</v>
      </c>
      <c r="T135" s="129" t="e">
        <f t="array" aca="1" ref="T135" ca="1">IF($G$2=0,
(SUM(INDIRECT($E135&amp;"["&amp;$G135&amp;"]")*(INDIRECT($E135&amp;"[yr]")=T$5)*(INDIRECT($E135&amp;"[wk]")=T$6))/
SUM((INDIRECT($E135&amp;"["&amp;$E136&amp;"]")+INDIRECT($E135&amp;"["&amp;$F136&amp;"]"))*(INDIRECT($E135&amp;"[yr]")=T$5)*(INDIRECT($E135&amp;"[wk]")=T$6))),
(SUM(INDIRECT($E135&amp;"["&amp;$G135&amp;"]")*(INDIRECT($E135&amp;"[yr]")=T$5)*(INDIRECT($E135&amp;"[wk]")=T$6)*(INDIRECT($E135&amp;"[site]")=$G$2))/
SUM((INDIRECT($E135&amp;"["&amp;$E136&amp;"]")+INDIRECT($E135&amp;"["&amp;$F136&amp;"]"))*(INDIRECT($E135&amp;"[yr]")=T$5)*(INDIRECT($E135&amp;"[wk]")=T$6)*(INDIRECT($E135&amp;"[site]")=$G$2))) )</f>
        <v>#REF!</v>
      </c>
      <c r="U135" s="130" t="e">
        <f t="array" aca="1" ref="U135" ca="1">SUM(Q135:T135*$Q$66:$T$66)/SUM($Q$66:$T$66)</f>
        <v>#REF!</v>
      </c>
      <c r="V135" s="47" t="e">
        <f t="array" aca="1" ref="V135" ca="1">SUM(T135/S135)-1</f>
        <v>#REF!</v>
      </c>
      <c r="W135" s="131">
        <v>75</v>
      </c>
      <c r="X135" s="49"/>
    </row>
    <row r="136" spans="2:24" ht="13.2" customHeight="1" x14ac:dyDescent="0.4">
      <c r="B136" s="329"/>
      <c r="D136" s="204" t="s">
        <v>67</v>
      </c>
      <c r="E136" s="40" t="s">
        <v>401</v>
      </c>
      <c r="F136" t="s">
        <v>403</v>
      </c>
      <c r="I136" s="74">
        <f t="array" aca="1" ref="I136" ca="1">IFERROR(I135/
(IF($G$2=0,
(SUM(INDIRECT($E135&amp;"["&amp;$G135&amp;"]")*(INDIRECT($E135&amp;"[yr]")=I$5-1)*(INDIRECT($E135&amp;"[wk]")=I$6))/
SUM((INDIRECT($E135&amp;"["&amp;$E136&amp;"]")+INDIRECT($E135&amp;"["&amp;$F136&amp;"]"))*(INDIRECT($E135&amp;"[yr]")=I$5-1)*(INDIRECT($E135&amp;"[wk]")=I$6))),
(SUM(INDIRECT($E135&amp;"["&amp;$G135&amp;"]")*(INDIRECT($E135&amp;"[yr]")=I$5-1)*(INDIRECT($E135&amp;"[wk]")=I$6)*(INDIRECT($E135&amp;"[site]")=$G$2))/
SUM((INDIRECT($E135&amp;"["&amp;$E136&amp;"]")+INDIRECT($E135&amp;"["&amp;$F136&amp;"]"))*(INDIRECT($E135&amp;"[yr]")=I$5-1)*(INDIRECT($E135&amp;"[wk]")=I$6)*(INDIRECT($E135&amp;"[site]")=$G$2)))))
-1,0)</f>
        <v>0</v>
      </c>
      <c r="J136" s="74">
        <f t="array" aca="1" ref="J136" ca="1">IFERROR(J135/
(IF($G$2=0,
(SUM(INDIRECT($E135&amp;"["&amp;$G135&amp;"]")*(INDIRECT($E135&amp;"[yr]")=J$5-1)*(INDIRECT($E135&amp;"[wk]")=J$6))/
SUM((INDIRECT($E135&amp;"["&amp;$E136&amp;"]")+INDIRECT($E135&amp;"["&amp;$F136&amp;"]"))*(INDIRECT($E135&amp;"[yr]")=J$5-1)*(INDIRECT($E135&amp;"[wk]")=J$6))),
(SUM(INDIRECT($E135&amp;"["&amp;$G135&amp;"]")*(INDIRECT($E135&amp;"[yr]")=J$5-1)*(INDIRECT($E135&amp;"[wk]")=J$6)*(INDIRECT($E135&amp;"[site]")=$G$2))/
SUM((INDIRECT($E135&amp;"["&amp;$E136&amp;"]")+INDIRECT($E135&amp;"["&amp;$F136&amp;"]"))*(INDIRECT($E135&amp;"[yr]")=J$5-1)*(INDIRECT($E135&amp;"[wk]")=J$6)*(INDIRECT($E135&amp;"[site]")=$G$2)))))
-1,0)</f>
        <v>0</v>
      </c>
      <c r="K136" s="74">
        <f t="array" aca="1" ref="K136" ca="1">IFERROR(K135/
(IF($G$2=0,
(SUM(INDIRECT($E135&amp;"["&amp;$G135&amp;"]")*(INDIRECT($E135&amp;"[yr]")=K$5-1)*(INDIRECT($E135&amp;"[wk]")=K$6))/
SUM((INDIRECT($E135&amp;"["&amp;$E136&amp;"]")+INDIRECT($E135&amp;"["&amp;$F136&amp;"]"))*(INDIRECT($E135&amp;"[yr]")=K$5-1)*(INDIRECT($E135&amp;"[wk]")=K$6))),
(SUM(INDIRECT($E135&amp;"["&amp;$G135&amp;"]")*(INDIRECT($E135&amp;"[yr]")=K$5-1)*(INDIRECT($E135&amp;"[wk]")=K$6)*(INDIRECT($E135&amp;"[site]")=$G$2))/
SUM((INDIRECT($E135&amp;"["&amp;$E136&amp;"]")+INDIRECT($E135&amp;"["&amp;$F136&amp;"]"))*(INDIRECT($E135&amp;"[yr]")=K$5-1)*(INDIRECT($E135&amp;"[wk]")=K$6)*(INDIRECT($E135&amp;"[site]")=$G$2)))))
-1,0)</f>
        <v>0</v>
      </c>
      <c r="L136" s="74">
        <f t="array" aca="1" ref="L136" ca="1">IFERROR(L135/
(IF($G$2=0,
(SUM(INDIRECT($E135&amp;"["&amp;$G135&amp;"]")*(INDIRECT($E135&amp;"[yr]")=L$5-1)*(INDIRECT($E135&amp;"[wk]")=L$6))/
SUM((INDIRECT($E135&amp;"["&amp;$E136&amp;"]")+INDIRECT($E135&amp;"["&amp;$F136&amp;"]"))*(INDIRECT($E135&amp;"[yr]")=L$5-1)*(INDIRECT($E135&amp;"[wk]")=L$6))),
(SUM(INDIRECT($E135&amp;"["&amp;$G135&amp;"]")*(INDIRECT($E135&amp;"[yr]")=L$5-1)*(INDIRECT($E135&amp;"[wk]")=L$6)*(INDIRECT($E135&amp;"[site]")=$G$2))/
SUM((INDIRECT($E135&amp;"["&amp;$E136&amp;"]")+INDIRECT($E135&amp;"["&amp;$F136&amp;"]"))*(INDIRECT($E135&amp;"[yr]")=L$5-1)*(INDIRECT($E135&amp;"[wk]")=L$6)*(INDIRECT($E135&amp;"[site]")=$G$2)))))
-1,0)</f>
        <v>0</v>
      </c>
      <c r="M136" s="74">
        <f t="array" aca="1" ref="M136" ca="1">IFERROR(M135/
(IF($G$2=0,
(SUM(INDIRECT($E135&amp;"["&amp;$G135&amp;"]")*(INDIRECT($E135&amp;"[yr]")=M$5-1)*(INDIRECT($E135&amp;"[wk]")=M$6))/
SUM((INDIRECT($E135&amp;"["&amp;$E136&amp;"]")+INDIRECT($E135&amp;"["&amp;$F136&amp;"]"))*(INDIRECT($E135&amp;"[yr]")=M$5-1)*(INDIRECT($E135&amp;"[wk]")=M$6))),
(SUM(INDIRECT($E135&amp;"["&amp;$G135&amp;"]")*(INDIRECT($E135&amp;"[yr]")=M$5-1)*(INDIRECT($E135&amp;"[wk]")=M$6)*(INDIRECT($E135&amp;"[site]")=$G$2))/
SUM((INDIRECT($E135&amp;"["&amp;$E136&amp;"]")+INDIRECT($E135&amp;"["&amp;$F136&amp;"]"))*(INDIRECT($E135&amp;"[yr]")=M$5-1)*(INDIRECT($E135&amp;"[wk]")=M$6)*(INDIRECT($E135&amp;"[site]")=$G$2)))))
-1,0)</f>
        <v>0</v>
      </c>
      <c r="N136" s="74">
        <f t="array" aca="1" ref="N136" ca="1">IFERROR(N135/
(IF($G$2=0,
(SUM(INDIRECT($E135&amp;"["&amp;$G135&amp;"]")*(INDIRECT($E135&amp;"[yr]")=N$5-1)*(INDIRECT($E135&amp;"[wk]")=N$6))/
SUM((INDIRECT($E135&amp;"["&amp;$E136&amp;"]")+INDIRECT($E135&amp;"["&amp;$F136&amp;"]"))*(INDIRECT($E135&amp;"[yr]")=N$5-1)*(INDIRECT($E135&amp;"[wk]")=N$6))),
(SUM(INDIRECT($E135&amp;"["&amp;$G135&amp;"]")*(INDIRECT($E135&amp;"[yr]")=N$5-1)*(INDIRECT($E135&amp;"[wk]")=N$6)*(INDIRECT($E135&amp;"[site]")=$G$2))/
SUM((INDIRECT($E135&amp;"["&amp;$E136&amp;"]")+INDIRECT($E135&amp;"["&amp;$F136&amp;"]"))*(INDIRECT($E135&amp;"[yr]")=N$5-1)*(INDIRECT($E135&amp;"[wk]")=N$6)*(INDIRECT($E135&amp;"[site]")=$G$2)))))
-1,0)</f>
        <v>0</v>
      </c>
      <c r="O136" s="74">
        <f t="array" aca="1" ref="O136" ca="1">IFERROR(O135/
(IF($G$2=0,
(SUM(INDIRECT($E135&amp;"["&amp;$G135&amp;"]")*(INDIRECT($E135&amp;"[yr]")=O$5-1)*(INDIRECT($E135&amp;"[wk]")=O$6))/
SUM((INDIRECT($E135&amp;"["&amp;$E136&amp;"]")+INDIRECT($E135&amp;"["&amp;$F136&amp;"]"))*(INDIRECT($E135&amp;"[yr]")=O$5-1)*(INDIRECT($E135&amp;"[wk]")=O$6))),
(SUM(INDIRECT($E135&amp;"["&amp;$G135&amp;"]")*(INDIRECT($E135&amp;"[yr]")=O$5-1)*(INDIRECT($E135&amp;"[wk]")=O$6)*(INDIRECT($E135&amp;"[site]")=$G$2))/
SUM((INDIRECT($E135&amp;"["&amp;$E136&amp;"]")+INDIRECT($E135&amp;"["&amp;$F136&amp;"]"))*(INDIRECT($E135&amp;"[yr]")=O$5-1)*(INDIRECT($E135&amp;"[wk]")=O$6)*(INDIRECT($E135&amp;"[site]")=$G$2)))))
-1,0)</f>
        <v>0</v>
      </c>
      <c r="P136" s="54">
        <f t="array" aca="1" ref="P136" ca="1">IFERROR(P135/
(IF($G$2=0,
(SUM(INDIRECT($E135&amp;"["&amp;$G135&amp;"]")*(INDIRECT($E135&amp;"[yr]")=P$5-1)*(INDIRECT($E135&amp;"[wk]")=P$6))/
SUM((INDIRECT($E135&amp;"["&amp;$E136&amp;"]")+INDIRECT($E135&amp;"["&amp;$F136&amp;"]"))*(INDIRECT($E135&amp;"[yr]")=P$5-1)*(INDIRECT($E135&amp;"[wk]")=P$6))),
(SUM(INDIRECT($E135&amp;"["&amp;$G135&amp;"]")*(INDIRECT($E135&amp;"[yr]")=P$5-1)*(INDIRECT($E135&amp;"[wk]")=P$6)*(INDIRECT($E135&amp;"[site]")=$G$2))/
SUM((INDIRECT($E135&amp;"["&amp;$E136&amp;"]")+INDIRECT($E135&amp;"["&amp;$F136&amp;"]"))*(INDIRECT($E135&amp;"[yr]")=P$5-1)*(INDIRECT($E135&amp;"[wk]")=P$6)*(INDIRECT($E135&amp;"[site]")=$G$2)))))
-1,0)</f>
        <v>0</v>
      </c>
      <c r="Q136" s="74">
        <f t="array" aca="1" ref="Q136" ca="1">IFERROR(Q135/
(IF($G$2=0,
(SUM(INDIRECT($E135&amp;"["&amp;$G135&amp;"]")*(INDIRECT($E135&amp;"[yr]")=Q$5-1)*(INDIRECT($E135&amp;"[wk]")=Q$6))/
SUM((INDIRECT($E135&amp;"["&amp;$E136&amp;"]")+INDIRECT($E135&amp;"["&amp;$F136&amp;"]"))*(INDIRECT($E135&amp;"[yr]")=Q$5-1)*(INDIRECT($E135&amp;"[wk]")=Q$6))),
(SUM(INDIRECT($E135&amp;"["&amp;$G135&amp;"]")*(INDIRECT($E135&amp;"[yr]")=Q$5-1)*(INDIRECT($E135&amp;"[wk]")=Q$6)*(INDIRECT($E135&amp;"[site]")=$G$2))/
SUM((INDIRECT($E135&amp;"["&amp;$E136&amp;"]")+INDIRECT($E135&amp;"["&amp;$F136&amp;"]"))*(INDIRECT($E135&amp;"[yr]")=Q$5-1)*(INDIRECT($E135&amp;"[wk]")=Q$6)*(INDIRECT($E135&amp;"[site]")=$G$2)))))
-1,0)</f>
        <v>0</v>
      </c>
      <c r="R136" s="74">
        <f t="array" aca="1" ref="R136" ca="1">IFERROR(R135/
(IF($G$2=0,
(SUM(INDIRECT($E135&amp;"["&amp;$G135&amp;"]")*(INDIRECT($E135&amp;"[yr]")=R$5-1)*(INDIRECT($E135&amp;"[wk]")=R$6))/
SUM((INDIRECT($E135&amp;"["&amp;$E136&amp;"]")+INDIRECT($E135&amp;"["&amp;$F136&amp;"]"))*(INDIRECT($E135&amp;"[yr]")=R$5-1)*(INDIRECT($E135&amp;"[wk]")=R$6))),
(SUM(INDIRECT($E135&amp;"["&amp;$G135&amp;"]")*(INDIRECT($E135&amp;"[yr]")=R$5-1)*(INDIRECT($E135&amp;"[wk]")=R$6)*(INDIRECT($E135&amp;"[site]")=$G$2))/
SUM((INDIRECT($E135&amp;"["&amp;$E136&amp;"]")+INDIRECT($E135&amp;"["&amp;$F136&amp;"]"))*(INDIRECT($E135&amp;"[yr]")=R$5-1)*(INDIRECT($E135&amp;"[wk]")=R$6)*(INDIRECT($E135&amp;"[site]")=$G$2)))))
-1,0)</f>
        <v>0</v>
      </c>
      <c r="S136" s="74">
        <f t="array" aca="1" ref="S136" ca="1">IFERROR(S135/
(IF($G$2=0,
(SUM(INDIRECT($E135&amp;"["&amp;$G135&amp;"]")*(INDIRECT($E135&amp;"[yr]")=S$5-1)*(INDIRECT($E135&amp;"[wk]")=S$6))/
SUM((INDIRECT($E135&amp;"["&amp;$E136&amp;"]")+INDIRECT($E135&amp;"["&amp;$F136&amp;"]"))*(INDIRECT($E135&amp;"[yr]")=S$5-1)*(INDIRECT($E135&amp;"[wk]")=S$6))),
(SUM(INDIRECT($E135&amp;"["&amp;$G135&amp;"]")*(INDIRECT($E135&amp;"[yr]")=S$5-1)*(INDIRECT($E135&amp;"[wk]")=S$6)*(INDIRECT($E135&amp;"[site]")=$G$2))/
SUM((INDIRECT($E135&amp;"["&amp;$E136&amp;"]")+INDIRECT($E135&amp;"["&amp;$F136&amp;"]"))*(INDIRECT($E135&amp;"[yr]")=S$5-1)*(INDIRECT($E135&amp;"[wk]")=S$6)*(INDIRECT($E135&amp;"[site]")=$G$2)))))
-1,0)</f>
        <v>0</v>
      </c>
      <c r="T136" s="76">
        <f t="array" aca="1" ref="T136" ca="1">IFERROR(T135/
(IF($G$2=0,
(SUM(INDIRECT($E135&amp;"["&amp;$G135&amp;"]")*(INDIRECT($E135&amp;"[yr]")=T$5-1)*(INDIRECT($E135&amp;"[wk]")=T$6))/
SUM((INDIRECT($E135&amp;"["&amp;$E136&amp;"]")+INDIRECT($E135&amp;"["&amp;$F136&amp;"]"))*(INDIRECT($E135&amp;"[yr]")=T$5-1)*(INDIRECT($E135&amp;"[wk]")=T$6))),
(SUM(INDIRECT($E135&amp;"["&amp;$G135&amp;"]")*(INDIRECT($E135&amp;"[yr]")=T$5-1)*(INDIRECT($E135&amp;"[wk]")=T$6)*(INDIRECT($E135&amp;"[site]")=$G$2))/
SUM((INDIRECT($E135&amp;"["&amp;$E136&amp;"]")+INDIRECT($E135&amp;"["&amp;$F136&amp;"]"))*(INDIRECT($E135&amp;"[yr]")=T$5-1)*(INDIRECT($E135&amp;"[wk]")=T$6)*(INDIRECT($E135&amp;"[site]")=$G$2)))))
-1,0)</f>
        <v>0</v>
      </c>
      <c r="U136" s="53">
        <f t="array" aca="1" ref="U136" ca="1">SUM(Q136:T136*$Q$66:$T$66)/SUM($Q$66:$T$66)</f>
        <v>0</v>
      </c>
      <c r="V136" s="91"/>
      <c r="W136" s="80"/>
      <c r="X136" s="56"/>
    </row>
    <row r="137" spans="2:24" ht="3" customHeight="1" x14ac:dyDescent="0.4">
      <c r="B137" s="329"/>
      <c r="D137" s="61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</row>
    <row r="138" spans="2:24" ht="14.15" customHeight="1" x14ac:dyDescent="0.4">
      <c r="B138" s="329"/>
      <c r="D138" s="201" t="s">
        <v>551</v>
      </c>
      <c r="E138" s="312" t="s">
        <v>125</v>
      </c>
      <c r="F138" t="s">
        <v>133</v>
      </c>
      <c r="G138" t="s">
        <v>138</v>
      </c>
      <c r="H138" t="s">
        <v>183</v>
      </c>
      <c r="I138" s="197">
        <f t="array" aca="1" ref="I138" ca="1">IF($G$2=0,
(SUM(INDIRECT($E138&amp;"["&amp;$G138&amp;"]")*(INDIRECT($E138&amp;"[yr]")=I$5)*(INDIRECT($E138&amp;"[wk]")=I$6))/
SUM((INDIRECT($E138&amp;"["&amp;$F139&amp;"]")+INDIRECT($E138&amp;"["&amp;$E140&amp;"]")+INDIRECT($E138&amp;"["&amp;$G139&amp;"]")+INDIRECT($E138&amp;"["&amp;$H139&amp;"]"))*(INDIRECT($E138&amp;"[yr]")=I$5)*(INDIRECT($E138&amp;"[wk]")=I$6))),
(SUM(INDIRECT($E138&amp;"["&amp;$G138&amp;"]")*(INDIRECT($E138&amp;"[yr]")=I$5)*(INDIRECT($E138&amp;"[wk]")=I$6)*(INDIRECT($E138&amp;"[siteflag]")=$G$2))/
SUM((INDIRECT($E138&amp;"["&amp;$F139&amp;"]")+INDIRECT($E138&amp;"["&amp;$E140&amp;"]")+INDIRECT($E138&amp;"["&amp;$G139&amp;"]")+INDIRECT($E138&amp;"["&amp;$H139&amp;"]"))*(INDIRECT($E138&amp;"[yr]")=I$5)*(INDIRECT($E138&amp;"[wk]")=I$6)*(INDIRECT($E138&amp;"[siteflag]")=$G$2))))</f>
        <v>16.258576002439394</v>
      </c>
      <c r="J138" s="197">
        <f t="array" aca="1" ref="J138" ca="1">IF($G$2=0,
(SUM(INDIRECT($E138&amp;"["&amp;$G138&amp;"]")*(INDIRECT($E138&amp;"[yr]")=J$5)*(INDIRECT($E138&amp;"[wk]")=J$6))/
SUM((INDIRECT($E138&amp;"["&amp;$F139&amp;"]")+INDIRECT($E138&amp;"["&amp;$E140&amp;"]")+INDIRECT($E138&amp;"["&amp;$G139&amp;"]")+INDIRECT($E138&amp;"["&amp;$H139&amp;"]"))*(INDIRECT($E138&amp;"[yr]")=J$5)*(INDIRECT($E138&amp;"[wk]")=J$6))),
(SUM(INDIRECT($E138&amp;"["&amp;$G138&amp;"]")*(INDIRECT($E138&amp;"[yr]")=J$5)*(INDIRECT($E138&amp;"[wk]")=J$6)*(INDIRECT($E138&amp;"[siteflag]")=$G$2))/
SUM((INDIRECT($E138&amp;"["&amp;$F139&amp;"]")+INDIRECT($E138&amp;"["&amp;$E140&amp;"]")+INDIRECT($E138&amp;"["&amp;$G139&amp;"]")+INDIRECT($E138&amp;"["&amp;$H139&amp;"]"))*(INDIRECT($E138&amp;"[yr]")=J$5)*(INDIRECT($E138&amp;"[wk]")=J$6)*(INDIRECT($E138&amp;"[siteflag]")=$G$2))))</f>
        <v>14.853736309441288</v>
      </c>
      <c r="K138" s="197">
        <f t="array" aca="1" ref="K138" ca="1">IF($G$2=0,
(SUM(INDIRECT($E138&amp;"["&amp;$G138&amp;"]")*(INDIRECT($E138&amp;"[yr]")=K$5)*(INDIRECT($E138&amp;"[wk]")=K$6))/
SUM((INDIRECT($E138&amp;"["&amp;$F139&amp;"]")+INDIRECT($E138&amp;"["&amp;$E140&amp;"]")+INDIRECT($E138&amp;"["&amp;$G139&amp;"]")+INDIRECT($E138&amp;"["&amp;$H139&amp;"]"))*(INDIRECT($E138&amp;"[yr]")=K$5)*(INDIRECT($E138&amp;"[wk]")=K$6))),
(SUM(INDIRECT($E138&amp;"["&amp;$G138&amp;"]")*(INDIRECT($E138&amp;"[yr]")=K$5)*(INDIRECT($E138&amp;"[wk]")=K$6)*(INDIRECT($E138&amp;"[siteflag]")=$G$2))/
SUM((INDIRECT($E138&amp;"["&amp;$F139&amp;"]")+INDIRECT($E138&amp;"["&amp;$E140&amp;"]")+INDIRECT($E138&amp;"["&amp;$G139&amp;"]")+INDIRECT($E138&amp;"["&amp;$H139&amp;"]"))*(INDIRECT($E138&amp;"[yr]")=K$5)*(INDIRECT($E138&amp;"[wk]")=K$6)*(INDIRECT($E138&amp;"[siteflag]")=$G$2))))</f>
        <v>15.518255329576084</v>
      </c>
      <c r="L138" s="197">
        <f t="array" aca="1" ref="L138" ca="1">IF($G$2=0,
(SUM(INDIRECT($E138&amp;"["&amp;$G138&amp;"]")*(INDIRECT($E138&amp;"[yr]")=L$5)*(INDIRECT($E138&amp;"[wk]")=L$6))/
SUM((INDIRECT($E138&amp;"["&amp;$F139&amp;"]")+INDIRECT($E138&amp;"["&amp;$E140&amp;"]")+INDIRECT($E138&amp;"["&amp;$G139&amp;"]")+INDIRECT($E138&amp;"["&amp;$H139&amp;"]"))*(INDIRECT($E138&amp;"[yr]")=L$5)*(INDIRECT($E138&amp;"[wk]")=L$6))),
(SUM(INDIRECT($E138&amp;"["&amp;$G138&amp;"]")*(INDIRECT($E138&amp;"[yr]")=L$5)*(INDIRECT($E138&amp;"[wk]")=L$6)*(INDIRECT($E138&amp;"[siteflag]")=$G$2))/
SUM((INDIRECT($E138&amp;"["&amp;$F139&amp;"]")+INDIRECT($E138&amp;"["&amp;$E140&amp;"]")+INDIRECT($E138&amp;"["&amp;$G139&amp;"]")+INDIRECT($E138&amp;"["&amp;$H139&amp;"]"))*(INDIRECT($E138&amp;"[yr]")=L$5)*(INDIRECT($E138&amp;"[wk]")=L$6)*(INDIRECT($E138&amp;"[siteflag]")=$G$2))))</f>
        <v>10.547068238032884</v>
      </c>
      <c r="M138" s="197">
        <f t="array" aca="1" ref="M138" ca="1">IF($G$2=0,
(SUM(INDIRECT($E138&amp;"["&amp;$G138&amp;"]")*(INDIRECT($E138&amp;"[yr]")=M$5)*(INDIRECT($E138&amp;"[wk]")=M$6))/
SUM((INDIRECT($E138&amp;"["&amp;$F139&amp;"]")+INDIRECT($E138&amp;"["&amp;$E140&amp;"]")+INDIRECT($E138&amp;"["&amp;$G139&amp;"]")+INDIRECT($E138&amp;"["&amp;$H139&amp;"]"))*(INDIRECT($E138&amp;"[yr]")=M$5)*(INDIRECT($E138&amp;"[wk]")=M$6))),
(SUM(INDIRECT($E138&amp;"["&amp;$G138&amp;"]")*(INDIRECT($E138&amp;"[yr]")=M$5)*(INDIRECT($E138&amp;"[wk]")=M$6)*(INDIRECT($E138&amp;"[siteflag]")=$G$2))/
SUM((INDIRECT($E138&amp;"["&amp;$F139&amp;"]")+INDIRECT($E138&amp;"["&amp;$E140&amp;"]")+INDIRECT($E138&amp;"["&amp;$G139&amp;"]")+INDIRECT($E138&amp;"["&amp;$H139&amp;"]"))*(INDIRECT($E138&amp;"[yr]")=M$5)*(INDIRECT($E138&amp;"[wk]")=M$6)*(INDIRECT($E138&amp;"[siteflag]")=$G$2))))</f>
        <v>16.676231468197035</v>
      </c>
      <c r="N138" s="197">
        <f t="array" aca="1" ref="N138" ca="1">IF($G$2=0,
(SUM(INDIRECT($E138&amp;"["&amp;$G138&amp;"]")*(INDIRECT($E138&amp;"[yr]")=N$5)*(INDIRECT($E138&amp;"[wk]")=N$6))/
SUM((INDIRECT($E138&amp;"["&amp;$F139&amp;"]")+INDIRECT($E138&amp;"["&amp;$E140&amp;"]")+INDIRECT($E138&amp;"["&amp;$G139&amp;"]")+INDIRECT($E138&amp;"["&amp;$H139&amp;"]"))*(INDIRECT($E138&amp;"[yr]")=N$5)*(INDIRECT($E138&amp;"[wk]")=N$6))),
(SUM(INDIRECT($E138&amp;"["&amp;$G138&amp;"]")*(INDIRECT($E138&amp;"[yr]")=N$5)*(INDIRECT($E138&amp;"[wk]")=N$6)*(INDIRECT($E138&amp;"[siteflag]")=$G$2))/
SUM((INDIRECT($E138&amp;"["&amp;$F139&amp;"]")+INDIRECT($E138&amp;"["&amp;$E140&amp;"]")+INDIRECT($E138&amp;"["&amp;$G139&amp;"]")+INDIRECT($E138&amp;"["&amp;$H139&amp;"]"))*(INDIRECT($E138&amp;"[yr]")=N$5)*(INDIRECT($E138&amp;"[wk]")=N$6)*(INDIRECT($E138&amp;"[siteflag]")=$G$2))))</f>
        <v>11.444943472200711</v>
      </c>
      <c r="O138" s="197">
        <f t="array" aca="1" ref="O138" ca="1">IF($G$2=0,
(SUM(INDIRECT($E138&amp;"["&amp;$G138&amp;"]")*(INDIRECT($E138&amp;"[yr]")=O$5)*(INDIRECT($E138&amp;"[wk]")=O$6))/
SUM((INDIRECT($E138&amp;"["&amp;$F139&amp;"]")+INDIRECT($E138&amp;"["&amp;$E140&amp;"]")+INDIRECT($E138&amp;"["&amp;$G139&amp;"]")+INDIRECT($E138&amp;"["&amp;$H139&amp;"]"))*(INDIRECT($E138&amp;"[yr]")=O$5)*(INDIRECT($E138&amp;"[wk]")=O$6))),
(SUM(INDIRECT($E138&amp;"["&amp;$G138&amp;"]")*(INDIRECT($E138&amp;"[yr]")=O$5)*(INDIRECT($E138&amp;"[wk]")=O$6)*(INDIRECT($E138&amp;"[siteflag]")=$G$2))/
SUM((INDIRECT($E138&amp;"["&amp;$F139&amp;"]")+INDIRECT($E138&amp;"["&amp;$E140&amp;"]")+INDIRECT($E138&amp;"["&amp;$G139&amp;"]")+INDIRECT($E138&amp;"["&amp;$H139&amp;"]"))*(INDIRECT($E138&amp;"[yr]")=O$5)*(INDIRECT($E138&amp;"[wk]")=O$6)*(INDIRECT($E138&amp;"[siteflag]")=$G$2))))</f>
        <v>10.652701882210078</v>
      </c>
      <c r="P138" s="93">
        <f t="array" aca="1" ref="P138" ca="1">IF($G$2=0,
(SUM(INDIRECT($E138&amp;"["&amp;$G138&amp;"]")*(INDIRECT($E138&amp;"[yr]")=P$5)*(INDIRECT($E138&amp;"[wk]")=P$6))/
SUM((INDIRECT($E138&amp;"["&amp;$F139&amp;"]")+INDIRECT($E138&amp;"["&amp;$E140&amp;"]")+INDIRECT($E138&amp;"["&amp;$G139&amp;"]")+INDIRECT($E138&amp;"["&amp;$H139&amp;"]"))*(INDIRECT($E138&amp;"[yr]")=P$5)*(INDIRECT($E138&amp;"[wk]")=P$6))),
(SUM(INDIRECT($E138&amp;"["&amp;$G138&amp;"]")*(INDIRECT($E138&amp;"[yr]")=P$5)*(INDIRECT($E138&amp;"[wk]")=P$6)*(INDIRECT($E138&amp;"[siteflag]")=$G$2))/
SUM((INDIRECT($E138&amp;"["&amp;$F139&amp;"]")+INDIRECT($E138&amp;"["&amp;$E140&amp;"]")+INDIRECT($E138&amp;"["&amp;$G139&amp;"]")+INDIRECT($E138&amp;"["&amp;$H139&amp;"]"))*(INDIRECT($E138&amp;"[yr]")=P$5)*(INDIRECT($E138&amp;"[wk]")=P$6)*(INDIRECT($E138&amp;"[siteflag]")=$G$2))))</f>
        <v>17.351060738157511</v>
      </c>
      <c r="Q138" s="197">
        <f t="array" aca="1" ref="Q138" ca="1">IF($G$2=0,
(SUM(INDIRECT($E138&amp;"["&amp;$G138&amp;"]")*(INDIRECT($E138&amp;"[yr]")=Q$5)*(INDIRECT($E138&amp;"[wk]")=Q$6))/
SUM((INDIRECT($E138&amp;"["&amp;$F139&amp;"]")+INDIRECT($E138&amp;"["&amp;$E140&amp;"]")+INDIRECT($E138&amp;"["&amp;$G139&amp;"]")+INDIRECT($E138&amp;"["&amp;$H139&amp;"]"))*(INDIRECT($E138&amp;"[yr]")=Q$5)*(INDIRECT($E138&amp;"[wk]")=Q$6))),
(SUM(INDIRECT($E138&amp;"["&amp;$G138&amp;"]")*(INDIRECT($E138&amp;"[yr]")=Q$5)*(INDIRECT($E138&amp;"[wk]")=Q$6)*(INDIRECT($E138&amp;"[siteflag]")=$G$2))/
SUM((INDIRECT($E138&amp;"["&amp;$F139&amp;"]")+INDIRECT($E138&amp;"["&amp;$E140&amp;"]")+INDIRECT($E138&amp;"["&amp;$G139&amp;"]")+INDIRECT($E138&amp;"["&amp;$H139&amp;"]"))*(INDIRECT($E138&amp;"[yr]")=Q$5)*(INDIRECT($E138&amp;"[wk]")=Q$6)*(INDIRECT($E138&amp;"[siteflag]")=$G$2))))</f>
        <v>14.614329268292684</v>
      </c>
      <c r="R138" s="197">
        <f t="array" aca="1" ref="R138" ca="1">IF($G$2=0,
(SUM(INDIRECT($E138&amp;"["&amp;$G138&amp;"]")*(INDIRECT($E138&amp;"[yr]")=R$5)*(INDIRECT($E138&amp;"[wk]")=R$6))/
SUM((INDIRECT($E138&amp;"["&amp;$F139&amp;"]")+INDIRECT($E138&amp;"["&amp;$E140&amp;"]")+INDIRECT($E138&amp;"["&amp;$G139&amp;"]")+INDIRECT($E138&amp;"["&amp;$H139&amp;"]"))*(INDIRECT($E138&amp;"[yr]")=R$5)*(INDIRECT($E138&amp;"[wk]")=R$6))),
(SUM(INDIRECT($E138&amp;"["&amp;$G138&amp;"]")*(INDIRECT($E138&amp;"[yr]")=R$5)*(INDIRECT($E138&amp;"[wk]")=R$6)*(INDIRECT($E138&amp;"[siteflag]")=$G$2))/
SUM((INDIRECT($E138&amp;"["&amp;$F139&amp;"]")+INDIRECT($E138&amp;"["&amp;$E140&amp;"]")+INDIRECT($E138&amp;"["&amp;$G139&amp;"]")+INDIRECT($E138&amp;"["&amp;$H139&amp;"]"))*(INDIRECT($E138&amp;"[yr]")=R$5)*(INDIRECT($E138&amp;"[wk]")=R$6)*(INDIRECT($E138&amp;"[siteflag]")=$G$2))))</f>
        <v>13.10648518815052</v>
      </c>
      <c r="S138" s="197">
        <f t="array" aca="1" ref="S138" ca="1">IF($G$2=0,
(SUM(INDIRECT($E138&amp;"["&amp;$G138&amp;"]")*(INDIRECT($E138&amp;"[yr]")=S$5)*(INDIRECT($E138&amp;"[wk]")=S$6))/
SUM((INDIRECT($E138&amp;"["&amp;$F139&amp;"]")+INDIRECT($E138&amp;"["&amp;$E140&amp;"]")+INDIRECT($E138&amp;"["&amp;$G139&amp;"]")+INDIRECT($E138&amp;"["&amp;$H139&amp;"]"))*(INDIRECT($E138&amp;"[yr]")=S$5)*(INDIRECT($E138&amp;"[wk]")=S$6))),
(SUM(INDIRECT($E138&amp;"["&amp;$G138&amp;"]")*(INDIRECT($E138&amp;"[yr]")=S$5)*(INDIRECT($E138&amp;"[wk]")=S$6)*(INDIRECT($E138&amp;"[siteflag]")=$G$2))/
SUM((INDIRECT($E138&amp;"["&amp;$F139&amp;"]")+INDIRECT($E138&amp;"["&amp;$E140&amp;"]")+INDIRECT($E138&amp;"["&amp;$G139&amp;"]")+INDIRECT($E138&amp;"["&amp;$H139&amp;"]"))*(INDIRECT($E138&amp;"[yr]")=S$5)*(INDIRECT($E138&amp;"[wk]")=S$6)*(INDIRECT($E138&amp;"[siteflag]")=$G$2))))</f>
        <v>15.625396825396825</v>
      </c>
      <c r="T138" s="129">
        <f t="array" aca="1" ref="T138" ca="1">IF($G$2=0,
(SUM(INDIRECT($E138&amp;"["&amp;$G138&amp;"]")*(INDIRECT($E138&amp;"[yr]")=T$5)*(INDIRECT($E138&amp;"[wk]")=T$6))/
SUM((INDIRECT($E138&amp;"["&amp;$F139&amp;"]")+INDIRECT($E138&amp;"["&amp;$E140&amp;"]")+INDIRECT($E138&amp;"["&amp;$G139&amp;"]")+INDIRECT($E138&amp;"["&amp;$H139&amp;"]"))*(INDIRECT($E138&amp;"[yr]")=T$5)*(INDIRECT($E138&amp;"[wk]")=T$6))),
(SUM(INDIRECT($E138&amp;"["&amp;$G138&amp;"]")*(INDIRECT($E138&amp;"[yr]")=T$5)*(INDIRECT($E138&amp;"[wk]")=T$6)*(INDIRECT($E138&amp;"[siteflag]")=$G$2))/
SUM((INDIRECT($E138&amp;"["&amp;$F139&amp;"]")+INDIRECT($E138&amp;"["&amp;$E140&amp;"]")+INDIRECT($E138&amp;"["&amp;$G139&amp;"]")+INDIRECT($E138&amp;"["&amp;$H139&amp;"]"))*(INDIRECT($E138&amp;"[yr]")=T$5)*(INDIRECT($E138&amp;"[wk]")=T$6)*(INDIRECT($E138&amp;"[siteflag]")=$G$2))))</f>
        <v>12.720239974739501</v>
      </c>
      <c r="U138" s="130">
        <f t="array" aca="1" ref="U138" ca="1">SUM(Q138:T138*$Q$66:$T$66)/SUM($Q$66:$T$66)</f>
        <v>14.044099812695691</v>
      </c>
      <c r="V138" s="47">
        <f t="array" aca="1" ref="V138" ca="1">SUM(T138/S138)-1</f>
        <v>-0.18592531652926803</v>
      </c>
      <c r="W138" s="131">
        <v>75</v>
      </c>
      <c r="X138" s="49"/>
    </row>
    <row r="139" spans="2:24" ht="13.95" customHeight="1" x14ac:dyDescent="0.4">
      <c r="B139" s="329"/>
      <c r="D139" s="204" t="s">
        <v>67</v>
      </c>
      <c r="E139" t="s">
        <v>155</v>
      </c>
      <c r="F139" t="s">
        <v>134</v>
      </c>
      <c r="G139" t="s">
        <v>137</v>
      </c>
      <c r="H139" t="s">
        <v>151</v>
      </c>
      <c r="I139" s="74">
        <f t="array" aca="1" ref="I139" ca="1">IFERROR(I138/
(IF($G$2=0,
(SUM(INDIRECT($E138&amp;"["&amp;$G138&amp;"]")*(INDIRECT($E138&amp;"[yr]")=I$5-1)*(INDIRECT($E138&amp;"[wk]")=I$6))/
SUM((INDIRECT($E138&amp;"["&amp;$F139&amp;"]")+INDIRECT($E138&amp;"["&amp;$E140&amp;"]")+INDIRECT($E138&amp;"["&amp;$G139&amp;"]")+INDIRECT($E138&amp;"["&amp;$H139&amp;"]"))*(INDIRECT($E138&amp;"[yr]")=I$5-1)*(INDIRECT($E138&amp;"[wk]")=I$6))),
(SUM(INDIRECT($E138&amp;"["&amp;$G138&amp;"]")*(INDIRECT($E138&amp;"[yr]")=I$5-1)*(INDIRECT($E138&amp;"[wk]")=I$6)*(INDIRECT($E138&amp;"[siteflag]")=$G$2))/
SUM((INDIRECT($E138&amp;"["&amp;$F139&amp;"]")+INDIRECT($E138&amp;"["&amp;$E140&amp;"]")+INDIRECT($E138&amp;"["&amp;$G139&amp;"]")+INDIRECT($E138&amp;"["&amp;$H139&amp;"]"))*(INDIRECT($E138&amp;"[yr]")=I$5-1)*(INDIRECT($E138&amp;"[wk]")=I$6)*(INDIRECT($E138&amp;"[siteflag]")=$G$2)))))
-1,0)</f>
        <v>1.8526410622461849</v>
      </c>
      <c r="J139" s="74">
        <f t="array" aca="1" ref="J139" ca="1">IFERROR(J138/
(IF($G$2=0,
(SUM(INDIRECT($E138&amp;"["&amp;$G138&amp;"]")*(INDIRECT($E138&amp;"[yr]")=J$5-1)*(INDIRECT($E138&amp;"[wk]")=J$6))/
SUM((INDIRECT($E138&amp;"["&amp;$F139&amp;"]")+INDIRECT($E138&amp;"["&amp;$E140&amp;"]")+INDIRECT($E138&amp;"["&amp;$G139&amp;"]")+INDIRECT($E138&amp;"["&amp;$H139&amp;"]"))*(INDIRECT($E138&amp;"[yr]")=J$5-1)*(INDIRECT($E138&amp;"[wk]")=J$6))),
(SUM(INDIRECT($E138&amp;"["&amp;$G138&amp;"]")*(INDIRECT($E138&amp;"[yr]")=J$5-1)*(INDIRECT($E138&amp;"[wk]")=J$6)*(INDIRECT($E138&amp;"[siteflag]")=$G$2))/
SUM((INDIRECT($E138&amp;"["&amp;$F139&amp;"]")+INDIRECT($E138&amp;"["&amp;$E140&amp;"]")+INDIRECT($E138&amp;"["&amp;$G139&amp;"]")+INDIRECT($E138&amp;"["&amp;$H139&amp;"]"))*(INDIRECT($E138&amp;"[yr]")=J$5-1)*(INDIRECT($E138&amp;"[wk]")=J$6)*(INDIRECT($E138&amp;"[siteflag]")=$G$2)))))
-1,0)</f>
        <v>0.65813680795818152</v>
      </c>
      <c r="K139" s="74">
        <f t="array" aca="1" ref="K139" ca="1">IFERROR(K138/
(IF($G$2=0,
(SUM(INDIRECT($E138&amp;"["&amp;$G138&amp;"]")*(INDIRECT($E138&amp;"[yr]")=K$5-1)*(INDIRECT($E138&amp;"[wk]")=K$6))/
SUM((INDIRECT($E138&amp;"["&amp;$F139&amp;"]")+INDIRECT($E138&amp;"["&amp;$E140&amp;"]")+INDIRECT($E138&amp;"["&amp;$G139&amp;"]")+INDIRECT($E138&amp;"["&amp;$H139&amp;"]"))*(INDIRECT($E138&amp;"[yr]")=K$5-1)*(INDIRECT($E138&amp;"[wk]")=K$6))),
(SUM(INDIRECT($E138&amp;"["&amp;$G138&amp;"]")*(INDIRECT($E138&amp;"[yr]")=K$5-1)*(INDIRECT($E138&amp;"[wk]")=K$6)*(INDIRECT($E138&amp;"[siteflag]")=$G$2))/
SUM((INDIRECT($E138&amp;"["&amp;$F139&amp;"]")+INDIRECT($E138&amp;"["&amp;$E140&amp;"]")+INDIRECT($E138&amp;"["&amp;$G139&amp;"]")+INDIRECT($E138&amp;"["&amp;$H139&amp;"]"))*(INDIRECT($E138&amp;"[yr]")=K$5-1)*(INDIRECT($E138&amp;"[wk]")=K$6)*(INDIRECT($E138&amp;"[siteflag]")=$G$2)))))
-1,0)</f>
        <v>7.4860578321021283</v>
      </c>
      <c r="L139" s="74">
        <f t="array" aca="1" ref="L139" ca="1">IFERROR(L138/
(IF($G$2=0,
(SUM(INDIRECT($E138&amp;"["&amp;$G138&amp;"]")*(INDIRECT($E138&amp;"[yr]")=L$5-1)*(INDIRECT($E138&amp;"[wk]")=L$6))/
SUM((INDIRECT($E138&amp;"["&amp;$F139&amp;"]")+INDIRECT($E138&amp;"["&amp;$E140&amp;"]")+INDIRECT($E138&amp;"["&amp;$G139&amp;"]")+INDIRECT($E138&amp;"["&amp;$H139&amp;"]"))*(INDIRECT($E138&amp;"[yr]")=L$5-1)*(INDIRECT($E138&amp;"[wk]")=L$6))),
(SUM(INDIRECT($E138&amp;"["&amp;$G138&amp;"]")*(INDIRECT($E138&amp;"[yr]")=L$5-1)*(INDIRECT($E138&amp;"[wk]")=L$6)*(INDIRECT($E138&amp;"[siteflag]")=$G$2))/
SUM((INDIRECT($E138&amp;"["&amp;$F139&amp;"]")+INDIRECT($E138&amp;"["&amp;$E140&amp;"]")+INDIRECT($E138&amp;"["&amp;$G139&amp;"]")+INDIRECT($E138&amp;"["&amp;$H139&amp;"]"))*(INDIRECT($E138&amp;"[yr]")=L$5-1)*(INDIRECT($E138&amp;"[wk]")=L$6)*(INDIRECT($E138&amp;"[siteflag]")=$G$2)))))
-1,0)</f>
        <v>-0.24113637453549075</v>
      </c>
      <c r="M139" s="74">
        <f t="array" aca="1" ref="M139" ca="1">IFERROR(M138/
(IF($G$2=0,
(SUM(INDIRECT($E138&amp;"["&amp;$G138&amp;"]")*(INDIRECT($E138&amp;"[yr]")=M$5-1)*(INDIRECT($E138&amp;"[wk]")=M$6))/
SUM((INDIRECT($E138&amp;"["&amp;$F139&amp;"]")+INDIRECT($E138&amp;"["&amp;$E140&amp;"]")+INDIRECT($E138&amp;"["&amp;$G139&amp;"]")+INDIRECT($E138&amp;"["&amp;$H139&amp;"]"))*(INDIRECT($E138&amp;"[yr]")=M$5-1)*(INDIRECT($E138&amp;"[wk]")=M$6))),
(SUM(INDIRECT($E138&amp;"["&amp;$G138&amp;"]")*(INDIRECT($E138&amp;"[yr]")=M$5-1)*(INDIRECT($E138&amp;"[wk]")=M$6)*(INDIRECT($E138&amp;"[siteflag]")=$G$2))/
SUM((INDIRECT($E138&amp;"["&amp;$F139&amp;"]")+INDIRECT($E138&amp;"["&amp;$E140&amp;"]")+INDIRECT($E138&amp;"["&amp;$G139&amp;"]")+INDIRECT($E138&amp;"["&amp;$H139&amp;"]"))*(INDIRECT($E138&amp;"[yr]")=M$5-1)*(INDIRECT($E138&amp;"[wk]")=M$6)*(INDIRECT($E138&amp;"[siteflag]")=$G$2)))))
-1,0)</f>
        <v>1.6759280987981859</v>
      </c>
      <c r="N139" s="74">
        <f t="array" aca="1" ref="N139" ca="1">IFERROR(N138/
(IF($G$2=0,
(SUM(INDIRECT($E138&amp;"["&amp;$G138&amp;"]")*(INDIRECT($E138&amp;"[yr]")=N$5-1)*(INDIRECT($E138&amp;"[wk]")=N$6))/
SUM((INDIRECT($E138&amp;"["&amp;$F139&amp;"]")+INDIRECT($E138&amp;"["&amp;$E140&amp;"]")+INDIRECT($E138&amp;"["&amp;$G139&amp;"]")+INDIRECT($E138&amp;"["&amp;$H139&amp;"]"))*(INDIRECT($E138&amp;"[yr]")=N$5-1)*(INDIRECT($E138&amp;"[wk]")=N$6))),
(SUM(INDIRECT($E138&amp;"["&amp;$G138&amp;"]")*(INDIRECT($E138&amp;"[yr]")=N$5-1)*(INDIRECT($E138&amp;"[wk]")=N$6)*(INDIRECT($E138&amp;"[siteflag]")=$G$2))/
SUM((INDIRECT($E138&amp;"["&amp;$F139&amp;"]")+INDIRECT($E138&amp;"["&amp;$E140&amp;"]")+INDIRECT($E138&amp;"["&amp;$G139&amp;"]")+INDIRECT($E138&amp;"["&amp;$H139&amp;"]"))*(INDIRECT($E138&amp;"[yr]")=N$5-1)*(INDIRECT($E138&amp;"[wk]")=N$6)*(INDIRECT($E138&amp;"[siteflag]")=$G$2)))))
-1,0)</f>
        <v>-0.18141333020283212</v>
      </c>
      <c r="O139" s="74">
        <f t="array" aca="1" ref="O139" ca="1">IFERROR(O138/
(IF($G$2=0,
(SUM(INDIRECT($E138&amp;"["&amp;$G138&amp;"]")*(INDIRECT($E138&amp;"[yr]")=O$5-1)*(INDIRECT($E138&amp;"[wk]")=O$6))/
SUM((INDIRECT($E138&amp;"["&amp;$F139&amp;"]")+INDIRECT($E138&amp;"["&amp;$E140&amp;"]")+INDIRECT($E138&amp;"["&amp;$G139&amp;"]")+INDIRECT($E138&amp;"["&amp;$H139&amp;"]"))*(INDIRECT($E138&amp;"[yr]")=O$5-1)*(INDIRECT($E138&amp;"[wk]")=O$6))),
(SUM(INDIRECT($E138&amp;"["&amp;$G138&amp;"]")*(INDIRECT($E138&amp;"[yr]")=O$5-1)*(INDIRECT($E138&amp;"[wk]")=O$6)*(INDIRECT($E138&amp;"[siteflag]")=$G$2))/
SUM((INDIRECT($E138&amp;"["&amp;$F139&amp;"]")+INDIRECT($E138&amp;"["&amp;$E140&amp;"]")+INDIRECT($E138&amp;"["&amp;$G139&amp;"]")+INDIRECT($E138&amp;"["&amp;$H139&amp;"]"))*(INDIRECT($E138&amp;"[yr]")=O$5-1)*(INDIRECT($E138&amp;"[wk]")=O$6)*(INDIRECT($E138&amp;"[siteflag]")=$G$2)))))
-1,0)</f>
        <v>-0.64454536840674792</v>
      </c>
      <c r="P139" s="91">
        <f t="array" aca="1" ref="P139" ca="1">IFERROR(P138/
(IF($G$2=0,
(SUM(INDIRECT($E138&amp;"["&amp;$G138&amp;"]")*(INDIRECT($E138&amp;"[yr]")=P$5-1)*(INDIRECT($E138&amp;"[wk]")=P$6))/
SUM((INDIRECT($E138&amp;"["&amp;$F139&amp;"]")+INDIRECT($E138&amp;"["&amp;$E140&amp;"]")+INDIRECT($E138&amp;"["&amp;$G139&amp;"]")+INDIRECT($E138&amp;"["&amp;$H139&amp;"]"))*(INDIRECT($E138&amp;"[yr]")=P$5-1)*(INDIRECT($E138&amp;"[wk]")=P$6))),
(SUM(INDIRECT($E138&amp;"["&amp;$G138&amp;"]")*(INDIRECT($E138&amp;"[yr]")=P$5-1)*(INDIRECT($E138&amp;"[wk]")=P$6)*(INDIRECT($E138&amp;"[siteflag]")=$G$2))/
SUM((INDIRECT($E138&amp;"["&amp;$F139&amp;"]")+INDIRECT($E138&amp;"["&amp;$E140&amp;"]")+INDIRECT($E138&amp;"["&amp;$G139&amp;"]")+INDIRECT($E138&amp;"["&amp;$H139&amp;"]"))*(INDIRECT($E138&amp;"[yr]")=P$5-1)*(INDIRECT($E138&amp;"[wk]")=P$6)*(INDIRECT($E138&amp;"[siteflag]")=$G$2)))))
-1,0)</f>
        <v>0.19298900180335599</v>
      </c>
      <c r="Q139" s="74">
        <f t="array" aca="1" ref="Q139" ca="1">IFERROR(Q138/
(IF($G$2=0,
(SUM(INDIRECT($E138&amp;"["&amp;$G138&amp;"]")*(INDIRECT($E138&amp;"[yr]")=Q$5-1)*(INDIRECT($E138&amp;"[wk]")=Q$6))/
SUM((INDIRECT($E138&amp;"["&amp;$F139&amp;"]")+INDIRECT($E138&amp;"["&amp;$E140&amp;"]")+INDIRECT($E138&amp;"["&amp;$G139&amp;"]")+INDIRECT($E138&amp;"["&amp;$H139&amp;"]"))*(INDIRECT($E138&amp;"[yr]")=Q$5-1)*(INDIRECT($E138&amp;"[wk]")=Q$6))),
(SUM(INDIRECT($E138&amp;"["&amp;$G138&amp;"]")*(INDIRECT($E138&amp;"[yr]")=Q$5-1)*(INDIRECT($E138&amp;"[wk]")=Q$6)*(INDIRECT($E138&amp;"[siteflag]")=$G$2))/
SUM((INDIRECT($E138&amp;"["&amp;$F139&amp;"]")+INDIRECT($E138&amp;"["&amp;$E140&amp;"]")+INDIRECT($E138&amp;"["&amp;$G139&amp;"]")+INDIRECT($E138&amp;"["&amp;$H139&amp;"]"))*(INDIRECT($E138&amp;"[yr]")=Q$5-1)*(INDIRECT($E138&amp;"[wk]")=Q$6)*(INDIRECT($E138&amp;"[siteflag]")=$G$2)))))
-1,0)</f>
        <v>-6.3761621693546378E-2</v>
      </c>
      <c r="R139" s="74">
        <f t="array" aca="1" ref="R139" ca="1">IFERROR(R138/
(IF($G$2=0,
(SUM(INDIRECT($E138&amp;"["&amp;$G138&amp;"]")*(INDIRECT($E138&amp;"[yr]")=R$5-1)*(INDIRECT($E138&amp;"[wk]")=R$6))/
SUM((INDIRECT($E138&amp;"["&amp;$F139&amp;"]")+INDIRECT($E138&amp;"["&amp;$E140&amp;"]")+INDIRECT($E138&amp;"["&amp;$G139&amp;"]")+INDIRECT($E138&amp;"["&amp;$H139&amp;"]"))*(INDIRECT($E138&amp;"[yr]")=R$5-1)*(INDIRECT($E138&amp;"[wk]")=R$6))),
(SUM(INDIRECT($E138&amp;"["&amp;$G138&amp;"]")*(INDIRECT($E138&amp;"[yr]")=R$5-1)*(INDIRECT($E138&amp;"[wk]")=R$6)*(INDIRECT($E138&amp;"[siteflag]")=$G$2))/
SUM((INDIRECT($E138&amp;"["&amp;$F139&amp;"]")+INDIRECT($E138&amp;"["&amp;$E140&amp;"]")+INDIRECT($E138&amp;"["&amp;$G139&amp;"]")+INDIRECT($E138&amp;"["&amp;$H139&amp;"]"))*(INDIRECT($E138&amp;"[yr]")=R$5-1)*(INDIRECT($E138&amp;"[wk]")=R$6)*(INDIRECT($E138&amp;"[siteflag]")=$G$2)))))
-1,0)</f>
        <v>0.1609603542749436</v>
      </c>
      <c r="S139" s="151">
        <f t="array" aca="1" ref="S139" ca="1">IFERROR(S138/
(IF($G$2=0,
(SUM(INDIRECT($E138&amp;"["&amp;$G138&amp;"]")*(INDIRECT($E138&amp;"[yr]")=S$5-1)*(INDIRECT($E138&amp;"[wk]")=S$6))/
SUM((INDIRECT($E138&amp;"["&amp;$F139&amp;"]")+INDIRECT($E138&amp;"["&amp;$E140&amp;"]")+INDIRECT($E138&amp;"["&amp;$G139&amp;"]")+INDIRECT($E138&amp;"["&amp;$H139&amp;"]"))*(INDIRECT($E138&amp;"[yr]")=S$5-1)*(INDIRECT($E138&amp;"[wk]")=S$6))),
(SUM(INDIRECT($E138&amp;"["&amp;$G138&amp;"]")*(INDIRECT($E138&amp;"[yr]")=S$5-1)*(INDIRECT($E138&amp;"[wk]")=S$6)*(INDIRECT($E138&amp;"[siteflag]")=$G$2))/
SUM((INDIRECT($E138&amp;"["&amp;$F139&amp;"]")+INDIRECT($E138&amp;"["&amp;$E140&amp;"]")+INDIRECT($E138&amp;"["&amp;$G139&amp;"]")+INDIRECT($E138&amp;"["&amp;$H139&amp;"]"))*(INDIRECT($E138&amp;"[yr]")=S$5-1)*(INDIRECT($E138&amp;"[wk]")=S$6)*(INDIRECT($E138&amp;"[siteflag]")=$G$2)))))
-1,0)</f>
        <v>7.0980023269054504E-2</v>
      </c>
      <c r="T139" s="76">
        <f t="array" aca="1" ref="T139" ca="1">IFERROR(T138/
(IF($G$2=0,
(SUM(INDIRECT($E138&amp;"["&amp;$G138&amp;"]")*(INDIRECT($E138&amp;"[yr]")=T$5-1)*(INDIRECT($E138&amp;"[wk]")=T$6))/
SUM((INDIRECT($E138&amp;"["&amp;$F139&amp;"]")+INDIRECT($E138&amp;"["&amp;$E140&amp;"]")+INDIRECT($E138&amp;"["&amp;$G139&amp;"]")+INDIRECT($E138&amp;"["&amp;$H139&amp;"]"))*(INDIRECT($E138&amp;"[yr]")=T$5-1)*(INDIRECT($E138&amp;"[wk]")=T$6))),
(SUM(INDIRECT($E138&amp;"["&amp;$G138&amp;"]")*(INDIRECT($E138&amp;"[yr]")=T$5-1)*(INDIRECT($E138&amp;"[wk]")=T$6)*(INDIRECT($E138&amp;"[siteflag]")=$G$2))/
SUM((INDIRECT($E138&amp;"["&amp;$F139&amp;"]")+INDIRECT($E138&amp;"["&amp;$E140&amp;"]")+INDIRECT($E138&amp;"["&amp;$G139&amp;"]")+INDIRECT($E138&amp;"["&amp;$H139&amp;"]"))*(INDIRECT($E138&amp;"[yr]")=T$5-1)*(INDIRECT($E138&amp;"[wk]")=T$6)*(INDIRECT($E138&amp;"[siteflag]")=$G$2)))))
-1,0)</f>
        <v>-0.2224432878540491</v>
      </c>
      <c r="U139" s="77">
        <f t="array" aca="1" ref="U139" ca="1">SUM(Q139:T139*$Q$66:$T$66)/SUM($Q$66:$T$66)</f>
        <v>-1.9379720241658713E-2</v>
      </c>
      <c r="V139" s="91"/>
      <c r="W139" s="80"/>
      <c r="X139" s="81"/>
    </row>
    <row r="140" spans="2:24" ht="13.2" hidden="1" customHeight="1" x14ac:dyDescent="0.4">
      <c r="B140" s="330"/>
      <c r="D140" s="78"/>
      <c r="E140" t="s">
        <v>185</v>
      </c>
      <c r="F140" t="s">
        <v>164</v>
      </c>
      <c r="G140" t="s">
        <v>163</v>
      </c>
      <c r="P140" s="231"/>
      <c r="T140" s="76"/>
      <c r="U140" s="77"/>
      <c r="V140" s="190"/>
      <c r="W140" s="190"/>
      <c r="X140" s="56"/>
    </row>
    <row r="141" spans="2:24" ht="3" customHeight="1" x14ac:dyDescent="0.4">
      <c r="B141" s="57"/>
      <c r="D141" s="61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</row>
    <row r="142" spans="2:24" ht="14.15" customHeight="1" x14ac:dyDescent="0.4">
      <c r="B142" s="335" t="s">
        <v>489</v>
      </c>
      <c r="D142" s="201" t="s">
        <v>373</v>
      </c>
      <c r="E142" s="63" t="s">
        <v>29</v>
      </c>
      <c r="F142" s="63" t="s">
        <v>291</v>
      </c>
      <c r="G142" s="63"/>
      <c r="H142" s="63"/>
      <c r="I142" s="188">
        <f t="array" aca="1" ref="I142" ca="1" xml:space="preserve"> IFERROR( SUM(INDIRECT($E142&amp;"["&amp;$F142&amp;"]")*(INDIRECT($E142&amp;"[yr]")=I$5)*(INDIRECT($E142&amp;"[wk]")=I$6)*(INDIRECT($E142&amp;"[siteflag]")=$G$2)) -
                     SUM(INDIRECT($E142&amp;"["&amp;$F143&amp;"]")*(INDIRECT($E142&amp;"[yr]")=I$5)*(INDIRECT($E142&amp;"[wk]")=I$6)*(INDIRECT($E142&amp;"[siteflag]")=$G$2)), 0)</f>
        <v>677</v>
      </c>
      <c r="J142" s="188">
        <f t="array" aca="1" ref="J142" ca="1" xml:space="preserve"> IFERROR( SUM(INDIRECT($E142&amp;"["&amp;$F142&amp;"]")*(INDIRECT($E142&amp;"[yr]")=J$5)*(INDIRECT($E142&amp;"[wk]")=J$6)*(INDIRECT($E142&amp;"[siteflag]")=$G$2)) -
                     SUM(INDIRECT($E142&amp;"["&amp;$F143&amp;"]")*(INDIRECT($E142&amp;"[yr]")=J$5)*(INDIRECT($E142&amp;"[wk]")=J$6)*(INDIRECT($E142&amp;"[siteflag]")=$G$2)), 0)</f>
        <v>642</v>
      </c>
      <c r="K142" s="188">
        <f t="array" aca="1" ref="K142" ca="1" xml:space="preserve"> IFERROR( SUM(INDIRECT($E142&amp;"["&amp;$F142&amp;"]")*(INDIRECT($E142&amp;"[yr]")=K$5)*(INDIRECT($E142&amp;"[wk]")=K$6)*(INDIRECT($E142&amp;"[siteflag]")=$G$2)) -
                     SUM(INDIRECT($E142&amp;"["&amp;$F143&amp;"]")*(INDIRECT($E142&amp;"[yr]")=K$5)*(INDIRECT($E142&amp;"[wk]")=K$6)*(INDIRECT($E142&amp;"[siteflag]")=$G$2)), 0)</f>
        <v>837</v>
      </c>
      <c r="L142" s="188">
        <f t="array" aca="1" ref="L142" ca="1" xml:space="preserve"> IFERROR( SUM(INDIRECT($E142&amp;"["&amp;$F142&amp;"]")*(INDIRECT($E142&amp;"[yr]")=L$5)*(INDIRECT($E142&amp;"[wk]")=L$6)*(INDIRECT($E142&amp;"[siteflag]")=$G$2)) -
                     SUM(INDIRECT($E142&amp;"["&amp;$F143&amp;"]")*(INDIRECT($E142&amp;"[yr]")=L$5)*(INDIRECT($E142&amp;"[wk]")=L$6)*(INDIRECT($E142&amp;"[siteflag]")=$G$2)), 0)</f>
        <v>451</v>
      </c>
      <c r="M142" s="188">
        <f t="array" aca="1" ref="M142" ca="1" xml:space="preserve"> IFERROR( SUM(INDIRECT($E142&amp;"["&amp;$F142&amp;"]")*(INDIRECT($E142&amp;"[yr]")=M$5)*(INDIRECT($E142&amp;"[wk]")=M$6)*(INDIRECT($E142&amp;"[siteflag]")=$G$2)) -
                     SUM(INDIRECT($E142&amp;"["&amp;$F143&amp;"]")*(INDIRECT($E142&amp;"[yr]")=M$5)*(INDIRECT($E142&amp;"[wk]")=M$6)*(INDIRECT($E142&amp;"[siteflag]")=$G$2)), 0)</f>
        <v>473</v>
      </c>
      <c r="N142" s="188">
        <f t="array" aca="1" ref="N142" ca="1" xml:space="preserve"> IFERROR( SUM(INDIRECT($E142&amp;"["&amp;$F142&amp;"]")*(INDIRECT($E142&amp;"[yr]")=N$5)*(INDIRECT($E142&amp;"[wk]")=N$6)*(INDIRECT($E142&amp;"[siteflag]")=$G$2)) -
                     SUM(INDIRECT($E142&amp;"["&amp;$F143&amp;"]")*(INDIRECT($E142&amp;"[yr]")=N$5)*(INDIRECT($E142&amp;"[wk]")=N$6)*(INDIRECT($E142&amp;"[siteflag]")=$G$2)), 0)</f>
        <v>535</v>
      </c>
      <c r="O142" s="188">
        <f t="array" aca="1" ref="O142" ca="1" xml:space="preserve"> IFERROR( SUM(INDIRECT($E142&amp;"["&amp;$F142&amp;"]")*(INDIRECT($E142&amp;"[yr]")=O$5)*(INDIRECT($E142&amp;"[wk]")=O$6)*(INDIRECT($E142&amp;"[siteflag]")=$G$2)) -
                     SUM(INDIRECT($E142&amp;"["&amp;$F143&amp;"]")*(INDIRECT($E142&amp;"[yr]")=O$5)*(INDIRECT($E142&amp;"[wk]")=O$6)*(INDIRECT($E142&amp;"[siteflag]")=$G$2)), 0)</f>
        <v>877</v>
      </c>
      <c r="P142" s="157">
        <f t="array" aca="1" ref="P142" ca="1" xml:space="preserve"> IFERROR( SUM(INDIRECT($E142&amp;"["&amp;$F142&amp;"]")*(INDIRECT($E142&amp;"[yr]")=P$5)*(INDIRECT($E142&amp;"[wk]")=P$6)*(INDIRECT($E142&amp;"[siteflag]")=$G$2)) -
                     SUM(INDIRECT($E142&amp;"["&amp;$F143&amp;"]")*(INDIRECT($E142&amp;"[yr]")=P$5)*(INDIRECT($E142&amp;"[wk]")=P$6)*(INDIRECT($E142&amp;"[siteflag]")=$G$2)), 0)</f>
        <v>2164</v>
      </c>
      <c r="Q142" s="188">
        <f t="array" aca="1" ref="Q142" ca="1" xml:space="preserve"> IFERROR( SUM(INDIRECT($E142&amp;"["&amp;$F142&amp;"]")*(INDIRECT($E142&amp;"[yr]")=Q$5)*(INDIRECT($E142&amp;"[wk]")=Q$6)*(INDIRECT($E142&amp;"[siteflag]")=$G$2)) -
                     SUM(INDIRECT($E142&amp;"["&amp;$F143&amp;"]")*(INDIRECT($E142&amp;"[yr]")=Q$5)*(INDIRECT($E142&amp;"[wk]")=Q$6)*(INDIRECT($E142&amp;"[siteflag]")=$G$2)), 0)</f>
        <v>1873</v>
      </c>
      <c r="R142" s="188">
        <f t="array" aca="1" ref="R142" ca="1" xml:space="preserve"> IFERROR( SUM(INDIRECT($E142&amp;"["&amp;$F142&amp;"]")*(INDIRECT($E142&amp;"[yr]")=R$5)*(INDIRECT($E142&amp;"[wk]")=R$6)*(INDIRECT($E142&amp;"[siteflag]")=$G$2)) -
                     SUM(INDIRECT($E142&amp;"["&amp;$F143&amp;"]")*(INDIRECT($E142&amp;"[yr]")=R$5)*(INDIRECT($E142&amp;"[wk]")=R$6)*(INDIRECT($E142&amp;"[siteflag]")=$G$2)), 0)</f>
        <v>454</v>
      </c>
      <c r="S142" s="188">
        <f t="array" aca="1" ref="S142" ca="1" xml:space="preserve"> IFERROR( SUM(INDIRECT($E142&amp;"["&amp;$F142&amp;"]")*(INDIRECT($E142&amp;"[yr]")=S$5)*(INDIRECT($E142&amp;"[wk]")=S$6)*(INDIRECT($E142&amp;"[siteflag]")=$G$2)) -
                     SUM(INDIRECT($E142&amp;"["&amp;$F143&amp;"]")*(INDIRECT($E142&amp;"[yr]")=S$5)*(INDIRECT($E142&amp;"[wk]")=S$6)*(INDIRECT($E142&amp;"[siteflag]")=$G$2)), 0)</f>
        <v>557</v>
      </c>
      <c r="T142" s="237">
        <f t="array" aca="1" ref="T142" ca="1" xml:space="preserve"> IFERROR( SUM(INDIRECT($E142&amp;"["&amp;$F142&amp;"]")*(INDIRECT($E142&amp;"[yr]")=T$5)*(INDIRECT($E142&amp;"[wk]")=T$6)*(INDIRECT($E142&amp;"[siteflag]")=$G$2)) -
                     SUM(INDIRECT($E142&amp;"["&amp;$F143&amp;"]")*(INDIRECT($E142&amp;"[yr]")=T$5)*(INDIRECT($E142&amp;"[wk]")=T$6)*(INDIRECT($E142&amp;"[siteflag]")=$G$2)), 0)</f>
        <v>427</v>
      </c>
      <c r="U142" s="238">
        <f t="array" aca="1" ref="U142" ca="1">AVERAGE(Q142:T142)</f>
        <v>827.75</v>
      </c>
      <c r="V142" s="47">
        <f t="array" aca="1" ref="V142" ca="1">SUM(T142/S142)-1</f>
        <v>-0.23339317773788149</v>
      </c>
      <c r="W142" s="131"/>
      <c r="X142" s="49"/>
    </row>
    <row r="143" spans="2:24" ht="14.15" customHeight="1" x14ac:dyDescent="0.4">
      <c r="B143" s="336"/>
      <c r="D143" s="262" t="s">
        <v>111</v>
      </c>
      <c r="E143" s="146"/>
      <c r="F143" t="s">
        <v>372</v>
      </c>
      <c r="I143" s="133">
        <f t="array" aca="1" ref="I143" ca="1">I142/SUM(INDIRECT($E142&amp;"["&amp;$F142&amp;"]")*(INDIRECT($E142&amp;"[yr]")=I$5)*(INDIRECT($E142&amp;"[wk]")=I$6)*(INDIRECT($E142&amp;"[siteflag]")=$G$2))</f>
        <v>4.3699974180222048E-2</v>
      </c>
      <c r="J143" s="133">
        <f t="array" aca="1" ref="J143" ca="1">J142/SUM(INDIRECT($E142&amp;"["&amp;$F142&amp;"]")*(INDIRECT($E142&amp;"[yr]")=J$5)*(INDIRECT($E142&amp;"[wk]")=J$6)*(INDIRECT($E142&amp;"[siteflag]")=$G$2))</f>
        <v>4.0933435348125477E-2</v>
      </c>
      <c r="K143" s="133">
        <f t="array" aca="1" ref="K143" ca="1">K142/SUM(INDIRECT($E142&amp;"["&amp;$F142&amp;"]")*(INDIRECT($E142&amp;"[yr]")=K$5)*(INDIRECT($E142&amp;"[wk]")=K$6)*(INDIRECT($E142&amp;"[siteflag]")=$G$2))</f>
        <v>4.991353092015028E-2</v>
      </c>
      <c r="L143" s="133">
        <f t="array" aca="1" ref="L143" ca="1">L142/SUM(INDIRECT($E142&amp;"["&amp;$F142&amp;"]")*(INDIRECT($E142&amp;"[yr]")=L$5)*(INDIRECT($E142&amp;"[wk]")=L$6)*(INDIRECT($E142&amp;"[siteflag]")=$G$2))</f>
        <v>2.9974744118038018E-2</v>
      </c>
      <c r="M143" s="133">
        <f t="array" aca="1" ref="M143" ca="1">M142/SUM(INDIRECT($E142&amp;"["&amp;$F142&amp;"]")*(INDIRECT($E142&amp;"[yr]")=M$5)*(INDIRECT($E142&amp;"[wk]")=M$6)*(INDIRECT($E142&amp;"[siteflag]")=$G$2))</f>
        <v>3.0353590451132645E-2</v>
      </c>
      <c r="N143" s="133">
        <f t="array" aca="1" ref="N143" ca="1">N142/SUM(INDIRECT($E142&amp;"["&amp;$F142&amp;"]")*(INDIRECT($E142&amp;"[yr]")=N$5)*(INDIRECT($E142&amp;"[wk]")=N$6)*(INDIRECT($E142&amp;"[siteflag]")=$G$2))</f>
        <v>3.4303667607078737E-2</v>
      </c>
      <c r="O143" s="133">
        <f t="array" aca="1" ref="O143" ca="1">O142/SUM(INDIRECT($E142&amp;"["&amp;$F142&amp;"]")*(INDIRECT($E142&amp;"[yr]")=O$5)*(INDIRECT($E142&amp;"[wk]")=O$6)*(INDIRECT($E142&amp;"[siteflag]")=$G$2))</f>
        <v>5.2596857382751591E-2</v>
      </c>
      <c r="P143" s="133">
        <f t="array" aca="1" ref="P143" ca="1">P142/SUM(INDIRECT($E142&amp;"["&amp;$F142&amp;"]")*(INDIRECT($E142&amp;"[yr]")=P$5)*(INDIRECT($E142&amp;"[wk]")=P$6)*(INDIRECT($E142&amp;"[siteflag]")=$G$2))</f>
        <v>8.9373477057778886E-2</v>
      </c>
      <c r="Q143" s="257">
        <f t="array" aca="1" ref="Q143" ca="1">Q142/SUM(INDIRECT($E142&amp;"["&amp;$F142&amp;"]")*(INDIRECT($E142&amp;"[yr]")=Q$5)*(INDIRECT($E142&amp;"[wk]")=Q$6)*(INDIRECT($E142&amp;"[siteflag]")=$G$2))</f>
        <v>8.6524691643183813E-2</v>
      </c>
      <c r="R143" s="133">
        <f t="array" aca="1" ref="R143" ca="1">R142/SUM(INDIRECT($E142&amp;"["&amp;$F142&amp;"]")*(INDIRECT($E142&amp;"[yr]")=R$5)*(INDIRECT($E142&amp;"[wk]")=R$6)*(INDIRECT($E142&amp;"[siteflag]")=$G$2))</f>
        <v>2.8823566757666182E-2</v>
      </c>
      <c r="S143" s="133">
        <f t="array" aca="1" ref="S143" ca="1">S142/SUM(INDIRECT($E142&amp;"["&amp;$F142&amp;"]")*(INDIRECT($E142&amp;"[yr]")=S$5)*(INDIRECT($E142&amp;"[wk]")=S$6)*(INDIRECT($E142&amp;"[siteflag]")=$G$2))</f>
        <v>3.6936339522546421E-2</v>
      </c>
      <c r="T143" s="140">
        <f t="array" aca="1" ref="T143" ca="1">T142/SUM(INDIRECT($E142&amp;"["&amp;$F142&amp;"]")*(INDIRECT($E142&amp;"[yr]")=T$5)*(INDIRECT($E142&amp;"[wk]")=T$6)*(INDIRECT($E142&amp;"[siteflag]")=$G$2))</f>
        <v>2.56071964017991E-2</v>
      </c>
      <c r="U143" s="144">
        <f ca="1">SUM(Q142:T142)/SUMPRODUCT(1/Q143:T143,Q142:T142)</f>
        <v>4.7879340014171476E-2</v>
      </c>
      <c r="V143" s="186"/>
      <c r="W143" s="80"/>
      <c r="X143" s="81"/>
    </row>
    <row r="144" spans="2:24" ht="14.15" customHeight="1" x14ac:dyDescent="0.4">
      <c r="B144" s="336"/>
      <c r="D144" s="263" t="s">
        <v>484</v>
      </c>
      <c r="E144" s="146" t="s">
        <v>29</v>
      </c>
      <c r="F144" t="s">
        <v>480</v>
      </c>
      <c r="I144" s="124">
        <f t="array" aca="1" ref="I144" ca="1">SUM(INDIRECT($E144&amp;"["&amp;$F144&amp;"]")*(INDIRECT($E144&amp;"[yr]")=I$5)*(INDIRECT($E144&amp;"[wk]")=I$6)*(IF($G$2=0,1,(INDIRECT($E144&amp;"[siteflag]")=$G$2))))</f>
        <v>63</v>
      </c>
      <c r="J144" s="124">
        <f t="array" aca="1" ref="J144" ca="1">SUM(INDIRECT($E144&amp;"["&amp;$F144&amp;"]")*(INDIRECT($E144&amp;"[yr]")=J$5)*(INDIRECT($E144&amp;"[wk]")=J$6)*(IF($G$2=0,1,(INDIRECT($E144&amp;"[siteflag]")=$G$2))))</f>
        <v>49</v>
      </c>
      <c r="K144" s="124">
        <f t="array" aca="1" ref="K144" ca="1">SUM(INDIRECT($E144&amp;"["&amp;$F144&amp;"]")*(INDIRECT($E144&amp;"[yr]")=K$5)*(INDIRECT($E144&amp;"[wk]")=K$6)*(IF($G$2=0,1,(INDIRECT($E144&amp;"[siteflag]")=$G$2))))</f>
        <v>64</v>
      </c>
      <c r="L144" s="124">
        <f t="array" aca="1" ref="L144" ca="1">SUM(INDIRECT($E144&amp;"["&amp;$F144&amp;"]")*(INDIRECT($E144&amp;"[yr]")=L$5)*(INDIRECT($E144&amp;"[wk]")=L$6)*(IF($G$2=0,1,(INDIRECT($E144&amp;"[siteflag]")=$G$2))))</f>
        <v>24</v>
      </c>
      <c r="M144" s="124">
        <f t="array" aca="1" ref="M144" ca="1">SUM(INDIRECT($E144&amp;"["&amp;$F144&amp;"]")*(INDIRECT($E144&amp;"[yr]")=M$5)*(INDIRECT($E144&amp;"[wk]")=M$6)*(IF($G$2=0,1,(INDIRECT($E144&amp;"[siteflag]")=$G$2))))</f>
        <v>27</v>
      </c>
      <c r="N144" s="124">
        <f t="array" aca="1" ref="N144" ca="1">SUM(INDIRECT($E144&amp;"["&amp;$F144&amp;"]")*(INDIRECT($E144&amp;"[yr]")=N$5)*(INDIRECT($E144&amp;"[wk]")=N$6)*(IF($G$2=0,1,(INDIRECT($E144&amp;"[siteflag]")=$G$2))))</f>
        <v>47</v>
      </c>
      <c r="O144" s="124">
        <f t="array" aca="1" ref="O144" ca="1">SUM(INDIRECT($E144&amp;"["&amp;$F144&amp;"]")*(INDIRECT($E144&amp;"[yr]")=O$5)*(INDIRECT($E144&amp;"[wk]")=O$6)*(IF($G$2=0,1,(INDIRECT($E144&amp;"[siteflag]")=$G$2))))</f>
        <v>64</v>
      </c>
      <c r="P144" s="124">
        <f t="array" aca="1" ref="P144" ca="1">SUM(INDIRECT($E144&amp;"["&amp;$F144&amp;"]")*(INDIRECT($E144&amp;"[yr]")=P$5)*(INDIRECT($E144&amp;"[wk]")=P$6)*(IF($G$2=0,1,(INDIRECT($E144&amp;"[siteflag]")=$G$2))))</f>
        <v>83</v>
      </c>
      <c r="Q144" s="125">
        <f t="array" aca="1" ref="Q144" ca="1">SUM(INDIRECT($E144&amp;"["&amp;$F144&amp;"]")*(INDIRECT($E144&amp;"[yr]")=Q$5)*(INDIRECT($E144&amp;"[wk]")=Q$6)*(IF($G$2=0,1,(INDIRECT($E144&amp;"[siteflag]")=$G$2))))</f>
        <v>67</v>
      </c>
      <c r="R144" s="124">
        <f t="array" aca="1" ref="R144" ca="1">SUM(INDIRECT($E144&amp;"["&amp;$F144&amp;"]")*(INDIRECT($E144&amp;"[yr]")=R$5)*(INDIRECT($E144&amp;"[wk]")=R$6)*(IF($G$2=0,1,(INDIRECT($E144&amp;"[siteflag]")=$G$2))))</f>
        <v>31</v>
      </c>
      <c r="S144" s="258">
        <f t="array" aca="1" ref="S144" ca="1">SUM(INDIRECT($E144&amp;"["&amp;$F144&amp;"]")*(INDIRECT($E144&amp;"[yr]")=S$5)*(INDIRECT($E144&amp;"[wk]")=S$6)*(IF($G$2=0,1,(INDIRECT($E144&amp;"[siteflag]")=$G$2))))</f>
        <v>129</v>
      </c>
      <c r="T144" s="193">
        <f t="array" aca="1" ref="T144" ca="1">SUM(INDIRECT($E144&amp;"["&amp;$F144&amp;"]")*(INDIRECT($E144&amp;"[yr]")=T$5)*(INDIRECT($E144&amp;"[wk]")=T$6)*(IF($G$2=0,1,(INDIRECT($E144&amp;"[siteflag]")=$G$2))))</f>
        <v>37</v>
      </c>
      <c r="U144" s="259">
        <f ca="1">AVERAGE(Q144:T144)</f>
        <v>66</v>
      </c>
      <c r="V144" s="81">
        <f ca="1">IFERROR(SUM(T144/S144)-1,0)</f>
        <v>-0.71317829457364335</v>
      </c>
      <c r="W144" s="261"/>
      <c r="X144" s="81"/>
    </row>
    <row r="145" spans="2:24" ht="14.15" customHeight="1" x14ac:dyDescent="0.4">
      <c r="B145" s="336"/>
      <c r="D145" s="263" t="s">
        <v>485</v>
      </c>
      <c r="E145" s="146" t="s">
        <v>29</v>
      </c>
      <c r="F145" t="s">
        <v>481</v>
      </c>
      <c r="I145" s="124">
        <f t="array" aca="1" ref="I145" ca="1">SUM(INDIRECT($E145&amp;"["&amp;$F145&amp;"]")*(INDIRECT($E145&amp;"[yr]")=I$5)*(INDIRECT($E145&amp;"[wk]")=I$6)*(IF($G$2=0,1,(INDIRECT($E145&amp;"[siteflag]")=$G$2))))</f>
        <v>429</v>
      </c>
      <c r="J145" s="124">
        <f t="array" aca="1" ref="J145" ca="1">SUM(INDIRECT($E145&amp;"["&amp;$F145&amp;"]")*(INDIRECT($E145&amp;"[yr]")=J$5)*(INDIRECT($E145&amp;"[wk]")=J$6)*(IF($G$2=0,1,(INDIRECT($E145&amp;"[siteflag]")=$G$2))))</f>
        <v>403</v>
      </c>
      <c r="K145" s="124">
        <f t="array" aca="1" ref="K145" ca="1">SUM(INDIRECT($E145&amp;"["&amp;$F145&amp;"]")*(INDIRECT($E145&amp;"[yr]")=K$5)*(INDIRECT($E145&amp;"[wk]")=K$6)*(IF($G$2=0,1,(INDIRECT($E145&amp;"[siteflag]")=$G$2))))</f>
        <v>582</v>
      </c>
      <c r="L145" s="124">
        <f t="array" aca="1" ref="L145" ca="1">SUM(INDIRECT($E145&amp;"["&amp;$F145&amp;"]")*(INDIRECT($E145&amp;"[yr]")=L$5)*(INDIRECT($E145&amp;"[wk]")=L$6)*(IF($G$2=0,1,(INDIRECT($E145&amp;"[siteflag]")=$G$2))))</f>
        <v>361</v>
      </c>
      <c r="M145" s="124">
        <f t="array" aca="1" ref="M145" ca="1">SUM(INDIRECT($E145&amp;"["&amp;$F145&amp;"]")*(INDIRECT($E145&amp;"[yr]")=M$5)*(INDIRECT($E145&amp;"[wk]")=M$6)*(IF($G$2=0,1,(INDIRECT($E145&amp;"[siteflag]")=$G$2))))</f>
        <v>392</v>
      </c>
      <c r="N145" s="124">
        <f t="array" aca="1" ref="N145" ca="1">SUM(INDIRECT($E145&amp;"["&amp;$F145&amp;"]")*(INDIRECT($E145&amp;"[yr]")=N$5)*(INDIRECT($E145&amp;"[wk]")=N$6)*(IF($G$2=0,1,(INDIRECT($E145&amp;"[siteflag]")=$G$2))))</f>
        <v>415</v>
      </c>
      <c r="O145" s="124">
        <f t="array" aca="1" ref="O145" ca="1">SUM(INDIRECT($E145&amp;"["&amp;$F145&amp;"]")*(INDIRECT($E145&amp;"[yr]")=O$5)*(INDIRECT($E145&amp;"[wk]")=O$6)*(IF($G$2=0,1,(INDIRECT($E145&amp;"[siteflag]")=$G$2))))</f>
        <v>572</v>
      </c>
      <c r="P145" s="124">
        <f t="array" aca="1" ref="P145" ca="1">SUM(INDIRECT($E145&amp;"["&amp;$F145&amp;"]")*(INDIRECT($E145&amp;"[yr]")=P$5)*(INDIRECT($E145&amp;"[wk]")=P$6)*(IF($G$2=0,1,(INDIRECT($E145&amp;"[siteflag]")=$G$2))))</f>
        <v>1126</v>
      </c>
      <c r="Q145" s="125">
        <f t="array" aca="1" ref="Q145" ca="1">SUM(INDIRECT($E145&amp;"["&amp;$F145&amp;"]")*(INDIRECT($E145&amp;"[yr]")=Q$5)*(INDIRECT($E145&amp;"[wk]")=Q$6)*(IF($G$2=0,1,(INDIRECT($E145&amp;"[siteflag]")=$G$2))))</f>
        <v>697</v>
      </c>
      <c r="R145" s="124">
        <f t="array" aca="1" ref="R145" ca="1">SUM(INDIRECT($E145&amp;"["&amp;$F145&amp;"]")*(INDIRECT($E145&amp;"[yr]")=R$5)*(INDIRECT($E145&amp;"[wk]")=R$6)*(IF($G$2=0,1,(INDIRECT($E145&amp;"[siteflag]")=$G$2))))</f>
        <v>363</v>
      </c>
      <c r="S145" s="258">
        <f t="array" aca="1" ref="S145" ca="1">SUM(INDIRECT($E145&amp;"["&amp;$F145&amp;"]")*(INDIRECT($E145&amp;"[yr]")=S$5)*(INDIRECT($E145&amp;"[wk]")=S$6)*(IF($G$2=0,1,(INDIRECT($E145&amp;"[siteflag]")=$G$2))))</f>
        <v>367</v>
      </c>
      <c r="T145" s="193">
        <f t="array" aca="1" ref="T145" ca="1">SUM(INDIRECT($E145&amp;"["&amp;$F145&amp;"]")*(INDIRECT($E145&amp;"[yr]")=T$5)*(INDIRECT($E145&amp;"[wk]")=T$6)*(IF($G$2=0,1,(INDIRECT($E145&amp;"[siteflag]")=$G$2))))</f>
        <v>338</v>
      </c>
      <c r="U145" s="259">
        <f ca="1">AVERAGE(Q145:T145)</f>
        <v>441.25</v>
      </c>
      <c r="V145" s="89">
        <f ca="1">IFERROR(SUM(T145/S145)-1,0)</f>
        <v>-7.9019073569482234E-2</v>
      </c>
      <c r="W145" s="261"/>
      <c r="X145" s="81"/>
    </row>
    <row r="146" spans="2:24" ht="14.15" customHeight="1" x14ac:dyDescent="0.4">
      <c r="B146" s="336"/>
      <c r="D146" s="263" t="s">
        <v>486</v>
      </c>
      <c r="E146" s="146" t="s">
        <v>29</v>
      </c>
      <c r="F146" t="s">
        <v>482</v>
      </c>
      <c r="I146" s="124">
        <f t="array" aca="1" ref="I146" ca="1">SUM(INDIRECT($E146&amp;"["&amp;$F146&amp;"]")*(INDIRECT($E146&amp;"[yr]")=I$5)*(INDIRECT($E146&amp;"[wk]")=I$6)*(IF($G$2=0,1,(INDIRECT($E146&amp;"[siteflag]")=$G$2))))</f>
        <v>124</v>
      </c>
      <c r="J146" s="124">
        <f t="array" aca="1" ref="J146" ca="1">SUM(INDIRECT($E146&amp;"["&amp;$F146&amp;"]")*(INDIRECT($E146&amp;"[yr]")=J$5)*(INDIRECT($E146&amp;"[wk]")=J$6)*(IF($G$2=0,1,(INDIRECT($E146&amp;"[siteflag]")=$G$2))))</f>
        <v>106</v>
      </c>
      <c r="K146" s="124">
        <f t="array" aca="1" ref="K146" ca="1">SUM(INDIRECT($E146&amp;"["&amp;$F146&amp;"]")*(INDIRECT($E146&amp;"[yr]")=K$5)*(INDIRECT($E146&amp;"[wk]")=K$6)*(IF($G$2=0,1,(INDIRECT($E146&amp;"[siteflag]")=$G$2))))</f>
        <v>142</v>
      </c>
      <c r="L146" s="124">
        <f t="array" aca="1" ref="L146" ca="1">SUM(INDIRECT($E146&amp;"["&amp;$F146&amp;"]")*(INDIRECT($E146&amp;"[yr]")=L$5)*(INDIRECT($E146&amp;"[wk]")=L$6)*(IF($G$2=0,1,(INDIRECT($E146&amp;"[siteflag]")=$G$2))))</f>
        <v>83</v>
      </c>
      <c r="M146" s="124">
        <f t="array" aca="1" ref="M146" ca="1">SUM(INDIRECT($E146&amp;"["&amp;$F146&amp;"]")*(INDIRECT($E146&amp;"[yr]")=M$5)*(INDIRECT($E146&amp;"[wk]")=M$6)*(IF($G$2=0,1,(INDIRECT($E146&amp;"[siteflag]")=$G$2))))</f>
        <v>114</v>
      </c>
      <c r="N146" s="124">
        <f t="array" aca="1" ref="N146" ca="1">SUM(INDIRECT($E146&amp;"["&amp;$F146&amp;"]")*(INDIRECT($E146&amp;"[yr]")=N$5)*(INDIRECT($E146&amp;"[wk]")=N$6)*(IF($G$2=0,1,(INDIRECT($E146&amp;"[siteflag]")=$G$2))))</f>
        <v>103</v>
      </c>
      <c r="O146" s="124">
        <f t="array" aca="1" ref="O146" ca="1">SUM(INDIRECT($E146&amp;"["&amp;$F146&amp;"]")*(INDIRECT($E146&amp;"[yr]")=O$5)*(INDIRECT($E146&amp;"[wk]")=O$6)*(IF($G$2=0,1,(INDIRECT($E146&amp;"[siteflag]")=$G$2))))</f>
        <v>101</v>
      </c>
      <c r="P146" s="124">
        <f t="array" aca="1" ref="P146" ca="1">SUM(INDIRECT($E146&amp;"["&amp;$F146&amp;"]")*(INDIRECT($E146&amp;"[yr]")=P$5)*(INDIRECT($E146&amp;"[wk]")=P$6)*(IF($G$2=0,1,(INDIRECT($E146&amp;"[siteflag]")=$G$2))))</f>
        <v>161</v>
      </c>
      <c r="Q146" s="125">
        <f t="array" aca="1" ref="Q146" ca="1">SUM(INDIRECT($E146&amp;"["&amp;$F146&amp;"]")*(INDIRECT($E146&amp;"[yr]")=Q$5)*(INDIRECT($E146&amp;"[wk]")=Q$6)*(IF($G$2=0,1,(INDIRECT($E146&amp;"[siteflag]")=$G$2))))</f>
        <v>61</v>
      </c>
      <c r="R146" s="124">
        <f t="array" aca="1" ref="R146" ca="1">SUM(INDIRECT($E146&amp;"["&amp;$F146&amp;"]")*(INDIRECT($E146&amp;"[yr]")=R$5)*(INDIRECT($E146&amp;"[wk]")=R$6)*(IF($G$2=0,1,(INDIRECT($E146&amp;"[siteflag]")=$G$2))))</f>
        <v>55</v>
      </c>
      <c r="S146" s="258">
        <f t="array" aca="1" ref="S146" ca="1">SUM(INDIRECT($E146&amp;"["&amp;$F146&amp;"]")*(INDIRECT($E146&amp;"[yr]")=S$5)*(INDIRECT($E146&amp;"[wk]")=S$6)*(IF($G$2=0,1,(INDIRECT($E146&amp;"[siteflag]")=$G$2))))</f>
        <v>68</v>
      </c>
      <c r="T146" s="193">
        <f t="array" aca="1" ref="T146" ca="1">SUM(INDIRECT($E146&amp;"["&amp;$F146&amp;"]")*(INDIRECT($E146&amp;"[yr]")=T$5)*(INDIRECT($E146&amp;"[wk]")=T$6)*(IF($G$2=0,1,(INDIRECT($E146&amp;"[siteflag]")=$G$2))))</f>
        <v>86</v>
      </c>
      <c r="U146" s="259">
        <f ca="1">AVERAGE(Q146:T146)</f>
        <v>67.5</v>
      </c>
      <c r="V146" s="81">
        <f ca="1">IFERROR(SUM(T146/S146)-1,0)</f>
        <v>0.26470588235294112</v>
      </c>
      <c r="W146" s="261"/>
      <c r="X146" s="81"/>
    </row>
    <row r="147" spans="2:24" ht="14.15" customHeight="1" x14ac:dyDescent="0.4">
      <c r="B147" s="337"/>
      <c r="D147" s="263" t="s">
        <v>487</v>
      </c>
      <c r="E147" s="146" t="s">
        <v>29</v>
      </c>
      <c r="F147" t="s">
        <v>483</v>
      </c>
      <c r="I147" s="124">
        <f t="array" aca="1" ref="I147" ca="1">SUM(INDIRECT($E147&amp;"["&amp;$F147&amp;"]")*(INDIRECT($E147&amp;"[yr]")=I$5)*(INDIRECT($E147&amp;"[wk]")=I$6)*(IF($G$2=0,1,(INDIRECT($E147&amp;"[siteflag]")=$G$2))))</f>
        <v>13</v>
      </c>
      <c r="J147" s="124">
        <f t="array" aca="1" ref="J147" ca="1">SUM(INDIRECT($E147&amp;"["&amp;$F147&amp;"]")*(INDIRECT($E147&amp;"[yr]")=J$5)*(INDIRECT($E147&amp;"[wk]")=J$6)*(IF($G$2=0,1,(INDIRECT($E147&amp;"[siteflag]")=$G$2))))</f>
        <v>1</v>
      </c>
      <c r="K147" s="124">
        <f t="array" aca="1" ref="K147" ca="1">SUM(INDIRECT($E147&amp;"["&amp;$F147&amp;"]")*(INDIRECT($E147&amp;"[yr]")=K$5)*(INDIRECT($E147&amp;"[wk]")=K$6)*(IF($G$2=0,1,(INDIRECT($E147&amp;"[siteflag]")=$G$2))))</f>
        <v>2</v>
      </c>
      <c r="L147" s="124">
        <f t="array" aca="1" ref="L147" ca="1">SUM(INDIRECT($E147&amp;"["&amp;$F147&amp;"]")*(INDIRECT($E147&amp;"[yr]")=L$5)*(INDIRECT($E147&amp;"[wk]")=L$6)*(IF($G$2=0,1,(INDIRECT($E147&amp;"[siteflag]")=$G$2))))</f>
        <v>10</v>
      </c>
      <c r="M147" s="124">
        <f t="array" aca="1" ref="M147" ca="1">SUM(INDIRECT($E147&amp;"["&amp;$F147&amp;"]")*(INDIRECT($E147&amp;"[yr]")=M$5)*(INDIRECT($E147&amp;"[wk]")=M$6)*(IF($G$2=0,1,(INDIRECT($E147&amp;"[siteflag]")=$G$2))))</f>
        <v>5</v>
      </c>
      <c r="N147" s="124">
        <f t="array" aca="1" ref="N147" ca="1">SUM(INDIRECT($E147&amp;"["&amp;$F147&amp;"]")*(INDIRECT($E147&amp;"[yr]")=N$5)*(INDIRECT($E147&amp;"[wk]")=N$6)*(IF($G$2=0,1,(INDIRECT($E147&amp;"[siteflag]")=$G$2))))</f>
        <v>6</v>
      </c>
      <c r="O147" s="124">
        <f t="array" aca="1" ref="O147" ca="1">SUM(INDIRECT($E147&amp;"["&amp;$F147&amp;"]")*(INDIRECT($E147&amp;"[yr]")=O$5)*(INDIRECT($E147&amp;"[wk]")=O$6)*(IF($G$2=0,1,(INDIRECT($E147&amp;"[siteflag]")=$G$2))))</f>
        <v>5</v>
      </c>
      <c r="P147" s="124">
        <f t="array" aca="1" ref="P147" ca="1">SUM(INDIRECT($E147&amp;"["&amp;$F147&amp;"]")*(INDIRECT($E147&amp;"[yr]")=P$5)*(INDIRECT($E147&amp;"[wk]")=P$6)*(IF($G$2=0,1,(INDIRECT($E147&amp;"[siteflag]")=$G$2))))</f>
        <v>18</v>
      </c>
      <c r="Q147" s="125">
        <f t="array" aca="1" ref="Q147" ca="1">SUM(INDIRECT($E147&amp;"["&amp;$F147&amp;"]")*(INDIRECT($E147&amp;"[yr]")=Q$5)*(INDIRECT($E147&amp;"[wk]")=Q$6)*(IF($G$2=0,1,(INDIRECT($E147&amp;"[siteflag]")=$G$2))))</f>
        <v>5</v>
      </c>
      <c r="R147" s="124">
        <f t="array" aca="1" ref="R147" ca="1">SUM(INDIRECT($E147&amp;"["&amp;$F147&amp;"]")*(INDIRECT($E147&amp;"[yr]")=R$5)*(INDIRECT($E147&amp;"[wk]")=R$6)*(IF($G$2=0,1,(INDIRECT($E147&amp;"[siteflag]")=$G$2))))</f>
        <v>5</v>
      </c>
      <c r="S147" s="258">
        <f t="array" aca="1" ref="S147" ca="1">SUM(INDIRECT($E147&amp;"["&amp;$F147&amp;"]")*(INDIRECT($E147&amp;"[yr]")=S$5)*(INDIRECT($E147&amp;"[wk]")=S$6)*(IF($G$2=0,1,(INDIRECT($E147&amp;"[siteflag]")=$G$2))))</f>
        <v>11</v>
      </c>
      <c r="T147" s="193">
        <f t="array" aca="1" ref="T147" ca="1">SUM(INDIRECT($E147&amp;"["&amp;$F147&amp;"]")*(INDIRECT($E147&amp;"[yr]")=T$5)*(INDIRECT($E147&amp;"[wk]")=T$6)*(IF($G$2=0,1,(INDIRECT($E147&amp;"[siteflag]")=$G$2))))</f>
        <v>2</v>
      </c>
      <c r="U147" s="259">
        <f ca="1">AVERAGE(Q147:T147)</f>
        <v>5.75</v>
      </c>
      <c r="V147" s="81">
        <f ca="1">IFERROR(SUM(T147/S147)-1,0)</f>
        <v>-0.81818181818181812</v>
      </c>
      <c r="W147" s="261"/>
      <c r="X147" s="81"/>
    </row>
    <row r="148" spans="2:24" ht="3" customHeight="1" x14ac:dyDescent="0.4">
      <c r="B148" s="145"/>
      <c r="D148" s="61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8"/>
      <c r="R148" s="57"/>
      <c r="S148" s="57"/>
      <c r="T148" s="59"/>
      <c r="U148" s="57"/>
      <c r="V148" s="114"/>
      <c r="W148" s="114"/>
      <c r="X148" s="61"/>
    </row>
    <row r="149" spans="2:24" ht="14.15" customHeight="1" x14ac:dyDescent="0.4">
      <c r="B149" s="332" t="s">
        <v>488</v>
      </c>
      <c r="D149" s="201" t="s">
        <v>373</v>
      </c>
      <c r="E149" s="63" t="s">
        <v>34</v>
      </c>
      <c r="F149" s="63" t="s">
        <v>291</v>
      </c>
      <c r="G149" s="63"/>
      <c r="H149" s="63"/>
      <c r="I149" s="188">
        <f t="array" aca="1" ref="I149" ca="1" xml:space="preserve"> IFERROR( SUM(INDIRECT($E149&amp;"["&amp;$F149&amp;"]")*(INDIRECT($E149&amp;"[yr]")=I$5)*(INDIRECT($E149&amp;"[wk]")=I$6)*(INDIRECT($E149&amp;"[siteflag]")=$G$2)) -
                     SUM(INDIRECT($E149&amp;"["&amp;$F150&amp;"]")*(INDIRECT($E149&amp;"[yr]")=I$5)*(INDIRECT($E149&amp;"[wk]")=I$6)*(INDIRECT($E149&amp;"[siteflag]")=$G$2)), 0)</f>
        <v>368</v>
      </c>
      <c r="J149" s="188">
        <f t="array" aca="1" ref="J149" ca="1" xml:space="preserve"> IFERROR( SUM(INDIRECT($E149&amp;"["&amp;$F149&amp;"]")*(INDIRECT($E149&amp;"[yr]")=J$5)*(INDIRECT($E149&amp;"[wk]")=J$6)*(INDIRECT($E149&amp;"[siteflag]")=$G$2)) -
                     SUM(INDIRECT($E149&amp;"["&amp;$F150&amp;"]")*(INDIRECT($E149&amp;"[yr]")=J$5)*(INDIRECT($E149&amp;"[wk]")=J$6)*(INDIRECT($E149&amp;"[siteflag]")=$G$2)), 0)</f>
        <v>355</v>
      </c>
      <c r="K149" s="188">
        <f t="array" aca="1" ref="K149" ca="1" xml:space="preserve"> IFERROR( SUM(INDIRECT($E149&amp;"["&amp;$F149&amp;"]")*(INDIRECT($E149&amp;"[yr]")=K$5)*(INDIRECT($E149&amp;"[wk]")=K$6)*(INDIRECT($E149&amp;"[siteflag]")=$G$2)) -
                     SUM(INDIRECT($E149&amp;"["&amp;$F150&amp;"]")*(INDIRECT($E149&amp;"[yr]")=K$5)*(INDIRECT($E149&amp;"[wk]")=K$6)*(INDIRECT($E149&amp;"[siteflag]")=$G$2)), 0)</f>
        <v>507</v>
      </c>
      <c r="L149" s="188">
        <f t="array" aca="1" ref="L149" ca="1" xml:space="preserve"> IFERROR( SUM(INDIRECT($E149&amp;"["&amp;$F149&amp;"]")*(INDIRECT($E149&amp;"[yr]")=L$5)*(INDIRECT($E149&amp;"[wk]")=L$6)*(INDIRECT($E149&amp;"[siteflag]")=$G$2)) -
                     SUM(INDIRECT($E149&amp;"["&amp;$F150&amp;"]")*(INDIRECT($E149&amp;"[yr]")=L$5)*(INDIRECT($E149&amp;"[wk]")=L$6)*(INDIRECT($E149&amp;"[siteflag]")=$G$2)), 0)</f>
        <v>121</v>
      </c>
      <c r="M149" s="188">
        <f t="array" aca="1" ref="M149" ca="1" xml:space="preserve"> IFERROR( SUM(INDIRECT($E149&amp;"["&amp;$F149&amp;"]")*(INDIRECT($E149&amp;"[yr]")=M$5)*(INDIRECT($E149&amp;"[wk]")=M$6)*(INDIRECT($E149&amp;"[siteflag]")=$G$2)) -
                     SUM(INDIRECT($E149&amp;"["&amp;$F150&amp;"]")*(INDIRECT($E149&amp;"[yr]")=M$5)*(INDIRECT($E149&amp;"[wk]")=M$6)*(INDIRECT($E149&amp;"[siteflag]")=$G$2)), 0)</f>
        <v>105</v>
      </c>
      <c r="N149" s="188">
        <f t="array" aca="1" ref="N149" ca="1" xml:space="preserve"> IFERROR( SUM(INDIRECT($E149&amp;"["&amp;$F149&amp;"]")*(INDIRECT($E149&amp;"[yr]")=N$5)*(INDIRECT($E149&amp;"[wk]")=N$6)*(INDIRECT($E149&amp;"[siteflag]")=$G$2)) -
                     SUM(INDIRECT($E149&amp;"["&amp;$F150&amp;"]")*(INDIRECT($E149&amp;"[yr]")=N$5)*(INDIRECT($E149&amp;"[wk]")=N$6)*(INDIRECT($E149&amp;"[siteflag]")=$G$2)), 0)</f>
        <v>211</v>
      </c>
      <c r="O149" s="188">
        <f t="array" aca="1" ref="O149" ca="1" xml:space="preserve"> IFERROR( SUM(INDIRECT($E149&amp;"["&amp;$F149&amp;"]")*(INDIRECT($E149&amp;"[yr]")=O$5)*(INDIRECT($E149&amp;"[wk]")=O$6)*(INDIRECT($E149&amp;"[siteflag]")=$G$2)) -
                     SUM(INDIRECT($E149&amp;"["&amp;$F150&amp;"]")*(INDIRECT($E149&amp;"[yr]")=O$5)*(INDIRECT($E149&amp;"[wk]")=O$6)*(INDIRECT($E149&amp;"[siteflag]")=$G$2)), 0)</f>
        <v>616</v>
      </c>
      <c r="P149" s="157">
        <f t="array" aca="1" ref="P149" ca="1" xml:space="preserve"> IFERROR( SUM(INDIRECT($E149&amp;"["&amp;$F149&amp;"]")*(INDIRECT($E149&amp;"[yr]")=P$5)*(INDIRECT($E149&amp;"[wk]")=P$6)*(INDIRECT($E149&amp;"[siteflag]")=$G$2)) -
                     SUM(INDIRECT($E149&amp;"["&amp;$F150&amp;"]")*(INDIRECT($E149&amp;"[yr]")=P$5)*(INDIRECT($E149&amp;"[wk]")=P$6)*(INDIRECT($E149&amp;"[siteflag]")=$G$2)), 0)</f>
        <v>1163</v>
      </c>
      <c r="Q149" s="188">
        <f t="array" aca="1" ref="Q149" ca="1" xml:space="preserve"> IFERROR( SUM(INDIRECT($E149&amp;"["&amp;$F149&amp;"]")*(INDIRECT($E149&amp;"[yr]")=Q$5)*(INDIRECT($E149&amp;"[wk]")=Q$6)*(INDIRECT($E149&amp;"[siteflag]")=$G$2)) -
                     SUM(INDIRECT($E149&amp;"["&amp;$F150&amp;"]")*(INDIRECT($E149&amp;"[yr]")=Q$5)*(INDIRECT($E149&amp;"[wk]")=Q$6)*(INDIRECT($E149&amp;"[siteflag]")=$G$2)), 0)</f>
        <v>1197</v>
      </c>
      <c r="R149" s="188">
        <f t="array" aca="1" ref="R149" ca="1" xml:space="preserve"> IFERROR( SUM(INDIRECT($E149&amp;"["&amp;$F149&amp;"]")*(INDIRECT($E149&amp;"[yr]")=R$5)*(INDIRECT($E149&amp;"[wk]")=R$6)*(INDIRECT($E149&amp;"[siteflag]")=$G$2)) -
                     SUM(INDIRECT($E149&amp;"["&amp;$F150&amp;"]")*(INDIRECT($E149&amp;"[yr]")=R$5)*(INDIRECT($E149&amp;"[wk]")=R$6)*(INDIRECT($E149&amp;"[siteflag]")=$G$2)), 0)</f>
        <v>146</v>
      </c>
      <c r="S149" s="188">
        <f t="array" aca="1" ref="S149" ca="1" xml:space="preserve"> IFERROR( SUM(INDIRECT($E149&amp;"["&amp;$F149&amp;"]")*(INDIRECT($E149&amp;"[yr]")=S$5)*(INDIRECT($E149&amp;"[wk]")=S$6)*(INDIRECT($E149&amp;"[siteflag]")=$G$2)) -
                     SUM(INDIRECT($E149&amp;"["&amp;$F150&amp;"]")*(INDIRECT($E149&amp;"[yr]")=S$5)*(INDIRECT($E149&amp;"[wk]")=S$6)*(INDIRECT($E149&amp;"[siteflag]")=$G$2)), 0)</f>
        <v>213</v>
      </c>
      <c r="T149" s="237">
        <f t="array" aca="1" ref="T149" ca="1" xml:space="preserve"> IFERROR( SUM(INDIRECT($E149&amp;"["&amp;$F149&amp;"]")*(INDIRECT($E149&amp;"[yr]")=T$5)*(INDIRECT($E149&amp;"[wk]")=T$6)*(INDIRECT($E149&amp;"[siteflag]")=$G$2)) -
                     SUM(INDIRECT($E149&amp;"["&amp;$F150&amp;"]")*(INDIRECT($E149&amp;"[yr]")=T$5)*(INDIRECT($E149&amp;"[wk]")=T$6)*(INDIRECT($E149&amp;"[siteflag]")=$G$2)), 0)</f>
        <v>160</v>
      </c>
      <c r="U149" s="238">
        <f t="array" aca="1" ref="U149" ca="1">AVERAGE(Q149:T149)</f>
        <v>429</v>
      </c>
      <c r="V149" s="47">
        <f t="array" aca="1" ref="V149" ca="1">SUM(T149/S149)-1</f>
        <v>-0.24882629107981225</v>
      </c>
      <c r="W149" s="131"/>
      <c r="X149" s="49"/>
    </row>
    <row r="150" spans="2:24" ht="14.15" customHeight="1" x14ac:dyDescent="0.4">
      <c r="B150" s="333"/>
      <c r="D150" s="262" t="s">
        <v>111</v>
      </c>
      <c r="E150" s="146"/>
      <c r="F150" t="s">
        <v>372</v>
      </c>
      <c r="I150" s="133">
        <f t="array" aca="1" ref="I150" ca="1">I149/SUM(INDIRECT($E149&amp;"["&amp;$F149&amp;"]")*(INDIRECT($E149&amp;"[yr]")=I$5)*(INDIRECT($E149&amp;"[wk]")=I$6)*(INDIRECT($E149&amp;"[siteflag]")=$G$2))</f>
        <v>2.3978627744836126E-2</v>
      </c>
      <c r="J150" s="133">
        <f t="array" aca="1" ref="J150" ca="1">J149/SUM(INDIRECT($E149&amp;"["&amp;$F149&amp;"]")*(INDIRECT($E149&amp;"[yr]")=J$5)*(INDIRECT($E149&amp;"[wk]")=J$6)*(INDIRECT($E149&amp;"[siteflag]")=$G$2))</f>
        <v>2.2647527910685805E-2</v>
      </c>
      <c r="K150" s="133">
        <f t="array" aca="1" ref="K150" ca="1">K149/SUM(INDIRECT($E149&amp;"["&amp;$F149&amp;"]")*(INDIRECT($E149&amp;"[yr]")=K$5)*(INDIRECT($E149&amp;"[wk]")=K$6)*(INDIRECT($E149&amp;"[siteflag]")=$G$2))</f>
        <v>3.0740314072636877E-2</v>
      </c>
      <c r="L150" s="133">
        <f t="array" aca="1" ref="L150" ca="1">L149/SUM(INDIRECT($E149&amp;"["&amp;$F149&amp;"]")*(INDIRECT($E149&amp;"[yr]")=L$5)*(INDIRECT($E149&amp;"[wk]")=L$6)*(INDIRECT($E149&amp;"[siteflag]")=$G$2))</f>
        <v>8.0393329346887255E-3</v>
      </c>
      <c r="M150" s="133">
        <f t="array" aca="1" ref="M150" ca="1">M149/SUM(INDIRECT($E149&amp;"["&amp;$F149&amp;"]")*(INDIRECT($E149&amp;"[yr]")=M$5)*(INDIRECT($E149&amp;"[wk]")=M$6)*(INDIRECT($E149&amp;"[siteflag]")=$G$2))</f>
        <v>6.8533385549246137E-3</v>
      </c>
      <c r="N150" s="133">
        <f t="array" aca="1" ref="N150" ca="1">N149/SUM(INDIRECT($E149&amp;"["&amp;$F149&amp;"]")*(INDIRECT($E149&amp;"[yr]")=N$5)*(INDIRECT($E149&amp;"[wk]")=N$6)*(INDIRECT($E149&amp;"[siteflag]")=$G$2))</f>
        <v>1.3605880835697704E-2</v>
      </c>
      <c r="O150" s="133">
        <f t="array" aca="1" ref="O150" ca="1">O149/SUM(INDIRECT($E149&amp;"["&amp;$F149&amp;"]")*(INDIRECT($E149&amp;"[yr]")=O$5)*(INDIRECT($E149&amp;"[wk]")=O$6)*(INDIRECT($E149&amp;"[siteflag]")=$G$2))</f>
        <v>3.67235006557768E-2</v>
      </c>
      <c r="P150" s="137">
        <f t="array" aca="1" ref="P150" ca="1">P149/SUM(INDIRECT($E149&amp;"["&amp;$F149&amp;"]")*(INDIRECT($E149&amp;"[yr]")=P$5)*(INDIRECT($E149&amp;"[wk]")=P$6)*(INDIRECT($E149&amp;"[siteflag]")=$G$2))</f>
        <v>4.9696607127595931E-2</v>
      </c>
      <c r="Q150" s="257">
        <f t="array" aca="1" ref="Q150" ca="1">Q149/SUM(INDIRECT($E149&amp;"["&amp;$F149&amp;"]")*(INDIRECT($E149&amp;"[yr]")=Q$5)*(INDIRECT($E149&amp;"[wk]")=Q$6)*(INDIRECT($E149&amp;"[siteflag]")=$G$2))</f>
        <v>5.5082600892733882E-2</v>
      </c>
      <c r="R150" s="133">
        <f t="array" aca="1" ref="R150" ca="1">R149/SUM(INDIRECT($E149&amp;"["&amp;$F149&amp;"]")*(INDIRECT($E149&amp;"[yr]")=R$5)*(INDIRECT($E149&amp;"[wk]")=R$6)*(INDIRECT($E149&amp;"[siteflag]")=$G$2))</f>
        <v>9.3100369850784345E-3</v>
      </c>
      <c r="S150" s="133">
        <f t="array" aca="1" ref="S150" ca="1">S149/SUM(INDIRECT($E149&amp;"["&amp;$F149&amp;"]")*(INDIRECT($E149&amp;"[yr]")=S$5)*(INDIRECT($E149&amp;"[wk]")=S$6)*(INDIRECT($E149&amp;"[siteflag]")=$G$2))</f>
        <v>1.4110632659821133E-2</v>
      </c>
      <c r="T150" s="140">
        <f t="array" aca="1" ref="T150" ca="1">T149/SUM(INDIRECT($E149&amp;"["&amp;$F149&amp;"]")*(INDIRECT($E149&amp;"[yr]")=T$5)*(INDIRECT($E149&amp;"[wk]")=T$6)*(INDIRECT($E149&amp;"[siteflag]")=$G$2))</f>
        <v>9.6560048280024142E-3</v>
      </c>
      <c r="U150" s="266">
        <f t="array" aca="1" ref="U150" ca="1">SUM(Q149:T149)/SUMPRODUCT(1/Q150:T150,Q149:T149)</f>
        <v>2.4841483540345696E-2</v>
      </c>
      <c r="V150" s="75"/>
      <c r="W150" s="269"/>
      <c r="X150" s="81"/>
    </row>
    <row r="151" spans="2:24" ht="14.15" customHeight="1" x14ac:dyDescent="0.4">
      <c r="B151" s="333"/>
      <c r="D151" s="263" t="s">
        <v>486</v>
      </c>
      <c r="E151" s="146" t="s">
        <v>34</v>
      </c>
      <c r="F151" t="s">
        <v>482</v>
      </c>
      <c r="I151" s="124">
        <f t="array" aca="1" ref="I151" ca="1">SUM(INDIRECT($E151&amp;"["&amp;$F151&amp;"]")*(INDIRECT($E151&amp;"[yr]")=I$5)*(INDIRECT($E151&amp;"[wk]")=I$6)*(IF($G$2=0,1,(INDIRECT($E151&amp;"[siteflag]")=$G$2))))</f>
        <v>54</v>
      </c>
      <c r="J151" s="124">
        <f t="array" aca="1" ref="J151" ca="1">SUM(INDIRECT($E151&amp;"["&amp;$F151&amp;"]")*(INDIRECT($E151&amp;"[yr]")=J$5)*(INDIRECT($E151&amp;"[wk]")=J$6)*(IF($G$2=0,1,(INDIRECT($E151&amp;"[siteflag]")=$G$2))))</f>
        <v>37</v>
      </c>
      <c r="K151" s="124">
        <f t="array" aca="1" ref="K151" ca="1">SUM(INDIRECT($E151&amp;"["&amp;$F151&amp;"]")*(INDIRECT($E151&amp;"[yr]")=K$5)*(INDIRECT($E151&amp;"[wk]")=K$6)*(IF($G$2=0,1,(INDIRECT($E151&amp;"[siteflag]")=$G$2))))</f>
        <v>39</v>
      </c>
      <c r="L151" s="124">
        <f t="array" aca="1" ref="L151" ca="1">SUM(INDIRECT($E151&amp;"["&amp;$F151&amp;"]")*(INDIRECT($E151&amp;"[yr]")=L$5)*(INDIRECT($E151&amp;"[wk]")=L$6)*(IF($G$2=0,1,(INDIRECT($E151&amp;"[siteflag]")=$G$2))))</f>
        <v>10</v>
      </c>
      <c r="M151" s="124">
        <f t="array" aca="1" ref="M151" ca="1">SUM(INDIRECT($E151&amp;"["&amp;$F151&amp;"]")*(INDIRECT($E151&amp;"[yr]")=M$5)*(INDIRECT($E151&amp;"[wk]")=M$6)*(IF($G$2=0,1,(INDIRECT($E151&amp;"[siteflag]")=$G$2))))</f>
        <v>7</v>
      </c>
      <c r="N151" s="124">
        <f t="array" aca="1" ref="N151" ca="1">SUM(INDIRECT($E151&amp;"["&amp;$F151&amp;"]")*(INDIRECT($E151&amp;"[yr]")=N$5)*(INDIRECT($E151&amp;"[wk]")=N$6)*(IF($G$2=0,1,(INDIRECT($E151&amp;"[siteflag]")=$G$2))))</f>
        <v>28</v>
      </c>
      <c r="O151" s="124">
        <f t="array" aca="1" ref="O151" ca="1">SUM(INDIRECT($E151&amp;"["&amp;$F151&amp;"]")*(INDIRECT($E151&amp;"[yr]")=O$5)*(INDIRECT($E151&amp;"[wk]")=O$6)*(IF($G$2=0,1,(INDIRECT($E151&amp;"[siteflag]")=$G$2))))</f>
        <v>35</v>
      </c>
      <c r="P151" s="124">
        <f t="array" aca="1" ref="P151" ca="1">SUM(INDIRECT($E151&amp;"["&amp;$F151&amp;"]")*(INDIRECT($E151&amp;"[yr]")=P$5)*(INDIRECT($E151&amp;"[wk]")=P$6)*(IF($G$2=0,1,(INDIRECT($E151&amp;"[siteflag]")=$G$2))))</f>
        <v>47</v>
      </c>
      <c r="Q151" s="125">
        <f t="array" aca="1" ref="Q151" ca="1">SUM(INDIRECT($E151&amp;"["&amp;$F151&amp;"]")*(INDIRECT($E151&amp;"[yr]")=Q$5)*(INDIRECT($E151&amp;"[wk]")=Q$6)*(IF($G$2=0,1,(INDIRECT($E151&amp;"[siteflag]")=$G$2))))</f>
        <v>14</v>
      </c>
      <c r="R151" s="124">
        <f t="array" aca="1" ref="R151" ca="1">SUM(INDIRECT($E151&amp;"["&amp;$F151&amp;"]")*(INDIRECT($E151&amp;"[yr]")=R$5)*(INDIRECT($E151&amp;"[wk]")=R$6)*(IF($G$2=0,1,(INDIRECT($E151&amp;"[siteflag]")=$G$2))))</f>
        <v>4</v>
      </c>
      <c r="S151" s="258">
        <f t="array" aca="1" ref="S151" ca="1">SUM(INDIRECT($E151&amp;"["&amp;$F151&amp;"]")*(INDIRECT($E151&amp;"[yr]")=S$5)*(INDIRECT($E151&amp;"[wk]")=S$6)*(IF($G$2=0,1,(INDIRECT($E151&amp;"[siteflag]")=$G$2))))</f>
        <v>11</v>
      </c>
      <c r="T151" s="193">
        <f t="array" aca="1" ref="T151" ca="1">SUM(INDIRECT($E151&amp;"["&amp;$F151&amp;"]")*(INDIRECT($E151&amp;"[yr]")=T$5)*(INDIRECT($E151&amp;"[wk]")=T$6)*(IF($G$2=0,1,(INDIRECT($E151&amp;"[siteflag]")=$G$2))))</f>
        <v>17</v>
      </c>
      <c r="U151" s="265">
        <f ca="1">AVERAGE(Q151:T151)</f>
        <v>11.5</v>
      </c>
      <c r="V151" s="267">
        <f ca="1">IFERROR(SUM(T151/S151)-1,0)</f>
        <v>0.54545454545454541</v>
      </c>
      <c r="W151" s="268"/>
      <c r="X151" s="81"/>
    </row>
    <row r="152" spans="2:24" ht="13.5" customHeight="1" x14ac:dyDescent="0.4">
      <c r="B152" s="334"/>
      <c r="D152" s="299" t="s">
        <v>487</v>
      </c>
      <c r="E152" s="223" t="s">
        <v>34</v>
      </c>
      <c r="F152" s="40" t="s">
        <v>483</v>
      </c>
      <c r="G152" s="40"/>
      <c r="H152" s="40"/>
      <c r="I152" s="264">
        <f t="array" aca="1" ref="I152" ca="1">SUM(INDIRECT($E152&amp;"["&amp;$F152&amp;"]")*(INDIRECT($E152&amp;"[yr]")=I$5)*(INDIRECT($E152&amp;"[wk]")=I$6)*(IF($G$2=0,1,(INDIRECT($E152&amp;"[siteflag]")=$G$2))))</f>
        <v>17</v>
      </c>
      <c r="J152" s="264">
        <f t="array" aca="1" ref="J152" ca="1">SUM(INDIRECT($E152&amp;"["&amp;$F152&amp;"]")*(INDIRECT($E152&amp;"[yr]")=J$5)*(INDIRECT($E152&amp;"[wk]")=J$6)*(IF($G$2=0,1,(INDIRECT($E152&amp;"[siteflag]")=$G$2))))</f>
        <v>4</v>
      </c>
      <c r="K152" s="264">
        <f t="array" aca="1" ref="K152" ca="1">SUM(INDIRECT($E152&amp;"["&amp;$F152&amp;"]")*(INDIRECT($E152&amp;"[yr]")=K$5)*(INDIRECT($E152&amp;"[wk]")=K$6)*(IF($G$2=0,1,(INDIRECT($E152&amp;"[siteflag]")=$G$2))))</f>
        <v>1</v>
      </c>
      <c r="L152" s="264">
        <f t="array" aca="1" ref="L152" ca="1">SUM(INDIRECT($E152&amp;"["&amp;$F152&amp;"]")*(INDIRECT($E152&amp;"[yr]")=L$5)*(INDIRECT($E152&amp;"[wk]")=L$6)*(IF($G$2=0,1,(INDIRECT($E152&amp;"[siteflag]")=$G$2))))</f>
        <v>8</v>
      </c>
      <c r="M152" s="264">
        <f t="array" aca="1" ref="M152" ca="1">SUM(INDIRECT($E152&amp;"["&amp;$F152&amp;"]")*(INDIRECT($E152&amp;"[yr]")=M$5)*(INDIRECT($E152&amp;"[wk]")=M$6)*(IF($G$2=0,1,(INDIRECT($E152&amp;"[siteflag]")=$G$2))))</f>
        <v>3</v>
      </c>
      <c r="N152" s="264">
        <f t="array" aca="1" ref="N152" ca="1">SUM(INDIRECT($E152&amp;"["&amp;$F152&amp;"]")*(INDIRECT($E152&amp;"[yr]")=N$5)*(INDIRECT($E152&amp;"[wk]")=N$6)*(IF($G$2=0,1,(INDIRECT($E152&amp;"[siteflag]")=$G$2))))</f>
        <v>7</v>
      </c>
      <c r="O152" s="264">
        <f t="array" aca="1" ref="O152" ca="1">SUM(INDIRECT($E152&amp;"["&amp;$F152&amp;"]")*(INDIRECT($E152&amp;"[yr]")=O$5)*(INDIRECT($E152&amp;"[wk]")=O$6)*(IF($G$2=0,1,(INDIRECT($E152&amp;"[siteflag]")=$G$2))))</f>
        <v>1</v>
      </c>
      <c r="P152" s="264">
        <f t="array" aca="1" ref="P152" ca="1">SUM(INDIRECT($E152&amp;"["&amp;$F152&amp;"]")*(INDIRECT($E152&amp;"[yr]")=P$5)*(INDIRECT($E152&amp;"[wk]")=P$6)*(IF($G$2=0,1,(INDIRECT($E152&amp;"[siteflag]")=$G$2))))</f>
        <v>16</v>
      </c>
      <c r="Q152" s="300">
        <f t="array" aca="1" ref="Q152" ca="1">SUM(INDIRECT($E152&amp;"["&amp;$F152&amp;"]")*(INDIRECT($E152&amp;"[yr]")=Q$5)*(INDIRECT($E152&amp;"[wk]")=Q$6)*(IF($G$2=0,1,(INDIRECT($E152&amp;"[siteflag]")=$G$2))))</f>
        <v>9</v>
      </c>
      <c r="R152" s="264">
        <f t="array" aca="1" ref="R152" ca="1">SUM(INDIRECT($E152&amp;"["&amp;$F152&amp;"]")*(INDIRECT($E152&amp;"[yr]")=R$5)*(INDIRECT($E152&amp;"[wk]")=R$6)*(IF($G$2=0,1,(INDIRECT($E152&amp;"[siteflag]")=$G$2))))</f>
        <v>4</v>
      </c>
      <c r="S152" s="264">
        <f t="array" aca="1" ref="S152" ca="1">SUM(INDIRECT($E152&amp;"["&amp;$F152&amp;"]")*(INDIRECT($E152&amp;"[yr]")=S$5)*(INDIRECT($E152&amp;"[wk]")=S$6)*(IF($G$2=0,1,(INDIRECT($E152&amp;"[siteflag]")=$G$2))))</f>
        <v>12</v>
      </c>
      <c r="T152" s="260">
        <f t="array" aca="1" ref="T152" ca="1">SUM(INDIRECT($E152&amp;"["&amp;$F152&amp;"]")*(INDIRECT($E152&amp;"[yr]")=T$5)*(INDIRECT($E152&amp;"[wk]")=T$6)*(IF($G$2=0,1,(INDIRECT($E152&amp;"[siteflag]")=$G$2))))</f>
        <v>4</v>
      </c>
      <c r="U152" s="301">
        <f ca="1">AVERAGE(Q152:T152)</f>
        <v>7.25</v>
      </c>
      <c r="V152" s="302">
        <f ca="1">IFERROR(SUM(T152/S152)-1,0)</f>
        <v>-0.66666666666666674</v>
      </c>
      <c r="W152" s="303"/>
      <c r="X152" s="56"/>
    </row>
    <row r="153" spans="2:24" ht="14.15" customHeight="1" x14ac:dyDescent="0.4"/>
  </sheetData>
  <mergeCells count="9">
    <mergeCell ref="B113:B133"/>
    <mergeCell ref="B142:B147"/>
    <mergeCell ref="B149:B152"/>
    <mergeCell ref="B3:R3"/>
    <mergeCell ref="B8:B64"/>
    <mergeCell ref="B66:B95"/>
    <mergeCell ref="B97:B99"/>
    <mergeCell ref="B101:B111"/>
    <mergeCell ref="B135:B140"/>
  </mergeCells>
  <conditionalFormatting sqref="S9:U9">
    <cfRule type="expression" dxfId="243" priority="203">
      <formula>$U$9=0</formula>
    </cfRule>
  </conditionalFormatting>
  <conditionalFormatting sqref="I36">
    <cfRule type="expression" dxfId="242" priority="202">
      <formula>$I$36=0</formula>
    </cfRule>
  </conditionalFormatting>
  <conditionalFormatting sqref="J36:P36">
    <cfRule type="cellIs" dxfId="241" priority="201" operator="equal">
      <formula>0</formula>
    </cfRule>
  </conditionalFormatting>
  <conditionalFormatting sqref="Q36:U36">
    <cfRule type="cellIs" dxfId="240" priority="200" operator="equal">
      <formula>0</formula>
    </cfRule>
  </conditionalFormatting>
  <conditionalFormatting sqref="I39:U41">
    <cfRule type="cellIs" dxfId="239" priority="199" operator="equal">
      <formula>0</formula>
    </cfRule>
  </conditionalFormatting>
  <conditionalFormatting sqref="I46:T46">
    <cfRule type="cellIs" dxfId="238" priority="198" operator="equal">
      <formula>0</formula>
    </cfRule>
  </conditionalFormatting>
  <conditionalFormatting sqref="I52:U52">
    <cfRule type="cellIs" dxfId="237" priority="197" operator="equal">
      <formula>0</formula>
    </cfRule>
  </conditionalFormatting>
  <conditionalFormatting sqref="I55:U55">
    <cfRule type="cellIs" dxfId="236" priority="196" operator="equal">
      <formula>0</formula>
    </cfRule>
  </conditionalFormatting>
  <conditionalFormatting sqref="I58:U58">
    <cfRule type="cellIs" dxfId="235" priority="195" operator="equal">
      <formula>0</formula>
    </cfRule>
  </conditionalFormatting>
  <conditionalFormatting sqref="I64:U64">
    <cfRule type="cellIs" dxfId="234" priority="194" operator="equal">
      <formula>0</formula>
    </cfRule>
  </conditionalFormatting>
  <conditionalFormatting sqref="J49:U49">
    <cfRule type="cellIs" dxfId="233" priority="193" operator="equal">
      <formula>0</formula>
    </cfRule>
  </conditionalFormatting>
  <conditionalFormatting sqref="T31:T32">
    <cfRule type="iconSet" priority="192">
      <iconSet iconSet="5ArrowsGray" reverse="1">
        <cfvo type="percent" val="0"/>
        <cfvo type="formula" val="$W$32*0.9"/>
        <cfvo type="formula" val="$W$32"/>
        <cfvo type="formula" val="$W$32*1.01"/>
        <cfvo type="formula" val="$W$32*1.1" gte="0"/>
      </iconSet>
    </cfRule>
  </conditionalFormatting>
  <conditionalFormatting sqref="T45">
    <cfRule type="iconSet" priority="191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T48">
    <cfRule type="iconSet" priority="190">
      <iconSet iconSet="5ArrowsGray" reverse="1">
        <cfvo type="percent" val="0"/>
        <cfvo type="formula" val="$W$48*0.9"/>
        <cfvo type="formula" val="$W$48"/>
        <cfvo type="formula" val="$W$48*1.01"/>
        <cfvo type="formula" val="$W$48*1.1"/>
      </iconSet>
    </cfRule>
  </conditionalFormatting>
  <conditionalFormatting sqref="U45">
    <cfRule type="iconSet" priority="189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U31:U32">
    <cfRule type="iconSet" priority="188">
      <iconSet iconSet="5ArrowsGray" reverse="1">
        <cfvo type="percent" val="0"/>
        <cfvo type="formula" val="$W$32*0.99"/>
        <cfvo type="formula" val="$W$32"/>
        <cfvo type="formula" val="$W$32*1.01"/>
        <cfvo type="formula" val="$W$32*1.1" gte="0"/>
      </iconSet>
    </cfRule>
  </conditionalFormatting>
  <conditionalFormatting sqref="T8">
    <cfRule type="iconSet" priority="187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8">
    <cfRule type="iconSet" priority="186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12:U12">
    <cfRule type="expression" dxfId="232" priority="185">
      <formula>$U$9=0</formula>
    </cfRule>
  </conditionalFormatting>
  <conditionalFormatting sqref="T11">
    <cfRule type="iconSet" priority="184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11">
    <cfRule type="iconSet" priority="183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67:W67">
    <cfRule type="cellIs" dxfId="231" priority="182" operator="equal">
      <formula>0</formula>
    </cfRule>
  </conditionalFormatting>
  <conditionalFormatting sqref="U82">
    <cfRule type="cellIs" dxfId="230" priority="181" operator="equal">
      <formula>0</formula>
    </cfRule>
  </conditionalFormatting>
  <conditionalFormatting sqref="U85">
    <cfRule type="cellIs" dxfId="229" priority="180" operator="equal">
      <formula>0</formula>
    </cfRule>
  </conditionalFormatting>
  <conditionalFormatting sqref="V88:W88 I88:S88">
    <cfRule type="cellIs" dxfId="228" priority="179" operator="equal">
      <formula>0</formula>
    </cfRule>
  </conditionalFormatting>
  <conditionalFormatting sqref="I91:W91">
    <cfRule type="cellIs" dxfId="227" priority="178" operator="equal">
      <formula>0</formula>
    </cfRule>
  </conditionalFormatting>
  <conditionalFormatting sqref="I94:W95">
    <cfRule type="cellIs" dxfId="226" priority="177" operator="equal">
      <formula>0</formula>
    </cfRule>
  </conditionalFormatting>
  <conditionalFormatting sqref="U81">
    <cfRule type="iconSet" priority="176">
      <iconSet iconSet="5ArrowsGray">
        <cfvo type="percent" val="0"/>
        <cfvo type="formula" val="$W$81*0.9"/>
        <cfvo type="formula" val="$W$81*0.999999999999"/>
        <cfvo type="formula" val="$W$81*1.00001"/>
        <cfvo type="formula" val="$W$81*1.1"/>
      </iconSet>
    </cfRule>
  </conditionalFormatting>
  <conditionalFormatting sqref="U84">
    <cfRule type="iconSet" priority="175">
      <iconSet iconSet="5ArrowsGray">
        <cfvo type="percent" val="0"/>
        <cfvo type="formula" val="$W$84*0.9"/>
        <cfvo type="formula" val="$W$84*0.999999999999"/>
        <cfvo type="formula" val="$W$84*1.00001"/>
        <cfvo type="formula" val="$W$84*1.1"/>
      </iconSet>
    </cfRule>
  </conditionalFormatting>
  <conditionalFormatting sqref="T88">
    <cfRule type="iconSet" priority="174">
      <iconSet iconSet="5ArrowsGray">
        <cfvo type="percent" val="0"/>
        <cfvo type="formula" val="$W$88*0.9"/>
        <cfvo type="formula" val="$W$88"/>
        <cfvo type="formula" val="$W$88*1.01"/>
        <cfvo type="formula" val="$W$88*1.1"/>
      </iconSet>
    </cfRule>
  </conditionalFormatting>
  <conditionalFormatting sqref="U88">
    <cfRule type="iconSet" priority="173">
      <iconSet iconSet="5ArrowsGray">
        <cfvo type="percent" val="0"/>
        <cfvo type="formula" val="$W$88*0.99"/>
        <cfvo type="formula" val="$W$88"/>
        <cfvo type="formula" val="$W$88*1.01"/>
        <cfvo type="formula" val="$W$88*1.1"/>
      </iconSet>
    </cfRule>
  </conditionalFormatting>
  <conditionalFormatting sqref="T93">
    <cfRule type="iconSet" priority="172">
      <iconSet iconSet="5ArrowsGray" reverse="1">
        <cfvo type="percent" val="0"/>
        <cfvo type="formula" val="$W$93*0.9"/>
        <cfvo type="formula" val="$W$93"/>
        <cfvo type="formula" val="$W$93*1.01"/>
        <cfvo type="formula" val="$W$93*1.1"/>
      </iconSet>
    </cfRule>
  </conditionalFormatting>
  <conditionalFormatting sqref="U48">
    <cfRule type="iconSet" priority="171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U93">
    <cfRule type="iconSet" priority="170">
      <iconSet iconSet="5ArrowsGray" reverse="1">
        <cfvo type="percent" val="0"/>
        <cfvo type="formula" val="$W$45*0.99"/>
        <cfvo type="formula" val="$W$45"/>
        <cfvo type="formula" val="$W$45*1.01"/>
        <cfvo type="formula" val="$W$45*1.1"/>
      </iconSet>
    </cfRule>
  </conditionalFormatting>
  <conditionalFormatting sqref="U46">
    <cfRule type="cellIs" dxfId="225" priority="165" operator="equal">
      <formula>0</formula>
    </cfRule>
  </conditionalFormatting>
  <conditionalFormatting sqref="T99">
    <cfRule type="iconSet" priority="164">
      <iconSet iconSet="5ArrowsGray">
        <cfvo type="percent" val="0"/>
        <cfvo type="formula" val="$W$98*0.9"/>
        <cfvo type="formula" val="$W$98"/>
        <cfvo type="formula" val="$W$98*1.01"/>
        <cfvo type="formula" val="$W$98*1.1"/>
      </iconSet>
    </cfRule>
  </conditionalFormatting>
  <conditionalFormatting sqref="T116">
    <cfRule type="iconSet" priority="163">
      <iconSet iconSet="5ArrowsGray">
        <cfvo type="percent" val="0"/>
        <cfvo type="formula" val="$W$115*0.99"/>
        <cfvo type="formula" val="$W$115"/>
        <cfvo type="formula" val="$W$115*1.01" gte="0"/>
        <cfvo type="formula" val="$W$115*1.1"/>
      </iconSet>
    </cfRule>
  </conditionalFormatting>
  <conditionalFormatting sqref="U116">
    <cfRule type="iconSet" priority="161">
      <iconSet iconSet="5ArrowsGray">
        <cfvo type="percent" val="0"/>
        <cfvo type="formula" val="$W$115*0.99"/>
        <cfvo type="formula" val="$W$115"/>
        <cfvo type="formula" val="$W$115*1.01" gte="0"/>
        <cfvo type="formula" val="$W$115*1.1"/>
      </iconSet>
    </cfRule>
  </conditionalFormatting>
  <conditionalFormatting sqref="U99">
    <cfRule type="iconSet" priority="160">
      <iconSet iconSet="5ArrowsGray">
        <cfvo type="percent" val="0"/>
        <cfvo type="formula" val="$W$98*0.9"/>
        <cfvo type="formula" val="$W$98"/>
        <cfvo type="formula" val="$W$98*1.01"/>
        <cfvo type="formula" val="$W$98*1.1"/>
      </iconSet>
    </cfRule>
  </conditionalFormatting>
  <conditionalFormatting sqref="U126">
    <cfRule type="iconSet" priority="159">
      <iconSet iconSet="5ArrowsGray">
        <cfvo type="percent" val="0"/>
        <cfvo type="formula" val="$W$125*0.99"/>
        <cfvo type="formula" val="$W$125"/>
        <cfvo type="formula" val="$W$125*1.01"/>
        <cfvo type="formula" val="$W$125*1.1"/>
      </iconSet>
    </cfRule>
  </conditionalFormatting>
  <conditionalFormatting sqref="T129">
    <cfRule type="iconSet" priority="158">
      <iconSet iconSet="5ArrowsGray">
        <cfvo type="percent" val="0"/>
        <cfvo type="formula" val="$W$125*0.99"/>
        <cfvo type="formula" val="$W$125"/>
        <cfvo type="formula" val="$W$125*1.01"/>
        <cfvo type="formula" val="$W$125*1.1"/>
      </iconSet>
    </cfRule>
  </conditionalFormatting>
  <conditionalFormatting sqref="U129">
    <cfRule type="iconSet" priority="157">
      <iconSet iconSet="5ArrowsGray">
        <cfvo type="percent" val="0"/>
        <cfvo type="formula" val="$W$125*0.99"/>
        <cfvo type="formula" val="$W$125"/>
        <cfvo type="formula" val="$W$125*1.01"/>
        <cfvo type="formula" val="$W$125*1.1"/>
      </iconSet>
    </cfRule>
  </conditionalFormatting>
  <conditionalFormatting sqref="I61:U61">
    <cfRule type="cellIs" dxfId="224" priority="156" operator="equal">
      <formula>0</formula>
    </cfRule>
  </conditionalFormatting>
  <conditionalFormatting sqref="I70:W70">
    <cfRule type="cellIs" dxfId="223" priority="155" operator="equal">
      <formula>0</formula>
    </cfRule>
  </conditionalFormatting>
  <conditionalFormatting sqref="T79:W79">
    <cfRule type="cellIs" dxfId="222" priority="154" operator="equal">
      <formula>0</formula>
    </cfRule>
  </conditionalFormatting>
  <conditionalFormatting sqref="T142">
    <cfRule type="iconSet" priority="153">
      <iconSet iconSet="5ArrowsGray">
        <cfvo type="percent" val="0"/>
        <cfvo type="formula" val="$W$125*0.99"/>
        <cfvo type="formula" val="$W$125"/>
        <cfvo type="formula" val="$W$125*1.01"/>
        <cfvo type="formula" val="$W$125*1.1"/>
      </iconSet>
    </cfRule>
  </conditionalFormatting>
  <conditionalFormatting sqref="U142">
    <cfRule type="iconSet" priority="152">
      <iconSet iconSet="5ArrowsGray">
        <cfvo type="percent" val="0"/>
        <cfvo type="formula" val="$W$125*0.99"/>
        <cfvo type="formula" val="$W$125"/>
        <cfvo type="formula" val="$W$125*1.01"/>
        <cfvo type="formula" val="$W$125*1.1"/>
      </iconSet>
    </cfRule>
  </conditionalFormatting>
  <conditionalFormatting sqref="I143:U143 I95:U95 I88:U88 U85 U82 T79:U79 I70:U70 I67:U67 I64:U64 I58:U58 I55:U55 I46:U46 I33:U33 I12:U12 I9:U9 T133:U133 T130:U130 T127:U127 T124:U124 T117:U117 T114:U114 I61:U61 I49:U49">
    <cfRule type="cellIs" dxfId="221" priority="137" operator="equal">
      <formula>0</formula>
    </cfRule>
  </conditionalFormatting>
  <conditionalFormatting sqref="T149">
    <cfRule type="iconSet" priority="136">
      <iconSet iconSet="5ArrowsGray">
        <cfvo type="percent" val="0"/>
        <cfvo type="formula" val="$W$125*0.99"/>
        <cfvo type="formula" val="$W$125"/>
        <cfvo type="formula" val="$W$125*1.01"/>
        <cfvo type="formula" val="$W$125*1.1"/>
      </iconSet>
    </cfRule>
  </conditionalFormatting>
  <conditionalFormatting sqref="U149">
    <cfRule type="iconSet" priority="135">
      <iconSet iconSet="5ArrowsGray">
        <cfvo type="percent" val="0"/>
        <cfvo type="formula" val="$W$125*0.99"/>
        <cfvo type="formula" val="$W$125"/>
        <cfvo type="formula" val="$W$125*1.01"/>
        <cfvo type="formula" val="$W$125*1.1"/>
      </iconSet>
    </cfRule>
  </conditionalFormatting>
  <conditionalFormatting sqref="I150:U150">
    <cfRule type="cellIs" dxfId="220" priority="120" operator="equal">
      <formula>0</formula>
    </cfRule>
  </conditionalFormatting>
  <conditionalFormatting sqref="T97:U97 T99:U99">
    <cfRule type="cellIs" dxfId="219" priority="119" operator="equal">
      <formula>0</formula>
    </cfRule>
  </conditionalFormatting>
  <conditionalFormatting sqref="I113:S133">
    <cfRule type="cellIs" dxfId="218" priority="118" operator="equal">
      <formula>0</formula>
    </cfRule>
  </conditionalFormatting>
  <conditionalFormatting sqref="I97:S99">
    <cfRule type="cellIs" dxfId="217" priority="117" operator="equal">
      <formula>0</formula>
    </cfRule>
  </conditionalFormatting>
  <conditionalFormatting sqref="I73:W73">
    <cfRule type="cellIs" dxfId="216" priority="116" operator="equal">
      <formula>0</formula>
    </cfRule>
  </conditionalFormatting>
  <conditionalFormatting sqref="I73:U73">
    <cfRule type="cellIs" dxfId="215" priority="115" operator="equal">
      <formula>0</formula>
    </cfRule>
  </conditionalFormatting>
  <conditionalFormatting sqref="T76:W76">
    <cfRule type="cellIs" dxfId="214" priority="114" operator="equal">
      <formula>0</formula>
    </cfRule>
  </conditionalFormatting>
  <conditionalFormatting sqref="T76:U76">
    <cfRule type="cellIs" dxfId="213" priority="113" operator="equal">
      <formula>0</formula>
    </cfRule>
  </conditionalFormatting>
  <conditionalFormatting sqref="I77">
    <cfRule type="cellIs" dxfId="212" priority="112" operator="equal">
      <formula>0</formula>
    </cfRule>
  </conditionalFormatting>
  <conditionalFormatting sqref="I79:S79">
    <cfRule type="cellIs" dxfId="211" priority="111" operator="equal">
      <formula>0</formula>
    </cfRule>
  </conditionalFormatting>
  <conditionalFormatting sqref="I76:S76">
    <cfRule type="cellIs" dxfId="210" priority="110" operator="equal">
      <formula>0</formula>
    </cfRule>
  </conditionalFormatting>
  <conditionalFormatting sqref="I43:P43">
    <cfRule type="expression" dxfId="209" priority="109">
      <formula>$I$36=0</formula>
    </cfRule>
  </conditionalFormatting>
  <conditionalFormatting sqref="Q43:U43">
    <cfRule type="cellIs" dxfId="208" priority="108" operator="equal">
      <formula>0</formula>
    </cfRule>
  </conditionalFormatting>
  <conditionalFormatting sqref="Q42:S42">
    <cfRule type="cellIs" dxfId="207" priority="107" operator="equal">
      <formula>0</formula>
    </cfRule>
  </conditionalFormatting>
  <conditionalFormatting sqref="V42">
    <cfRule type="cellIs" dxfId="206" priority="106" operator="equal">
      <formula>0</formula>
    </cfRule>
  </conditionalFormatting>
  <conditionalFormatting sqref="T104">
    <cfRule type="iconSet" priority="105">
      <iconSet iconSet="5ArrowsGray">
        <cfvo type="percent" val="0"/>
        <cfvo type="formula" val="$W$90*0.9"/>
        <cfvo type="formula" val="$W$90"/>
        <cfvo type="formula" val="$W$90*1.01"/>
        <cfvo type="formula" val="$W$90*1.1"/>
      </iconSet>
    </cfRule>
  </conditionalFormatting>
  <conditionalFormatting sqref="T110">
    <cfRule type="iconSet" priority="104">
      <iconSet iconSet="5ArrowsGray">
        <cfvo type="percent" val="0"/>
        <cfvo type="formula" val="$W$96*0.99"/>
        <cfvo type="formula" val="$W$96"/>
        <cfvo type="formula" val="$W$96*1.01"/>
        <cfvo type="formula" val="$W$96*1.1"/>
      </iconSet>
    </cfRule>
  </conditionalFormatting>
  <conditionalFormatting sqref="U110">
    <cfRule type="iconSet" priority="103">
      <iconSet iconSet="5ArrowsGray">
        <cfvo type="percent" val="0"/>
        <cfvo type="formula" val="$X$75*0.99"/>
        <cfvo type="formula" val="$X$75"/>
        <cfvo type="formula" val="$X$75*1.01"/>
        <cfvo type="formula" val="$X$75*1.1"/>
      </iconSet>
    </cfRule>
  </conditionalFormatting>
  <conditionalFormatting sqref="U104">
    <cfRule type="iconSet" priority="102">
      <iconSet iconSet="5ArrowsGray">
        <cfvo type="percent" val="0"/>
        <cfvo type="formula" val="$W$90*0.9"/>
        <cfvo type="formula" val="$W$90"/>
        <cfvo type="formula" val="$W$90*1.01"/>
        <cfvo type="formula" val="$W$90*1.1"/>
      </iconSet>
    </cfRule>
  </conditionalFormatting>
  <conditionalFormatting sqref="I82:S82">
    <cfRule type="cellIs" dxfId="205" priority="101" operator="equal">
      <formula>0</formula>
    </cfRule>
  </conditionalFormatting>
  <conditionalFormatting sqref="T82">
    <cfRule type="cellIs" dxfId="204" priority="100" operator="equal">
      <formula>0</formula>
    </cfRule>
  </conditionalFormatting>
  <conditionalFormatting sqref="T81">
    <cfRule type="iconSet" priority="99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T85">
    <cfRule type="cellIs" dxfId="203" priority="98" operator="equal">
      <formula>0</formula>
    </cfRule>
  </conditionalFormatting>
  <conditionalFormatting sqref="T84">
    <cfRule type="iconSet" priority="97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I85:S85">
    <cfRule type="cellIs" dxfId="202" priority="96" operator="equal">
      <formula>0</formula>
    </cfRule>
  </conditionalFormatting>
  <conditionalFormatting sqref="S15:U15">
    <cfRule type="expression" dxfId="201" priority="95">
      <formula>$U$9=0</formula>
    </cfRule>
  </conditionalFormatting>
  <conditionalFormatting sqref="T14">
    <cfRule type="iconSet" priority="94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14">
    <cfRule type="iconSet" priority="93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18:U18">
    <cfRule type="expression" dxfId="200" priority="92">
      <formula>$U$9=0</formula>
    </cfRule>
  </conditionalFormatting>
  <conditionalFormatting sqref="T17">
    <cfRule type="iconSet" priority="91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17">
    <cfRule type="iconSet" priority="90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18:U18 I15:U15">
    <cfRule type="cellIs" dxfId="199" priority="89" operator="equal">
      <formula>0</formula>
    </cfRule>
  </conditionalFormatting>
  <conditionalFormatting sqref="T126">
    <cfRule type="iconSet" priority="87">
      <iconSet iconSet="5ArrowsGray">
        <cfvo type="percent" val="0"/>
        <cfvo type="formula" val="$W$96*0.99"/>
        <cfvo type="formula" val="$W$96"/>
        <cfvo type="formula" val="$W$96*1.01"/>
        <cfvo type="formula" val="$W$96*1.1"/>
      </iconSet>
    </cfRule>
  </conditionalFormatting>
  <conditionalFormatting sqref="T144">
    <cfRule type="iconSet" priority="86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4">
    <cfRule type="iconSet" priority="85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45">
    <cfRule type="iconSet" priority="84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46">
    <cfRule type="iconSet" priority="83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47">
    <cfRule type="iconSet" priority="82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5">
    <cfRule type="iconSet" priority="81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6">
    <cfRule type="iconSet" priority="80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47">
    <cfRule type="iconSet" priority="79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Q145:U145">
    <cfRule type="cellIs" dxfId="198" priority="78" operator="equal">
      <formula>0</formula>
    </cfRule>
  </conditionalFormatting>
  <conditionalFormatting sqref="T151">
    <cfRule type="iconSet" priority="77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51">
    <cfRule type="iconSet" priority="76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T152">
    <cfRule type="iconSet" priority="75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U152">
    <cfRule type="iconSet" priority="74">
      <iconSet iconSet="5ArrowsGray">
        <cfvo type="percent" val="0"/>
        <cfvo type="formula" val="$W$127*0.99"/>
        <cfvo type="formula" val="$W$127"/>
        <cfvo type="formula" val="$W$127*1.01"/>
        <cfvo type="formula" val="$W$127*1.1"/>
      </iconSet>
    </cfRule>
  </conditionalFormatting>
  <conditionalFormatting sqref="Q152:U152">
    <cfRule type="cellIs" dxfId="197" priority="73" operator="equal">
      <formula>0</formula>
    </cfRule>
  </conditionalFormatting>
  <conditionalFormatting sqref="U21">
    <cfRule type="expression" dxfId="196" priority="56">
      <formula>$U$9=0</formula>
    </cfRule>
  </conditionalFormatting>
  <conditionalFormatting sqref="U20">
    <cfRule type="iconSet" priority="54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4">
    <cfRule type="expression" dxfId="195" priority="52">
      <formula>$U$9=0</formula>
    </cfRule>
  </conditionalFormatting>
  <conditionalFormatting sqref="U23">
    <cfRule type="iconSet" priority="50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27">
    <cfRule type="expression" dxfId="194" priority="48">
      <formula>$U$9=0</formula>
    </cfRule>
  </conditionalFormatting>
  <conditionalFormatting sqref="U26">
    <cfRule type="iconSet" priority="46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U30">
    <cfRule type="expression" dxfId="193" priority="44">
      <formula>$U$9=0</formula>
    </cfRule>
  </conditionalFormatting>
  <conditionalFormatting sqref="U29">
    <cfRule type="iconSet" priority="42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S21:T21">
    <cfRule type="expression" dxfId="192" priority="40">
      <formula>$U$9=0</formula>
    </cfRule>
  </conditionalFormatting>
  <conditionalFormatting sqref="T20">
    <cfRule type="iconSet" priority="39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24:T24">
    <cfRule type="expression" dxfId="191" priority="38">
      <formula>$U$9=0</formula>
    </cfRule>
  </conditionalFormatting>
  <conditionalFormatting sqref="T23">
    <cfRule type="iconSet" priority="37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24:T24 I21:T21">
    <cfRule type="cellIs" dxfId="190" priority="36" operator="equal">
      <formula>0</formula>
    </cfRule>
  </conditionalFormatting>
  <conditionalFormatting sqref="S27:T27">
    <cfRule type="expression" dxfId="189" priority="35">
      <formula>$U$9=0</formula>
    </cfRule>
  </conditionalFormatting>
  <conditionalFormatting sqref="T26">
    <cfRule type="iconSet" priority="34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30:T30">
    <cfRule type="expression" dxfId="188" priority="33">
      <formula>$U$9=0</formula>
    </cfRule>
  </conditionalFormatting>
  <conditionalFormatting sqref="T29">
    <cfRule type="iconSet" priority="32">
      <iconSet iconSet="5ArrowsGray">
        <cfvo type="percent" val="0"/>
        <cfvo type="formula" val="$W$8*0.99"/>
        <cfvo type="formula" val="$W$8*0.999"/>
        <cfvo type="formula" val="$W$8*1.001"/>
        <cfvo type="formula" val="$W$8*1.01"/>
      </iconSet>
    </cfRule>
  </conditionalFormatting>
  <conditionalFormatting sqref="I30:T30 I27:T27">
    <cfRule type="cellIs" dxfId="187" priority="31" operator="equal">
      <formula>0</formula>
    </cfRule>
  </conditionalFormatting>
  <conditionalFormatting sqref="U140">
    <cfRule type="cellIs" dxfId="186" priority="9" operator="equal">
      <formula>0</formula>
    </cfRule>
  </conditionalFormatting>
  <conditionalFormatting sqref="T140">
    <cfRule type="cellIs" dxfId="185" priority="10" operator="equal">
      <formula>0</formula>
    </cfRule>
  </conditionalFormatting>
  <conditionalFormatting sqref="I138:S138">
    <cfRule type="cellIs" dxfId="184" priority="6" operator="equal">
      <formula>0</formula>
    </cfRule>
  </conditionalFormatting>
  <conditionalFormatting sqref="V140:W140">
    <cfRule type="cellIs" dxfId="183" priority="7" operator="equal">
      <formula>-1</formula>
    </cfRule>
  </conditionalFormatting>
  <conditionalFormatting sqref="U135">
    <cfRule type="iconSet" priority="17">
      <iconSet iconSet="5ArrowsGray">
        <cfvo type="percent" val="0"/>
        <cfvo type="formula" val="$W$75*0.9"/>
        <cfvo type="formula" val="$W$75*0.999999999999"/>
        <cfvo type="formula" val="$W$75*1.00001"/>
        <cfvo type="formula" val="$W$75*1.1"/>
      </iconSet>
    </cfRule>
  </conditionalFormatting>
  <conditionalFormatting sqref="U136">
    <cfRule type="cellIs" dxfId="182" priority="15" operator="equal">
      <formula>0</formula>
    </cfRule>
  </conditionalFormatting>
  <conditionalFormatting sqref="U139">
    <cfRule type="cellIs" dxfId="181" priority="11" operator="equal">
      <formula>0</formula>
    </cfRule>
  </conditionalFormatting>
  <conditionalFormatting sqref="U138">
    <cfRule type="iconSet" priority="13">
      <iconSet iconSet="5ArrowsGray">
        <cfvo type="percent" val="0"/>
        <cfvo type="formula" val="$W$75*0.9"/>
        <cfvo type="formula" val="$W$75*0.999999999999"/>
        <cfvo type="formula" val="$W$75*1.00001"/>
        <cfvo type="formula" val="$W$75*1.1"/>
      </iconSet>
    </cfRule>
  </conditionalFormatting>
  <conditionalFormatting sqref="V140:W140">
    <cfRule type="cellIs" dxfId="180" priority="8" operator="equal">
      <formula>0</formula>
    </cfRule>
  </conditionalFormatting>
  <conditionalFormatting sqref="I139:S139">
    <cfRule type="cellIs" dxfId="179" priority="5" operator="equal">
      <formula>0</formula>
    </cfRule>
  </conditionalFormatting>
  <conditionalFormatting sqref="T135">
    <cfRule type="iconSet" priority="4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conditionalFormatting sqref="T136">
    <cfRule type="cellIs" dxfId="178" priority="3" operator="equal">
      <formula>0</formula>
    </cfRule>
  </conditionalFormatting>
  <conditionalFormatting sqref="T139">
    <cfRule type="cellIs" dxfId="177" priority="2" operator="equal">
      <formula>0</formula>
    </cfRule>
  </conditionalFormatting>
  <conditionalFormatting sqref="T138">
    <cfRule type="iconSet" priority="1">
      <iconSet iconSet="5ArrowsGray" reverse="1">
        <cfvo type="percent" val="0"/>
        <cfvo type="formula" val="$W$45*0.9"/>
        <cfvo type="formula" val="$W$45*0.999999999999"/>
        <cfvo type="formula" val="$W$45*1.00001"/>
        <cfvo type="formula" val="$W$45*1.1"/>
      </iconSet>
    </cfRule>
  </conditionalFormatting>
  <printOptions horizontalCentered="1" verticalCentered="1"/>
  <pageMargins left="0.1" right="0.1" top="0.5" bottom="0" header="0.3" footer="0.3"/>
  <pageSetup scale="45" orientation="portrait" r:id="rId1"/>
  <colBreaks count="1" manualBreakCount="1">
    <brk id="25" max="1048575" man="1"/>
  </colBreaks>
  <ignoredErrors>
    <ignoredError sqref="Q120:U120" formula="1"/>
  </ignoredErrors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negative="1" displayHidden="1" xr2:uid="{00000000-0003-0000-0200-000033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FWRD!I135:T135</xm:f>
              <xm:sqref>X135</xm:sqref>
            </x14:sparkline>
          </x14:sparklines>
        </x14:sparklineGroup>
        <x14:sparklineGroup manualMax="0" manualMin="0" displayEmptyCellsAs="gap" negative="1" displayHidden="1" xr2:uid="{00000000-0003-0000-0200-000032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FWRD!I136:T136</xm:f>
              <xm:sqref>X136</xm:sqref>
            </x14:sparkline>
          </x14:sparklines>
        </x14:sparklineGroup>
        <x14:sparklineGroup manualMax="0" manualMin="0" displayEmptyCellsAs="gap" negative="1" displayHidden="1" xr2:uid="{00000000-0003-0000-0200-000031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FWRD!I138:T138</xm:f>
              <xm:sqref>X138</xm:sqref>
            </x14:sparkline>
          </x14:sparklines>
        </x14:sparklineGroup>
        <x14:sparklineGroup manualMax="0" manualMin="0" displayEmptyCellsAs="gap" negative="1" displayHidden="1" xr2:uid="{00000000-0003-0000-0200-000030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FWRD!I139:T139</xm:f>
              <xm:sqref>X139</xm:sqref>
            </x14:sparkline>
            <x14:sparkline>
              <xm:f>FWRD!I140:T140</xm:f>
              <xm:sqref>X140</xm:sqref>
            </x14:sparkline>
          </x14:sparklines>
        </x14:sparklineGroup>
        <x14:sparklineGroup manualMax="0" manualMin="0" displayEmptyCellsAs="gap" negative="1" displayHidden="1" xr2:uid="{00000000-0003-0000-0200-00002F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FWRD!I15:T15</xm:f>
              <xm:sqref>X15</xm:sqref>
            </x14:sparkline>
          </x14:sparklines>
        </x14:sparklineGroup>
        <x14:sparklineGroup manualMax="0" manualMin="0" displayEmptyCellsAs="gap" negative="1" displayHidden="1" xr2:uid="{00000000-0003-0000-0200-00002E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FWRD!I14:T14</xm:f>
              <xm:sqref>X14</xm:sqref>
            </x14:sparkline>
          </x14:sparklines>
        </x14:sparklineGroup>
        <x14:sparklineGroup manualMax="0" manualMin="0" displayEmptyCellsAs="gap" negative="1" displayHidden="1" xr2:uid="{00000000-0003-0000-0200-00002D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FWRD!I17:T17</xm:f>
              <xm:sqref>X17</xm:sqref>
            </x14:sparkline>
          </x14:sparklines>
        </x14:sparklineGroup>
        <x14:sparklineGroup manualMax="0" manualMin="0" displayEmptyCellsAs="gap" negative="1" displayHidden="1" xr2:uid="{00000000-0003-0000-0200-00002C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FWRD!I72:T72</xm:f>
              <xm:sqref>X72</xm:sqref>
            </x14:sparkline>
          </x14:sparklines>
        </x14:sparklineGroup>
        <x14:sparklineGroup manualMax="0" manualMin="0" displayEmptyCellsAs="gap" negative="1" displayHidden="1" xr2:uid="{00000000-0003-0000-0200-00002B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FWRD!I76:T76</xm:f>
              <xm:sqref>X76</xm:sqref>
            </x14:sparkline>
          </x14:sparklines>
        </x14:sparklineGroup>
        <x14:sparklineGroup manualMax="0" manualMin="0" displayEmptyCellsAs="gap" negative="1" displayHidden="1" xr2:uid="{00000000-0003-0000-0200-00002A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FWRD!I43:T43</xm:f>
              <xm:sqref>X43</xm:sqref>
            </x14:sparkline>
          </x14:sparklines>
        </x14:sparklineGroup>
        <x14:sparklineGroup manualMax="0" manualMin="0" displayEmptyCellsAs="gap" negative="1" displayHidden="1" xr2:uid="{00000000-0003-0000-0200-000029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FWRD!I42:T42</xm:f>
              <xm:sqref>X42</xm:sqref>
            </x14:sparkline>
          </x14:sparklines>
        </x14:sparklineGroup>
        <x14:sparklineGroup manualMax="0" manualMin="0" displayEmptyCellsAs="gap" negative="1" displayHidden="1" xr2:uid="{00000000-0003-0000-0200-000028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FWRD!I73:T73</xm:f>
              <xm:sqref>X73</xm:sqref>
            </x14:sparkline>
          </x14:sparklines>
        </x14:sparklineGroup>
        <x14:sparklineGroup manualMax="0" manualMin="0" displayEmptyCellsAs="gap" negative="1" displayHidden="1" xr2:uid="{00000000-0003-0000-0200-000027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FWRD!I75:T75</xm:f>
              <xm:sqref>X75</xm:sqref>
            </x14:sparkline>
          </x14:sparklines>
        </x14:sparklineGroup>
        <x14:sparklineGroup manualMax="0" manualMin="0" displayEmptyCellsAs="gap" negative="1" displayHidden="1" xr2:uid="{00000000-0003-0000-0200-000026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FWRD!I120:T120</xm:f>
              <xm:sqref>X120</xm:sqref>
            </x14:sparkline>
          </x14:sparklines>
        </x14:sparklineGroup>
        <x14:sparklineGroup manualMax="0" manualMin="0" displayEmptyCellsAs="gap" negative="1" displayHidden="1" xr2:uid="{00000000-0003-0000-0200-000025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FWRD!I130:T130</xm:f>
              <xm:sqref>X130</xm:sqref>
            </x14:sparkline>
          </x14:sparklines>
        </x14:sparklineGroup>
        <x14:sparklineGroup manualMax="0" manualMin="0" displayEmptyCellsAs="gap" negative="1" displayHidden="1" xr2:uid="{00000000-0003-0000-0200-000024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FWRD!I129:T129</xm:f>
              <xm:sqref>X129</xm:sqref>
            </x14:sparkline>
          </x14:sparklines>
        </x14:sparklineGroup>
        <x14:sparklineGroup manualMax="0" manualMin="0" displayEmptyCellsAs="gap" negative="1" displayHidden="1" xr2:uid="{00000000-0003-0000-0200-000023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FWRD!I102:T102</xm:f>
              <xm:sqref>X102</xm:sqref>
            </x14:sparkline>
          </x14:sparklines>
        </x14:sparklineGroup>
        <x14:sparklineGroup manualMax="0" manualMin="0" displayEmptyCellsAs="gap" negative="1" displayHidden="1" xr2:uid="{00000000-0003-0000-0200-000022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FWRD!I111:T111</xm:f>
              <xm:sqref>X111</xm:sqref>
            </x14:sparkline>
          </x14:sparklines>
        </x14:sparklineGroup>
        <x14:sparklineGroup manualMax="0" manualMin="0" displayEmptyCellsAs="gap" negative="1" displayHidden="1" xr2:uid="{00000000-0003-0000-0200-000021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FWRD!I132:T132</xm:f>
              <xm:sqref>X132</xm:sqref>
            </x14:sparkline>
          </x14:sparklines>
        </x14:sparklineGroup>
        <x14:sparklineGroup manualMax="0" manualMin="0" displayEmptyCellsAs="gap" negative="1" displayHidden="1" xr2:uid="{00000000-0003-0000-0200-000020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FWRD!I79:T79</xm:f>
              <xm:sqref>X79</xm:sqref>
            </x14:sparkline>
          </x14:sparklines>
        </x14:sparklineGroup>
        <x14:sparklineGroup manualMax="0" manualMin="0" displayEmptyCellsAs="gap" negative="1" displayHidden="1" xr2:uid="{00000000-0003-0000-0200-00001F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FWRD!I78:T78</xm:f>
              <xm:sqref>X78</xm:sqref>
            </x14:sparkline>
          </x14:sparklines>
        </x14:sparklineGroup>
        <x14:sparklineGroup manualMax="0" manualMin="0" displayEmptyCellsAs="gap" negative="1" displayHidden="1" xr2:uid="{00000000-0003-0000-0200-00001E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FWRD!I70:T70</xm:f>
              <xm:sqref>X70</xm:sqref>
            </x14:sparkline>
          </x14:sparklines>
        </x14:sparklineGroup>
        <x14:sparklineGroup manualMax="0" manualMin="0" displayEmptyCellsAs="gap" negative="1" displayHidden="1" xr2:uid="{00000000-0003-0000-0200-00001D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FWRD!I69:T69</xm:f>
              <xm:sqref>X69</xm:sqref>
            </x14:sparkline>
          </x14:sparklines>
        </x14:sparklineGroup>
        <x14:sparklineGroup manualMax="0" manualMin="0" displayEmptyCellsAs="gap" negative="1" displayHidden="1" xr2:uid="{00000000-0003-0000-0200-00001C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FWRD!I51:T51</xm:f>
              <xm:sqref>X51</xm:sqref>
            </x14:sparkline>
          </x14:sparklines>
        </x14:sparklineGroup>
        <x14:sparklineGroup manualMax="0" manualMin="0" displayEmptyCellsAs="gap" negative="1" displayHidden="1" xr2:uid="{00000000-0003-0000-0200-00001B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FWRD!I48:T48</xm:f>
              <xm:sqref>X48</xm:sqref>
            </x14:sparkline>
          </x14:sparklines>
        </x14:sparklineGroup>
        <x14:sparklineGroup manualMax="0" manualMin="0" displayEmptyCellsAs="gap" negative="1" displayHidden="1" xr2:uid="{00000000-0003-0000-0200-00001A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FWRD!I33:T33</xm:f>
              <xm:sqref>X33</xm:sqref>
            </x14:sparkline>
          </x14:sparklines>
        </x14:sparklineGroup>
        <x14:sparklineGroup manualMax="0" manualMin="0" displayEmptyCellsAs="gap" negative="1" displayHidden="1" xr2:uid="{00000000-0003-0000-0200-000019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FWRD!I34:T34</xm:f>
              <xm:sqref>X34</xm:sqref>
            </x14:sparkline>
          </x14:sparklines>
        </x14:sparklineGroup>
        <x14:sparklineGroup manualMax="0" manualMin="0" displayEmptyCellsAs="gap" negative="1" displayHidden="1" xr2:uid="{00000000-0003-0000-0200-000018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FWRD!I45:T45</xm:f>
              <xm:sqref>X45</xm:sqref>
            </x14:sparkline>
          </x14:sparklines>
        </x14:sparklineGroup>
        <x14:sparklineGroup manualMax="0" manualMin="0" displayEmptyCellsAs="gap" negative="1" displayHidden="1" xr2:uid="{00000000-0003-0000-0200-000017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FWRD!I39:T39</xm:f>
              <xm:sqref>X39</xm:sqref>
            </x14:sparkline>
            <x14:sparkline>
              <xm:f>FWRD!I40:T40</xm:f>
              <xm:sqref>X40</xm:sqref>
            </x14:sparkline>
            <x14:sparkline>
              <xm:f>FWRD!I41:T41</xm:f>
              <xm:sqref>X41</xm:sqref>
            </x14:sparkline>
          </x14:sparklines>
        </x14:sparklineGroup>
        <x14:sparklineGroup manualMax="0" manualMin="0" displayEmptyCellsAs="gap" negative="1" displayHidden="1" xr2:uid="{00000000-0003-0000-0200-000016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FWRD!I47:T47</xm:f>
              <xm:sqref>X47</xm:sqref>
            </x14:sparkline>
          </x14:sparklines>
        </x14:sparklineGroup>
        <x14:sparklineGroup manualMax="0" manualMin="0" displayEmptyCellsAs="gap" negative="1" displayHidden="1" xr2:uid="{00000000-0003-0000-0200-000015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FWRD!I49:T49</xm:f>
              <xm:sqref>X49</xm:sqref>
            </x14:sparkline>
          </x14:sparklines>
        </x14:sparklineGroup>
        <x14:sparklineGroup manualMax="0" manualMin="0" displayEmptyCellsAs="gap" negative="1" displayHidden="1" xr2:uid="{00000000-0003-0000-0200-000014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FWRD!I104:T104</xm:f>
              <xm:sqref>X104</xm:sqref>
            </x14:sparkline>
          </x14:sparklines>
        </x14:sparklineGroup>
        <x14:sparklineGroup manualMax="0" manualMin="0" displayEmptyCellsAs="gap" negative="1" displayHidden="1" xr2:uid="{00000000-0003-0000-0200-000013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FWRD!I101:T101</xm:f>
              <xm:sqref>X101</xm:sqref>
            </x14:sparkline>
          </x14:sparklines>
        </x14:sparklineGroup>
        <x14:sparklineGroup manualMax="0" manualMin="0" displayEmptyCellsAs="gap" negative="1" displayHidden="1" xr2:uid="{00000000-0003-0000-0200-000012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FWRD!I57:T57</xm:f>
              <xm:sqref>X57</xm:sqref>
            </x14:sparkline>
          </x14:sparklines>
        </x14:sparklineGroup>
        <x14:sparklineGroup manualMax="0" manualMin="0" displayEmptyCellsAs="gap" negative="1" displayHidden="1" xr2:uid="{00000000-0003-0000-0200-000011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FWRD!I144:T144</xm:f>
              <xm:sqref>X144</xm:sqref>
            </x14:sparkline>
          </x14:sparklines>
        </x14:sparklineGroup>
        <x14:sparklineGroup manualMax="0" manualMin="0" displayEmptyCellsAs="gap" negative="1" displayHidden="1" xr2:uid="{00000000-0003-0000-0200-000010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FWRD!I52:T52</xm:f>
              <xm:sqref>X52</xm:sqref>
            </x14:sparkline>
          </x14:sparklines>
        </x14:sparklineGroup>
        <x14:sparklineGroup manualMax="0" manualMin="0" displayEmptyCellsAs="gap" negative="1" displayHidden="1" xr2:uid="{00000000-0003-0000-0200-00000F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FWRD!I54:T54</xm:f>
              <xm:sqref>X54</xm:sqref>
            </x14:sparkline>
          </x14:sparklines>
        </x14:sparklineGroup>
        <x14:sparklineGroup manualMax="0" manualMin="0" displayEmptyCellsAs="gap" negative="1" displayHidden="1" xr2:uid="{00000000-0003-0000-0200-00000E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FWRD!I55:T55</xm:f>
              <xm:sqref>X55</xm:sqref>
            </x14:sparkline>
          </x14:sparklines>
        </x14:sparklineGroup>
        <x14:sparklineGroup manualMax="0" manualMin="0" displayEmptyCellsAs="gap" negative="1" displayHidden="1" xr2:uid="{00000000-0003-0000-0200-00000D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FWRD!I46:T46</xm:f>
              <xm:sqref>X46</xm:sqref>
            </x14:sparkline>
          </x14:sparklines>
        </x14:sparklineGroup>
        <x14:sparklineGroup manualMax="0" manualMin="0" displayEmptyCellsAs="gap" negative="1" displayHidden="1" xr2:uid="{00000000-0003-0000-0200-00000C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FWRD!I44:T44</xm:f>
              <xm:sqref>X44</xm:sqref>
            </x14:sparkline>
            <x14:sparkline>
              <xm:f>FWRD!I50:T50</xm:f>
              <xm:sqref>X50</xm:sqref>
            </x14:sparkline>
          </x14:sparklines>
        </x14:sparklineGroup>
        <x14:sparklineGroup manualMax="0" manualMin="0" displayEmptyCellsAs="gap" negative="1" displayHidden="1" xr2:uid="{00000000-0003-0000-0200-00000B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FWRD!I36:T36</xm:f>
              <xm:sqref>X36</xm:sqref>
            </x14:sparkline>
          </x14:sparklines>
        </x14:sparklineGroup>
        <x14:sparklineGroup manualMax="0" manualMin="0" displayEmptyCellsAs="gap" negative="1" displayHidden="1" xr2:uid="{00000000-0003-0000-0200-00000A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FWRD!I35:T35</xm:f>
              <xm:sqref>X35</xm:sqref>
            </x14:sparkline>
          </x14:sparklines>
        </x14:sparklineGroup>
        <x14:sparklineGroup manualMax="0" manualMin="0" displayEmptyCellsAs="gap" negative="1" displayHidden="1" xr2:uid="{00000000-0003-0000-0200-000009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FWRD!I32:T32</xm:f>
              <xm:sqref>X32</xm:sqref>
            </x14:sparkline>
          </x14:sparklines>
        </x14:sparklineGroup>
        <x14:sparklineGroup manualMax="0" manualMin="0" displayEmptyCellsAs="gap" negative="1" displayHidden="1" xr2:uid="{00000000-0003-0000-0200-000008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FWRD!I38:T38</xm:f>
              <xm:sqref>X38</xm:sqref>
            </x14:sparkline>
          </x14:sparklines>
        </x14:sparklineGroup>
        <x14:sparklineGroup manualMax="0" manualMin="0" displayEmptyCellsAs="gap" negative="1" displayHidden="1" xr2:uid="{00000000-0003-0000-0200-000007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FWRD!I133:T133</xm:f>
              <xm:sqref>X133</xm:sqref>
            </x14:sparkline>
          </x14:sparklines>
        </x14:sparklineGroup>
        <x14:sparklineGroup manualMax="0" manualMin="0" displayEmptyCellsAs="gap" negative="1" displayHidden="1" xr2:uid="{00000000-0003-0000-0200-000006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FWRD!I146:T146</xm:f>
              <xm:sqref>X146</xm:sqref>
            </x14:sparkline>
          </x14:sparklines>
        </x14:sparklineGroup>
        <x14:sparklineGroup manualMax="0" manualMin="0" displayEmptyCellsAs="gap" negative="1" displayHidden="1" xr2:uid="{00000000-0003-0000-0200-000005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FWRD!I149:T149</xm:f>
              <xm:sqref>X149</xm:sqref>
            </x14:sparkline>
          </x14:sparklines>
        </x14:sparklineGroup>
        <x14:sparklineGroup manualMax="0" manualMin="0" displayEmptyCellsAs="gap" negative="1" displayHidden="1" xr2:uid="{00000000-0003-0000-0200-000004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FWRD!I110:T110</xm:f>
              <xm:sqref>X110</xm:sqref>
            </x14:sparkline>
          </x14:sparklines>
        </x14:sparklineGroup>
        <x14:sparklineGroup manualMax="0" manualMin="0" displayEmptyCellsAs="gap" negative="1" displayHidden="1" xr2:uid="{00000000-0003-0000-0200-000003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FWRD!I97:T97</xm:f>
              <xm:sqref>X97</xm:sqref>
            </x14:sparkline>
          </x14:sparklines>
        </x14:sparklineGroup>
        <x14:sparklineGroup manualMax="0" manualMin="0" displayEmptyCellsAs="gap" negative="1" displayHidden="1" xr2:uid="{00000000-0003-0000-0200-000002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FWRD!I151:T151</xm:f>
              <xm:sqref>X151</xm:sqref>
            </x14:sparkline>
          </x14:sparklines>
        </x14:sparklineGroup>
        <x14:sparklineGroup manualMax="0" manualMin="0" displayEmptyCellsAs="gap" negative="1" displayHidden="1" xr2:uid="{00000000-0003-0000-0200-000001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FWRD!I99:T99</xm:f>
              <xm:sqref>X99</xm:sqref>
            </x14:sparkline>
          </x14:sparklines>
        </x14:sparklineGroup>
        <x14:sparklineGroup manualMax="0" manualMin="0" displayEmptyCellsAs="gap" negative="1" displayHidden="1" xr2:uid="{00000000-0003-0000-0200-00000001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FWRD!I153:T153</xm:f>
              <xm:sqref>X153</xm:sqref>
            </x14:sparkline>
          </x14:sparklines>
        </x14:sparklineGroup>
        <x14:sparklineGroup manualMax="0" manualMin="0" displayEmptyCellsAs="gap" negative="1" displayHidden="1" xr2:uid="{00000000-0003-0000-0200-0000F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FWRD!I108:T108</xm:f>
              <xm:sqref>X108</xm:sqref>
            </x14:sparkline>
          </x14:sparklines>
        </x14:sparklineGroup>
        <x14:sparklineGroup manualMax="0" manualMin="0" displayEmptyCellsAs="gap" negative="1" displayHidden="1" xr2:uid="{00000000-0003-0000-0200-0000F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FWRD!I116:T116</xm:f>
              <xm:sqref>X116</xm:sqref>
            </x14:sparkline>
          </x14:sparklines>
        </x14:sparklineGroup>
        <x14:sparklineGroup manualMax="0" manualMin="0" displayEmptyCellsAs="gap" negative="1" displayHidden="1" xr2:uid="{00000000-0003-0000-0200-0000F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FWRD!I114:T114</xm:f>
              <xm:sqref>X114</xm:sqref>
            </x14:sparkline>
          </x14:sparklines>
        </x14:sparklineGroup>
        <x14:sparklineGroup manualMax="0" manualMin="0" displayEmptyCellsAs="gap" negative="1" displayHidden="1" xr2:uid="{00000000-0003-0000-0200-0000F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FWRD!I113:T113</xm:f>
              <xm:sqref>X113</xm:sqref>
            </x14:sparkline>
          </x14:sparklines>
        </x14:sparklineGroup>
        <x14:sparklineGroup manualMax="0" manualMin="0" displayEmptyCellsAs="gap" negative="1" displayHidden="1" xr2:uid="{00000000-0003-0000-0200-0000F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FWRD!I12:T12</xm:f>
              <xm:sqref>X12</xm:sqref>
            </x14:sparkline>
          </x14:sparklines>
        </x14:sparklineGroup>
        <x14:sparklineGroup manualMax="0" manualMin="0" displayEmptyCellsAs="gap" negative="1" displayHidden="1" xr2:uid="{00000000-0003-0000-0200-0000F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FWRD!I11:T11</xm:f>
              <xm:sqref>X11</xm:sqref>
            </x14:sparkline>
          </x14:sparklines>
        </x14:sparklineGroup>
        <x14:sparklineGroup manualMax="0" manualMin="0" displayEmptyCellsAs="gap" negative="1" displayHidden="1" xr2:uid="{00000000-0003-0000-0200-0000F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FWRD!I117:T117</xm:f>
              <xm:sqref>X117</xm:sqref>
            </x14:sparkline>
          </x14:sparklines>
        </x14:sparklineGroup>
        <x14:sparklineGroup manualMax="0" manualMin="0" displayEmptyCellsAs="gap" negative="1" displayHidden="1" xr2:uid="{00000000-0003-0000-0200-0000F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FWRD!I126:T126</xm:f>
              <xm:sqref>X126</xm:sqref>
            </x14:sparkline>
          </x14:sparklines>
        </x14:sparklineGroup>
        <x14:sparklineGroup manualMax="0" manualMin="0" displayEmptyCellsAs="gap" negative="1" displayHidden="1" xr2:uid="{00000000-0003-0000-0200-0000F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FWRD!I127:T127</xm:f>
              <xm:sqref>X127</xm:sqref>
            </x14:sparkline>
          </x14:sparklines>
        </x14:sparklineGroup>
        <x14:sparklineGroup manualMax="0" manualMin="0" displayEmptyCellsAs="gap" negative="1" displayHidden="1" xr2:uid="{00000000-0003-0000-0200-0000F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FWRD!I8:T8</xm:f>
              <xm:sqref>X8</xm:sqref>
            </x14:sparkline>
          </x14:sparklines>
        </x14:sparklineGroup>
        <x14:sparklineGroup manualMax="0" manualMin="0" displayEmptyCellsAs="gap" negative="1" displayHidden="1" xr2:uid="{00000000-0003-0000-0200-0000F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FWRD!I123:T123</xm:f>
              <xm:sqref>X123</xm:sqref>
            </x14:sparkline>
          </x14:sparklines>
        </x14:sparklineGroup>
        <x14:sparklineGroup manualMax="0" manualMin="0" displayEmptyCellsAs="gap" negative="1" displayHidden="1" xr2:uid="{00000000-0003-0000-0200-0000F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FWRD!I124:T124</xm:f>
              <xm:sqref>X124</xm:sqref>
            </x14:sparkline>
          </x14:sparklines>
        </x14:sparklineGroup>
        <x14:sparklineGroup manualMax="0" manualMin="0" displayEmptyCellsAs="gap" negative="1" displayHidden="1" xr2:uid="{00000000-0003-0000-0200-0000F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FWRD!I143:T143</xm:f>
              <xm:sqref>X143</xm:sqref>
            </x14:sparkline>
          </x14:sparklines>
        </x14:sparklineGroup>
        <x14:sparklineGroup manualMax="0" manualMin="0" displayEmptyCellsAs="gap" negative="1" displayHidden="1" xr2:uid="{00000000-0003-0000-0200-0000F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FWRD!I9:T9</xm:f>
              <xm:sqref>X9</xm:sqref>
            </x14:sparkline>
          </x14:sparklines>
        </x14:sparklineGroup>
        <x14:sparklineGroup manualMax="0" manualMin="0" displayEmptyCellsAs="gap" negative="1" displayHidden="1" xr2:uid="{00000000-0003-0000-0200-0000F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FWRD!I119:T119</xm:f>
              <xm:sqref>X119</xm:sqref>
            </x14:sparkline>
          </x14:sparklines>
        </x14:sparklineGroup>
        <x14:sparklineGroup manualMax="0" manualMin="0" displayEmptyCellsAs="gap" negative="1" displayHidden="1" xr2:uid="{00000000-0003-0000-0200-0000F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FWRD!I121:T121</xm:f>
              <xm:sqref>X121</xm:sqref>
            </x14:sparkline>
          </x14:sparklines>
        </x14:sparklineGroup>
        <x14:sparklineGroup manualMax="0" manualMin="0" displayEmptyCellsAs="gap" negative="1" displayHidden="1" xr2:uid="{00000000-0003-0000-0200-0000E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FWRD!I142:T142</xm:f>
              <xm:sqref>X142</xm:sqref>
            </x14:sparkline>
          </x14:sparklines>
        </x14:sparklineGroup>
        <x14:sparklineGroup manualMax="0" manualMin="0" displayEmptyCellsAs="gap" negative="1" displayHidden="1" xr2:uid="{00000000-0003-0000-0200-0000E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FWRD!I147:T147</xm:f>
              <xm:sqref>X147</xm:sqref>
            </x14:sparkline>
          </x14:sparklines>
        </x14:sparklineGroup>
        <x14:sparklineGroup manualMax="0" manualMin="0" displayEmptyCellsAs="gap" negative="1" displayHidden="1" xr2:uid="{00000000-0003-0000-0200-0000E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FWRD!I107:T107</xm:f>
              <xm:sqref>X107</xm:sqref>
            </x14:sparkline>
          </x14:sparklines>
        </x14:sparklineGroup>
        <x14:sparklineGroup manualMax="0" manualMin="0" displayEmptyCellsAs="gap" negative="1" displayHidden="1" xr2:uid="{00000000-0003-0000-0200-0000E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FWRD!I152:T152</xm:f>
              <xm:sqref>X152</xm:sqref>
            </x14:sparkline>
          </x14:sparklines>
        </x14:sparklineGroup>
        <x14:sparklineGroup manualMax="0" manualMin="0" displayEmptyCellsAs="gap" negative="1" displayHidden="1" xr2:uid="{00000000-0003-0000-0200-0000E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FWRD!I145:T145</xm:f>
              <xm:sqref>X145</xm:sqref>
            </x14:sparkline>
          </x14:sparklines>
        </x14:sparklineGroup>
        <x14:sparklineGroup manualMax="0" manualMin="0" displayEmptyCellsAs="gap" negative="1" displayHidden="1" xr2:uid="{00000000-0003-0000-0200-0000E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FWRD!I150:T150</xm:f>
              <xm:sqref>X150</xm:sqref>
            </x14:sparkline>
          </x14:sparklines>
        </x14:sparklineGroup>
        <x14:sparklineGroup manualMax="0" manualMin="0" displayEmptyCellsAs="gap" negative="1" displayHidden="1" xr2:uid="{00000000-0003-0000-0200-0000E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FWRD!I105:T105</xm:f>
              <xm:sqref>X105</xm:sqref>
            </x14:sparkline>
          </x14:sparklines>
        </x14:sparklineGroup>
        <x14:sparklineGroup manualMax="0" manualMin="0" displayEmptyCellsAs="gap" negative="1" displayHidden="1" xr2:uid="{00000000-0003-0000-0200-0000E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FWRD!I93:T93</xm:f>
              <xm:sqref>X93</xm:sqref>
            </x14:sparkline>
          </x14:sparklines>
        </x14:sparklineGroup>
        <x14:sparklineGroup manualMax="0" manualMin="0" displayEmptyCellsAs="gap" negative="1" displayHidden="1" xr2:uid="{00000000-0003-0000-0200-0000E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FWRD!I66:T66</xm:f>
              <xm:sqref>X66</xm:sqref>
            </x14:sparkline>
          </x14:sparklines>
        </x14:sparklineGroup>
        <x14:sparklineGroup manualMax="0" manualMin="0" displayEmptyCellsAs="gap" negative="1" displayHidden="1" xr2:uid="{00000000-0003-0000-0200-0000E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FWRD!I67:T67</xm:f>
              <xm:sqref>X67</xm:sqref>
            </x14:sparkline>
          </x14:sparklines>
        </x14:sparklineGroup>
        <x14:sparklineGroup manualMax="0" manualMin="0" displayEmptyCellsAs="gap" negative="1" displayHidden="1" xr2:uid="{00000000-0003-0000-0200-0000E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FWRD!I81:T81</xm:f>
              <xm:sqref>X81</xm:sqref>
            </x14:sparkline>
          </x14:sparklines>
        </x14:sparklineGroup>
        <x14:sparklineGroup manualMax="0" manualMin="0" displayEmptyCellsAs="gap" negative="1" displayHidden="1" xr2:uid="{00000000-0003-0000-0200-0000E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FWRD!I82:T82</xm:f>
              <xm:sqref>X82</xm:sqref>
            </x14:sparkline>
          </x14:sparklines>
        </x14:sparklineGroup>
        <x14:sparklineGroup manualMax="0" manualMin="0" displayEmptyCellsAs="gap" negative="1" displayHidden="1" xr2:uid="{00000000-0003-0000-0200-0000E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FWRD!I84:T84</xm:f>
              <xm:sqref>X84</xm:sqref>
            </x14:sparkline>
          </x14:sparklines>
        </x14:sparklineGroup>
        <x14:sparklineGroup manualMax="0" manualMin="0" displayEmptyCellsAs="gap" negative="1" displayHidden="1" xr2:uid="{00000000-0003-0000-0200-0000E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FWRD!I85:T85</xm:f>
              <xm:sqref>X85</xm:sqref>
            </x14:sparkline>
          </x14:sparklines>
        </x14:sparklineGroup>
        <x14:sparklineGroup manualMax="0" manualMin="0" displayEmptyCellsAs="gap" negative="1" displayHidden="1" xr2:uid="{00000000-0003-0000-0200-0000E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FWRD!I87:T87</xm:f>
              <xm:sqref>X87</xm:sqref>
            </x14:sparkline>
          </x14:sparklines>
        </x14:sparklineGroup>
        <x14:sparklineGroup manualMax="0" manualMin="0" displayEmptyCellsAs="gap" negative="1" displayHidden="1" xr2:uid="{00000000-0003-0000-0200-0000E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FWRD!I88:T88</xm:f>
              <xm:sqref>X88</xm:sqref>
            </x14:sparkline>
          </x14:sparklines>
        </x14:sparklineGroup>
        <x14:sparklineGroup manualMax="0" manualMin="0" displayEmptyCellsAs="gap" negative="1" displayHidden="1" xr2:uid="{00000000-0003-0000-0200-0000D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FWRD!I91:T91</xm:f>
              <xm:sqref>X91</xm:sqref>
            </x14:sparkline>
          </x14:sparklines>
        </x14:sparklineGroup>
        <x14:sparklineGroup manualMax="0" manualMin="0" displayEmptyCellsAs="gap" negative="1" displayHidden="1" xr2:uid="{00000000-0003-0000-0200-0000D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FWRD!I90:T90</xm:f>
              <xm:sqref>X90</xm:sqref>
            </x14:sparkline>
          </x14:sparklines>
        </x14:sparklineGroup>
        <x14:sparklineGroup manualMax="0" manualMin="0" displayEmptyCellsAs="gap" negative="1" displayHidden="1" xr2:uid="{00000000-0003-0000-0200-0000DD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FWRD!I95:T95</xm:f>
              <xm:sqref>X95</xm:sqref>
            </x14:sparkline>
          </x14:sparklines>
        </x14:sparklineGroup>
        <x14:sparklineGroup manualMax="0" manualMin="0" displayEmptyCellsAs="gap" negative="1" displayHidden="1" xr2:uid="{00000000-0003-0000-0200-0000DC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FWRD!I94:T94</xm:f>
              <xm:sqref>X94</xm:sqref>
            </x14:sparkline>
          </x14:sparklines>
        </x14:sparklineGroup>
        <x14:sparklineGroup manualMax="0" manualMin="0" displayEmptyCellsAs="gap" negative="1" displayHidden="1" xr2:uid="{00000000-0003-0000-0200-0000DB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FWRD!I58:T58</xm:f>
              <xm:sqref>X58</xm:sqref>
            </x14:sparkline>
          </x14:sparklines>
        </x14:sparklineGroup>
        <x14:sparklineGroup manualMax="0" manualMin="0" displayEmptyCellsAs="gap" negative="1" displayHidden="1" xr2:uid="{00000000-0003-0000-0200-0000DA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FWRD!I64:T64</xm:f>
              <xm:sqref>X64</xm:sqref>
            </x14:sparkline>
          </x14:sparklines>
        </x14:sparklineGroup>
        <x14:sparklineGroup manualMax="0" manualMin="0" displayEmptyCellsAs="gap" negative="1" displayHidden="1" xr2:uid="{00000000-0003-0000-0200-0000D9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FWRD!I63:T63</xm:f>
              <xm:sqref>X63</xm:sqref>
            </x14:sparkline>
          </x14:sparklines>
        </x14:sparklineGroup>
        <x14:sparklineGroup manualMax="0" manualMin="0" displayEmptyCellsAs="gap" negative="1" displayHidden="1" xr2:uid="{00000000-0003-0000-0200-0000D8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FWRD!I60:T60</xm:f>
              <xm:sqref>X60</xm:sqref>
            </x14:sparkline>
          </x14:sparklines>
        </x14:sparklineGroup>
        <x14:sparklineGroup manualMax="0" manualMin="0" displayEmptyCellsAs="gap" negative="1" displayHidden="1" xr2:uid="{00000000-0003-0000-0200-0000D7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FWRD!I61:T61</xm:f>
              <xm:sqref>X61</xm:sqref>
            </x14:sparkline>
          </x14:sparklines>
        </x14:sparklineGroup>
        <x14:sparklineGroup manualMax="0" manualMin="0" displayEmptyCellsAs="gap" negative="1" displayHidden="1" xr2:uid="{00000000-0003-0000-0200-0000D6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FWRD!I18:T18</xm:f>
              <xm:sqref>X18</xm:sqref>
            </x14:sparkline>
          </x14:sparklines>
        </x14:sparklineGroup>
        <x14:sparklineGroup manualMax="0" manualMin="0" displayEmptyCellsAs="gap" negative="1" displayHidden="1" xr2:uid="{00000000-0003-0000-0200-0000D5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FWRD!I21:T21</xm:f>
              <xm:sqref>X21</xm:sqref>
            </x14:sparkline>
          </x14:sparklines>
        </x14:sparklineGroup>
        <x14:sparklineGroup manualMax="0" manualMin="0" displayEmptyCellsAs="gap" negative="1" displayHidden="1" xr2:uid="{00000000-0003-0000-0200-0000D4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FWRD!I20:T20</xm:f>
              <xm:sqref>X20</xm:sqref>
            </x14:sparkline>
          </x14:sparklines>
        </x14:sparklineGroup>
        <x14:sparklineGroup manualMax="0" manualMin="0" displayEmptyCellsAs="gap" negative="1" displayHidden="1" xr2:uid="{00000000-0003-0000-0200-0000D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FWRD!I23:T23</xm:f>
              <xm:sqref>X23</xm:sqref>
            </x14:sparkline>
          </x14:sparklines>
        </x14:sparklineGroup>
        <x14:sparklineGroup manualMax="0" manualMin="0" displayEmptyCellsAs="gap" negative="1" displayHidden="1" xr2:uid="{00000000-0003-0000-0200-0000D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FWRD!I24:T24</xm:f>
              <xm:sqref>X24</xm:sqref>
            </x14:sparkline>
          </x14:sparklines>
        </x14:sparklineGroup>
        <x14:sparklineGroup manualMax="0" manualMin="0" displayEmptyCellsAs="gap" negative="1" displayHidden="1" xr2:uid="{00000000-0003-0000-0200-0000D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FWRD!I27:T27</xm:f>
              <xm:sqref>X27</xm:sqref>
            </x14:sparkline>
          </x14:sparklines>
        </x14:sparklineGroup>
        <x14:sparklineGroup manualMax="0" manualMin="0" displayEmptyCellsAs="gap" negative="1" displayHidden="1" xr2:uid="{00000000-0003-0000-0200-0000D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FWRD!I26:T26</xm:f>
              <xm:sqref>X26</xm:sqref>
            </x14:sparkline>
          </x14:sparklines>
        </x14:sparklineGroup>
        <x14:sparklineGroup manualMax="0" manualMin="0" displayEmptyCellsAs="gap" negative="1" displayHidden="1" xr2:uid="{00000000-0003-0000-0200-0000CF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FWRD!I29:T29</xm:f>
              <xm:sqref>X29</xm:sqref>
            </x14:sparkline>
          </x14:sparklines>
        </x14:sparklineGroup>
        <x14:sparklineGroup manualMax="0" manualMin="0" displayEmptyCellsAs="gap" negative="1" displayHidden="1" xr2:uid="{00000000-0003-0000-0200-0000CE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FWRD!I30:T30</xm:f>
              <xm:sqref>X30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K2333"/>
  <sheetViews>
    <sheetView showGridLines="0" topLeftCell="FF32" zoomScale="85" zoomScaleNormal="100" workbookViewId="0">
      <selection activeCell="FS47" sqref="FS47"/>
    </sheetView>
  </sheetViews>
  <sheetFormatPr defaultRowHeight="14.6" outlineLevelCol="1" x14ac:dyDescent="0.4"/>
  <cols>
    <col min="1" max="2" width="16.84375" customWidth="1"/>
    <col min="3" max="3" width="18.84375" customWidth="1"/>
    <col min="4" max="4" width="17" hidden="1" customWidth="1" outlineLevel="1"/>
    <col min="5" max="5" width="14.84375" hidden="1" customWidth="1" outlineLevel="1"/>
    <col min="6" max="6" width="9.15234375" style="6" customWidth="1" collapsed="1"/>
    <col min="7" max="7" width="15.84375" style="6" customWidth="1"/>
    <col min="8" max="8" width="31" bestFit="1" customWidth="1"/>
    <col min="9" max="9" width="30.69140625" bestFit="1" customWidth="1"/>
    <col min="10" max="10" width="15" bestFit="1" customWidth="1"/>
    <col min="11" max="11" width="8.15234375" customWidth="1"/>
    <col min="12" max="12" width="10.15234375" customWidth="1"/>
    <col min="13" max="13" width="11" customWidth="1"/>
    <col min="14" max="14" width="9.69140625" bestFit="1" customWidth="1"/>
    <col min="15" max="15" width="10.53515625" customWidth="1"/>
    <col min="16" max="16" width="9.15234375" bestFit="1" customWidth="1"/>
    <col min="17" max="17" width="10.69140625" bestFit="1" customWidth="1"/>
    <col min="18" max="19" width="9.15234375" bestFit="1" customWidth="1"/>
    <col min="20" max="20" width="10.15234375" bestFit="1" customWidth="1"/>
    <col min="23" max="23" width="30.69140625" bestFit="1" customWidth="1"/>
    <col min="24" max="24" width="15" bestFit="1" customWidth="1"/>
    <col min="25" max="25" width="8.15234375" customWidth="1"/>
    <col min="26" max="26" width="10.15234375" customWidth="1"/>
    <col min="27" max="27" width="11" customWidth="1"/>
    <col min="28" max="28" width="9.69140625" bestFit="1" customWidth="1"/>
    <col min="29" max="29" width="10.53515625" customWidth="1"/>
    <col min="30" max="30" width="9.15234375" bestFit="1" customWidth="1"/>
    <col min="31" max="31" width="11" bestFit="1" customWidth="1"/>
    <col min="32" max="32" width="9.3046875" bestFit="1" customWidth="1"/>
    <col min="33" max="33" width="12.3828125" bestFit="1" customWidth="1"/>
    <col min="34" max="34" width="15.3828125" bestFit="1" customWidth="1"/>
    <col min="37" max="37" width="30.69140625" bestFit="1" customWidth="1"/>
    <col min="38" max="38" width="24.69140625" bestFit="1" customWidth="1"/>
    <col min="39" max="39" width="11.15234375" customWidth="1"/>
    <col min="40" max="40" width="10.15234375" customWidth="1"/>
    <col min="41" max="41" width="9.15234375" bestFit="1" customWidth="1"/>
    <col min="42" max="42" width="12.84375" bestFit="1" customWidth="1"/>
    <col min="43" max="43" width="9.15234375" bestFit="1" customWidth="1"/>
    <col min="44" max="44" width="12.3828125" bestFit="1" customWidth="1"/>
    <col min="47" max="47" width="30.69140625" bestFit="1" customWidth="1"/>
    <col min="48" max="48" width="24.69140625" bestFit="1" customWidth="1"/>
    <col min="49" max="49" width="11.15234375" customWidth="1"/>
    <col min="50" max="50" width="10.15234375" customWidth="1"/>
    <col min="51" max="51" width="13.15234375" customWidth="1"/>
    <col min="54" max="54" width="10.53515625" customWidth="1"/>
    <col min="55" max="55" width="30.69140625" bestFit="1" customWidth="1"/>
    <col min="56" max="56" width="24.69140625" bestFit="1" customWidth="1"/>
    <col min="57" max="57" width="11.15234375" customWidth="1"/>
    <col min="58" max="58" width="10.15234375" customWidth="1"/>
    <col min="59" max="59" width="11" customWidth="1"/>
    <col min="61" max="61" width="30.69140625" bestFit="1" customWidth="1"/>
    <col min="62" max="62" width="24.69140625" bestFit="1" customWidth="1"/>
    <col min="63" max="63" width="6" customWidth="1"/>
    <col min="64" max="64" width="8.53515625" customWidth="1"/>
    <col min="65" max="65" width="11" customWidth="1"/>
    <col min="66" max="67" width="12.15234375" customWidth="1"/>
    <col min="69" max="69" width="13.3828125" customWidth="1"/>
    <col min="70" max="70" width="30.69140625" bestFit="1" customWidth="1"/>
    <col min="71" max="71" width="24.69140625" bestFit="1" customWidth="1"/>
    <col min="72" max="72" width="14.84375" customWidth="1"/>
    <col min="73" max="73" width="10.15234375" customWidth="1"/>
    <col min="74" max="74" width="11" customWidth="1"/>
    <col min="77" max="77" width="31.69140625" bestFit="1" customWidth="1"/>
    <col min="78" max="78" width="24.69140625" bestFit="1" customWidth="1"/>
    <col min="79" max="79" width="5.84375" customWidth="1"/>
    <col min="80" max="80" width="6.84375" customWidth="1"/>
    <col min="81" max="81" width="11" customWidth="1"/>
    <col min="84" max="84" width="31.69140625" bestFit="1" customWidth="1"/>
    <col min="85" max="85" width="24.15234375" bestFit="1" customWidth="1"/>
    <col min="86" max="86" width="7.15234375" customWidth="1"/>
    <col min="87" max="87" width="10.15234375" customWidth="1"/>
    <col min="88" max="88" width="12.15234375" customWidth="1"/>
    <col min="89" max="89" width="11.15234375" customWidth="1"/>
    <col min="90" max="90" width="12.3828125" bestFit="1" customWidth="1"/>
    <col min="91" max="91" width="10.84375" customWidth="1"/>
    <col min="92" max="92" width="12.84375" customWidth="1"/>
    <col min="93" max="93" width="11" customWidth="1"/>
    <col min="94" max="94" width="11.84375" customWidth="1"/>
    <col min="95" max="95" width="12.84375" bestFit="1" customWidth="1"/>
    <col min="96" max="96" width="10.84375" customWidth="1"/>
    <col min="97" max="97" width="11.84375" customWidth="1"/>
    <col min="98" max="98" width="11.3828125" customWidth="1"/>
    <col min="99" max="100" width="10.84375" customWidth="1"/>
    <col min="101" max="101" width="12.84375" bestFit="1" customWidth="1"/>
    <col min="102" max="102" width="11.3828125" customWidth="1"/>
    <col min="103" max="103" width="12.84375" bestFit="1" customWidth="1"/>
    <col min="104" max="104" width="12" customWidth="1"/>
    <col min="105" max="105" width="10.15234375" customWidth="1"/>
    <col min="108" max="108" width="31.69140625" bestFit="1" customWidth="1"/>
    <col min="109" max="109" width="24.15234375" bestFit="1" customWidth="1"/>
    <col min="110" max="110" width="7.84375" customWidth="1"/>
    <col min="111" max="111" width="10.15234375" customWidth="1"/>
    <col min="112" max="112" width="11" customWidth="1"/>
    <col min="114" max="114" width="31.69140625" bestFit="1" customWidth="1"/>
    <col min="115" max="115" width="24.15234375" bestFit="1" customWidth="1"/>
    <col min="116" max="116" width="7.84375" customWidth="1"/>
    <col min="117" max="117" width="10.15234375" customWidth="1"/>
    <col min="120" max="120" width="31.69140625" bestFit="1" customWidth="1"/>
    <col min="121" max="121" width="24.15234375" bestFit="1" customWidth="1"/>
    <col min="122" max="122" width="7.84375" customWidth="1"/>
    <col min="123" max="123" width="10.15234375" customWidth="1"/>
    <col min="124" max="125" width="10.84375" customWidth="1"/>
    <col min="126" max="126" width="9.84375" customWidth="1"/>
    <col min="127" max="127" width="31.69140625" bestFit="1" customWidth="1"/>
    <col min="128" max="128" width="24.15234375" bestFit="1" customWidth="1"/>
    <col min="129" max="129" width="8.3828125" customWidth="1"/>
    <col min="130" max="130" width="10.15234375" customWidth="1"/>
    <col min="132" max="132" width="12.84375" bestFit="1" customWidth="1"/>
    <col min="133" max="134" width="10.84375" customWidth="1"/>
    <col min="135" max="135" width="11.15234375" customWidth="1"/>
    <col min="136" max="136" width="12.84375" bestFit="1" customWidth="1"/>
    <col min="139" max="139" width="31.69140625" bestFit="1" customWidth="1"/>
    <col min="140" max="140" width="24.15234375" bestFit="1" customWidth="1"/>
    <col min="141" max="141" width="8.3828125" customWidth="1"/>
    <col min="142" max="142" width="20.53515625" customWidth="1"/>
    <col min="143" max="143" width="10" customWidth="1"/>
    <col min="144" max="144" width="12.3828125" bestFit="1" customWidth="1"/>
    <col min="145" max="146" width="10.84375" customWidth="1"/>
    <col min="147" max="147" width="11.15234375" customWidth="1"/>
    <col min="149" max="149" width="31.69140625" bestFit="1" customWidth="1"/>
    <col min="150" max="150" width="24.15234375" bestFit="1" customWidth="1"/>
    <col min="151" max="151" width="7.84375" customWidth="1"/>
    <col min="152" max="152" width="10.15234375" customWidth="1"/>
    <col min="155" max="155" width="30.69140625" bestFit="1" customWidth="1"/>
    <col min="156" max="156" width="24.15234375" bestFit="1" customWidth="1"/>
    <col min="157" max="157" width="7.84375" customWidth="1"/>
    <col min="158" max="158" width="10.15234375" customWidth="1"/>
    <col min="161" max="161" width="31.69140625" bestFit="1" customWidth="1"/>
    <col min="162" max="162" width="10.84375" customWidth="1"/>
    <col min="163" max="163" width="7.84375" customWidth="1"/>
    <col min="164" max="164" width="10.15234375" customWidth="1"/>
    <col min="165" max="165" width="12.15234375" customWidth="1"/>
    <col min="166" max="167" width="11.15234375" customWidth="1"/>
    <col min="170" max="170" width="31.3046875" bestFit="1" customWidth="1"/>
    <col min="171" max="171" width="10.84375" customWidth="1"/>
    <col min="172" max="172" width="7.84375" customWidth="1"/>
    <col min="173" max="173" width="17" bestFit="1" customWidth="1"/>
    <col min="174" max="174" width="12.15234375" customWidth="1"/>
    <col min="175" max="176" width="11.15234375" customWidth="1"/>
    <col min="179" max="179" width="31.69140625" bestFit="1" customWidth="1"/>
    <col min="180" max="180" width="24.15234375" bestFit="1" customWidth="1"/>
    <col min="181" max="181" width="8.15234375" customWidth="1"/>
    <col min="182" max="182" width="10.15234375" customWidth="1"/>
    <col min="183" max="183" width="11" customWidth="1"/>
    <col min="185" max="185" width="10.53515625" customWidth="1"/>
    <col min="186" max="186" width="31.69140625" bestFit="1" customWidth="1"/>
    <col min="187" max="187" width="24.15234375" bestFit="1" customWidth="1"/>
    <col min="188" max="188" width="8.15234375" customWidth="1"/>
    <col min="189" max="189" width="10.15234375" customWidth="1"/>
    <col min="190" max="190" width="11" customWidth="1"/>
    <col min="193" max="193" width="31.69140625" bestFit="1" customWidth="1"/>
    <col min="194" max="194" width="24.15234375" bestFit="1" customWidth="1"/>
    <col min="195" max="195" width="11.84375" customWidth="1"/>
    <col min="196" max="196" width="10.15234375" customWidth="1"/>
    <col min="197" max="197" width="11" customWidth="1"/>
    <col min="198" max="198" width="31.69140625" bestFit="1" customWidth="1"/>
    <col min="199" max="199" width="24.69140625" bestFit="1" customWidth="1"/>
    <col min="200" max="200" width="11.15234375" customWidth="1"/>
    <col min="201" max="201" width="10.15234375" customWidth="1"/>
    <col min="206" max="206" width="31.69140625" bestFit="1" customWidth="1"/>
    <col min="207" max="207" width="15.84375" bestFit="1" customWidth="1"/>
    <col min="220" max="220" width="30.69140625" bestFit="1" customWidth="1"/>
    <col min="221" max="221" width="15.84375" bestFit="1" customWidth="1"/>
    <col min="231" max="231" width="17.3046875" bestFit="1" customWidth="1"/>
    <col min="234" max="234" width="31.69140625" bestFit="1" customWidth="1"/>
    <col min="235" max="235" width="15.84375" bestFit="1" customWidth="1"/>
    <col min="241" max="241" width="31.69140625" bestFit="1" customWidth="1"/>
    <col min="242" max="242" width="15.84375" bestFit="1" customWidth="1"/>
  </cols>
  <sheetData>
    <row r="1" spans="1:241" x14ac:dyDescent="0.4">
      <c r="D1" s="4" t="s">
        <v>9</v>
      </c>
      <c r="E1" s="4" t="s">
        <v>10</v>
      </c>
      <c r="F1" s="6" t="s">
        <v>370</v>
      </c>
      <c r="H1" s="7" t="s">
        <v>1</v>
      </c>
    </row>
    <row r="2" spans="1:241" x14ac:dyDescent="0.4">
      <c r="D2" s="5" t="s">
        <v>25</v>
      </c>
      <c r="E2" s="22">
        <v>42736</v>
      </c>
      <c r="F2" s="13" t="s">
        <v>26</v>
      </c>
      <c r="G2" s="17">
        <v>1</v>
      </c>
      <c r="I2" s="10"/>
      <c r="W2" s="10"/>
      <c r="AK2" s="10"/>
      <c r="AU2" s="10"/>
      <c r="BC2" s="10"/>
      <c r="BI2" s="10"/>
      <c r="BR2" s="10"/>
      <c r="BY2" s="10"/>
      <c r="CF2" s="10"/>
      <c r="DD2" s="10"/>
      <c r="DJ2" s="10"/>
      <c r="DP2" s="10"/>
      <c r="DW2" s="10"/>
      <c r="EI2" s="10"/>
      <c r="ES2" s="10"/>
      <c r="EY2" s="10"/>
      <c r="FE2" s="10"/>
      <c r="FN2" s="10"/>
      <c r="FW2" s="10"/>
      <c r="GD2" s="10"/>
      <c r="GK2" s="10"/>
      <c r="GP2" s="10"/>
      <c r="GX2" s="10"/>
      <c r="HL2" s="10"/>
      <c r="HZ2" s="10"/>
      <c r="IG2" s="10"/>
    </row>
    <row r="3" spans="1:241" ht="15" thickBot="1" x14ac:dyDescent="0.45">
      <c r="D3" s="21" t="s">
        <v>11</v>
      </c>
      <c r="E3" s="23" t="str">
        <f>"'"&amp;YEAR(Today)&amp;"-"&amp;MONTH(Today)&amp;"-"&amp;DAY(Today)&amp;"'"</f>
        <v>'2017-1-1'</v>
      </c>
      <c r="I3" s="10" t="s">
        <v>83</v>
      </c>
      <c r="W3" s="10" t="s">
        <v>82</v>
      </c>
      <c r="AK3" s="10" t="s">
        <v>358</v>
      </c>
      <c r="AU3" s="10" t="s">
        <v>82</v>
      </c>
      <c r="BC3" s="10" t="s">
        <v>82</v>
      </c>
      <c r="BI3" s="10" t="s">
        <v>274</v>
      </c>
      <c r="BR3" s="10" t="s">
        <v>82</v>
      </c>
      <c r="BY3" s="10" t="s">
        <v>82</v>
      </c>
      <c r="CF3" s="10" t="s">
        <v>119</v>
      </c>
      <c r="DD3" s="10" t="s">
        <v>258</v>
      </c>
      <c r="DJ3" s="10" t="s">
        <v>193</v>
      </c>
      <c r="DP3" s="10" t="s">
        <v>258</v>
      </c>
      <c r="DW3" s="10" t="s">
        <v>119</v>
      </c>
      <c r="EI3" s="10" t="s">
        <v>83</v>
      </c>
      <c r="ES3" s="10" t="s">
        <v>119</v>
      </c>
      <c r="EY3" s="10" t="s">
        <v>119</v>
      </c>
      <c r="FE3" s="10" t="s">
        <v>326</v>
      </c>
      <c r="FN3" s="10" t="s">
        <v>581</v>
      </c>
      <c r="FW3" s="10" t="s">
        <v>406</v>
      </c>
      <c r="GD3" s="10" t="s">
        <v>406</v>
      </c>
      <c r="GK3" s="10" t="s">
        <v>411</v>
      </c>
      <c r="GP3" s="10" t="s">
        <v>82</v>
      </c>
      <c r="GX3" s="10" t="s">
        <v>83</v>
      </c>
      <c r="HL3" s="10" t="s">
        <v>82</v>
      </c>
      <c r="HZ3" s="10" t="s">
        <v>406</v>
      </c>
      <c r="IG3" s="10" t="s">
        <v>519</v>
      </c>
    </row>
    <row r="4" spans="1:241" ht="15" thickBot="1" x14ac:dyDescent="0.45">
      <c r="A4" s="2" t="s">
        <v>0</v>
      </c>
      <c r="B4">
        <f>SUMPRODUCT(--(LEN($A$6:$A$53)&gt;0))</f>
        <v>1</v>
      </c>
      <c r="D4" s="11" t="s">
        <v>12</v>
      </c>
      <c r="E4" s="216" t="str">
        <f>"'"&amp;YEAR(Today-1)&amp;"-"&amp;MONTH(Today-1)&amp;"-"&amp;DAY(Today-1)&amp;"'"</f>
        <v>'2016-12-31'</v>
      </c>
      <c r="F4" s="218" t="s">
        <v>216</v>
      </c>
      <c r="G4" s="217">
        <f ca="1">SUM(F6:F53)/86400</f>
        <v>6.1342592592592594E-3</v>
      </c>
      <c r="I4" s="10" t="s">
        <v>467</v>
      </c>
      <c r="W4" s="10" t="s">
        <v>479</v>
      </c>
      <c r="AK4" s="10" t="s">
        <v>359</v>
      </c>
      <c r="AU4" s="10" t="s">
        <v>353</v>
      </c>
      <c r="BC4" s="10" t="s">
        <v>537</v>
      </c>
      <c r="BI4" s="10" t="s">
        <v>50</v>
      </c>
      <c r="BR4" s="10" t="s">
        <v>89</v>
      </c>
      <c r="BY4" s="10" t="s">
        <v>112</v>
      </c>
      <c r="CF4" s="10" t="s">
        <v>543</v>
      </c>
      <c r="DD4" s="10" t="s">
        <v>341</v>
      </c>
      <c r="DJ4" s="10" t="s">
        <v>194</v>
      </c>
      <c r="DP4" s="10" t="s">
        <v>259</v>
      </c>
      <c r="DW4" s="10" t="s">
        <v>196</v>
      </c>
      <c r="EI4" s="10" t="s">
        <v>228</v>
      </c>
      <c r="ES4" s="10" t="s">
        <v>217</v>
      </c>
      <c r="EY4" s="10" t="s">
        <v>222</v>
      </c>
      <c r="FE4" s="10" t="s">
        <v>306</v>
      </c>
      <c r="FN4" s="10" t="s">
        <v>582</v>
      </c>
      <c r="FW4" s="10" t="s">
        <v>407</v>
      </c>
      <c r="GD4" s="10" t="s">
        <v>407</v>
      </c>
      <c r="GK4" s="10" t="s">
        <v>412</v>
      </c>
      <c r="GP4" s="10" t="s">
        <v>460</v>
      </c>
      <c r="GX4" s="10" t="s">
        <v>493</v>
      </c>
      <c r="HL4" s="10" t="s">
        <v>511</v>
      </c>
      <c r="HZ4" s="10" t="s">
        <v>407</v>
      </c>
      <c r="IG4" s="10" t="s">
        <v>407</v>
      </c>
    </row>
    <row r="5" spans="1:241" x14ac:dyDescent="0.4">
      <c r="A5" s="8" t="s">
        <v>5</v>
      </c>
      <c r="B5" s="8" t="s">
        <v>4</v>
      </c>
      <c r="C5" t="s">
        <v>24</v>
      </c>
      <c r="D5" s="7" t="s">
        <v>22</v>
      </c>
      <c r="E5" s="2" t="s">
        <v>23</v>
      </c>
      <c r="F5" s="12" t="s">
        <v>191</v>
      </c>
      <c r="G5" s="13" t="s">
        <v>13</v>
      </c>
      <c r="I5" s="10" t="s">
        <v>468</v>
      </c>
      <c r="W5" s="10" t="s">
        <v>491</v>
      </c>
      <c r="AK5" s="10" t="s">
        <v>360</v>
      </c>
      <c r="AU5" s="10" t="s">
        <v>84</v>
      </c>
      <c r="BC5" s="10" t="s">
        <v>538</v>
      </c>
      <c r="BI5" s="10" t="s">
        <v>275</v>
      </c>
      <c r="BR5" s="10" t="s">
        <v>90</v>
      </c>
      <c r="BY5" s="10" t="s">
        <v>113</v>
      </c>
      <c r="CF5" s="10" t="s">
        <v>120</v>
      </c>
      <c r="DD5" s="10" t="s">
        <v>342</v>
      </c>
      <c r="DJ5" s="10" t="s">
        <v>187</v>
      </c>
      <c r="DP5" s="10" t="s">
        <v>260</v>
      </c>
      <c r="DW5" s="10" t="s">
        <v>197</v>
      </c>
      <c r="EI5" s="10" t="s">
        <v>229</v>
      </c>
      <c r="ES5" s="10" t="s">
        <v>218</v>
      </c>
      <c r="EY5" s="10" t="s">
        <v>223</v>
      </c>
      <c r="FE5" s="10" t="s">
        <v>392</v>
      </c>
      <c r="FN5" s="10" t="s">
        <v>587</v>
      </c>
      <c r="FW5" s="10" t="s">
        <v>475</v>
      </c>
      <c r="GD5" s="10" t="s">
        <v>478</v>
      </c>
      <c r="GK5" s="10" t="s">
        <v>413</v>
      </c>
      <c r="GP5" s="10" t="s">
        <v>461</v>
      </c>
      <c r="GX5" s="10" t="s">
        <v>494</v>
      </c>
      <c r="HL5" s="10" t="s">
        <v>494</v>
      </c>
      <c r="HZ5" s="10" t="s">
        <v>520</v>
      </c>
      <c r="IG5" s="10" t="s">
        <v>521</v>
      </c>
    </row>
    <row r="6" spans="1:241" x14ac:dyDescent="0.4">
      <c r="A6" s="15"/>
      <c r="B6" s="17" t="s">
        <v>19</v>
      </c>
      <c r="C6" s="7" t="str">
        <f ca="1">IFERROR(INDIRECT(B6&amp;"40"),"")</f>
        <v>custfillrate</v>
      </c>
      <c r="D6" s="10" t="s">
        <v>14</v>
      </c>
      <c r="E6" s="15">
        <f t="shared" ref="E6:E53" si="0">IFERROR((B6&gt;0)*IF(D6="Daily",1,VLOOKUP(D6,$D$58:$E$60,2,0)),0)</f>
        <v>1</v>
      </c>
      <c r="F6" s="6">
        <f ca="1">IFERROR(OFFSET(INDIRECT(B6&amp;"40"), 0,2),"")</f>
        <v>10</v>
      </c>
      <c r="G6" s="14">
        <f ca="1">IFERROR(OFFSET(INDIRECT(B6&amp;"40"),0,1),"")</f>
        <v>44987.318495370368</v>
      </c>
      <c r="I6" s="10" t="s">
        <v>469</v>
      </c>
      <c r="W6" s="10" t="s">
        <v>492</v>
      </c>
      <c r="AK6" s="10" t="s">
        <v>361</v>
      </c>
      <c r="AU6" s="10" t="s">
        <v>354</v>
      </c>
      <c r="BC6" s="10" t="s">
        <v>536</v>
      </c>
      <c r="BI6" s="10" t="s">
        <v>276</v>
      </c>
      <c r="BR6" s="10" t="s">
        <v>384</v>
      </c>
      <c r="BY6" s="10" t="s">
        <v>114</v>
      </c>
      <c r="CF6" s="10" t="s">
        <v>544</v>
      </c>
      <c r="DD6" s="10" t="s">
        <v>113</v>
      </c>
      <c r="DJ6" s="10" t="s">
        <v>188</v>
      </c>
      <c r="DP6" s="10" t="s">
        <v>113</v>
      </c>
      <c r="DW6" s="10" t="s">
        <v>198</v>
      </c>
      <c r="EI6" s="10" t="s">
        <v>204</v>
      </c>
      <c r="ES6" s="10" t="s">
        <v>219</v>
      </c>
      <c r="EY6" s="10" t="s">
        <v>224</v>
      </c>
      <c r="FE6" s="10" t="s">
        <v>324</v>
      </c>
      <c r="FN6" s="10" t="s">
        <v>588</v>
      </c>
      <c r="FW6" s="10" t="s">
        <v>471</v>
      </c>
      <c r="GD6" s="10" t="s">
        <v>471</v>
      </c>
      <c r="GK6" s="10" t="s">
        <v>414</v>
      </c>
      <c r="GP6" s="10" t="s">
        <v>574</v>
      </c>
      <c r="GX6" s="10" t="s">
        <v>495</v>
      </c>
      <c r="HL6" s="10" t="s">
        <v>495</v>
      </c>
      <c r="HZ6" s="10" t="s">
        <v>501</v>
      </c>
      <c r="IG6" s="10" t="s">
        <v>512</v>
      </c>
    </row>
    <row r="7" spans="1:241" x14ac:dyDescent="0.4">
      <c r="A7" s="15"/>
      <c r="B7" s="17" t="s">
        <v>35</v>
      </c>
      <c r="C7" s="7" t="str">
        <f ca="1">IFERROR(INDIRECT(B7&amp;"40"),"")</f>
        <v>whfillrate</v>
      </c>
      <c r="D7" s="10" t="s">
        <v>14</v>
      </c>
      <c r="E7" s="15">
        <f t="shared" si="0"/>
        <v>1</v>
      </c>
      <c r="F7" s="6">
        <f ca="1">IFERROR(OFFSET(INDIRECT(B7&amp;"40"), 0,2),"")</f>
        <v>24</v>
      </c>
      <c r="G7" s="14">
        <f ca="1">IFERROR(OFFSET(INDIRECT(B7&amp;"40"),0,1),"")</f>
        <v>44987.318912037037</v>
      </c>
      <c r="I7" s="10" t="s">
        <v>470</v>
      </c>
      <c r="W7" s="10" t="s">
        <v>471</v>
      </c>
      <c r="AK7" s="10" t="s">
        <v>362</v>
      </c>
      <c r="AU7" s="10" t="s">
        <v>85</v>
      </c>
      <c r="BC7" s="10" t="s">
        <v>573</v>
      </c>
      <c r="BI7" s="10" t="s">
        <v>269</v>
      </c>
      <c r="BR7" s="10" t="s">
        <v>42</v>
      </c>
      <c r="BY7" s="10" t="s">
        <v>387</v>
      </c>
      <c r="CF7" s="10" t="s">
        <v>121</v>
      </c>
      <c r="DD7" s="10" t="s">
        <v>343</v>
      </c>
      <c r="DJ7" s="10" t="s">
        <v>189</v>
      </c>
      <c r="DP7" s="10" t="s">
        <v>261</v>
      </c>
      <c r="DW7" s="10" t="s">
        <v>113</v>
      </c>
      <c r="EI7" s="10" t="s">
        <v>230</v>
      </c>
      <c r="ES7" s="10" t="s">
        <v>220</v>
      </c>
      <c r="EY7" s="10" t="s">
        <v>225</v>
      </c>
      <c r="FE7" s="10" t="s">
        <v>301</v>
      </c>
      <c r="FN7" s="10" t="s">
        <v>589</v>
      </c>
      <c r="FW7" s="10" t="s">
        <v>476</v>
      </c>
      <c r="GD7" s="10" t="s">
        <v>477</v>
      </c>
      <c r="GK7" s="10" t="s">
        <v>113</v>
      </c>
      <c r="GP7" s="10" t="s">
        <v>462</v>
      </c>
      <c r="GX7" s="10" t="s">
        <v>496</v>
      </c>
      <c r="HL7" s="10" t="s">
        <v>496</v>
      </c>
      <c r="HZ7" s="10" t="s">
        <v>522</v>
      </c>
      <c r="IG7" s="10" t="s">
        <v>523</v>
      </c>
    </row>
    <row r="8" spans="1:241" x14ac:dyDescent="0.4">
      <c r="A8" s="15"/>
      <c r="B8" s="17" t="s">
        <v>36</v>
      </c>
      <c r="C8" s="7" t="str">
        <f t="shared" ref="C8:C35" ca="1" si="1">IFERROR(INDIRECT(B8&amp;"40"),"")</f>
        <v>workhour</v>
      </c>
      <c r="D8" s="10" t="s">
        <v>14</v>
      </c>
      <c r="E8" s="15">
        <f t="shared" si="0"/>
        <v>1</v>
      </c>
      <c r="F8" s="6">
        <f ca="1">IFERROR(OFFSET(INDIRECT(B8&amp;"40"), 0,2),"")</f>
        <v>20</v>
      </c>
      <c r="G8" s="14">
        <f ca="1">IFERROR(OFFSET(INDIRECT(B8&amp;"40"),0,1),"")</f>
        <v>44987.319374999999</v>
      </c>
      <c r="I8" s="10" t="s">
        <v>473</v>
      </c>
      <c r="W8" s="10" t="s">
        <v>474</v>
      </c>
      <c r="AK8" s="10" t="s">
        <v>363</v>
      </c>
      <c r="AU8" s="10" t="s">
        <v>378</v>
      </c>
      <c r="BC8" s="10" t="s">
        <v>541</v>
      </c>
      <c r="BI8" s="10" t="s">
        <v>277</v>
      </c>
      <c r="BR8" s="10" t="s">
        <v>385</v>
      </c>
      <c r="BY8" s="10" t="s">
        <v>439</v>
      </c>
      <c r="CF8" s="10" t="s">
        <v>122</v>
      </c>
      <c r="DD8" s="10" t="s">
        <v>344</v>
      </c>
      <c r="DJ8" s="10" t="s">
        <v>190</v>
      </c>
      <c r="DP8" s="10" t="s">
        <v>390</v>
      </c>
      <c r="DW8" s="10" t="s">
        <v>176</v>
      </c>
      <c r="EI8" s="10" t="s">
        <v>231</v>
      </c>
      <c r="ES8" s="10"/>
      <c r="EY8" s="10"/>
      <c r="FE8" s="10" t="s">
        <v>325</v>
      </c>
      <c r="FN8" s="10" t="s">
        <v>583</v>
      </c>
      <c r="FW8" s="10" t="s">
        <v>28</v>
      </c>
      <c r="GD8" s="10" t="s">
        <v>28</v>
      </c>
      <c r="GK8" s="10" t="s">
        <v>415</v>
      </c>
      <c r="GP8" s="10" t="s">
        <v>463</v>
      </c>
      <c r="GX8" s="10" t="s">
        <v>497</v>
      </c>
      <c r="HL8" s="10" t="s">
        <v>497</v>
      </c>
      <c r="HZ8" s="10" t="s">
        <v>28</v>
      </c>
      <c r="IG8" s="10" t="s">
        <v>28</v>
      </c>
    </row>
    <row r="9" spans="1:241" x14ac:dyDescent="0.4">
      <c r="A9" s="15"/>
      <c r="B9" s="20" t="s">
        <v>46</v>
      </c>
      <c r="C9" s="7" t="str">
        <f t="shared" ca="1" si="1"/>
        <v>oosrate</v>
      </c>
      <c r="D9" s="10" t="s">
        <v>14</v>
      </c>
      <c r="E9" s="15">
        <f t="shared" si="0"/>
        <v>1</v>
      </c>
      <c r="F9" s="6">
        <f t="shared" ref="F9:F53" ca="1" si="2">IFERROR(OFFSET(INDIRECT(B9&amp;"40"), 0,2),"")</f>
        <v>9</v>
      </c>
      <c r="G9" s="14">
        <f t="shared" ref="G9:G53" ca="1" si="3">IFERROR(OFFSET(INDIRECT(B9&amp;"40"),0,1),"")</f>
        <v>44987.319548611114</v>
      </c>
      <c r="I9" s="10" t="s">
        <v>471</v>
      </c>
      <c r="W9" s="10" t="s">
        <v>28</v>
      </c>
      <c r="AK9" s="10" t="s">
        <v>364</v>
      </c>
      <c r="AU9" s="10" t="s">
        <v>42</v>
      </c>
      <c r="BC9" s="10" t="s">
        <v>542</v>
      </c>
      <c r="BI9" s="10" t="s">
        <v>380</v>
      </c>
      <c r="BR9" s="10" t="s">
        <v>379</v>
      </c>
      <c r="BY9" s="10" t="s">
        <v>441</v>
      </c>
      <c r="CF9" s="10" t="s">
        <v>454</v>
      </c>
      <c r="DD9" s="10" t="s">
        <v>345</v>
      </c>
      <c r="DJ9" s="10"/>
      <c r="DP9" s="10" t="s">
        <v>262</v>
      </c>
      <c r="DW9" s="10" t="s">
        <v>123</v>
      </c>
      <c r="EI9" s="10"/>
      <c r="ES9" s="10"/>
      <c r="EY9" s="10"/>
      <c r="FE9" s="10" t="s">
        <v>307</v>
      </c>
      <c r="FN9" s="10" t="s">
        <v>584</v>
      </c>
      <c r="FW9" s="10"/>
      <c r="GD9" s="10"/>
      <c r="GK9" s="10" t="s">
        <v>422</v>
      </c>
      <c r="GP9" s="10" t="s">
        <v>464</v>
      </c>
      <c r="GX9" s="10" t="s">
        <v>498</v>
      </c>
      <c r="HL9" s="10" t="s">
        <v>498</v>
      </c>
      <c r="HZ9" s="10"/>
      <c r="IG9" s="10"/>
    </row>
    <row r="10" spans="1:241" x14ac:dyDescent="0.4">
      <c r="A10" s="15"/>
      <c r="B10" s="17" t="s">
        <v>87</v>
      </c>
      <c r="C10" s="7" t="str">
        <f t="shared" ca="1" si="1"/>
        <v>invunits</v>
      </c>
      <c r="D10" s="10" t="s">
        <v>14</v>
      </c>
      <c r="E10" s="15">
        <f t="shared" si="0"/>
        <v>1</v>
      </c>
      <c r="F10" s="6">
        <f t="shared" ca="1" si="2"/>
        <v>90</v>
      </c>
      <c r="G10" s="14">
        <f t="shared" ca="1" si="3"/>
        <v>44987.320671296293</v>
      </c>
      <c r="H10" t="s">
        <v>546</v>
      </c>
      <c r="I10" s="10" t="s">
        <v>472</v>
      </c>
      <c r="W10" s="10"/>
      <c r="AK10" s="10" t="s">
        <v>365</v>
      </c>
      <c r="AU10" s="10" t="s">
        <v>43</v>
      </c>
      <c r="BC10" s="10" t="s">
        <v>463</v>
      </c>
      <c r="BI10" s="10" t="s">
        <v>278</v>
      </c>
      <c r="BR10" s="10" t="s">
        <v>55</v>
      </c>
      <c r="BY10" s="10" t="s">
        <v>440</v>
      </c>
      <c r="CF10" s="10" t="s">
        <v>453</v>
      </c>
      <c r="DD10" s="10" t="s">
        <v>548</v>
      </c>
      <c r="DJ10" s="10"/>
      <c r="DP10" s="10" t="s">
        <v>263</v>
      </c>
      <c r="DW10" s="10" t="s">
        <v>199</v>
      </c>
      <c r="EI10" s="10"/>
      <c r="ES10" s="10"/>
      <c r="EY10" s="10"/>
      <c r="FE10" s="10" t="s">
        <v>379</v>
      </c>
      <c r="FN10" s="10" t="s">
        <v>590</v>
      </c>
      <c r="FW10" s="10"/>
      <c r="GD10" s="10"/>
      <c r="GK10" s="10" t="s">
        <v>416</v>
      </c>
      <c r="GP10" s="10" t="s">
        <v>465</v>
      </c>
      <c r="GX10" s="10" t="s">
        <v>499</v>
      </c>
      <c r="HL10" s="10" t="s">
        <v>499</v>
      </c>
      <c r="HZ10" s="10"/>
      <c r="IG10" s="10"/>
    </row>
    <row r="11" spans="1:241" x14ac:dyDescent="0.4">
      <c r="A11" s="15"/>
      <c r="B11" s="17" t="s">
        <v>88</v>
      </c>
      <c r="C11" s="7" t="str">
        <f t="shared" ca="1" si="1"/>
        <v>orderprocessed</v>
      </c>
      <c r="D11" s="10" t="s">
        <v>14</v>
      </c>
      <c r="E11" s="15">
        <f t="shared" si="0"/>
        <v>1</v>
      </c>
      <c r="F11" s="6">
        <f t="shared" ca="1" si="2"/>
        <v>15</v>
      </c>
      <c r="G11" s="14">
        <f t="shared" ca="1" si="3"/>
        <v>44987.320949074077</v>
      </c>
      <c r="I11" s="10" t="s">
        <v>28</v>
      </c>
      <c r="W11" s="10"/>
      <c r="AK11" s="10" t="s">
        <v>366</v>
      </c>
      <c r="AU11" s="10" t="s">
        <v>379</v>
      </c>
      <c r="BC11" s="10" t="s">
        <v>464</v>
      </c>
      <c r="BI11" s="10" t="s">
        <v>279</v>
      </c>
      <c r="BR11" s="10" t="s">
        <v>386</v>
      </c>
      <c r="BY11" s="10" t="s">
        <v>115</v>
      </c>
      <c r="CF11" s="10" t="s">
        <v>173</v>
      </c>
      <c r="DD11" s="10" t="s">
        <v>346</v>
      </c>
      <c r="DJ11" s="10"/>
      <c r="DP11" s="10" t="s">
        <v>264</v>
      </c>
      <c r="DW11" s="10" t="s">
        <v>200</v>
      </c>
      <c r="EI11" s="10"/>
      <c r="ES11" s="10"/>
      <c r="EY11" s="10"/>
      <c r="FE11" s="10" t="s">
        <v>302</v>
      </c>
      <c r="FN11" s="10"/>
      <c r="FW11" s="10"/>
      <c r="GD11" s="10"/>
      <c r="GK11" s="10" t="s">
        <v>417</v>
      </c>
      <c r="GP11" s="10" t="s">
        <v>466</v>
      </c>
      <c r="GX11" s="10" t="s">
        <v>500</v>
      </c>
      <c r="HL11" s="10" t="s">
        <v>500</v>
      </c>
      <c r="HZ11" s="10"/>
      <c r="IG11" s="10"/>
    </row>
    <row r="12" spans="1:241" x14ac:dyDescent="0.4">
      <c r="A12" s="15"/>
      <c r="B12" s="17" t="s">
        <v>281</v>
      </c>
      <c r="C12" s="7" t="str">
        <f t="shared" ca="1" si="1"/>
        <v>unitsshipped</v>
      </c>
      <c r="D12" s="10" t="s">
        <v>14</v>
      </c>
      <c r="E12" s="15">
        <f t="shared" si="0"/>
        <v>1</v>
      </c>
      <c r="F12" s="6">
        <f t="shared" ca="1" si="2"/>
        <v>24</v>
      </c>
      <c r="G12" s="14">
        <f t="shared" ca="1" si="3"/>
        <v>44987.321388888886</v>
      </c>
      <c r="I12" s="10"/>
      <c r="W12" s="10"/>
      <c r="AK12" s="10" t="s">
        <v>374</v>
      </c>
      <c r="AU12" s="10" t="s">
        <v>44</v>
      </c>
      <c r="BC12" s="10" t="s">
        <v>540</v>
      </c>
      <c r="BI12" s="10" t="s">
        <v>381</v>
      </c>
      <c r="BR12" s="10"/>
      <c r="BY12" s="10" t="s">
        <v>116</v>
      </c>
      <c r="CF12" s="10" t="s">
        <v>174</v>
      </c>
      <c r="DD12" s="10" t="s">
        <v>347</v>
      </c>
      <c r="DJ12" s="10"/>
      <c r="DP12" s="10" t="s">
        <v>391</v>
      </c>
      <c r="DW12" s="10" t="s">
        <v>124</v>
      </c>
      <c r="EI12" s="10"/>
      <c r="ES12" s="10"/>
      <c r="EY12" s="10"/>
      <c r="FE12" s="10" t="s">
        <v>393</v>
      </c>
      <c r="FN12" s="10"/>
      <c r="FW12" s="10"/>
      <c r="GD12" s="10"/>
      <c r="GK12" s="10"/>
      <c r="GP12" s="10"/>
      <c r="GX12" s="10" t="s">
        <v>501</v>
      </c>
      <c r="HL12" s="10" t="s">
        <v>512</v>
      </c>
      <c r="HZ12" s="10"/>
      <c r="IG12" s="10"/>
    </row>
    <row r="13" spans="1:241" x14ac:dyDescent="0.4">
      <c r="A13" s="15"/>
      <c r="B13" s="17" t="s">
        <v>282</v>
      </c>
      <c r="C13" s="7" t="str">
        <f t="shared" ca="1" si="1"/>
        <v>packingqc</v>
      </c>
      <c r="D13" s="10" t="s">
        <v>14</v>
      </c>
      <c r="E13" s="15">
        <f t="shared" si="0"/>
        <v>1</v>
      </c>
      <c r="F13" s="6">
        <f t="shared" ca="1" si="2"/>
        <v>7</v>
      </c>
      <c r="G13" s="14">
        <f t="shared" ca="1" si="3"/>
        <v>44987.321747685186</v>
      </c>
      <c r="I13" s="10"/>
      <c r="W13" s="10"/>
      <c r="AK13" s="10" t="s">
        <v>375</v>
      </c>
      <c r="AU13" s="10" t="s">
        <v>86</v>
      </c>
      <c r="BC13" s="10" t="s">
        <v>535</v>
      </c>
      <c r="BI13" s="10" t="s">
        <v>382</v>
      </c>
      <c r="BR13" s="10"/>
      <c r="BY13" s="10" t="s">
        <v>388</v>
      </c>
      <c r="CF13" s="10" t="s">
        <v>175</v>
      </c>
      <c r="DD13" s="10" t="s">
        <v>348</v>
      </c>
      <c r="DJ13" s="10"/>
      <c r="DP13" s="10" t="s">
        <v>265</v>
      </c>
      <c r="DW13" s="10" t="s">
        <v>201</v>
      </c>
      <c r="EI13" s="10"/>
      <c r="ES13" s="10"/>
      <c r="EY13" s="10"/>
      <c r="FE13" s="10" t="s">
        <v>327</v>
      </c>
      <c r="FN13" s="10"/>
      <c r="FW13" s="10"/>
      <c r="GD13" s="10"/>
      <c r="GK13" s="10"/>
      <c r="GP13" s="10"/>
      <c r="GX13" s="10" t="s">
        <v>502</v>
      </c>
      <c r="HL13" s="10" t="s">
        <v>513</v>
      </c>
      <c r="HZ13" s="10"/>
      <c r="IG13" s="10"/>
    </row>
    <row r="14" spans="1:241" x14ac:dyDescent="0.4">
      <c r="A14" s="15"/>
      <c r="B14" s="17" t="s">
        <v>283</v>
      </c>
      <c r="C14" s="7" t="str">
        <f t="shared" ca="1" si="1"/>
        <v>PickPackRet</v>
      </c>
      <c r="D14" s="10" t="s">
        <v>14</v>
      </c>
      <c r="E14" s="15">
        <f t="shared" si="0"/>
        <v>1</v>
      </c>
      <c r="F14" s="6">
        <f t="shared" ca="1" si="2"/>
        <v>31</v>
      </c>
      <c r="G14" s="14">
        <f t="shared" ca="1" si="3"/>
        <v>44987.322210648148</v>
      </c>
      <c r="I14" s="10"/>
      <c r="W14" s="10"/>
      <c r="AK14" s="10" t="s">
        <v>367</v>
      </c>
      <c r="AU14" s="10"/>
      <c r="BC14" s="10" t="s">
        <v>539</v>
      </c>
      <c r="BI14" s="10" t="s">
        <v>270</v>
      </c>
      <c r="BR14" s="10"/>
      <c r="BY14" s="10" t="s">
        <v>389</v>
      </c>
      <c r="CF14" s="10" t="s">
        <v>186</v>
      </c>
      <c r="DD14" s="10" t="s">
        <v>266</v>
      </c>
      <c r="DJ14" s="10"/>
      <c r="DP14" s="10" t="s">
        <v>266</v>
      </c>
      <c r="DW14" s="10"/>
      <c r="EI14" s="10"/>
      <c r="ES14" s="10"/>
      <c r="EY14" s="10"/>
      <c r="FE14" s="10" t="s">
        <v>328</v>
      </c>
      <c r="FN14" s="10"/>
      <c r="FW14" s="10"/>
      <c r="GD14" s="10"/>
      <c r="GK14" s="10"/>
      <c r="GP14" s="10"/>
      <c r="GX14" s="10" t="s">
        <v>28</v>
      </c>
      <c r="HL14" s="10" t="s">
        <v>28</v>
      </c>
      <c r="HZ14" s="10"/>
      <c r="IG14" s="10"/>
    </row>
    <row r="15" spans="1:241" x14ac:dyDescent="0.4">
      <c r="A15" s="15"/>
      <c r="B15" s="17" t="s">
        <v>284</v>
      </c>
      <c r="C15" s="7" t="str">
        <f t="shared" ca="1" si="1"/>
        <v>receivebacklog</v>
      </c>
      <c r="D15" s="10" t="s">
        <v>14</v>
      </c>
      <c r="E15" s="15">
        <f t="shared" si="0"/>
        <v>1</v>
      </c>
      <c r="F15" s="6">
        <f t="shared" ca="1" si="2"/>
        <v>16</v>
      </c>
      <c r="G15" s="14">
        <f t="shared" ca="1" si="3"/>
        <v>44987.322453703702</v>
      </c>
      <c r="I15" s="10"/>
      <c r="W15" s="10"/>
      <c r="AK15" s="10" t="s">
        <v>248</v>
      </c>
      <c r="AU15" s="10"/>
      <c r="BC15" s="10"/>
      <c r="BI15" s="10" t="s">
        <v>280</v>
      </c>
      <c r="BR15" s="10"/>
      <c r="BY15" s="10" t="s">
        <v>117</v>
      </c>
      <c r="CF15" s="10" t="s">
        <v>113</v>
      </c>
      <c r="DD15" s="10" t="s">
        <v>349</v>
      </c>
      <c r="DJ15" s="10"/>
      <c r="DP15" s="10" t="s">
        <v>267</v>
      </c>
      <c r="DW15" s="10"/>
      <c r="EI15" s="10"/>
      <c r="ES15" s="10"/>
      <c r="EY15" s="10"/>
      <c r="FE15" s="10" t="s">
        <v>329</v>
      </c>
      <c r="FN15" s="10"/>
      <c r="FW15" s="10"/>
      <c r="GD15" s="10"/>
      <c r="GK15" s="10"/>
      <c r="GP15" s="10"/>
      <c r="GX15" s="10"/>
      <c r="HL15" s="10"/>
      <c r="HZ15" s="10"/>
      <c r="IG15" s="10"/>
    </row>
    <row r="16" spans="1:241" x14ac:dyDescent="0.4">
      <c r="A16" s="15"/>
      <c r="B16" s="17" t="s">
        <v>285</v>
      </c>
      <c r="C16" s="7" t="str">
        <f t="shared" ca="1" si="1"/>
        <v>repackbacklog</v>
      </c>
      <c r="D16" s="10" t="s">
        <v>14</v>
      </c>
      <c r="E16" s="15">
        <f t="shared" si="0"/>
        <v>1</v>
      </c>
      <c r="F16" s="6">
        <f t="shared" ca="1" si="2"/>
        <v>10</v>
      </c>
      <c r="G16" s="14">
        <f t="shared" ca="1" si="3"/>
        <v>44987.322650462964</v>
      </c>
      <c r="I16" s="10"/>
      <c r="W16" s="10"/>
      <c r="AK16" s="10" t="s">
        <v>249</v>
      </c>
      <c r="AU16" s="10"/>
      <c r="BC16" s="10"/>
      <c r="BI16" s="10" t="s">
        <v>43</v>
      </c>
      <c r="BR16" s="10"/>
      <c r="BY16" s="10" t="s">
        <v>118</v>
      </c>
      <c r="CF16" s="10" t="s">
        <v>452</v>
      </c>
      <c r="DD16" s="10" t="s">
        <v>268</v>
      </c>
      <c r="DJ16" s="10"/>
      <c r="DP16" s="10" t="s">
        <v>268</v>
      </c>
      <c r="DW16" s="10"/>
      <c r="EI16" s="10"/>
      <c r="ES16" s="10"/>
      <c r="EY16" s="10"/>
      <c r="FE16" s="10" t="s">
        <v>330</v>
      </c>
      <c r="FN16" s="10"/>
      <c r="FW16" s="10"/>
      <c r="GD16" s="10"/>
      <c r="GK16" s="10"/>
      <c r="GP16" s="10"/>
      <c r="GX16" s="10"/>
      <c r="HL16" s="10"/>
      <c r="HZ16" s="10"/>
      <c r="IG16" s="10"/>
    </row>
    <row r="17" spans="1:241" x14ac:dyDescent="0.4">
      <c r="A17" s="15"/>
      <c r="B17" s="17" t="s">
        <v>286</v>
      </c>
      <c r="C17" s="7" t="str">
        <f t="shared" ca="1" si="1"/>
        <v>returnbacklog</v>
      </c>
      <c r="D17" s="10" t="s">
        <v>14</v>
      </c>
      <c r="E17" s="15">
        <f t="shared" si="0"/>
        <v>1</v>
      </c>
      <c r="F17" s="6">
        <f t="shared" ca="1" si="2"/>
        <v>11</v>
      </c>
      <c r="G17" s="14">
        <f t="shared" ca="1" si="3"/>
        <v>44987.322939814818</v>
      </c>
      <c r="I17" s="10"/>
      <c r="W17" s="10"/>
      <c r="AK17" s="10" t="s">
        <v>250</v>
      </c>
      <c r="AU17" s="10"/>
      <c r="BC17" s="10"/>
      <c r="BI17" s="10" t="s">
        <v>383</v>
      </c>
      <c r="BR17" s="10"/>
      <c r="BY17" s="10"/>
      <c r="CF17" s="10" t="s">
        <v>455</v>
      </c>
      <c r="DD17" s="10"/>
      <c r="DJ17" s="10"/>
      <c r="DP17" s="10"/>
      <c r="DW17" s="10"/>
      <c r="EI17" s="10"/>
      <c r="ES17" s="10"/>
      <c r="EY17" s="10"/>
      <c r="FE17" s="10" t="s">
        <v>338</v>
      </c>
      <c r="FN17" s="10"/>
      <c r="FW17" s="10"/>
      <c r="GD17" s="10"/>
      <c r="GK17" s="10"/>
      <c r="GP17" s="10"/>
      <c r="GX17" s="10"/>
      <c r="HL17" s="10"/>
      <c r="HZ17" s="10"/>
      <c r="IG17" s="10"/>
    </row>
    <row r="18" spans="1:241" x14ac:dyDescent="0.4">
      <c r="A18" s="15"/>
      <c r="B18" s="17" t="s">
        <v>287</v>
      </c>
      <c r="C18" s="7" t="str">
        <f t="shared" ca="1" si="1"/>
        <v>defaulttaskEE</v>
      </c>
      <c r="D18" s="10" t="s">
        <v>14</v>
      </c>
      <c r="E18" s="15">
        <f t="shared" si="0"/>
        <v>1</v>
      </c>
      <c r="F18" s="6">
        <f t="shared" ca="1" si="2"/>
        <v>6</v>
      </c>
      <c r="G18" s="14">
        <f t="shared" ca="1" si="3"/>
        <v>44987.323240740741</v>
      </c>
      <c r="I18" s="10"/>
      <c r="W18" s="10"/>
      <c r="AK18" s="10" t="s">
        <v>251</v>
      </c>
      <c r="AU18" s="10"/>
      <c r="BC18" s="10"/>
      <c r="BI18" s="10"/>
      <c r="BR18" s="10"/>
      <c r="BY18" s="10"/>
      <c r="CF18" s="10" t="s">
        <v>448</v>
      </c>
      <c r="DD18" s="10"/>
      <c r="DJ18" s="10"/>
      <c r="DP18" s="10"/>
      <c r="DW18" s="10"/>
      <c r="EI18" s="10"/>
      <c r="ES18" s="10"/>
      <c r="EY18" s="10"/>
      <c r="FE18" s="10" t="s">
        <v>308</v>
      </c>
      <c r="FN18" s="10"/>
      <c r="FW18" s="10"/>
      <c r="GD18" s="10"/>
      <c r="GK18" s="10"/>
      <c r="GP18" s="10"/>
      <c r="GX18" s="10"/>
      <c r="HL18" s="10"/>
      <c r="HZ18" s="10"/>
      <c r="IG18" s="10"/>
    </row>
    <row r="19" spans="1:241" x14ac:dyDescent="0.4">
      <c r="A19" s="15"/>
      <c r="B19" s="17" t="s">
        <v>288</v>
      </c>
      <c r="C19" s="7" t="str">
        <f t="shared" ca="1" si="1"/>
        <v>error</v>
      </c>
      <c r="D19" s="10" t="s">
        <v>14</v>
      </c>
      <c r="E19" s="15">
        <f t="shared" si="0"/>
        <v>1</v>
      </c>
      <c r="F19" s="6">
        <f t="shared" ca="1" si="2"/>
        <v>30</v>
      </c>
      <c r="G19" s="14">
        <f t="shared" ca="1" si="3"/>
        <v>44987.323703703703</v>
      </c>
      <c r="I19" s="10"/>
      <c r="W19" s="10"/>
      <c r="AK19" s="10" t="s">
        <v>252</v>
      </c>
      <c r="AU19" s="10"/>
      <c r="BC19" s="10"/>
      <c r="BI19" s="10"/>
      <c r="BR19" s="10"/>
      <c r="BY19" s="10"/>
      <c r="CF19" s="10" t="s">
        <v>449</v>
      </c>
      <c r="DD19" s="10"/>
      <c r="DJ19" s="10"/>
      <c r="DP19" s="10"/>
      <c r="DW19" s="10"/>
      <c r="EI19" s="10"/>
      <c r="ES19" s="10"/>
      <c r="EY19" s="10"/>
      <c r="FE19" s="10" t="s">
        <v>303</v>
      </c>
      <c r="FN19" s="10"/>
      <c r="FW19" s="10"/>
      <c r="GD19" s="10"/>
      <c r="GK19" s="10"/>
      <c r="GP19" s="10"/>
      <c r="GX19" s="10"/>
      <c r="HL19" s="10"/>
      <c r="HZ19" s="10"/>
      <c r="IG19" s="10"/>
    </row>
    <row r="20" spans="1:241" x14ac:dyDescent="0.4">
      <c r="A20" s="15"/>
      <c r="B20" s="17" t="s">
        <v>289</v>
      </c>
      <c r="C20" s="7" t="str">
        <f t="shared" ca="1" si="1"/>
        <v>return_cmb</v>
      </c>
      <c r="D20" s="10" t="s">
        <v>14</v>
      </c>
      <c r="E20" s="15">
        <f t="shared" si="0"/>
        <v>1</v>
      </c>
      <c r="F20" s="6">
        <f t="shared" ca="1" si="2"/>
        <v>7</v>
      </c>
      <c r="G20" s="14">
        <f t="shared" ca="1" si="3"/>
        <v>44966.372581018521</v>
      </c>
      <c r="I20" s="10"/>
      <c r="W20" s="10"/>
      <c r="AK20" s="10" t="s">
        <v>253</v>
      </c>
      <c r="AU20" s="10"/>
      <c r="BC20" s="10"/>
      <c r="BI20" s="10"/>
      <c r="BR20" s="10"/>
      <c r="BY20" s="10"/>
      <c r="CF20" s="10" t="s">
        <v>444</v>
      </c>
      <c r="DD20" s="10"/>
      <c r="DJ20" s="10"/>
      <c r="DP20" s="10"/>
      <c r="DW20" s="10"/>
      <c r="EI20" s="10"/>
      <c r="ES20" s="10"/>
      <c r="EY20" s="10"/>
      <c r="FE20" s="10" t="s">
        <v>336</v>
      </c>
      <c r="FN20" s="10"/>
      <c r="FW20" s="10"/>
      <c r="GD20" s="10"/>
      <c r="GK20" s="10"/>
      <c r="GP20" s="10"/>
      <c r="GX20" s="10"/>
      <c r="HL20" s="10"/>
      <c r="HZ20" s="10"/>
      <c r="IG20" s="10"/>
    </row>
    <row r="21" spans="1:241" x14ac:dyDescent="0.4">
      <c r="A21" s="15"/>
      <c r="B21" s="17" t="s">
        <v>290</v>
      </c>
      <c r="C21" s="7" t="str">
        <f t="shared" ca="1" si="1"/>
        <v>repack_cmb</v>
      </c>
      <c r="D21" s="10" t="s">
        <v>14</v>
      </c>
      <c r="E21" s="15">
        <f t="shared" si="0"/>
        <v>1</v>
      </c>
      <c r="F21" s="6">
        <f t="shared" ca="1" si="2"/>
        <v>8</v>
      </c>
      <c r="G21" s="14">
        <f t="shared" ca="1" si="3"/>
        <v>44987.32534722222</v>
      </c>
      <c r="I21" s="10"/>
      <c r="W21" s="10"/>
      <c r="AK21" s="10" t="s">
        <v>376</v>
      </c>
      <c r="AU21" s="10"/>
      <c r="BC21" s="10"/>
      <c r="BI21" s="10"/>
      <c r="BR21" s="10"/>
      <c r="BY21" s="10"/>
      <c r="CF21" s="10" t="s">
        <v>445</v>
      </c>
      <c r="DD21" s="10"/>
      <c r="DJ21" s="10"/>
      <c r="DP21" s="10"/>
      <c r="DW21" s="10"/>
      <c r="EI21" s="10"/>
      <c r="ES21" s="10"/>
      <c r="EY21" s="10"/>
      <c r="FE21" s="10" t="s">
        <v>337</v>
      </c>
      <c r="FN21" s="10"/>
      <c r="FW21" s="10"/>
      <c r="GD21" s="10"/>
      <c r="GK21" s="10"/>
      <c r="GP21" s="10"/>
      <c r="GX21" s="10"/>
      <c r="HL21" s="10"/>
      <c r="HZ21" s="10"/>
      <c r="IG21" s="10"/>
    </row>
    <row r="22" spans="1:241" x14ac:dyDescent="0.4">
      <c r="A22" s="15"/>
      <c r="B22" s="17" t="s">
        <v>313</v>
      </c>
      <c r="C22" s="7" t="str">
        <f t="shared" ca="1" si="1"/>
        <v>consolid_orders</v>
      </c>
      <c r="D22" s="10" t="s">
        <v>14</v>
      </c>
      <c r="E22" s="15">
        <f t="shared" si="0"/>
        <v>1</v>
      </c>
      <c r="F22" s="6">
        <f t="shared" ca="1" si="2"/>
        <v>17</v>
      </c>
      <c r="G22" s="14">
        <f t="shared" ca="1" si="3"/>
        <v>44987.325937499998</v>
      </c>
      <c r="I22" s="10"/>
      <c r="W22" s="10"/>
      <c r="AK22" s="10" t="s">
        <v>254</v>
      </c>
      <c r="AU22" s="10"/>
      <c r="BC22" s="10"/>
      <c r="BI22" s="10"/>
      <c r="BR22" s="10"/>
      <c r="BY22" s="10"/>
      <c r="CF22" s="10" t="s">
        <v>547</v>
      </c>
      <c r="DD22" s="10"/>
      <c r="DJ22" s="10"/>
      <c r="DP22" s="10"/>
      <c r="DW22" s="10"/>
      <c r="EI22" s="10"/>
      <c r="ES22" s="10"/>
      <c r="EY22" s="10"/>
      <c r="FE22" s="10" t="s">
        <v>335</v>
      </c>
      <c r="FN22" s="10"/>
      <c r="FW22" s="10"/>
      <c r="GD22" s="10"/>
      <c r="GK22" s="10"/>
      <c r="GP22" s="10"/>
      <c r="GX22" s="10"/>
      <c r="HL22" s="10"/>
      <c r="HZ22" s="10"/>
      <c r="IG22" s="10"/>
    </row>
    <row r="23" spans="1:241" x14ac:dyDescent="0.4">
      <c r="A23" s="15" t="s">
        <v>400</v>
      </c>
      <c r="B23" s="17" t="s">
        <v>400</v>
      </c>
      <c r="C23" s="7" t="str">
        <f t="array" aca="1" ref="C23" ca="1">IFERROR(INDIRECT(B23&amp;"40"),"")</f>
        <v>pps_uph</v>
      </c>
      <c r="D23" s="10" t="s">
        <v>14</v>
      </c>
      <c r="E23" s="15">
        <f t="shared" si="0"/>
        <v>1</v>
      </c>
      <c r="F23" s="6">
        <f t="array" aca="1" ref="F23" ca="1">IFERROR(OFFSET(INDIRECT(B23&amp;"40"), 0,2),"")</f>
        <v>21</v>
      </c>
      <c r="G23" s="14">
        <f ca="1">IFERROR(OFFSET(INDIRECT(B23&amp;"40"),0,1),"")</f>
        <v>44991.887187499997</v>
      </c>
      <c r="I23" s="10"/>
      <c r="W23" s="10"/>
      <c r="AK23" s="10" t="s">
        <v>299</v>
      </c>
      <c r="AU23" s="10"/>
      <c r="BC23" s="10"/>
      <c r="BI23" s="10"/>
      <c r="BR23" s="10"/>
      <c r="BY23" s="10"/>
      <c r="CF23" s="10" t="s">
        <v>526</v>
      </c>
      <c r="DD23" s="10"/>
      <c r="DJ23" s="10"/>
      <c r="DP23" s="10"/>
      <c r="DW23" s="10"/>
      <c r="EI23" s="10"/>
      <c r="ES23" s="10"/>
      <c r="EY23" s="10"/>
      <c r="FE23" s="10" t="s">
        <v>394</v>
      </c>
      <c r="FN23" s="10"/>
      <c r="FW23" s="10"/>
      <c r="GD23" s="10"/>
      <c r="GK23" s="10"/>
      <c r="GP23" s="10"/>
      <c r="GX23" s="10"/>
      <c r="HL23" s="10"/>
      <c r="HZ23" s="10"/>
      <c r="IG23" s="10"/>
    </row>
    <row r="24" spans="1:241" x14ac:dyDescent="0.4">
      <c r="A24" s="15"/>
      <c r="B24" s="17" t="s">
        <v>408</v>
      </c>
      <c r="C24" s="7" t="str">
        <f t="array" aca="1" ref="C24" ca="1">IFERROR(INDIRECT(B24&amp;"40"),"")</f>
        <v>custfillrate_exp</v>
      </c>
      <c r="D24" s="10" t="s">
        <v>14</v>
      </c>
      <c r="E24" s="15">
        <f>IFERROR((B24&gt;0)*IF(D24="Daily",1,VLOOKUP(D24,$D$58:$E$60,2,0)),0)</f>
        <v>1</v>
      </c>
      <c r="F24" s="6">
        <f t="array" aca="1" ref="F24" ca="1">IFERROR(OFFSET(INDIRECT(B24&amp;"40"), 0,2),"")</f>
        <v>9</v>
      </c>
      <c r="G24" s="14">
        <f ca="1">IFERROR(OFFSET(INDIRECT(B24&amp;"40"),0,1),"")</f>
        <v>44987.326631944445</v>
      </c>
      <c r="I24" s="10"/>
      <c r="W24" s="10"/>
      <c r="AK24" s="10" t="s">
        <v>300</v>
      </c>
      <c r="AU24" s="10"/>
      <c r="BC24" s="10"/>
      <c r="BI24" s="10"/>
      <c r="BR24" s="10"/>
      <c r="BY24" s="10"/>
      <c r="CF24" s="10" t="s">
        <v>446</v>
      </c>
      <c r="DD24" s="10"/>
      <c r="DJ24" s="10"/>
      <c r="DP24" s="10"/>
      <c r="DW24" s="10"/>
      <c r="EI24" s="10"/>
      <c r="ES24" s="10"/>
      <c r="EY24" s="10"/>
      <c r="FE24" s="10" t="s">
        <v>304</v>
      </c>
      <c r="FN24" s="10"/>
      <c r="FW24" s="10"/>
      <c r="GD24" s="10"/>
      <c r="GK24" s="10"/>
      <c r="GP24" s="10"/>
      <c r="GX24" s="10"/>
      <c r="HL24" s="10"/>
      <c r="HZ24" s="10"/>
      <c r="IG24" s="10"/>
    </row>
    <row r="25" spans="1:241" x14ac:dyDescent="0.4">
      <c r="A25" s="15"/>
      <c r="B25" s="17" t="s">
        <v>409</v>
      </c>
      <c r="C25" s="7" t="str">
        <f t="array" aca="1" ref="C25" ca="1">IFERROR(INDIRECT(B25&amp;"40"),"")</f>
        <v>whfillrate_exp</v>
      </c>
      <c r="D25" s="10" t="s">
        <v>14</v>
      </c>
      <c r="E25" s="15">
        <f>IFERROR((B25&gt;0)*IF(D25="Daily",1,VLOOKUP(D25,$D$58:$E$60,2,0)),0)</f>
        <v>1</v>
      </c>
      <c r="F25" s="6">
        <f t="array" aca="1" ref="F25" ca="1">IFERROR(OFFSET(INDIRECT(B25&amp;"40"), 0,2),"")</f>
        <v>9</v>
      </c>
      <c r="G25" s="14">
        <f ca="1">IFERROR(OFFSET(INDIRECT(B25&amp;"40"),0,1),"")</f>
        <v>44987.326828703706</v>
      </c>
      <c r="I25" s="10"/>
      <c r="W25" s="10"/>
      <c r="AK25" s="10" t="s">
        <v>377</v>
      </c>
      <c r="AU25" s="10"/>
      <c r="BC25" s="10"/>
      <c r="BI25" s="10"/>
      <c r="BR25" s="10"/>
      <c r="BY25" s="10"/>
      <c r="CF25" s="10" t="s">
        <v>447</v>
      </c>
      <c r="DD25" s="10"/>
      <c r="DJ25" s="10"/>
      <c r="DP25" s="10"/>
      <c r="DW25" s="10"/>
      <c r="EI25" s="10"/>
      <c r="ES25" s="10"/>
      <c r="EY25" s="10"/>
      <c r="FE25" s="10" t="s">
        <v>305</v>
      </c>
      <c r="FN25" s="10"/>
      <c r="FW25" s="10"/>
      <c r="GD25" s="10"/>
      <c r="GK25" s="10"/>
      <c r="GP25" s="10"/>
      <c r="GX25" s="10"/>
      <c r="HL25" s="10"/>
      <c r="HZ25" s="10"/>
      <c r="IG25" s="10"/>
    </row>
    <row r="26" spans="1:241" x14ac:dyDescent="0.4">
      <c r="A26" s="15"/>
      <c r="B26" s="17" t="s">
        <v>419</v>
      </c>
      <c r="C26" s="7" t="str">
        <f t="shared" ref="C26:C31" ca="1" si="4">IFERROR(INDIRECT(B26&amp;"40"),"")</f>
        <v>yrweek</v>
      </c>
      <c r="D26" s="10" t="s">
        <v>14</v>
      </c>
      <c r="E26" s="15">
        <f t="shared" si="0"/>
        <v>1</v>
      </c>
      <c r="F26" s="6">
        <f t="shared" ca="1" si="2"/>
        <v>8</v>
      </c>
      <c r="G26" s="14">
        <f t="shared" ca="1" si="3"/>
        <v>44987.327037037037</v>
      </c>
      <c r="I26" s="10"/>
      <c r="W26" s="10"/>
      <c r="AK26" s="10" t="s">
        <v>397</v>
      </c>
      <c r="AU26" s="10"/>
      <c r="BC26" s="10"/>
      <c r="BI26" s="10"/>
      <c r="BR26" s="10"/>
      <c r="BY26" s="10"/>
      <c r="CF26" s="10" t="s">
        <v>450</v>
      </c>
      <c r="DD26" s="10"/>
      <c r="DJ26" s="10"/>
      <c r="DP26" s="10"/>
      <c r="DW26" s="10"/>
      <c r="EI26" s="10"/>
      <c r="ES26" s="10"/>
      <c r="EY26" s="10"/>
      <c r="FE26" s="10" t="s">
        <v>309</v>
      </c>
      <c r="FN26" s="10"/>
      <c r="FW26" s="10"/>
      <c r="GD26" s="10"/>
      <c r="GK26" s="10"/>
      <c r="GP26" s="10"/>
      <c r="GX26" s="10"/>
      <c r="HL26" s="10"/>
      <c r="HZ26" s="10"/>
      <c r="IG26" s="10"/>
    </row>
    <row r="27" spans="1:241" x14ac:dyDescent="0.4">
      <c r="A27" s="15"/>
      <c r="B27" s="17" t="s">
        <v>443</v>
      </c>
      <c r="C27" s="7" t="str">
        <f t="shared" ca="1" si="4"/>
        <v>samples_invunits</v>
      </c>
      <c r="D27" s="10" t="s">
        <v>14</v>
      </c>
      <c r="E27" s="15">
        <f t="shared" si="0"/>
        <v>1</v>
      </c>
      <c r="F27" s="6">
        <f t="shared" ca="1" si="2"/>
        <v>118</v>
      </c>
      <c r="G27" s="14">
        <f t="shared" ca="1" si="3"/>
        <v>44987.328472222223</v>
      </c>
      <c r="I27" s="10"/>
      <c r="W27" s="10"/>
      <c r="AK27" s="10" t="s">
        <v>398</v>
      </c>
      <c r="AU27" s="10"/>
      <c r="BC27" s="10"/>
      <c r="BI27" s="10"/>
      <c r="BR27" s="10"/>
      <c r="BY27" s="10"/>
      <c r="CF27" s="10" t="s">
        <v>451</v>
      </c>
      <c r="DD27" s="10"/>
      <c r="DJ27" s="10"/>
      <c r="DP27" s="10"/>
      <c r="DW27" s="10"/>
      <c r="EI27" s="10"/>
      <c r="ES27" s="10"/>
      <c r="EY27" s="10"/>
      <c r="FE27" s="10" t="s">
        <v>395</v>
      </c>
      <c r="FN27" s="10"/>
      <c r="FW27" s="10"/>
      <c r="GD27" s="10"/>
      <c r="GK27" s="10"/>
      <c r="GP27" s="10"/>
      <c r="GX27" s="10"/>
      <c r="HL27" s="10"/>
      <c r="HZ27" s="10"/>
      <c r="IG27" s="10"/>
    </row>
    <row r="28" spans="1:241" x14ac:dyDescent="0.4">
      <c r="A28" s="15"/>
      <c r="B28" s="17" t="s">
        <v>516</v>
      </c>
      <c r="C28" s="7" t="str">
        <f t="shared" ca="1" si="4"/>
        <v>custfillrate_old</v>
      </c>
      <c r="D28" s="10" t="s">
        <v>14</v>
      </c>
      <c r="E28" s="15">
        <f t="shared" si="0"/>
        <v>1</v>
      </c>
      <c r="F28" s="6">
        <f t="shared" ca="1" si="2"/>
        <v>6</v>
      </c>
      <c r="G28" s="14">
        <f t="shared" ca="1" si="3"/>
        <v>44987.328935185185</v>
      </c>
      <c r="I28" s="10"/>
      <c r="W28" s="10"/>
      <c r="AK28" s="10" t="s">
        <v>255</v>
      </c>
      <c r="AU28" s="10"/>
      <c r="BC28" s="10"/>
      <c r="BI28" s="10"/>
      <c r="BR28" s="10"/>
      <c r="BY28" s="10"/>
      <c r="CF28" s="10" t="s">
        <v>456</v>
      </c>
      <c r="DD28" s="10"/>
      <c r="DJ28" s="10"/>
      <c r="DP28" s="10"/>
      <c r="DW28" s="10"/>
      <c r="EI28" s="10"/>
      <c r="ES28" s="10"/>
      <c r="EY28" s="10"/>
      <c r="FE28" s="10" t="s">
        <v>310</v>
      </c>
      <c r="FN28" s="10"/>
      <c r="FW28" s="10"/>
      <c r="GD28" s="10"/>
      <c r="GK28" s="10"/>
      <c r="GP28" s="10"/>
      <c r="GX28" s="10"/>
      <c r="HL28" s="10"/>
      <c r="HZ28" s="10"/>
      <c r="IG28" s="10"/>
    </row>
    <row r="29" spans="1:241" x14ac:dyDescent="0.4">
      <c r="A29" s="15"/>
      <c r="B29" s="17" t="s">
        <v>515</v>
      </c>
      <c r="C29" s="7" t="str">
        <f t="shared" ca="1" si="4"/>
        <v>whfillrate_old</v>
      </c>
      <c r="D29" s="10" t="s">
        <v>14</v>
      </c>
      <c r="E29" s="15">
        <f t="shared" si="0"/>
        <v>1</v>
      </c>
      <c r="F29" s="6">
        <f t="shared" ca="1" si="2"/>
        <v>7</v>
      </c>
      <c r="G29" s="14">
        <f t="shared" ca="1" si="3"/>
        <v>44987.329155092593</v>
      </c>
      <c r="I29" s="10"/>
      <c r="W29" s="10"/>
      <c r="AK29" s="10" t="s">
        <v>368</v>
      </c>
      <c r="AU29" s="10"/>
      <c r="BC29" s="10"/>
      <c r="BI29" s="10"/>
      <c r="BR29" s="10"/>
      <c r="BY29" s="10"/>
      <c r="CF29" s="10" t="s">
        <v>457</v>
      </c>
      <c r="DD29" s="10"/>
      <c r="DJ29" s="10"/>
      <c r="DP29" s="10"/>
      <c r="DW29" s="10"/>
      <c r="EI29" s="10"/>
      <c r="ES29" s="10"/>
      <c r="EY29" s="10"/>
      <c r="FE29" s="10" t="s">
        <v>396</v>
      </c>
      <c r="FN29" s="10"/>
      <c r="FW29" s="10"/>
      <c r="GD29" s="10"/>
      <c r="GK29" s="10"/>
      <c r="GP29" s="10"/>
      <c r="GX29" s="10"/>
      <c r="HL29" s="10"/>
      <c r="HZ29" s="10"/>
      <c r="IG29" s="10"/>
    </row>
    <row r="30" spans="1:241" x14ac:dyDescent="0.4">
      <c r="A30" s="15"/>
      <c r="B30" s="17" t="s">
        <v>524</v>
      </c>
      <c r="C30" s="7" t="str">
        <f t="shared" ca="1" si="4"/>
        <v>custfillrate_exp_old</v>
      </c>
      <c r="D30" s="10" t="s">
        <v>14</v>
      </c>
      <c r="E30" s="15">
        <f>IFERROR((B30&gt;0)*IF(D30="Daily",1,VLOOKUP(D30,$D$58:$E$60,2,0)),0)</f>
        <v>1</v>
      </c>
      <c r="F30" s="6">
        <f ca="1">IFERROR(OFFSET(INDIRECT(B30&amp;"40"), 0,2),"")</f>
        <v>9</v>
      </c>
      <c r="G30" s="14">
        <f ca="1">IFERROR(OFFSET(INDIRECT(B30&amp;"40"),0,1),"")</f>
        <v>44987.329317129632</v>
      </c>
      <c r="I30" s="10"/>
      <c r="W30" s="10"/>
      <c r="AK30" s="10" t="s">
        <v>369</v>
      </c>
      <c r="AU30" s="10"/>
      <c r="BC30" s="10"/>
      <c r="BI30" s="10"/>
      <c r="BR30" s="10"/>
      <c r="BY30" s="10"/>
      <c r="CF30" s="10" t="s">
        <v>124</v>
      </c>
      <c r="DD30" s="10"/>
      <c r="DJ30" s="10"/>
      <c r="DP30" s="10"/>
      <c r="DW30" s="10"/>
      <c r="EI30" s="10"/>
      <c r="ES30" s="10"/>
      <c r="EY30" s="10"/>
      <c r="FE30" s="10" t="s">
        <v>331</v>
      </c>
      <c r="FN30" s="10"/>
      <c r="FW30" s="10"/>
      <c r="GD30" s="10"/>
      <c r="GK30" s="10"/>
      <c r="GP30" s="10"/>
      <c r="GX30" s="10"/>
      <c r="HL30" s="10"/>
      <c r="HZ30" s="10"/>
      <c r="IG30" s="10"/>
    </row>
    <row r="31" spans="1:241" x14ac:dyDescent="0.4">
      <c r="A31" s="15"/>
      <c r="B31" s="17" t="s">
        <v>525</v>
      </c>
      <c r="C31" s="7" t="str">
        <f t="shared" ca="1" si="4"/>
        <v>whfillrate_exp_old</v>
      </c>
      <c r="D31" s="10" t="s">
        <v>14</v>
      </c>
      <c r="E31" s="15">
        <f>IFERROR((B31&gt;0)*IF(D31="Daily",1,VLOOKUP(D31,$D$58:$E$60,2,0)),0)</f>
        <v>1</v>
      </c>
      <c r="F31" s="6">
        <f ca="1">IFERROR(OFFSET(INDIRECT(B31&amp;"40"), 0,2),"")</f>
        <v>8</v>
      </c>
      <c r="G31" s="14">
        <f ca="1">IFERROR(OFFSET(INDIRECT(B31&amp;"40"),0,1),"")</f>
        <v>44987.329571759263</v>
      </c>
      <c r="I31" s="10"/>
      <c r="W31" s="10"/>
      <c r="AK31" s="10" t="s">
        <v>355</v>
      </c>
      <c r="AU31" s="10"/>
      <c r="BC31" s="10"/>
      <c r="BI31" s="10"/>
      <c r="BR31" s="10"/>
      <c r="BY31" s="10"/>
      <c r="CF31" s="10" t="s">
        <v>28</v>
      </c>
      <c r="DD31" s="10"/>
      <c r="DJ31" s="10"/>
      <c r="DP31" s="10"/>
      <c r="DW31" s="10"/>
      <c r="EI31" s="10"/>
      <c r="ES31" s="10"/>
      <c r="EY31" s="10"/>
      <c r="FE31" s="10" t="s">
        <v>332</v>
      </c>
      <c r="FN31" s="10"/>
      <c r="FW31" s="10"/>
      <c r="GD31" s="10"/>
      <c r="GK31" s="10"/>
      <c r="GP31" s="10"/>
      <c r="GX31" s="10"/>
      <c r="HL31" s="10"/>
      <c r="HZ31" s="10"/>
      <c r="IG31" s="10"/>
    </row>
    <row r="32" spans="1:241" x14ac:dyDescent="0.4">
      <c r="A32" s="15" t="str">
        <f t="shared" ref="A32:A53" si="5">IF(AND(E32,LEN(B32&gt;0)),B32,"")</f>
        <v/>
      </c>
      <c r="C32" s="7" t="str">
        <f t="shared" ca="1" si="1"/>
        <v/>
      </c>
      <c r="D32" s="10" t="s">
        <v>14</v>
      </c>
      <c r="E32" s="15">
        <f t="shared" si="0"/>
        <v>0</v>
      </c>
      <c r="F32" s="6" t="str">
        <f t="shared" ca="1" si="2"/>
        <v/>
      </c>
      <c r="G32" s="14" t="str">
        <f t="shared" ca="1" si="3"/>
        <v/>
      </c>
      <c r="I32" s="10"/>
      <c r="W32" s="10"/>
      <c r="AK32" s="10"/>
      <c r="AU32" s="10"/>
      <c r="BC32" s="10"/>
      <c r="BI32" s="10"/>
      <c r="BR32" s="10"/>
      <c r="BY32" s="10"/>
      <c r="CF32" s="10"/>
      <c r="DD32" s="10"/>
      <c r="DJ32" s="10"/>
      <c r="DP32" s="10"/>
      <c r="DW32" s="10"/>
      <c r="EI32" s="10"/>
      <c r="ES32" s="10"/>
      <c r="EY32" s="10"/>
      <c r="FE32" s="10" t="s">
        <v>333</v>
      </c>
      <c r="FN32" s="10"/>
      <c r="FW32" s="10"/>
      <c r="GD32" s="10"/>
      <c r="GK32" s="10"/>
      <c r="GP32" s="10"/>
      <c r="GX32" s="10"/>
      <c r="HL32" s="10"/>
      <c r="HZ32" s="10"/>
      <c r="IG32" s="10"/>
    </row>
    <row r="33" spans="1:245" x14ac:dyDescent="0.4">
      <c r="A33" s="15" t="str">
        <f t="shared" si="5"/>
        <v/>
      </c>
      <c r="C33" s="7" t="str">
        <f t="shared" ca="1" si="1"/>
        <v/>
      </c>
      <c r="D33" s="10" t="s">
        <v>14</v>
      </c>
      <c r="E33" s="15">
        <f t="shared" si="0"/>
        <v>0</v>
      </c>
      <c r="F33" s="6" t="str">
        <f t="shared" ca="1" si="2"/>
        <v/>
      </c>
      <c r="G33" s="14" t="str">
        <f t="shared" ca="1" si="3"/>
        <v/>
      </c>
      <c r="I33" s="10"/>
      <c r="W33" s="10"/>
      <c r="AK33" s="10"/>
      <c r="AU33" s="10"/>
      <c r="BC33" s="10"/>
      <c r="BI33" s="10"/>
      <c r="BR33" s="10"/>
      <c r="BY33" s="10"/>
      <c r="CF33" s="10"/>
      <c r="DD33" s="10"/>
      <c r="DJ33" s="10"/>
      <c r="DP33" s="10"/>
      <c r="DW33" s="10"/>
      <c r="EI33" s="10"/>
      <c r="ES33" s="10"/>
      <c r="EY33" s="10"/>
      <c r="FE33" s="10" t="s">
        <v>334</v>
      </c>
      <c r="FN33" s="10"/>
      <c r="FW33" s="10"/>
      <c r="GD33" s="10"/>
      <c r="GK33" s="10"/>
      <c r="GP33" s="10"/>
      <c r="GX33" s="10"/>
      <c r="HL33" s="10"/>
      <c r="HZ33" s="10"/>
      <c r="IG33" s="10"/>
    </row>
    <row r="34" spans="1:245" x14ac:dyDescent="0.4">
      <c r="A34" s="15" t="str">
        <f t="shared" si="5"/>
        <v/>
      </c>
      <c r="C34" s="7" t="str">
        <f t="shared" ca="1" si="1"/>
        <v/>
      </c>
      <c r="D34" s="10" t="s">
        <v>14</v>
      </c>
      <c r="E34" s="15">
        <f t="shared" si="0"/>
        <v>0</v>
      </c>
      <c r="F34" s="6" t="str">
        <f t="shared" ca="1" si="2"/>
        <v/>
      </c>
      <c r="G34" s="14" t="str">
        <f t="shared" ca="1" si="3"/>
        <v/>
      </c>
      <c r="I34" s="10"/>
      <c r="W34" s="10"/>
      <c r="AK34" s="10"/>
      <c r="AU34" s="10"/>
      <c r="BC34" s="10"/>
      <c r="BI34" s="10"/>
      <c r="BR34" s="10"/>
      <c r="BY34" s="10"/>
      <c r="CF34" s="10"/>
      <c r="DD34" s="10"/>
      <c r="DJ34" s="10"/>
      <c r="DP34" s="10"/>
      <c r="DW34" s="10"/>
      <c r="EI34" s="10"/>
      <c r="ES34" s="10"/>
      <c r="EY34" s="10"/>
      <c r="FE34" s="10" t="s">
        <v>339</v>
      </c>
      <c r="FN34" s="10"/>
      <c r="FW34" s="10"/>
      <c r="GD34" s="10"/>
      <c r="GK34" s="10"/>
      <c r="GP34" s="10"/>
      <c r="GX34" s="10"/>
      <c r="HL34" s="10"/>
      <c r="HZ34" s="10"/>
      <c r="IG34" s="10"/>
    </row>
    <row r="35" spans="1:245" x14ac:dyDescent="0.4">
      <c r="A35" s="15" t="str">
        <f t="shared" si="5"/>
        <v/>
      </c>
      <c r="C35" s="7" t="str">
        <f t="shared" ca="1" si="1"/>
        <v/>
      </c>
      <c r="D35" s="10" t="s">
        <v>14</v>
      </c>
      <c r="E35" s="15">
        <f t="shared" si="0"/>
        <v>0</v>
      </c>
      <c r="F35" s="6" t="str">
        <f t="shared" ca="1" si="2"/>
        <v/>
      </c>
      <c r="G35" s="14" t="str">
        <f t="shared" ca="1" si="3"/>
        <v/>
      </c>
      <c r="I35" s="10"/>
      <c r="W35" s="10"/>
      <c r="AK35" s="10"/>
      <c r="AU35" s="10"/>
      <c r="BC35" s="10"/>
      <c r="BI35" s="10"/>
      <c r="BR35" s="10"/>
      <c r="BY35" s="10"/>
      <c r="CF35" s="10"/>
      <c r="DD35" s="10"/>
      <c r="DJ35" s="10"/>
      <c r="DP35" s="10"/>
      <c r="DW35" s="10"/>
      <c r="EI35" s="10"/>
      <c r="ES35" s="10"/>
      <c r="EY35" s="10"/>
      <c r="FE35" s="10" t="s">
        <v>311</v>
      </c>
      <c r="FN35" s="10"/>
      <c r="FW35" s="10"/>
      <c r="GD35" s="10"/>
      <c r="GK35" s="10"/>
      <c r="GP35" s="10"/>
      <c r="GX35" s="10"/>
      <c r="HL35" s="10"/>
      <c r="HZ35" s="10"/>
      <c r="IG35" s="10"/>
    </row>
    <row r="36" spans="1:245" x14ac:dyDescent="0.4">
      <c r="A36" s="15" t="str">
        <f t="shared" si="5"/>
        <v/>
      </c>
      <c r="C36" s="7" t="str">
        <f ca="1">IFERROR(INDIRECT(B36&amp;"40"),"")</f>
        <v/>
      </c>
      <c r="D36" s="10" t="s">
        <v>14</v>
      </c>
      <c r="E36" s="15">
        <f t="shared" si="0"/>
        <v>0</v>
      </c>
      <c r="F36" s="6" t="str">
        <f t="shared" ca="1" si="2"/>
        <v/>
      </c>
      <c r="G36" s="14" t="str">
        <f t="shared" ca="1" si="3"/>
        <v/>
      </c>
      <c r="I36" s="10"/>
      <c r="W36" s="10"/>
      <c r="AK36" s="10"/>
      <c r="AU36" s="10"/>
      <c r="BC36" s="10"/>
      <c r="BI36" s="10"/>
      <c r="BR36" s="10"/>
      <c r="BY36" s="10"/>
      <c r="CF36" s="10"/>
      <c r="DD36" s="10"/>
      <c r="DJ36" s="10"/>
      <c r="DP36" s="10"/>
      <c r="DW36" s="10"/>
      <c r="EI36" s="10"/>
      <c r="ES36" s="10"/>
      <c r="EY36" s="10"/>
      <c r="FE36" s="10" t="s">
        <v>190</v>
      </c>
      <c r="FN36" s="10"/>
      <c r="FW36" s="10"/>
      <c r="GD36" s="10"/>
      <c r="GK36" s="10"/>
      <c r="GP36" s="10"/>
      <c r="GX36" s="10"/>
      <c r="HL36" s="10"/>
      <c r="HZ36" s="10"/>
      <c r="IG36" s="10"/>
    </row>
    <row r="37" spans="1:245" x14ac:dyDescent="0.4">
      <c r="A37" s="15"/>
      <c r="C37" s="7" t="str">
        <f ca="1">IFERROR(INDIRECT(B37&amp;"40"),"")</f>
        <v/>
      </c>
      <c r="D37" s="10" t="s">
        <v>14</v>
      </c>
      <c r="E37" s="15">
        <f t="shared" si="0"/>
        <v>0</v>
      </c>
      <c r="F37" s="6" t="str">
        <f t="shared" ca="1" si="2"/>
        <v/>
      </c>
      <c r="G37" s="14" t="str">
        <f t="shared" ca="1" si="3"/>
        <v/>
      </c>
      <c r="H37" s="3" t="s">
        <v>8</v>
      </c>
      <c r="I37" s="10"/>
      <c r="W37" s="10"/>
      <c r="AK37" s="10"/>
      <c r="AU37" s="10"/>
      <c r="BC37" s="10"/>
      <c r="BI37" s="10"/>
      <c r="BR37" s="10"/>
      <c r="BY37" s="10"/>
      <c r="CF37" s="10"/>
      <c r="DD37" s="10"/>
      <c r="DJ37" s="10"/>
      <c r="DP37" s="10"/>
      <c r="DW37" s="10"/>
      <c r="EI37" s="10"/>
      <c r="ES37" s="10"/>
      <c r="EY37" s="10"/>
      <c r="FE37" s="10"/>
      <c r="FN37" s="10"/>
      <c r="FW37" s="10"/>
      <c r="GD37" s="10"/>
      <c r="GK37" s="10"/>
      <c r="GP37" s="10"/>
      <c r="GX37" s="10"/>
      <c r="HL37" s="10"/>
      <c r="HZ37" s="10"/>
      <c r="IG37" s="10"/>
    </row>
    <row r="38" spans="1:245" x14ac:dyDescent="0.4">
      <c r="A38" s="15" t="str">
        <f t="shared" si="5"/>
        <v/>
      </c>
      <c r="C38" s="7" t="str">
        <f t="shared" ref="C38:C50" ca="1" si="6">IFERROR(INDIRECT(B38&amp;"40"),"")</f>
        <v/>
      </c>
      <c r="D38" s="10" t="s">
        <v>14</v>
      </c>
      <c r="E38" s="15">
        <f t="shared" si="0"/>
        <v>0</v>
      </c>
      <c r="F38" s="6" t="str">
        <f t="shared" ca="1" si="2"/>
        <v/>
      </c>
      <c r="G38" s="14" t="str">
        <f t="shared" ca="1" si="3"/>
        <v/>
      </c>
    </row>
    <row r="39" spans="1:245" x14ac:dyDescent="0.4">
      <c r="A39" s="15" t="str">
        <f t="shared" si="5"/>
        <v/>
      </c>
      <c r="C39" s="7" t="str">
        <f t="shared" ca="1" si="6"/>
        <v/>
      </c>
      <c r="D39" s="10" t="s">
        <v>14</v>
      </c>
      <c r="E39" s="15">
        <f t="shared" si="0"/>
        <v>0</v>
      </c>
      <c r="F39" s="6" t="str">
        <f t="shared" ca="1" si="2"/>
        <v/>
      </c>
      <c r="G39" s="14" t="str">
        <f t="shared" ca="1" si="3"/>
        <v/>
      </c>
      <c r="H39" s="3" t="s">
        <v>6</v>
      </c>
      <c r="I39" s="10" t="s">
        <v>7</v>
      </c>
      <c r="J39" t="s">
        <v>20</v>
      </c>
      <c r="K39" t="s">
        <v>21</v>
      </c>
      <c r="W39" s="10" t="s">
        <v>7</v>
      </c>
      <c r="X39" t="s">
        <v>20</v>
      </c>
      <c r="Y39" t="s">
        <v>21</v>
      </c>
      <c r="AK39" s="10" t="s">
        <v>7</v>
      </c>
      <c r="AL39" t="s">
        <v>20</v>
      </c>
      <c r="AM39" t="s">
        <v>21</v>
      </c>
      <c r="AU39" s="10" t="s">
        <v>7</v>
      </c>
      <c r="AV39" t="s">
        <v>20</v>
      </c>
      <c r="AW39" t="s">
        <v>21</v>
      </c>
      <c r="BC39" s="10" t="s">
        <v>7</v>
      </c>
      <c r="BD39" t="s">
        <v>20</v>
      </c>
      <c r="BE39" t="s">
        <v>21</v>
      </c>
      <c r="BI39" s="10" t="s">
        <v>7</v>
      </c>
      <c r="BJ39" t="s">
        <v>20</v>
      </c>
      <c r="BK39" t="s">
        <v>21</v>
      </c>
      <c r="BR39" s="10" t="s">
        <v>7</v>
      </c>
      <c r="BS39" t="s">
        <v>20</v>
      </c>
      <c r="BT39" t="s">
        <v>21</v>
      </c>
      <c r="BY39" s="10" t="s">
        <v>7</v>
      </c>
      <c r="BZ39" t="s">
        <v>20</v>
      </c>
      <c r="CA39" t="s">
        <v>21</v>
      </c>
      <c r="CF39" s="10" t="s">
        <v>7</v>
      </c>
      <c r="CG39" t="s">
        <v>20</v>
      </c>
      <c r="CH39" t="s">
        <v>21</v>
      </c>
      <c r="DD39" s="10" t="s">
        <v>7</v>
      </c>
      <c r="DE39" t="s">
        <v>20</v>
      </c>
      <c r="DF39" t="s">
        <v>21</v>
      </c>
      <c r="DJ39" s="10" t="s">
        <v>7</v>
      </c>
      <c r="DK39" t="s">
        <v>20</v>
      </c>
      <c r="DL39" t="s">
        <v>21</v>
      </c>
      <c r="DP39" s="10" t="s">
        <v>7</v>
      </c>
      <c r="DQ39" t="s">
        <v>20</v>
      </c>
      <c r="DR39" t="s">
        <v>21</v>
      </c>
      <c r="DW39" s="10" t="s">
        <v>7</v>
      </c>
      <c r="DX39" t="s">
        <v>20</v>
      </c>
      <c r="DY39" t="s">
        <v>21</v>
      </c>
      <c r="EI39" s="10" t="s">
        <v>7</v>
      </c>
      <c r="EJ39" t="s">
        <v>20</v>
      </c>
      <c r="EK39" t="s">
        <v>21</v>
      </c>
      <c r="ES39" s="10" t="s">
        <v>7</v>
      </c>
      <c r="ET39" t="s">
        <v>20</v>
      </c>
      <c r="EU39" t="s">
        <v>21</v>
      </c>
      <c r="EY39" s="10" t="s">
        <v>7</v>
      </c>
      <c r="EZ39" t="s">
        <v>20</v>
      </c>
      <c r="FA39" t="s">
        <v>21</v>
      </c>
      <c r="FE39" s="10" t="s">
        <v>7</v>
      </c>
      <c r="FF39" t="s">
        <v>20</v>
      </c>
      <c r="FG39" t="s">
        <v>21</v>
      </c>
      <c r="FN39" s="10" t="s">
        <v>7</v>
      </c>
      <c r="FO39" t="s">
        <v>20</v>
      </c>
      <c r="FP39" t="s">
        <v>21</v>
      </c>
      <c r="FW39" s="10" t="s">
        <v>7</v>
      </c>
      <c r="FX39" t="s">
        <v>20</v>
      </c>
      <c r="FY39" t="s">
        <v>21</v>
      </c>
      <c r="GD39" s="10" t="s">
        <v>7</v>
      </c>
      <c r="GE39" t="s">
        <v>20</v>
      </c>
      <c r="GF39" t="s">
        <v>21</v>
      </c>
      <c r="GK39" s="10" t="s">
        <v>7</v>
      </c>
      <c r="GL39" t="s">
        <v>20</v>
      </c>
      <c r="GM39" t="s">
        <v>21</v>
      </c>
      <c r="GP39" s="10" t="s">
        <v>7</v>
      </c>
      <c r="GQ39" t="s">
        <v>20</v>
      </c>
      <c r="GR39" t="s">
        <v>21</v>
      </c>
      <c r="GX39" s="10" t="s">
        <v>7</v>
      </c>
      <c r="GY39" t="s">
        <v>20</v>
      </c>
      <c r="GZ39" t="s">
        <v>21</v>
      </c>
      <c r="HL39" s="10" t="s">
        <v>7</v>
      </c>
      <c r="HM39" t="s">
        <v>20</v>
      </c>
      <c r="HN39" t="s">
        <v>21</v>
      </c>
      <c r="HZ39" s="10" t="s">
        <v>7</v>
      </c>
      <c r="IA39" t="s">
        <v>20</v>
      </c>
      <c r="IB39" t="s">
        <v>21</v>
      </c>
      <c r="IG39" s="10" t="s">
        <v>7</v>
      </c>
      <c r="IH39" t="s">
        <v>20</v>
      </c>
      <c r="II39" t="s">
        <v>21</v>
      </c>
    </row>
    <row r="40" spans="1:245" x14ac:dyDescent="0.4">
      <c r="A40" s="15" t="str">
        <f t="shared" si="5"/>
        <v/>
      </c>
      <c r="C40" s="7" t="str">
        <f t="shared" ca="1" si="6"/>
        <v/>
      </c>
      <c r="D40" s="10" t="s">
        <v>14</v>
      </c>
      <c r="E40" s="15">
        <f t="shared" si="0"/>
        <v>0</v>
      </c>
      <c r="F40" s="6" t="str">
        <f t="shared" ca="1" si="2"/>
        <v/>
      </c>
      <c r="G40" s="14" t="str">
        <f t="shared" ca="1" si="3"/>
        <v/>
      </c>
      <c r="H40" s="3" t="s">
        <v>3</v>
      </c>
      <c r="I40" s="18" t="s">
        <v>29</v>
      </c>
      <c r="J40" s="9">
        <v>44987.318495370368</v>
      </c>
      <c r="K40" s="16">
        <v>10</v>
      </c>
      <c r="W40" s="18" t="s">
        <v>34</v>
      </c>
      <c r="X40" s="9">
        <v>44987.318912037037</v>
      </c>
      <c r="Y40" s="16">
        <v>24</v>
      </c>
      <c r="AK40" s="18" t="s">
        <v>371</v>
      </c>
      <c r="AL40" s="9">
        <v>44987.319374999999</v>
      </c>
      <c r="AM40" s="16">
        <v>20</v>
      </c>
      <c r="AU40" s="18" t="s">
        <v>45</v>
      </c>
      <c r="AV40" s="9">
        <v>44987.319548611114</v>
      </c>
      <c r="AW40" s="16">
        <v>9</v>
      </c>
      <c r="BC40" s="18" t="s">
        <v>49</v>
      </c>
      <c r="BD40" s="9">
        <v>44987.320671296293</v>
      </c>
      <c r="BE40" s="16">
        <v>90</v>
      </c>
      <c r="BI40" s="18" t="s">
        <v>51</v>
      </c>
      <c r="BJ40" s="9">
        <v>44987.320949074077</v>
      </c>
      <c r="BK40" s="16">
        <v>15</v>
      </c>
      <c r="BR40" s="18" t="s">
        <v>56</v>
      </c>
      <c r="BS40" s="9">
        <v>44987.321388888886</v>
      </c>
      <c r="BT40" s="16">
        <v>24</v>
      </c>
      <c r="BY40" s="18" t="s">
        <v>101</v>
      </c>
      <c r="BZ40" s="9">
        <v>44987.321747685186</v>
      </c>
      <c r="CA40" s="16">
        <v>7</v>
      </c>
      <c r="CF40" s="18" t="s">
        <v>125</v>
      </c>
      <c r="CG40" s="9">
        <v>44987.322210648148</v>
      </c>
      <c r="CH40" s="16">
        <v>31</v>
      </c>
      <c r="DD40" s="18" t="s">
        <v>192</v>
      </c>
      <c r="DE40" s="9">
        <v>44987.322453703702</v>
      </c>
      <c r="DF40" s="16">
        <v>16</v>
      </c>
      <c r="DJ40" s="18" t="s">
        <v>195</v>
      </c>
      <c r="DK40" s="9">
        <v>44987.322650462964</v>
      </c>
      <c r="DL40" s="16">
        <v>10</v>
      </c>
      <c r="DP40" s="18" t="s">
        <v>142</v>
      </c>
      <c r="DQ40" s="9">
        <v>44987.322939814818</v>
      </c>
      <c r="DR40" s="16">
        <v>11</v>
      </c>
      <c r="DW40" s="18" t="s">
        <v>145</v>
      </c>
      <c r="DX40" s="9">
        <v>44987.323240740741</v>
      </c>
      <c r="DY40" s="16">
        <v>6</v>
      </c>
      <c r="EI40" s="18" t="s">
        <v>108</v>
      </c>
      <c r="EJ40" s="9">
        <v>44987.323703703703</v>
      </c>
      <c r="EK40" s="16">
        <v>30</v>
      </c>
      <c r="ES40" s="18" t="s">
        <v>156</v>
      </c>
      <c r="ET40" s="9">
        <v>44966.372581018521</v>
      </c>
      <c r="EU40" s="16">
        <v>7</v>
      </c>
      <c r="EY40" s="18" t="s">
        <v>157</v>
      </c>
      <c r="EZ40" s="9">
        <v>44987.32534722222</v>
      </c>
      <c r="FA40" s="16">
        <v>8</v>
      </c>
      <c r="FE40" s="18" t="s">
        <v>312</v>
      </c>
      <c r="FF40" s="9">
        <v>44987.325937499998</v>
      </c>
      <c r="FG40" s="16">
        <v>17</v>
      </c>
      <c r="FN40" s="18" t="s">
        <v>399</v>
      </c>
      <c r="FO40" s="9">
        <v>44991.887187499997</v>
      </c>
      <c r="FP40" s="16">
        <v>21</v>
      </c>
      <c r="FW40" s="18" t="s">
        <v>404</v>
      </c>
      <c r="FX40" s="9">
        <v>44987.326631944445</v>
      </c>
      <c r="FY40" s="16">
        <v>9</v>
      </c>
      <c r="GD40" s="18" t="s">
        <v>405</v>
      </c>
      <c r="GE40" s="9">
        <v>44987.326828703706</v>
      </c>
      <c r="GF40" s="16">
        <v>9</v>
      </c>
      <c r="GK40" s="18" t="s">
        <v>418</v>
      </c>
      <c r="GL40" s="9">
        <v>44987.327037037037</v>
      </c>
      <c r="GM40" s="16">
        <v>8</v>
      </c>
      <c r="GP40" s="18" t="s">
        <v>459</v>
      </c>
      <c r="GQ40" s="9">
        <v>44987.328472222223</v>
      </c>
      <c r="GR40" s="16">
        <v>118</v>
      </c>
      <c r="GX40" s="18" t="s">
        <v>503</v>
      </c>
      <c r="GY40" s="9">
        <v>44987.328935185185</v>
      </c>
      <c r="GZ40" s="16">
        <v>6</v>
      </c>
      <c r="HL40" s="18" t="s">
        <v>514</v>
      </c>
      <c r="HM40" s="9">
        <v>44987.329155092593</v>
      </c>
      <c r="HN40" s="16">
        <v>7</v>
      </c>
      <c r="HZ40" s="18" t="s">
        <v>517</v>
      </c>
      <c r="IA40" s="9">
        <v>44987.329317129632</v>
      </c>
      <c r="IB40" s="16">
        <v>9</v>
      </c>
      <c r="IG40" s="18" t="s">
        <v>518</v>
      </c>
      <c r="IH40" s="9">
        <v>44987.329571759263</v>
      </c>
      <c r="II40" s="16">
        <v>8</v>
      </c>
    </row>
    <row r="41" spans="1:245" x14ac:dyDescent="0.4">
      <c r="A41" s="15" t="str">
        <f t="shared" si="5"/>
        <v/>
      </c>
      <c r="C41" s="7" t="str">
        <f t="shared" ca="1" si="6"/>
        <v/>
      </c>
      <c r="D41" s="10" t="s">
        <v>14</v>
      </c>
      <c r="E41" s="15">
        <f t="shared" si="0"/>
        <v>0</v>
      </c>
      <c r="F41" s="6" t="str">
        <f t="shared" ca="1" si="2"/>
        <v/>
      </c>
      <c r="G41" s="14" t="str">
        <f t="shared" ca="1" si="3"/>
        <v/>
      </c>
      <c r="H41" s="3" t="s">
        <v>2</v>
      </c>
      <c r="I41" t="s">
        <v>27</v>
      </c>
      <c r="J41" t="s">
        <v>30</v>
      </c>
      <c r="K41" t="s">
        <v>31</v>
      </c>
      <c r="L41" t="s">
        <v>291</v>
      </c>
      <c r="M41" t="s">
        <v>372</v>
      </c>
      <c r="N41" t="s">
        <v>480</v>
      </c>
      <c r="O41" t="s">
        <v>481</v>
      </c>
      <c r="P41" t="s">
        <v>482</v>
      </c>
      <c r="Q41" t="s">
        <v>490</v>
      </c>
      <c r="W41" t="s">
        <v>27</v>
      </c>
      <c r="X41" t="s">
        <v>30</v>
      </c>
      <c r="Y41" t="s">
        <v>31</v>
      </c>
      <c r="Z41" t="s">
        <v>291</v>
      </c>
      <c r="AA41" t="s">
        <v>372</v>
      </c>
      <c r="AB41" t="s">
        <v>482</v>
      </c>
      <c r="AC41" t="s">
        <v>490</v>
      </c>
      <c r="AK41" t="s">
        <v>27</v>
      </c>
      <c r="AL41" t="s">
        <v>30</v>
      </c>
      <c r="AM41" t="s">
        <v>37</v>
      </c>
      <c r="AN41" t="s">
        <v>38</v>
      </c>
      <c r="AO41" t="s">
        <v>39</v>
      </c>
      <c r="AP41" t="s">
        <v>40</v>
      </c>
      <c r="AQ41" t="s">
        <v>41</v>
      </c>
      <c r="AR41" t="s">
        <v>356</v>
      </c>
      <c r="AS41" t="s">
        <v>31</v>
      </c>
      <c r="AU41" t="s">
        <v>27</v>
      </c>
      <c r="AV41" t="s">
        <v>30</v>
      </c>
      <c r="AW41" t="s">
        <v>47</v>
      </c>
      <c r="AX41" t="s">
        <v>48</v>
      </c>
      <c r="AY41" t="s">
        <v>74</v>
      </c>
      <c r="AZ41" t="s">
        <v>31</v>
      </c>
      <c r="BC41" t="s">
        <v>27</v>
      </c>
      <c r="BD41" t="s">
        <v>30</v>
      </c>
      <c r="BE41" t="s">
        <v>49</v>
      </c>
      <c r="BF41" t="s">
        <v>31</v>
      </c>
      <c r="BI41" t="s">
        <v>27</v>
      </c>
      <c r="BJ41" t="s">
        <v>30</v>
      </c>
      <c r="BK41" t="s">
        <v>54</v>
      </c>
      <c r="BL41" t="s">
        <v>271</v>
      </c>
      <c r="BM41" t="s">
        <v>52</v>
      </c>
      <c r="BN41" t="s">
        <v>53</v>
      </c>
      <c r="BO41" t="s">
        <v>291</v>
      </c>
      <c r="BR41" t="s">
        <v>27</v>
      </c>
      <c r="BS41" t="s">
        <v>30</v>
      </c>
      <c r="BT41" t="s">
        <v>57</v>
      </c>
      <c r="BU41" t="s">
        <v>91</v>
      </c>
      <c r="BV41" t="s">
        <v>31</v>
      </c>
      <c r="BY41" t="s">
        <v>27</v>
      </c>
      <c r="BZ41" t="s">
        <v>30</v>
      </c>
      <c r="CA41" t="s">
        <v>54</v>
      </c>
      <c r="CB41" t="s">
        <v>107</v>
      </c>
      <c r="CC41" t="s">
        <v>102</v>
      </c>
      <c r="CF41" t="s">
        <v>27</v>
      </c>
      <c r="CG41" t="s">
        <v>30</v>
      </c>
      <c r="CH41" t="s">
        <v>31</v>
      </c>
      <c r="CI41" t="s">
        <v>96</v>
      </c>
      <c r="CJ41" t="s">
        <v>97</v>
      </c>
      <c r="CK41" t="s">
        <v>126</v>
      </c>
      <c r="CL41" t="s">
        <v>98</v>
      </c>
      <c r="CM41" t="s">
        <v>104</v>
      </c>
      <c r="CN41" t="s">
        <v>99</v>
      </c>
      <c r="CO41" t="s">
        <v>127</v>
      </c>
      <c r="CP41" t="s">
        <v>128</v>
      </c>
      <c r="CQ41" t="s">
        <v>129</v>
      </c>
      <c r="CR41" t="s">
        <v>130</v>
      </c>
      <c r="CS41" t="s">
        <v>177</v>
      </c>
      <c r="CT41" t="s">
        <v>458</v>
      </c>
      <c r="CU41" t="s">
        <v>178</v>
      </c>
      <c r="CV41" t="s">
        <v>179</v>
      </c>
      <c r="CW41" t="s">
        <v>180</v>
      </c>
      <c r="CX41" t="s">
        <v>181</v>
      </c>
      <c r="CY41" t="s">
        <v>182</v>
      </c>
      <c r="CZ41" t="s">
        <v>183</v>
      </c>
      <c r="DA41" t="s">
        <v>151</v>
      </c>
      <c r="DD41" t="s">
        <v>27</v>
      </c>
      <c r="DE41" t="s">
        <v>30</v>
      </c>
      <c r="DF41" t="s">
        <v>31</v>
      </c>
      <c r="DG41" t="s">
        <v>143</v>
      </c>
      <c r="DH41" t="s">
        <v>350</v>
      </c>
      <c r="DJ41" t="s">
        <v>27</v>
      </c>
      <c r="DK41" t="s">
        <v>30</v>
      </c>
      <c r="DL41" t="s">
        <v>31</v>
      </c>
      <c r="DM41" t="s">
        <v>159</v>
      </c>
      <c r="DP41" t="s">
        <v>27</v>
      </c>
      <c r="DQ41" t="s">
        <v>30</v>
      </c>
      <c r="DR41" t="s">
        <v>31</v>
      </c>
      <c r="DS41" t="s">
        <v>143</v>
      </c>
      <c r="DT41" t="s">
        <v>256</v>
      </c>
      <c r="DW41" t="s">
        <v>27</v>
      </c>
      <c r="DX41" t="s">
        <v>30</v>
      </c>
      <c r="DY41" t="s">
        <v>31</v>
      </c>
      <c r="DZ41" t="s">
        <v>146</v>
      </c>
      <c r="EA41" t="s">
        <v>148</v>
      </c>
      <c r="EB41" t="s">
        <v>161</v>
      </c>
      <c r="EC41" t="s">
        <v>151</v>
      </c>
      <c r="ED41" t="s">
        <v>184</v>
      </c>
      <c r="EE41" t="s">
        <v>202</v>
      </c>
      <c r="EF41" t="s">
        <v>203</v>
      </c>
      <c r="EI41" t="s">
        <v>27</v>
      </c>
      <c r="EJ41" t="s">
        <v>30</v>
      </c>
      <c r="EK41" t="s">
        <v>205</v>
      </c>
      <c r="EL41" t="s">
        <v>206</v>
      </c>
      <c r="EM41" t="s">
        <v>207</v>
      </c>
      <c r="EN41" t="s">
        <v>166</v>
      </c>
      <c r="ES41" t="s">
        <v>27</v>
      </c>
      <c r="ET41" t="s">
        <v>30</v>
      </c>
      <c r="EU41" t="s">
        <v>31</v>
      </c>
      <c r="EV41" t="s">
        <v>221</v>
      </c>
      <c r="EY41" t="s">
        <v>27</v>
      </c>
      <c r="EZ41" t="s">
        <v>30</v>
      </c>
      <c r="FA41" t="s">
        <v>31</v>
      </c>
      <c r="FB41" t="s">
        <v>226</v>
      </c>
      <c r="FE41" t="s">
        <v>27</v>
      </c>
      <c r="FF41" t="s">
        <v>30</v>
      </c>
      <c r="FG41" t="s">
        <v>54</v>
      </c>
      <c r="FH41" t="s">
        <v>314</v>
      </c>
      <c r="FI41" t="s">
        <v>315</v>
      </c>
      <c r="FJ41" t="s">
        <v>316</v>
      </c>
      <c r="FK41" t="s">
        <v>317</v>
      </c>
      <c r="FN41" t="s">
        <v>27</v>
      </c>
      <c r="FO41" t="s">
        <v>30</v>
      </c>
      <c r="FP41" t="s">
        <v>54</v>
      </c>
      <c r="FQ41" t="s">
        <v>585</v>
      </c>
      <c r="FR41" t="s">
        <v>586</v>
      </c>
      <c r="FS41" t="s">
        <v>591</v>
      </c>
      <c r="FT41" t="s">
        <v>592</v>
      </c>
      <c r="FW41" t="s">
        <v>27</v>
      </c>
      <c r="FX41" t="s">
        <v>30</v>
      </c>
      <c r="FY41" t="s">
        <v>31</v>
      </c>
      <c r="FZ41" t="s">
        <v>291</v>
      </c>
      <c r="GA41" t="s">
        <v>372</v>
      </c>
      <c r="GD41" t="s">
        <v>27</v>
      </c>
      <c r="GE41" t="s">
        <v>30</v>
      </c>
      <c r="GF41" t="s">
        <v>31</v>
      </c>
      <c r="GG41" t="s">
        <v>291</v>
      </c>
      <c r="GH41" t="s">
        <v>372</v>
      </c>
      <c r="GK41" t="s">
        <v>27</v>
      </c>
      <c r="GL41" t="s">
        <v>30</v>
      </c>
      <c r="GM41" t="s">
        <v>420</v>
      </c>
      <c r="GN41" t="s">
        <v>421</v>
      </c>
      <c r="GP41" t="s">
        <v>27</v>
      </c>
      <c r="GQ41" t="s">
        <v>30</v>
      </c>
      <c r="GR41" t="s">
        <v>49</v>
      </c>
      <c r="GS41" t="s">
        <v>31</v>
      </c>
      <c r="GX41" t="s">
        <v>27</v>
      </c>
      <c r="GY41" t="s">
        <v>30</v>
      </c>
      <c r="GZ41" t="s">
        <v>31</v>
      </c>
      <c r="HA41" t="s">
        <v>291</v>
      </c>
      <c r="HB41" t="s">
        <v>372</v>
      </c>
      <c r="HC41" t="s">
        <v>504</v>
      </c>
      <c r="HD41" t="s">
        <v>505</v>
      </c>
      <c r="HE41" t="s">
        <v>506</v>
      </c>
      <c r="HF41" t="s">
        <v>507</v>
      </c>
      <c r="HG41" t="s">
        <v>508</v>
      </c>
      <c r="HH41" t="s">
        <v>509</v>
      </c>
      <c r="HI41" t="s">
        <v>510</v>
      </c>
      <c r="HL41" t="s">
        <v>27</v>
      </c>
      <c r="HM41" t="s">
        <v>30</v>
      </c>
      <c r="HN41" t="s">
        <v>31</v>
      </c>
      <c r="HO41" t="s">
        <v>291</v>
      </c>
      <c r="HP41" t="s">
        <v>372</v>
      </c>
      <c r="HQ41" t="s">
        <v>504</v>
      </c>
      <c r="HR41" t="s">
        <v>505</v>
      </c>
      <c r="HS41" t="s">
        <v>506</v>
      </c>
      <c r="HT41" t="s">
        <v>507</v>
      </c>
      <c r="HU41" t="s">
        <v>508</v>
      </c>
      <c r="HV41" t="s">
        <v>509</v>
      </c>
      <c r="HW41" t="s">
        <v>510</v>
      </c>
      <c r="HZ41" t="s">
        <v>27</v>
      </c>
      <c r="IA41" t="s">
        <v>30</v>
      </c>
      <c r="IB41" t="s">
        <v>31</v>
      </c>
      <c r="IC41" t="s">
        <v>291</v>
      </c>
      <c r="ID41" t="s">
        <v>372</v>
      </c>
      <c r="IG41" t="s">
        <v>27</v>
      </c>
      <c r="IH41" t="s">
        <v>30</v>
      </c>
      <c r="II41" t="s">
        <v>31</v>
      </c>
      <c r="IJ41" t="s">
        <v>291</v>
      </c>
      <c r="IK41" t="s">
        <v>372</v>
      </c>
    </row>
    <row r="42" spans="1:245" s="1" customFormat="1" x14ac:dyDescent="0.4">
      <c r="A42" s="15" t="str">
        <f t="shared" si="5"/>
        <v/>
      </c>
      <c r="B42"/>
      <c r="C42" s="7" t="str">
        <f t="shared" ca="1" si="6"/>
        <v/>
      </c>
      <c r="D42" s="10" t="s">
        <v>14</v>
      </c>
      <c r="E42" s="15">
        <f t="shared" si="0"/>
        <v>0</v>
      </c>
      <c r="F42" s="6" t="str">
        <f t="shared" ca="1" si="2"/>
        <v/>
      </c>
      <c r="G42" s="14" t="str">
        <f t="shared" ca="1" si="3"/>
        <v/>
      </c>
      <c r="H42"/>
      <c r="I42">
        <v>2023</v>
      </c>
      <c r="J42" s="1">
        <v>10</v>
      </c>
      <c r="K42" s="1" t="s">
        <v>33</v>
      </c>
      <c r="L42" s="1">
        <v>5</v>
      </c>
      <c r="M42" s="1">
        <v>5</v>
      </c>
      <c r="W42" s="1">
        <v>2023</v>
      </c>
      <c r="X42" s="1">
        <v>9</v>
      </c>
      <c r="Y42" s="1" t="s">
        <v>32</v>
      </c>
      <c r="Z42" s="1">
        <v>14936</v>
      </c>
      <c r="AA42" s="1">
        <v>13878</v>
      </c>
      <c r="AB42" s="1">
        <v>13</v>
      </c>
      <c r="AC42" s="1">
        <v>4</v>
      </c>
      <c r="AK42" s="1">
        <v>2023</v>
      </c>
      <c r="AL42" s="1">
        <v>9</v>
      </c>
      <c r="AM42" s="1">
        <v>408.22</v>
      </c>
      <c r="AN42" s="1">
        <v>7.3000000000000007</v>
      </c>
      <c r="AO42" s="1">
        <v>0</v>
      </c>
      <c r="AP42" s="1">
        <v>13</v>
      </c>
      <c r="AQ42" s="1">
        <v>0</v>
      </c>
      <c r="AR42" s="1">
        <v>1</v>
      </c>
      <c r="AS42" s="1" t="s">
        <v>32</v>
      </c>
      <c r="AU42" s="1">
        <v>2023</v>
      </c>
      <c r="AV42" s="1">
        <v>9</v>
      </c>
      <c r="AW42" s="1">
        <v>0.03</v>
      </c>
      <c r="AX42" s="1">
        <v>400</v>
      </c>
      <c r="AY42" s="1">
        <v>14923</v>
      </c>
      <c r="AZ42" s="1" t="s">
        <v>32</v>
      </c>
      <c r="BC42" s="1">
        <v>2023</v>
      </c>
      <c r="BD42" s="1">
        <v>9</v>
      </c>
      <c r="BE42" s="1">
        <v>256.72328571428602</v>
      </c>
      <c r="BF42" s="1" t="s">
        <v>32</v>
      </c>
      <c r="BI42" s="1">
        <v>2023</v>
      </c>
      <c r="BJ42" s="1">
        <v>9</v>
      </c>
      <c r="BK42" s="1" t="s">
        <v>32</v>
      </c>
      <c r="BL42" s="1" t="s">
        <v>272</v>
      </c>
      <c r="BM42" s="1">
        <v>2660</v>
      </c>
      <c r="BN42" s="1">
        <v>2402</v>
      </c>
      <c r="BO42" s="1">
        <v>9078</v>
      </c>
      <c r="BR42" s="1">
        <v>2023</v>
      </c>
      <c r="BS42" s="1">
        <v>9</v>
      </c>
      <c r="BT42" s="1">
        <v>246711</v>
      </c>
      <c r="BU42" s="1">
        <v>224</v>
      </c>
      <c r="BV42" s="1" t="s">
        <v>33</v>
      </c>
      <c r="BY42" s="1">
        <v>2023</v>
      </c>
      <c r="BZ42" s="1">
        <v>9</v>
      </c>
      <c r="CA42" s="1" t="s">
        <v>32</v>
      </c>
      <c r="CB42" s="1" t="s">
        <v>423</v>
      </c>
      <c r="CC42" s="1">
        <v>2</v>
      </c>
      <c r="CF42" s="1">
        <v>2023</v>
      </c>
      <c r="CG42" s="1">
        <v>9</v>
      </c>
      <c r="CH42" s="1" t="s">
        <v>32</v>
      </c>
      <c r="CI42" s="1">
        <v>46.52401746724891</v>
      </c>
      <c r="CJ42" s="1">
        <v>10654</v>
      </c>
      <c r="CK42" s="1">
        <v>229</v>
      </c>
      <c r="CL42" s="1">
        <v>39.617636927316568</v>
      </c>
      <c r="CM42" s="1">
        <v>6647</v>
      </c>
      <c r="CN42" s="1">
        <v>11501</v>
      </c>
      <c r="CO42" s="1">
        <v>290.3</v>
      </c>
      <c r="CP42" s="1">
        <v>1029</v>
      </c>
      <c r="CQ42" s="1">
        <v>26.3</v>
      </c>
      <c r="CR42" s="1">
        <v>162.69999999999999</v>
      </c>
      <c r="CS42" s="1">
        <v>9841</v>
      </c>
      <c r="CT42" s="1">
        <v>7012</v>
      </c>
      <c r="CU42" s="1">
        <v>181.5</v>
      </c>
      <c r="CV42" s="1">
        <v>1276</v>
      </c>
      <c r="CW42" s="1">
        <v>0</v>
      </c>
      <c r="CX42" s="1">
        <v>5542</v>
      </c>
      <c r="CY42" s="1">
        <v>49.5</v>
      </c>
      <c r="CZ42" s="1">
        <v>4387</v>
      </c>
      <c r="DA42" s="1">
        <v>162.69999999999999</v>
      </c>
      <c r="DD42" s="1">
        <v>2023</v>
      </c>
      <c r="DE42" s="1">
        <v>9</v>
      </c>
      <c r="DF42" s="1" t="s">
        <v>32</v>
      </c>
      <c r="DG42" s="1">
        <v>3585</v>
      </c>
      <c r="DH42" s="1">
        <v>2459</v>
      </c>
      <c r="DJ42" s="1">
        <v>2023</v>
      </c>
      <c r="DK42" s="1">
        <v>9</v>
      </c>
      <c r="DL42" s="1" t="s">
        <v>32</v>
      </c>
      <c r="DM42" s="1">
        <v>4</v>
      </c>
      <c r="DP42" s="1">
        <v>2023</v>
      </c>
      <c r="DQ42" s="1">
        <v>9</v>
      </c>
      <c r="DR42" s="1" t="s">
        <v>32</v>
      </c>
      <c r="DS42" s="1">
        <v>680</v>
      </c>
      <c r="DT42" s="1">
        <v>634</v>
      </c>
      <c r="DW42" s="1">
        <v>2023</v>
      </c>
      <c r="DX42" s="1">
        <v>9</v>
      </c>
      <c r="DY42" s="1" t="s">
        <v>32</v>
      </c>
      <c r="DZ42" s="1">
        <v>3</v>
      </c>
      <c r="EA42" s="1" t="s">
        <v>149</v>
      </c>
      <c r="EB42" s="1">
        <v>0</v>
      </c>
      <c r="EC42" s="1">
        <v>41.9</v>
      </c>
      <c r="ED42" s="1">
        <v>985</v>
      </c>
      <c r="EF42" s="1">
        <v>0</v>
      </c>
      <c r="EI42" s="1">
        <v>2025</v>
      </c>
      <c r="EJ42" s="1">
        <v>28</v>
      </c>
      <c r="EK42" s="1" t="s">
        <v>211</v>
      </c>
      <c r="EL42" s="1" t="s">
        <v>232</v>
      </c>
      <c r="EM42" s="1" t="s">
        <v>210</v>
      </c>
      <c r="EN42" s="1">
        <v>1</v>
      </c>
      <c r="ES42" s="1">
        <v>2023</v>
      </c>
      <c r="ET42" s="1">
        <v>6</v>
      </c>
      <c r="EU42" s="1" t="s">
        <v>32</v>
      </c>
      <c r="EV42" s="1">
        <v>6657</v>
      </c>
      <c r="EY42" s="1">
        <v>2023</v>
      </c>
      <c r="EZ42" s="1">
        <v>9</v>
      </c>
      <c r="FA42" s="1" t="s">
        <v>32</v>
      </c>
      <c r="FB42" s="1">
        <v>1304</v>
      </c>
      <c r="FE42" s="1">
        <v>2023</v>
      </c>
      <c r="FF42" s="1">
        <v>9</v>
      </c>
      <c r="FG42" s="1" t="s">
        <v>32</v>
      </c>
      <c r="FH42" s="1">
        <v>0.96690000000000009</v>
      </c>
      <c r="FI42" s="1">
        <v>348</v>
      </c>
      <c r="FJ42" s="1">
        <v>167</v>
      </c>
      <c r="FK42" s="1">
        <v>173</v>
      </c>
      <c r="FN42" s="1">
        <v>2023</v>
      </c>
      <c r="FO42" s="1">
        <v>10</v>
      </c>
      <c r="FP42" s="1" t="s">
        <v>32</v>
      </c>
      <c r="FQ42" s="1">
        <v>13763</v>
      </c>
      <c r="FR42" s="1">
        <v>505.16666666666697</v>
      </c>
      <c r="FS42" s="1">
        <v>4305</v>
      </c>
      <c r="FT42" s="1">
        <v>135.86666666666699</v>
      </c>
      <c r="FW42" s="1">
        <v>2023</v>
      </c>
      <c r="FX42" s="1">
        <v>9</v>
      </c>
      <c r="FY42" s="1" t="s">
        <v>32</v>
      </c>
      <c r="FZ42" s="1">
        <v>2170</v>
      </c>
      <c r="GA42" s="1">
        <v>1941</v>
      </c>
      <c r="GD42" s="1">
        <v>2023</v>
      </c>
      <c r="GE42" s="1">
        <v>9</v>
      </c>
      <c r="GF42" s="1" t="s">
        <v>32</v>
      </c>
      <c r="GG42" s="1">
        <v>2105</v>
      </c>
      <c r="GH42" s="1">
        <v>1967</v>
      </c>
      <c r="GK42" s="1">
        <v>2023</v>
      </c>
      <c r="GL42" s="1">
        <v>9</v>
      </c>
      <c r="GM42" s="1">
        <v>44981</v>
      </c>
      <c r="GN42" s="1" t="s">
        <v>580</v>
      </c>
      <c r="GP42" s="1">
        <v>2023</v>
      </c>
      <c r="GQ42" s="1">
        <v>9</v>
      </c>
      <c r="GR42" s="1">
        <v>2.9860000000000002</v>
      </c>
      <c r="GS42" s="1" t="s">
        <v>32</v>
      </c>
      <c r="GX42">
        <v>2023</v>
      </c>
      <c r="GY42">
        <v>9</v>
      </c>
      <c r="GZ42" t="s">
        <v>32</v>
      </c>
      <c r="HA42">
        <v>11833</v>
      </c>
      <c r="HB42">
        <v>10576</v>
      </c>
      <c r="HC42">
        <v>5</v>
      </c>
      <c r="HD42">
        <v>2</v>
      </c>
      <c r="HE42">
        <v>1</v>
      </c>
      <c r="HF42">
        <v>1</v>
      </c>
      <c r="HG42">
        <v>0</v>
      </c>
      <c r="HH42">
        <v>0</v>
      </c>
      <c r="HI42">
        <v>11</v>
      </c>
      <c r="HJ42"/>
      <c r="HK42"/>
      <c r="HL42">
        <v>2023</v>
      </c>
      <c r="HM42">
        <v>9</v>
      </c>
      <c r="HN42" t="s">
        <v>32</v>
      </c>
      <c r="HO42">
        <v>14930</v>
      </c>
      <c r="HP42">
        <v>13921</v>
      </c>
      <c r="HQ42">
        <v>72</v>
      </c>
      <c r="HR42">
        <v>26</v>
      </c>
      <c r="HS42">
        <v>10</v>
      </c>
      <c r="HT42">
        <v>31</v>
      </c>
      <c r="HU42">
        <v>0</v>
      </c>
      <c r="HV42">
        <v>0</v>
      </c>
      <c r="HW42">
        <v>23</v>
      </c>
      <c r="HX42"/>
      <c r="HZ42" s="1">
        <v>2023</v>
      </c>
      <c r="IA42" s="1">
        <v>9</v>
      </c>
      <c r="IB42" s="1" t="s">
        <v>32</v>
      </c>
      <c r="IC42" s="1">
        <v>1627</v>
      </c>
      <c r="ID42" s="1">
        <v>1394</v>
      </c>
      <c r="IG42" s="1">
        <v>2023</v>
      </c>
      <c r="IH42" s="1">
        <v>9</v>
      </c>
      <c r="II42" s="1" t="s">
        <v>32</v>
      </c>
      <c r="IJ42" s="1">
        <v>2093</v>
      </c>
      <c r="IK42" s="1">
        <v>1971</v>
      </c>
    </row>
    <row r="43" spans="1:245" x14ac:dyDescent="0.4">
      <c r="A43" s="15" t="str">
        <f t="shared" si="5"/>
        <v/>
      </c>
      <c r="C43" s="7" t="str">
        <f t="shared" ca="1" si="6"/>
        <v/>
      </c>
      <c r="D43" s="10" t="s">
        <v>14</v>
      </c>
      <c r="E43" s="15">
        <f t="shared" si="0"/>
        <v>0</v>
      </c>
      <c r="F43" s="6" t="str">
        <f t="shared" ca="1" si="2"/>
        <v/>
      </c>
      <c r="G43" s="14" t="str">
        <f t="shared" ca="1" si="3"/>
        <v/>
      </c>
      <c r="I43" s="305">
        <v>2023</v>
      </c>
      <c r="J43" s="306">
        <v>9</v>
      </c>
      <c r="K43" s="306" t="s">
        <v>32</v>
      </c>
      <c r="L43" s="306">
        <v>15480</v>
      </c>
      <c r="M43" s="306">
        <v>14141</v>
      </c>
      <c r="N43" s="306">
        <v>36</v>
      </c>
      <c r="O43" s="306">
        <v>595</v>
      </c>
      <c r="P43" s="306">
        <v>46</v>
      </c>
      <c r="Q43" s="306">
        <v>4</v>
      </c>
      <c r="R43" s="24"/>
      <c r="S43" s="24"/>
      <c r="T43" s="24"/>
      <c r="W43" s="24">
        <v>2023</v>
      </c>
      <c r="X43" s="24">
        <v>9</v>
      </c>
      <c r="Y43" s="24" t="s">
        <v>33</v>
      </c>
      <c r="Z43" s="24">
        <v>301261</v>
      </c>
      <c r="AA43" s="24">
        <v>269040</v>
      </c>
      <c r="AB43" s="24">
        <v>372</v>
      </c>
      <c r="AC43" s="24">
        <v>33</v>
      </c>
      <c r="AD43" s="24"/>
      <c r="AE43" s="24"/>
      <c r="AF43" s="24"/>
      <c r="AG43" s="24"/>
      <c r="AH43" s="24"/>
      <c r="AI43" s="24"/>
      <c r="AJ43" s="24"/>
      <c r="AK43" s="24">
        <v>2023</v>
      </c>
      <c r="AL43" s="24">
        <v>9</v>
      </c>
      <c r="AM43" s="24">
        <v>18114.02</v>
      </c>
      <c r="AN43" s="24">
        <v>350.73</v>
      </c>
      <c r="AO43" s="24">
        <v>0</v>
      </c>
      <c r="AP43" s="24">
        <v>586</v>
      </c>
      <c r="AQ43" s="24">
        <v>0</v>
      </c>
      <c r="AR43" s="24">
        <v>42</v>
      </c>
      <c r="AS43" s="24" t="s">
        <v>33</v>
      </c>
      <c r="AT43" s="24"/>
      <c r="AU43" s="24">
        <v>2023</v>
      </c>
      <c r="AV43" s="24">
        <v>9</v>
      </c>
      <c r="AW43" s="24">
        <v>0.01</v>
      </c>
      <c r="AX43" s="24">
        <v>4200</v>
      </c>
      <c r="AY43" s="24">
        <v>290324</v>
      </c>
      <c r="AZ43" s="24" t="s">
        <v>33</v>
      </c>
      <c r="BA43" s="24"/>
      <c r="BB43" s="24"/>
      <c r="BC43" s="24">
        <v>2023</v>
      </c>
      <c r="BD43" s="24">
        <v>9</v>
      </c>
      <c r="BE43" s="24">
        <v>2499.8311428571396</v>
      </c>
      <c r="BF43" s="24" t="s">
        <v>33</v>
      </c>
      <c r="BG43" s="24"/>
      <c r="BI43" s="24">
        <v>2023</v>
      </c>
      <c r="BJ43" s="24">
        <v>9</v>
      </c>
      <c r="BK43" s="24" t="s">
        <v>32</v>
      </c>
      <c r="BL43" s="24" t="s">
        <v>273</v>
      </c>
      <c r="BM43" s="24">
        <v>5924</v>
      </c>
      <c r="BN43" s="24">
        <v>5134</v>
      </c>
      <c r="BO43" s="24">
        <v>5997</v>
      </c>
      <c r="BR43" s="24">
        <v>2023</v>
      </c>
      <c r="BS43" s="24">
        <v>9</v>
      </c>
      <c r="BT43" s="24">
        <v>13401</v>
      </c>
      <c r="BU43" s="24">
        <v>40</v>
      </c>
      <c r="BV43" s="24" t="s">
        <v>32</v>
      </c>
      <c r="BY43" s="24">
        <v>2023</v>
      </c>
      <c r="BZ43" s="24">
        <v>9</v>
      </c>
      <c r="CA43" s="24" t="s">
        <v>33</v>
      </c>
      <c r="CB43" s="24" t="s">
        <v>423</v>
      </c>
      <c r="CC43" s="24">
        <v>1</v>
      </c>
      <c r="CF43" s="24">
        <v>2023</v>
      </c>
      <c r="CG43" s="24">
        <v>9</v>
      </c>
      <c r="CH43" s="24" t="s">
        <v>33</v>
      </c>
      <c r="CI43" s="24">
        <v>128.7233491024561</v>
      </c>
      <c r="CJ43" s="24">
        <v>198633</v>
      </c>
      <c r="CK43" s="24">
        <v>1543.1</v>
      </c>
      <c r="CL43" s="24">
        <v>136.56700964214068</v>
      </c>
      <c r="CM43" s="24">
        <v>104672</v>
      </c>
      <c r="CN43" s="24">
        <v>211037</v>
      </c>
      <c r="CO43" s="24">
        <v>1545.3</v>
      </c>
      <c r="CP43" s="24">
        <v>24407</v>
      </c>
      <c r="CQ43" s="24">
        <v>301.2</v>
      </c>
      <c r="CR43" s="24">
        <v>2520.8000000000002</v>
      </c>
      <c r="CS43" s="24">
        <v>115271</v>
      </c>
      <c r="CT43" s="24">
        <v>93321</v>
      </c>
      <c r="CU43" s="24">
        <v>1107.8</v>
      </c>
      <c r="CV43" s="24">
        <v>43411</v>
      </c>
      <c r="CW43" s="24">
        <v>0</v>
      </c>
      <c r="CX43" s="24">
        <v>89778</v>
      </c>
      <c r="CY43" s="24">
        <v>734.9</v>
      </c>
      <c r="CZ43" s="24">
        <v>56671</v>
      </c>
      <c r="DA43" s="24">
        <v>2520.8000000000002</v>
      </c>
      <c r="DD43" s="24">
        <v>2023</v>
      </c>
      <c r="DE43" s="24">
        <v>9</v>
      </c>
      <c r="DF43" s="24" t="s">
        <v>33</v>
      </c>
      <c r="DG43" s="24">
        <v>15940</v>
      </c>
      <c r="DH43" s="24">
        <v>32019</v>
      </c>
      <c r="DJ43" s="24">
        <v>2023</v>
      </c>
      <c r="DK43" s="24">
        <v>9</v>
      </c>
      <c r="DL43" s="24" t="s">
        <v>33</v>
      </c>
      <c r="DM43" s="24">
        <v>191</v>
      </c>
      <c r="DP43" s="24">
        <v>2023</v>
      </c>
      <c r="DQ43" s="24">
        <v>9</v>
      </c>
      <c r="DR43" s="24" t="s">
        <v>33</v>
      </c>
      <c r="DS43" s="24">
        <v>3246</v>
      </c>
      <c r="DT43" s="24">
        <v>6142</v>
      </c>
      <c r="DU43" s="24"/>
      <c r="DW43" s="24">
        <v>2023</v>
      </c>
      <c r="DX43" s="24">
        <v>9</v>
      </c>
      <c r="DY43" s="24" t="s">
        <v>33</v>
      </c>
      <c r="DZ43" s="24">
        <v>15</v>
      </c>
      <c r="EA43" s="24" t="s">
        <v>562</v>
      </c>
      <c r="EB43" s="24">
        <v>279.10000000000002</v>
      </c>
      <c r="EC43" s="24">
        <v>0</v>
      </c>
      <c r="ED43" s="24">
        <v>77</v>
      </c>
      <c r="EE43" s="24">
        <v>8982</v>
      </c>
      <c r="EF43" s="24">
        <v>1.3</v>
      </c>
      <c r="EI43" s="24">
        <v>2023</v>
      </c>
      <c r="EJ43" s="24">
        <v>47</v>
      </c>
      <c r="EK43" s="24" t="s">
        <v>237</v>
      </c>
      <c r="EL43" s="24" t="s">
        <v>555</v>
      </c>
      <c r="EM43" s="24" t="s">
        <v>215</v>
      </c>
      <c r="EN43" s="24">
        <v>1</v>
      </c>
      <c r="EO43" s="24"/>
      <c r="EP43" s="24"/>
      <c r="EQ43" s="24"/>
      <c r="ER43" s="24"/>
      <c r="ES43" s="24">
        <v>2023</v>
      </c>
      <c r="ET43" s="24">
        <v>6</v>
      </c>
      <c r="EU43" s="24" t="s">
        <v>33</v>
      </c>
      <c r="EV43" s="24">
        <v>126773</v>
      </c>
      <c r="EY43" s="24">
        <v>2023</v>
      </c>
      <c r="EZ43" s="24">
        <v>9</v>
      </c>
      <c r="FA43" s="24" t="s">
        <v>33</v>
      </c>
      <c r="FB43" s="24">
        <v>1235</v>
      </c>
      <c r="FE43" s="24">
        <v>2023</v>
      </c>
      <c r="FF43" s="24">
        <v>9</v>
      </c>
      <c r="FG43" s="24" t="s">
        <v>33</v>
      </c>
      <c r="FH43" s="24">
        <v>0.98960000000000004</v>
      </c>
      <c r="FI43" s="24">
        <v>12227</v>
      </c>
      <c r="FJ43" s="24">
        <v>5523</v>
      </c>
      <c r="FK43" s="24">
        <v>5593</v>
      </c>
      <c r="FN43" s="24">
        <v>2023</v>
      </c>
      <c r="FO43" s="24">
        <v>10</v>
      </c>
      <c r="FP43" s="24" t="s">
        <v>33</v>
      </c>
      <c r="FQ43" s="24">
        <v>709498</v>
      </c>
      <c r="FR43" s="24">
        <v>6874.1500000000005</v>
      </c>
      <c r="FS43" s="24">
        <v>56262</v>
      </c>
      <c r="FT43" s="24">
        <v>840.01666666666699</v>
      </c>
      <c r="FW43" s="24">
        <v>2023</v>
      </c>
      <c r="FX43" s="24">
        <v>9</v>
      </c>
      <c r="FY43" s="24" t="s">
        <v>33</v>
      </c>
      <c r="FZ43" s="24">
        <v>16176</v>
      </c>
      <c r="GA43" s="24">
        <v>13246</v>
      </c>
      <c r="GB43" s="24"/>
      <c r="GC43" s="24"/>
      <c r="GD43" s="24">
        <v>2023</v>
      </c>
      <c r="GE43" s="24">
        <v>9</v>
      </c>
      <c r="GF43" s="24" t="s">
        <v>33</v>
      </c>
      <c r="GG43" s="24">
        <v>16094</v>
      </c>
      <c r="GH43" s="24">
        <v>13413</v>
      </c>
      <c r="GK43" s="24">
        <v>2023</v>
      </c>
      <c r="GL43" s="24">
        <v>8</v>
      </c>
      <c r="GM43" s="24">
        <v>44974</v>
      </c>
      <c r="GN43" s="24" t="s">
        <v>578</v>
      </c>
      <c r="GO43" s="24"/>
      <c r="GP43" s="24">
        <v>2023</v>
      </c>
      <c r="GQ43" s="24">
        <v>9</v>
      </c>
      <c r="GR43" s="24">
        <v>46.078714285714298</v>
      </c>
      <c r="GS43" s="24" t="s">
        <v>33</v>
      </c>
      <c r="GX43">
        <v>2023</v>
      </c>
      <c r="GY43">
        <v>9</v>
      </c>
      <c r="GZ43" t="s">
        <v>33</v>
      </c>
      <c r="HA43">
        <v>224390</v>
      </c>
      <c r="HB43">
        <v>197353</v>
      </c>
      <c r="HC43">
        <v>155</v>
      </c>
      <c r="HD43">
        <v>60</v>
      </c>
      <c r="HE43">
        <v>26</v>
      </c>
      <c r="HF43">
        <v>1116</v>
      </c>
      <c r="HG43">
        <v>0</v>
      </c>
      <c r="HH43">
        <v>5</v>
      </c>
      <c r="HI43">
        <v>348</v>
      </c>
      <c r="HL43">
        <v>2023</v>
      </c>
      <c r="HM43">
        <v>9</v>
      </c>
      <c r="HN43" t="s">
        <v>33</v>
      </c>
      <c r="HO43">
        <v>301180</v>
      </c>
      <c r="HP43">
        <v>273901</v>
      </c>
      <c r="HQ43">
        <v>375</v>
      </c>
      <c r="HR43">
        <v>3632</v>
      </c>
      <c r="HS43">
        <v>139</v>
      </c>
      <c r="HT43">
        <v>1592</v>
      </c>
      <c r="HU43">
        <v>0</v>
      </c>
      <c r="HV43">
        <v>7</v>
      </c>
      <c r="HW43">
        <v>821</v>
      </c>
      <c r="HZ43" s="24">
        <v>2023</v>
      </c>
      <c r="IA43" s="24">
        <v>9</v>
      </c>
      <c r="IB43" s="24" t="s">
        <v>33</v>
      </c>
      <c r="IC43" s="24">
        <v>10848</v>
      </c>
      <c r="ID43" s="24">
        <v>9146</v>
      </c>
      <c r="IG43" s="24">
        <v>2023</v>
      </c>
      <c r="IH43" s="24">
        <v>9</v>
      </c>
      <c r="II43" s="24" t="s">
        <v>33</v>
      </c>
      <c r="IJ43" s="24">
        <v>15744</v>
      </c>
      <c r="IK43" s="24">
        <v>14005</v>
      </c>
    </row>
    <row r="44" spans="1:245" x14ac:dyDescent="0.4">
      <c r="A44" s="15" t="str">
        <f t="shared" si="5"/>
        <v/>
      </c>
      <c r="C44" s="7" t="str">
        <f t="shared" ca="1" si="6"/>
        <v/>
      </c>
      <c r="D44" s="10" t="s">
        <v>14</v>
      </c>
      <c r="E44" s="15">
        <f t="shared" si="0"/>
        <v>0</v>
      </c>
      <c r="F44" s="6" t="str">
        <f t="shared" ca="1" si="2"/>
        <v/>
      </c>
      <c r="G44" s="14" t="str">
        <f t="shared" ca="1" si="3"/>
        <v/>
      </c>
      <c r="I44" s="305">
        <v>2023</v>
      </c>
      <c r="J44" s="306">
        <v>9</v>
      </c>
      <c r="K44" s="306" t="s">
        <v>33</v>
      </c>
      <c r="L44" s="306">
        <v>305461</v>
      </c>
      <c r="M44" s="306">
        <v>270877</v>
      </c>
      <c r="N44" s="306">
        <v>755</v>
      </c>
      <c r="O44" s="306">
        <v>7879</v>
      </c>
      <c r="P44" s="306">
        <v>421</v>
      </c>
      <c r="Q44" s="306">
        <v>25</v>
      </c>
      <c r="R44" s="24"/>
      <c r="S44" s="24"/>
      <c r="T44" s="24"/>
      <c r="W44" s="24">
        <v>2023</v>
      </c>
      <c r="X44" s="24">
        <v>8</v>
      </c>
      <c r="Y44" s="24" t="s">
        <v>32</v>
      </c>
      <c r="Z44" s="24">
        <v>16570</v>
      </c>
      <c r="AA44" s="24">
        <v>16410</v>
      </c>
      <c r="AB44" s="24">
        <v>17</v>
      </c>
      <c r="AC44" s="24">
        <v>4</v>
      </c>
      <c r="AD44" s="24"/>
      <c r="AE44" s="24"/>
      <c r="AF44" s="24"/>
      <c r="AG44" s="24"/>
      <c r="AH44" s="24"/>
      <c r="AI44" s="24"/>
      <c r="AJ44" s="24"/>
      <c r="AK44" s="24">
        <v>2023</v>
      </c>
      <c r="AL44" s="24">
        <v>8</v>
      </c>
      <c r="AM44" s="24">
        <v>535.4</v>
      </c>
      <c r="AN44" s="24">
        <v>10.68</v>
      </c>
      <c r="AO44" s="24">
        <v>0</v>
      </c>
      <c r="AP44" s="24">
        <v>14</v>
      </c>
      <c r="AQ44" s="24">
        <v>0</v>
      </c>
      <c r="AR44" s="24">
        <v>0</v>
      </c>
      <c r="AS44" s="24" t="s">
        <v>32</v>
      </c>
      <c r="AT44" s="24"/>
      <c r="AU44" s="24">
        <v>2023</v>
      </c>
      <c r="AV44" s="24">
        <v>8</v>
      </c>
      <c r="AW44" s="24">
        <v>0.05</v>
      </c>
      <c r="AX44" s="24">
        <v>900</v>
      </c>
      <c r="AY44" s="24">
        <v>16802</v>
      </c>
      <c r="AZ44" s="24" t="s">
        <v>32</v>
      </c>
      <c r="BA44" s="24"/>
      <c r="BB44" s="24"/>
      <c r="BC44" s="24">
        <v>2023</v>
      </c>
      <c r="BD44" s="24">
        <v>8</v>
      </c>
      <c r="BE44" s="24">
        <v>256.77214285714297</v>
      </c>
      <c r="BF44" s="24" t="s">
        <v>32</v>
      </c>
      <c r="BG44" s="24"/>
      <c r="BI44" s="24">
        <v>2023</v>
      </c>
      <c r="BJ44" s="24">
        <v>9</v>
      </c>
      <c r="BK44" s="24" t="s">
        <v>33</v>
      </c>
      <c r="BL44" s="24" t="s">
        <v>273</v>
      </c>
      <c r="BM44" s="24">
        <v>105087</v>
      </c>
      <c r="BN44" s="24">
        <v>76125</v>
      </c>
      <c r="BO44" s="24">
        <v>107126</v>
      </c>
      <c r="BR44" s="24">
        <v>2023</v>
      </c>
      <c r="BS44" s="24">
        <v>8</v>
      </c>
      <c r="BT44" s="24">
        <v>16586</v>
      </c>
      <c r="BU44" s="24">
        <v>34</v>
      </c>
      <c r="BV44" s="24" t="s">
        <v>32</v>
      </c>
      <c r="BY44" s="24">
        <v>2023</v>
      </c>
      <c r="BZ44" s="24">
        <v>8</v>
      </c>
      <c r="CA44" s="24" t="s">
        <v>32</v>
      </c>
      <c r="CB44" s="24" t="s">
        <v>108</v>
      </c>
      <c r="CC44" s="24">
        <v>1</v>
      </c>
      <c r="CF44" s="24">
        <v>2023</v>
      </c>
      <c r="CG44" s="24">
        <v>8</v>
      </c>
      <c r="CH44" s="24" t="s">
        <v>32</v>
      </c>
      <c r="CI44" s="24">
        <v>54.537995005351412</v>
      </c>
      <c r="CJ44" s="24">
        <v>15287</v>
      </c>
      <c r="CK44" s="24">
        <v>280.3</v>
      </c>
      <c r="CL44" s="24">
        <v>38.376165567432338</v>
      </c>
      <c r="CM44" s="24">
        <v>10039</v>
      </c>
      <c r="CN44" s="24">
        <v>16874</v>
      </c>
      <c r="CO44" s="24">
        <v>439.7</v>
      </c>
      <c r="CP44" s="24">
        <v>1541</v>
      </c>
      <c r="CQ44" s="24">
        <v>33.5</v>
      </c>
      <c r="CR44" s="24">
        <v>314.39999999999998</v>
      </c>
      <c r="CS44" s="24">
        <v>8672</v>
      </c>
      <c r="CT44" s="24">
        <v>8672</v>
      </c>
      <c r="CU44" s="24">
        <v>217.9</v>
      </c>
      <c r="CV44" s="24">
        <v>3558</v>
      </c>
      <c r="CW44" s="24">
        <v>0</v>
      </c>
      <c r="CX44" s="24">
        <v>8057</v>
      </c>
      <c r="CY44" s="24">
        <v>67.599999999999994</v>
      </c>
      <c r="CZ44" s="24">
        <v>9084</v>
      </c>
      <c r="DA44" s="24">
        <v>314.39999999999998</v>
      </c>
      <c r="DD44" s="24">
        <v>2023</v>
      </c>
      <c r="DE44" s="24">
        <v>8</v>
      </c>
      <c r="DF44" s="24" t="s">
        <v>32</v>
      </c>
      <c r="DG44" s="24">
        <v>2612</v>
      </c>
      <c r="DH44" s="24">
        <v>1744</v>
      </c>
      <c r="DJ44" s="24">
        <v>2023</v>
      </c>
      <c r="DK44" s="24">
        <v>8</v>
      </c>
      <c r="DL44" s="24" t="s">
        <v>32</v>
      </c>
      <c r="DM44" s="24">
        <v>14</v>
      </c>
      <c r="DP44" s="24">
        <v>2023</v>
      </c>
      <c r="DQ44" s="24">
        <v>8</v>
      </c>
      <c r="DR44" s="24" t="s">
        <v>32</v>
      </c>
      <c r="DS44" s="24">
        <v>655</v>
      </c>
      <c r="DT44" s="24">
        <v>653</v>
      </c>
      <c r="DU44" s="24"/>
      <c r="DW44" s="24">
        <v>2023</v>
      </c>
      <c r="DX44" s="24">
        <v>9</v>
      </c>
      <c r="DY44" s="24" t="s">
        <v>33</v>
      </c>
      <c r="DZ44" s="24">
        <v>132</v>
      </c>
      <c r="EA44" s="24" t="s">
        <v>149</v>
      </c>
      <c r="EB44" s="24">
        <v>22.1</v>
      </c>
      <c r="EC44" s="24">
        <v>2514.4</v>
      </c>
      <c r="ED44" s="24">
        <v>55774</v>
      </c>
      <c r="EE44" s="24">
        <v>15267</v>
      </c>
      <c r="EF44" s="24">
        <v>87.8</v>
      </c>
      <c r="EI44" s="24">
        <v>2023</v>
      </c>
      <c r="EJ44" s="24">
        <v>47</v>
      </c>
      <c r="EK44" s="24" t="s">
        <v>237</v>
      </c>
      <c r="EL44" s="24" t="s">
        <v>557</v>
      </c>
      <c r="EM44" s="24" t="s">
        <v>210</v>
      </c>
      <c r="EN44" s="24">
        <v>1</v>
      </c>
      <c r="EO44" s="24"/>
      <c r="EP44" s="24"/>
      <c r="EQ44" s="24"/>
      <c r="ER44" s="24"/>
      <c r="ES44" s="24">
        <v>2023</v>
      </c>
      <c r="ET44" s="24">
        <v>5</v>
      </c>
      <c r="EU44" s="24" t="s">
        <v>32</v>
      </c>
      <c r="EV44" s="24">
        <v>8181</v>
      </c>
      <c r="EY44" s="24">
        <v>2023</v>
      </c>
      <c r="EZ44" s="24">
        <v>8</v>
      </c>
      <c r="FA44" s="24" t="s">
        <v>32</v>
      </c>
      <c r="FB44" s="24">
        <v>1042</v>
      </c>
      <c r="FE44" s="24">
        <v>2023</v>
      </c>
      <c r="FF44" s="24">
        <v>8</v>
      </c>
      <c r="FG44" s="24" t="s">
        <v>32</v>
      </c>
      <c r="FH44" s="24">
        <v>0.96350000000000002</v>
      </c>
      <c r="FI44" s="24">
        <v>412</v>
      </c>
      <c r="FJ44" s="24">
        <v>193</v>
      </c>
      <c r="FK44" s="24">
        <v>201</v>
      </c>
      <c r="FN44" s="24">
        <v>2023</v>
      </c>
      <c r="FO44" s="24">
        <v>9</v>
      </c>
      <c r="FP44" s="24" t="s">
        <v>32</v>
      </c>
      <c r="FQ44" s="24">
        <v>40834</v>
      </c>
      <c r="FR44" s="24">
        <v>1187.2</v>
      </c>
      <c r="FS44" s="24">
        <v>26649</v>
      </c>
      <c r="FT44" s="24">
        <v>440.86666666666702</v>
      </c>
      <c r="FW44" s="24">
        <v>2023</v>
      </c>
      <c r="FX44" s="24">
        <v>8</v>
      </c>
      <c r="FY44" s="24" t="s">
        <v>32</v>
      </c>
      <c r="FZ44" s="24">
        <v>2608</v>
      </c>
      <c r="GA44" s="24">
        <v>2486</v>
      </c>
      <c r="GB44" s="24"/>
      <c r="GC44" s="24"/>
      <c r="GD44" s="24">
        <v>2023</v>
      </c>
      <c r="GE44" s="24">
        <v>8</v>
      </c>
      <c r="GF44" s="24" t="s">
        <v>32</v>
      </c>
      <c r="GG44" s="24">
        <v>2598</v>
      </c>
      <c r="GH44" s="24">
        <v>2570</v>
      </c>
      <c r="GK44" s="24">
        <v>2023</v>
      </c>
      <c r="GL44" s="24">
        <v>7</v>
      </c>
      <c r="GM44" s="24">
        <v>44967</v>
      </c>
      <c r="GN44" s="24" t="s">
        <v>577</v>
      </c>
      <c r="GO44" s="24"/>
      <c r="GP44" s="24">
        <v>2023</v>
      </c>
      <c r="GQ44" s="24">
        <v>8</v>
      </c>
      <c r="GR44" s="24">
        <v>2.98771428571429</v>
      </c>
      <c r="GS44" s="24" t="s">
        <v>32</v>
      </c>
      <c r="GX44">
        <v>2023</v>
      </c>
      <c r="GY44">
        <v>8</v>
      </c>
      <c r="GZ44" t="s">
        <v>32</v>
      </c>
      <c r="HA44">
        <v>16294</v>
      </c>
      <c r="HB44">
        <v>15877</v>
      </c>
      <c r="HC44">
        <v>26</v>
      </c>
      <c r="HD44">
        <v>1</v>
      </c>
      <c r="HE44">
        <v>7</v>
      </c>
      <c r="HF44">
        <v>5</v>
      </c>
      <c r="HG44">
        <v>0</v>
      </c>
      <c r="HH44">
        <v>0</v>
      </c>
      <c r="HI44">
        <v>67</v>
      </c>
      <c r="HL44">
        <v>2023</v>
      </c>
      <c r="HM44">
        <v>8</v>
      </c>
      <c r="HN44" t="s">
        <v>32</v>
      </c>
      <c r="HO44">
        <v>16533</v>
      </c>
      <c r="HP44">
        <v>16465</v>
      </c>
      <c r="HQ44">
        <v>28</v>
      </c>
      <c r="HR44">
        <v>1</v>
      </c>
      <c r="HS44">
        <v>4</v>
      </c>
      <c r="HT44">
        <v>5</v>
      </c>
      <c r="HU44">
        <v>0</v>
      </c>
      <c r="HV44">
        <v>0</v>
      </c>
      <c r="HW44">
        <v>1</v>
      </c>
      <c r="HZ44" s="24">
        <v>2023</v>
      </c>
      <c r="IA44" s="24">
        <v>8</v>
      </c>
      <c r="IB44" s="24" t="s">
        <v>32</v>
      </c>
      <c r="IC44" s="24">
        <v>2531</v>
      </c>
      <c r="ID44" s="24">
        <v>2383</v>
      </c>
      <c r="IG44" s="24">
        <v>2023</v>
      </c>
      <c r="IH44" s="24">
        <v>8</v>
      </c>
      <c r="II44" s="24" t="s">
        <v>32</v>
      </c>
      <c r="IJ44" s="24">
        <v>2558</v>
      </c>
      <c r="IK44" s="24">
        <v>2544</v>
      </c>
    </row>
    <row r="45" spans="1:245" x14ac:dyDescent="0.4">
      <c r="A45" s="15" t="str">
        <f t="shared" si="5"/>
        <v/>
      </c>
      <c r="C45" s="7" t="str">
        <f t="shared" ca="1" si="6"/>
        <v/>
      </c>
      <c r="D45" s="10" t="s">
        <v>14</v>
      </c>
      <c r="E45" s="15">
        <f t="shared" si="0"/>
        <v>0</v>
      </c>
      <c r="F45" s="6" t="str">
        <f t="shared" ca="1" si="2"/>
        <v/>
      </c>
      <c r="G45" s="14" t="str">
        <f t="shared" ca="1" si="3"/>
        <v/>
      </c>
      <c r="I45" s="305">
        <v>2023</v>
      </c>
      <c r="J45" s="306">
        <v>8</v>
      </c>
      <c r="K45" s="306" t="s">
        <v>32</v>
      </c>
      <c r="L45" s="306">
        <v>16675</v>
      </c>
      <c r="M45" s="306">
        <v>16248</v>
      </c>
      <c r="N45" s="306">
        <v>37</v>
      </c>
      <c r="O45" s="306">
        <v>338</v>
      </c>
      <c r="P45" s="306">
        <v>86</v>
      </c>
      <c r="Q45" s="306">
        <v>2</v>
      </c>
      <c r="R45" s="24"/>
      <c r="S45" s="24"/>
      <c r="T45" s="24"/>
      <c r="W45" s="24">
        <v>2023</v>
      </c>
      <c r="X45" s="24">
        <v>8</v>
      </c>
      <c r="Y45" s="24" t="s">
        <v>33</v>
      </c>
      <c r="Z45" s="24">
        <v>330222</v>
      </c>
      <c r="AA45" s="24">
        <v>317676</v>
      </c>
      <c r="AB45" s="24">
        <v>388</v>
      </c>
      <c r="AC45" s="24">
        <v>167</v>
      </c>
      <c r="AD45" s="24"/>
      <c r="AE45" s="24"/>
      <c r="AF45" s="24"/>
      <c r="AG45" s="24"/>
      <c r="AH45" s="24"/>
      <c r="AI45" s="24"/>
      <c r="AJ45" s="24"/>
      <c r="AK45" s="24">
        <v>2023</v>
      </c>
      <c r="AL45" s="24">
        <v>8</v>
      </c>
      <c r="AM45" s="24">
        <v>22772.77</v>
      </c>
      <c r="AN45" s="24">
        <v>1085.92</v>
      </c>
      <c r="AO45" s="24">
        <v>0</v>
      </c>
      <c r="AP45" s="24">
        <v>587</v>
      </c>
      <c r="AQ45" s="24">
        <v>0</v>
      </c>
      <c r="AR45" s="24">
        <v>2</v>
      </c>
      <c r="AS45" s="24" t="s">
        <v>33</v>
      </c>
      <c r="AT45" s="24"/>
      <c r="AU45" s="24">
        <v>2023</v>
      </c>
      <c r="AV45" s="24">
        <v>8</v>
      </c>
      <c r="AW45" s="24">
        <v>0.04</v>
      </c>
      <c r="AX45" s="24">
        <v>13200</v>
      </c>
      <c r="AY45" s="24">
        <v>335877</v>
      </c>
      <c r="AZ45" s="24" t="s">
        <v>33</v>
      </c>
      <c r="BA45" s="24"/>
      <c r="BB45" s="24"/>
      <c r="BC45" s="24">
        <v>2023</v>
      </c>
      <c r="BD45" s="24">
        <v>8</v>
      </c>
      <c r="BE45" s="24">
        <v>2534.55628571429</v>
      </c>
      <c r="BF45" s="24" t="s">
        <v>33</v>
      </c>
      <c r="BG45" s="24"/>
      <c r="BI45" s="24">
        <v>2023</v>
      </c>
      <c r="BJ45" s="24">
        <v>9</v>
      </c>
      <c r="BK45" s="24" t="s">
        <v>33</v>
      </c>
      <c r="BL45" s="24" t="s">
        <v>272</v>
      </c>
      <c r="BM45" s="24">
        <v>57579</v>
      </c>
      <c r="BN45" s="24">
        <v>47844</v>
      </c>
      <c r="BO45" s="24">
        <v>206653</v>
      </c>
      <c r="BR45" s="24">
        <v>2023</v>
      </c>
      <c r="BS45" s="24">
        <v>8</v>
      </c>
      <c r="BT45" s="24">
        <v>333136</v>
      </c>
      <c r="BU45" s="24">
        <v>453</v>
      </c>
      <c r="BV45" s="24" t="s">
        <v>33</v>
      </c>
      <c r="BY45" s="24">
        <v>2023</v>
      </c>
      <c r="BZ45" s="24">
        <v>8</v>
      </c>
      <c r="CA45" s="24" t="s">
        <v>32</v>
      </c>
      <c r="CB45" s="24" t="s">
        <v>423</v>
      </c>
      <c r="CC45" s="24">
        <v>2</v>
      </c>
      <c r="CF45" s="24">
        <v>2023</v>
      </c>
      <c r="CG45" s="24">
        <v>8</v>
      </c>
      <c r="CH45" s="24" t="s">
        <v>33</v>
      </c>
      <c r="CI45" s="24">
        <v>143.17533342627445</v>
      </c>
      <c r="CJ45" s="24">
        <v>308099</v>
      </c>
      <c r="CK45" s="24">
        <v>2151.9</v>
      </c>
      <c r="CL45" s="24">
        <v>136.99063231850118</v>
      </c>
      <c r="CM45" s="24">
        <v>163459</v>
      </c>
      <c r="CN45" s="24">
        <v>315873</v>
      </c>
      <c r="CO45" s="24">
        <v>2305.8000000000002</v>
      </c>
      <c r="CP45" s="24">
        <v>50129</v>
      </c>
      <c r="CQ45" s="24">
        <v>482.3</v>
      </c>
      <c r="CR45" s="24">
        <v>4255.1000000000004</v>
      </c>
      <c r="CS45" s="24">
        <v>126404</v>
      </c>
      <c r="CT45" s="24">
        <v>126404</v>
      </c>
      <c r="CU45" s="24">
        <v>1297.8</v>
      </c>
      <c r="CV45" s="24">
        <v>83219</v>
      </c>
      <c r="CW45" s="24">
        <v>0</v>
      </c>
      <c r="CX45" s="24">
        <v>120451</v>
      </c>
      <c r="CY45" s="24">
        <v>1206.7</v>
      </c>
      <c r="CZ45" s="24">
        <v>109619</v>
      </c>
      <c r="DA45" s="24">
        <v>4255.1000000000004</v>
      </c>
      <c r="DD45" s="24">
        <v>2023</v>
      </c>
      <c r="DE45" s="24">
        <v>8</v>
      </c>
      <c r="DF45" s="24" t="s">
        <v>33</v>
      </c>
      <c r="DG45" s="24">
        <v>10948</v>
      </c>
      <c r="DH45" s="24">
        <v>26261</v>
      </c>
      <c r="DJ45" s="24">
        <v>2023</v>
      </c>
      <c r="DK45" s="24">
        <v>8</v>
      </c>
      <c r="DL45" s="24" t="s">
        <v>33</v>
      </c>
      <c r="DM45" s="24">
        <v>72</v>
      </c>
      <c r="DP45" s="24">
        <v>2023</v>
      </c>
      <c r="DQ45" s="24">
        <v>8</v>
      </c>
      <c r="DR45" s="24" t="s">
        <v>33</v>
      </c>
      <c r="DS45" s="24">
        <v>3313</v>
      </c>
      <c r="DT45" s="24">
        <v>5725</v>
      </c>
      <c r="DU45" s="24"/>
      <c r="DW45" s="24">
        <v>2023</v>
      </c>
      <c r="DX45" s="24">
        <v>8</v>
      </c>
      <c r="DY45" s="24" t="s">
        <v>32</v>
      </c>
      <c r="DZ45" s="24">
        <v>3</v>
      </c>
      <c r="EA45" s="24" t="s">
        <v>149</v>
      </c>
      <c r="EB45" s="24">
        <v>0</v>
      </c>
      <c r="EC45" s="24">
        <v>75.8</v>
      </c>
      <c r="ED45" s="24">
        <v>1966</v>
      </c>
      <c r="EE45" s="24"/>
      <c r="EF45" s="24">
        <v>9.1</v>
      </c>
      <c r="EI45" s="24">
        <v>2023</v>
      </c>
      <c r="EJ45" s="24">
        <v>47</v>
      </c>
      <c r="EK45" s="24" t="s">
        <v>237</v>
      </c>
      <c r="EL45" s="24" t="s">
        <v>557</v>
      </c>
      <c r="EM45" s="24" t="s">
        <v>234</v>
      </c>
      <c r="EN45" s="24">
        <v>11</v>
      </c>
      <c r="EO45" s="24"/>
      <c r="EP45" s="24"/>
      <c r="EQ45" s="24"/>
      <c r="ER45" s="24"/>
      <c r="ES45" s="24">
        <v>2023</v>
      </c>
      <c r="ET45" s="24">
        <v>5</v>
      </c>
      <c r="EU45" s="24" t="s">
        <v>33</v>
      </c>
      <c r="EV45" s="24">
        <v>165853</v>
      </c>
      <c r="EY45" s="24">
        <v>2023</v>
      </c>
      <c r="EZ45" s="24">
        <v>8</v>
      </c>
      <c r="FA45" s="24" t="s">
        <v>33</v>
      </c>
      <c r="FB45" s="24">
        <v>2094</v>
      </c>
      <c r="FE45" s="24">
        <v>2023</v>
      </c>
      <c r="FF45" s="24">
        <v>8</v>
      </c>
      <c r="FG45" s="24" t="s">
        <v>33</v>
      </c>
      <c r="FH45" s="24">
        <v>0.97670000000000001</v>
      </c>
      <c r="FI45" s="24">
        <v>19685</v>
      </c>
      <c r="FJ45" s="24">
        <v>8726</v>
      </c>
      <c r="FK45" s="24">
        <v>8981</v>
      </c>
      <c r="FN45" s="24">
        <v>2023</v>
      </c>
      <c r="FO45" s="24">
        <v>9</v>
      </c>
      <c r="FP45" s="24" t="s">
        <v>33</v>
      </c>
      <c r="FQ45" s="24">
        <v>1175337</v>
      </c>
      <c r="FR45" s="24">
        <v>12503.233333333301</v>
      </c>
      <c r="FS45" s="24">
        <v>346351</v>
      </c>
      <c r="FT45" s="24">
        <v>3405.6666666666697</v>
      </c>
      <c r="FW45" s="24">
        <v>2023</v>
      </c>
      <c r="FX45" s="24">
        <v>8</v>
      </c>
      <c r="FY45" s="24" t="s">
        <v>33</v>
      </c>
      <c r="FZ45" s="24">
        <v>17617</v>
      </c>
      <c r="GA45" s="24">
        <v>16109</v>
      </c>
      <c r="GB45" s="24"/>
      <c r="GC45" s="24"/>
      <c r="GD45" s="24">
        <v>2023</v>
      </c>
      <c r="GE45" s="24">
        <v>8</v>
      </c>
      <c r="GF45" s="24" t="s">
        <v>33</v>
      </c>
      <c r="GG45" s="24">
        <v>17819</v>
      </c>
      <c r="GH45" s="24">
        <v>16572</v>
      </c>
      <c r="GK45" s="24">
        <v>2023</v>
      </c>
      <c r="GL45" s="24">
        <v>6</v>
      </c>
      <c r="GM45" s="24">
        <v>44960</v>
      </c>
      <c r="GN45" s="24" t="s">
        <v>576</v>
      </c>
      <c r="GO45" s="24"/>
      <c r="GP45" s="24">
        <v>2023</v>
      </c>
      <c r="GQ45" s="24">
        <v>8</v>
      </c>
      <c r="GR45" s="24">
        <v>45.9235714285714</v>
      </c>
      <c r="GS45" s="24" t="s">
        <v>33</v>
      </c>
      <c r="GX45">
        <v>2023</v>
      </c>
      <c r="GY45">
        <v>8</v>
      </c>
      <c r="GZ45" t="s">
        <v>33</v>
      </c>
      <c r="HA45">
        <v>333298</v>
      </c>
      <c r="HB45">
        <v>324759</v>
      </c>
      <c r="HC45">
        <v>581</v>
      </c>
      <c r="HD45">
        <v>340</v>
      </c>
      <c r="HE45">
        <v>74</v>
      </c>
      <c r="HF45">
        <v>3575</v>
      </c>
      <c r="HG45">
        <v>0</v>
      </c>
      <c r="HH45">
        <v>11</v>
      </c>
      <c r="HI45">
        <v>875</v>
      </c>
      <c r="HL45">
        <v>2023</v>
      </c>
      <c r="HM45">
        <v>8</v>
      </c>
      <c r="HN45" t="s">
        <v>33</v>
      </c>
      <c r="HO45">
        <v>329892</v>
      </c>
      <c r="HP45">
        <v>324519</v>
      </c>
      <c r="HQ45">
        <v>654</v>
      </c>
      <c r="HR45">
        <v>201</v>
      </c>
      <c r="HS45">
        <v>52</v>
      </c>
      <c r="HT45">
        <v>3433</v>
      </c>
      <c r="HU45">
        <v>0</v>
      </c>
      <c r="HV45">
        <v>10</v>
      </c>
      <c r="HW45">
        <v>227</v>
      </c>
      <c r="HZ45" s="24">
        <v>2023</v>
      </c>
      <c r="IA45" s="24">
        <v>8</v>
      </c>
      <c r="IB45" s="24" t="s">
        <v>33</v>
      </c>
      <c r="IC45" s="24">
        <v>17709</v>
      </c>
      <c r="ID45" s="24">
        <v>16906</v>
      </c>
      <c r="IG45" s="24">
        <v>2023</v>
      </c>
      <c r="IH45" s="24">
        <v>8</v>
      </c>
      <c r="II45" s="24" t="s">
        <v>33</v>
      </c>
      <c r="IJ45" s="24">
        <v>16616</v>
      </c>
      <c r="IK45" s="24">
        <v>16381</v>
      </c>
    </row>
    <row r="46" spans="1:245" x14ac:dyDescent="0.4">
      <c r="A46" s="15" t="str">
        <f t="shared" si="5"/>
        <v/>
      </c>
      <c r="C46" s="7" t="str">
        <f t="shared" ca="1" si="6"/>
        <v/>
      </c>
      <c r="D46" s="10" t="s">
        <v>14</v>
      </c>
      <c r="E46" s="15">
        <f t="shared" si="0"/>
        <v>0</v>
      </c>
      <c r="F46" s="6" t="str">
        <f t="shared" ca="1" si="2"/>
        <v/>
      </c>
      <c r="G46" s="14" t="str">
        <f t="shared" ca="1" si="3"/>
        <v/>
      </c>
      <c r="I46" s="305">
        <v>2023</v>
      </c>
      <c r="J46" s="306">
        <v>8</v>
      </c>
      <c r="K46" s="306" t="s">
        <v>33</v>
      </c>
      <c r="L46" s="306">
        <v>330863</v>
      </c>
      <c r="M46" s="306">
        <v>317348</v>
      </c>
      <c r="N46" s="306">
        <v>532</v>
      </c>
      <c r="O46" s="306">
        <v>4060</v>
      </c>
      <c r="P46" s="306">
        <v>551</v>
      </c>
      <c r="Q46" s="306">
        <v>169</v>
      </c>
      <c r="R46" s="24"/>
      <c r="S46" s="24"/>
      <c r="T46" s="24"/>
      <c r="W46" s="24">
        <v>2023</v>
      </c>
      <c r="X46" s="24">
        <v>7</v>
      </c>
      <c r="Y46" s="24" t="s">
        <v>32</v>
      </c>
      <c r="Z46" s="24">
        <v>15095</v>
      </c>
      <c r="AA46" s="24">
        <v>14882</v>
      </c>
      <c r="AB46" s="24">
        <v>11</v>
      </c>
      <c r="AC46" s="24">
        <v>12</v>
      </c>
      <c r="AD46" s="24"/>
      <c r="AE46" s="24"/>
      <c r="AF46" s="24"/>
      <c r="AG46" s="24"/>
      <c r="AH46" s="24"/>
      <c r="AI46" s="24"/>
      <c r="AJ46" s="24"/>
      <c r="AK46" s="24">
        <v>2023</v>
      </c>
      <c r="AL46" s="24">
        <v>7</v>
      </c>
      <c r="AM46" s="24">
        <v>538.97</v>
      </c>
      <c r="AN46" s="24">
        <v>12.870000000000001</v>
      </c>
      <c r="AO46" s="24">
        <v>0</v>
      </c>
      <c r="AP46" s="24">
        <v>14</v>
      </c>
      <c r="AQ46" s="24">
        <v>0</v>
      </c>
      <c r="AR46" s="24">
        <v>0</v>
      </c>
      <c r="AS46" s="24" t="s">
        <v>32</v>
      </c>
      <c r="AT46" s="24"/>
      <c r="AU46" s="24">
        <v>2023</v>
      </c>
      <c r="AV46" s="24">
        <v>7</v>
      </c>
      <c r="AW46" s="24">
        <v>0.11</v>
      </c>
      <c r="AX46" s="24">
        <v>1700</v>
      </c>
      <c r="AY46" s="24">
        <v>15980</v>
      </c>
      <c r="AZ46" s="24" t="s">
        <v>32</v>
      </c>
      <c r="BA46" s="24"/>
      <c r="BB46" s="24"/>
      <c r="BC46" s="24">
        <v>2023</v>
      </c>
      <c r="BD46" s="24">
        <v>7</v>
      </c>
      <c r="BE46" s="24">
        <v>257.11700000000002</v>
      </c>
      <c r="BF46" s="24" t="s">
        <v>32</v>
      </c>
      <c r="BG46" s="24"/>
      <c r="BI46" s="24">
        <v>2023</v>
      </c>
      <c r="BJ46" s="24">
        <v>8</v>
      </c>
      <c r="BK46" s="24" t="s">
        <v>33</v>
      </c>
      <c r="BL46" s="24" t="s">
        <v>273</v>
      </c>
      <c r="BM46" s="24">
        <v>131903</v>
      </c>
      <c r="BN46" s="24">
        <v>118441</v>
      </c>
      <c r="BO46" s="24">
        <v>134434</v>
      </c>
      <c r="BR46" s="24">
        <v>2023</v>
      </c>
      <c r="BS46" s="24">
        <v>7</v>
      </c>
      <c r="BT46" s="24">
        <v>299118</v>
      </c>
      <c r="BU46" s="24">
        <v>387</v>
      </c>
      <c r="BV46" s="24" t="s">
        <v>33</v>
      </c>
      <c r="BY46" s="24">
        <v>2023</v>
      </c>
      <c r="BZ46" s="24">
        <v>8</v>
      </c>
      <c r="CA46" s="24" t="s">
        <v>33</v>
      </c>
      <c r="CB46" s="24" t="s">
        <v>108</v>
      </c>
      <c r="CC46" s="24">
        <v>1</v>
      </c>
      <c r="CF46" s="24">
        <v>2023</v>
      </c>
      <c r="CG46" s="24">
        <v>7</v>
      </c>
      <c r="CH46" s="24" t="s">
        <v>32</v>
      </c>
      <c r="CI46" s="24">
        <v>47.28</v>
      </c>
      <c r="CJ46" s="24">
        <v>14184</v>
      </c>
      <c r="CK46" s="24">
        <v>300</v>
      </c>
      <c r="CL46" s="24">
        <v>36.758817921830314</v>
      </c>
      <c r="CM46" s="24">
        <v>9160</v>
      </c>
      <c r="CN46" s="24">
        <v>15424</v>
      </c>
      <c r="CO46" s="24">
        <v>419.6</v>
      </c>
      <c r="CP46" s="24">
        <v>3827</v>
      </c>
      <c r="CQ46" s="24">
        <v>41.7</v>
      </c>
      <c r="CR46" s="24">
        <v>264.3</v>
      </c>
      <c r="CS46" s="24">
        <v>9469</v>
      </c>
      <c r="CT46" s="24">
        <v>9469</v>
      </c>
      <c r="CU46" s="24">
        <v>248</v>
      </c>
      <c r="CV46" s="24">
        <v>3441</v>
      </c>
      <c r="CW46" s="24">
        <v>0</v>
      </c>
      <c r="CX46" s="24">
        <v>9844</v>
      </c>
      <c r="CY46" s="24">
        <v>76</v>
      </c>
      <c r="CZ46" s="24">
        <v>6884</v>
      </c>
      <c r="DA46" s="24">
        <v>264.3</v>
      </c>
      <c r="DD46" s="24">
        <v>2023</v>
      </c>
      <c r="DE46" s="24">
        <v>7</v>
      </c>
      <c r="DF46" s="24" t="s">
        <v>32</v>
      </c>
      <c r="DG46" s="24">
        <v>2450</v>
      </c>
      <c r="DH46" s="24">
        <v>1901</v>
      </c>
      <c r="DJ46" s="24">
        <v>2023</v>
      </c>
      <c r="DK46" s="24">
        <v>7</v>
      </c>
      <c r="DL46" s="24" t="s">
        <v>32</v>
      </c>
      <c r="DM46" s="24">
        <v>7</v>
      </c>
      <c r="DP46" s="24">
        <v>2023</v>
      </c>
      <c r="DQ46" s="24">
        <v>7</v>
      </c>
      <c r="DR46" s="24" t="s">
        <v>32</v>
      </c>
      <c r="DS46" s="24">
        <v>694</v>
      </c>
      <c r="DT46" s="24">
        <v>599</v>
      </c>
      <c r="DU46" s="24"/>
      <c r="DW46" s="24">
        <v>2023</v>
      </c>
      <c r="DX46" s="24">
        <v>8</v>
      </c>
      <c r="DY46" s="24" t="s">
        <v>33</v>
      </c>
      <c r="DZ46" s="24">
        <v>15</v>
      </c>
      <c r="EA46" s="24" t="s">
        <v>562</v>
      </c>
      <c r="EB46" s="24">
        <v>383</v>
      </c>
      <c r="EC46" s="24">
        <v>0</v>
      </c>
      <c r="ED46" s="24">
        <v>469</v>
      </c>
      <c r="EE46" s="24">
        <v>13935</v>
      </c>
      <c r="EF46" s="24">
        <v>6</v>
      </c>
      <c r="EI46" s="24">
        <v>2023</v>
      </c>
      <c r="EJ46" s="24">
        <v>47</v>
      </c>
      <c r="EK46" s="24" t="s">
        <v>237</v>
      </c>
      <c r="EL46" s="24" t="s">
        <v>557</v>
      </c>
      <c r="EM46" s="24" t="s">
        <v>215</v>
      </c>
      <c r="EN46" s="24">
        <v>13</v>
      </c>
      <c r="EO46" s="24"/>
      <c r="EP46" s="24"/>
      <c r="EQ46" s="24"/>
      <c r="ER46" s="24"/>
      <c r="ES46" s="24">
        <v>2023</v>
      </c>
      <c r="ET46" s="24">
        <v>4</v>
      </c>
      <c r="EU46" s="24" t="s">
        <v>32</v>
      </c>
      <c r="EV46" s="24">
        <v>7337</v>
      </c>
      <c r="EY46" s="24">
        <v>2023</v>
      </c>
      <c r="EZ46" s="24">
        <v>7</v>
      </c>
      <c r="FA46" s="24" t="s">
        <v>32</v>
      </c>
      <c r="FB46" s="24">
        <v>1137</v>
      </c>
      <c r="FE46" s="24">
        <v>2023</v>
      </c>
      <c r="FF46" s="24">
        <v>7</v>
      </c>
      <c r="FG46" s="24" t="s">
        <v>32</v>
      </c>
      <c r="FH46" s="24">
        <v>0.9425</v>
      </c>
      <c r="FI46" s="24">
        <v>332</v>
      </c>
      <c r="FJ46" s="24">
        <v>158</v>
      </c>
      <c r="FK46" s="24">
        <v>168</v>
      </c>
      <c r="FN46" s="24">
        <v>2023</v>
      </c>
      <c r="FO46" s="24">
        <v>8</v>
      </c>
      <c r="FP46" s="24" t="s">
        <v>32</v>
      </c>
      <c r="FQ46" s="24">
        <v>42300</v>
      </c>
      <c r="FR46" s="24">
        <v>1297.9000000000001</v>
      </c>
      <c r="FS46" s="24">
        <v>19144</v>
      </c>
      <c r="FT46" s="24">
        <v>366.85</v>
      </c>
      <c r="FW46" s="24">
        <v>2023</v>
      </c>
      <c r="FX46" s="24">
        <v>7</v>
      </c>
      <c r="FY46" s="24" t="s">
        <v>32</v>
      </c>
      <c r="FZ46" s="24">
        <v>2804</v>
      </c>
      <c r="GA46" s="24">
        <v>2655</v>
      </c>
      <c r="GB46" s="24"/>
      <c r="GC46" s="24"/>
      <c r="GD46" s="24">
        <v>2023</v>
      </c>
      <c r="GE46" s="24">
        <v>7</v>
      </c>
      <c r="GF46" s="24" t="s">
        <v>32</v>
      </c>
      <c r="GG46" s="24">
        <v>2845</v>
      </c>
      <c r="GH46" s="24">
        <v>2801</v>
      </c>
      <c r="GK46" s="24">
        <v>2023</v>
      </c>
      <c r="GL46" s="24">
        <v>5</v>
      </c>
      <c r="GM46" s="24">
        <v>44953</v>
      </c>
      <c r="GN46" s="24" t="s">
        <v>575</v>
      </c>
      <c r="GO46" s="24"/>
      <c r="GP46" s="24">
        <v>2023</v>
      </c>
      <c r="GQ46" s="24">
        <v>7</v>
      </c>
      <c r="GR46" s="24">
        <v>2.988</v>
      </c>
      <c r="GS46" s="24" t="s">
        <v>32</v>
      </c>
      <c r="GX46">
        <v>2023</v>
      </c>
      <c r="GY46">
        <v>7</v>
      </c>
      <c r="GZ46" t="s">
        <v>32</v>
      </c>
      <c r="HA46">
        <v>15458</v>
      </c>
      <c r="HB46">
        <v>14925</v>
      </c>
      <c r="HC46">
        <v>10</v>
      </c>
      <c r="HD46">
        <v>5</v>
      </c>
      <c r="HE46">
        <v>9</v>
      </c>
      <c r="HF46">
        <v>18</v>
      </c>
      <c r="HG46">
        <v>0</v>
      </c>
      <c r="HH46">
        <v>0</v>
      </c>
      <c r="HI46">
        <v>167</v>
      </c>
      <c r="HL46">
        <v>2023</v>
      </c>
      <c r="HM46">
        <v>7</v>
      </c>
      <c r="HN46" t="s">
        <v>32</v>
      </c>
      <c r="HO46">
        <v>15072</v>
      </c>
      <c r="HP46">
        <v>14962</v>
      </c>
      <c r="HQ46">
        <v>10</v>
      </c>
      <c r="HR46">
        <v>0</v>
      </c>
      <c r="HS46">
        <v>3</v>
      </c>
      <c r="HT46">
        <v>25</v>
      </c>
      <c r="HU46">
        <v>0</v>
      </c>
      <c r="HV46">
        <v>0</v>
      </c>
      <c r="HW46">
        <v>3</v>
      </c>
      <c r="HZ46" s="24">
        <v>2023</v>
      </c>
      <c r="IA46" s="24">
        <v>7</v>
      </c>
      <c r="IB46" s="24" t="s">
        <v>32</v>
      </c>
      <c r="IC46" s="24">
        <v>2807</v>
      </c>
      <c r="ID46" s="24">
        <v>2672</v>
      </c>
      <c r="IG46" s="24">
        <v>2023</v>
      </c>
      <c r="IH46" s="24">
        <v>7</v>
      </c>
      <c r="II46" s="24" t="s">
        <v>32</v>
      </c>
      <c r="IJ46" s="24">
        <v>2809</v>
      </c>
      <c r="IK46" s="24">
        <v>2778</v>
      </c>
    </row>
    <row r="47" spans="1:245" x14ac:dyDescent="0.4">
      <c r="A47" s="15" t="str">
        <f t="shared" si="5"/>
        <v/>
      </c>
      <c r="C47" s="7" t="str">
        <f t="shared" ca="1" si="6"/>
        <v/>
      </c>
      <c r="D47" s="10" t="s">
        <v>14</v>
      </c>
      <c r="E47" s="15">
        <f t="shared" si="0"/>
        <v>0</v>
      </c>
      <c r="F47" s="6" t="str">
        <f t="shared" ca="1" si="2"/>
        <v/>
      </c>
      <c r="G47" s="14" t="str">
        <f t="shared" ca="1" si="3"/>
        <v/>
      </c>
      <c r="I47" s="305">
        <v>2023</v>
      </c>
      <c r="J47" s="306">
        <v>7</v>
      </c>
      <c r="K47" s="306" t="s">
        <v>32</v>
      </c>
      <c r="L47" s="306">
        <v>15080</v>
      </c>
      <c r="M47" s="306">
        <v>14523</v>
      </c>
      <c r="N47" s="306">
        <v>129</v>
      </c>
      <c r="O47" s="306">
        <v>367</v>
      </c>
      <c r="P47" s="306">
        <v>68</v>
      </c>
      <c r="Q47" s="306">
        <v>11</v>
      </c>
      <c r="R47" s="24"/>
      <c r="S47" s="24"/>
      <c r="T47" s="24"/>
      <c r="W47" s="24">
        <v>2023</v>
      </c>
      <c r="X47" s="24">
        <v>7</v>
      </c>
      <c r="Y47" s="24" t="s">
        <v>33</v>
      </c>
      <c r="Z47" s="24">
        <v>296370</v>
      </c>
      <c r="AA47" s="24">
        <v>288189</v>
      </c>
      <c r="AB47" s="24">
        <v>338</v>
      </c>
      <c r="AC47" s="24">
        <v>156</v>
      </c>
      <c r="AD47" s="24"/>
      <c r="AE47" s="24"/>
      <c r="AF47" s="24"/>
      <c r="AG47" s="24"/>
      <c r="AH47" s="24"/>
      <c r="AI47" s="24"/>
      <c r="AJ47" s="24"/>
      <c r="AK47" s="24">
        <v>2023</v>
      </c>
      <c r="AL47" s="24">
        <v>7</v>
      </c>
      <c r="AM47" s="24">
        <v>21708.880000000001</v>
      </c>
      <c r="AN47" s="24">
        <v>533.20000000000005</v>
      </c>
      <c r="AO47" s="24">
        <v>0</v>
      </c>
      <c r="AP47" s="24">
        <v>580</v>
      </c>
      <c r="AQ47" s="24">
        <v>0</v>
      </c>
      <c r="AR47" s="24">
        <v>5</v>
      </c>
      <c r="AS47" s="24" t="s">
        <v>33</v>
      </c>
      <c r="AT47" s="24"/>
      <c r="AU47" s="24">
        <v>2023</v>
      </c>
      <c r="AV47" s="24">
        <v>7</v>
      </c>
      <c r="AW47" s="24">
        <v>0.05</v>
      </c>
      <c r="AX47" s="24">
        <v>14800</v>
      </c>
      <c r="AY47" s="24">
        <v>300461</v>
      </c>
      <c r="AZ47" s="24" t="s">
        <v>33</v>
      </c>
      <c r="BA47" s="24"/>
      <c r="BB47" s="24"/>
      <c r="BC47" s="24">
        <v>2023</v>
      </c>
      <c r="BD47" s="24">
        <v>7</v>
      </c>
      <c r="BE47" s="24">
        <v>2572.81</v>
      </c>
      <c r="BF47" s="24" t="s">
        <v>33</v>
      </c>
      <c r="BG47" s="24"/>
      <c r="BI47" s="24">
        <v>2023</v>
      </c>
      <c r="BJ47" s="24">
        <v>8</v>
      </c>
      <c r="BK47" s="24" t="s">
        <v>32</v>
      </c>
      <c r="BL47" s="24" t="s">
        <v>273</v>
      </c>
      <c r="BM47" s="24">
        <v>7191</v>
      </c>
      <c r="BN47" s="24">
        <v>6870</v>
      </c>
      <c r="BO47" s="24">
        <v>7262</v>
      </c>
      <c r="BR47" s="24">
        <v>2023</v>
      </c>
      <c r="BS47" s="24">
        <v>7</v>
      </c>
      <c r="BT47" s="24">
        <v>15792</v>
      </c>
      <c r="BU47" s="24">
        <v>22</v>
      </c>
      <c r="BV47" s="24" t="s">
        <v>32</v>
      </c>
      <c r="BY47" s="24">
        <v>2023</v>
      </c>
      <c r="BZ47" s="24">
        <v>8</v>
      </c>
      <c r="CA47" s="24" t="s">
        <v>33</v>
      </c>
      <c r="CB47" s="24" t="s">
        <v>423</v>
      </c>
      <c r="CC47" s="24">
        <v>1</v>
      </c>
      <c r="CF47" s="24">
        <v>2023</v>
      </c>
      <c r="CG47" s="24">
        <v>7</v>
      </c>
      <c r="CH47" s="24" t="s">
        <v>33</v>
      </c>
      <c r="CI47" s="24">
        <v>138.90890790135884</v>
      </c>
      <c r="CJ47" s="24">
        <v>276012</v>
      </c>
      <c r="CK47" s="24">
        <v>1987</v>
      </c>
      <c r="CL47" s="24">
        <v>130.23091401551667</v>
      </c>
      <c r="CM47" s="24">
        <v>146418</v>
      </c>
      <c r="CN47" s="24">
        <v>283682</v>
      </c>
      <c r="CO47" s="24">
        <v>2178.3000000000002</v>
      </c>
      <c r="CP47" s="24">
        <v>66941</v>
      </c>
      <c r="CQ47" s="24">
        <v>557</v>
      </c>
      <c r="CR47" s="24">
        <v>3388</v>
      </c>
      <c r="CS47" s="24">
        <v>136053</v>
      </c>
      <c r="CT47" s="24">
        <v>136074</v>
      </c>
      <c r="CU47" s="24">
        <v>1281.4000000000001</v>
      </c>
      <c r="CV47" s="24">
        <v>76892</v>
      </c>
      <c r="CW47" s="24">
        <v>0</v>
      </c>
      <c r="CX47" s="24">
        <v>138937</v>
      </c>
      <c r="CY47" s="24">
        <v>1058</v>
      </c>
      <c r="CZ47" s="24">
        <v>95835</v>
      </c>
      <c r="DA47" s="24">
        <v>3388</v>
      </c>
      <c r="DD47" s="24">
        <v>2023</v>
      </c>
      <c r="DE47" s="24">
        <v>7</v>
      </c>
      <c r="DF47" s="24" t="s">
        <v>33</v>
      </c>
      <c r="DG47" s="24">
        <v>22007</v>
      </c>
      <c r="DH47" s="24">
        <v>27071</v>
      </c>
      <c r="DJ47" s="24">
        <v>2023</v>
      </c>
      <c r="DK47" s="24">
        <v>7</v>
      </c>
      <c r="DL47" s="24" t="s">
        <v>33</v>
      </c>
      <c r="DM47" s="24">
        <v>92</v>
      </c>
      <c r="DP47" s="24">
        <v>2023</v>
      </c>
      <c r="DQ47" s="24">
        <v>7</v>
      </c>
      <c r="DR47" s="24" t="s">
        <v>33</v>
      </c>
      <c r="DS47" s="24">
        <v>3950</v>
      </c>
      <c r="DT47" s="24">
        <v>4443</v>
      </c>
      <c r="DU47" s="24"/>
      <c r="DW47" s="24">
        <v>2023</v>
      </c>
      <c r="DX47" s="24">
        <v>8</v>
      </c>
      <c r="DY47" s="24" t="s">
        <v>33</v>
      </c>
      <c r="DZ47" s="24">
        <v>136</v>
      </c>
      <c r="EA47" s="24" t="s">
        <v>149</v>
      </c>
      <c r="EB47" s="24">
        <v>76.099999999999994</v>
      </c>
      <c r="EC47" s="24">
        <v>4194.7</v>
      </c>
      <c r="ED47" s="24">
        <v>107065</v>
      </c>
      <c r="EE47" s="24">
        <v>35030</v>
      </c>
      <c r="EF47" s="24">
        <v>399.7</v>
      </c>
      <c r="EI47" s="24">
        <v>2023</v>
      </c>
      <c r="EJ47" s="24">
        <v>47</v>
      </c>
      <c r="EK47" s="24" t="s">
        <v>237</v>
      </c>
      <c r="EL47" s="24" t="s">
        <v>554</v>
      </c>
      <c r="EM47" s="24" t="s">
        <v>210</v>
      </c>
      <c r="EN47" s="24">
        <v>1</v>
      </c>
      <c r="EO47" s="24"/>
      <c r="EP47" s="24"/>
      <c r="EQ47" s="24"/>
      <c r="ER47" s="24"/>
      <c r="ES47" s="24">
        <v>2023</v>
      </c>
      <c r="ET47" s="24">
        <v>4</v>
      </c>
      <c r="EU47" s="24" t="s">
        <v>33</v>
      </c>
      <c r="EV47" s="24">
        <v>138091</v>
      </c>
      <c r="EY47" s="24">
        <v>2023</v>
      </c>
      <c r="EZ47" s="24">
        <v>7</v>
      </c>
      <c r="FA47" s="24" t="s">
        <v>33</v>
      </c>
      <c r="FB47" s="24">
        <v>2468</v>
      </c>
      <c r="FE47" s="24">
        <v>2023</v>
      </c>
      <c r="FF47" s="24">
        <v>7</v>
      </c>
      <c r="FG47" s="24" t="s">
        <v>33</v>
      </c>
      <c r="FH47" s="24">
        <v>0.98130000000000006</v>
      </c>
      <c r="FI47" s="24">
        <v>15022</v>
      </c>
      <c r="FJ47" s="24">
        <v>6753</v>
      </c>
      <c r="FK47" s="24">
        <v>6908</v>
      </c>
      <c r="FN47" s="24">
        <v>2023</v>
      </c>
      <c r="FO47" s="24">
        <v>8</v>
      </c>
      <c r="FP47" s="24" t="s">
        <v>33</v>
      </c>
      <c r="FQ47" s="24">
        <v>1093023</v>
      </c>
      <c r="FR47" s="24">
        <v>12018.016666666701</v>
      </c>
      <c r="FS47" s="24">
        <v>283784</v>
      </c>
      <c r="FT47" s="24">
        <v>3187.4500000000003</v>
      </c>
      <c r="FW47" s="24">
        <v>2023</v>
      </c>
      <c r="FX47" s="24">
        <v>7</v>
      </c>
      <c r="FY47" s="24" t="s">
        <v>33</v>
      </c>
      <c r="FZ47" s="24">
        <v>18814</v>
      </c>
      <c r="GA47" s="24">
        <v>16886</v>
      </c>
      <c r="GB47" s="24"/>
      <c r="GC47" s="24"/>
      <c r="GD47" s="24">
        <v>2023</v>
      </c>
      <c r="GE47" s="24">
        <v>7</v>
      </c>
      <c r="GF47" s="24" t="s">
        <v>33</v>
      </c>
      <c r="GG47" s="24">
        <v>18769</v>
      </c>
      <c r="GH47" s="24">
        <v>17259</v>
      </c>
      <c r="GK47" s="24">
        <v>2023</v>
      </c>
      <c r="GL47" s="24">
        <v>4</v>
      </c>
      <c r="GM47" s="24">
        <v>44946</v>
      </c>
      <c r="GN47" s="24" t="s">
        <v>571</v>
      </c>
      <c r="GO47" s="24"/>
      <c r="GP47" s="24">
        <v>2023</v>
      </c>
      <c r="GQ47" s="24">
        <v>7</v>
      </c>
      <c r="GR47" s="24">
        <v>45.846000000000004</v>
      </c>
      <c r="GS47" s="24" t="s">
        <v>33</v>
      </c>
      <c r="GX47">
        <v>2023</v>
      </c>
      <c r="GY47">
        <v>7</v>
      </c>
      <c r="GZ47" t="s">
        <v>33</v>
      </c>
      <c r="HA47">
        <v>295798</v>
      </c>
      <c r="HB47">
        <v>289251</v>
      </c>
      <c r="HC47">
        <v>410</v>
      </c>
      <c r="HD47">
        <v>246</v>
      </c>
      <c r="HE47">
        <v>62</v>
      </c>
      <c r="HF47">
        <v>551</v>
      </c>
      <c r="HG47">
        <v>1</v>
      </c>
      <c r="HH47">
        <v>46</v>
      </c>
      <c r="HI47">
        <v>2120</v>
      </c>
      <c r="HL47">
        <v>2023</v>
      </c>
      <c r="HM47">
        <v>7</v>
      </c>
      <c r="HN47" t="s">
        <v>33</v>
      </c>
      <c r="HO47">
        <v>295948</v>
      </c>
      <c r="HP47">
        <v>293148</v>
      </c>
      <c r="HQ47">
        <v>470</v>
      </c>
      <c r="HR47">
        <v>56</v>
      </c>
      <c r="HS47">
        <v>46</v>
      </c>
      <c r="HT47">
        <v>347</v>
      </c>
      <c r="HU47">
        <v>0</v>
      </c>
      <c r="HV47">
        <v>53</v>
      </c>
      <c r="HW47">
        <v>137</v>
      </c>
      <c r="HZ47" s="24">
        <v>2023</v>
      </c>
      <c r="IA47" s="24">
        <v>7</v>
      </c>
      <c r="IB47" s="24" t="s">
        <v>33</v>
      </c>
      <c r="IC47" s="24">
        <v>18451</v>
      </c>
      <c r="ID47" s="24">
        <v>17541</v>
      </c>
      <c r="IG47" s="24">
        <v>2023</v>
      </c>
      <c r="IH47" s="24">
        <v>7</v>
      </c>
      <c r="II47" s="24" t="s">
        <v>33</v>
      </c>
      <c r="IJ47" s="24">
        <v>17701</v>
      </c>
      <c r="IK47" s="24">
        <v>17429</v>
      </c>
    </row>
    <row r="48" spans="1:245" x14ac:dyDescent="0.4">
      <c r="A48" s="15" t="str">
        <f t="shared" si="5"/>
        <v/>
      </c>
      <c r="C48" s="7" t="str">
        <f t="shared" ca="1" si="6"/>
        <v/>
      </c>
      <c r="D48" s="10" t="s">
        <v>14</v>
      </c>
      <c r="E48" s="15">
        <f t="shared" si="0"/>
        <v>0</v>
      </c>
      <c r="F48" s="6" t="str">
        <f t="shared" ca="1" si="2"/>
        <v/>
      </c>
      <c r="G48" s="14" t="str">
        <f t="shared" ca="1" si="3"/>
        <v/>
      </c>
      <c r="I48" s="305">
        <v>2023</v>
      </c>
      <c r="J48" s="306">
        <v>7</v>
      </c>
      <c r="K48" s="306" t="s">
        <v>33</v>
      </c>
      <c r="L48" s="306">
        <v>298520</v>
      </c>
      <c r="M48" s="306">
        <v>287857</v>
      </c>
      <c r="N48" s="306">
        <v>1420</v>
      </c>
      <c r="O48" s="306">
        <v>3345</v>
      </c>
      <c r="P48" s="306">
        <v>651</v>
      </c>
      <c r="Q48" s="306">
        <v>175</v>
      </c>
      <c r="R48" s="24"/>
      <c r="S48" s="24"/>
      <c r="T48" s="24"/>
      <c r="W48" s="24">
        <v>2023</v>
      </c>
      <c r="X48" s="24">
        <v>6</v>
      </c>
      <c r="Y48" s="24" t="s">
        <v>32</v>
      </c>
      <c r="Z48" s="24">
        <v>15682</v>
      </c>
      <c r="AA48" s="24">
        <v>15536</v>
      </c>
      <c r="AB48" s="24">
        <v>4</v>
      </c>
      <c r="AC48" s="24">
        <v>4</v>
      </c>
      <c r="AD48" s="24"/>
      <c r="AE48" s="24"/>
      <c r="AF48" s="24"/>
      <c r="AG48" s="24"/>
      <c r="AH48" s="24"/>
      <c r="AI48" s="24"/>
      <c r="AJ48" s="24"/>
      <c r="AK48" s="24">
        <v>2023</v>
      </c>
      <c r="AL48" s="24">
        <v>6</v>
      </c>
      <c r="AM48" s="24">
        <v>522.6</v>
      </c>
      <c r="AN48" s="24">
        <v>8.3800000000000008</v>
      </c>
      <c r="AO48" s="24">
        <v>0</v>
      </c>
      <c r="AP48" s="24">
        <v>14</v>
      </c>
      <c r="AQ48" s="24">
        <v>0</v>
      </c>
      <c r="AR48" s="24">
        <v>0</v>
      </c>
      <c r="AS48" s="24" t="s">
        <v>32</v>
      </c>
      <c r="AT48" s="24"/>
      <c r="AU48" s="24">
        <v>2023</v>
      </c>
      <c r="AV48" s="24">
        <v>6</v>
      </c>
      <c r="AW48" s="24">
        <v>0.06</v>
      </c>
      <c r="AX48" s="24">
        <v>1000</v>
      </c>
      <c r="AY48" s="24">
        <v>16009</v>
      </c>
      <c r="AZ48" s="24" t="s">
        <v>32</v>
      </c>
      <c r="BA48" s="24"/>
      <c r="BB48" s="24"/>
      <c r="BC48" s="24">
        <v>2023</v>
      </c>
      <c r="BD48" s="24">
        <v>6</v>
      </c>
      <c r="BE48" s="24">
        <v>255.694285714286</v>
      </c>
      <c r="BF48" s="24" t="s">
        <v>32</v>
      </c>
      <c r="BG48" s="24"/>
      <c r="BI48" s="24">
        <v>2023</v>
      </c>
      <c r="BJ48" s="24">
        <v>8</v>
      </c>
      <c r="BK48" s="24" t="s">
        <v>33</v>
      </c>
      <c r="BL48" s="24" t="s">
        <v>272</v>
      </c>
      <c r="BM48" s="24">
        <v>61710</v>
      </c>
      <c r="BN48" s="24">
        <v>59840</v>
      </c>
      <c r="BO48" s="24">
        <v>217006</v>
      </c>
      <c r="BR48" s="24">
        <v>2023</v>
      </c>
      <c r="BS48" s="24">
        <v>6</v>
      </c>
      <c r="BT48" s="24">
        <v>347542</v>
      </c>
      <c r="BU48" s="24">
        <v>417</v>
      </c>
      <c r="BV48" s="24" t="s">
        <v>33</v>
      </c>
      <c r="BY48" s="24">
        <v>2023</v>
      </c>
      <c r="BZ48" s="24">
        <v>7</v>
      </c>
      <c r="CA48" s="24" t="s">
        <v>32</v>
      </c>
      <c r="CB48" s="24" t="s">
        <v>423</v>
      </c>
      <c r="CC48" s="24">
        <v>2</v>
      </c>
      <c r="CF48" s="24">
        <v>2023</v>
      </c>
      <c r="CG48" s="24">
        <v>6</v>
      </c>
      <c r="CH48" s="24" t="s">
        <v>32</v>
      </c>
      <c r="CI48" s="24">
        <v>48.303805774278217</v>
      </c>
      <c r="CJ48" s="24">
        <v>14723</v>
      </c>
      <c r="CK48" s="24">
        <v>304.8</v>
      </c>
      <c r="CL48" s="24">
        <v>36.47422680412371</v>
      </c>
      <c r="CM48" s="24">
        <v>9413</v>
      </c>
      <c r="CN48" s="24">
        <v>15921</v>
      </c>
      <c r="CO48" s="24">
        <v>436.5</v>
      </c>
      <c r="CP48" s="24">
        <v>8866</v>
      </c>
      <c r="CQ48" s="24">
        <v>35.799999999999997</v>
      </c>
      <c r="CR48" s="24">
        <v>285.39999999999998</v>
      </c>
      <c r="CS48" s="24">
        <v>8789</v>
      </c>
      <c r="CT48" s="24">
        <v>8789</v>
      </c>
      <c r="CU48" s="24">
        <v>233</v>
      </c>
      <c r="CV48" s="24">
        <v>2741</v>
      </c>
      <c r="CW48" s="24">
        <v>0</v>
      </c>
      <c r="CX48" s="24">
        <v>8185</v>
      </c>
      <c r="CY48" s="24">
        <v>70.3</v>
      </c>
      <c r="CZ48" s="24">
        <v>7833</v>
      </c>
      <c r="DA48" s="24">
        <v>285.39999999999998</v>
      </c>
      <c r="DD48" s="24">
        <v>2023</v>
      </c>
      <c r="DE48" s="24">
        <v>6</v>
      </c>
      <c r="DF48" s="24" t="s">
        <v>32</v>
      </c>
      <c r="DG48" s="24">
        <v>1840</v>
      </c>
      <c r="DH48" s="24">
        <v>1766</v>
      </c>
      <c r="DJ48" s="24">
        <v>2023</v>
      </c>
      <c r="DK48" s="24">
        <v>6</v>
      </c>
      <c r="DL48" s="24" t="s">
        <v>32</v>
      </c>
      <c r="DM48" s="24">
        <v>40</v>
      </c>
      <c r="DP48" s="24">
        <v>2023</v>
      </c>
      <c r="DQ48" s="24">
        <v>6</v>
      </c>
      <c r="DR48" s="24" t="s">
        <v>32</v>
      </c>
      <c r="DS48" s="24">
        <v>744</v>
      </c>
      <c r="DT48" s="24">
        <v>718</v>
      </c>
      <c r="DU48" s="24"/>
      <c r="DW48" s="24">
        <v>2023</v>
      </c>
      <c r="DX48" s="24">
        <v>7</v>
      </c>
      <c r="DY48" s="24" t="s">
        <v>32</v>
      </c>
      <c r="DZ48" s="24">
        <v>3</v>
      </c>
      <c r="EA48" s="24" t="s">
        <v>149</v>
      </c>
      <c r="EB48" s="24">
        <v>0</v>
      </c>
      <c r="EC48" s="24">
        <v>77.8</v>
      </c>
      <c r="ED48" s="24">
        <v>1893</v>
      </c>
      <c r="EE48" s="24">
        <v>698</v>
      </c>
      <c r="EF48" s="24">
        <v>2.5</v>
      </c>
      <c r="EI48" s="24">
        <v>2023</v>
      </c>
      <c r="EJ48" s="24">
        <v>47</v>
      </c>
      <c r="EK48" s="24" t="s">
        <v>237</v>
      </c>
      <c r="EL48" s="24" t="s">
        <v>235</v>
      </c>
      <c r="EM48" s="24" t="s">
        <v>210</v>
      </c>
      <c r="EN48" s="24">
        <v>2</v>
      </c>
      <c r="EO48" s="24"/>
      <c r="EP48" s="24"/>
      <c r="EQ48" s="24"/>
      <c r="ER48" s="24"/>
      <c r="ES48" s="24">
        <v>2023</v>
      </c>
      <c r="ET48" s="24">
        <v>3</v>
      </c>
      <c r="EU48" s="24" t="s">
        <v>32</v>
      </c>
      <c r="EV48" s="24">
        <v>8151</v>
      </c>
      <c r="EY48" s="24">
        <v>2023</v>
      </c>
      <c r="EZ48" s="24">
        <v>6</v>
      </c>
      <c r="FA48" s="24" t="s">
        <v>32</v>
      </c>
      <c r="FB48" s="24">
        <v>983</v>
      </c>
      <c r="FE48" s="24">
        <v>2023</v>
      </c>
      <c r="FF48" s="24">
        <v>6</v>
      </c>
      <c r="FG48" s="24" t="s">
        <v>32</v>
      </c>
      <c r="FH48" s="24">
        <v>0.93440000000000001</v>
      </c>
      <c r="FI48" s="24">
        <v>353</v>
      </c>
      <c r="FJ48" s="24">
        <v>170</v>
      </c>
      <c r="FK48" s="24">
        <v>182</v>
      </c>
      <c r="FN48" s="24">
        <v>2023</v>
      </c>
      <c r="FO48" s="24">
        <v>7</v>
      </c>
      <c r="FP48" s="24" t="s">
        <v>32</v>
      </c>
      <c r="FQ48" s="24">
        <v>39527</v>
      </c>
      <c r="FR48" s="24">
        <v>1244.25</v>
      </c>
      <c r="FS48" s="24">
        <v>25368</v>
      </c>
      <c r="FT48" s="24">
        <v>400.45</v>
      </c>
      <c r="FW48" s="24">
        <v>2023</v>
      </c>
      <c r="FX48" s="24">
        <v>6</v>
      </c>
      <c r="FY48" s="24" t="s">
        <v>32</v>
      </c>
      <c r="FZ48" s="24">
        <v>3034</v>
      </c>
      <c r="GA48" s="24">
        <v>2882</v>
      </c>
      <c r="GB48" s="24"/>
      <c r="GC48" s="24"/>
      <c r="GD48" s="24">
        <v>2023</v>
      </c>
      <c r="GE48" s="24">
        <v>6</v>
      </c>
      <c r="GF48" s="24" t="s">
        <v>32</v>
      </c>
      <c r="GG48" s="24">
        <v>2952</v>
      </c>
      <c r="GH48" s="24">
        <v>2917</v>
      </c>
      <c r="GK48" s="24">
        <v>2023</v>
      </c>
      <c r="GL48" s="24">
        <v>3</v>
      </c>
      <c r="GM48" s="24">
        <v>44939</v>
      </c>
      <c r="GN48" s="24" t="s">
        <v>570</v>
      </c>
      <c r="GO48" s="24"/>
      <c r="GP48" s="24">
        <v>2023</v>
      </c>
      <c r="GQ48" s="24">
        <v>6</v>
      </c>
      <c r="GR48" s="24">
        <v>2.9887142857142899</v>
      </c>
      <c r="GS48" s="24" t="s">
        <v>32</v>
      </c>
      <c r="GX48">
        <v>2023</v>
      </c>
      <c r="GY48">
        <v>6</v>
      </c>
      <c r="GZ48" t="s">
        <v>32</v>
      </c>
      <c r="HA48">
        <v>15624</v>
      </c>
      <c r="HB48">
        <v>15159</v>
      </c>
      <c r="HC48">
        <v>31</v>
      </c>
      <c r="HD48">
        <v>1</v>
      </c>
      <c r="HE48">
        <v>7</v>
      </c>
      <c r="HF48">
        <v>10</v>
      </c>
      <c r="HG48">
        <v>0</v>
      </c>
      <c r="HH48">
        <v>0</v>
      </c>
      <c r="HI48">
        <v>39</v>
      </c>
      <c r="HL48">
        <v>2023</v>
      </c>
      <c r="HM48">
        <v>6</v>
      </c>
      <c r="HN48" t="s">
        <v>32</v>
      </c>
      <c r="HO48">
        <v>15647</v>
      </c>
      <c r="HP48">
        <v>15547</v>
      </c>
      <c r="HQ48">
        <v>37</v>
      </c>
      <c r="HR48">
        <v>2</v>
      </c>
      <c r="HS48">
        <v>2</v>
      </c>
      <c r="HT48">
        <v>16</v>
      </c>
      <c r="HU48">
        <v>0</v>
      </c>
      <c r="HV48">
        <v>0</v>
      </c>
      <c r="HW48">
        <v>1</v>
      </c>
      <c r="HZ48" s="24">
        <v>2023</v>
      </c>
      <c r="IA48" s="24">
        <v>6</v>
      </c>
      <c r="IB48" s="24" t="s">
        <v>32</v>
      </c>
      <c r="IC48" s="24">
        <v>3008</v>
      </c>
      <c r="ID48" s="24">
        <v>2829</v>
      </c>
      <c r="IG48" s="24">
        <v>2023</v>
      </c>
      <c r="IH48" s="24">
        <v>6</v>
      </c>
      <c r="II48" s="24" t="s">
        <v>32</v>
      </c>
      <c r="IJ48" s="24">
        <v>2915</v>
      </c>
      <c r="IK48" s="24">
        <v>2891</v>
      </c>
    </row>
    <row r="49" spans="1:245" x14ac:dyDescent="0.4">
      <c r="A49" s="15" t="str">
        <f t="shared" si="5"/>
        <v/>
      </c>
      <c r="C49" s="7" t="str">
        <f t="shared" ca="1" si="6"/>
        <v/>
      </c>
      <c r="D49" s="10" t="s">
        <v>14</v>
      </c>
      <c r="E49" s="15">
        <f t="shared" si="0"/>
        <v>0</v>
      </c>
      <c r="F49" s="6" t="str">
        <f t="shared" ca="1" si="2"/>
        <v/>
      </c>
      <c r="G49" s="14" t="str">
        <f t="shared" ca="1" si="3"/>
        <v/>
      </c>
      <c r="I49" s="305">
        <v>2023</v>
      </c>
      <c r="J49" s="306">
        <v>6</v>
      </c>
      <c r="K49" s="306" t="s">
        <v>32</v>
      </c>
      <c r="L49" s="306">
        <v>15751</v>
      </c>
      <c r="M49" s="306">
        <v>15297</v>
      </c>
      <c r="N49" s="306">
        <v>31</v>
      </c>
      <c r="O49" s="306">
        <v>363</v>
      </c>
      <c r="P49" s="306">
        <v>55</v>
      </c>
      <c r="Q49" s="306">
        <v>5</v>
      </c>
      <c r="R49" s="24"/>
      <c r="S49" s="24"/>
      <c r="T49" s="24"/>
      <c r="W49" s="24">
        <v>2023</v>
      </c>
      <c r="X49" s="24">
        <v>6</v>
      </c>
      <c r="Y49" s="24" t="s">
        <v>33</v>
      </c>
      <c r="Z49" s="24">
        <v>343296</v>
      </c>
      <c r="AA49" s="24">
        <v>329927</v>
      </c>
      <c r="AB49" s="24">
        <v>417</v>
      </c>
      <c r="AC49" s="24">
        <v>109</v>
      </c>
      <c r="AD49" s="24"/>
      <c r="AE49" s="24"/>
      <c r="AF49" s="24"/>
      <c r="AG49" s="24"/>
      <c r="AH49" s="24"/>
      <c r="AI49" s="24"/>
      <c r="AJ49" s="24"/>
      <c r="AK49" s="24">
        <v>2023</v>
      </c>
      <c r="AL49" s="24">
        <v>6</v>
      </c>
      <c r="AM49" s="24">
        <v>22029.350000000002</v>
      </c>
      <c r="AN49" s="24">
        <v>941.33</v>
      </c>
      <c r="AO49" s="24">
        <v>0</v>
      </c>
      <c r="AP49" s="24">
        <v>572</v>
      </c>
      <c r="AQ49" s="24">
        <v>0</v>
      </c>
      <c r="AR49" s="24">
        <v>1</v>
      </c>
      <c r="AS49" s="24" t="s">
        <v>33</v>
      </c>
      <c r="AT49" s="24"/>
      <c r="AU49" s="24">
        <v>2023</v>
      </c>
      <c r="AV49" s="24">
        <v>6</v>
      </c>
      <c r="AW49" s="24">
        <v>0.04</v>
      </c>
      <c r="AX49" s="24">
        <v>15400</v>
      </c>
      <c r="AY49" s="24">
        <v>348864</v>
      </c>
      <c r="AZ49" s="24" t="s">
        <v>33</v>
      </c>
      <c r="BA49" s="24"/>
      <c r="BB49" s="24"/>
      <c r="BC49" s="24">
        <v>2023</v>
      </c>
      <c r="BD49" s="24">
        <v>6</v>
      </c>
      <c r="BE49" s="24">
        <v>2621.6058571428598</v>
      </c>
      <c r="BF49" s="24" t="s">
        <v>33</v>
      </c>
      <c r="BG49" s="24"/>
      <c r="BI49" s="24">
        <v>2023</v>
      </c>
      <c r="BJ49" s="24">
        <v>8</v>
      </c>
      <c r="BK49" s="24" t="s">
        <v>32</v>
      </c>
      <c r="BL49" s="24" t="s">
        <v>272</v>
      </c>
      <c r="BM49" s="24">
        <v>2969</v>
      </c>
      <c r="BN49" s="24">
        <v>2906</v>
      </c>
      <c r="BO49" s="24">
        <v>9801</v>
      </c>
      <c r="BR49" s="24">
        <v>2023</v>
      </c>
      <c r="BS49" s="24">
        <v>6</v>
      </c>
      <c r="BT49" s="24">
        <v>15894</v>
      </c>
      <c r="BU49" s="24">
        <v>47</v>
      </c>
      <c r="BV49" s="24" t="s">
        <v>32</v>
      </c>
      <c r="BY49" s="24">
        <v>2023</v>
      </c>
      <c r="BZ49" s="24">
        <v>7</v>
      </c>
      <c r="CA49" s="24" t="s">
        <v>33</v>
      </c>
      <c r="CB49" s="24" t="s">
        <v>108</v>
      </c>
      <c r="CC49" s="24">
        <v>2</v>
      </c>
      <c r="CF49" s="24">
        <v>2023</v>
      </c>
      <c r="CG49" s="24">
        <v>6</v>
      </c>
      <c r="CH49" s="24" t="s">
        <v>33</v>
      </c>
      <c r="CI49" s="24">
        <v>151.02940484591861</v>
      </c>
      <c r="CJ49" s="24">
        <v>321013</v>
      </c>
      <c r="CK49" s="24">
        <v>2125.5</v>
      </c>
      <c r="CL49" s="24">
        <v>135.38609014888843</v>
      </c>
      <c r="CM49" s="24">
        <v>168685</v>
      </c>
      <c r="CN49" s="24">
        <v>331899</v>
      </c>
      <c r="CO49" s="24">
        <v>2451.5</v>
      </c>
      <c r="CP49" s="24">
        <v>101791</v>
      </c>
      <c r="CQ49" s="24">
        <v>388.2</v>
      </c>
      <c r="CR49" s="24">
        <v>3403.8</v>
      </c>
      <c r="CS49" s="24">
        <v>132899</v>
      </c>
      <c r="CT49" s="24">
        <v>131991</v>
      </c>
      <c r="CU49" s="24">
        <v>1325.1</v>
      </c>
      <c r="CV49" s="24">
        <v>70152</v>
      </c>
      <c r="CW49" s="24">
        <v>0</v>
      </c>
      <c r="CX49" s="24">
        <v>136259</v>
      </c>
      <c r="CY49" s="24">
        <v>1076.3</v>
      </c>
      <c r="CZ49" s="24">
        <v>90769</v>
      </c>
      <c r="DA49" s="24">
        <v>3403.8</v>
      </c>
      <c r="DD49" s="24">
        <v>2023</v>
      </c>
      <c r="DE49" s="24">
        <v>6</v>
      </c>
      <c r="DF49" s="24" t="s">
        <v>33</v>
      </c>
      <c r="DG49" s="24">
        <v>18146</v>
      </c>
      <c r="DH49" s="24">
        <v>28585</v>
      </c>
      <c r="DJ49" s="24">
        <v>2023</v>
      </c>
      <c r="DK49" s="24">
        <v>6</v>
      </c>
      <c r="DL49" s="24" t="s">
        <v>33</v>
      </c>
      <c r="DM49" s="24">
        <v>107</v>
      </c>
      <c r="DP49" s="24">
        <v>2023</v>
      </c>
      <c r="DQ49" s="24">
        <v>6</v>
      </c>
      <c r="DR49" s="24" t="s">
        <v>33</v>
      </c>
      <c r="DS49" s="24">
        <v>3842</v>
      </c>
      <c r="DT49" s="24">
        <v>6017</v>
      </c>
      <c r="DU49" s="24"/>
      <c r="DW49" s="24">
        <v>2023</v>
      </c>
      <c r="DX49" s="24">
        <v>7</v>
      </c>
      <c r="DY49" s="24" t="s">
        <v>33</v>
      </c>
      <c r="DZ49" s="24">
        <v>15</v>
      </c>
      <c r="EA49" s="24" t="s">
        <v>562</v>
      </c>
      <c r="EB49" s="24">
        <v>474.5</v>
      </c>
      <c r="EC49" s="24">
        <v>0</v>
      </c>
      <c r="ED49" s="24">
        <v>167</v>
      </c>
      <c r="EE49" s="24">
        <v>17943</v>
      </c>
      <c r="EF49" s="24">
        <v>23.2</v>
      </c>
      <c r="EI49" s="24">
        <v>2023</v>
      </c>
      <c r="EJ49" s="24">
        <v>47</v>
      </c>
      <c r="EK49" s="24" t="s">
        <v>237</v>
      </c>
      <c r="EL49" s="24" t="s">
        <v>235</v>
      </c>
      <c r="EM49" s="24" t="s">
        <v>234</v>
      </c>
      <c r="EN49" s="24">
        <v>2</v>
      </c>
      <c r="EO49" s="24"/>
      <c r="EP49" s="24"/>
      <c r="EQ49" s="24"/>
      <c r="ER49" s="24"/>
      <c r="ES49" s="24">
        <v>2023</v>
      </c>
      <c r="ET49" s="24">
        <v>3</v>
      </c>
      <c r="EU49" s="24" t="s">
        <v>33</v>
      </c>
      <c r="EV49" s="24">
        <v>150150</v>
      </c>
      <c r="EY49" s="24">
        <v>2023</v>
      </c>
      <c r="EZ49" s="24">
        <v>6</v>
      </c>
      <c r="FA49" s="24" t="s">
        <v>33</v>
      </c>
      <c r="FB49" s="24">
        <v>1187</v>
      </c>
      <c r="FE49" s="24">
        <v>2023</v>
      </c>
      <c r="FF49" s="24">
        <v>6</v>
      </c>
      <c r="FG49" s="24" t="s">
        <v>33</v>
      </c>
      <c r="FH49" s="24">
        <v>0.97199999999999998</v>
      </c>
      <c r="FI49" s="24">
        <v>18310</v>
      </c>
      <c r="FJ49" s="24">
        <v>8260</v>
      </c>
      <c r="FK49" s="24">
        <v>8541</v>
      </c>
      <c r="FN49" s="24">
        <v>2023</v>
      </c>
      <c r="FO49" s="24">
        <v>7</v>
      </c>
      <c r="FP49" s="24" t="s">
        <v>33</v>
      </c>
      <c r="FQ49" s="24">
        <v>980165</v>
      </c>
      <c r="FR49" s="24">
        <v>10650.9666666667</v>
      </c>
      <c r="FS49" s="24">
        <v>327134</v>
      </c>
      <c r="FT49" s="24">
        <v>3095.0833333333298</v>
      </c>
      <c r="FW49" s="24">
        <v>2023</v>
      </c>
      <c r="FX49" s="24">
        <v>6</v>
      </c>
      <c r="FY49" s="24" t="s">
        <v>33</v>
      </c>
      <c r="FZ49" s="24">
        <v>19792</v>
      </c>
      <c r="GA49" s="24">
        <v>17956</v>
      </c>
      <c r="GB49" s="24"/>
      <c r="GC49" s="24"/>
      <c r="GD49" s="24">
        <v>2023</v>
      </c>
      <c r="GE49" s="24">
        <v>6</v>
      </c>
      <c r="GF49" s="24" t="s">
        <v>33</v>
      </c>
      <c r="GG49" s="24">
        <v>19604</v>
      </c>
      <c r="GH49" s="24">
        <v>17968</v>
      </c>
      <c r="GK49" s="24">
        <v>2023</v>
      </c>
      <c r="GL49" s="24">
        <v>2</v>
      </c>
      <c r="GM49" s="24">
        <v>44932</v>
      </c>
      <c r="GN49" s="24" t="s">
        <v>569</v>
      </c>
      <c r="GO49" s="24"/>
      <c r="GP49" s="24">
        <v>2023</v>
      </c>
      <c r="GQ49" s="24">
        <v>6</v>
      </c>
      <c r="GR49" s="24">
        <v>45.840428571428603</v>
      </c>
      <c r="GS49" s="24" t="s">
        <v>33</v>
      </c>
      <c r="GX49">
        <v>2023</v>
      </c>
      <c r="GY49">
        <v>6</v>
      </c>
      <c r="GZ49" t="s">
        <v>33</v>
      </c>
      <c r="HA49">
        <v>345448</v>
      </c>
      <c r="HB49">
        <v>336326</v>
      </c>
      <c r="HC49">
        <v>445</v>
      </c>
      <c r="HD49">
        <v>277</v>
      </c>
      <c r="HE49">
        <v>70</v>
      </c>
      <c r="HF49">
        <v>974</v>
      </c>
      <c r="HG49">
        <v>0</v>
      </c>
      <c r="HH49">
        <v>593</v>
      </c>
      <c r="HI49">
        <v>1323</v>
      </c>
      <c r="HL49">
        <v>2023</v>
      </c>
      <c r="HM49">
        <v>6</v>
      </c>
      <c r="HN49" t="s">
        <v>33</v>
      </c>
      <c r="HO49">
        <v>343018</v>
      </c>
      <c r="HP49">
        <v>336667</v>
      </c>
      <c r="HQ49">
        <v>513</v>
      </c>
      <c r="HR49">
        <v>114</v>
      </c>
      <c r="HS49">
        <v>46</v>
      </c>
      <c r="HT49">
        <v>812</v>
      </c>
      <c r="HU49">
        <v>0</v>
      </c>
      <c r="HV49">
        <v>578</v>
      </c>
      <c r="HW49">
        <v>282</v>
      </c>
      <c r="HZ49" s="24">
        <v>2023</v>
      </c>
      <c r="IA49" s="24">
        <v>6</v>
      </c>
      <c r="IB49" s="24" t="s">
        <v>33</v>
      </c>
      <c r="IC49" s="24">
        <v>19758</v>
      </c>
      <c r="ID49" s="24">
        <v>18858</v>
      </c>
      <c r="IG49" s="24">
        <v>2023</v>
      </c>
      <c r="IH49" s="24">
        <v>6</v>
      </c>
      <c r="II49" s="24" t="s">
        <v>33</v>
      </c>
      <c r="IJ49" s="24">
        <v>18135</v>
      </c>
      <c r="IK49" s="24">
        <v>17691</v>
      </c>
    </row>
    <row r="50" spans="1:245" x14ac:dyDescent="0.4">
      <c r="A50" s="15" t="str">
        <f t="shared" si="5"/>
        <v/>
      </c>
      <c r="C50" s="7" t="str">
        <f t="shared" ca="1" si="6"/>
        <v/>
      </c>
      <c r="D50" s="10" t="s">
        <v>16</v>
      </c>
      <c r="E50" s="15">
        <f t="shared" si="0"/>
        <v>0</v>
      </c>
      <c r="F50" s="6" t="str">
        <f t="shared" ca="1" si="2"/>
        <v/>
      </c>
      <c r="G50" s="14" t="str">
        <f t="shared" ca="1" si="3"/>
        <v/>
      </c>
      <c r="I50" s="305">
        <v>2023</v>
      </c>
      <c r="J50" s="306">
        <v>6</v>
      </c>
      <c r="K50" s="306" t="s">
        <v>33</v>
      </c>
      <c r="L50" s="306">
        <v>346882</v>
      </c>
      <c r="M50" s="306">
        <v>332211</v>
      </c>
      <c r="N50" s="306">
        <v>908</v>
      </c>
      <c r="O50" s="306">
        <v>4210</v>
      </c>
      <c r="P50" s="306">
        <v>534</v>
      </c>
      <c r="Q50" s="306">
        <v>123</v>
      </c>
      <c r="R50" s="24"/>
      <c r="S50" s="24"/>
      <c r="T50" s="24"/>
      <c r="W50" s="24">
        <v>2023</v>
      </c>
      <c r="X50" s="24">
        <v>5</v>
      </c>
      <c r="Y50" s="24" t="s">
        <v>32</v>
      </c>
      <c r="Z50" s="24">
        <v>21731</v>
      </c>
      <c r="AA50" s="24">
        <v>20534</v>
      </c>
      <c r="AB50" s="24">
        <v>14</v>
      </c>
      <c r="AC50" s="24">
        <v>9</v>
      </c>
      <c r="AD50" s="24"/>
      <c r="AE50" s="24"/>
      <c r="AF50" s="24"/>
      <c r="AG50" s="24"/>
      <c r="AH50" s="24"/>
      <c r="AI50" s="24"/>
      <c r="AJ50" s="24"/>
      <c r="AK50" s="24">
        <v>2023</v>
      </c>
      <c r="AL50" s="24">
        <v>5</v>
      </c>
      <c r="AM50" s="24">
        <v>567.55000000000007</v>
      </c>
      <c r="AN50" s="24">
        <v>22.37</v>
      </c>
      <c r="AO50" s="24">
        <v>0</v>
      </c>
      <c r="AP50" s="24">
        <v>14</v>
      </c>
      <c r="AQ50" s="24">
        <v>0</v>
      </c>
      <c r="AR50" s="24">
        <v>0</v>
      </c>
      <c r="AS50" s="24" t="s">
        <v>32</v>
      </c>
      <c r="AT50" s="24"/>
      <c r="AU50" s="24">
        <v>2023</v>
      </c>
      <c r="AV50" s="24">
        <v>5</v>
      </c>
      <c r="AW50" s="24">
        <v>0.11</v>
      </c>
      <c r="AX50" s="24">
        <v>2400</v>
      </c>
      <c r="AY50" s="24">
        <v>21140</v>
      </c>
      <c r="AZ50" s="24" t="s">
        <v>32</v>
      </c>
      <c r="BA50" s="24"/>
      <c r="BB50" s="24"/>
      <c r="BC50" s="24">
        <v>2023</v>
      </c>
      <c r="BD50" s="24">
        <v>5</v>
      </c>
      <c r="BE50" s="24">
        <v>260.39042857142897</v>
      </c>
      <c r="BF50" s="24" t="s">
        <v>32</v>
      </c>
      <c r="BG50" s="24"/>
      <c r="BI50" s="24">
        <v>2023</v>
      </c>
      <c r="BJ50" s="24">
        <v>7</v>
      </c>
      <c r="BK50" s="24" t="s">
        <v>33</v>
      </c>
      <c r="BL50" s="24" t="s">
        <v>272</v>
      </c>
      <c r="BM50" s="24">
        <v>54620</v>
      </c>
      <c r="BN50" s="24">
        <v>53793</v>
      </c>
      <c r="BO50" s="24">
        <v>192198</v>
      </c>
      <c r="BR50" s="24">
        <v>2023</v>
      </c>
      <c r="BS50" s="24">
        <v>5</v>
      </c>
      <c r="BT50" s="24">
        <v>340984</v>
      </c>
      <c r="BU50" s="24">
        <v>496</v>
      </c>
      <c r="BV50" s="24" t="s">
        <v>33</v>
      </c>
      <c r="BY50" s="24">
        <v>2023</v>
      </c>
      <c r="BZ50" s="24">
        <v>7</v>
      </c>
      <c r="CA50" s="24" t="s">
        <v>33</v>
      </c>
      <c r="CB50" s="24" t="s">
        <v>423</v>
      </c>
      <c r="CC50" s="24">
        <v>10</v>
      </c>
      <c r="CF50" s="24">
        <v>2023</v>
      </c>
      <c r="CG50" s="24">
        <v>5</v>
      </c>
      <c r="CH50" s="24" t="s">
        <v>32</v>
      </c>
      <c r="CI50" s="24">
        <v>60.730440097799509</v>
      </c>
      <c r="CJ50" s="24">
        <v>19871</v>
      </c>
      <c r="CK50" s="24">
        <v>327.2</v>
      </c>
      <c r="CL50" s="24">
        <v>44.69879518072289</v>
      </c>
      <c r="CM50" s="24">
        <v>13465</v>
      </c>
      <c r="CN50" s="24">
        <v>21889</v>
      </c>
      <c r="CO50" s="24">
        <v>489.7</v>
      </c>
      <c r="CP50" s="24">
        <v>9523</v>
      </c>
      <c r="CQ50" s="24">
        <v>36.700000000000003</v>
      </c>
      <c r="CR50" s="24">
        <v>301.3</v>
      </c>
      <c r="CS50" s="24">
        <v>9901</v>
      </c>
      <c r="CT50" s="24">
        <v>9901</v>
      </c>
      <c r="CU50" s="24">
        <v>250.1</v>
      </c>
      <c r="CV50" s="24">
        <v>3482</v>
      </c>
      <c r="CW50" s="24">
        <v>0</v>
      </c>
      <c r="CX50" s="24">
        <v>9587</v>
      </c>
      <c r="CY50" s="24">
        <v>67.900000000000006</v>
      </c>
      <c r="CZ50" s="24">
        <v>8535</v>
      </c>
      <c r="DA50" s="24">
        <v>301.3</v>
      </c>
      <c r="DD50" s="24">
        <v>2023</v>
      </c>
      <c r="DE50" s="24">
        <v>5</v>
      </c>
      <c r="DF50" s="24" t="s">
        <v>32</v>
      </c>
      <c r="DG50" s="24">
        <v>2389</v>
      </c>
      <c r="DH50" s="24">
        <v>1980</v>
      </c>
      <c r="DJ50" s="24">
        <v>2023</v>
      </c>
      <c r="DK50" s="24">
        <v>5</v>
      </c>
      <c r="DL50" s="24" t="s">
        <v>32</v>
      </c>
      <c r="DM50" s="24">
        <v>12</v>
      </c>
      <c r="DP50" s="24">
        <v>2023</v>
      </c>
      <c r="DQ50" s="24">
        <v>5</v>
      </c>
      <c r="DR50" s="24" t="s">
        <v>32</v>
      </c>
      <c r="DS50" s="24">
        <v>758</v>
      </c>
      <c r="DT50" s="24">
        <v>738</v>
      </c>
      <c r="DU50" s="24"/>
      <c r="DW50" s="24">
        <v>2023</v>
      </c>
      <c r="DX50" s="24">
        <v>7</v>
      </c>
      <c r="DY50" s="24" t="s">
        <v>33</v>
      </c>
      <c r="DZ50" s="24">
        <v>130</v>
      </c>
      <c r="EA50" s="24" t="s">
        <v>149</v>
      </c>
      <c r="EB50" s="24">
        <v>64.8</v>
      </c>
      <c r="EC50" s="24">
        <v>3357.7</v>
      </c>
      <c r="ED50" s="24">
        <v>94167</v>
      </c>
      <c r="EE50" s="24">
        <v>46111</v>
      </c>
      <c r="EF50" s="24">
        <v>238.9</v>
      </c>
      <c r="EI50" s="24">
        <v>2023</v>
      </c>
      <c r="EJ50" s="24">
        <v>47</v>
      </c>
      <c r="EK50" s="24" t="s">
        <v>237</v>
      </c>
      <c r="EL50" s="24" t="s">
        <v>235</v>
      </c>
      <c r="EM50" s="24" t="s">
        <v>215</v>
      </c>
      <c r="EN50" s="24">
        <v>1</v>
      </c>
      <c r="EO50" s="24"/>
      <c r="EP50" s="24"/>
      <c r="EQ50" s="24"/>
      <c r="ER50" s="24"/>
      <c r="ES50" s="24">
        <v>2023</v>
      </c>
      <c r="ET50" s="24">
        <v>2</v>
      </c>
      <c r="EU50" s="24" t="s">
        <v>32</v>
      </c>
      <c r="EV50" s="24">
        <v>7709</v>
      </c>
      <c r="EY50" s="24">
        <v>2023</v>
      </c>
      <c r="EZ50" s="24">
        <v>5</v>
      </c>
      <c r="FA50" s="24" t="s">
        <v>32</v>
      </c>
      <c r="FB50" s="24">
        <v>785</v>
      </c>
      <c r="FE50" s="24">
        <v>2023</v>
      </c>
      <c r="FF50" s="24">
        <v>5</v>
      </c>
      <c r="FG50" s="24" t="s">
        <v>32</v>
      </c>
      <c r="FH50" s="24">
        <v>0.89690000000000003</v>
      </c>
      <c r="FI50" s="24">
        <v>423</v>
      </c>
      <c r="FJ50" s="24">
        <v>200</v>
      </c>
      <c r="FK50" s="24">
        <v>223</v>
      </c>
      <c r="FN50" s="24">
        <v>2023</v>
      </c>
      <c r="FO50" s="24">
        <v>6</v>
      </c>
      <c r="FP50" s="24" t="s">
        <v>32</v>
      </c>
      <c r="FQ50" s="24">
        <v>40832</v>
      </c>
      <c r="FR50" s="24">
        <v>1321.9833333333299</v>
      </c>
      <c r="FS50" s="24">
        <v>26561</v>
      </c>
      <c r="FT50" s="24">
        <v>359.8</v>
      </c>
      <c r="FW50" s="24">
        <v>2023</v>
      </c>
      <c r="FX50" s="24">
        <v>5</v>
      </c>
      <c r="FY50" s="24" t="s">
        <v>32</v>
      </c>
      <c r="FZ50" s="24">
        <v>2449</v>
      </c>
      <c r="GA50" s="24">
        <v>2337</v>
      </c>
      <c r="GB50" s="24"/>
      <c r="GC50" s="24"/>
      <c r="GD50" s="24">
        <v>2023</v>
      </c>
      <c r="GE50" s="24">
        <v>5</v>
      </c>
      <c r="GF50" s="24" t="s">
        <v>32</v>
      </c>
      <c r="GG50" s="24">
        <v>2469</v>
      </c>
      <c r="GH50" s="24">
        <v>2412</v>
      </c>
      <c r="GK50" s="24">
        <v>2023</v>
      </c>
      <c r="GL50" s="24">
        <v>1</v>
      </c>
      <c r="GM50" s="24">
        <v>44925</v>
      </c>
      <c r="GN50" s="24" t="s">
        <v>568</v>
      </c>
      <c r="GO50" s="24"/>
      <c r="GP50" s="24">
        <v>2023</v>
      </c>
      <c r="GQ50" s="24">
        <v>5</v>
      </c>
      <c r="GR50" s="24">
        <v>2.9888571428571402</v>
      </c>
      <c r="GS50" s="24" t="s">
        <v>32</v>
      </c>
      <c r="GX50">
        <v>2023</v>
      </c>
      <c r="GY50">
        <v>5</v>
      </c>
      <c r="GZ50" t="s">
        <v>32</v>
      </c>
      <c r="HA50">
        <v>20599</v>
      </c>
      <c r="HB50">
        <v>19319</v>
      </c>
      <c r="HC50">
        <v>70</v>
      </c>
      <c r="HD50">
        <v>7</v>
      </c>
      <c r="HE50">
        <v>14</v>
      </c>
      <c r="HF50">
        <v>304</v>
      </c>
      <c r="HG50">
        <v>0</v>
      </c>
      <c r="HH50">
        <v>0</v>
      </c>
      <c r="HI50">
        <v>118</v>
      </c>
      <c r="HL50">
        <v>2023</v>
      </c>
      <c r="HM50">
        <v>5</v>
      </c>
      <c r="HN50" t="s">
        <v>32</v>
      </c>
      <c r="HO50">
        <v>21678</v>
      </c>
      <c r="HP50">
        <v>20794</v>
      </c>
      <c r="HQ50">
        <v>75</v>
      </c>
      <c r="HR50">
        <v>1</v>
      </c>
      <c r="HS50">
        <v>4</v>
      </c>
      <c r="HT50">
        <v>750</v>
      </c>
      <c r="HU50">
        <v>0</v>
      </c>
      <c r="HV50">
        <v>0</v>
      </c>
      <c r="HW50">
        <v>14</v>
      </c>
      <c r="HZ50" s="24">
        <v>2023</v>
      </c>
      <c r="IA50" s="24">
        <v>5</v>
      </c>
      <c r="IB50" s="24" t="s">
        <v>32</v>
      </c>
      <c r="IC50" s="24">
        <v>2482</v>
      </c>
      <c r="ID50" s="24">
        <v>2373</v>
      </c>
      <c r="IG50" s="24">
        <v>2023</v>
      </c>
      <c r="IH50" s="24">
        <v>5</v>
      </c>
      <c r="II50" s="24" t="s">
        <v>32</v>
      </c>
      <c r="IJ50" s="24">
        <v>2426</v>
      </c>
      <c r="IK50" s="24">
        <v>2403</v>
      </c>
    </row>
    <row r="51" spans="1:245" x14ac:dyDescent="0.4">
      <c r="A51" s="15" t="str">
        <f t="shared" si="5"/>
        <v/>
      </c>
      <c r="C51" s="7" t="str">
        <f ca="1">IFERROR(INDIRECT(B51&amp;"40"),"")</f>
        <v/>
      </c>
      <c r="D51" s="10" t="s">
        <v>15</v>
      </c>
      <c r="E51" s="15">
        <f t="shared" si="0"/>
        <v>0</v>
      </c>
      <c r="F51" s="6" t="str">
        <f t="shared" ca="1" si="2"/>
        <v/>
      </c>
      <c r="G51" s="14" t="str">
        <f t="shared" ca="1" si="3"/>
        <v/>
      </c>
      <c r="I51" s="305">
        <v>2023</v>
      </c>
      <c r="J51" s="306">
        <v>5</v>
      </c>
      <c r="K51" s="306" t="s">
        <v>32</v>
      </c>
      <c r="L51" s="306">
        <v>21647</v>
      </c>
      <c r="M51" s="306">
        <v>19774</v>
      </c>
      <c r="N51" s="306">
        <v>67</v>
      </c>
      <c r="O51" s="306">
        <v>697</v>
      </c>
      <c r="P51" s="306">
        <v>61</v>
      </c>
      <c r="Q51" s="306">
        <v>5</v>
      </c>
      <c r="R51" s="24"/>
      <c r="S51" s="24"/>
      <c r="T51" s="24"/>
      <c r="W51" s="24">
        <v>2023</v>
      </c>
      <c r="X51" s="24">
        <v>5</v>
      </c>
      <c r="Y51" s="24" t="s">
        <v>33</v>
      </c>
      <c r="Z51" s="24">
        <v>335264</v>
      </c>
      <c r="AA51" s="24">
        <v>325744</v>
      </c>
      <c r="AB51" s="24">
        <v>494</v>
      </c>
      <c r="AC51" s="24">
        <v>319</v>
      </c>
      <c r="AD51" s="24"/>
      <c r="AE51" s="24"/>
      <c r="AF51" s="24"/>
      <c r="AG51" s="24"/>
      <c r="AH51" s="24"/>
      <c r="AI51" s="24"/>
      <c r="AJ51" s="24"/>
      <c r="AK51" s="24">
        <v>2023</v>
      </c>
      <c r="AL51" s="24">
        <v>5</v>
      </c>
      <c r="AM51" s="24">
        <v>21865.38</v>
      </c>
      <c r="AN51" s="24">
        <v>1044.55</v>
      </c>
      <c r="AO51" s="24">
        <v>0</v>
      </c>
      <c r="AP51" s="24">
        <v>565</v>
      </c>
      <c r="AQ51" s="24">
        <v>0</v>
      </c>
      <c r="AR51" s="24">
        <v>2</v>
      </c>
      <c r="AS51" s="24" t="s">
        <v>33</v>
      </c>
      <c r="AT51" s="24"/>
      <c r="AU51" s="24">
        <v>2023</v>
      </c>
      <c r="AV51" s="24">
        <v>5</v>
      </c>
      <c r="AW51" s="24">
        <v>0.05</v>
      </c>
      <c r="AX51" s="24">
        <v>17300</v>
      </c>
      <c r="AY51" s="24">
        <v>342192</v>
      </c>
      <c r="AZ51" s="24" t="s">
        <v>33</v>
      </c>
      <c r="BA51" s="24"/>
      <c r="BB51" s="24"/>
      <c r="BC51" s="24">
        <v>2023</v>
      </c>
      <c r="BD51" s="24">
        <v>5</v>
      </c>
      <c r="BE51" s="24">
        <v>2688.6851428571399</v>
      </c>
      <c r="BF51" s="24" t="s">
        <v>33</v>
      </c>
      <c r="BG51" s="24"/>
      <c r="BI51" s="24">
        <v>2023</v>
      </c>
      <c r="BJ51" s="24">
        <v>7</v>
      </c>
      <c r="BK51" s="24" t="s">
        <v>32</v>
      </c>
      <c r="BL51" s="24" t="s">
        <v>273</v>
      </c>
      <c r="BM51" s="24">
        <v>6840</v>
      </c>
      <c r="BN51" s="24">
        <v>6634</v>
      </c>
      <c r="BO51" s="24">
        <v>6947</v>
      </c>
      <c r="BR51" s="24">
        <v>2023</v>
      </c>
      <c r="BS51" s="24">
        <v>5</v>
      </c>
      <c r="BT51" s="24">
        <v>20848</v>
      </c>
      <c r="BU51" s="24">
        <v>70</v>
      </c>
      <c r="BV51" s="24" t="s">
        <v>32</v>
      </c>
      <c r="BY51" s="24">
        <v>2023</v>
      </c>
      <c r="BZ51" s="24">
        <v>6</v>
      </c>
      <c r="CA51" s="24" t="s">
        <v>32</v>
      </c>
      <c r="CB51" s="24" t="s">
        <v>423</v>
      </c>
      <c r="CC51" s="24">
        <v>3</v>
      </c>
      <c r="CF51" s="24">
        <v>2023</v>
      </c>
      <c r="CG51" s="24">
        <v>5</v>
      </c>
      <c r="CH51" s="24" t="s">
        <v>33</v>
      </c>
      <c r="CI51" s="24">
        <v>150.58639449232103</v>
      </c>
      <c r="CJ51" s="24">
        <v>312783</v>
      </c>
      <c r="CK51" s="24">
        <v>2077.1</v>
      </c>
      <c r="CL51" s="24">
        <v>128.76761547367161</v>
      </c>
      <c r="CM51" s="24">
        <v>162000</v>
      </c>
      <c r="CN51" s="24">
        <v>322550</v>
      </c>
      <c r="CO51" s="24">
        <v>2504.9</v>
      </c>
      <c r="CP51" s="24">
        <v>100957</v>
      </c>
      <c r="CQ51" s="24">
        <v>477</v>
      </c>
      <c r="CR51" s="24">
        <v>3612.4</v>
      </c>
      <c r="CS51" s="24">
        <v>155259</v>
      </c>
      <c r="CT51" s="24">
        <v>155760</v>
      </c>
      <c r="CU51" s="24">
        <v>1460.3</v>
      </c>
      <c r="CV51" s="24">
        <v>71476</v>
      </c>
      <c r="CW51" s="24">
        <v>0</v>
      </c>
      <c r="CX51" s="24">
        <v>148928</v>
      </c>
      <c r="CY51" s="24">
        <v>1081.7</v>
      </c>
      <c r="CZ51" s="24">
        <v>87130</v>
      </c>
      <c r="DA51" s="24">
        <v>3612.4</v>
      </c>
      <c r="DD51" s="24">
        <v>2023</v>
      </c>
      <c r="DE51" s="24">
        <v>5</v>
      </c>
      <c r="DF51" s="24" t="s">
        <v>33</v>
      </c>
      <c r="DG51" s="24">
        <v>34355</v>
      </c>
      <c r="DH51" s="24">
        <v>28024</v>
      </c>
      <c r="DJ51" s="24">
        <v>2023</v>
      </c>
      <c r="DK51" s="24">
        <v>5</v>
      </c>
      <c r="DL51" s="24" t="s">
        <v>33</v>
      </c>
      <c r="DM51" s="24">
        <v>94</v>
      </c>
      <c r="DP51" s="24">
        <v>2023</v>
      </c>
      <c r="DQ51" s="24">
        <v>5</v>
      </c>
      <c r="DR51" s="24" t="s">
        <v>33</v>
      </c>
      <c r="DS51" s="24">
        <v>4122</v>
      </c>
      <c r="DT51" s="24">
        <v>5078</v>
      </c>
      <c r="DU51" s="24"/>
      <c r="DW51" s="24">
        <v>2023</v>
      </c>
      <c r="DX51" s="24">
        <v>6</v>
      </c>
      <c r="DY51" s="24" t="s">
        <v>32</v>
      </c>
      <c r="DZ51" s="24">
        <v>3</v>
      </c>
      <c r="EA51" s="24" t="s">
        <v>149</v>
      </c>
      <c r="EB51" s="24">
        <v>0</v>
      </c>
      <c r="EC51" s="24">
        <v>80.5</v>
      </c>
      <c r="ED51" s="24">
        <v>1889</v>
      </c>
      <c r="EE51" s="24">
        <v>1634</v>
      </c>
      <c r="EF51" s="24">
        <v>5.2</v>
      </c>
      <c r="EI51" s="24">
        <v>2023</v>
      </c>
      <c r="EJ51" s="24">
        <v>44</v>
      </c>
      <c r="EK51" s="24" t="s">
        <v>208</v>
      </c>
      <c r="EL51" s="24" t="s">
        <v>235</v>
      </c>
      <c r="EM51" s="24" t="s">
        <v>210</v>
      </c>
      <c r="EN51" s="24">
        <v>1</v>
      </c>
      <c r="EO51" s="24"/>
      <c r="EP51" s="24"/>
      <c r="EQ51" s="24"/>
      <c r="ER51" s="24"/>
      <c r="ES51" s="24">
        <v>2023</v>
      </c>
      <c r="ET51" s="24">
        <v>2</v>
      </c>
      <c r="EU51" s="24" t="s">
        <v>33</v>
      </c>
      <c r="EV51" s="24">
        <v>153936</v>
      </c>
      <c r="EY51" s="24">
        <v>2023</v>
      </c>
      <c r="EZ51" s="24">
        <v>5</v>
      </c>
      <c r="FA51" s="24" t="s">
        <v>33</v>
      </c>
      <c r="FB51" s="24">
        <v>1111</v>
      </c>
      <c r="FE51" s="24">
        <v>2023</v>
      </c>
      <c r="FF51" s="24">
        <v>5</v>
      </c>
      <c r="FG51" s="24" t="s">
        <v>33</v>
      </c>
      <c r="FH51" s="24">
        <v>0.97520000000000007</v>
      </c>
      <c r="FI51" s="24">
        <v>16914</v>
      </c>
      <c r="FJ51" s="24">
        <v>7597</v>
      </c>
      <c r="FK51" s="24">
        <v>7828</v>
      </c>
      <c r="FN51" s="24">
        <v>2023</v>
      </c>
      <c r="FO51" s="24">
        <v>6</v>
      </c>
      <c r="FP51" s="24" t="s">
        <v>33</v>
      </c>
      <c r="FQ51" s="24">
        <v>1127471</v>
      </c>
      <c r="FR51" s="24">
        <v>11882.35</v>
      </c>
      <c r="FS51" s="24">
        <v>345902</v>
      </c>
      <c r="FT51" s="24">
        <v>2967.7833333333297</v>
      </c>
      <c r="FW51" s="24">
        <v>2023</v>
      </c>
      <c r="FX51" s="24">
        <v>5</v>
      </c>
      <c r="FY51" s="24" t="s">
        <v>33</v>
      </c>
      <c r="FZ51" s="24">
        <v>16995</v>
      </c>
      <c r="GA51" s="24">
        <v>15308</v>
      </c>
      <c r="GB51" s="24"/>
      <c r="GC51" s="24"/>
      <c r="GD51" s="24">
        <v>2023</v>
      </c>
      <c r="GE51" s="24">
        <v>5</v>
      </c>
      <c r="GF51" s="24" t="s">
        <v>33</v>
      </c>
      <c r="GG51" s="24">
        <v>17057</v>
      </c>
      <c r="GH51" s="24">
        <v>15519</v>
      </c>
      <c r="GK51" s="24">
        <v>2022</v>
      </c>
      <c r="GL51" s="24">
        <v>52</v>
      </c>
      <c r="GM51" s="24">
        <v>44918</v>
      </c>
      <c r="GN51" s="24" t="s">
        <v>567</v>
      </c>
      <c r="GO51" s="24"/>
      <c r="GP51" s="24">
        <v>2023</v>
      </c>
      <c r="GQ51" s="24">
        <v>5</v>
      </c>
      <c r="GR51" s="24">
        <v>45.829571428571398</v>
      </c>
      <c r="GS51" s="24" t="s">
        <v>33</v>
      </c>
      <c r="GX51">
        <v>2023</v>
      </c>
      <c r="GY51">
        <v>5</v>
      </c>
      <c r="GZ51" t="s">
        <v>33</v>
      </c>
      <c r="HA51">
        <v>338141</v>
      </c>
      <c r="HB51">
        <v>331146</v>
      </c>
      <c r="HC51">
        <v>500</v>
      </c>
      <c r="HD51">
        <v>249</v>
      </c>
      <c r="HE51">
        <v>62</v>
      </c>
      <c r="HF51">
        <v>999</v>
      </c>
      <c r="HG51">
        <v>0</v>
      </c>
      <c r="HH51">
        <v>273</v>
      </c>
      <c r="HI51">
        <v>1706</v>
      </c>
      <c r="HL51">
        <v>2023</v>
      </c>
      <c r="HM51">
        <v>5</v>
      </c>
      <c r="HN51" t="s">
        <v>33</v>
      </c>
      <c r="HO51">
        <v>334860</v>
      </c>
      <c r="HP51">
        <v>331591</v>
      </c>
      <c r="HQ51">
        <v>556</v>
      </c>
      <c r="HR51">
        <v>84</v>
      </c>
      <c r="HS51">
        <v>41</v>
      </c>
      <c r="HT51">
        <v>818</v>
      </c>
      <c r="HU51">
        <v>0</v>
      </c>
      <c r="HV51">
        <v>258</v>
      </c>
      <c r="HW51">
        <v>171</v>
      </c>
      <c r="HZ51" s="24">
        <v>2023</v>
      </c>
      <c r="IA51" s="24">
        <v>5</v>
      </c>
      <c r="IB51" s="24" t="s">
        <v>33</v>
      </c>
      <c r="IC51" s="24">
        <v>17182</v>
      </c>
      <c r="ID51" s="24">
        <v>16401</v>
      </c>
      <c r="IG51" s="24">
        <v>2023</v>
      </c>
      <c r="IH51" s="24">
        <v>5</v>
      </c>
      <c r="II51" s="24" t="s">
        <v>33</v>
      </c>
      <c r="IJ51" s="24">
        <v>15602</v>
      </c>
      <c r="IK51" s="24">
        <v>15399</v>
      </c>
    </row>
    <row r="52" spans="1:245" x14ac:dyDescent="0.4">
      <c r="A52" s="15" t="str">
        <f t="shared" si="5"/>
        <v/>
      </c>
      <c r="C52" s="7" t="str">
        <f t="shared" ref="C52:C57" ca="1" si="7">IFERROR(INDIRECT(B52&amp;"40"),"")</f>
        <v/>
      </c>
      <c r="D52" s="10" t="s">
        <v>17</v>
      </c>
      <c r="E52" s="15">
        <f t="shared" si="0"/>
        <v>0</v>
      </c>
      <c r="F52" s="6" t="str">
        <f t="shared" ca="1" si="2"/>
        <v/>
      </c>
      <c r="G52" s="14" t="str">
        <f t="shared" ca="1" si="3"/>
        <v/>
      </c>
      <c r="I52" s="305">
        <v>2023</v>
      </c>
      <c r="J52" s="306">
        <v>5</v>
      </c>
      <c r="K52" s="306" t="s">
        <v>33</v>
      </c>
      <c r="L52" s="306">
        <v>337772</v>
      </c>
      <c r="M52" s="306">
        <v>326863</v>
      </c>
      <c r="N52" s="306">
        <v>899</v>
      </c>
      <c r="O52" s="306">
        <v>3770</v>
      </c>
      <c r="P52" s="306">
        <v>607</v>
      </c>
      <c r="Q52" s="306">
        <v>315</v>
      </c>
      <c r="R52" s="24"/>
      <c r="S52" s="24"/>
      <c r="T52" s="24"/>
      <c r="W52" s="24">
        <v>2023</v>
      </c>
      <c r="X52" s="24">
        <v>4</v>
      </c>
      <c r="Y52" s="24" t="s">
        <v>32</v>
      </c>
      <c r="Z52" s="24">
        <v>23402</v>
      </c>
      <c r="AA52" s="24">
        <v>22239</v>
      </c>
      <c r="AB52" s="24">
        <v>47</v>
      </c>
      <c r="AC52" s="24">
        <v>16</v>
      </c>
      <c r="AD52" s="24"/>
      <c r="AE52" s="24"/>
      <c r="AF52" s="24"/>
      <c r="AG52" s="24"/>
      <c r="AH52" s="24"/>
      <c r="AI52" s="24"/>
      <c r="AJ52" s="24"/>
      <c r="AK52" s="24">
        <v>2023</v>
      </c>
      <c r="AL52" s="24">
        <v>4</v>
      </c>
      <c r="AM52" s="24">
        <v>581.23</v>
      </c>
      <c r="AN52" s="24">
        <v>45.230000000000004</v>
      </c>
      <c r="AO52" s="24">
        <v>0</v>
      </c>
      <c r="AP52" s="24">
        <v>14</v>
      </c>
      <c r="AQ52" s="24">
        <v>0</v>
      </c>
      <c r="AR52" s="24">
        <v>0</v>
      </c>
      <c r="AS52" s="24" t="s">
        <v>32</v>
      </c>
      <c r="AT52" s="24"/>
      <c r="AU52" s="24">
        <v>2023</v>
      </c>
      <c r="AV52" s="24">
        <v>4</v>
      </c>
      <c r="AW52" s="24">
        <v>0.28999999999999998</v>
      </c>
      <c r="AX52" s="24">
        <v>7200</v>
      </c>
      <c r="AY52" s="24">
        <v>25194</v>
      </c>
      <c r="AZ52" s="24" t="s">
        <v>32</v>
      </c>
      <c r="BA52" s="24"/>
      <c r="BB52" s="24"/>
      <c r="BC52" s="24">
        <v>2023</v>
      </c>
      <c r="BD52" s="24">
        <v>4</v>
      </c>
      <c r="BE52" s="24">
        <v>267.18728571428602</v>
      </c>
      <c r="BF52" s="24" t="s">
        <v>32</v>
      </c>
      <c r="BG52" s="24"/>
      <c r="BI52" s="24">
        <v>2023</v>
      </c>
      <c r="BJ52" s="24">
        <v>7</v>
      </c>
      <c r="BK52" s="24" t="s">
        <v>32</v>
      </c>
      <c r="BL52" s="24" t="s">
        <v>272</v>
      </c>
      <c r="BM52" s="24">
        <v>2691</v>
      </c>
      <c r="BN52" s="24">
        <v>2618</v>
      </c>
      <c r="BO52" s="24">
        <v>9247</v>
      </c>
      <c r="BR52" s="24">
        <v>2023</v>
      </c>
      <c r="BS52" s="24">
        <v>4</v>
      </c>
      <c r="BT52" s="24">
        <v>354098</v>
      </c>
      <c r="BU52" s="24">
        <v>479</v>
      </c>
      <c r="BV52" s="24" t="s">
        <v>33</v>
      </c>
      <c r="BY52" s="24">
        <v>2023</v>
      </c>
      <c r="BZ52" s="24">
        <v>6</v>
      </c>
      <c r="CA52" s="24" t="s">
        <v>33</v>
      </c>
      <c r="CB52" s="24" t="s">
        <v>108</v>
      </c>
      <c r="CC52" s="24">
        <v>5</v>
      </c>
      <c r="CF52" s="24">
        <v>2023</v>
      </c>
      <c r="CG52" s="24">
        <v>4</v>
      </c>
      <c r="CH52" s="24" t="s">
        <v>32</v>
      </c>
      <c r="CI52" s="24">
        <v>55.477400374431667</v>
      </c>
      <c r="CJ52" s="24">
        <v>20743</v>
      </c>
      <c r="CK52" s="24">
        <v>373.9</v>
      </c>
      <c r="CL52" s="24">
        <v>45.671613027558294</v>
      </c>
      <c r="CM52" s="24">
        <v>14345</v>
      </c>
      <c r="CN52" s="24">
        <v>23699</v>
      </c>
      <c r="CO52" s="24">
        <v>518.9</v>
      </c>
      <c r="CP52" s="24">
        <v>10135</v>
      </c>
      <c r="CQ52" s="24">
        <v>42.4</v>
      </c>
      <c r="CR52" s="24">
        <v>330.7</v>
      </c>
      <c r="CS52" s="24">
        <v>9705</v>
      </c>
      <c r="CT52" s="24">
        <v>9705</v>
      </c>
      <c r="CU52" s="24">
        <v>227.7</v>
      </c>
      <c r="CV52" s="24">
        <v>4182</v>
      </c>
      <c r="CW52" s="24">
        <v>0</v>
      </c>
      <c r="CX52" s="24">
        <v>11941</v>
      </c>
      <c r="CY52" s="24">
        <v>87.4</v>
      </c>
      <c r="CZ52" s="24">
        <v>9096</v>
      </c>
      <c r="DA52" s="24">
        <v>330.7</v>
      </c>
      <c r="DD52" s="24">
        <v>2023</v>
      </c>
      <c r="DE52" s="24">
        <v>4</v>
      </c>
      <c r="DF52" s="24" t="s">
        <v>32</v>
      </c>
      <c r="DG52" s="24">
        <v>1356</v>
      </c>
      <c r="DH52" s="24">
        <v>1620</v>
      </c>
      <c r="DJ52" s="24">
        <v>2023</v>
      </c>
      <c r="DK52" s="24">
        <v>4</v>
      </c>
      <c r="DL52" s="24" t="s">
        <v>32</v>
      </c>
      <c r="DM52" s="24">
        <v>19</v>
      </c>
      <c r="DP52" s="24">
        <v>2023</v>
      </c>
      <c r="DQ52" s="24">
        <v>4</v>
      </c>
      <c r="DR52" s="24" t="s">
        <v>32</v>
      </c>
      <c r="DS52" s="24">
        <v>732</v>
      </c>
      <c r="DT52" s="24">
        <v>665</v>
      </c>
      <c r="DU52" s="24"/>
      <c r="DW52" s="24">
        <v>2023</v>
      </c>
      <c r="DX52" s="24">
        <v>6</v>
      </c>
      <c r="DY52" s="24" t="s">
        <v>33</v>
      </c>
      <c r="DZ52" s="24">
        <v>15</v>
      </c>
      <c r="EA52" s="24" t="s">
        <v>562</v>
      </c>
      <c r="EB52" s="24">
        <v>374.5</v>
      </c>
      <c r="EC52" s="24">
        <v>0</v>
      </c>
      <c r="ED52" s="24">
        <v>419</v>
      </c>
      <c r="EE52" s="24">
        <v>13523</v>
      </c>
      <c r="EF52" s="24">
        <v>5.7</v>
      </c>
      <c r="EI52" s="24">
        <v>2023</v>
      </c>
      <c r="EJ52" s="24">
        <v>12</v>
      </c>
      <c r="EK52" s="24" t="s">
        <v>237</v>
      </c>
      <c r="EL52" s="24" t="s">
        <v>555</v>
      </c>
      <c r="EM52" s="24" t="s">
        <v>210</v>
      </c>
      <c r="EN52" s="24">
        <v>1</v>
      </c>
      <c r="EO52" s="24"/>
      <c r="EP52" s="24"/>
      <c r="EQ52" s="24"/>
      <c r="ER52" s="24"/>
      <c r="ES52" s="24">
        <v>2023</v>
      </c>
      <c r="ET52" s="24">
        <v>1</v>
      </c>
      <c r="EU52" s="24" t="s">
        <v>32</v>
      </c>
      <c r="EV52" s="24">
        <v>5161</v>
      </c>
      <c r="EY52" s="24">
        <v>2023</v>
      </c>
      <c r="EZ52" s="24">
        <v>4</v>
      </c>
      <c r="FA52" s="24" t="s">
        <v>32</v>
      </c>
      <c r="FB52" s="24">
        <v>1404</v>
      </c>
      <c r="FE52" s="24">
        <v>2023</v>
      </c>
      <c r="FF52" s="24">
        <v>4</v>
      </c>
      <c r="FG52" s="24" t="s">
        <v>32</v>
      </c>
      <c r="FH52" s="24">
        <v>0.7641</v>
      </c>
      <c r="FI52" s="24">
        <v>536</v>
      </c>
      <c r="FJ52" s="24">
        <v>252</v>
      </c>
      <c r="FK52" s="24">
        <v>319</v>
      </c>
      <c r="FN52" s="24">
        <v>2023</v>
      </c>
      <c r="FO52" s="24">
        <v>5</v>
      </c>
      <c r="FP52" s="24" t="s">
        <v>32</v>
      </c>
      <c r="FQ52" s="24">
        <v>53080</v>
      </c>
      <c r="FR52" s="24">
        <v>1469.25</v>
      </c>
      <c r="FS52" s="24">
        <v>28894</v>
      </c>
      <c r="FT52" s="24">
        <v>376.1</v>
      </c>
      <c r="FW52" s="24">
        <v>2023</v>
      </c>
      <c r="FX52" s="24">
        <v>4</v>
      </c>
      <c r="FY52" s="24" t="s">
        <v>32</v>
      </c>
      <c r="FZ52" s="24">
        <v>2998</v>
      </c>
      <c r="GA52" s="24">
        <v>2628</v>
      </c>
      <c r="GB52" s="24"/>
      <c r="GC52" s="24"/>
      <c r="GD52" s="24">
        <v>2023</v>
      </c>
      <c r="GE52" s="24">
        <v>4</v>
      </c>
      <c r="GF52" s="24" t="s">
        <v>32</v>
      </c>
      <c r="GG52" s="24">
        <v>3035</v>
      </c>
      <c r="GH52" s="24">
        <v>2868</v>
      </c>
      <c r="GK52" s="24">
        <v>2022</v>
      </c>
      <c r="GL52" s="24">
        <v>51</v>
      </c>
      <c r="GM52" s="24">
        <v>44911</v>
      </c>
      <c r="GN52" s="24" t="s">
        <v>564</v>
      </c>
      <c r="GO52" s="24"/>
      <c r="GP52" s="24">
        <v>2023</v>
      </c>
      <c r="GQ52" s="24">
        <v>4</v>
      </c>
      <c r="GR52" s="24">
        <v>2.9897142857142902</v>
      </c>
      <c r="GS52" s="24" t="s">
        <v>32</v>
      </c>
      <c r="GX52">
        <v>2023</v>
      </c>
      <c r="GY52">
        <v>4</v>
      </c>
      <c r="GZ52" t="s">
        <v>32</v>
      </c>
      <c r="HA52">
        <v>24245</v>
      </c>
      <c r="HB52">
        <v>21764</v>
      </c>
      <c r="HC52">
        <v>58</v>
      </c>
      <c r="HD52">
        <v>11</v>
      </c>
      <c r="HE52">
        <v>25</v>
      </c>
      <c r="HF52">
        <v>997</v>
      </c>
      <c r="HG52">
        <v>1</v>
      </c>
      <c r="HH52">
        <v>0</v>
      </c>
      <c r="HI52">
        <v>116</v>
      </c>
      <c r="HL52">
        <v>2023</v>
      </c>
      <c r="HM52">
        <v>4</v>
      </c>
      <c r="HN52" t="s">
        <v>32</v>
      </c>
      <c r="HO52">
        <v>23328</v>
      </c>
      <c r="HP52">
        <v>22538</v>
      </c>
      <c r="HQ52">
        <v>65</v>
      </c>
      <c r="HR52">
        <v>4</v>
      </c>
      <c r="HS52">
        <v>9</v>
      </c>
      <c r="HT52">
        <v>662</v>
      </c>
      <c r="HU52">
        <v>1</v>
      </c>
      <c r="HV52">
        <v>0</v>
      </c>
      <c r="HW52">
        <v>15</v>
      </c>
      <c r="HZ52" s="24">
        <v>2023</v>
      </c>
      <c r="IA52" s="24">
        <v>4</v>
      </c>
      <c r="IB52" s="24" t="s">
        <v>32</v>
      </c>
      <c r="IC52" s="24">
        <v>2967</v>
      </c>
      <c r="ID52" s="24">
        <v>2596</v>
      </c>
      <c r="IG52" s="24">
        <v>2023</v>
      </c>
      <c r="IH52" s="24">
        <v>4</v>
      </c>
      <c r="II52" s="24" t="s">
        <v>32</v>
      </c>
      <c r="IJ52" s="24">
        <v>2910</v>
      </c>
      <c r="IK52" s="24">
        <v>2818</v>
      </c>
    </row>
    <row r="53" spans="1:245" x14ac:dyDescent="0.4">
      <c r="A53" s="15" t="str">
        <f t="shared" si="5"/>
        <v/>
      </c>
      <c r="C53" s="7" t="str">
        <f t="shared" ca="1" si="7"/>
        <v/>
      </c>
      <c r="D53" s="10" t="s">
        <v>18</v>
      </c>
      <c r="E53" s="15">
        <f t="shared" si="0"/>
        <v>0</v>
      </c>
      <c r="F53" s="6" t="str">
        <f t="shared" ca="1" si="2"/>
        <v/>
      </c>
      <c r="G53" s="14" t="str">
        <f t="shared" ca="1" si="3"/>
        <v/>
      </c>
      <c r="I53" s="305">
        <v>2023</v>
      </c>
      <c r="J53" s="306">
        <v>4</v>
      </c>
      <c r="K53" s="306" t="s">
        <v>32</v>
      </c>
      <c r="L53" s="306">
        <v>24213</v>
      </c>
      <c r="M53" s="306">
        <v>22049</v>
      </c>
      <c r="N53" s="306">
        <v>83</v>
      </c>
      <c r="O53" s="306">
        <v>1126</v>
      </c>
      <c r="P53" s="306">
        <v>161</v>
      </c>
      <c r="Q53" s="306">
        <v>18</v>
      </c>
      <c r="R53" s="24"/>
      <c r="S53" s="24"/>
      <c r="T53" s="24"/>
      <c r="W53" s="24">
        <v>2023</v>
      </c>
      <c r="X53" s="24">
        <v>4</v>
      </c>
      <c r="Y53" s="24" t="s">
        <v>33</v>
      </c>
      <c r="Z53" s="24">
        <v>350877</v>
      </c>
      <c r="AA53" s="24">
        <v>341595</v>
      </c>
      <c r="AB53" s="24">
        <v>485</v>
      </c>
      <c r="AC53" s="24">
        <v>119</v>
      </c>
      <c r="AD53" s="24"/>
      <c r="AE53" s="24"/>
      <c r="AF53" s="24"/>
      <c r="AG53" s="24"/>
      <c r="AH53" s="24"/>
      <c r="AI53" s="24"/>
      <c r="AJ53" s="24"/>
      <c r="AK53" s="24">
        <v>2023</v>
      </c>
      <c r="AL53" s="24">
        <v>4</v>
      </c>
      <c r="AM53" s="24">
        <v>22335.07</v>
      </c>
      <c r="AN53" s="24">
        <v>1623.55</v>
      </c>
      <c r="AO53" s="24">
        <v>0</v>
      </c>
      <c r="AP53" s="24">
        <v>557</v>
      </c>
      <c r="AQ53" s="24">
        <v>0</v>
      </c>
      <c r="AR53" s="24">
        <v>3</v>
      </c>
      <c r="AS53" s="24" t="s">
        <v>33</v>
      </c>
      <c r="AT53" s="24"/>
      <c r="AU53" s="24">
        <v>2023</v>
      </c>
      <c r="AV53" s="24">
        <v>4</v>
      </c>
      <c r="AW53" s="24">
        <v>0.04</v>
      </c>
      <c r="AX53" s="24">
        <v>15100</v>
      </c>
      <c r="AY53" s="24">
        <v>354981</v>
      </c>
      <c r="AZ53" s="24" t="s">
        <v>33</v>
      </c>
      <c r="BA53" s="24"/>
      <c r="BB53" s="24"/>
      <c r="BC53" s="24">
        <v>2023</v>
      </c>
      <c r="BD53" s="24">
        <v>4</v>
      </c>
      <c r="BE53" s="24">
        <v>2735.3961428571397</v>
      </c>
      <c r="BF53" s="24" t="s">
        <v>33</v>
      </c>
      <c r="BG53" s="24"/>
      <c r="BI53" s="24">
        <v>2023</v>
      </c>
      <c r="BJ53" s="24">
        <v>7</v>
      </c>
      <c r="BK53" s="24" t="s">
        <v>33</v>
      </c>
      <c r="BL53" s="24" t="s">
        <v>273</v>
      </c>
      <c r="BM53" s="24">
        <v>113450</v>
      </c>
      <c r="BN53" s="24">
        <v>106431</v>
      </c>
      <c r="BO53" s="24">
        <v>116196</v>
      </c>
      <c r="BR53" s="24">
        <v>2023</v>
      </c>
      <c r="BS53" s="24">
        <v>4</v>
      </c>
      <c r="BT53" s="24">
        <v>24521</v>
      </c>
      <c r="BU53" s="24">
        <v>65</v>
      </c>
      <c r="BV53" s="24" t="s">
        <v>32</v>
      </c>
      <c r="BY53" s="24">
        <v>2023</v>
      </c>
      <c r="BZ53" s="24">
        <v>6</v>
      </c>
      <c r="CA53" s="24" t="s">
        <v>33</v>
      </c>
      <c r="CB53" s="24" t="s">
        <v>423</v>
      </c>
      <c r="CC53" s="24">
        <v>62</v>
      </c>
      <c r="CF53" s="24">
        <v>2023</v>
      </c>
      <c r="CG53" s="24">
        <v>4</v>
      </c>
      <c r="CH53" s="24" t="s">
        <v>33</v>
      </c>
      <c r="CI53" s="24">
        <v>155.15155847869602</v>
      </c>
      <c r="CJ53" s="24">
        <v>325539</v>
      </c>
      <c r="CK53" s="24">
        <v>2098.1999999999998</v>
      </c>
      <c r="CL53" s="24">
        <v>136.24541527426848</v>
      </c>
      <c r="CM53" s="24">
        <v>163878</v>
      </c>
      <c r="CN53" s="24">
        <v>334319</v>
      </c>
      <c r="CO53" s="24">
        <v>2453.8000000000002</v>
      </c>
      <c r="CP53" s="24">
        <v>108649</v>
      </c>
      <c r="CQ53" s="24">
        <v>691.6</v>
      </c>
      <c r="CR53" s="24">
        <v>3588.5</v>
      </c>
      <c r="CS53" s="24">
        <v>149512</v>
      </c>
      <c r="CT53" s="24">
        <v>149512</v>
      </c>
      <c r="CU53" s="24">
        <v>1400.3</v>
      </c>
      <c r="CV53" s="24">
        <v>83022</v>
      </c>
      <c r="CW53" s="24">
        <v>0</v>
      </c>
      <c r="CX53" s="24">
        <v>144691</v>
      </c>
      <c r="CY53" s="24">
        <v>1082.7</v>
      </c>
      <c r="CZ53" s="24">
        <v>86491</v>
      </c>
      <c r="DA53" s="24">
        <v>3588.5</v>
      </c>
      <c r="DD53" s="24">
        <v>2023</v>
      </c>
      <c r="DE53" s="24">
        <v>4</v>
      </c>
      <c r="DF53" s="24" t="s">
        <v>33</v>
      </c>
      <c r="DG53" s="24">
        <v>42176</v>
      </c>
      <c r="DH53" s="24">
        <v>23769</v>
      </c>
      <c r="DJ53" s="24">
        <v>2023</v>
      </c>
      <c r="DK53" s="24">
        <v>4</v>
      </c>
      <c r="DL53" s="24" t="s">
        <v>33</v>
      </c>
      <c r="DM53" s="24">
        <v>18</v>
      </c>
      <c r="DP53" s="24">
        <v>2023</v>
      </c>
      <c r="DQ53" s="24">
        <v>4</v>
      </c>
      <c r="DR53" s="24" t="s">
        <v>33</v>
      </c>
      <c r="DS53" s="24">
        <v>4205</v>
      </c>
      <c r="DT53" s="24">
        <v>5258</v>
      </c>
      <c r="DU53" s="24"/>
      <c r="DW53" s="24">
        <v>2023</v>
      </c>
      <c r="DX53" s="24">
        <v>6</v>
      </c>
      <c r="DY53" s="24" t="s">
        <v>33</v>
      </c>
      <c r="DZ53" s="24">
        <v>123</v>
      </c>
      <c r="EA53" s="24" t="s">
        <v>149</v>
      </c>
      <c r="EB53" s="24">
        <v>13.7</v>
      </c>
      <c r="EC53" s="24">
        <v>3361</v>
      </c>
      <c r="ED53" s="24">
        <v>87953</v>
      </c>
      <c r="EE53" s="24">
        <v>87400</v>
      </c>
      <c r="EF53" s="24">
        <v>315.2</v>
      </c>
      <c r="EI53" s="24">
        <v>2023</v>
      </c>
      <c r="EJ53" s="24">
        <v>12</v>
      </c>
      <c r="EK53" s="24" t="s">
        <v>237</v>
      </c>
      <c r="EL53" s="24" t="s">
        <v>557</v>
      </c>
      <c r="EM53" s="24" t="s">
        <v>210</v>
      </c>
      <c r="EN53" s="24">
        <v>4</v>
      </c>
      <c r="EO53" s="24"/>
      <c r="EP53" s="24"/>
      <c r="EQ53" s="24"/>
      <c r="ER53" s="24"/>
      <c r="ES53" s="24">
        <v>2023</v>
      </c>
      <c r="ET53" s="24">
        <v>1</v>
      </c>
      <c r="EU53" s="24" t="s">
        <v>33</v>
      </c>
      <c r="EV53" s="24">
        <v>100060</v>
      </c>
      <c r="EY53" s="24">
        <v>2023</v>
      </c>
      <c r="EZ53" s="24">
        <v>4</v>
      </c>
      <c r="FA53" s="24" t="s">
        <v>33</v>
      </c>
      <c r="FB53" s="24">
        <v>1459</v>
      </c>
      <c r="FE53" s="24">
        <v>2023</v>
      </c>
      <c r="FF53" s="24">
        <v>4</v>
      </c>
      <c r="FG53" s="24" t="s">
        <v>33</v>
      </c>
      <c r="FH53" s="24">
        <v>0.96590000000000009</v>
      </c>
      <c r="FI53" s="24">
        <v>17153</v>
      </c>
      <c r="FJ53" s="24">
        <v>7801</v>
      </c>
      <c r="FK53" s="24">
        <v>8120</v>
      </c>
      <c r="FN53" s="24">
        <v>2023</v>
      </c>
      <c r="FO53" s="24">
        <v>5</v>
      </c>
      <c r="FP53" s="24" t="s">
        <v>33</v>
      </c>
      <c r="FQ53" s="24">
        <v>1102364</v>
      </c>
      <c r="FR53" s="24">
        <v>11961.35</v>
      </c>
      <c r="FS53" s="24">
        <v>392892</v>
      </c>
      <c r="FT53" s="24">
        <v>3249.35</v>
      </c>
      <c r="FW53" s="24">
        <v>2023</v>
      </c>
      <c r="FX53" s="24">
        <v>4</v>
      </c>
      <c r="FY53" s="24" t="s">
        <v>33</v>
      </c>
      <c r="FZ53" s="24">
        <v>17485</v>
      </c>
      <c r="GA53" s="24">
        <v>15785</v>
      </c>
      <c r="GB53" s="24"/>
      <c r="GC53" s="24"/>
      <c r="GD53" s="24">
        <v>2023</v>
      </c>
      <c r="GE53" s="24">
        <v>4</v>
      </c>
      <c r="GF53" s="24" t="s">
        <v>33</v>
      </c>
      <c r="GG53" s="24">
        <v>17383</v>
      </c>
      <c r="GH53" s="24">
        <v>15956</v>
      </c>
      <c r="GK53" s="24">
        <v>2022</v>
      </c>
      <c r="GL53" s="24">
        <v>50</v>
      </c>
      <c r="GM53" s="24">
        <v>44904</v>
      </c>
      <c r="GN53" s="24" t="s">
        <v>565</v>
      </c>
      <c r="GO53" s="24"/>
      <c r="GP53" s="24">
        <v>2023</v>
      </c>
      <c r="GQ53" s="24">
        <v>4</v>
      </c>
      <c r="GR53" s="24">
        <v>45.380857142857103</v>
      </c>
      <c r="GS53" s="24" t="s">
        <v>33</v>
      </c>
      <c r="GX53">
        <v>2023</v>
      </c>
      <c r="GY53">
        <v>4</v>
      </c>
      <c r="GZ53" t="s">
        <v>33</v>
      </c>
      <c r="HA53">
        <v>351867</v>
      </c>
      <c r="HB53">
        <v>343820</v>
      </c>
      <c r="HC53">
        <v>505</v>
      </c>
      <c r="HD53">
        <v>300</v>
      </c>
      <c r="HE53">
        <v>104</v>
      </c>
      <c r="HF53">
        <v>2652</v>
      </c>
      <c r="HG53">
        <v>0</v>
      </c>
      <c r="HH53">
        <v>310</v>
      </c>
      <c r="HI53">
        <v>1406</v>
      </c>
      <c r="HL53">
        <v>2023</v>
      </c>
      <c r="HM53">
        <v>4</v>
      </c>
      <c r="HN53" t="s">
        <v>33</v>
      </c>
      <c r="HO53">
        <v>350466</v>
      </c>
      <c r="HP53">
        <v>346048</v>
      </c>
      <c r="HQ53">
        <v>585</v>
      </c>
      <c r="HR53">
        <v>157</v>
      </c>
      <c r="HS53">
        <v>82</v>
      </c>
      <c r="HT53">
        <v>2450</v>
      </c>
      <c r="HU53">
        <v>0</v>
      </c>
      <c r="HV53">
        <v>293</v>
      </c>
      <c r="HW53">
        <v>172</v>
      </c>
      <c r="HZ53" s="24">
        <v>2023</v>
      </c>
      <c r="IA53" s="24">
        <v>4</v>
      </c>
      <c r="IB53" s="24" t="s">
        <v>33</v>
      </c>
      <c r="IC53" s="24">
        <v>17565</v>
      </c>
      <c r="ID53" s="24">
        <v>16617</v>
      </c>
      <c r="IG53" s="24">
        <v>2023</v>
      </c>
      <c r="IH53" s="24">
        <v>4</v>
      </c>
      <c r="II53" s="24" t="s">
        <v>33</v>
      </c>
      <c r="IJ53" s="24">
        <v>15965</v>
      </c>
      <c r="IK53" s="24">
        <v>15759</v>
      </c>
    </row>
    <row r="54" spans="1:245" x14ac:dyDescent="0.4">
      <c r="C54" s="7" t="str">
        <f t="shared" ca="1" si="7"/>
        <v/>
      </c>
      <c r="E54" s="15"/>
      <c r="F54" s="6" t="str">
        <f t="shared" ref="F54:F60" ca="1" si="8">IFERROR(OFFSET(INDIRECT(B54&amp;"40"), 0,2),"")</f>
        <v/>
      </c>
      <c r="G54" s="14" t="str">
        <f t="shared" ref="G54:G60" ca="1" si="9">IFERROR(OFFSET(INDIRECT(B54&amp;"40"),0,1),"")</f>
        <v/>
      </c>
      <c r="I54" s="305">
        <v>2023</v>
      </c>
      <c r="J54" s="306">
        <v>4</v>
      </c>
      <c r="K54" s="306" t="s">
        <v>33</v>
      </c>
      <c r="L54" s="306">
        <v>353515</v>
      </c>
      <c r="M54" s="306">
        <v>342716</v>
      </c>
      <c r="N54" s="306">
        <v>910</v>
      </c>
      <c r="O54" s="306">
        <v>3702</v>
      </c>
      <c r="P54" s="306">
        <v>693</v>
      </c>
      <c r="Q54" s="306">
        <v>146</v>
      </c>
      <c r="R54" s="24"/>
      <c r="S54" s="24"/>
      <c r="T54" s="24"/>
      <c r="W54" s="24">
        <v>2023</v>
      </c>
      <c r="X54" s="24">
        <v>3</v>
      </c>
      <c r="Y54" s="24" t="s">
        <v>32</v>
      </c>
      <c r="Z54" s="24">
        <v>16774</v>
      </c>
      <c r="AA54" s="24">
        <v>16158</v>
      </c>
      <c r="AB54" s="24">
        <v>35</v>
      </c>
      <c r="AC54" s="24">
        <v>1</v>
      </c>
      <c r="AD54" s="24"/>
      <c r="AE54" s="24"/>
      <c r="AF54" s="24"/>
      <c r="AG54" s="24"/>
      <c r="AH54" s="24"/>
      <c r="AI54" s="24"/>
      <c r="AJ54" s="24"/>
      <c r="AK54" s="24">
        <v>2023</v>
      </c>
      <c r="AL54" s="24">
        <v>3</v>
      </c>
      <c r="AM54" s="24">
        <v>506.98</v>
      </c>
      <c r="AN54" s="24">
        <v>28.93</v>
      </c>
      <c r="AO54" s="24">
        <v>0</v>
      </c>
      <c r="AP54" s="24">
        <v>14</v>
      </c>
      <c r="AQ54" s="24">
        <v>0</v>
      </c>
      <c r="AR54" s="24">
        <v>0</v>
      </c>
      <c r="AS54" s="24" t="s">
        <v>32</v>
      </c>
      <c r="AT54" s="24"/>
      <c r="AU54" s="24">
        <v>2023</v>
      </c>
      <c r="AV54" s="24">
        <v>3</v>
      </c>
      <c r="AW54" s="24">
        <v>0.19</v>
      </c>
      <c r="AX54" s="24">
        <v>3500</v>
      </c>
      <c r="AY54" s="24">
        <v>18288</v>
      </c>
      <c r="AZ54" s="24" t="s">
        <v>32</v>
      </c>
      <c r="BA54" s="24"/>
      <c r="BB54" s="24"/>
      <c r="BC54" s="24">
        <v>2023</v>
      </c>
      <c r="BD54" s="24">
        <v>3</v>
      </c>
      <c r="BE54" s="24">
        <v>271.12471428571399</v>
      </c>
      <c r="BF54" s="24" t="s">
        <v>32</v>
      </c>
      <c r="BG54" s="24"/>
      <c r="BI54" s="24">
        <v>2023</v>
      </c>
      <c r="BJ54" s="24">
        <v>6</v>
      </c>
      <c r="BK54" s="24" t="s">
        <v>33</v>
      </c>
      <c r="BL54" s="24" t="s">
        <v>272</v>
      </c>
      <c r="BM54" s="24">
        <v>63264</v>
      </c>
      <c r="BN54" s="24">
        <v>62798</v>
      </c>
      <c r="BO54" s="24">
        <v>225730</v>
      </c>
      <c r="BR54" s="24">
        <v>2023</v>
      </c>
      <c r="BS54" s="24">
        <v>3</v>
      </c>
      <c r="BT54" s="24">
        <v>345298</v>
      </c>
      <c r="BU54" s="24">
        <v>438</v>
      </c>
      <c r="BV54" s="24" t="s">
        <v>33</v>
      </c>
      <c r="BY54" s="24">
        <v>2023</v>
      </c>
      <c r="BZ54" s="24">
        <v>5</v>
      </c>
      <c r="CA54" s="24" t="s">
        <v>32</v>
      </c>
      <c r="CB54" s="24" t="s">
        <v>423</v>
      </c>
      <c r="CC54" s="24">
        <v>4</v>
      </c>
      <c r="CF54" s="24">
        <v>2023</v>
      </c>
      <c r="CG54" s="24">
        <v>3</v>
      </c>
      <c r="CH54" s="24" t="s">
        <v>32</v>
      </c>
      <c r="CI54" s="24">
        <v>40.827716365597198</v>
      </c>
      <c r="CJ54" s="24">
        <v>15143</v>
      </c>
      <c r="CK54" s="24">
        <v>370.9</v>
      </c>
      <c r="CL54" s="24">
        <v>43.491820040899796</v>
      </c>
      <c r="CM54" s="24">
        <v>10289</v>
      </c>
      <c r="CN54" s="24">
        <v>17014</v>
      </c>
      <c r="CO54" s="24">
        <v>391.2</v>
      </c>
      <c r="CP54" s="24">
        <v>9816</v>
      </c>
      <c r="CQ54" s="24">
        <v>14.9</v>
      </c>
      <c r="CR54" s="24">
        <v>350.6</v>
      </c>
      <c r="CS54" s="24">
        <v>8074</v>
      </c>
      <c r="CT54" s="24">
        <v>8074</v>
      </c>
      <c r="CU54" s="24">
        <v>204.9</v>
      </c>
      <c r="CV54" s="24">
        <v>3891</v>
      </c>
      <c r="CW54" s="24">
        <v>0</v>
      </c>
      <c r="CX54" s="24">
        <v>7018</v>
      </c>
      <c r="CY54" s="24">
        <v>88.4</v>
      </c>
      <c r="CZ54" s="24">
        <v>9844</v>
      </c>
      <c r="DA54" s="24">
        <v>350.6</v>
      </c>
      <c r="DD54" s="24">
        <v>2023</v>
      </c>
      <c r="DE54" s="24">
        <v>3</v>
      </c>
      <c r="DF54" s="24" t="s">
        <v>32</v>
      </c>
      <c r="DG54" s="24">
        <v>914</v>
      </c>
      <c r="DH54" s="24">
        <v>1614</v>
      </c>
      <c r="DJ54" s="24">
        <v>2023</v>
      </c>
      <c r="DK54" s="24">
        <v>3</v>
      </c>
      <c r="DL54" s="24" t="s">
        <v>32</v>
      </c>
      <c r="DM54" s="24">
        <v>4</v>
      </c>
      <c r="DP54" s="24">
        <v>2023</v>
      </c>
      <c r="DQ54" s="24">
        <v>3</v>
      </c>
      <c r="DR54" s="24" t="s">
        <v>32</v>
      </c>
      <c r="DS54" s="24">
        <v>694</v>
      </c>
      <c r="DT54" s="24">
        <v>729</v>
      </c>
      <c r="DU54" s="24"/>
      <c r="DW54" s="24">
        <v>2023</v>
      </c>
      <c r="DX54" s="24">
        <v>5</v>
      </c>
      <c r="DY54" s="24" t="s">
        <v>32</v>
      </c>
      <c r="DZ54" s="24">
        <v>3</v>
      </c>
      <c r="EA54" s="24" t="s">
        <v>149</v>
      </c>
      <c r="EB54" s="24">
        <v>0</v>
      </c>
      <c r="EC54" s="24">
        <v>82.2</v>
      </c>
      <c r="ED54" s="24">
        <v>1932</v>
      </c>
      <c r="EE54" s="24">
        <v>1688</v>
      </c>
      <c r="EF54" s="24">
        <v>6.3</v>
      </c>
      <c r="EI54" s="24">
        <v>2023</v>
      </c>
      <c r="EJ54" s="24">
        <v>12</v>
      </c>
      <c r="EK54" s="24" t="s">
        <v>237</v>
      </c>
      <c r="EL54" s="24" t="s">
        <v>554</v>
      </c>
      <c r="EM54" s="24" t="s">
        <v>210</v>
      </c>
      <c r="EN54" s="24">
        <v>1</v>
      </c>
      <c r="EO54" s="24"/>
      <c r="EP54" s="24"/>
      <c r="EQ54" s="24"/>
      <c r="ER54" s="24"/>
      <c r="ES54" s="24">
        <v>2022</v>
      </c>
      <c r="ET54" s="24">
        <v>52</v>
      </c>
      <c r="EU54" s="24" t="s">
        <v>32</v>
      </c>
      <c r="EV54" s="24">
        <v>5555</v>
      </c>
      <c r="EY54" s="24">
        <v>2023</v>
      </c>
      <c r="EZ54" s="24">
        <v>3</v>
      </c>
      <c r="FA54" s="24" t="s">
        <v>32</v>
      </c>
      <c r="FB54" s="24">
        <v>996</v>
      </c>
      <c r="FE54" s="24">
        <v>2023</v>
      </c>
      <c r="FF54" s="24">
        <v>3</v>
      </c>
      <c r="FG54" s="24" t="s">
        <v>32</v>
      </c>
      <c r="FH54" s="24">
        <v>0.86110000000000009</v>
      </c>
      <c r="FI54" s="24">
        <v>461</v>
      </c>
      <c r="FJ54" s="24">
        <v>209</v>
      </c>
      <c r="FK54" s="24">
        <v>244</v>
      </c>
      <c r="FN54" s="24">
        <v>2023</v>
      </c>
      <c r="FO54" s="24">
        <v>4</v>
      </c>
      <c r="FP54" s="24" t="s">
        <v>32</v>
      </c>
      <c r="FQ54" s="24">
        <v>56417</v>
      </c>
      <c r="FR54" s="24">
        <v>1512.75</v>
      </c>
      <c r="FS54" s="24">
        <v>31862</v>
      </c>
      <c r="FT54" s="24">
        <v>377.01666666666699</v>
      </c>
      <c r="FW54" s="24">
        <v>2023</v>
      </c>
      <c r="FX54" s="24">
        <v>3</v>
      </c>
      <c r="FY54" s="24" t="s">
        <v>32</v>
      </c>
      <c r="FZ54" s="24">
        <v>2265</v>
      </c>
      <c r="GA54" s="24">
        <v>2057</v>
      </c>
      <c r="GB54" s="24"/>
      <c r="GC54" s="24"/>
      <c r="GD54" s="24">
        <v>2023</v>
      </c>
      <c r="GE54" s="24">
        <v>3</v>
      </c>
      <c r="GF54" s="24" t="s">
        <v>32</v>
      </c>
      <c r="GG54" s="24">
        <v>2271</v>
      </c>
      <c r="GH54" s="24">
        <v>2123</v>
      </c>
      <c r="GK54" s="24">
        <v>2022</v>
      </c>
      <c r="GL54" s="24">
        <v>49</v>
      </c>
      <c r="GM54" s="24">
        <v>44897</v>
      </c>
      <c r="GN54" s="24" t="s">
        <v>563</v>
      </c>
      <c r="GO54" s="24"/>
      <c r="GP54" s="24">
        <v>2023</v>
      </c>
      <c r="GQ54" s="24">
        <v>3</v>
      </c>
      <c r="GR54" s="24">
        <v>2.9822857142857102</v>
      </c>
      <c r="GS54" s="24" t="s">
        <v>32</v>
      </c>
      <c r="GX54">
        <v>2023</v>
      </c>
      <c r="GY54">
        <v>3</v>
      </c>
      <c r="GZ54" t="s">
        <v>32</v>
      </c>
      <c r="HA54">
        <v>17815</v>
      </c>
      <c r="HB54">
        <v>16767</v>
      </c>
      <c r="HC54">
        <v>44</v>
      </c>
      <c r="HD54">
        <v>16</v>
      </c>
      <c r="HE54">
        <v>15</v>
      </c>
      <c r="HF54">
        <v>448</v>
      </c>
      <c r="HG54">
        <v>1</v>
      </c>
      <c r="HH54">
        <v>0</v>
      </c>
      <c r="HI54">
        <v>101</v>
      </c>
      <c r="HL54">
        <v>2023</v>
      </c>
      <c r="HM54">
        <v>3</v>
      </c>
      <c r="HN54" t="s">
        <v>32</v>
      </c>
      <c r="HO54">
        <v>16730</v>
      </c>
      <c r="HP54">
        <v>16092</v>
      </c>
      <c r="HQ54">
        <v>59</v>
      </c>
      <c r="HR54">
        <v>13</v>
      </c>
      <c r="HS54">
        <v>11</v>
      </c>
      <c r="HT54">
        <v>537</v>
      </c>
      <c r="HU54">
        <v>0</v>
      </c>
      <c r="HV54">
        <v>0</v>
      </c>
      <c r="HW54">
        <v>6</v>
      </c>
      <c r="HZ54" s="24">
        <v>2023</v>
      </c>
      <c r="IA54" s="24">
        <v>3</v>
      </c>
      <c r="IB54" s="24" t="s">
        <v>32</v>
      </c>
      <c r="IC54" s="24">
        <v>2305</v>
      </c>
      <c r="ID54" s="24">
        <v>2075</v>
      </c>
      <c r="IG54" s="24">
        <v>2023</v>
      </c>
      <c r="IH54" s="24">
        <v>3</v>
      </c>
      <c r="II54" s="24" t="s">
        <v>32</v>
      </c>
      <c r="IJ54" s="24">
        <v>2228</v>
      </c>
      <c r="IK54" s="24">
        <v>2113</v>
      </c>
    </row>
    <row r="55" spans="1:245" x14ac:dyDescent="0.4">
      <c r="C55" s="7" t="str">
        <f t="shared" ca="1" si="7"/>
        <v/>
      </c>
      <c r="E55" s="15"/>
      <c r="F55" s="6" t="str">
        <f t="shared" ca="1" si="8"/>
        <v/>
      </c>
      <c r="G55" s="14" t="str">
        <f t="shared" ca="1" si="9"/>
        <v/>
      </c>
      <c r="I55" s="305">
        <v>2023</v>
      </c>
      <c r="J55" s="306">
        <v>3</v>
      </c>
      <c r="K55" s="306" t="s">
        <v>32</v>
      </c>
      <c r="L55" s="306">
        <v>16674</v>
      </c>
      <c r="M55" s="306">
        <v>15797</v>
      </c>
      <c r="N55" s="306">
        <v>64</v>
      </c>
      <c r="O55" s="306">
        <v>572</v>
      </c>
      <c r="P55" s="306">
        <v>101</v>
      </c>
      <c r="Q55" s="306">
        <v>5</v>
      </c>
      <c r="R55" s="24"/>
      <c r="S55" s="24"/>
      <c r="T55" s="24"/>
      <c r="W55" s="24">
        <v>2023</v>
      </c>
      <c r="X55" s="24">
        <v>3</v>
      </c>
      <c r="Y55" s="24" t="s">
        <v>33</v>
      </c>
      <c r="Z55" s="24">
        <v>339051</v>
      </c>
      <c r="AA55" s="24">
        <v>331181</v>
      </c>
      <c r="AB55" s="24">
        <v>475</v>
      </c>
      <c r="AC55" s="24">
        <v>76</v>
      </c>
      <c r="AD55" s="24"/>
      <c r="AE55" s="24"/>
      <c r="AF55" s="24"/>
      <c r="AG55" s="24"/>
      <c r="AH55" s="24"/>
      <c r="AI55" s="24"/>
      <c r="AJ55" s="24"/>
      <c r="AK55" s="24">
        <v>2023</v>
      </c>
      <c r="AL55" s="24">
        <v>3</v>
      </c>
      <c r="AM55" s="24">
        <v>21953.05</v>
      </c>
      <c r="AN55" s="24">
        <v>1307.8700000000001</v>
      </c>
      <c r="AO55" s="24">
        <v>0</v>
      </c>
      <c r="AP55" s="24">
        <v>555</v>
      </c>
      <c r="AQ55" s="24">
        <v>0</v>
      </c>
      <c r="AR55" s="24">
        <v>3</v>
      </c>
      <c r="AS55" s="24" t="s">
        <v>33</v>
      </c>
      <c r="AT55" s="24"/>
      <c r="AU55" s="24">
        <v>2023</v>
      </c>
      <c r="AV55" s="24">
        <v>3</v>
      </c>
      <c r="AW55" s="24">
        <v>0.05</v>
      </c>
      <c r="AX55" s="24">
        <v>18700</v>
      </c>
      <c r="AY55" s="24">
        <v>347542</v>
      </c>
      <c r="AZ55" s="24" t="s">
        <v>33</v>
      </c>
      <c r="BA55" s="24"/>
      <c r="BB55" s="24"/>
      <c r="BC55" s="24">
        <v>2023</v>
      </c>
      <c r="BD55" s="24">
        <v>3</v>
      </c>
      <c r="BE55" s="24">
        <v>2762.5214285714296</v>
      </c>
      <c r="BF55" s="24" t="s">
        <v>33</v>
      </c>
      <c r="BG55" s="24"/>
      <c r="BI55" s="24">
        <v>2023</v>
      </c>
      <c r="BJ55" s="24">
        <v>6</v>
      </c>
      <c r="BK55" s="24" t="s">
        <v>32</v>
      </c>
      <c r="BL55" s="24" t="s">
        <v>273</v>
      </c>
      <c r="BM55" s="24">
        <v>6783</v>
      </c>
      <c r="BN55" s="24">
        <v>6645</v>
      </c>
      <c r="BO55" s="24">
        <v>6865</v>
      </c>
      <c r="BR55" s="24">
        <v>2023</v>
      </c>
      <c r="BS55" s="24">
        <v>3</v>
      </c>
      <c r="BT55" s="24">
        <v>18075</v>
      </c>
      <c r="BU55" s="24">
        <v>52</v>
      </c>
      <c r="BV55" s="24" t="s">
        <v>32</v>
      </c>
      <c r="BY55" s="24">
        <v>2023</v>
      </c>
      <c r="BZ55" s="24">
        <v>5</v>
      </c>
      <c r="CA55" s="24" t="s">
        <v>33</v>
      </c>
      <c r="CB55" s="24" t="s">
        <v>108</v>
      </c>
      <c r="CC55" s="24">
        <v>2</v>
      </c>
      <c r="CF55" s="24">
        <v>2023</v>
      </c>
      <c r="CG55" s="24">
        <v>3</v>
      </c>
      <c r="CH55" s="24" t="s">
        <v>33</v>
      </c>
      <c r="CI55" s="24">
        <v>142.85535434831209</v>
      </c>
      <c r="CJ55" s="24">
        <v>319496</v>
      </c>
      <c r="CK55" s="24">
        <v>2236.5</v>
      </c>
      <c r="CL55" s="24">
        <v>135.83392476933994</v>
      </c>
      <c r="CM55" s="24">
        <v>160190</v>
      </c>
      <c r="CN55" s="24">
        <v>325363</v>
      </c>
      <c r="CO55" s="24">
        <v>2395.3000000000002</v>
      </c>
      <c r="CP55" s="24">
        <v>110221</v>
      </c>
      <c r="CQ55" s="24">
        <v>572.6</v>
      </c>
      <c r="CR55" s="24">
        <v>3557.2</v>
      </c>
      <c r="CS55" s="24">
        <v>147080</v>
      </c>
      <c r="CT55" s="24">
        <v>147080</v>
      </c>
      <c r="CU55" s="24">
        <v>1379.7</v>
      </c>
      <c r="CV55" s="24">
        <v>81953</v>
      </c>
      <c r="CW55" s="24">
        <v>0</v>
      </c>
      <c r="CX55" s="24">
        <v>137061</v>
      </c>
      <c r="CY55" s="24">
        <v>1127.8</v>
      </c>
      <c r="CZ55" s="24">
        <v>93787</v>
      </c>
      <c r="DA55" s="24">
        <v>3557.2</v>
      </c>
      <c r="DD55" s="24">
        <v>2023</v>
      </c>
      <c r="DE55" s="24">
        <v>3</v>
      </c>
      <c r="DF55" s="24" t="s">
        <v>33</v>
      </c>
      <c r="DG55" s="24">
        <v>23930</v>
      </c>
      <c r="DH55" s="24">
        <v>30631</v>
      </c>
      <c r="DJ55" s="24">
        <v>2023</v>
      </c>
      <c r="DK55" s="24">
        <v>3</v>
      </c>
      <c r="DL55" s="24" t="s">
        <v>33</v>
      </c>
      <c r="DM55" s="24">
        <v>203</v>
      </c>
      <c r="DP55" s="24">
        <v>2023</v>
      </c>
      <c r="DQ55" s="24">
        <v>3</v>
      </c>
      <c r="DR55" s="24" t="s">
        <v>33</v>
      </c>
      <c r="DS55" s="24">
        <v>4786</v>
      </c>
      <c r="DT55" s="24">
        <v>5328</v>
      </c>
      <c r="DU55" s="24"/>
      <c r="DW55" s="24">
        <v>2023</v>
      </c>
      <c r="DX55" s="24">
        <v>5</v>
      </c>
      <c r="DY55" s="24" t="s">
        <v>33</v>
      </c>
      <c r="DZ55" s="24">
        <v>14</v>
      </c>
      <c r="EA55" s="24" t="s">
        <v>562</v>
      </c>
      <c r="EB55" s="24">
        <v>399</v>
      </c>
      <c r="EC55" s="24">
        <v>7.3</v>
      </c>
      <c r="ED55" s="24">
        <v>157</v>
      </c>
      <c r="EE55" s="24">
        <v>13826</v>
      </c>
      <c r="EF55" s="24">
        <v>13.1</v>
      </c>
      <c r="EI55" s="24">
        <v>2023</v>
      </c>
      <c r="EJ55" s="24">
        <v>12</v>
      </c>
      <c r="EK55" s="24" t="s">
        <v>237</v>
      </c>
      <c r="EL55" s="24" t="s">
        <v>235</v>
      </c>
      <c r="EM55" s="24" t="s">
        <v>210</v>
      </c>
      <c r="EN55" s="24">
        <v>2</v>
      </c>
      <c r="EO55" s="24"/>
      <c r="EP55" s="24"/>
      <c r="EQ55" s="24"/>
      <c r="ER55" s="24"/>
      <c r="ES55" s="24">
        <v>2022</v>
      </c>
      <c r="ET55" s="24">
        <v>52</v>
      </c>
      <c r="EU55" s="24" t="s">
        <v>33</v>
      </c>
      <c r="EV55" s="24">
        <v>115653</v>
      </c>
      <c r="EY55" s="24">
        <v>2023</v>
      </c>
      <c r="EZ55" s="24">
        <v>3</v>
      </c>
      <c r="FA55" s="24" t="s">
        <v>33</v>
      </c>
      <c r="FB55" s="24">
        <v>1257</v>
      </c>
      <c r="FE55" s="24">
        <v>2023</v>
      </c>
      <c r="FF55" s="24">
        <v>3</v>
      </c>
      <c r="FG55" s="24" t="s">
        <v>33</v>
      </c>
      <c r="FH55" s="24">
        <v>0.97250000000000003</v>
      </c>
      <c r="FI55" s="24">
        <v>16486</v>
      </c>
      <c r="FJ55" s="24">
        <v>7473</v>
      </c>
      <c r="FK55" s="24">
        <v>7721</v>
      </c>
      <c r="FN55" s="24">
        <v>2023</v>
      </c>
      <c r="FO55" s="24">
        <v>4</v>
      </c>
      <c r="FP55" s="24" t="s">
        <v>33</v>
      </c>
      <c r="FQ55" s="24">
        <v>1152978</v>
      </c>
      <c r="FR55" s="24">
        <v>11937.050000000001</v>
      </c>
      <c r="FS55" s="24">
        <v>387935</v>
      </c>
      <c r="FT55" s="24">
        <v>3397.6833333333298</v>
      </c>
      <c r="FW55" s="24">
        <v>2023</v>
      </c>
      <c r="FX55" s="24">
        <v>3</v>
      </c>
      <c r="FY55" s="24" t="s">
        <v>33</v>
      </c>
      <c r="FZ55" s="24">
        <v>16726</v>
      </c>
      <c r="GA55" s="24">
        <v>15403</v>
      </c>
      <c r="GB55" s="24"/>
      <c r="GC55" s="24"/>
      <c r="GD55" s="24">
        <v>2023</v>
      </c>
      <c r="GE55" s="24">
        <v>3</v>
      </c>
      <c r="GF55" s="24" t="s">
        <v>33</v>
      </c>
      <c r="GG55" s="24">
        <v>16749</v>
      </c>
      <c r="GH55" s="24">
        <v>15701</v>
      </c>
      <c r="GK55" s="307">
        <v>2022</v>
      </c>
      <c r="GL55" s="307">
        <v>48</v>
      </c>
      <c r="GM55" s="307">
        <v>44890</v>
      </c>
      <c r="GN55" s="307" t="s">
        <v>561</v>
      </c>
      <c r="GO55" s="24"/>
      <c r="GP55" s="24">
        <v>2023</v>
      </c>
      <c r="GQ55" s="24">
        <v>3</v>
      </c>
      <c r="GR55" s="24">
        <v>45.091857142857101</v>
      </c>
      <c r="GS55" s="24" t="s">
        <v>33</v>
      </c>
      <c r="GX55">
        <v>2023</v>
      </c>
      <c r="GY55">
        <v>3</v>
      </c>
      <c r="GZ55" t="s">
        <v>33</v>
      </c>
      <c r="HA55">
        <v>343609</v>
      </c>
      <c r="HB55">
        <v>337178</v>
      </c>
      <c r="HC55">
        <v>400</v>
      </c>
      <c r="HD55">
        <v>216</v>
      </c>
      <c r="HE55">
        <v>69</v>
      </c>
      <c r="HF55">
        <v>1696</v>
      </c>
      <c r="HG55">
        <v>0</v>
      </c>
      <c r="HH55">
        <v>186</v>
      </c>
      <c r="HI55">
        <v>1109</v>
      </c>
      <c r="HL55">
        <v>2023</v>
      </c>
      <c r="HM55">
        <v>3</v>
      </c>
      <c r="HN55" t="s">
        <v>33</v>
      </c>
      <c r="HO55">
        <v>338703</v>
      </c>
      <c r="HP55">
        <v>335571</v>
      </c>
      <c r="HQ55">
        <v>497</v>
      </c>
      <c r="HR55">
        <v>118</v>
      </c>
      <c r="HS55">
        <v>48</v>
      </c>
      <c r="HT55">
        <v>1492</v>
      </c>
      <c r="HU55">
        <v>0</v>
      </c>
      <c r="HV55">
        <v>181</v>
      </c>
      <c r="HW55">
        <v>128</v>
      </c>
      <c r="HZ55" s="24">
        <v>2023</v>
      </c>
      <c r="IA55" s="24">
        <v>3</v>
      </c>
      <c r="IB55" s="24" t="s">
        <v>33</v>
      </c>
      <c r="IC55" s="24">
        <v>16820</v>
      </c>
      <c r="ID55" s="24">
        <v>16073</v>
      </c>
      <c r="IG55" s="24">
        <v>2023</v>
      </c>
      <c r="IH55" s="24">
        <v>3</v>
      </c>
      <c r="II55" s="24" t="s">
        <v>33</v>
      </c>
      <c r="IJ55" s="24">
        <v>15178</v>
      </c>
      <c r="IK55" s="24">
        <v>15025</v>
      </c>
    </row>
    <row r="56" spans="1:245" x14ac:dyDescent="0.4">
      <c r="C56" s="7" t="str">
        <f t="shared" ca="1" si="7"/>
        <v/>
      </c>
      <c r="E56" s="15"/>
      <c r="F56" s="6" t="str">
        <f t="shared" ca="1" si="8"/>
        <v/>
      </c>
      <c r="G56" s="14" t="str">
        <f t="shared" ca="1" si="9"/>
        <v/>
      </c>
      <c r="I56" s="305">
        <v>2023</v>
      </c>
      <c r="J56" s="306">
        <v>3</v>
      </c>
      <c r="K56" s="306" t="s">
        <v>33</v>
      </c>
      <c r="L56" s="306">
        <v>341722</v>
      </c>
      <c r="M56" s="306">
        <v>332499</v>
      </c>
      <c r="N56" s="306">
        <v>573</v>
      </c>
      <c r="O56" s="306">
        <v>3360</v>
      </c>
      <c r="P56" s="306">
        <v>681</v>
      </c>
      <c r="Q56" s="306">
        <v>74</v>
      </c>
      <c r="R56" s="24"/>
      <c r="S56" s="24"/>
      <c r="T56" s="24"/>
      <c r="W56" s="24">
        <v>2023</v>
      </c>
      <c r="X56" s="24">
        <v>2</v>
      </c>
      <c r="Y56" s="24" t="s">
        <v>32</v>
      </c>
      <c r="Z56" s="24">
        <v>15508</v>
      </c>
      <c r="AA56" s="24">
        <v>15297</v>
      </c>
      <c r="AB56" s="24">
        <v>28</v>
      </c>
      <c r="AC56" s="24">
        <v>7</v>
      </c>
      <c r="AD56" s="24"/>
      <c r="AE56" s="24"/>
      <c r="AF56" s="24"/>
      <c r="AG56" s="24"/>
      <c r="AH56" s="24"/>
      <c r="AI56" s="24"/>
      <c r="AJ56" s="24"/>
      <c r="AK56" s="24">
        <v>2023</v>
      </c>
      <c r="AL56" s="24">
        <v>2</v>
      </c>
      <c r="AM56" s="24">
        <v>557.37</v>
      </c>
      <c r="AN56" s="24">
        <v>14.82</v>
      </c>
      <c r="AO56" s="24">
        <v>0</v>
      </c>
      <c r="AP56" s="24">
        <v>14</v>
      </c>
      <c r="AQ56" s="24">
        <v>0</v>
      </c>
      <c r="AR56" s="24">
        <v>0</v>
      </c>
      <c r="AS56" s="24" t="s">
        <v>32</v>
      </c>
      <c r="AT56" s="24"/>
      <c r="AU56" s="24">
        <v>2023</v>
      </c>
      <c r="AV56" s="24">
        <v>2</v>
      </c>
      <c r="AW56" s="24">
        <v>0.13</v>
      </c>
      <c r="AX56" s="24">
        <v>2000</v>
      </c>
      <c r="AY56" s="24">
        <v>15904</v>
      </c>
      <c r="AZ56" s="24" t="s">
        <v>32</v>
      </c>
      <c r="BA56" s="24"/>
      <c r="BB56" s="24"/>
      <c r="BC56" s="24">
        <v>2023</v>
      </c>
      <c r="BD56" s="24">
        <v>2</v>
      </c>
      <c r="BE56" s="24">
        <v>273.33557142857097</v>
      </c>
      <c r="BF56" s="24" t="s">
        <v>32</v>
      </c>
      <c r="BG56" s="24"/>
      <c r="BI56" s="24">
        <v>2023</v>
      </c>
      <c r="BJ56" s="24">
        <v>6</v>
      </c>
      <c r="BK56" s="24" t="s">
        <v>33</v>
      </c>
      <c r="BL56" s="24" t="s">
        <v>273</v>
      </c>
      <c r="BM56" s="24">
        <v>125309</v>
      </c>
      <c r="BN56" s="24">
        <v>120354</v>
      </c>
      <c r="BO56" s="24">
        <v>128282</v>
      </c>
      <c r="BR56" s="24">
        <v>2023</v>
      </c>
      <c r="BS56" s="24">
        <v>2</v>
      </c>
      <c r="BT56" s="24">
        <v>15832</v>
      </c>
      <c r="BU56" s="24">
        <v>43</v>
      </c>
      <c r="BV56" s="24" t="s">
        <v>32</v>
      </c>
      <c r="BY56" s="24">
        <v>2023</v>
      </c>
      <c r="BZ56" s="24">
        <v>5</v>
      </c>
      <c r="CA56" s="24" t="s">
        <v>33</v>
      </c>
      <c r="CB56" s="24" t="s">
        <v>423</v>
      </c>
      <c r="CC56" s="24">
        <v>75</v>
      </c>
      <c r="CF56" s="24">
        <v>2023</v>
      </c>
      <c r="CG56" s="24">
        <v>2</v>
      </c>
      <c r="CH56" s="24" t="s">
        <v>32</v>
      </c>
      <c r="CI56" s="24">
        <v>42.133531157270028</v>
      </c>
      <c r="CJ56" s="24">
        <v>14199</v>
      </c>
      <c r="CK56" s="24">
        <v>337</v>
      </c>
      <c r="CL56" s="24">
        <v>42.892449755567625</v>
      </c>
      <c r="CM56" s="24">
        <v>9200</v>
      </c>
      <c r="CN56" s="24">
        <v>15793</v>
      </c>
      <c r="CO56" s="24">
        <v>368.2</v>
      </c>
      <c r="CP56" s="24">
        <v>10873</v>
      </c>
      <c r="CQ56" s="24">
        <v>42.7</v>
      </c>
      <c r="CR56" s="24">
        <v>341.6</v>
      </c>
      <c r="CS56" s="24">
        <v>6025</v>
      </c>
      <c r="CT56" s="24">
        <v>6025</v>
      </c>
      <c r="CU56" s="24">
        <v>185.5</v>
      </c>
      <c r="CV56" s="24">
        <v>3938</v>
      </c>
      <c r="CW56" s="24">
        <v>0</v>
      </c>
      <c r="CX56" s="24">
        <v>7390</v>
      </c>
      <c r="CY56" s="24">
        <v>75.900000000000006</v>
      </c>
      <c r="CZ56" s="24">
        <v>10008</v>
      </c>
      <c r="DA56" s="24">
        <v>341.6</v>
      </c>
      <c r="DD56" s="24">
        <v>2023</v>
      </c>
      <c r="DE56" s="24">
        <v>2</v>
      </c>
      <c r="DF56" s="24" t="s">
        <v>32</v>
      </c>
      <c r="DG56" s="24">
        <v>281</v>
      </c>
      <c r="DH56" s="24">
        <v>1341</v>
      </c>
      <c r="DJ56" s="24">
        <v>2023</v>
      </c>
      <c r="DK56" s="24">
        <v>2</v>
      </c>
      <c r="DL56" s="24" t="s">
        <v>32</v>
      </c>
      <c r="DM56" s="24">
        <v>7</v>
      </c>
      <c r="DP56" s="24">
        <v>2023</v>
      </c>
      <c r="DQ56" s="24">
        <v>2</v>
      </c>
      <c r="DR56" s="24" t="s">
        <v>32</v>
      </c>
      <c r="DS56" s="24">
        <v>419</v>
      </c>
      <c r="DT56" s="24">
        <v>354</v>
      </c>
      <c r="DU56" s="24"/>
      <c r="DW56" s="24">
        <v>2023</v>
      </c>
      <c r="DX56" s="24">
        <v>5</v>
      </c>
      <c r="DY56" s="24" t="s">
        <v>33</v>
      </c>
      <c r="DZ56" s="24">
        <v>116</v>
      </c>
      <c r="EA56" s="24" t="s">
        <v>149</v>
      </c>
      <c r="EB56" s="24">
        <v>78</v>
      </c>
      <c r="EC56" s="24">
        <v>3593.1</v>
      </c>
      <c r="ED56" s="24">
        <v>85215</v>
      </c>
      <c r="EE56" s="24">
        <v>86899</v>
      </c>
      <c r="EF56" s="24">
        <v>368.5</v>
      </c>
      <c r="EI56" s="24">
        <v>2023</v>
      </c>
      <c r="EJ56" s="24">
        <v>9</v>
      </c>
      <c r="EK56" s="24" t="s">
        <v>19</v>
      </c>
      <c r="EL56" s="24" t="s">
        <v>235</v>
      </c>
      <c r="EM56" s="24" t="s">
        <v>210</v>
      </c>
      <c r="EN56" s="24">
        <v>1</v>
      </c>
      <c r="EO56" s="24"/>
      <c r="EP56" s="24"/>
      <c r="EQ56" s="24"/>
      <c r="ER56" s="24"/>
      <c r="ES56" s="24">
        <v>2022</v>
      </c>
      <c r="ET56" s="24">
        <v>52</v>
      </c>
      <c r="EU56" s="24" t="s">
        <v>213</v>
      </c>
      <c r="EV56" s="24">
        <v>1</v>
      </c>
      <c r="EY56" s="24">
        <v>2023</v>
      </c>
      <c r="EZ56" s="24">
        <v>2</v>
      </c>
      <c r="FA56" s="24" t="s">
        <v>32</v>
      </c>
      <c r="FB56" s="24">
        <v>1121</v>
      </c>
      <c r="FE56" s="24">
        <v>2023</v>
      </c>
      <c r="FF56" s="24">
        <v>2</v>
      </c>
      <c r="FG56" s="24" t="s">
        <v>32</v>
      </c>
      <c r="FH56" s="24">
        <v>0.92570000000000008</v>
      </c>
      <c r="FI56" s="24">
        <v>380</v>
      </c>
      <c r="FJ56" s="24">
        <v>178</v>
      </c>
      <c r="FK56" s="24">
        <v>193</v>
      </c>
      <c r="FN56" s="24">
        <v>2023</v>
      </c>
      <c r="FO56" s="24">
        <v>3</v>
      </c>
      <c r="FP56" s="24" t="s">
        <v>32</v>
      </c>
      <c r="FQ56" s="24">
        <v>43096</v>
      </c>
      <c r="FR56" s="24">
        <v>1396.45</v>
      </c>
      <c r="FS56" s="24">
        <v>24441</v>
      </c>
      <c r="FT56" s="24">
        <v>325.933333333333</v>
      </c>
      <c r="FW56" s="24">
        <v>2023</v>
      </c>
      <c r="FX56" s="24">
        <v>2</v>
      </c>
      <c r="FY56" s="24" t="s">
        <v>32</v>
      </c>
      <c r="FZ56" s="24">
        <v>2518</v>
      </c>
      <c r="GA56" s="24">
        <v>2327</v>
      </c>
      <c r="GB56" s="24"/>
      <c r="GC56" s="24"/>
      <c r="GD56" s="24">
        <v>2023</v>
      </c>
      <c r="GE56" s="24">
        <v>2</v>
      </c>
      <c r="GF56" s="24" t="s">
        <v>32</v>
      </c>
      <c r="GG56" s="24">
        <v>2556</v>
      </c>
      <c r="GH56" s="24">
        <v>2485</v>
      </c>
      <c r="GK56" s="24"/>
      <c r="GL56" s="24"/>
      <c r="GM56" s="24"/>
      <c r="GN56" s="24"/>
      <c r="GO56" s="24"/>
      <c r="GP56" s="24">
        <v>2023</v>
      </c>
      <c r="GQ56" s="24">
        <v>2</v>
      </c>
      <c r="GR56" s="24">
        <v>2.98</v>
      </c>
      <c r="GS56" s="24" t="s">
        <v>32</v>
      </c>
      <c r="GX56">
        <v>2023</v>
      </c>
      <c r="GY56">
        <v>2</v>
      </c>
      <c r="GZ56" t="s">
        <v>32</v>
      </c>
      <c r="HA56">
        <v>15478</v>
      </c>
      <c r="HB56">
        <v>14965</v>
      </c>
      <c r="HC56">
        <v>26</v>
      </c>
      <c r="HD56">
        <v>5</v>
      </c>
      <c r="HE56">
        <v>4</v>
      </c>
      <c r="HF56">
        <v>32</v>
      </c>
      <c r="HG56">
        <v>0</v>
      </c>
      <c r="HH56">
        <v>0</v>
      </c>
      <c r="HI56">
        <v>90</v>
      </c>
      <c r="HL56">
        <v>2023</v>
      </c>
      <c r="HM56">
        <v>2</v>
      </c>
      <c r="HN56" t="s">
        <v>32</v>
      </c>
      <c r="HO56">
        <v>15446</v>
      </c>
      <c r="HP56">
        <v>15298</v>
      </c>
      <c r="HQ56">
        <v>34</v>
      </c>
      <c r="HR56">
        <v>4</v>
      </c>
      <c r="HS56">
        <v>3</v>
      </c>
      <c r="HT56">
        <v>58</v>
      </c>
      <c r="HU56">
        <v>0</v>
      </c>
      <c r="HV56">
        <v>0</v>
      </c>
      <c r="HW56">
        <v>4</v>
      </c>
      <c r="HZ56" s="24">
        <v>2023</v>
      </c>
      <c r="IA56" s="24">
        <v>2</v>
      </c>
      <c r="IB56" s="24" t="s">
        <v>32</v>
      </c>
      <c r="IC56" s="24">
        <v>2592</v>
      </c>
      <c r="ID56" s="24">
        <v>2420</v>
      </c>
      <c r="IG56" s="24">
        <v>2023</v>
      </c>
      <c r="IH56" s="24">
        <v>2</v>
      </c>
      <c r="II56" s="24" t="s">
        <v>32</v>
      </c>
      <c r="IJ56" s="24">
        <v>2506</v>
      </c>
      <c r="IK56" s="24">
        <v>2461</v>
      </c>
    </row>
    <row r="57" spans="1:245" x14ac:dyDescent="0.4">
      <c r="C57" s="7" t="str">
        <f t="shared" ca="1" si="7"/>
        <v/>
      </c>
      <c r="E57" s="15"/>
      <c r="F57" s="6" t="str">
        <f t="shared" ca="1" si="8"/>
        <v/>
      </c>
      <c r="G57" s="14" t="str">
        <f t="shared" ca="1" si="9"/>
        <v/>
      </c>
      <c r="I57" s="305">
        <v>2023</v>
      </c>
      <c r="J57" s="306">
        <v>2</v>
      </c>
      <c r="K57" s="306" t="s">
        <v>32</v>
      </c>
      <c r="L57" s="306">
        <v>15596</v>
      </c>
      <c r="M57" s="306">
        <v>15061</v>
      </c>
      <c r="N57" s="306">
        <v>47</v>
      </c>
      <c r="O57" s="306">
        <v>415</v>
      </c>
      <c r="P57" s="306">
        <v>103</v>
      </c>
      <c r="Q57" s="306">
        <v>6</v>
      </c>
      <c r="R57" s="24"/>
      <c r="S57" s="24"/>
      <c r="T57" s="24"/>
      <c r="W57" s="24">
        <v>2023</v>
      </c>
      <c r="X57" s="24">
        <v>2</v>
      </c>
      <c r="Y57" s="24" t="s">
        <v>33</v>
      </c>
      <c r="Z57" s="24">
        <v>307048</v>
      </c>
      <c r="AA57" s="24">
        <v>301162</v>
      </c>
      <c r="AB57" s="24">
        <v>380</v>
      </c>
      <c r="AC57" s="24">
        <v>40</v>
      </c>
      <c r="AD57" s="24"/>
      <c r="AE57" s="24"/>
      <c r="AF57" s="24"/>
      <c r="AG57" s="24"/>
      <c r="AH57" s="24"/>
      <c r="AI57" s="24"/>
      <c r="AJ57" s="24"/>
      <c r="AK57" s="24">
        <v>2023</v>
      </c>
      <c r="AL57" s="24">
        <v>2</v>
      </c>
      <c r="AM57" s="24">
        <v>21953.88</v>
      </c>
      <c r="AN57" s="24">
        <v>546.78</v>
      </c>
      <c r="AO57" s="24">
        <v>0</v>
      </c>
      <c r="AP57" s="24">
        <v>556</v>
      </c>
      <c r="AQ57" s="24">
        <v>0</v>
      </c>
      <c r="AR57" s="24">
        <v>2</v>
      </c>
      <c r="AS57" s="24" t="s">
        <v>33</v>
      </c>
      <c r="AT57" s="24"/>
      <c r="AU57" s="24">
        <v>2023</v>
      </c>
      <c r="AV57" s="24">
        <v>2</v>
      </c>
      <c r="AW57" s="24">
        <v>0.04</v>
      </c>
      <c r="AX57" s="24">
        <v>13400</v>
      </c>
      <c r="AY57" s="24">
        <v>315542</v>
      </c>
      <c r="AZ57" s="24" t="s">
        <v>33</v>
      </c>
      <c r="BA57" s="24"/>
      <c r="BB57" s="24"/>
      <c r="BC57" s="24">
        <v>2023</v>
      </c>
      <c r="BD57" s="24">
        <v>2</v>
      </c>
      <c r="BE57" s="24">
        <v>2804.4160000000002</v>
      </c>
      <c r="BF57" s="24" t="s">
        <v>33</v>
      </c>
      <c r="BG57" s="24"/>
      <c r="BI57" s="24">
        <v>2023</v>
      </c>
      <c r="BJ57" s="24">
        <v>6</v>
      </c>
      <c r="BK57" s="24" t="s">
        <v>32</v>
      </c>
      <c r="BL57" s="24" t="s">
        <v>272</v>
      </c>
      <c r="BM57" s="24">
        <v>2645</v>
      </c>
      <c r="BN57" s="24">
        <v>2633</v>
      </c>
      <c r="BO57" s="24">
        <v>9226</v>
      </c>
      <c r="BR57" s="24">
        <v>2023</v>
      </c>
      <c r="BS57" s="24">
        <v>2</v>
      </c>
      <c r="BT57" s="24">
        <v>314739</v>
      </c>
      <c r="BU57" s="24">
        <v>381</v>
      </c>
      <c r="BV57" s="24" t="s">
        <v>33</v>
      </c>
      <c r="BY57" s="24">
        <v>2023</v>
      </c>
      <c r="BZ57" s="24">
        <v>4</v>
      </c>
      <c r="CA57" s="24" t="s">
        <v>32</v>
      </c>
      <c r="CB57" s="24" t="s">
        <v>423</v>
      </c>
      <c r="CC57" s="24">
        <v>1</v>
      </c>
      <c r="CF57" s="24">
        <v>2023</v>
      </c>
      <c r="CG57" s="24">
        <v>2</v>
      </c>
      <c r="CH57" s="24" t="s">
        <v>33</v>
      </c>
      <c r="CI57" s="24">
        <v>137.62336789554533</v>
      </c>
      <c r="CJ57" s="24">
        <v>286697</v>
      </c>
      <c r="CK57" s="24">
        <v>2083.1999999999998</v>
      </c>
      <c r="CL57" s="24">
        <v>130.21361460733911</v>
      </c>
      <c r="CM57" s="24">
        <v>144989</v>
      </c>
      <c r="CN57" s="24">
        <v>293814</v>
      </c>
      <c r="CO57" s="24">
        <v>2256.4</v>
      </c>
      <c r="CP57" s="24">
        <v>113260</v>
      </c>
      <c r="CQ57" s="24">
        <v>776.9</v>
      </c>
      <c r="CR57" s="24">
        <v>3486.5</v>
      </c>
      <c r="CS57" s="24">
        <v>131635</v>
      </c>
      <c r="CT57" s="24">
        <v>131635</v>
      </c>
      <c r="CU57" s="24">
        <v>1477.8</v>
      </c>
      <c r="CV57" s="24">
        <v>83553</v>
      </c>
      <c r="CW57" s="24">
        <v>0</v>
      </c>
      <c r="CX57" s="24">
        <v>129025</v>
      </c>
      <c r="CY57" s="24">
        <v>1102.9000000000001</v>
      </c>
      <c r="CZ57" s="24">
        <v>91014</v>
      </c>
      <c r="DA57" s="24">
        <v>3486.5</v>
      </c>
      <c r="DD57" s="24">
        <v>2023</v>
      </c>
      <c r="DE57" s="24">
        <v>2</v>
      </c>
      <c r="DF57" s="24" t="s">
        <v>33</v>
      </c>
      <c r="DG57" s="24">
        <v>24798</v>
      </c>
      <c r="DH57" s="24">
        <v>21187</v>
      </c>
      <c r="DJ57" s="24">
        <v>2023</v>
      </c>
      <c r="DK57" s="24">
        <v>2</v>
      </c>
      <c r="DL57" s="24" t="s">
        <v>33</v>
      </c>
      <c r="DM57" s="24">
        <v>103</v>
      </c>
      <c r="DP57" s="24">
        <v>2023</v>
      </c>
      <c r="DQ57" s="24">
        <v>2</v>
      </c>
      <c r="DR57" s="24" t="s">
        <v>33</v>
      </c>
      <c r="DS57" s="24">
        <v>3837</v>
      </c>
      <c r="DT57" s="24">
        <v>4060</v>
      </c>
      <c r="DU57" s="24"/>
      <c r="DW57" s="24">
        <v>2023</v>
      </c>
      <c r="DX57" s="24">
        <v>4</v>
      </c>
      <c r="DY57" s="24" t="s">
        <v>32</v>
      </c>
      <c r="DZ57" s="24">
        <v>3</v>
      </c>
      <c r="EA57" s="24" t="s">
        <v>149</v>
      </c>
      <c r="EB57" s="24">
        <v>0</v>
      </c>
      <c r="EC57" s="24">
        <v>88.1</v>
      </c>
      <c r="ED57" s="24">
        <v>2197</v>
      </c>
      <c r="EE57" s="24">
        <v>1916</v>
      </c>
      <c r="EF57" s="24">
        <v>14.4</v>
      </c>
      <c r="EI57" s="24">
        <v>2023</v>
      </c>
      <c r="EJ57" s="24">
        <v>9</v>
      </c>
      <c r="EK57" s="24" t="s">
        <v>208</v>
      </c>
      <c r="EL57" s="24" t="s">
        <v>351</v>
      </c>
      <c r="EM57" s="24" t="s">
        <v>210</v>
      </c>
      <c r="EN57" s="24">
        <v>5</v>
      </c>
      <c r="EO57" s="24"/>
      <c r="EP57" s="24"/>
      <c r="EQ57" s="24"/>
      <c r="ER57" s="24"/>
      <c r="ES57" s="24">
        <v>2022</v>
      </c>
      <c r="ET57" s="24">
        <v>51</v>
      </c>
      <c r="EU57" s="24" t="s">
        <v>32</v>
      </c>
      <c r="EV57" s="24">
        <v>7162</v>
      </c>
      <c r="EY57" s="24">
        <v>2023</v>
      </c>
      <c r="EZ57" s="24">
        <v>2</v>
      </c>
      <c r="FA57" s="24" t="s">
        <v>33</v>
      </c>
      <c r="FB57" s="24">
        <v>816</v>
      </c>
      <c r="FE57" s="24">
        <v>2023</v>
      </c>
      <c r="FF57" s="24">
        <v>2</v>
      </c>
      <c r="FG57" s="24" t="s">
        <v>33</v>
      </c>
      <c r="FH57" s="24">
        <v>0.9798</v>
      </c>
      <c r="FI57" s="24">
        <v>15382</v>
      </c>
      <c r="FJ57" s="24">
        <v>6982</v>
      </c>
      <c r="FK57" s="24">
        <v>7152</v>
      </c>
      <c r="FN57" s="24">
        <v>2023</v>
      </c>
      <c r="FO57" s="24">
        <v>3</v>
      </c>
      <c r="FP57" s="24" t="s">
        <v>33</v>
      </c>
      <c r="FQ57" s="24">
        <v>1125410</v>
      </c>
      <c r="FR57" s="24">
        <v>11847.2833333333</v>
      </c>
      <c r="FS57" s="24">
        <v>383253</v>
      </c>
      <c r="FT57" s="24">
        <v>3317.5333333333297</v>
      </c>
      <c r="FW57" s="24">
        <v>2023</v>
      </c>
      <c r="FX57" s="24">
        <v>2</v>
      </c>
      <c r="FY57" s="24" t="s">
        <v>33</v>
      </c>
      <c r="FZ57" s="24">
        <v>17863</v>
      </c>
      <c r="GA57" s="24">
        <v>15968</v>
      </c>
      <c r="GB57" s="24"/>
      <c r="GC57" s="24"/>
      <c r="GD57" s="24">
        <v>2023</v>
      </c>
      <c r="GE57" s="24">
        <v>2</v>
      </c>
      <c r="GF57" s="24" t="s">
        <v>33</v>
      </c>
      <c r="GG57" s="24">
        <v>17926</v>
      </c>
      <c r="GH57" s="24">
        <v>16336</v>
      </c>
      <c r="GK57" s="24"/>
      <c r="GL57" s="24"/>
      <c r="GM57" s="24"/>
      <c r="GN57" s="24"/>
      <c r="GO57" s="24"/>
      <c r="GP57" s="24">
        <v>2023</v>
      </c>
      <c r="GQ57" s="24">
        <v>2</v>
      </c>
      <c r="GR57" s="24">
        <v>43.780571428571399</v>
      </c>
      <c r="GS57" s="24" t="s">
        <v>33</v>
      </c>
      <c r="GX57">
        <v>2023</v>
      </c>
      <c r="GY57">
        <v>2</v>
      </c>
      <c r="GZ57" t="s">
        <v>33</v>
      </c>
      <c r="HA57">
        <v>310574</v>
      </c>
      <c r="HB57">
        <v>306855</v>
      </c>
      <c r="HC57">
        <v>294</v>
      </c>
      <c r="HD57">
        <v>93</v>
      </c>
      <c r="HE57">
        <v>37</v>
      </c>
      <c r="HF57">
        <v>322</v>
      </c>
      <c r="HG57">
        <v>0</v>
      </c>
      <c r="HH57">
        <v>153</v>
      </c>
      <c r="HI57">
        <v>1144</v>
      </c>
      <c r="HL57">
        <v>2023</v>
      </c>
      <c r="HM57">
        <v>2</v>
      </c>
      <c r="HN57" t="s">
        <v>33</v>
      </c>
      <c r="HO57">
        <v>306710</v>
      </c>
      <c r="HP57">
        <v>305271</v>
      </c>
      <c r="HQ57">
        <v>373</v>
      </c>
      <c r="HR57">
        <v>42</v>
      </c>
      <c r="HS57">
        <v>22</v>
      </c>
      <c r="HT57">
        <v>220</v>
      </c>
      <c r="HU57">
        <v>0</v>
      </c>
      <c r="HV57">
        <v>139</v>
      </c>
      <c r="HW57">
        <v>86</v>
      </c>
      <c r="HZ57" s="24">
        <v>2023</v>
      </c>
      <c r="IA57" s="24">
        <v>2</v>
      </c>
      <c r="IB57" s="24" t="s">
        <v>33</v>
      </c>
      <c r="IC57" s="24">
        <v>17674</v>
      </c>
      <c r="ID57" s="24">
        <v>17058</v>
      </c>
      <c r="IG57" s="24">
        <v>2023</v>
      </c>
      <c r="IH57" s="24">
        <v>2</v>
      </c>
      <c r="II57" s="24" t="s">
        <v>33</v>
      </c>
      <c r="IJ57" s="24">
        <v>16437</v>
      </c>
      <c r="IK57" s="24">
        <v>16338</v>
      </c>
    </row>
    <row r="58" spans="1:245" x14ac:dyDescent="0.4">
      <c r="C58" s="7" t="str">
        <f ca="1">IFERROR(INDIRECT(B58&amp;"40"),"")</f>
        <v/>
      </c>
      <c r="D58" t="s">
        <v>25</v>
      </c>
      <c r="E58" s="19">
        <f>Today</f>
        <v>42736</v>
      </c>
      <c r="F58" s="6" t="str">
        <f t="shared" ca="1" si="8"/>
        <v/>
      </c>
      <c r="G58" s="14" t="str">
        <f t="shared" ca="1" si="9"/>
        <v/>
      </c>
      <c r="I58" s="305">
        <v>2023</v>
      </c>
      <c r="J58" s="306">
        <v>2</v>
      </c>
      <c r="K58" s="306" t="s">
        <v>33</v>
      </c>
      <c r="L58" s="306">
        <v>309068</v>
      </c>
      <c r="M58" s="306">
        <v>301855</v>
      </c>
      <c r="N58" s="306">
        <v>530</v>
      </c>
      <c r="O58" s="306">
        <v>2595</v>
      </c>
      <c r="P58" s="306">
        <v>607</v>
      </c>
      <c r="Q58" s="306">
        <v>39</v>
      </c>
      <c r="R58" s="24"/>
      <c r="S58" s="24"/>
      <c r="T58" s="24"/>
      <c r="W58" s="24">
        <v>2023</v>
      </c>
      <c r="X58" s="24">
        <v>1</v>
      </c>
      <c r="Y58" s="24" t="s">
        <v>32</v>
      </c>
      <c r="Z58" s="24">
        <v>15321</v>
      </c>
      <c r="AA58" s="24">
        <v>15216</v>
      </c>
      <c r="AB58" s="24">
        <v>7</v>
      </c>
      <c r="AC58" s="24">
        <v>3</v>
      </c>
      <c r="AD58" s="24"/>
      <c r="AE58" s="24"/>
      <c r="AF58" s="24"/>
      <c r="AG58" s="24"/>
      <c r="AH58" s="24"/>
      <c r="AI58" s="24"/>
      <c r="AJ58" s="24"/>
      <c r="AK58" s="24">
        <v>2023</v>
      </c>
      <c r="AL58" s="24">
        <v>1</v>
      </c>
      <c r="AM58" s="24">
        <v>434.17</v>
      </c>
      <c r="AN58" s="24">
        <v>28.73</v>
      </c>
      <c r="AO58" s="24">
        <v>0</v>
      </c>
      <c r="AP58" s="24">
        <v>14</v>
      </c>
      <c r="AQ58" s="24">
        <v>0</v>
      </c>
      <c r="AR58" s="24">
        <v>0</v>
      </c>
      <c r="AS58" s="24" t="s">
        <v>32</v>
      </c>
      <c r="AT58" s="24"/>
      <c r="AU58" s="24">
        <v>2023</v>
      </c>
      <c r="AV58" s="24">
        <v>1</v>
      </c>
      <c r="AW58" s="24">
        <v>0.1</v>
      </c>
      <c r="AX58" s="24">
        <v>1600</v>
      </c>
      <c r="AY58" s="24">
        <v>15784</v>
      </c>
      <c r="AZ58" s="24" t="s">
        <v>32</v>
      </c>
      <c r="BA58" s="24"/>
      <c r="BB58" s="24"/>
      <c r="BC58" s="24">
        <v>2023</v>
      </c>
      <c r="BD58" s="24">
        <v>1</v>
      </c>
      <c r="BE58" s="24">
        <v>277.89928571428601</v>
      </c>
      <c r="BF58" s="24" t="s">
        <v>32</v>
      </c>
      <c r="BG58" s="24"/>
      <c r="BI58" s="24">
        <v>2023</v>
      </c>
      <c r="BJ58" s="24">
        <v>5</v>
      </c>
      <c r="BK58" s="24" t="s">
        <v>32</v>
      </c>
      <c r="BL58" s="24" t="s">
        <v>272</v>
      </c>
      <c r="BM58" s="24">
        <v>3059</v>
      </c>
      <c r="BN58" s="24">
        <v>3014</v>
      </c>
      <c r="BO58" s="24">
        <v>10456</v>
      </c>
      <c r="BR58" s="24">
        <v>2023</v>
      </c>
      <c r="BS58" s="24">
        <v>1</v>
      </c>
      <c r="BT58" s="24">
        <v>256736</v>
      </c>
      <c r="BU58" s="24">
        <v>312</v>
      </c>
      <c r="BV58" s="24" t="s">
        <v>33</v>
      </c>
      <c r="BY58" s="24">
        <v>2023</v>
      </c>
      <c r="BZ58" s="24">
        <v>4</v>
      </c>
      <c r="CA58" s="24" t="s">
        <v>33</v>
      </c>
      <c r="CB58" s="24" t="s">
        <v>108</v>
      </c>
      <c r="CC58" s="24">
        <v>7</v>
      </c>
      <c r="CF58" s="24">
        <v>2023</v>
      </c>
      <c r="CG58" s="24">
        <v>1</v>
      </c>
      <c r="CH58" s="24" t="s">
        <v>32</v>
      </c>
      <c r="CI58" s="24">
        <v>41.067146282973624</v>
      </c>
      <c r="CJ58" s="24">
        <v>13700</v>
      </c>
      <c r="CK58" s="24">
        <v>333.6</v>
      </c>
      <c r="CL58" s="24">
        <v>40.087809917355372</v>
      </c>
      <c r="CM58" s="24">
        <v>9390</v>
      </c>
      <c r="CN58" s="24">
        <v>15522</v>
      </c>
      <c r="CO58" s="24">
        <v>387.2</v>
      </c>
      <c r="CP58" s="24">
        <v>5308</v>
      </c>
      <c r="CQ58" s="24">
        <v>22.1</v>
      </c>
      <c r="CR58" s="24">
        <v>177.5</v>
      </c>
      <c r="CS58" s="24">
        <v>5458</v>
      </c>
      <c r="CT58" s="24">
        <v>5458</v>
      </c>
      <c r="CU58" s="24">
        <v>152.19999999999999</v>
      </c>
      <c r="CV58" s="24">
        <v>2493</v>
      </c>
      <c r="CW58" s="24">
        <v>0</v>
      </c>
      <c r="CX58" s="24">
        <v>6974</v>
      </c>
      <c r="CY58" s="24">
        <v>66.400000000000006</v>
      </c>
      <c r="CZ58" s="24">
        <v>4408</v>
      </c>
      <c r="DA58" s="24">
        <v>177.5</v>
      </c>
      <c r="DD58" s="24">
        <v>2023</v>
      </c>
      <c r="DE58" s="24">
        <v>1</v>
      </c>
      <c r="DF58" s="24" t="s">
        <v>32</v>
      </c>
      <c r="DG58" s="24">
        <v>696</v>
      </c>
      <c r="DH58" s="24">
        <v>2025</v>
      </c>
      <c r="DJ58" s="24">
        <v>2023</v>
      </c>
      <c r="DK58" s="24">
        <v>1</v>
      </c>
      <c r="DL58" s="24" t="s">
        <v>32</v>
      </c>
      <c r="DM58" s="24">
        <v>147</v>
      </c>
      <c r="DP58" s="24">
        <v>2023</v>
      </c>
      <c r="DQ58" s="24">
        <v>1</v>
      </c>
      <c r="DR58" s="24" t="s">
        <v>32</v>
      </c>
      <c r="DS58" s="24">
        <v>715</v>
      </c>
      <c r="DT58" s="24">
        <v>586</v>
      </c>
      <c r="DU58" s="24"/>
      <c r="DW58" s="24">
        <v>2023</v>
      </c>
      <c r="DX58" s="24">
        <v>4</v>
      </c>
      <c r="DY58" s="24" t="s">
        <v>33</v>
      </c>
      <c r="DZ58" s="24">
        <v>14</v>
      </c>
      <c r="EA58" s="24" t="s">
        <v>562</v>
      </c>
      <c r="EB58" s="24">
        <v>483.4</v>
      </c>
      <c r="EC58" s="24">
        <v>0</v>
      </c>
      <c r="ED58" s="24"/>
      <c r="EE58" s="24">
        <v>17661</v>
      </c>
      <c r="EF58" s="24">
        <v>46.7</v>
      </c>
      <c r="EI58" s="24">
        <v>2023</v>
      </c>
      <c r="EJ58" s="24">
        <v>9</v>
      </c>
      <c r="EK58" s="24" t="s">
        <v>208</v>
      </c>
      <c r="EL58" s="24" t="s">
        <v>351</v>
      </c>
      <c r="EM58" s="24" t="s">
        <v>234</v>
      </c>
      <c r="EN58" s="24">
        <v>2</v>
      </c>
      <c r="EO58" s="24"/>
      <c r="EP58" s="24"/>
      <c r="EQ58" s="24"/>
      <c r="ER58" s="24"/>
      <c r="ES58" s="24">
        <v>2022</v>
      </c>
      <c r="ET58" s="24">
        <v>51</v>
      </c>
      <c r="EU58" s="24" t="s">
        <v>33</v>
      </c>
      <c r="EV58" s="24">
        <v>158259</v>
      </c>
      <c r="EY58" s="24">
        <v>2023</v>
      </c>
      <c r="EZ58" s="24">
        <v>1</v>
      </c>
      <c r="FA58" s="24" t="s">
        <v>32</v>
      </c>
      <c r="FB58" s="24">
        <v>681</v>
      </c>
      <c r="FE58" s="24">
        <v>2023</v>
      </c>
      <c r="FF58" s="24">
        <v>1</v>
      </c>
      <c r="FG58" s="24" t="s">
        <v>32</v>
      </c>
      <c r="FH58" s="24">
        <v>0.90360000000000007</v>
      </c>
      <c r="FI58" s="24">
        <v>470</v>
      </c>
      <c r="FJ58" s="24">
        <v>221</v>
      </c>
      <c r="FK58" s="24">
        <v>245</v>
      </c>
      <c r="FN58" s="24">
        <v>2023</v>
      </c>
      <c r="FO58" s="24">
        <v>2</v>
      </c>
      <c r="FP58" s="24" t="s">
        <v>32</v>
      </c>
      <c r="FQ58" s="24">
        <v>40220</v>
      </c>
      <c r="FR58" s="24">
        <v>1329.4</v>
      </c>
      <c r="FS58" s="24">
        <v>24174</v>
      </c>
      <c r="FT58" s="24">
        <v>321.3</v>
      </c>
      <c r="FW58" s="24">
        <v>2023</v>
      </c>
      <c r="FX58" s="24">
        <v>1</v>
      </c>
      <c r="FY58" s="24" t="s">
        <v>32</v>
      </c>
      <c r="FZ58" s="24">
        <v>2088</v>
      </c>
      <c r="GA58" s="24">
        <v>1918</v>
      </c>
      <c r="GB58" s="24"/>
      <c r="GC58" s="24"/>
      <c r="GD58" s="24">
        <v>2023</v>
      </c>
      <c r="GE58" s="24">
        <v>1</v>
      </c>
      <c r="GF58" s="24" t="s">
        <v>32</v>
      </c>
      <c r="GG58" s="24">
        <v>2048</v>
      </c>
      <c r="GH58" s="24">
        <v>2023</v>
      </c>
      <c r="GK58" s="24"/>
      <c r="GL58" s="24"/>
      <c r="GM58" s="24"/>
      <c r="GN58" s="24"/>
      <c r="GO58" s="24"/>
      <c r="GP58" s="24">
        <v>2023</v>
      </c>
      <c r="GQ58" s="24">
        <v>1</v>
      </c>
      <c r="GR58" s="24">
        <v>2.9867142857142901</v>
      </c>
      <c r="GS58" s="24" t="s">
        <v>32</v>
      </c>
      <c r="GX58">
        <v>2023</v>
      </c>
      <c r="GY58">
        <v>1</v>
      </c>
      <c r="GZ58" t="s">
        <v>32</v>
      </c>
      <c r="HA58">
        <v>15430</v>
      </c>
      <c r="HB58">
        <v>14967</v>
      </c>
      <c r="HC58">
        <v>17</v>
      </c>
      <c r="HD58">
        <v>6</v>
      </c>
      <c r="HE58">
        <v>7</v>
      </c>
      <c r="HF58">
        <v>13</v>
      </c>
      <c r="HG58">
        <v>0</v>
      </c>
      <c r="HH58">
        <v>0</v>
      </c>
      <c r="HI58">
        <v>46</v>
      </c>
      <c r="HL58">
        <v>2023</v>
      </c>
      <c r="HM58">
        <v>1</v>
      </c>
      <c r="HN58" t="s">
        <v>32</v>
      </c>
      <c r="HO58">
        <v>15274</v>
      </c>
      <c r="HP58">
        <v>15211</v>
      </c>
      <c r="HQ58">
        <v>24</v>
      </c>
      <c r="HR58">
        <v>0</v>
      </c>
      <c r="HS58">
        <v>0</v>
      </c>
      <c r="HT58">
        <v>4</v>
      </c>
      <c r="HU58">
        <v>0</v>
      </c>
      <c r="HV58">
        <v>0</v>
      </c>
      <c r="HW58">
        <v>2</v>
      </c>
      <c r="HZ58" s="24">
        <v>2023</v>
      </c>
      <c r="IA58" s="24">
        <v>1</v>
      </c>
      <c r="IB58" s="24" t="s">
        <v>32</v>
      </c>
      <c r="IC58" s="24">
        <v>2034</v>
      </c>
      <c r="ID58" s="24">
        <v>1866</v>
      </c>
      <c r="IG58" s="24">
        <v>2023</v>
      </c>
      <c r="IH58" s="24">
        <v>1</v>
      </c>
      <c r="II58" s="24" t="s">
        <v>32</v>
      </c>
      <c r="IJ58" s="24">
        <v>1986</v>
      </c>
      <c r="IK58" s="24">
        <v>1973</v>
      </c>
    </row>
    <row r="59" spans="1:245" x14ac:dyDescent="0.4">
      <c r="C59" s="7" t="str">
        <f ca="1">IFERROR(INDIRECT(B59&amp;"40"),"")</f>
        <v/>
      </c>
      <c r="D59" t="s">
        <v>16</v>
      </c>
      <c r="E59">
        <f>1*(WEEKDAY(E58)=6)</f>
        <v>0</v>
      </c>
      <c r="F59" s="6" t="str">
        <f t="shared" ca="1" si="8"/>
        <v/>
      </c>
      <c r="G59" s="14" t="str">
        <f t="shared" ca="1" si="9"/>
        <v/>
      </c>
      <c r="I59" s="305">
        <v>2023</v>
      </c>
      <c r="J59" s="306">
        <v>1</v>
      </c>
      <c r="K59" s="306" t="s">
        <v>32</v>
      </c>
      <c r="L59" s="306">
        <v>15583</v>
      </c>
      <c r="M59" s="306">
        <v>15110</v>
      </c>
      <c r="N59" s="306">
        <v>27</v>
      </c>
      <c r="O59" s="306">
        <v>392</v>
      </c>
      <c r="P59" s="306">
        <v>114</v>
      </c>
      <c r="Q59" s="306">
        <v>5</v>
      </c>
      <c r="R59" s="24"/>
      <c r="S59" s="24"/>
      <c r="T59" s="24"/>
      <c r="W59" s="24">
        <v>2023</v>
      </c>
      <c r="X59" s="24">
        <v>1</v>
      </c>
      <c r="Y59" s="24" t="s">
        <v>33</v>
      </c>
      <c r="Z59" s="24">
        <v>252601</v>
      </c>
      <c r="AA59" s="24">
        <v>248030</v>
      </c>
      <c r="AB59" s="24">
        <v>197</v>
      </c>
      <c r="AC59" s="24">
        <v>151</v>
      </c>
      <c r="AD59" s="24"/>
      <c r="AE59" s="24"/>
      <c r="AF59" s="24"/>
      <c r="AG59" s="24"/>
      <c r="AH59" s="24"/>
      <c r="AI59" s="24"/>
      <c r="AJ59" s="24"/>
      <c r="AK59" s="24">
        <v>2023</v>
      </c>
      <c r="AL59" s="24">
        <v>1</v>
      </c>
      <c r="AM59" s="24">
        <v>16540.900000000001</v>
      </c>
      <c r="AN59" s="24">
        <v>777.6</v>
      </c>
      <c r="AO59" s="24">
        <v>0</v>
      </c>
      <c r="AP59" s="24">
        <v>550</v>
      </c>
      <c r="AQ59" s="24">
        <v>0</v>
      </c>
      <c r="AR59" s="24">
        <v>6</v>
      </c>
      <c r="AS59" s="24" t="s">
        <v>33</v>
      </c>
      <c r="AT59" s="24"/>
      <c r="AU59" s="24">
        <v>2023</v>
      </c>
      <c r="AV59" s="24">
        <v>1</v>
      </c>
      <c r="AW59" s="24">
        <v>0.05</v>
      </c>
      <c r="AX59" s="24">
        <v>12100</v>
      </c>
      <c r="AY59" s="24">
        <v>259289</v>
      </c>
      <c r="AZ59" s="24" t="s">
        <v>33</v>
      </c>
      <c r="BA59" s="24"/>
      <c r="BB59" s="24"/>
      <c r="BC59" s="24">
        <v>2023</v>
      </c>
      <c r="BD59" s="24">
        <v>1</v>
      </c>
      <c r="BE59" s="24">
        <v>2846.3074285714297</v>
      </c>
      <c r="BF59" s="24" t="s">
        <v>33</v>
      </c>
      <c r="BG59" s="24"/>
      <c r="BI59" s="24">
        <v>2023</v>
      </c>
      <c r="BJ59" s="24">
        <v>5</v>
      </c>
      <c r="BK59" s="24" t="s">
        <v>33</v>
      </c>
      <c r="BL59" s="24" t="s">
        <v>273</v>
      </c>
      <c r="BM59" s="24">
        <v>121222</v>
      </c>
      <c r="BN59" s="24">
        <v>117794</v>
      </c>
      <c r="BO59" s="24">
        <v>123783</v>
      </c>
      <c r="BR59" s="24">
        <v>2023</v>
      </c>
      <c r="BS59" s="24">
        <v>1</v>
      </c>
      <c r="BT59" s="24">
        <v>15694</v>
      </c>
      <c r="BU59" s="24">
        <v>28</v>
      </c>
      <c r="BV59" s="24" t="s">
        <v>32</v>
      </c>
      <c r="BY59" s="24">
        <v>2023</v>
      </c>
      <c r="BZ59" s="24">
        <v>4</v>
      </c>
      <c r="CA59" s="24" t="s">
        <v>33</v>
      </c>
      <c r="CB59" s="24" t="s">
        <v>423</v>
      </c>
      <c r="CC59" s="24">
        <v>60</v>
      </c>
      <c r="CF59" s="24">
        <v>2023</v>
      </c>
      <c r="CG59" s="24">
        <v>1</v>
      </c>
      <c r="CH59" s="24" t="s">
        <v>33</v>
      </c>
      <c r="CI59" s="24">
        <v>139.10109149094234</v>
      </c>
      <c r="CJ59" s="24">
        <v>243413</v>
      </c>
      <c r="CK59" s="24">
        <v>1749.9</v>
      </c>
      <c r="CL59" s="24">
        <v>119.30476237771266</v>
      </c>
      <c r="CM59" s="24">
        <v>117422</v>
      </c>
      <c r="CN59" s="24">
        <v>240244</v>
      </c>
      <c r="CO59" s="24">
        <v>2013.7</v>
      </c>
      <c r="CP59" s="24">
        <v>63883</v>
      </c>
      <c r="CQ59" s="24">
        <v>305.3</v>
      </c>
      <c r="CR59" s="24">
        <v>2169.8000000000002</v>
      </c>
      <c r="CS59" s="24">
        <v>71709</v>
      </c>
      <c r="CT59" s="24">
        <v>71709</v>
      </c>
      <c r="CU59" s="24">
        <v>855.1</v>
      </c>
      <c r="CV59" s="24">
        <v>44028</v>
      </c>
      <c r="CW59" s="24">
        <v>0</v>
      </c>
      <c r="CX59" s="24">
        <v>66285</v>
      </c>
      <c r="CY59" s="24">
        <v>811.2</v>
      </c>
      <c r="CZ59" s="24">
        <v>51804</v>
      </c>
      <c r="DA59" s="24">
        <v>2169.8000000000002</v>
      </c>
      <c r="DD59" s="24">
        <v>2023</v>
      </c>
      <c r="DE59" s="24">
        <v>1</v>
      </c>
      <c r="DF59" s="24" t="s">
        <v>33</v>
      </c>
      <c r="DG59" s="24">
        <v>13717</v>
      </c>
      <c r="DH59" s="24">
        <v>18262</v>
      </c>
      <c r="DJ59" s="24">
        <v>2023</v>
      </c>
      <c r="DK59" s="24">
        <v>1</v>
      </c>
      <c r="DL59" s="24" t="s">
        <v>33</v>
      </c>
      <c r="DM59" s="24">
        <v>1663</v>
      </c>
      <c r="DP59" s="24">
        <v>2023</v>
      </c>
      <c r="DQ59" s="24">
        <v>1</v>
      </c>
      <c r="DR59" s="24" t="s">
        <v>33</v>
      </c>
      <c r="DS59" s="24">
        <v>3896</v>
      </c>
      <c r="DT59" s="24">
        <v>3597</v>
      </c>
      <c r="DU59" s="24"/>
      <c r="DW59" s="24">
        <v>2023</v>
      </c>
      <c r="DX59" s="24">
        <v>4</v>
      </c>
      <c r="DY59" s="24" t="s">
        <v>33</v>
      </c>
      <c r="DZ59" s="24">
        <v>113</v>
      </c>
      <c r="EA59" s="24" t="s">
        <v>149</v>
      </c>
      <c r="EB59" s="24">
        <v>127.6</v>
      </c>
      <c r="EC59" s="24">
        <v>3581.7</v>
      </c>
      <c r="ED59" s="24">
        <v>84919</v>
      </c>
      <c r="EE59" s="24">
        <v>88713</v>
      </c>
      <c r="EF59" s="24">
        <v>324.3</v>
      </c>
      <c r="EI59" s="24">
        <v>2023</v>
      </c>
      <c r="EJ59" s="24">
        <v>9</v>
      </c>
      <c r="EK59" s="24" t="s">
        <v>208</v>
      </c>
      <c r="EL59" s="24" t="s">
        <v>235</v>
      </c>
      <c r="EM59" s="24" t="s">
        <v>210</v>
      </c>
      <c r="EN59" s="24">
        <v>1</v>
      </c>
      <c r="EO59" s="24"/>
      <c r="EP59" s="24"/>
      <c r="EQ59" s="24"/>
      <c r="ER59" s="24"/>
      <c r="ES59" s="24">
        <v>2022</v>
      </c>
      <c r="ET59" s="24">
        <v>50</v>
      </c>
      <c r="EU59" s="24" t="s">
        <v>32</v>
      </c>
      <c r="EV59" s="24">
        <v>7002</v>
      </c>
      <c r="EY59" s="24">
        <v>2023</v>
      </c>
      <c r="EZ59" s="24">
        <v>1</v>
      </c>
      <c r="FA59" s="24" t="s">
        <v>33</v>
      </c>
      <c r="FB59" s="24">
        <v>664</v>
      </c>
      <c r="FE59" s="24">
        <v>2023</v>
      </c>
      <c r="FF59" s="24">
        <v>1</v>
      </c>
      <c r="FG59" s="24" t="s">
        <v>33</v>
      </c>
      <c r="FH59" s="24">
        <v>0.9759000000000001</v>
      </c>
      <c r="FI59" s="24">
        <v>12842</v>
      </c>
      <c r="FJ59" s="24">
        <v>5826</v>
      </c>
      <c r="FK59" s="24">
        <v>5995</v>
      </c>
      <c r="FN59" s="24">
        <v>2023</v>
      </c>
      <c r="FO59" s="24">
        <v>2</v>
      </c>
      <c r="FP59" s="24" t="s">
        <v>33</v>
      </c>
      <c r="FQ59" s="24">
        <v>1036801</v>
      </c>
      <c r="FR59" s="24">
        <v>11487.7833333333</v>
      </c>
      <c r="FS59" s="24">
        <v>364253</v>
      </c>
      <c r="FT59" s="24">
        <v>3613.7833333333297</v>
      </c>
      <c r="FW59" s="24">
        <v>2023</v>
      </c>
      <c r="FX59" s="24">
        <v>1</v>
      </c>
      <c r="FY59" s="24" t="s">
        <v>33</v>
      </c>
      <c r="FZ59" s="24">
        <v>17218</v>
      </c>
      <c r="GA59" s="24">
        <v>15863</v>
      </c>
      <c r="GB59" s="24"/>
      <c r="GC59" s="24"/>
      <c r="GD59" s="24">
        <v>2023</v>
      </c>
      <c r="GE59" s="24">
        <v>1</v>
      </c>
      <c r="GF59" s="24" t="s">
        <v>33</v>
      </c>
      <c r="GG59" s="24">
        <v>17145</v>
      </c>
      <c r="GH59" s="24">
        <v>16060</v>
      </c>
      <c r="GK59" s="24"/>
      <c r="GL59" s="24"/>
      <c r="GM59" s="24"/>
      <c r="GN59" s="24"/>
      <c r="GO59" s="24"/>
      <c r="GP59" s="24">
        <v>2023</v>
      </c>
      <c r="GQ59" s="24">
        <v>1</v>
      </c>
      <c r="GR59" s="24">
        <v>40.371428571428602</v>
      </c>
      <c r="GS59" s="24" t="s">
        <v>33</v>
      </c>
      <c r="GX59">
        <v>2023</v>
      </c>
      <c r="GY59">
        <v>1</v>
      </c>
      <c r="GZ59" t="s">
        <v>33</v>
      </c>
      <c r="HA59">
        <v>255626</v>
      </c>
      <c r="HB59">
        <v>253104</v>
      </c>
      <c r="HC59">
        <v>219</v>
      </c>
      <c r="HD59">
        <v>74</v>
      </c>
      <c r="HE59">
        <v>36</v>
      </c>
      <c r="HF59">
        <v>145</v>
      </c>
      <c r="HG59">
        <v>0</v>
      </c>
      <c r="HH59">
        <v>67</v>
      </c>
      <c r="HI59">
        <v>630</v>
      </c>
      <c r="HL59">
        <v>2023</v>
      </c>
      <c r="HM59">
        <v>1</v>
      </c>
      <c r="HN59" t="s">
        <v>33</v>
      </c>
      <c r="HO59">
        <v>252384</v>
      </c>
      <c r="HP59">
        <v>251545</v>
      </c>
      <c r="HQ59">
        <v>312</v>
      </c>
      <c r="HR59">
        <v>12</v>
      </c>
      <c r="HS59">
        <v>19</v>
      </c>
      <c r="HT59">
        <v>85</v>
      </c>
      <c r="HU59">
        <v>0</v>
      </c>
      <c r="HV59">
        <v>64</v>
      </c>
      <c r="HW59">
        <v>42</v>
      </c>
      <c r="HZ59" s="24">
        <v>2023</v>
      </c>
      <c r="IA59" s="24">
        <v>1</v>
      </c>
      <c r="IB59" s="24" t="s">
        <v>33</v>
      </c>
      <c r="IC59" s="24">
        <v>15485</v>
      </c>
      <c r="ID59" s="24">
        <v>15075</v>
      </c>
      <c r="IG59" s="24">
        <v>2023</v>
      </c>
      <c r="IH59" s="24">
        <v>1</v>
      </c>
      <c r="II59" s="24" t="s">
        <v>33</v>
      </c>
      <c r="IJ59" s="24">
        <v>15863</v>
      </c>
      <c r="IK59" s="24">
        <v>15791</v>
      </c>
    </row>
    <row r="60" spans="1:245" x14ac:dyDescent="0.4">
      <c r="C60" s="7" t="str">
        <f ca="1">IFERROR(INDIRECT(B60&amp;"40"),"")</f>
        <v/>
      </c>
      <c r="D60" t="s">
        <v>15</v>
      </c>
      <c r="E60">
        <f>1*(DAY(E58)=1)</f>
        <v>1</v>
      </c>
      <c r="F60" s="6" t="str">
        <f t="shared" ca="1" si="8"/>
        <v/>
      </c>
      <c r="G60" s="14" t="str">
        <f t="shared" ca="1" si="9"/>
        <v/>
      </c>
      <c r="I60" s="305">
        <v>2023</v>
      </c>
      <c r="J60" s="306">
        <v>1</v>
      </c>
      <c r="K60" s="306" t="s">
        <v>33</v>
      </c>
      <c r="L60" s="306">
        <v>254338</v>
      </c>
      <c r="M60" s="306">
        <v>248731</v>
      </c>
      <c r="N60" s="306">
        <v>412</v>
      </c>
      <c r="O60" s="306">
        <v>2089</v>
      </c>
      <c r="P60" s="306">
        <v>411</v>
      </c>
      <c r="Q60" s="306">
        <v>164</v>
      </c>
      <c r="R60" s="24"/>
      <c r="S60" s="24"/>
      <c r="T60" s="24"/>
      <c r="W60" s="24">
        <v>2022</v>
      </c>
      <c r="X60" s="24">
        <v>52</v>
      </c>
      <c r="Y60" s="24" t="s">
        <v>32</v>
      </c>
      <c r="Z60" s="24">
        <v>15051</v>
      </c>
      <c r="AA60" s="24">
        <v>14930</v>
      </c>
      <c r="AB60" s="24">
        <v>10</v>
      </c>
      <c r="AC60" s="24">
        <v>8</v>
      </c>
      <c r="AD60" s="24"/>
      <c r="AE60" s="24"/>
      <c r="AF60" s="24"/>
      <c r="AG60" s="24"/>
      <c r="AH60" s="24"/>
      <c r="AI60" s="24"/>
      <c r="AJ60" s="24"/>
      <c r="AK60" s="24">
        <v>2022</v>
      </c>
      <c r="AL60" s="24">
        <v>52</v>
      </c>
      <c r="AM60" s="24">
        <v>573.43000000000006</v>
      </c>
      <c r="AN60" s="24">
        <v>58.620000000000005</v>
      </c>
      <c r="AO60" s="24">
        <v>0</v>
      </c>
      <c r="AP60" s="24">
        <v>14</v>
      </c>
      <c r="AQ60" s="24">
        <v>0</v>
      </c>
      <c r="AR60" s="24">
        <v>0</v>
      </c>
      <c r="AS60" s="24" t="s">
        <v>32</v>
      </c>
      <c r="AT60" s="24"/>
      <c r="AU60" s="24">
        <v>2022</v>
      </c>
      <c r="AV60" s="24">
        <v>52</v>
      </c>
      <c r="AW60" s="24">
        <v>0.13</v>
      </c>
      <c r="AX60" s="24">
        <v>2100</v>
      </c>
      <c r="AY60" s="24">
        <v>15739</v>
      </c>
      <c r="AZ60" s="24" t="s">
        <v>32</v>
      </c>
      <c r="BA60" s="24"/>
      <c r="BB60" s="24"/>
      <c r="BC60" s="24">
        <v>2022</v>
      </c>
      <c r="BD60" s="24">
        <v>52</v>
      </c>
      <c r="BE60" s="24">
        <v>284.42228571428598</v>
      </c>
      <c r="BF60" s="24" t="s">
        <v>32</v>
      </c>
      <c r="BG60" s="24"/>
      <c r="BI60" s="24">
        <v>2023</v>
      </c>
      <c r="BJ60" s="24">
        <v>5</v>
      </c>
      <c r="BK60" s="24" t="s">
        <v>33</v>
      </c>
      <c r="BL60" s="24" t="s">
        <v>272</v>
      </c>
      <c r="BM60" s="24">
        <v>62045</v>
      </c>
      <c r="BN60" s="24">
        <v>61742</v>
      </c>
      <c r="BO60" s="24">
        <v>221742</v>
      </c>
      <c r="BR60" s="24">
        <v>2022</v>
      </c>
      <c r="BS60" s="24">
        <v>52</v>
      </c>
      <c r="BT60" s="24">
        <v>15674</v>
      </c>
      <c r="BU60" s="24">
        <v>39</v>
      </c>
      <c r="BV60" s="24" t="s">
        <v>32</v>
      </c>
      <c r="BY60" s="24">
        <v>2023</v>
      </c>
      <c r="BZ60" s="24">
        <v>3</v>
      </c>
      <c r="CA60" s="24" t="s">
        <v>32</v>
      </c>
      <c r="CB60" s="24" t="s">
        <v>108</v>
      </c>
      <c r="CC60" s="24">
        <v>1</v>
      </c>
      <c r="CF60" s="24">
        <v>2022</v>
      </c>
      <c r="CG60" s="24">
        <v>52</v>
      </c>
      <c r="CH60" s="24" t="s">
        <v>32</v>
      </c>
      <c r="CI60" s="24">
        <v>39.467213114754095</v>
      </c>
      <c r="CJ60" s="24">
        <v>13482</v>
      </c>
      <c r="CK60" s="24">
        <v>341.6</v>
      </c>
      <c r="CL60" s="24">
        <v>33.130983463881634</v>
      </c>
      <c r="CM60" s="24">
        <v>9324</v>
      </c>
      <c r="CN60" s="24">
        <v>15227</v>
      </c>
      <c r="CO60" s="24">
        <v>459.6</v>
      </c>
      <c r="CP60" s="24">
        <v>8097</v>
      </c>
      <c r="CQ60" s="24">
        <v>52.6</v>
      </c>
      <c r="CR60" s="24">
        <v>258.7</v>
      </c>
      <c r="CS60" s="24">
        <v>8417</v>
      </c>
      <c r="CT60" s="24">
        <v>8417</v>
      </c>
      <c r="CU60" s="24">
        <v>289.10000000000002</v>
      </c>
      <c r="CV60" s="24">
        <v>3096</v>
      </c>
      <c r="CW60" s="24">
        <v>0</v>
      </c>
      <c r="CX60" s="24">
        <v>7249</v>
      </c>
      <c r="CY60" s="24">
        <v>86.9</v>
      </c>
      <c r="CZ60" s="24">
        <v>6837</v>
      </c>
      <c r="DA60" s="24">
        <v>258.7</v>
      </c>
      <c r="DD60" s="24">
        <v>2022</v>
      </c>
      <c r="DE60" s="24">
        <v>52</v>
      </c>
      <c r="DF60" s="24" t="s">
        <v>32</v>
      </c>
      <c r="DG60" s="24">
        <v>1370</v>
      </c>
      <c r="DH60" s="24">
        <v>1859</v>
      </c>
      <c r="DJ60" s="24">
        <v>2022</v>
      </c>
      <c r="DK60" s="24">
        <v>52</v>
      </c>
      <c r="DL60" s="24" t="s">
        <v>32</v>
      </c>
      <c r="DM60" s="24">
        <v>1</v>
      </c>
      <c r="DP60" s="24">
        <v>2022</v>
      </c>
      <c r="DQ60" s="24">
        <v>52</v>
      </c>
      <c r="DR60" s="24" t="s">
        <v>32</v>
      </c>
      <c r="DS60" s="24">
        <v>253</v>
      </c>
      <c r="DT60" s="24">
        <v>491</v>
      </c>
      <c r="DU60" s="24"/>
      <c r="DW60" s="24">
        <v>2023</v>
      </c>
      <c r="DX60" s="24">
        <v>3</v>
      </c>
      <c r="DY60" s="24" t="s">
        <v>32</v>
      </c>
      <c r="DZ60" s="24">
        <v>3</v>
      </c>
      <c r="EA60" s="24" t="s">
        <v>149</v>
      </c>
      <c r="EB60" s="24">
        <v>0</v>
      </c>
      <c r="EC60" s="24">
        <v>91.5</v>
      </c>
      <c r="ED60" s="24">
        <v>2339</v>
      </c>
      <c r="EE60" s="24">
        <v>1918</v>
      </c>
      <c r="EF60" s="24">
        <v>17.600000000000001</v>
      </c>
      <c r="EI60" s="24">
        <v>2023</v>
      </c>
      <c r="EJ60" s="24">
        <v>9</v>
      </c>
      <c r="EK60" s="24" t="s">
        <v>208</v>
      </c>
      <c r="EL60" s="24" t="s">
        <v>209</v>
      </c>
      <c r="EM60" s="24" t="s">
        <v>210</v>
      </c>
      <c r="EN60" s="24">
        <v>1</v>
      </c>
      <c r="EO60" s="24"/>
      <c r="EP60" s="24"/>
      <c r="EQ60" s="24"/>
      <c r="ER60" s="24"/>
      <c r="ES60" s="24">
        <v>2022</v>
      </c>
      <c r="ET60" s="24">
        <v>50</v>
      </c>
      <c r="EU60" s="24" t="s">
        <v>33</v>
      </c>
      <c r="EV60" s="24">
        <v>149011</v>
      </c>
      <c r="EY60" s="24">
        <v>2022</v>
      </c>
      <c r="EZ60" s="24">
        <v>52</v>
      </c>
      <c r="FA60" s="24" t="s">
        <v>32</v>
      </c>
      <c r="FB60" s="24">
        <v>1118</v>
      </c>
      <c r="FE60" s="24">
        <v>2022</v>
      </c>
      <c r="FF60" s="24">
        <v>52</v>
      </c>
      <c r="FG60" s="24" t="s">
        <v>32</v>
      </c>
      <c r="FH60" s="24">
        <v>0.89850000000000008</v>
      </c>
      <c r="FI60" s="24">
        <v>479</v>
      </c>
      <c r="FJ60" s="24">
        <v>213</v>
      </c>
      <c r="FK60" s="24">
        <v>240</v>
      </c>
      <c r="FN60" s="24">
        <v>2023</v>
      </c>
      <c r="FO60" s="24">
        <v>1</v>
      </c>
      <c r="FP60" s="24" t="s">
        <v>32</v>
      </c>
      <c r="FQ60" s="24">
        <v>37431</v>
      </c>
      <c r="FR60" s="24">
        <v>1124.61666666667</v>
      </c>
      <c r="FS60" s="24">
        <v>20001</v>
      </c>
      <c r="FT60" s="24">
        <v>254.05</v>
      </c>
      <c r="FW60" s="24">
        <v>2022</v>
      </c>
      <c r="FX60" s="24">
        <v>52</v>
      </c>
      <c r="FY60" s="24" t="s">
        <v>32</v>
      </c>
      <c r="FZ60" s="24">
        <v>2699</v>
      </c>
      <c r="GA60" s="24">
        <v>2550</v>
      </c>
      <c r="GB60" s="24"/>
      <c r="GC60" s="24"/>
      <c r="GD60" s="24">
        <v>2022</v>
      </c>
      <c r="GE60" s="24">
        <v>52</v>
      </c>
      <c r="GF60" s="24" t="s">
        <v>32</v>
      </c>
      <c r="GG60" s="24">
        <v>2689</v>
      </c>
      <c r="GH60" s="24">
        <v>2665</v>
      </c>
      <c r="GK60" s="24"/>
      <c r="GL60" s="24"/>
      <c r="GM60" s="24"/>
      <c r="GN60" s="24"/>
      <c r="GO60" s="24"/>
      <c r="GP60" s="24">
        <v>2022</v>
      </c>
      <c r="GQ60" s="24">
        <v>52</v>
      </c>
      <c r="GR60" s="24">
        <v>3.0369999999999999</v>
      </c>
      <c r="GS60" s="24" t="s">
        <v>32</v>
      </c>
      <c r="GX60">
        <v>2022</v>
      </c>
      <c r="GY60">
        <v>52</v>
      </c>
      <c r="GZ60" t="s">
        <v>32</v>
      </c>
      <c r="HA60">
        <v>15429</v>
      </c>
      <c r="HB60">
        <v>14946</v>
      </c>
      <c r="HC60">
        <v>16</v>
      </c>
      <c r="HD60">
        <v>3</v>
      </c>
      <c r="HE60">
        <v>9</v>
      </c>
      <c r="HF60">
        <v>27</v>
      </c>
      <c r="HG60">
        <v>0</v>
      </c>
      <c r="HH60">
        <v>0</v>
      </c>
      <c r="HI60">
        <v>51</v>
      </c>
      <c r="HL60">
        <v>2022</v>
      </c>
      <c r="HM60">
        <v>52</v>
      </c>
      <c r="HN60" t="s">
        <v>32</v>
      </c>
      <c r="HO60">
        <v>15024</v>
      </c>
      <c r="HP60">
        <v>14965</v>
      </c>
      <c r="HQ60">
        <v>23</v>
      </c>
      <c r="HR60">
        <v>1</v>
      </c>
      <c r="HS60">
        <v>1</v>
      </c>
      <c r="HT60">
        <v>10</v>
      </c>
      <c r="HU60">
        <v>0</v>
      </c>
      <c r="HV60">
        <v>0</v>
      </c>
      <c r="HW60">
        <v>5</v>
      </c>
      <c r="HZ60" s="24">
        <v>2022</v>
      </c>
      <c r="IA60" s="24">
        <v>52</v>
      </c>
      <c r="IB60" s="24" t="s">
        <v>32</v>
      </c>
      <c r="IC60" s="24">
        <v>2602</v>
      </c>
      <c r="ID60" s="24">
        <v>2421</v>
      </c>
      <c r="IG60" s="24">
        <v>2022</v>
      </c>
      <c r="IH60" s="24">
        <v>52</v>
      </c>
      <c r="II60" s="24" t="s">
        <v>32</v>
      </c>
      <c r="IJ60" s="24">
        <v>2606</v>
      </c>
      <c r="IK60" s="24">
        <v>2587</v>
      </c>
    </row>
    <row r="61" spans="1:245" x14ac:dyDescent="0.4">
      <c r="I61" s="305">
        <v>2022</v>
      </c>
      <c r="J61" s="306">
        <v>52</v>
      </c>
      <c r="K61" s="306" t="s">
        <v>32</v>
      </c>
      <c r="L61" s="306">
        <v>15046</v>
      </c>
      <c r="M61" s="306">
        <v>14595</v>
      </c>
      <c r="N61" s="306">
        <v>24</v>
      </c>
      <c r="O61" s="306">
        <v>361</v>
      </c>
      <c r="P61" s="306">
        <v>83</v>
      </c>
      <c r="Q61" s="306">
        <v>10</v>
      </c>
      <c r="R61" s="24"/>
      <c r="S61" s="24"/>
      <c r="T61" s="24"/>
      <c r="W61" s="24">
        <v>2022</v>
      </c>
      <c r="X61" s="24">
        <v>52</v>
      </c>
      <c r="Y61" s="24" t="s">
        <v>33</v>
      </c>
      <c r="Z61" s="24">
        <v>254176</v>
      </c>
      <c r="AA61" s="24">
        <v>249376</v>
      </c>
      <c r="AB61" s="24">
        <v>233</v>
      </c>
      <c r="AC61" s="24">
        <v>82</v>
      </c>
      <c r="AD61" s="24"/>
      <c r="AE61" s="24"/>
      <c r="AF61" s="24"/>
      <c r="AG61" s="24"/>
      <c r="AH61" s="24"/>
      <c r="AI61" s="24"/>
      <c r="AJ61" s="24"/>
      <c r="AK61" s="24">
        <v>2022</v>
      </c>
      <c r="AL61" s="24">
        <v>52</v>
      </c>
      <c r="AM61" s="24">
        <v>20237.82</v>
      </c>
      <c r="AN61" s="24">
        <v>984.28</v>
      </c>
      <c r="AO61" s="24">
        <v>0</v>
      </c>
      <c r="AP61" s="24">
        <v>545</v>
      </c>
      <c r="AQ61" s="24">
        <v>0</v>
      </c>
      <c r="AR61" s="24">
        <v>5</v>
      </c>
      <c r="AS61" s="24" t="s">
        <v>33</v>
      </c>
      <c r="AT61" s="24"/>
      <c r="AU61" s="24">
        <v>2022</v>
      </c>
      <c r="AV61" s="24">
        <v>52</v>
      </c>
      <c r="AW61" s="24">
        <v>0.06</v>
      </c>
      <c r="AX61" s="24">
        <v>14700</v>
      </c>
      <c r="AY61" s="24">
        <v>264291</v>
      </c>
      <c r="AZ61" s="24" t="s">
        <v>33</v>
      </c>
      <c r="BA61" s="24"/>
      <c r="BB61" s="24"/>
      <c r="BC61" s="24">
        <v>2022</v>
      </c>
      <c r="BD61" s="24">
        <v>52</v>
      </c>
      <c r="BE61" s="24">
        <v>2930.6767142857097</v>
      </c>
      <c r="BF61" s="24" t="s">
        <v>33</v>
      </c>
      <c r="BG61" s="24"/>
      <c r="BI61" s="24">
        <v>2023</v>
      </c>
      <c r="BJ61" s="24">
        <v>5</v>
      </c>
      <c r="BK61" s="24" t="s">
        <v>32</v>
      </c>
      <c r="BL61" s="24" t="s">
        <v>273</v>
      </c>
      <c r="BM61" s="24">
        <v>8903</v>
      </c>
      <c r="BN61" s="24">
        <v>8781</v>
      </c>
      <c r="BO61" s="24">
        <v>10762</v>
      </c>
      <c r="BR61" s="24">
        <v>2022</v>
      </c>
      <c r="BS61" s="24">
        <v>52</v>
      </c>
      <c r="BT61" s="24">
        <v>263522</v>
      </c>
      <c r="BU61" s="24">
        <v>318</v>
      </c>
      <c r="BV61" s="24" t="s">
        <v>33</v>
      </c>
      <c r="BY61" s="24">
        <v>2023</v>
      </c>
      <c r="BZ61" s="24">
        <v>3</v>
      </c>
      <c r="CA61" s="24" t="s">
        <v>32</v>
      </c>
      <c r="CB61" s="24" t="s">
        <v>423</v>
      </c>
      <c r="CC61" s="24">
        <v>1</v>
      </c>
      <c r="CF61" s="24">
        <v>2022</v>
      </c>
      <c r="CG61" s="24">
        <v>52</v>
      </c>
      <c r="CH61" s="24" t="s">
        <v>33</v>
      </c>
      <c r="CI61" s="24">
        <v>124.05434614790798</v>
      </c>
      <c r="CJ61" s="24">
        <v>241050</v>
      </c>
      <c r="CK61" s="24">
        <v>1943.1</v>
      </c>
      <c r="CL61" s="24">
        <v>111.29166666666667</v>
      </c>
      <c r="CM61" s="24">
        <v>122182</v>
      </c>
      <c r="CN61" s="24">
        <v>243061</v>
      </c>
      <c r="CO61" s="24">
        <v>2184</v>
      </c>
      <c r="CP61" s="24">
        <v>92063</v>
      </c>
      <c r="CQ61" s="24">
        <v>730.5</v>
      </c>
      <c r="CR61" s="24">
        <v>2811.6</v>
      </c>
      <c r="CS61" s="24">
        <v>154993</v>
      </c>
      <c r="CT61" s="24">
        <v>154993</v>
      </c>
      <c r="CU61" s="24">
        <v>1479.4</v>
      </c>
      <c r="CV61" s="24">
        <v>67883</v>
      </c>
      <c r="CW61" s="24">
        <v>0</v>
      </c>
      <c r="CX61" s="24">
        <v>153271</v>
      </c>
      <c r="CY61" s="24">
        <v>1215.9000000000001</v>
      </c>
      <c r="CZ61" s="24">
        <v>68552</v>
      </c>
      <c r="DA61" s="24">
        <v>2811.6</v>
      </c>
      <c r="DD61" s="24">
        <v>2022</v>
      </c>
      <c r="DE61" s="24">
        <v>52</v>
      </c>
      <c r="DF61" s="24" t="s">
        <v>33</v>
      </c>
      <c r="DG61" s="24">
        <v>25302</v>
      </c>
      <c r="DH61" s="24">
        <v>32335</v>
      </c>
      <c r="DJ61" s="24">
        <v>2022</v>
      </c>
      <c r="DK61" s="24">
        <v>52</v>
      </c>
      <c r="DL61" s="24" t="s">
        <v>33</v>
      </c>
      <c r="DM61" s="24">
        <v>52</v>
      </c>
      <c r="DP61" s="24">
        <v>2022</v>
      </c>
      <c r="DQ61" s="24">
        <v>52</v>
      </c>
      <c r="DR61" s="24" t="s">
        <v>33</v>
      </c>
      <c r="DS61" s="24">
        <v>2767</v>
      </c>
      <c r="DT61" s="24">
        <v>4973</v>
      </c>
      <c r="DU61" s="24"/>
      <c r="DW61" s="24">
        <v>2023</v>
      </c>
      <c r="DX61" s="24">
        <v>3</v>
      </c>
      <c r="DY61" s="24" t="s">
        <v>33</v>
      </c>
      <c r="DZ61" s="24">
        <v>14</v>
      </c>
      <c r="EA61" s="24" t="s">
        <v>562</v>
      </c>
      <c r="EB61" s="24">
        <v>406</v>
      </c>
      <c r="EC61" s="24">
        <v>0</v>
      </c>
      <c r="ED61" s="24">
        <v>2</v>
      </c>
      <c r="EE61" s="24">
        <v>14316</v>
      </c>
      <c r="EF61" s="24">
        <v>2.5</v>
      </c>
      <c r="EI61" s="24">
        <v>2023</v>
      </c>
      <c r="EJ61" s="24">
        <v>9</v>
      </c>
      <c r="EK61" s="24" t="s">
        <v>33</v>
      </c>
      <c r="EL61" s="24" t="s">
        <v>233</v>
      </c>
      <c r="EM61" s="24" t="s">
        <v>210</v>
      </c>
      <c r="EN61" s="24">
        <v>2</v>
      </c>
      <c r="EO61" s="24"/>
      <c r="EP61" s="24"/>
      <c r="EQ61" s="24"/>
      <c r="ER61" s="24"/>
      <c r="ES61" s="24">
        <v>2022</v>
      </c>
      <c r="ET61" s="24">
        <v>49</v>
      </c>
      <c r="EU61" s="24" t="s">
        <v>32</v>
      </c>
      <c r="EV61" s="24">
        <v>6680</v>
      </c>
      <c r="EY61" s="24">
        <v>2022</v>
      </c>
      <c r="EZ61" s="24">
        <v>52</v>
      </c>
      <c r="FA61" s="24" t="s">
        <v>33</v>
      </c>
      <c r="FB61" s="24">
        <v>1173</v>
      </c>
      <c r="FE61" s="24">
        <v>2022</v>
      </c>
      <c r="FF61" s="24">
        <v>52</v>
      </c>
      <c r="FG61" s="24" t="s">
        <v>33</v>
      </c>
      <c r="FH61" s="24">
        <v>0.99470000000000003</v>
      </c>
      <c r="FI61" s="24">
        <v>13112</v>
      </c>
      <c r="FJ61" s="24">
        <v>5939</v>
      </c>
      <c r="FK61" s="24">
        <v>5977</v>
      </c>
      <c r="FN61" s="24">
        <v>2023</v>
      </c>
      <c r="FO61" s="24">
        <v>1</v>
      </c>
      <c r="FP61" s="24" t="s">
        <v>33</v>
      </c>
      <c r="FQ61" s="24">
        <v>825014</v>
      </c>
      <c r="FR61" s="24">
        <v>9046.716666666669</v>
      </c>
      <c r="FS61" s="24">
        <v>186822</v>
      </c>
      <c r="FT61" s="24">
        <v>2125.75</v>
      </c>
      <c r="FW61" s="24">
        <v>2022</v>
      </c>
      <c r="FX61" s="24">
        <v>52</v>
      </c>
      <c r="FY61" s="24" t="s">
        <v>33</v>
      </c>
      <c r="FZ61" s="24">
        <v>25698</v>
      </c>
      <c r="GA61" s="24">
        <v>24127</v>
      </c>
      <c r="GB61" s="24"/>
      <c r="GC61" s="24"/>
      <c r="GD61" s="24">
        <v>2022</v>
      </c>
      <c r="GE61" s="24">
        <v>52</v>
      </c>
      <c r="GF61" s="24" t="s">
        <v>33</v>
      </c>
      <c r="GG61" s="24">
        <v>25641</v>
      </c>
      <c r="GH61" s="24">
        <v>24212</v>
      </c>
      <c r="GK61" s="24"/>
      <c r="GL61" s="24"/>
      <c r="GM61" s="24"/>
      <c r="GN61" s="24"/>
      <c r="GO61" s="24"/>
      <c r="GP61" s="24">
        <v>2022</v>
      </c>
      <c r="GQ61" s="24">
        <v>52</v>
      </c>
      <c r="GR61" s="24">
        <v>38.157000000000004</v>
      </c>
      <c r="GS61" s="24" t="s">
        <v>33</v>
      </c>
      <c r="GX61">
        <v>2022</v>
      </c>
      <c r="GY61">
        <v>52</v>
      </c>
      <c r="GZ61" t="s">
        <v>33</v>
      </c>
      <c r="HA61">
        <v>259667</v>
      </c>
      <c r="HB61">
        <v>257540</v>
      </c>
      <c r="HC61">
        <v>191</v>
      </c>
      <c r="HD61">
        <v>68</v>
      </c>
      <c r="HE61">
        <v>23</v>
      </c>
      <c r="HF61">
        <v>117</v>
      </c>
      <c r="HG61">
        <v>0</v>
      </c>
      <c r="HH61">
        <v>92</v>
      </c>
      <c r="HI61">
        <v>504</v>
      </c>
      <c r="HL61">
        <v>2022</v>
      </c>
      <c r="HM61">
        <v>52</v>
      </c>
      <c r="HN61" t="s">
        <v>33</v>
      </c>
      <c r="HO61">
        <v>253902</v>
      </c>
      <c r="HP61">
        <v>252879</v>
      </c>
      <c r="HQ61">
        <v>319</v>
      </c>
      <c r="HR61">
        <v>14</v>
      </c>
      <c r="HS61">
        <v>11</v>
      </c>
      <c r="HT61">
        <v>97</v>
      </c>
      <c r="HU61">
        <v>0</v>
      </c>
      <c r="HV61">
        <v>81</v>
      </c>
      <c r="HW61">
        <v>53</v>
      </c>
      <c r="HZ61" s="24">
        <v>2022</v>
      </c>
      <c r="IA61" s="24">
        <v>52</v>
      </c>
      <c r="IB61" s="24" t="s">
        <v>33</v>
      </c>
      <c r="IC61" s="24">
        <v>26160</v>
      </c>
      <c r="ID61" s="24">
        <v>25809</v>
      </c>
      <c r="IG61" s="24">
        <v>2022</v>
      </c>
      <c r="IH61" s="24">
        <v>52</v>
      </c>
      <c r="II61" s="24" t="s">
        <v>33</v>
      </c>
      <c r="IJ61" s="24">
        <v>24566</v>
      </c>
      <c r="IK61" s="24">
        <v>24448</v>
      </c>
    </row>
    <row r="62" spans="1:245" x14ac:dyDescent="0.4">
      <c r="I62" s="305">
        <v>2022</v>
      </c>
      <c r="J62" s="306">
        <v>52</v>
      </c>
      <c r="K62" s="306" t="s">
        <v>33</v>
      </c>
      <c r="L62" s="306">
        <v>255917</v>
      </c>
      <c r="M62" s="306">
        <v>250459</v>
      </c>
      <c r="N62" s="306">
        <v>408</v>
      </c>
      <c r="O62" s="306">
        <v>1950</v>
      </c>
      <c r="P62" s="306">
        <v>327</v>
      </c>
      <c r="Q62" s="306">
        <v>83</v>
      </c>
      <c r="R62" s="24"/>
      <c r="S62" s="24"/>
      <c r="T62" s="24"/>
      <c r="W62" s="24">
        <v>2022</v>
      </c>
      <c r="X62" s="24">
        <v>51</v>
      </c>
      <c r="Y62" s="24" t="s">
        <v>32</v>
      </c>
      <c r="Z62" s="24">
        <v>16493</v>
      </c>
      <c r="AA62" s="24">
        <v>15986</v>
      </c>
      <c r="AB62" s="24">
        <v>39</v>
      </c>
      <c r="AC62" s="24">
        <v>1</v>
      </c>
      <c r="AD62" s="24"/>
      <c r="AE62" s="24"/>
      <c r="AF62" s="24"/>
      <c r="AG62" s="24"/>
      <c r="AH62" s="24"/>
      <c r="AI62" s="24"/>
      <c r="AJ62" s="24"/>
      <c r="AK62" s="24">
        <v>2022</v>
      </c>
      <c r="AL62" s="24">
        <v>51</v>
      </c>
      <c r="AM62" s="24">
        <v>619.85</v>
      </c>
      <c r="AN62" s="24">
        <v>73.47</v>
      </c>
      <c r="AO62" s="24">
        <v>0</v>
      </c>
      <c r="AP62" s="24">
        <v>14</v>
      </c>
      <c r="AQ62" s="24">
        <v>0</v>
      </c>
      <c r="AR62" s="24">
        <v>0</v>
      </c>
      <c r="AS62" s="24" t="s">
        <v>32</v>
      </c>
      <c r="AT62" s="24"/>
      <c r="AU62" s="24">
        <v>2022</v>
      </c>
      <c r="AV62" s="24">
        <v>51</v>
      </c>
      <c r="AW62" s="24">
        <v>0.23</v>
      </c>
      <c r="AX62" s="24">
        <v>3900</v>
      </c>
      <c r="AY62" s="24">
        <v>17239</v>
      </c>
      <c r="AZ62" s="24" t="s">
        <v>32</v>
      </c>
      <c r="BA62" s="24"/>
      <c r="BB62" s="24"/>
      <c r="BC62" s="24">
        <v>2022</v>
      </c>
      <c r="BD62" s="24">
        <v>51</v>
      </c>
      <c r="BE62" s="24">
        <v>286.04228571428598</v>
      </c>
      <c r="BF62" s="24" t="s">
        <v>32</v>
      </c>
      <c r="BG62" s="24"/>
      <c r="BI62" s="24">
        <v>2023</v>
      </c>
      <c r="BJ62" s="24">
        <v>4</v>
      </c>
      <c r="BK62" s="24" t="s">
        <v>32</v>
      </c>
      <c r="BL62" s="24" t="s">
        <v>272</v>
      </c>
      <c r="BM62" s="24">
        <v>3826</v>
      </c>
      <c r="BN62" s="24">
        <v>3743</v>
      </c>
      <c r="BO62" s="24">
        <v>13344</v>
      </c>
      <c r="BR62" s="24">
        <v>2022</v>
      </c>
      <c r="BS62" s="24">
        <v>51</v>
      </c>
      <c r="BT62" s="24">
        <v>17121</v>
      </c>
      <c r="BU62" s="24">
        <v>69</v>
      </c>
      <c r="BV62" s="24" t="s">
        <v>32</v>
      </c>
      <c r="BY62" s="24">
        <v>2023</v>
      </c>
      <c r="BZ62" s="24">
        <v>3</v>
      </c>
      <c r="CA62" s="24" t="s">
        <v>33</v>
      </c>
      <c r="CB62" s="24" t="s">
        <v>108</v>
      </c>
      <c r="CC62" s="24">
        <v>7</v>
      </c>
      <c r="CF62" s="24">
        <v>2022</v>
      </c>
      <c r="CG62" s="24">
        <v>51</v>
      </c>
      <c r="CH62" s="24" t="s">
        <v>32</v>
      </c>
      <c r="CI62" s="24">
        <v>38.102189781021899</v>
      </c>
      <c r="CJ62" s="24">
        <v>15660</v>
      </c>
      <c r="CK62" s="24">
        <v>411</v>
      </c>
      <c r="CL62" s="24">
        <v>35.867507886435334</v>
      </c>
      <c r="CM62" s="24">
        <v>10140</v>
      </c>
      <c r="CN62" s="24">
        <v>17055</v>
      </c>
      <c r="CO62" s="24">
        <v>475.5</v>
      </c>
      <c r="CP62" s="24">
        <v>10351</v>
      </c>
      <c r="CQ62" s="24">
        <v>48.2</v>
      </c>
      <c r="CR62" s="24">
        <v>343.2</v>
      </c>
      <c r="CS62" s="24">
        <v>10939</v>
      </c>
      <c r="CT62" s="24">
        <v>10939</v>
      </c>
      <c r="CU62" s="24">
        <v>335.2</v>
      </c>
      <c r="CV62" s="24">
        <v>3649</v>
      </c>
      <c r="CW62" s="24">
        <v>0</v>
      </c>
      <c r="CX62" s="24">
        <v>12666</v>
      </c>
      <c r="CY62" s="24">
        <v>89.6</v>
      </c>
      <c r="CZ62" s="24">
        <v>9217</v>
      </c>
      <c r="DA62" s="24">
        <v>343.2</v>
      </c>
      <c r="DD62" s="24">
        <v>2022</v>
      </c>
      <c r="DE62" s="24">
        <v>51</v>
      </c>
      <c r="DF62" s="24" t="s">
        <v>32</v>
      </c>
      <c r="DG62" s="24">
        <v>2171</v>
      </c>
      <c r="DH62" s="24">
        <v>1967</v>
      </c>
      <c r="DJ62" s="24">
        <v>2022</v>
      </c>
      <c r="DK62" s="24">
        <v>51</v>
      </c>
      <c r="DL62" s="24" t="s">
        <v>32</v>
      </c>
      <c r="DM62" s="24">
        <v>1</v>
      </c>
      <c r="DP62" s="24">
        <v>2022</v>
      </c>
      <c r="DQ62" s="24">
        <v>51</v>
      </c>
      <c r="DR62" s="24" t="s">
        <v>32</v>
      </c>
      <c r="DS62" s="24">
        <v>474</v>
      </c>
      <c r="DT62" s="24">
        <v>369</v>
      </c>
      <c r="DU62" s="24"/>
      <c r="DW62" s="24">
        <v>2023</v>
      </c>
      <c r="DX62" s="24">
        <v>3</v>
      </c>
      <c r="DY62" s="24" t="s">
        <v>33</v>
      </c>
      <c r="DZ62" s="24">
        <v>112</v>
      </c>
      <c r="EA62" s="24" t="s">
        <v>149</v>
      </c>
      <c r="EB62" s="24">
        <v>67.5</v>
      </c>
      <c r="EC62" s="24">
        <v>3494.8</v>
      </c>
      <c r="ED62" s="24">
        <v>90531</v>
      </c>
      <c r="EE62" s="24">
        <v>91695</v>
      </c>
      <c r="EF62" s="24">
        <v>361.3</v>
      </c>
      <c r="EI62" s="24">
        <v>2023</v>
      </c>
      <c r="EJ62" s="24">
        <v>9</v>
      </c>
      <c r="EK62" s="24" t="s">
        <v>33</v>
      </c>
      <c r="EL62" s="24" t="s">
        <v>233</v>
      </c>
      <c r="EM62" s="24" t="s">
        <v>215</v>
      </c>
      <c r="EN62" s="24">
        <v>2</v>
      </c>
      <c r="EO62" s="24"/>
      <c r="EP62" s="24"/>
      <c r="EQ62" s="24"/>
      <c r="ER62" s="24"/>
      <c r="ES62" s="24">
        <v>2022</v>
      </c>
      <c r="ET62" s="24">
        <v>49</v>
      </c>
      <c r="EU62" s="24" t="s">
        <v>33</v>
      </c>
      <c r="EV62" s="24">
        <v>132553</v>
      </c>
      <c r="EY62" s="24">
        <v>2022</v>
      </c>
      <c r="EZ62" s="24">
        <v>51</v>
      </c>
      <c r="FA62" s="24" t="s">
        <v>32</v>
      </c>
      <c r="FB62" s="24">
        <v>1270</v>
      </c>
      <c r="FE62" s="24">
        <v>2022</v>
      </c>
      <c r="FF62" s="24">
        <v>51</v>
      </c>
      <c r="FG62" s="24" t="s">
        <v>32</v>
      </c>
      <c r="FH62" s="24">
        <v>0.90990000000000004</v>
      </c>
      <c r="FI62" s="24">
        <v>418</v>
      </c>
      <c r="FJ62" s="24">
        <v>196</v>
      </c>
      <c r="FK62" s="24">
        <v>216</v>
      </c>
      <c r="FN62" s="24">
        <v>2022</v>
      </c>
      <c r="FO62" s="24">
        <v>52</v>
      </c>
      <c r="FP62" s="24" t="s">
        <v>32</v>
      </c>
      <c r="FQ62" s="24">
        <v>37687</v>
      </c>
      <c r="FR62" s="24">
        <v>1344.0333333333299</v>
      </c>
      <c r="FS62" s="24">
        <v>25961</v>
      </c>
      <c r="FT62" s="24">
        <v>449.433333333333</v>
      </c>
      <c r="FW62" s="24">
        <v>2022</v>
      </c>
      <c r="FX62" s="24">
        <v>51</v>
      </c>
      <c r="FY62" s="24" t="s">
        <v>32</v>
      </c>
      <c r="FZ62" s="24">
        <v>2842</v>
      </c>
      <c r="GA62" s="24">
        <v>2463</v>
      </c>
      <c r="GB62" s="24"/>
      <c r="GC62" s="24"/>
      <c r="GD62" s="24">
        <v>2022</v>
      </c>
      <c r="GE62" s="24">
        <v>51</v>
      </c>
      <c r="GF62" s="24" t="s">
        <v>32</v>
      </c>
      <c r="GG62" s="24">
        <v>2844</v>
      </c>
      <c r="GH62" s="24">
        <v>2552</v>
      </c>
      <c r="GK62" s="24"/>
      <c r="GL62" s="24"/>
      <c r="GM62" s="24"/>
      <c r="GN62" s="24"/>
      <c r="GO62" s="24"/>
      <c r="GP62" s="24">
        <v>2022</v>
      </c>
      <c r="GQ62" s="24">
        <v>51</v>
      </c>
      <c r="GR62" s="24">
        <v>3.04942857142857</v>
      </c>
      <c r="GS62" s="24" t="s">
        <v>32</v>
      </c>
      <c r="GX62">
        <v>2022</v>
      </c>
      <c r="GY62">
        <v>51</v>
      </c>
      <c r="GZ62" t="s">
        <v>32</v>
      </c>
      <c r="HA62">
        <v>16446</v>
      </c>
      <c r="HB62">
        <v>15545</v>
      </c>
      <c r="HC62">
        <v>50</v>
      </c>
      <c r="HD62">
        <v>7</v>
      </c>
      <c r="HE62">
        <v>8</v>
      </c>
      <c r="HF62">
        <v>246</v>
      </c>
      <c r="HG62">
        <v>0</v>
      </c>
      <c r="HH62">
        <v>0</v>
      </c>
      <c r="HI62">
        <v>111</v>
      </c>
      <c r="HL62">
        <v>2022</v>
      </c>
      <c r="HM62">
        <v>51</v>
      </c>
      <c r="HN62" t="s">
        <v>32</v>
      </c>
      <c r="HO62">
        <v>16352</v>
      </c>
      <c r="HP62">
        <v>15879</v>
      </c>
      <c r="HQ62">
        <v>64</v>
      </c>
      <c r="HR62">
        <v>9</v>
      </c>
      <c r="HS62">
        <v>10</v>
      </c>
      <c r="HT62">
        <v>338</v>
      </c>
      <c r="HU62">
        <v>0</v>
      </c>
      <c r="HV62">
        <v>0</v>
      </c>
      <c r="HW62">
        <v>23</v>
      </c>
      <c r="HZ62" s="24">
        <v>2022</v>
      </c>
      <c r="IA62" s="24">
        <v>51</v>
      </c>
      <c r="IB62" s="24" t="s">
        <v>32</v>
      </c>
      <c r="IC62" s="24">
        <v>2995</v>
      </c>
      <c r="ID62" s="24">
        <v>2605</v>
      </c>
      <c r="IG62" s="24">
        <v>2022</v>
      </c>
      <c r="IH62" s="24">
        <v>51</v>
      </c>
      <c r="II62" s="24" t="s">
        <v>32</v>
      </c>
      <c r="IJ62" s="24">
        <v>2797</v>
      </c>
      <c r="IK62" s="24">
        <v>2594</v>
      </c>
    </row>
    <row r="63" spans="1:245" x14ac:dyDescent="0.4">
      <c r="I63" s="305">
        <v>2022</v>
      </c>
      <c r="J63" s="306">
        <v>51</v>
      </c>
      <c r="K63" s="306" t="s">
        <v>32</v>
      </c>
      <c r="L63" s="306">
        <v>16769</v>
      </c>
      <c r="M63" s="306">
        <v>15932</v>
      </c>
      <c r="N63" s="306">
        <v>64</v>
      </c>
      <c r="O63" s="306">
        <v>582</v>
      </c>
      <c r="P63" s="306">
        <v>142</v>
      </c>
      <c r="Q63" s="306">
        <v>2</v>
      </c>
      <c r="R63" s="24"/>
      <c r="S63" s="24"/>
      <c r="T63" s="24"/>
      <c r="W63" s="24">
        <v>2022</v>
      </c>
      <c r="X63" s="24">
        <v>51</v>
      </c>
      <c r="Y63" s="24" t="s">
        <v>33</v>
      </c>
      <c r="Z63" s="24">
        <v>288689</v>
      </c>
      <c r="AA63" s="24">
        <v>277800</v>
      </c>
      <c r="AB63" s="24">
        <v>407</v>
      </c>
      <c r="AC63" s="24">
        <v>91</v>
      </c>
      <c r="AD63" s="24"/>
      <c r="AE63" s="24"/>
      <c r="AF63" s="24"/>
      <c r="AG63" s="24"/>
      <c r="AH63" s="24"/>
      <c r="AI63" s="24"/>
      <c r="AJ63" s="24"/>
      <c r="AK63" s="24">
        <v>2022</v>
      </c>
      <c r="AL63" s="24">
        <v>51</v>
      </c>
      <c r="AM63" s="24">
        <v>22473.52</v>
      </c>
      <c r="AN63" s="24">
        <v>1878.05</v>
      </c>
      <c r="AO63" s="24">
        <v>0</v>
      </c>
      <c r="AP63" s="24">
        <v>558</v>
      </c>
      <c r="AQ63" s="24">
        <v>0</v>
      </c>
      <c r="AR63" s="24">
        <v>6</v>
      </c>
      <c r="AS63" s="24" t="s">
        <v>33</v>
      </c>
      <c r="AT63" s="24"/>
      <c r="AU63" s="24">
        <v>2022</v>
      </c>
      <c r="AV63" s="24">
        <v>51</v>
      </c>
      <c r="AW63" s="24">
        <v>0.06</v>
      </c>
      <c r="AX63" s="24">
        <v>17100</v>
      </c>
      <c r="AY63" s="24">
        <v>292715</v>
      </c>
      <c r="AZ63" s="24" t="s">
        <v>33</v>
      </c>
      <c r="BA63" s="24"/>
      <c r="BB63" s="24"/>
      <c r="BC63" s="24">
        <v>2022</v>
      </c>
      <c r="BD63" s="24">
        <v>51</v>
      </c>
      <c r="BE63" s="24">
        <v>2927.1778571428599</v>
      </c>
      <c r="BF63" s="24" t="s">
        <v>33</v>
      </c>
      <c r="BG63" s="24"/>
      <c r="BI63" s="24">
        <v>2023</v>
      </c>
      <c r="BJ63" s="24">
        <v>4</v>
      </c>
      <c r="BK63" s="24" t="s">
        <v>33</v>
      </c>
      <c r="BL63" s="24" t="s">
        <v>273</v>
      </c>
      <c r="BM63" s="24">
        <v>118927</v>
      </c>
      <c r="BN63" s="24">
        <v>116644</v>
      </c>
      <c r="BO63" s="24">
        <v>121220</v>
      </c>
      <c r="BR63" s="24">
        <v>2022</v>
      </c>
      <c r="BS63" s="24">
        <v>51</v>
      </c>
      <c r="BT63" s="24">
        <v>291861</v>
      </c>
      <c r="BU63" s="24">
        <v>440</v>
      </c>
      <c r="BV63" s="24" t="s">
        <v>33</v>
      </c>
      <c r="BY63" s="24">
        <v>2023</v>
      </c>
      <c r="BZ63" s="24">
        <v>3</v>
      </c>
      <c r="CA63" s="24" t="s">
        <v>33</v>
      </c>
      <c r="CB63" s="24" t="s">
        <v>423</v>
      </c>
      <c r="CC63" s="24">
        <v>59</v>
      </c>
      <c r="CF63" s="24">
        <v>2022</v>
      </c>
      <c r="CG63" s="24">
        <v>51</v>
      </c>
      <c r="CH63" s="24" t="s">
        <v>33</v>
      </c>
      <c r="CI63" s="24">
        <v>123.99202165550648</v>
      </c>
      <c r="CJ63" s="24">
        <v>261090</v>
      </c>
      <c r="CK63" s="24">
        <v>2105.6999999999998</v>
      </c>
      <c r="CL63" s="24">
        <v>104.60171683472655</v>
      </c>
      <c r="CM63" s="24">
        <v>141925</v>
      </c>
      <c r="CN63" s="24">
        <v>279046</v>
      </c>
      <c r="CO63" s="24">
        <v>2667.7</v>
      </c>
      <c r="CP63" s="24">
        <v>116494</v>
      </c>
      <c r="CQ63" s="24">
        <v>641</v>
      </c>
      <c r="CR63" s="24">
        <v>3808.4</v>
      </c>
      <c r="CS63" s="24">
        <v>148960</v>
      </c>
      <c r="CT63" s="24">
        <v>148960</v>
      </c>
      <c r="CU63" s="24">
        <v>1682.7</v>
      </c>
      <c r="CV63" s="24">
        <v>78704</v>
      </c>
      <c r="CW63" s="24">
        <v>0</v>
      </c>
      <c r="CX63" s="24">
        <v>147545</v>
      </c>
      <c r="CY63" s="24">
        <v>1269.3</v>
      </c>
      <c r="CZ63" s="24">
        <v>98142</v>
      </c>
      <c r="DA63" s="24">
        <v>3808.4</v>
      </c>
      <c r="DD63" s="24">
        <v>2022</v>
      </c>
      <c r="DE63" s="24">
        <v>51</v>
      </c>
      <c r="DF63" s="24" t="s">
        <v>33</v>
      </c>
      <c r="DG63" s="24">
        <v>30108</v>
      </c>
      <c r="DH63" s="24">
        <v>27139</v>
      </c>
      <c r="DJ63" s="24">
        <v>2022</v>
      </c>
      <c r="DK63" s="24">
        <v>51</v>
      </c>
      <c r="DL63" s="24" t="s">
        <v>33</v>
      </c>
      <c r="DM63" s="24">
        <v>51</v>
      </c>
      <c r="DP63" s="24">
        <v>2022</v>
      </c>
      <c r="DQ63" s="24">
        <v>51</v>
      </c>
      <c r="DR63" s="24" t="s">
        <v>33</v>
      </c>
      <c r="DS63" s="24">
        <v>3183</v>
      </c>
      <c r="DT63" s="24">
        <v>4383</v>
      </c>
      <c r="DU63" s="24"/>
      <c r="DW63" s="24">
        <v>2023</v>
      </c>
      <c r="DX63" s="24">
        <v>2</v>
      </c>
      <c r="DY63" s="24" t="s">
        <v>32</v>
      </c>
      <c r="DZ63" s="24">
        <v>3</v>
      </c>
      <c r="EA63" s="24" t="s">
        <v>149</v>
      </c>
      <c r="EB63" s="24">
        <v>0</v>
      </c>
      <c r="EC63" s="24">
        <v>91.7</v>
      </c>
      <c r="ED63" s="24">
        <v>2263</v>
      </c>
      <c r="EE63" s="24">
        <v>1888</v>
      </c>
      <c r="EF63" s="24">
        <v>4.2</v>
      </c>
      <c r="EI63" s="24">
        <v>2023</v>
      </c>
      <c r="EJ63" s="24">
        <v>9</v>
      </c>
      <c r="EK63" s="24" t="s">
        <v>33</v>
      </c>
      <c r="EL63" s="24" t="s">
        <v>244</v>
      </c>
      <c r="EM63" s="24" t="s">
        <v>210</v>
      </c>
      <c r="EN63" s="24">
        <v>1</v>
      </c>
      <c r="EO63" s="24"/>
      <c r="EP63" s="24"/>
      <c r="EQ63" s="24"/>
      <c r="ER63" s="24"/>
      <c r="ES63" s="24">
        <v>2022</v>
      </c>
      <c r="ET63" s="24">
        <v>48</v>
      </c>
      <c r="EU63" s="24" t="s">
        <v>32</v>
      </c>
      <c r="EV63" s="24">
        <v>6870</v>
      </c>
      <c r="EY63" s="24">
        <v>2022</v>
      </c>
      <c r="EZ63" s="24">
        <v>51</v>
      </c>
      <c r="FA63" s="24" t="s">
        <v>33</v>
      </c>
      <c r="FB63" s="24">
        <v>2308</v>
      </c>
      <c r="FE63" s="24">
        <v>2022</v>
      </c>
      <c r="FF63" s="24">
        <v>51</v>
      </c>
      <c r="FG63" s="24" t="s">
        <v>33</v>
      </c>
      <c r="FH63" s="24">
        <v>0.97599999999999998</v>
      </c>
      <c r="FI63" s="24">
        <v>16335</v>
      </c>
      <c r="FJ63" s="24">
        <v>7358</v>
      </c>
      <c r="FK63" s="24">
        <v>7573</v>
      </c>
      <c r="FN63" s="24">
        <v>2022</v>
      </c>
      <c r="FO63" s="24">
        <v>52</v>
      </c>
      <c r="FP63" s="24" t="s">
        <v>33</v>
      </c>
      <c r="FQ63" s="24">
        <v>854007</v>
      </c>
      <c r="FR63" s="24">
        <v>10206.166666666701</v>
      </c>
      <c r="FS63" s="24">
        <v>385870</v>
      </c>
      <c r="FT63" s="24">
        <v>3660.6833333333298</v>
      </c>
      <c r="FW63" s="24">
        <v>2022</v>
      </c>
      <c r="FX63" s="24">
        <v>51</v>
      </c>
      <c r="FY63" s="24" t="s">
        <v>33</v>
      </c>
      <c r="FZ63" s="24">
        <v>21961</v>
      </c>
      <c r="GA63" s="24">
        <v>19634</v>
      </c>
      <c r="GB63" s="24"/>
      <c r="GC63" s="24"/>
      <c r="GD63" s="24">
        <v>2022</v>
      </c>
      <c r="GE63" s="24">
        <v>51</v>
      </c>
      <c r="GF63" s="24" t="s">
        <v>33</v>
      </c>
      <c r="GG63" s="24">
        <v>22053</v>
      </c>
      <c r="GH63" s="24">
        <v>20083</v>
      </c>
      <c r="GK63" s="24"/>
      <c r="GL63" s="24"/>
      <c r="GM63" s="24"/>
      <c r="GN63" s="24"/>
      <c r="GO63" s="24"/>
      <c r="GP63" s="24">
        <v>2022</v>
      </c>
      <c r="GQ63" s="24">
        <v>51</v>
      </c>
      <c r="GR63" s="24">
        <v>37.216714285714303</v>
      </c>
      <c r="GS63" s="24" t="s">
        <v>33</v>
      </c>
      <c r="GX63">
        <v>2022</v>
      </c>
      <c r="GY63">
        <v>51</v>
      </c>
      <c r="GZ63" t="s">
        <v>33</v>
      </c>
      <c r="HA63">
        <v>285541</v>
      </c>
      <c r="HB63">
        <v>278596</v>
      </c>
      <c r="HC63">
        <v>544</v>
      </c>
      <c r="HD63">
        <v>234</v>
      </c>
      <c r="HE63">
        <v>67</v>
      </c>
      <c r="HF63">
        <v>2280</v>
      </c>
      <c r="HG63">
        <v>0</v>
      </c>
      <c r="HH63">
        <v>180</v>
      </c>
      <c r="HI63">
        <v>1730</v>
      </c>
      <c r="HL63">
        <v>2022</v>
      </c>
      <c r="HM63">
        <v>51</v>
      </c>
      <c r="HN63" t="s">
        <v>33</v>
      </c>
      <c r="HO63">
        <v>287563</v>
      </c>
      <c r="HP63">
        <v>284176</v>
      </c>
      <c r="HQ63">
        <v>592</v>
      </c>
      <c r="HR63">
        <v>116</v>
      </c>
      <c r="HS63">
        <v>41</v>
      </c>
      <c r="HT63">
        <v>2090</v>
      </c>
      <c r="HU63">
        <v>0</v>
      </c>
      <c r="HV63">
        <v>165</v>
      </c>
      <c r="HW63">
        <v>179</v>
      </c>
      <c r="HZ63" s="24">
        <v>2022</v>
      </c>
      <c r="IA63" s="24">
        <v>51</v>
      </c>
      <c r="IB63" s="24" t="s">
        <v>33</v>
      </c>
      <c r="IC63" s="24">
        <v>22914</v>
      </c>
      <c r="ID63" s="24">
        <v>21875</v>
      </c>
      <c r="IG63" s="24">
        <v>2022</v>
      </c>
      <c r="IH63" s="24">
        <v>51</v>
      </c>
      <c r="II63" s="24" t="s">
        <v>33</v>
      </c>
      <c r="IJ63" s="24">
        <v>20671</v>
      </c>
      <c r="IK63" s="24">
        <v>20442</v>
      </c>
    </row>
    <row r="64" spans="1:245" x14ac:dyDescent="0.4">
      <c r="H64" s="24"/>
      <c r="I64" s="305">
        <v>2022</v>
      </c>
      <c r="J64" s="306">
        <v>51</v>
      </c>
      <c r="K64" s="306" t="s">
        <v>33</v>
      </c>
      <c r="L64" s="306">
        <v>290249</v>
      </c>
      <c r="M64" s="306">
        <v>278181</v>
      </c>
      <c r="N64" s="306">
        <v>687</v>
      </c>
      <c r="O64" s="306">
        <v>4274</v>
      </c>
      <c r="P64" s="306">
        <v>626</v>
      </c>
      <c r="Q64" s="306">
        <v>95</v>
      </c>
      <c r="R64" s="24"/>
      <c r="S64" s="24"/>
      <c r="T64" s="24"/>
      <c r="W64" s="24">
        <v>2022</v>
      </c>
      <c r="X64" s="24">
        <v>50</v>
      </c>
      <c r="Y64" s="24" t="s">
        <v>32</v>
      </c>
      <c r="Z64" s="24">
        <v>15675</v>
      </c>
      <c r="AA64" s="24">
        <v>15320</v>
      </c>
      <c r="AB64" s="24">
        <v>37</v>
      </c>
      <c r="AC64" s="24">
        <v>4</v>
      </c>
      <c r="AD64" s="24"/>
      <c r="AE64" s="24"/>
      <c r="AF64" s="24"/>
      <c r="AG64" s="24"/>
      <c r="AH64" s="24"/>
      <c r="AI64" s="24"/>
      <c r="AJ64" s="24"/>
      <c r="AK64" s="24">
        <v>2022</v>
      </c>
      <c r="AL64" s="24">
        <v>50</v>
      </c>
      <c r="AM64" s="24">
        <v>542.66999999999996</v>
      </c>
      <c r="AN64" s="24">
        <v>51.58</v>
      </c>
      <c r="AO64" s="24">
        <v>0</v>
      </c>
      <c r="AP64" s="24">
        <v>14</v>
      </c>
      <c r="AQ64" s="24">
        <v>0</v>
      </c>
      <c r="AR64" s="24">
        <v>0</v>
      </c>
      <c r="AS64" s="24" t="s">
        <v>32</v>
      </c>
      <c r="AT64" s="24"/>
      <c r="AU64" s="24">
        <v>2022</v>
      </c>
      <c r="AV64" s="24">
        <v>50</v>
      </c>
      <c r="AW64" s="24">
        <v>0.13</v>
      </c>
      <c r="AX64" s="24">
        <v>2200</v>
      </c>
      <c r="AY64" s="24">
        <v>16486</v>
      </c>
      <c r="AZ64" s="24" t="s">
        <v>32</v>
      </c>
      <c r="BA64" s="24"/>
      <c r="BB64" s="24"/>
      <c r="BC64" s="24">
        <v>2022</v>
      </c>
      <c r="BD64" s="24">
        <v>50</v>
      </c>
      <c r="BE64" s="24">
        <v>287.58028571428599</v>
      </c>
      <c r="BF64" s="24" t="s">
        <v>32</v>
      </c>
      <c r="BG64" s="24"/>
      <c r="BI64" s="24">
        <v>2023</v>
      </c>
      <c r="BJ64" s="24">
        <v>4</v>
      </c>
      <c r="BK64" s="24" t="s">
        <v>33</v>
      </c>
      <c r="BL64" s="24" t="s">
        <v>272</v>
      </c>
      <c r="BM64" s="24">
        <v>65798</v>
      </c>
      <c r="BN64" s="24">
        <v>65610</v>
      </c>
      <c r="BO64" s="24">
        <v>235760</v>
      </c>
      <c r="BR64" s="24">
        <v>2022</v>
      </c>
      <c r="BS64" s="24">
        <v>50</v>
      </c>
      <c r="BT64" s="24">
        <v>16385</v>
      </c>
      <c r="BU64" s="24">
        <v>50</v>
      </c>
      <c r="BV64" s="24" t="s">
        <v>32</v>
      </c>
      <c r="BY64" s="24">
        <v>2023</v>
      </c>
      <c r="BZ64" s="24">
        <v>2</v>
      </c>
      <c r="CA64" s="24" t="s">
        <v>32</v>
      </c>
      <c r="CB64" s="24" t="s">
        <v>423</v>
      </c>
      <c r="CC64" s="24">
        <v>1</v>
      </c>
      <c r="CF64" s="24">
        <v>2022</v>
      </c>
      <c r="CG64" s="24">
        <v>50</v>
      </c>
      <c r="CH64" s="24" t="s">
        <v>32</v>
      </c>
      <c r="CI64" s="24">
        <v>46.587837837837839</v>
      </c>
      <c r="CJ64" s="24">
        <v>13790</v>
      </c>
      <c r="CK64" s="24">
        <v>296</v>
      </c>
      <c r="CL64" s="24">
        <v>41.049593282602991</v>
      </c>
      <c r="CM64" s="24">
        <v>9039</v>
      </c>
      <c r="CN64" s="24">
        <v>15644</v>
      </c>
      <c r="CO64" s="24">
        <v>381.1</v>
      </c>
      <c r="CP64" s="24">
        <v>11024</v>
      </c>
      <c r="CQ64" s="24">
        <v>44.6</v>
      </c>
      <c r="CR64" s="24">
        <v>347.9</v>
      </c>
      <c r="CS64" s="24">
        <v>10037</v>
      </c>
      <c r="CT64" s="24">
        <v>10041</v>
      </c>
      <c r="CU64" s="24">
        <v>250.2</v>
      </c>
      <c r="CV64" s="24">
        <v>3999</v>
      </c>
      <c r="CW64" s="24">
        <v>0</v>
      </c>
      <c r="CX64" s="24">
        <v>10714</v>
      </c>
      <c r="CY64" s="24">
        <v>78.599999999999994</v>
      </c>
      <c r="CZ64" s="24">
        <v>10166</v>
      </c>
      <c r="DA64" s="24">
        <v>347.9</v>
      </c>
      <c r="DD64" s="24">
        <v>2022</v>
      </c>
      <c r="DE64" s="24">
        <v>50</v>
      </c>
      <c r="DF64" s="24" t="s">
        <v>32</v>
      </c>
      <c r="DG64" s="24">
        <v>2464</v>
      </c>
      <c r="DH64" s="24">
        <v>2173</v>
      </c>
      <c r="DJ64" s="24">
        <v>2022</v>
      </c>
      <c r="DK64" s="24">
        <v>50</v>
      </c>
      <c r="DL64" s="24" t="s">
        <v>32</v>
      </c>
      <c r="DM64" s="24">
        <v>4</v>
      </c>
      <c r="DP64" s="24">
        <v>2022</v>
      </c>
      <c r="DQ64" s="24">
        <v>50</v>
      </c>
      <c r="DR64" s="24" t="s">
        <v>32</v>
      </c>
      <c r="DS64" s="24">
        <v>370</v>
      </c>
      <c r="DT64" s="24">
        <v>479</v>
      </c>
      <c r="DU64" s="24"/>
      <c r="DW64" s="24">
        <v>2023</v>
      </c>
      <c r="DX64" s="24">
        <v>2</v>
      </c>
      <c r="DY64" s="24" t="s">
        <v>33</v>
      </c>
      <c r="DZ64" s="24">
        <v>14</v>
      </c>
      <c r="EA64" s="24" t="s">
        <v>562</v>
      </c>
      <c r="EB64" s="24">
        <v>479.2</v>
      </c>
      <c r="EC64" s="24">
        <v>0</v>
      </c>
      <c r="ED64" s="24"/>
      <c r="EE64" s="24">
        <v>16922</v>
      </c>
      <c r="EF64" s="24">
        <v>1.9</v>
      </c>
      <c r="EI64" s="24">
        <v>2023</v>
      </c>
      <c r="EJ64" s="24">
        <v>9</v>
      </c>
      <c r="EK64" s="24" t="s">
        <v>33</v>
      </c>
      <c r="EL64" s="24" t="s">
        <v>235</v>
      </c>
      <c r="EM64" s="24" t="s">
        <v>210</v>
      </c>
      <c r="EN64" s="24">
        <v>1</v>
      </c>
      <c r="EO64" s="24"/>
      <c r="EP64" s="24"/>
      <c r="EQ64" s="24"/>
      <c r="ER64" s="24"/>
      <c r="ES64" s="24">
        <v>2022</v>
      </c>
      <c r="ET64" s="24">
        <v>48</v>
      </c>
      <c r="EU64" s="24" t="s">
        <v>33</v>
      </c>
      <c r="EV64" s="24">
        <v>129634</v>
      </c>
      <c r="EY64" s="24">
        <v>2022</v>
      </c>
      <c r="EZ64" s="24">
        <v>50</v>
      </c>
      <c r="FA64" s="24" t="s">
        <v>32</v>
      </c>
      <c r="FB64" s="24">
        <v>859</v>
      </c>
      <c r="FE64" s="24">
        <v>2022</v>
      </c>
      <c r="FF64" s="24">
        <v>50</v>
      </c>
      <c r="FG64" s="24" t="s">
        <v>32</v>
      </c>
      <c r="FH64" s="24">
        <v>0.88730000000000009</v>
      </c>
      <c r="FI64" s="24">
        <v>387</v>
      </c>
      <c r="FJ64" s="24">
        <v>183</v>
      </c>
      <c r="FK64" s="24">
        <v>206</v>
      </c>
      <c r="FN64" s="24">
        <v>2022</v>
      </c>
      <c r="FO64" s="24">
        <v>51</v>
      </c>
      <c r="FP64" s="24" t="s">
        <v>32</v>
      </c>
      <c r="FQ64" s="24">
        <v>44439</v>
      </c>
      <c r="FR64" s="24">
        <v>1572.7666666666698</v>
      </c>
      <c r="FS64" s="24">
        <v>33910</v>
      </c>
      <c r="FT64" s="24">
        <v>495.63333333333298</v>
      </c>
      <c r="FW64" s="24">
        <v>2022</v>
      </c>
      <c r="FX64" s="24">
        <v>50</v>
      </c>
      <c r="FY64" s="24" t="s">
        <v>32</v>
      </c>
      <c r="FZ64" s="24">
        <v>2498</v>
      </c>
      <c r="GA64" s="24">
        <v>2281</v>
      </c>
      <c r="GB64" s="24"/>
      <c r="GC64" s="24"/>
      <c r="GD64" s="24">
        <v>2022</v>
      </c>
      <c r="GE64" s="24">
        <v>50</v>
      </c>
      <c r="GF64" s="24" t="s">
        <v>32</v>
      </c>
      <c r="GG64" s="24">
        <v>2520</v>
      </c>
      <c r="GH64" s="24">
        <v>2372</v>
      </c>
      <c r="GK64" s="24"/>
      <c r="GL64" s="24"/>
      <c r="GM64" s="24"/>
      <c r="GN64" s="24"/>
      <c r="GO64" s="24"/>
      <c r="GP64" s="24">
        <v>2022</v>
      </c>
      <c r="GQ64" s="24">
        <v>50</v>
      </c>
      <c r="GR64" s="24">
        <v>3.1135714285714302</v>
      </c>
      <c r="GS64" s="24" t="s">
        <v>32</v>
      </c>
      <c r="GX64">
        <v>2022</v>
      </c>
      <c r="GY64">
        <v>50</v>
      </c>
      <c r="GZ64" t="s">
        <v>32</v>
      </c>
      <c r="HA64">
        <v>15736</v>
      </c>
      <c r="HB64">
        <v>15087</v>
      </c>
      <c r="HC64">
        <v>39</v>
      </c>
      <c r="HD64">
        <v>5</v>
      </c>
      <c r="HE64">
        <v>6</v>
      </c>
      <c r="HF64">
        <v>139</v>
      </c>
      <c r="HG64">
        <v>0</v>
      </c>
      <c r="HH64">
        <v>0</v>
      </c>
      <c r="HI64">
        <v>134</v>
      </c>
      <c r="HL64">
        <v>2022</v>
      </c>
      <c r="HM64">
        <v>50</v>
      </c>
      <c r="HN64" t="s">
        <v>32</v>
      </c>
      <c r="HO64">
        <v>15645</v>
      </c>
      <c r="HP64">
        <v>15375</v>
      </c>
      <c r="HQ64">
        <v>48</v>
      </c>
      <c r="HR64">
        <v>3</v>
      </c>
      <c r="HS64">
        <v>1</v>
      </c>
      <c r="HT64">
        <v>171</v>
      </c>
      <c r="HU64">
        <v>0</v>
      </c>
      <c r="HV64">
        <v>0</v>
      </c>
      <c r="HW64">
        <v>42</v>
      </c>
      <c r="HZ64" s="24">
        <v>2022</v>
      </c>
      <c r="IA64" s="24">
        <v>50</v>
      </c>
      <c r="IB64" s="24" t="s">
        <v>32</v>
      </c>
      <c r="IC64" s="24">
        <v>2462</v>
      </c>
      <c r="ID64" s="24">
        <v>2252</v>
      </c>
      <c r="IG64" s="24">
        <v>2022</v>
      </c>
      <c r="IH64" s="24">
        <v>50</v>
      </c>
      <c r="II64" s="24" t="s">
        <v>32</v>
      </c>
      <c r="IJ64" s="24">
        <v>2478</v>
      </c>
      <c r="IK64" s="24">
        <v>2391</v>
      </c>
    </row>
    <row r="65" spans="9:245" x14ac:dyDescent="0.4">
      <c r="I65" s="305">
        <v>2022</v>
      </c>
      <c r="J65" s="306">
        <v>50</v>
      </c>
      <c r="K65" s="306" t="s">
        <v>32</v>
      </c>
      <c r="L65" s="306">
        <v>15684</v>
      </c>
      <c r="M65" s="306">
        <v>15042</v>
      </c>
      <c r="N65" s="306">
        <v>49</v>
      </c>
      <c r="O65" s="306">
        <v>403</v>
      </c>
      <c r="P65" s="306">
        <v>106</v>
      </c>
      <c r="Q65" s="306">
        <v>1</v>
      </c>
      <c r="R65" s="24"/>
      <c r="S65" s="24"/>
      <c r="T65" s="24"/>
      <c r="W65" s="24">
        <v>2022</v>
      </c>
      <c r="X65" s="24">
        <v>50</v>
      </c>
      <c r="Y65" s="24" t="s">
        <v>33</v>
      </c>
      <c r="Z65" s="24">
        <v>303942</v>
      </c>
      <c r="AA65" s="24">
        <v>286989</v>
      </c>
      <c r="AB65" s="24">
        <v>615</v>
      </c>
      <c r="AC65" s="24">
        <v>73</v>
      </c>
      <c r="AD65" s="24"/>
      <c r="AE65" s="24"/>
      <c r="AF65" s="24"/>
      <c r="AG65" s="24"/>
      <c r="AH65" s="24"/>
      <c r="AI65" s="24"/>
      <c r="AJ65" s="24"/>
      <c r="AK65" s="24">
        <v>2022</v>
      </c>
      <c r="AL65" s="24">
        <v>50</v>
      </c>
      <c r="AM65" s="24">
        <v>22231.25</v>
      </c>
      <c r="AN65" s="24">
        <v>2418.9299999999998</v>
      </c>
      <c r="AO65" s="24">
        <v>0</v>
      </c>
      <c r="AP65" s="24">
        <v>555</v>
      </c>
      <c r="AQ65" s="24">
        <v>0</v>
      </c>
      <c r="AR65" s="24">
        <v>2</v>
      </c>
      <c r="AS65" s="24" t="s">
        <v>33</v>
      </c>
      <c r="AT65" s="24"/>
      <c r="AU65" s="24">
        <v>2022</v>
      </c>
      <c r="AV65" s="24">
        <v>50</v>
      </c>
      <c r="AW65" s="24">
        <v>0.05</v>
      </c>
      <c r="AX65" s="24">
        <v>14400</v>
      </c>
      <c r="AY65" s="24">
        <v>308649</v>
      </c>
      <c r="AZ65" s="24" t="s">
        <v>33</v>
      </c>
      <c r="BA65" s="24"/>
      <c r="BB65" s="24"/>
      <c r="BC65" s="24">
        <v>2022</v>
      </c>
      <c r="BD65" s="24">
        <v>50</v>
      </c>
      <c r="BE65" s="24">
        <v>2936.8845714285699</v>
      </c>
      <c r="BF65" s="24" t="s">
        <v>33</v>
      </c>
      <c r="BG65" s="24"/>
      <c r="BI65" s="24">
        <v>2023</v>
      </c>
      <c r="BJ65" s="24">
        <v>4</v>
      </c>
      <c r="BK65" s="24" t="s">
        <v>32</v>
      </c>
      <c r="BL65" s="24" t="s">
        <v>273</v>
      </c>
      <c r="BM65" s="24">
        <v>10349</v>
      </c>
      <c r="BN65" s="24">
        <v>10266</v>
      </c>
      <c r="BO65" s="24">
        <v>11861</v>
      </c>
      <c r="BR65" s="24">
        <v>2022</v>
      </c>
      <c r="BS65" s="24">
        <v>50</v>
      </c>
      <c r="BT65" s="24">
        <v>307501</v>
      </c>
      <c r="BU65" s="24">
        <v>551</v>
      </c>
      <c r="BV65" s="24" t="s">
        <v>33</v>
      </c>
      <c r="BY65" s="24">
        <v>2023</v>
      </c>
      <c r="BZ65" s="24">
        <v>2</v>
      </c>
      <c r="CA65" s="24" t="s">
        <v>33</v>
      </c>
      <c r="CB65" s="24" t="s">
        <v>423</v>
      </c>
      <c r="CC65" s="24">
        <v>25</v>
      </c>
      <c r="CF65" s="24">
        <v>2022</v>
      </c>
      <c r="CG65" s="24">
        <v>50</v>
      </c>
      <c r="CH65" s="24" t="s">
        <v>33</v>
      </c>
      <c r="CI65" s="24">
        <v>125.36901487248822</v>
      </c>
      <c r="CJ65" s="24">
        <v>268904</v>
      </c>
      <c r="CK65" s="24">
        <v>2144.9</v>
      </c>
      <c r="CL65" s="24">
        <v>110.08420736062554</v>
      </c>
      <c r="CM65" s="24">
        <v>151769</v>
      </c>
      <c r="CN65" s="24">
        <v>292835</v>
      </c>
      <c r="CO65" s="24">
        <v>2660.1</v>
      </c>
      <c r="CP65" s="24">
        <v>108843</v>
      </c>
      <c r="CQ65" s="24">
        <v>679.6</v>
      </c>
      <c r="CR65" s="24">
        <v>3454.2</v>
      </c>
      <c r="CS65" s="24">
        <v>145086</v>
      </c>
      <c r="CT65" s="24">
        <v>145086</v>
      </c>
      <c r="CU65" s="24">
        <v>1601.8</v>
      </c>
      <c r="CV65" s="24">
        <v>81998</v>
      </c>
      <c r="CW65" s="24">
        <v>0</v>
      </c>
      <c r="CX65" s="24">
        <v>143239</v>
      </c>
      <c r="CY65" s="24">
        <v>1103.2</v>
      </c>
      <c r="CZ65" s="24">
        <v>88317</v>
      </c>
      <c r="DA65" s="24">
        <v>3454.2</v>
      </c>
      <c r="DD65" s="24">
        <v>2022</v>
      </c>
      <c r="DE65" s="24">
        <v>50</v>
      </c>
      <c r="DF65" s="24" t="s">
        <v>33</v>
      </c>
      <c r="DG65" s="24">
        <v>40390</v>
      </c>
      <c r="DH65" s="24">
        <v>28373</v>
      </c>
      <c r="DJ65" s="24">
        <v>2022</v>
      </c>
      <c r="DK65" s="24">
        <v>50</v>
      </c>
      <c r="DL65" s="24" t="s">
        <v>33</v>
      </c>
      <c r="DM65" s="24">
        <v>148</v>
      </c>
      <c r="DP65" s="24">
        <v>2022</v>
      </c>
      <c r="DQ65" s="24">
        <v>50</v>
      </c>
      <c r="DR65" s="24" t="s">
        <v>33</v>
      </c>
      <c r="DS65" s="24">
        <v>4102</v>
      </c>
      <c r="DT65" s="24">
        <v>4887</v>
      </c>
      <c r="DU65" s="24"/>
      <c r="DW65" s="24">
        <v>2023</v>
      </c>
      <c r="DX65" s="24">
        <v>2</v>
      </c>
      <c r="DY65" s="24" t="s">
        <v>33</v>
      </c>
      <c r="DZ65" s="24">
        <v>110</v>
      </c>
      <c r="EA65" s="24" t="s">
        <v>149</v>
      </c>
      <c r="EB65" s="24">
        <v>79</v>
      </c>
      <c r="EC65" s="24">
        <v>3486.5</v>
      </c>
      <c r="ED65" s="24">
        <v>89216</v>
      </c>
      <c r="EE65" s="24">
        <v>90158</v>
      </c>
      <c r="EF65" s="24">
        <v>104.6</v>
      </c>
      <c r="EI65" s="24">
        <v>2023</v>
      </c>
      <c r="EJ65" s="24">
        <v>9</v>
      </c>
      <c r="EK65" s="24" t="s">
        <v>33</v>
      </c>
      <c r="EL65" s="24" t="s">
        <v>238</v>
      </c>
      <c r="EM65" s="24" t="s">
        <v>210</v>
      </c>
      <c r="EN65" s="24">
        <v>1</v>
      </c>
      <c r="EO65" s="24"/>
      <c r="EP65" s="24"/>
      <c r="EQ65" s="24"/>
      <c r="ER65" s="24"/>
      <c r="ES65" s="24">
        <v>2022</v>
      </c>
      <c r="ET65" s="24">
        <v>47</v>
      </c>
      <c r="EU65" s="24" t="s">
        <v>32</v>
      </c>
      <c r="EV65" s="24">
        <v>5783</v>
      </c>
      <c r="EY65" s="24">
        <v>2022</v>
      </c>
      <c r="EZ65" s="24">
        <v>50</v>
      </c>
      <c r="FA65" s="24" t="s">
        <v>33</v>
      </c>
      <c r="FB65" s="24">
        <v>1542</v>
      </c>
      <c r="FE65" s="24">
        <v>2022</v>
      </c>
      <c r="FF65" s="24">
        <v>50</v>
      </c>
      <c r="FG65" s="24" t="s">
        <v>33</v>
      </c>
      <c r="FH65" s="24">
        <v>0.97350000000000003</v>
      </c>
      <c r="FI65" s="24">
        <v>16243</v>
      </c>
      <c r="FJ65" s="24">
        <v>7363</v>
      </c>
      <c r="FK65" s="24">
        <v>7598</v>
      </c>
      <c r="FN65" s="24">
        <v>2022</v>
      </c>
      <c r="FO65" s="24">
        <v>51</v>
      </c>
      <c r="FP65" s="24" t="s">
        <v>33</v>
      </c>
      <c r="FQ65" s="24">
        <v>993042</v>
      </c>
      <c r="FR65" s="24">
        <v>11980.016666666701</v>
      </c>
      <c r="FS65" s="24">
        <v>391361</v>
      </c>
      <c r="FT65" s="24">
        <v>3828.1833333333298</v>
      </c>
      <c r="FW65" s="24">
        <v>2022</v>
      </c>
      <c r="FX65" s="24">
        <v>50</v>
      </c>
      <c r="FY65" s="24" t="s">
        <v>33</v>
      </c>
      <c r="FZ65" s="24">
        <v>18290</v>
      </c>
      <c r="GA65" s="24">
        <v>16285</v>
      </c>
      <c r="GB65" s="24"/>
      <c r="GC65" s="24"/>
      <c r="GD65" s="24">
        <v>2022</v>
      </c>
      <c r="GE65" s="24">
        <v>50</v>
      </c>
      <c r="GF65" s="24" t="s">
        <v>33</v>
      </c>
      <c r="GG65" s="24">
        <v>18291</v>
      </c>
      <c r="GH65" s="24">
        <v>16639</v>
      </c>
      <c r="GK65" s="24"/>
      <c r="GL65" s="24"/>
      <c r="GM65" s="24"/>
      <c r="GN65" s="24"/>
      <c r="GO65" s="24"/>
      <c r="GP65" s="24">
        <v>2022</v>
      </c>
      <c r="GQ65" s="24">
        <v>50</v>
      </c>
      <c r="GR65" s="24">
        <v>36.719285714285704</v>
      </c>
      <c r="GS65" s="24" t="s">
        <v>33</v>
      </c>
      <c r="GX65">
        <v>2022</v>
      </c>
      <c r="GY65">
        <v>50</v>
      </c>
      <c r="GZ65" t="s">
        <v>33</v>
      </c>
      <c r="HA65">
        <v>305154</v>
      </c>
      <c r="HB65">
        <v>286739</v>
      </c>
      <c r="HC65">
        <v>891</v>
      </c>
      <c r="HD65">
        <v>479</v>
      </c>
      <c r="HE65">
        <v>180</v>
      </c>
      <c r="HF65">
        <v>10696</v>
      </c>
      <c r="HG65">
        <v>0</v>
      </c>
      <c r="HH65">
        <v>279</v>
      </c>
      <c r="HI65">
        <v>2045</v>
      </c>
      <c r="HL65">
        <v>2022</v>
      </c>
      <c r="HM65">
        <v>50</v>
      </c>
      <c r="HN65" t="s">
        <v>33</v>
      </c>
      <c r="HO65">
        <v>303674</v>
      </c>
      <c r="HP65">
        <v>291293</v>
      </c>
      <c r="HQ65">
        <v>865</v>
      </c>
      <c r="HR65">
        <v>335</v>
      </c>
      <c r="HS65">
        <v>133</v>
      </c>
      <c r="HT65">
        <v>10483</v>
      </c>
      <c r="HU65">
        <v>0</v>
      </c>
      <c r="HV65">
        <v>278</v>
      </c>
      <c r="HW65">
        <v>511</v>
      </c>
      <c r="HZ65" s="24">
        <v>2022</v>
      </c>
      <c r="IA65" s="24">
        <v>50</v>
      </c>
      <c r="IB65" s="24" t="s">
        <v>33</v>
      </c>
      <c r="IC65" s="24">
        <v>18613</v>
      </c>
      <c r="ID65" s="24">
        <v>17402</v>
      </c>
      <c r="IG65" s="24">
        <v>2022</v>
      </c>
      <c r="IH65" s="24">
        <v>50</v>
      </c>
      <c r="II65" s="24" t="s">
        <v>33</v>
      </c>
      <c r="IJ65" s="24">
        <v>16992</v>
      </c>
      <c r="IK65" s="24">
        <v>16623</v>
      </c>
    </row>
    <row r="66" spans="9:245" x14ac:dyDescent="0.4">
      <c r="I66" s="305">
        <v>2022</v>
      </c>
      <c r="J66" s="306">
        <v>50</v>
      </c>
      <c r="K66" s="306" t="s">
        <v>33</v>
      </c>
      <c r="L66" s="306">
        <v>306355</v>
      </c>
      <c r="M66" s="306">
        <v>287509</v>
      </c>
      <c r="N66" s="306">
        <v>649</v>
      </c>
      <c r="O66" s="306">
        <v>5186</v>
      </c>
      <c r="P66" s="306">
        <v>869</v>
      </c>
      <c r="Q66" s="306">
        <v>80</v>
      </c>
      <c r="R66" s="24"/>
      <c r="S66" s="24"/>
      <c r="T66" s="24"/>
      <c r="W66" s="24">
        <v>2022</v>
      </c>
      <c r="X66" s="24">
        <v>49</v>
      </c>
      <c r="Y66" s="24" t="s">
        <v>32</v>
      </c>
      <c r="Z66" s="24">
        <v>15347</v>
      </c>
      <c r="AA66" s="24">
        <v>14979</v>
      </c>
      <c r="AB66" s="24">
        <v>54</v>
      </c>
      <c r="AC66" s="24">
        <v>17</v>
      </c>
      <c r="AD66" s="24"/>
      <c r="AE66" s="24"/>
      <c r="AF66" s="24"/>
      <c r="AG66" s="24"/>
      <c r="AH66" s="24"/>
      <c r="AI66" s="24"/>
      <c r="AJ66" s="24"/>
      <c r="AK66" s="24">
        <v>2022</v>
      </c>
      <c r="AL66" s="24">
        <v>49</v>
      </c>
      <c r="AM66" s="24">
        <v>518.07000000000005</v>
      </c>
      <c r="AN66" s="24">
        <v>41.97</v>
      </c>
      <c r="AO66" s="24">
        <v>0</v>
      </c>
      <c r="AP66" s="24">
        <v>13</v>
      </c>
      <c r="AQ66" s="24">
        <v>0</v>
      </c>
      <c r="AR66" s="24">
        <v>0</v>
      </c>
      <c r="AS66" s="24" t="s">
        <v>32</v>
      </c>
      <c r="AT66" s="24"/>
      <c r="AU66" s="24">
        <v>2022</v>
      </c>
      <c r="AV66" s="24">
        <v>49</v>
      </c>
      <c r="AW66" s="24">
        <v>0.2</v>
      </c>
      <c r="AX66" s="24">
        <v>3200</v>
      </c>
      <c r="AY66" s="24">
        <v>15993</v>
      </c>
      <c r="AZ66" s="24" t="s">
        <v>32</v>
      </c>
      <c r="BA66" s="24"/>
      <c r="BB66" s="24"/>
      <c r="BC66" s="24">
        <v>2022</v>
      </c>
      <c r="BD66" s="24">
        <v>49</v>
      </c>
      <c r="BE66" s="24">
        <v>287.190857142857</v>
      </c>
      <c r="BF66" s="24" t="s">
        <v>32</v>
      </c>
      <c r="BG66" s="24"/>
      <c r="BI66" s="24">
        <v>2023</v>
      </c>
      <c r="BJ66" s="24">
        <v>3</v>
      </c>
      <c r="BK66" s="24" t="s">
        <v>32</v>
      </c>
      <c r="BL66" s="24" t="s">
        <v>272</v>
      </c>
      <c r="BM66" s="24">
        <v>2990</v>
      </c>
      <c r="BN66" s="24">
        <v>2978</v>
      </c>
      <c r="BO66" s="24">
        <v>10099</v>
      </c>
      <c r="BR66" s="24">
        <v>2022</v>
      </c>
      <c r="BS66" s="24">
        <v>49</v>
      </c>
      <c r="BT66" s="24">
        <v>15873</v>
      </c>
      <c r="BU66" s="24">
        <v>40</v>
      </c>
      <c r="BV66" s="24" t="s">
        <v>32</v>
      </c>
      <c r="BY66" s="24">
        <v>2023</v>
      </c>
      <c r="BZ66" s="24">
        <v>1</v>
      </c>
      <c r="CA66" s="24" t="s">
        <v>32</v>
      </c>
      <c r="CB66" s="24" t="s">
        <v>108</v>
      </c>
      <c r="CC66" s="24">
        <v>1</v>
      </c>
      <c r="CF66" s="24">
        <v>2022</v>
      </c>
      <c r="CG66" s="24">
        <v>49</v>
      </c>
      <c r="CH66" s="24" t="s">
        <v>32</v>
      </c>
      <c r="CI66" s="24">
        <v>49.433764418035651</v>
      </c>
      <c r="CJ66" s="24">
        <v>14143</v>
      </c>
      <c r="CK66" s="24">
        <v>286.10000000000002</v>
      </c>
      <c r="CL66" s="24">
        <v>46.956925937403163</v>
      </c>
      <c r="CM66" s="24">
        <v>8866</v>
      </c>
      <c r="CN66" s="24">
        <v>15153</v>
      </c>
      <c r="CO66" s="24">
        <v>322.7</v>
      </c>
      <c r="CP66" s="24">
        <v>8730</v>
      </c>
      <c r="CQ66" s="24">
        <v>47.9</v>
      </c>
      <c r="CR66" s="24">
        <v>274.60000000000002</v>
      </c>
      <c r="CS66" s="24">
        <v>8852</v>
      </c>
      <c r="CT66" s="24">
        <v>8852</v>
      </c>
      <c r="CU66" s="24">
        <v>242.1</v>
      </c>
      <c r="CV66" s="24">
        <v>3698</v>
      </c>
      <c r="CW66" s="24">
        <v>0</v>
      </c>
      <c r="CX66" s="24">
        <v>10664</v>
      </c>
      <c r="CY66" s="24">
        <v>91.3</v>
      </c>
      <c r="CZ66" s="24">
        <v>7645</v>
      </c>
      <c r="DA66" s="24">
        <v>274.60000000000002</v>
      </c>
      <c r="DD66" s="24">
        <v>2022</v>
      </c>
      <c r="DE66" s="24">
        <v>49</v>
      </c>
      <c r="DF66" s="24" t="s">
        <v>32</v>
      </c>
      <c r="DG66" s="24">
        <v>2293</v>
      </c>
      <c r="DH66" s="24">
        <v>1911</v>
      </c>
      <c r="DJ66" s="24">
        <v>2022</v>
      </c>
      <c r="DK66" s="24">
        <v>49</v>
      </c>
      <c r="DL66" s="24" t="s">
        <v>32</v>
      </c>
      <c r="DM66" s="24">
        <v>25</v>
      </c>
      <c r="DP66" s="24">
        <v>2022</v>
      </c>
      <c r="DQ66" s="24">
        <v>49</v>
      </c>
      <c r="DR66" s="24" t="s">
        <v>32</v>
      </c>
      <c r="DS66" s="24">
        <v>446</v>
      </c>
      <c r="DT66" s="24">
        <v>516</v>
      </c>
      <c r="DU66" s="24"/>
      <c r="DW66" s="24">
        <v>2023</v>
      </c>
      <c r="DX66" s="24">
        <v>1</v>
      </c>
      <c r="DY66" s="24" t="s">
        <v>32</v>
      </c>
      <c r="DZ66" s="24">
        <v>2</v>
      </c>
      <c r="EA66" s="24" t="s">
        <v>149</v>
      </c>
      <c r="EB66" s="24">
        <v>0</v>
      </c>
      <c r="EC66" s="24">
        <v>44.6</v>
      </c>
      <c r="ED66" s="24">
        <v>777</v>
      </c>
      <c r="EE66" s="24">
        <v>767</v>
      </c>
      <c r="EF66" s="24">
        <v>0</v>
      </c>
      <c r="EI66" s="24">
        <v>2023</v>
      </c>
      <c r="EJ66" s="24">
        <v>9</v>
      </c>
      <c r="EK66" s="24" t="s">
        <v>33</v>
      </c>
      <c r="EL66" s="24" t="s">
        <v>247</v>
      </c>
      <c r="EM66" s="24" t="s">
        <v>210</v>
      </c>
      <c r="EN66" s="24">
        <v>2</v>
      </c>
      <c r="EO66" s="24"/>
      <c r="EP66" s="24"/>
      <c r="EQ66" s="24"/>
      <c r="ER66" s="24"/>
      <c r="ES66" s="24">
        <v>2022</v>
      </c>
      <c r="ET66" s="24">
        <v>47</v>
      </c>
      <c r="EU66" s="24" t="s">
        <v>33</v>
      </c>
      <c r="EV66" s="24">
        <v>111378</v>
      </c>
      <c r="EY66" s="24">
        <v>2022</v>
      </c>
      <c r="EZ66" s="24">
        <v>49</v>
      </c>
      <c r="FA66" s="24" t="s">
        <v>32</v>
      </c>
      <c r="FB66" s="24">
        <v>1328</v>
      </c>
      <c r="FE66" s="24">
        <v>2022</v>
      </c>
      <c r="FF66" s="24">
        <v>49</v>
      </c>
      <c r="FG66" s="24" t="s">
        <v>32</v>
      </c>
      <c r="FH66" s="24">
        <v>0.88360000000000005</v>
      </c>
      <c r="FI66" s="24">
        <v>360</v>
      </c>
      <c r="FJ66" s="24">
        <v>171</v>
      </c>
      <c r="FK66" s="24">
        <v>193</v>
      </c>
      <c r="FN66" s="24">
        <v>2022</v>
      </c>
      <c r="FO66" s="24">
        <v>50</v>
      </c>
      <c r="FP66" s="24" t="s">
        <v>32</v>
      </c>
      <c r="FQ66" s="24">
        <v>41996</v>
      </c>
      <c r="FR66" s="24">
        <v>1347.7666666666698</v>
      </c>
      <c r="FS66" s="24">
        <v>31049</v>
      </c>
      <c r="FT66" s="24">
        <v>370.816666666667</v>
      </c>
      <c r="FW66" s="24">
        <v>2022</v>
      </c>
      <c r="FX66" s="24">
        <v>49</v>
      </c>
      <c r="FY66" s="24" t="s">
        <v>32</v>
      </c>
      <c r="FZ66" s="24">
        <v>2429</v>
      </c>
      <c r="GA66" s="24">
        <v>2200</v>
      </c>
      <c r="GB66" s="24"/>
      <c r="GC66" s="24"/>
      <c r="GD66" s="24">
        <v>2022</v>
      </c>
      <c r="GE66" s="24">
        <v>49</v>
      </c>
      <c r="GF66" s="24" t="s">
        <v>32</v>
      </c>
      <c r="GG66" s="24">
        <v>2407</v>
      </c>
      <c r="GH66" s="24">
        <v>2241</v>
      </c>
      <c r="GK66" s="24"/>
      <c r="GL66" s="24"/>
      <c r="GM66" s="24"/>
      <c r="GN66" s="24"/>
      <c r="GO66" s="24"/>
      <c r="GP66" s="24">
        <v>2022</v>
      </c>
      <c r="GQ66" s="24">
        <v>49</v>
      </c>
      <c r="GR66" s="24">
        <v>3.1411428571428601</v>
      </c>
      <c r="GS66" s="24" t="s">
        <v>32</v>
      </c>
      <c r="GX66">
        <v>2022</v>
      </c>
      <c r="GY66">
        <v>49</v>
      </c>
      <c r="GZ66" t="s">
        <v>32</v>
      </c>
      <c r="HA66">
        <v>15510</v>
      </c>
      <c r="HB66">
        <v>14837</v>
      </c>
      <c r="HC66">
        <v>27</v>
      </c>
      <c r="HD66">
        <v>5</v>
      </c>
      <c r="HE66">
        <v>11</v>
      </c>
      <c r="HF66">
        <v>95</v>
      </c>
      <c r="HG66">
        <v>0</v>
      </c>
      <c r="HH66">
        <v>0</v>
      </c>
      <c r="HI66">
        <v>113</v>
      </c>
      <c r="HL66">
        <v>2022</v>
      </c>
      <c r="HM66">
        <v>49</v>
      </c>
      <c r="HN66" t="s">
        <v>32</v>
      </c>
      <c r="HO66">
        <v>15304</v>
      </c>
      <c r="HP66">
        <v>15110</v>
      </c>
      <c r="HQ66">
        <v>33</v>
      </c>
      <c r="HR66">
        <v>3</v>
      </c>
      <c r="HS66">
        <v>4</v>
      </c>
      <c r="HT66">
        <v>100</v>
      </c>
      <c r="HU66">
        <v>0</v>
      </c>
      <c r="HV66">
        <v>0</v>
      </c>
      <c r="HW66">
        <v>3</v>
      </c>
      <c r="HZ66" s="24">
        <v>2022</v>
      </c>
      <c r="IA66" s="24">
        <v>49</v>
      </c>
      <c r="IB66" s="24" t="s">
        <v>32</v>
      </c>
      <c r="IC66" s="24">
        <v>2429</v>
      </c>
      <c r="ID66" s="24">
        <v>2191</v>
      </c>
      <c r="IG66" s="24">
        <v>2022</v>
      </c>
      <c r="IH66" s="24">
        <v>49</v>
      </c>
      <c r="II66" s="24" t="s">
        <v>32</v>
      </c>
      <c r="IJ66" s="24">
        <v>2375</v>
      </c>
      <c r="IK66" s="24">
        <v>2287</v>
      </c>
    </row>
    <row r="67" spans="9:245" x14ac:dyDescent="0.4">
      <c r="I67" s="305">
        <v>2022</v>
      </c>
      <c r="J67" s="306">
        <v>49</v>
      </c>
      <c r="K67" s="306" t="s">
        <v>32</v>
      </c>
      <c r="L67" s="306">
        <v>15492</v>
      </c>
      <c r="M67" s="306">
        <v>14815</v>
      </c>
      <c r="N67" s="306">
        <v>63</v>
      </c>
      <c r="O67" s="306">
        <v>429</v>
      </c>
      <c r="P67" s="306">
        <v>124</v>
      </c>
      <c r="Q67" s="306">
        <v>13</v>
      </c>
      <c r="R67" s="24"/>
      <c r="S67" s="24"/>
      <c r="T67" s="24"/>
      <c r="W67" s="24">
        <v>2022</v>
      </c>
      <c r="X67" s="24">
        <v>49</v>
      </c>
      <c r="Y67" s="24" t="s">
        <v>33</v>
      </c>
      <c r="Z67" s="24">
        <v>313397</v>
      </c>
      <c r="AA67" s="24">
        <v>291260</v>
      </c>
      <c r="AB67" s="24">
        <v>590</v>
      </c>
      <c r="AC67" s="24">
        <v>64</v>
      </c>
      <c r="AD67" s="24"/>
      <c r="AE67" s="24"/>
      <c r="AF67" s="24"/>
      <c r="AG67" s="24"/>
      <c r="AH67" s="24"/>
      <c r="AI67" s="24"/>
      <c r="AJ67" s="24"/>
      <c r="AK67" s="24">
        <v>2022</v>
      </c>
      <c r="AL67" s="24">
        <v>49</v>
      </c>
      <c r="AM67" s="24">
        <v>22133.47</v>
      </c>
      <c r="AN67" s="24">
        <v>2152.6799999999998</v>
      </c>
      <c r="AO67" s="24">
        <v>0</v>
      </c>
      <c r="AP67" s="24">
        <v>556</v>
      </c>
      <c r="AQ67" s="24">
        <v>0</v>
      </c>
      <c r="AR67" s="24">
        <v>9</v>
      </c>
      <c r="AS67" s="24" t="s">
        <v>33</v>
      </c>
      <c r="AT67" s="24"/>
      <c r="AU67" s="24">
        <v>2022</v>
      </c>
      <c r="AV67" s="24">
        <v>49</v>
      </c>
      <c r="AW67" s="24">
        <v>0.04</v>
      </c>
      <c r="AX67" s="24">
        <v>14600</v>
      </c>
      <c r="AY67" s="24">
        <v>326425</v>
      </c>
      <c r="AZ67" s="24" t="s">
        <v>33</v>
      </c>
      <c r="BA67" s="24"/>
      <c r="BB67" s="24"/>
      <c r="BC67" s="24">
        <v>2022</v>
      </c>
      <c r="BD67" s="24">
        <v>49</v>
      </c>
      <c r="BE67" s="24">
        <v>2947.723</v>
      </c>
      <c r="BF67" s="24" t="s">
        <v>33</v>
      </c>
      <c r="BG67" s="24"/>
      <c r="BI67" s="24">
        <v>2023</v>
      </c>
      <c r="BJ67" s="24">
        <v>3</v>
      </c>
      <c r="BK67" s="24" t="s">
        <v>33</v>
      </c>
      <c r="BL67" s="24" t="s">
        <v>272</v>
      </c>
      <c r="BM67" s="24">
        <v>64308</v>
      </c>
      <c r="BN67" s="24">
        <v>64058</v>
      </c>
      <c r="BO67" s="24">
        <v>232592</v>
      </c>
      <c r="BR67" s="24">
        <v>2022</v>
      </c>
      <c r="BS67" s="24">
        <v>49</v>
      </c>
      <c r="BT67" s="24">
        <v>325465</v>
      </c>
      <c r="BU67" s="24">
        <v>599</v>
      </c>
      <c r="BV67" s="24" t="s">
        <v>33</v>
      </c>
      <c r="BY67" s="24">
        <v>2023</v>
      </c>
      <c r="BZ67" s="24">
        <v>1</v>
      </c>
      <c r="CA67" s="24" t="s">
        <v>32</v>
      </c>
      <c r="CB67" s="24" t="s">
        <v>423</v>
      </c>
      <c r="CC67" s="24">
        <v>1</v>
      </c>
      <c r="CF67" s="24">
        <v>2022</v>
      </c>
      <c r="CG67" s="24">
        <v>49</v>
      </c>
      <c r="CH67" s="24" t="s">
        <v>33</v>
      </c>
      <c r="CI67" s="24">
        <v>124.53872261647639</v>
      </c>
      <c r="CJ67" s="24">
        <v>282541</v>
      </c>
      <c r="CK67" s="24">
        <v>2268.6999999999998</v>
      </c>
      <c r="CL67" s="24">
        <v>109.61737029035919</v>
      </c>
      <c r="CM67" s="24">
        <v>152904</v>
      </c>
      <c r="CN67" s="24">
        <v>299376</v>
      </c>
      <c r="CO67" s="24">
        <v>2731.1</v>
      </c>
      <c r="CP67" s="24">
        <v>94296</v>
      </c>
      <c r="CQ67" s="24">
        <v>723.3</v>
      </c>
      <c r="CR67" s="24">
        <v>2947.3</v>
      </c>
      <c r="CS67" s="24">
        <v>147325</v>
      </c>
      <c r="CT67" s="24">
        <v>147325</v>
      </c>
      <c r="CU67" s="24">
        <v>1706.9</v>
      </c>
      <c r="CV67" s="24">
        <v>63062</v>
      </c>
      <c r="CW67" s="24">
        <v>0</v>
      </c>
      <c r="CX67" s="24">
        <v>146928</v>
      </c>
      <c r="CY67" s="24">
        <v>1070</v>
      </c>
      <c r="CZ67" s="24">
        <v>71365</v>
      </c>
      <c r="DA67" s="24">
        <v>2947.3</v>
      </c>
      <c r="DD67" s="24">
        <v>2022</v>
      </c>
      <c r="DE67" s="24">
        <v>49</v>
      </c>
      <c r="DF67" s="24" t="s">
        <v>33</v>
      </c>
      <c r="DG67" s="24">
        <v>28817</v>
      </c>
      <c r="DH67" s="24">
        <v>28856</v>
      </c>
      <c r="DJ67" s="24">
        <v>2022</v>
      </c>
      <c r="DK67" s="24">
        <v>49</v>
      </c>
      <c r="DL67" s="24" t="s">
        <v>33</v>
      </c>
      <c r="DM67" s="24">
        <v>275</v>
      </c>
      <c r="DP67" s="24">
        <v>2022</v>
      </c>
      <c r="DQ67" s="24">
        <v>49</v>
      </c>
      <c r="DR67" s="24" t="s">
        <v>33</v>
      </c>
      <c r="DS67" s="24">
        <v>3612</v>
      </c>
      <c r="DT67" s="24">
        <v>4101</v>
      </c>
      <c r="DU67" s="24"/>
      <c r="DW67" s="24">
        <v>2023</v>
      </c>
      <c r="DX67" s="24">
        <v>1</v>
      </c>
      <c r="DY67" s="24" t="s">
        <v>33</v>
      </c>
      <c r="DZ67" s="24">
        <v>13</v>
      </c>
      <c r="EA67" s="24" t="s">
        <v>562</v>
      </c>
      <c r="EB67" s="24">
        <v>266.10000000000002</v>
      </c>
      <c r="EC67" s="24">
        <v>0</v>
      </c>
      <c r="ED67" s="24"/>
      <c r="EE67" s="24">
        <v>9141</v>
      </c>
      <c r="EF67" s="24">
        <v>4.4000000000000004</v>
      </c>
      <c r="EI67" s="24">
        <v>2023</v>
      </c>
      <c r="EJ67" s="24">
        <v>9</v>
      </c>
      <c r="EK67" s="24" t="s">
        <v>33</v>
      </c>
      <c r="EL67" s="24" t="s">
        <v>247</v>
      </c>
      <c r="EM67" s="24" t="s">
        <v>215</v>
      </c>
      <c r="EN67" s="24">
        <v>1</v>
      </c>
      <c r="EO67" s="24"/>
      <c r="EP67" s="24"/>
      <c r="EQ67" s="24"/>
      <c r="ER67" s="24"/>
      <c r="ES67" s="24">
        <v>2022</v>
      </c>
      <c r="ET67" s="24">
        <v>46</v>
      </c>
      <c r="EU67" s="24" t="s">
        <v>32</v>
      </c>
      <c r="EV67" s="24">
        <v>6634</v>
      </c>
      <c r="EY67" s="24">
        <v>2022</v>
      </c>
      <c r="EZ67" s="24">
        <v>49</v>
      </c>
      <c r="FA67" s="24" t="s">
        <v>33</v>
      </c>
      <c r="FB67" s="24">
        <v>1801</v>
      </c>
      <c r="FE67" s="24">
        <v>2022</v>
      </c>
      <c r="FF67" s="24">
        <v>49</v>
      </c>
      <c r="FG67" s="24" t="s">
        <v>33</v>
      </c>
      <c r="FH67" s="24">
        <v>0.96679999999999999</v>
      </c>
      <c r="FI67" s="24">
        <v>16334</v>
      </c>
      <c r="FJ67" s="24">
        <v>7388</v>
      </c>
      <c r="FK67" s="24">
        <v>7685</v>
      </c>
      <c r="FN67" s="24">
        <v>2022</v>
      </c>
      <c r="FO67" s="24">
        <v>50</v>
      </c>
      <c r="FP67" s="24" t="s">
        <v>33</v>
      </c>
      <c r="FQ67" s="24">
        <v>1015072</v>
      </c>
      <c r="FR67" s="24">
        <v>11712.516666666701</v>
      </c>
      <c r="FS67" s="24">
        <v>383868</v>
      </c>
      <c r="FT67" s="24">
        <v>3612.1000000000004</v>
      </c>
      <c r="FW67" s="24">
        <v>2022</v>
      </c>
      <c r="FX67" s="24">
        <v>49</v>
      </c>
      <c r="FY67" s="24" t="s">
        <v>33</v>
      </c>
      <c r="FZ67" s="24">
        <v>19295</v>
      </c>
      <c r="GA67" s="24">
        <v>16855</v>
      </c>
      <c r="GB67" s="24"/>
      <c r="GC67" s="24"/>
      <c r="GD67" s="24">
        <v>2022</v>
      </c>
      <c r="GE67" s="24">
        <v>49</v>
      </c>
      <c r="GF67" s="24" t="s">
        <v>33</v>
      </c>
      <c r="GG67" s="24">
        <v>19323</v>
      </c>
      <c r="GH67" s="24">
        <v>17410</v>
      </c>
      <c r="GK67" s="24"/>
      <c r="GL67" s="24"/>
      <c r="GM67" s="24"/>
      <c r="GN67" s="24"/>
      <c r="GO67" s="24"/>
      <c r="GP67" s="24">
        <v>2022</v>
      </c>
      <c r="GQ67" s="24">
        <v>49</v>
      </c>
      <c r="GR67" s="24">
        <v>35.884</v>
      </c>
      <c r="GS67" s="24" t="s">
        <v>33</v>
      </c>
      <c r="GX67">
        <v>2022</v>
      </c>
      <c r="GY67">
        <v>49</v>
      </c>
      <c r="GZ67" t="s">
        <v>33</v>
      </c>
      <c r="HA67">
        <v>318062</v>
      </c>
      <c r="HB67">
        <v>293890</v>
      </c>
      <c r="HC67">
        <v>990</v>
      </c>
      <c r="HD67">
        <v>793</v>
      </c>
      <c r="HE67">
        <v>226</v>
      </c>
      <c r="HF67">
        <v>14044</v>
      </c>
      <c r="HG67">
        <v>0</v>
      </c>
      <c r="HH67">
        <v>350</v>
      </c>
      <c r="HI67">
        <v>2301</v>
      </c>
      <c r="HL67">
        <v>2022</v>
      </c>
      <c r="HM67">
        <v>49</v>
      </c>
      <c r="HN67" t="s">
        <v>33</v>
      </c>
      <c r="HO67">
        <v>312388</v>
      </c>
      <c r="HP67">
        <v>296885</v>
      </c>
      <c r="HQ67">
        <v>888</v>
      </c>
      <c r="HR67">
        <v>508</v>
      </c>
      <c r="HS67">
        <v>136</v>
      </c>
      <c r="HT67">
        <v>13390</v>
      </c>
      <c r="HU67">
        <v>0</v>
      </c>
      <c r="HV67">
        <v>280</v>
      </c>
      <c r="HW67">
        <v>817</v>
      </c>
      <c r="HZ67" s="24">
        <v>2022</v>
      </c>
      <c r="IA67" s="24">
        <v>49</v>
      </c>
      <c r="IB67" s="24" t="s">
        <v>33</v>
      </c>
      <c r="IC67" s="24">
        <v>18953</v>
      </c>
      <c r="ID67" s="24">
        <v>17209</v>
      </c>
      <c r="IG67" s="24">
        <v>2022</v>
      </c>
      <c r="IH67" s="24">
        <v>49</v>
      </c>
      <c r="II67" s="24" t="s">
        <v>33</v>
      </c>
      <c r="IJ67" s="24">
        <v>17883</v>
      </c>
      <c r="IK67" s="24">
        <v>17474</v>
      </c>
    </row>
    <row r="68" spans="9:245" x14ac:dyDescent="0.4">
      <c r="I68" s="305">
        <v>2022</v>
      </c>
      <c r="J68" s="306">
        <v>49</v>
      </c>
      <c r="K68" s="306" t="s">
        <v>33</v>
      </c>
      <c r="L68" s="306">
        <v>315850</v>
      </c>
      <c r="M68" s="306">
        <v>290610</v>
      </c>
      <c r="N68" s="306">
        <v>1543</v>
      </c>
      <c r="O68" s="306">
        <v>7459</v>
      </c>
      <c r="P68" s="306">
        <v>910</v>
      </c>
      <c r="Q68" s="306">
        <v>82</v>
      </c>
      <c r="R68" s="24"/>
      <c r="S68" s="24"/>
      <c r="T68" s="24"/>
      <c r="W68" s="24">
        <v>2022</v>
      </c>
      <c r="X68" s="24">
        <v>48</v>
      </c>
      <c r="Y68" s="24" t="s">
        <v>32</v>
      </c>
      <c r="Z68" s="24">
        <v>18816</v>
      </c>
      <c r="AA68" s="24">
        <v>18171</v>
      </c>
      <c r="AB68" s="24">
        <v>67</v>
      </c>
      <c r="AC68" s="24">
        <v>11</v>
      </c>
      <c r="AD68" s="24"/>
      <c r="AE68" s="24"/>
      <c r="AF68" s="24"/>
      <c r="AG68" s="24"/>
      <c r="AH68" s="24"/>
      <c r="AI68" s="24"/>
      <c r="AJ68" s="24"/>
      <c r="AK68" s="24">
        <v>2022</v>
      </c>
      <c r="AL68" s="24">
        <v>48</v>
      </c>
      <c r="AM68" s="24">
        <v>578.08000000000004</v>
      </c>
      <c r="AN68" s="24">
        <v>63.43</v>
      </c>
      <c r="AO68" s="24">
        <v>0</v>
      </c>
      <c r="AP68" s="24">
        <v>14</v>
      </c>
      <c r="AQ68" s="24">
        <v>0</v>
      </c>
      <c r="AR68" s="24">
        <v>0</v>
      </c>
      <c r="AS68" s="24" t="s">
        <v>32</v>
      </c>
      <c r="AT68" s="24"/>
      <c r="AU68" s="24">
        <v>2022</v>
      </c>
      <c r="AV68" s="24">
        <v>48</v>
      </c>
      <c r="AW68" s="24">
        <v>0.19</v>
      </c>
      <c r="AX68" s="24">
        <v>3400</v>
      </c>
      <c r="AY68" s="24">
        <v>17565</v>
      </c>
      <c r="AZ68" s="24" t="s">
        <v>32</v>
      </c>
      <c r="BA68" s="24"/>
      <c r="BB68" s="24"/>
      <c r="BC68" s="24">
        <v>2022</v>
      </c>
      <c r="BD68" s="24">
        <v>48</v>
      </c>
      <c r="BE68" s="24">
        <v>289.55685714285698</v>
      </c>
      <c r="BF68" s="24" t="s">
        <v>32</v>
      </c>
      <c r="BG68" s="24"/>
      <c r="BI68" s="24">
        <v>2023</v>
      </c>
      <c r="BJ68" s="24">
        <v>3</v>
      </c>
      <c r="BK68" s="24" t="s">
        <v>32</v>
      </c>
      <c r="BL68" s="24" t="s">
        <v>273</v>
      </c>
      <c r="BM68" s="24">
        <v>7964</v>
      </c>
      <c r="BN68" s="24">
        <v>7885</v>
      </c>
      <c r="BO68" s="24">
        <v>8183</v>
      </c>
      <c r="BR68" s="24">
        <v>2022</v>
      </c>
      <c r="BS68" s="24">
        <v>48</v>
      </c>
      <c r="BT68" s="24">
        <v>17488</v>
      </c>
      <c r="BU68" s="24">
        <v>60</v>
      </c>
      <c r="BV68" s="24" t="s">
        <v>32</v>
      </c>
      <c r="BY68" s="24">
        <v>2023</v>
      </c>
      <c r="BZ68" s="24">
        <v>1</v>
      </c>
      <c r="CA68" s="24" t="s">
        <v>33</v>
      </c>
      <c r="CB68" s="24" t="s">
        <v>108</v>
      </c>
      <c r="CC68" s="24">
        <v>1</v>
      </c>
      <c r="CF68" s="24">
        <v>2022</v>
      </c>
      <c r="CG68" s="24">
        <v>48</v>
      </c>
      <c r="CH68" s="24" t="s">
        <v>32</v>
      </c>
      <c r="CI68" s="24">
        <v>57.085374387683693</v>
      </c>
      <c r="CJ68" s="24">
        <v>16315</v>
      </c>
      <c r="CK68" s="24">
        <v>285.8</v>
      </c>
      <c r="CL68" s="24">
        <v>46.185615950629007</v>
      </c>
      <c r="CM68" s="24">
        <v>11008</v>
      </c>
      <c r="CN68" s="24">
        <v>19458</v>
      </c>
      <c r="CO68" s="24">
        <v>421.3</v>
      </c>
      <c r="CP68" s="24">
        <v>8940</v>
      </c>
      <c r="CQ68" s="24">
        <v>33.9</v>
      </c>
      <c r="CR68" s="24">
        <v>312.60000000000002</v>
      </c>
      <c r="CS68" s="24">
        <v>12584</v>
      </c>
      <c r="CT68" s="24">
        <v>12584</v>
      </c>
      <c r="CU68" s="24">
        <v>271.3</v>
      </c>
      <c r="CV68" s="24">
        <v>3426</v>
      </c>
      <c r="CW68" s="24">
        <v>0</v>
      </c>
      <c r="CX68" s="24">
        <v>13315</v>
      </c>
      <c r="CY68" s="24">
        <v>88.8</v>
      </c>
      <c r="CZ68" s="24">
        <v>8280</v>
      </c>
      <c r="DA68" s="24">
        <v>312.60000000000002</v>
      </c>
      <c r="DD68" s="24">
        <v>2022</v>
      </c>
      <c r="DE68" s="24">
        <v>48</v>
      </c>
      <c r="DF68" s="24" t="s">
        <v>32</v>
      </c>
      <c r="DG68" s="24">
        <v>2298</v>
      </c>
      <c r="DH68" s="24">
        <v>2883</v>
      </c>
      <c r="DJ68" s="24">
        <v>2022</v>
      </c>
      <c r="DK68" s="24">
        <v>48</v>
      </c>
      <c r="DL68" s="24" t="s">
        <v>32</v>
      </c>
      <c r="DM68" s="24">
        <v>57</v>
      </c>
      <c r="DP68" s="24">
        <v>2022</v>
      </c>
      <c r="DQ68" s="24">
        <v>48</v>
      </c>
      <c r="DR68" s="24" t="s">
        <v>32</v>
      </c>
      <c r="DS68" s="24">
        <v>503</v>
      </c>
      <c r="DT68" s="24">
        <v>518</v>
      </c>
      <c r="DU68" s="24"/>
      <c r="DW68" s="24">
        <v>2023</v>
      </c>
      <c r="DX68" s="24">
        <v>1</v>
      </c>
      <c r="DY68" s="24" t="s">
        <v>33</v>
      </c>
      <c r="DZ68" s="24">
        <v>112</v>
      </c>
      <c r="EA68" s="24" t="s">
        <v>149</v>
      </c>
      <c r="EB68" s="24">
        <v>32.9</v>
      </c>
      <c r="EC68" s="24">
        <v>2165.3000000000002</v>
      </c>
      <c r="ED68" s="24">
        <v>51014</v>
      </c>
      <c r="EE68" s="24">
        <v>51213</v>
      </c>
      <c r="EF68" s="24">
        <v>72.3</v>
      </c>
      <c r="EI68" s="24">
        <v>2023</v>
      </c>
      <c r="EJ68" s="24">
        <v>9</v>
      </c>
      <c r="EK68" s="24" t="s">
        <v>237</v>
      </c>
      <c r="EL68" s="24" t="s">
        <v>557</v>
      </c>
      <c r="EM68" s="24" t="s">
        <v>210</v>
      </c>
      <c r="EN68" s="24">
        <v>3</v>
      </c>
      <c r="EO68" s="24"/>
      <c r="EP68" s="24"/>
      <c r="EQ68" s="24"/>
      <c r="ER68" s="24"/>
      <c r="ES68" s="24">
        <v>2022</v>
      </c>
      <c r="ET68" s="24">
        <v>46</v>
      </c>
      <c r="EU68" s="24" t="s">
        <v>33</v>
      </c>
      <c r="EV68" s="24">
        <v>126265</v>
      </c>
      <c r="EY68" s="24">
        <v>2022</v>
      </c>
      <c r="EZ68" s="24">
        <v>48</v>
      </c>
      <c r="FA68" s="24" t="s">
        <v>32</v>
      </c>
      <c r="FB68" s="24">
        <v>869</v>
      </c>
      <c r="FE68" s="24">
        <v>2022</v>
      </c>
      <c r="FF68" s="24">
        <v>48</v>
      </c>
      <c r="FG68" s="24" t="s">
        <v>32</v>
      </c>
      <c r="FH68" s="24">
        <v>0.90370000000000006</v>
      </c>
      <c r="FI68" s="24">
        <v>491</v>
      </c>
      <c r="FJ68" s="24">
        <v>221</v>
      </c>
      <c r="FK68" s="24">
        <v>247</v>
      </c>
      <c r="FN68" s="24">
        <v>2022</v>
      </c>
      <c r="FO68" s="24">
        <v>49</v>
      </c>
      <c r="FP68" s="24" t="s">
        <v>32</v>
      </c>
      <c r="FQ68" s="24">
        <v>40721</v>
      </c>
      <c r="FR68" s="24">
        <v>1183.3333333333298</v>
      </c>
      <c r="FS68" s="24">
        <v>30132</v>
      </c>
      <c r="FT68" s="24">
        <v>391.183333333333</v>
      </c>
      <c r="FW68" s="24">
        <v>2022</v>
      </c>
      <c r="FX68" s="24">
        <v>48</v>
      </c>
      <c r="FY68" s="24" t="s">
        <v>32</v>
      </c>
      <c r="FZ68" s="24">
        <v>2479</v>
      </c>
      <c r="GA68" s="24">
        <v>2159</v>
      </c>
      <c r="GB68" s="24"/>
      <c r="GC68" s="24"/>
      <c r="GD68" s="24">
        <v>2022</v>
      </c>
      <c r="GE68" s="24">
        <v>48</v>
      </c>
      <c r="GF68" s="24" t="s">
        <v>32</v>
      </c>
      <c r="GG68" s="24">
        <v>2495</v>
      </c>
      <c r="GH68" s="24">
        <v>2149</v>
      </c>
      <c r="GK68" s="24"/>
      <c r="GL68" s="24"/>
      <c r="GM68" s="24"/>
      <c r="GN68" s="24"/>
      <c r="GO68" s="24"/>
      <c r="GP68" s="24">
        <v>2022</v>
      </c>
      <c r="GQ68" s="24">
        <v>48</v>
      </c>
      <c r="GR68" s="24">
        <v>5.3027142857142904</v>
      </c>
      <c r="GS68" s="24" t="s">
        <v>32</v>
      </c>
      <c r="GX68">
        <v>2022</v>
      </c>
      <c r="GY68">
        <v>48</v>
      </c>
      <c r="GZ68" t="s">
        <v>32</v>
      </c>
      <c r="HA68">
        <v>17070</v>
      </c>
      <c r="HB68">
        <v>16257</v>
      </c>
      <c r="HC68">
        <v>50</v>
      </c>
      <c r="HD68">
        <v>8</v>
      </c>
      <c r="HE68">
        <v>12</v>
      </c>
      <c r="HF68">
        <v>250</v>
      </c>
      <c r="HG68">
        <v>0</v>
      </c>
      <c r="HH68">
        <v>0</v>
      </c>
      <c r="HI68">
        <v>110</v>
      </c>
      <c r="HL68">
        <v>2022</v>
      </c>
      <c r="HM68">
        <v>48</v>
      </c>
      <c r="HN68" t="s">
        <v>32</v>
      </c>
      <c r="HO68">
        <v>18745</v>
      </c>
      <c r="HP68">
        <v>18229</v>
      </c>
      <c r="HQ68">
        <v>63</v>
      </c>
      <c r="HR68">
        <v>3</v>
      </c>
      <c r="HS68">
        <v>4</v>
      </c>
      <c r="HT68">
        <v>394</v>
      </c>
      <c r="HU68">
        <v>0</v>
      </c>
      <c r="HV68">
        <v>0</v>
      </c>
      <c r="HW68">
        <v>50</v>
      </c>
      <c r="HZ68" s="24">
        <v>2022</v>
      </c>
      <c r="IA68" s="24">
        <v>48</v>
      </c>
      <c r="IB68" s="24" t="s">
        <v>32</v>
      </c>
      <c r="IC68" s="24">
        <v>2331</v>
      </c>
      <c r="ID68" s="24">
        <v>2023</v>
      </c>
      <c r="IG68" s="24">
        <v>2022</v>
      </c>
      <c r="IH68" s="24">
        <v>48</v>
      </c>
      <c r="II68" s="24" t="s">
        <v>32</v>
      </c>
      <c r="IJ68" s="24">
        <v>2419</v>
      </c>
      <c r="IK68" s="24">
        <v>2205</v>
      </c>
    </row>
    <row r="69" spans="9:245" x14ac:dyDescent="0.4">
      <c r="I69" s="305">
        <v>2022</v>
      </c>
      <c r="J69" s="306">
        <v>48</v>
      </c>
      <c r="K69" s="306" t="s">
        <v>32</v>
      </c>
      <c r="L69" s="306">
        <v>18855</v>
      </c>
      <c r="M69" s="306">
        <v>18053</v>
      </c>
      <c r="N69" s="306">
        <v>68</v>
      </c>
      <c r="O69" s="306">
        <v>496</v>
      </c>
      <c r="P69" s="306">
        <v>108</v>
      </c>
      <c r="Q69" s="306">
        <v>14</v>
      </c>
      <c r="R69" s="24"/>
      <c r="S69" s="24"/>
      <c r="T69" s="24"/>
      <c r="W69" s="24">
        <v>2022</v>
      </c>
      <c r="X69" s="24">
        <v>48</v>
      </c>
      <c r="Y69" s="24" t="s">
        <v>33</v>
      </c>
      <c r="Z69" s="24">
        <v>404150</v>
      </c>
      <c r="AA69" s="24">
        <v>363551</v>
      </c>
      <c r="AB69" s="24">
        <v>1106</v>
      </c>
      <c r="AC69" s="24">
        <v>135</v>
      </c>
      <c r="AD69" s="24"/>
      <c r="AE69" s="24"/>
      <c r="AF69" s="24"/>
      <c r="AG69" s="24"/>
      <c r="AH69" s="24"/>
      <c r="AI69" s="24"/>
      <c r="AJ69" s="24"/>
      <c r="AK69" s="24">
        <v>2022</v>
      </c>
      <c r="AL69" s="24">
        <v>48</v>
      </c>
      <c r="AM69" s="24">
        <v>26040.100000000002</v>
      </c>
      <c r="AN69" s="24">
        <v>2599.2800000000002</v>
      </c>
      <c r="AO69" s="24">
        <v>0</v>
      </c>
      <c r="AP69" s="24">
        <v>559</v>
      </c>
      <c r="AQ69" s="24">
        <v>0</v>
      </c>
      <c r="AR69" s="24">
        <v>3</v>
      </c>
      <c r="AS69" s="24" t="s">
        <v>33</v>
      </c>
      <c r="AT69" s="24"/>
      <c r="AU69" s="24">
        <v>2022</v>
      </c>
      <c r="AV69" s="24">
        <v>48</v>
      </c>
      <c r="AW69" s="24">
        <v>0.08</v>
      </c>
      <c r="AX69" s="24">
        <v>28600</v>
      </c>
      <c r="AY69" s="24">
        <v>375562</v>
      </c>
      <c r="AZ69" s="24" t="s">
        <v>33</v>
      </c>
      <c r="BA69" s="24"/>
      <c r="BB69" s="24"/>
      <c r="BC69" s="24">
        <v>2022</v>
      </c>
      <c r="BD69" s="24">
        <v>48</v>
      </c>
      <c r="BE69" s="24">
        <v>3029.1932857142897</v>
      </c>
      <c r="BF69" s="24" t="s">
        <v>33</v>
      </c>
      <c r="BG69" s="24"/>
      <c r="BI69" s="24">
        <v>2023</v>
      </c>
      <c r="BJ69" s="24">
        <v>3</v>
      </c>
      <c r="BK69" s="24" t="s">
        <v>33</v>
      </c>
      <c r="BL69" s="24" t="s">
        <v>273</v>
      </c>
      <c r="BM69" s="24">
        <v>114325</v>
      </c>
      <c r="BN69" s="24">
        <v>112620</v>
      </c>
      <c r="BO69" s="24">
        <v>116460</v>
      </c>
      <c r="BR69" s="24">
        <v>2022</v>
      </c>
      <c r="BS69" s="24">
        <v>48</v>
      </c>
      <c r="BT69" s="24">
        <v>374292</v>
      </c>
      <c r="BU69" s="24">
        <v>933</v>
      </c>
      <c r="BV69" s="24" t="s">
        <v>33</v>
      </c>
      <c r="BY69" s="24">
        <v>2023</v>
      </c>
      <c r="BZ69" s="24">
        <v>1</v>
      </c>
      <c r="CA69" s="24" t="s">
        <v>33</v>
      </c>
      <c r="CB69" s="24" t="s">
        <v>423</v>
      </c>
      <c r="CC69" s="24">
        <v>1</v>
      </c>
      <c r="CF69" s="24">
        <v>2022</v>
      </c>
      <c r="CG69" s="24">
        <v>48</v>
      </c>
      <c r="CH69" s="24" t="s">
        <v>33</v>
      </c>
      <c r="CI69" s="24">
        <v>129.04062936348467</v>
      </c>
      <c r="CJ69" s="24">
        <v>378902</v>
      </c>
      <c r="CK69" s="24">
        <v>2936.3</v>
      </c>
      <c r="CL69" s="24">
        <v>110.682585972916</v>
      </c>
      <c r="CM69" s="24">
        <v>188972</v>
      </c>
      <c r="CN69" s="24">
        <v>383327</v>
      </c>
      <c r="CO69" s="24">
        <v>3463.3</v>
      </c>
      <c r="CP69" s="24">
        <v>97391</v>
      </c>
      <c r="CQ69" s="24">
        <v>698.6</v>
      </c>
      <c r="CR69" s="24">
        <v>3004.5</v>
      </c>
      <c r="CS69" s="24">
        <v>145740</v>
      </c>
      <c r="CT69" s="24">
        <v>145740</v>
      </c>
      <c r="CU69" s="24">
        <v>1706.1</v>
      </c>
      <c r="CV69" s="24">
        <v>68332</v>
      </c>
      <c r="CW69" s="24">
        <v>0</v>
      </c>
      <c r="CX69" s="24">
        <v>135925</v>
      </c>
      <c r="CY69" s="24">
        <v>1113.5999999999999</v>
      </c>
      <c r="CZ69" s="24">
        <v>75159</v>
      </c>
      <c r="DA69" s="24">
        <v>3004.5</v>
      </c>
      <c r="DD69" s="24">
        <v>2022</v>
      </c>
      <c r="DE69" s="24">
        <v>48</v>
      </c>
      <c r="DF69" s="24" t="s">
        <v>33</v>
      </c>
      <c r="DG69" s="24">
        <v>34590</v>
      </c>
      <c r="DH69" s="24">
        <v>25206</v>
      </c>
      <c r="DJ69" s="24">
        <v>2022</v>
      </c>
      <c r="DK69" s="24">
        <v>48</v>
      </c>
      <c r="DL69" s="24" t="s">
        <v>33</v>
      </c>
      <c r="DM69" s="24">
        <v>322</v>
      </c>
      <c r="DP69" s="24">
        <v>2022</v>
      </c>
      <c r="DQ69" s="24">
        <v>48</v>
      </c>
      <c r="DR69" s="24" t="s">
        <v>33</v>
      </c>
      <c r="DS69" s="24">
        <v>3502</v>
      </c>
      <c r="DT69" s="24">
        <v>4795</v>
      </c>
      <c r="DU69" s="24"/>
      <c r="DW69" s="24">
        <v>2022</v>
      </c>
      <c r="DX69" s="24">
        <v>52</v>
      </c>
      <c r="DY69" s="24" t="s">
        <v>32</v>
      </c>
      <c r="DZ69" s="24">
        <v>3</v>
      </c>
      <c r="EA69" s="24" t="s">
        <v>149</v>
      </c>
      <c r="EB69" s="24">
        <v>8.3000000000000007</v>
      </c>
      <c r="EC69" s="24">
        <v>75.2</v>
      </c>
      <c r="ED69" s="24">
        <v>1522</v>
      </c>
      <c r="EE69" s="24">
        <v>1548</v>
      </c>
      <c r="EF69" s="24">
        <v>8.5</v>
      </c>
      <c r="EI69" s="24">
        <v>2023</v>
      </c>
      <c r="EJ69" s="24">
        <v>9</v>
      </c>
      <c r="EK69" s="24" t="s">
        <v>237</v>
      </c>
      <c r="EL69" s="24" t="s">
        <v>240</v>
      </c>
      <c r="EM69" s="24" t="s">
        <v>210</v>
      </c>
      <c r="EN69" s="24">
        <v>1</v>
      </c>
      <c r="EO69" s="24"/>
      <c r="EP69" s="24"/>
      <c r="EQ69" s="24"/>
      <c r="ER69" s="24"/>
      <c r="ES69" s="24">
        <v>2022</v>
      </c>
      <c r="ET69" s="24">
        <v>45</v>
      </c>
      <c r="EU69" s="24" t="s">
        <v>32</v>
      </c>
      <c r="EV69" s="24">
        <v>7124</v>
      </c>
      <c r="EY69" s="24">
        <v>2022</v>
      </c>
      <c r="EZ69" s="24">
        <v>48</v>
      </c>
      <c r="FA69" s="24" t="s">
        <v>33</v>
      </c>
      <c r="FB69" s="24">
        <v>1810</v>
      </c>
      <c r="FE69" s="24">
        <v>2022</v>
      </c>
      <c r="FF69" s="24">
        <v>48</v>
      </c>
      <c r="FG69" s="24" t="s">
        <v>33</v>
      </c>
      <c r="FH69" s="24">
        <v>0.97399999999999998</v>
      </c>
      <c r="FI69" s="24">
        <v>17919</v>
      </c>
      <c r="FJ69" s="24">
        <v>8123</v>
      </c>
      <c r="FK69" s="24">
        <v>8378</v>
      </c>
      <c r="FN69" s="24">
        <v>2022</v>
      </c>
      <c r="FO69" s="24">
        <v>49</v>
      </c>
      <c r="FP69" s="24" t="s">
        <v>33</v>
      </c>
      <c r="FQ69" s="24">
        <v>1033212</v>
      </c>
      <c r="FR69" s="24">
        <v>11492.416666666701</v>
      </c>
      <c r="FS69" s="24">
        <v>390245</v>
      </c>
      <c r="FT69" s="24">
        <v>3720.6333333333296</v>
      </c>
      <c r="FW69" s="24">
        <v>2022</v>
      </c>
      <c r="FX69" s="24">
        <v>48</v>
      </c>
      <c r="FY69" s="24" t="s">
        <v>33</v>
      </c>
      <c r="FZ69" s="24">
        <v>21765</v>
      </c>
      <c r="GA69" s="24">
        <v>19216</v>
      </c>
      <c r="GB69" s="24"/>
      <c r="GC69" s="24"/>
      <c r="GD69" s="24">
        <v>2022</v>
      </c>
      <c r="GE69" s="24">
        <v>48</v>
      </c>
      <c r="GF69" s="24" t="s">
        <v>33</v>
      </c>
      <c r="GG69" s="24">
        <v>21608</v>
      </c>
      <c r="GH69" s="24">
        <v>19444</v>
      </c>
      <c r="GK69" s="24"/>
      <c r="GL69" s="24"/>
      <c r="GM69" s="24"/>
      <c r="GN69" s="24"/>
      <c r="GO69" s="24"/>
      <c r="GP69" s="24">
        <v>2022</v>
      </c>
      <c r="GQ69" s="24">
        <v>48</v>
      </c>
      <c r="GR69" s="24">
        <v>35.575857142857103</v>
      </c>
      <c r="GS69" s="24" t="s">
        <v>33</v>
      </c>
      <c r="GX69">
        <v>2022</v>
      </c>
      <c r="GY69">
        <v>48</v>
      </c>
      <c r="GZ69" t="s">
        <v>33</v>
      </c>
      <c r="HA69">
        <v>369728</v>
      </c>
      <c r="HB69">
        <v>333988</v>
      </c>
      <c r="HC69">
        <v>1214</v>
      </c>
      <c r="HD69">
        <v>1360</v>
      </c>
      <c r="HE69">
        <v>309</v>
      </c>
      <c r="HF69">
        <v>24124</v>
      </c>
      <c r="HG69">
        <v>0</v>
      </c>
      <c r="HH69">
        <v>342</v>
      </c>
      <c r="HI69">
        <v>2115</v>
      </c>
      <c r="HL69">
        <v>2022</v>
      </c>
      <c r="HM69">
        <v>48</v>
      </c>
      <c r="HN69" t="s">
        <v>33</v>
      </c>
      <c r="HO69">
        <v>403549</v>
      </c>
      <c r="HP69">
        <v>367301</v>
      </c>
      <c r="HQ69">
        <v>1542</v>
      </c>
      <c r="HR69">
        <v>1476</v>
      </c>
      <c r="HS69">
        <v>303</v>
      </c>
      <c r="HT69">
        <v>29344</v>
      </c>
      <c r="HU69">
        <v>0</v>
      </c>
      <c r="HV69">
        <v>382</v>
      </c>
      <c r="HW69">
        <v>1268</v>
      </c>
      <c r="HZ69" s="24">
        <v>2022</v>
      </c>
      <c r="IA69" s="24">
        <v>48</v>
      </c>
      <c r="IB69" s="24" t="s">
        <v>33</v>
      </c>
      <c r="IC69" s="24">
        <v>21298</v>
      </c>
      <c r="ID69" s="24">
        <v>19456</v>
      </c>
      <c r="IG69" s="24">
        <v>2022</v>
      </c>
      <c r="IH69" s="24">
        <v>48</v>
      </c>
      <c r="II69" s="24" t="s">
        <v>33</v>
      </c>
      <c r="IJ69" s="24">
        <v>18917</v>
      </c>
      <c r="IK69" s="24">
        <v>18524</v>
      </c>
    </row>
    <row r="70" spans="9:245" x14ac:dyDescent="0.4">
      <c r="I70" s="305">
        <v>2022</v>
      </c>
      <c r="J70" s="306">
        <v>48</v>
      </c>
      <c r="K70" s="306" t="s">
        <v>33</v>
      </c>
      <c r="L70" s="306">
        <v>408250</v>
      </c>
      <c r="M70" s="306">
        <v>365045</v>
      </c>
      <c r="N70" s="306">
        <v>1451</v>
      </c>
      <c r="O70" s="306">
        <v>11421</v>
      </c>
      <c r="P70" s="306">
        <v>1392</v>
      </c>
      <c r="Q70" s="306">
        <v>139</v>
      </c>
      <c r="R70" s="24"/>
      <c r="S70" s="24"/>
      <c r="T70" s="24"/>
      <c r="W70" s="24">
        <v>2022</v>
      </c>
      <c r="X70" s="24">
        <v>47</v>
      </c>
      <c r="Y70" s="24" t="s">
        <v>32</v>
      </c>
      <c r="Z70" s="24">
        <v>11001</v>
      </c>
      <c r="AA70" s="24">
        <v>10464</v>
      </c>
      <c r="AB70" s="24">
        <v>6</v>
      </c>
      <c r="AC70" s="24">
        <v>16</v>
      </c>
      <c r="AD70" s="24"/>
      <c r="AE70" s="24"/>
      <c r="AF70" s="24"/>
      <c r="AG70" s="24"/>
      <c r="AH70" s="24"/>
      <c r="AI70" s="24"/>
      <c r="AJ70" s="24"/>
      <c r="AK70" s="24">
        <v>2022</v>
      </c>
      <c r="AL70" s="24">
        <v>47</v>
      </c>
      <c r="AM70" s="24">
        <v>439.53000000000003</v>
      </c>
      <c r="AN70" s="24">
        <v>29.830000000000002</v>
      </c>
      <c r="AO70" s="24">
        <v>0</v>
      </c>
      <c r="AP70" s="24">
        <v>14</v>
      </c>
      <c r="AQ70" s="24">
        <v>0</v>
      </c>
      <c r="AR70" s="24">
        <v>0</v>
      </c>
      <c r="AS70" s="24" t="s">
        <v>32</v>
      </c>
      <c r="AT70" s="24"/>
      <c r="AU70" s="24">
        <v>2022</v>
      </c>
      <c r="AV70" s="24">
        <v>47</v>
      </c>
      <c r="AW70" s="24">
        <v>0.16</v>
      </c>
      <c r="AX70" s="24">
        <v>2100</v>
      </c>
      <c r="AY70" s="24">
        <v>13258</v>
      </c>
      <c r="AZ70" s="24" t="s">
        <v>32</v>
      </c>
      <c r="BA70" s="24"/>
      <c r="BB70" s="24"/>
      <c r="BC70" s="24">
        <v>2022</v>
      </c>
      <c r="BD70" s="24">
        <v>47</v>
      </c>
      <c r="BE70" s="24">
        <v>291.20499999999998</v>
      </c>
      <c r="BF70" s="24" t="s">
        <v>32</v>
      </c>
      <c r="BG70" s="24"/>
      <c r="BI70" s="24">
        <v>2023</v>
      </c>
      <c r="BJ70" s="24">
        <v>2</v>
      </c>
      <c r="BK70" s="24" t="s">
        <v>33</v>
      </c>
      <c r="BL70" s="24" t="s">
        <v>273</v>
      </c>
      <c r="BM70" s="24">
        <v>106178</v>
      </c>
      <c r="BN70" s="24">
        <v>104798</v>
      </c>
      <c r="BO70" s="24">
        <v>108138</v>
      </c>
      <c r="BR70" s="24">
        <v>2022</v>
      </c>
      <c r="BS70" s="24">
        <v>47</v>
      </c>
      <c r="BT70" s="24">
        <v>239957</v>
      </c>
      <c r="BU70" s="24">
        <v>530</v>
      </c>
      <c r="BV70" s="24" t="s">
        <v>33</v>
      </c>
      <c r="BY70" s="24">
        <v>2022</v>
      </c>
      <c r="BZ70" s="24">
        <v>52</v>
      </c>
      <c r="CA70" s="24" t="s">
        <v>32</v>
      </c>
      <c r="CB70" s="24" t="s">
        <v>108</v>
      </c>
      <c r="CC70" s="24">
        <v>2</v>
      </c>
      <c r="CF70" s="24">
        <v>2022</v>
      </c>
      <c r="CG70" s="24">
        <v>47</v>
      </c>
      <c r="CH70" s="24" t="s">
        <v>32</v>
      </c>
      <c r="CI70" s="24">
        <v>43.238095238095241</v>
      </c>
      <c r="CJ70" s="24">
        <v>7718</v>
      </c>
      <c r="CK70" s="24">
        <v>178.5</v>
      </c>
      <c r="CL70" s="24">
        <v>45.453160700685451</v>
      </c>
      <c r="CM70" s="24">
        <v>6754</v>
      </c>
      <c r="CN70" s="24">
        <v>11936</v>
      </c>
      <c r="CO70" s="24">
        <v>262.60000000000002</v>
      </c>
      <c r="CP70" s="24">
        <v>6687</v>
      </c>
      <c r="CQ70" s="24">
        <v>25.4</v>
      </c>
      <c r="CR70" s="24">
        <v>224.2</v>
      </c>
      <c r="CS70" s="24">
        <v>10092</v>
      </c>
      <c r="CT70" s="24">
        <v>10097</v>
      </c>
      <c r="CU70" s="24">
        <v>273.39999999999998</v>
      </c>
      <c r="CV70" s="24">
        <v>2970</v>
      </c>
      <c r="CW70" s="24">
        <v>0</v>
      </c>
      <c r="CX70" s="24">
        <v>9976</v>
      </c>
      <c r="CY70" s="24">
        <v>72.099999999999994</v>
      </c>
      <c r="CZ70" s="24">
        <v>6016</v>
      </c>
      <c r="DA70" s="24">
        <v>224.2</v>
      </c>
      <c r="DD70" s="24">
        <v>2022</v>
      </c>
      <c r="DE70" s="24">
        <v>47</v>
      </c>
      <c r="DF70" s="24" t="s">
        <v>32</v>
      </c>
      <c r="DG70" s="24">
        <v>2132</v>
      </c>
      <c r="DH70" s="24">
        <v>2093</v>
      </c>
      <c r="DJ70" s="24">
        <v>2022</v>
      </c>
      <c r="DK70" s="24">
        <v>47</v>
      </c>
      <c r="DL70" s="24" t="s">
        <v>32</v>
      </c>
      <c r="DM70" s="24">
        <v>14</v>
      </c>
      <c r="DP70" s="24">
        <v>2022</v>
      </c>
      <c r="DQ70" s="24">
        <v>47</v>
      </c>
      <c r="DR70" s="24" t="s">
        <v>32</v>
      </c>
      <c r="DS70" s="24">
        <v>594</v>
      </c>
      <c r="DT70" s="24">
        <v>608</v>
      </c>
      <c r="DU70" s="24"/>
      <c r="DW70" s="24">
        <v>2022</v>
      </c>
      <c r="DX70" s="24">
        <v>52</v>
      </c>
      <c r="DY70" s="24" t="s">
        <v>33</v>
      </c>
      <c r="DZ70" s="24">
        <v>14</v>
      </c>
      <c r="EA70" s="24" t="s">
        <v>562</v>
      </c>
      <c r="EB70" s="24">
        <v>422.2</v>
      </c>
      <c r="EC70" s="24">
        <v>0</v>
      </c>
      <c r="ED70" s="24"/>
      <c r="EE70" s="24">
        <v>14598</v>
      </c>
      <c r="EF70" s="24">
        <v>25.4</v>
      </c>
      <c r="EI70" s="24">
        <v>2023</v>
      </c>
      <c r="EJ70" s="24">
        <v>9</v>
      </c>
      <c r="EK70" s="24" t="s">
        <v>237</v>
      </c>
      <c r="EL70" s="24" t="s">
        <v>233</v>
      </c>
      <c r="EM70" s="24" t="s">
        <v>210</v>
      </c>
      <c r="EN70" s="24">
        <v>4</v>
      </c>
      <c r="EO70" s="24"/>
      <c r="EP70" s="24"/>
      <c r="EQ70" s="24"/>
      <c r="ER70" s="24"/>
      <c r="ES70" s="24">
        <v>2022</v>
      </c>
      <c r="ET70" s="24">
        <v>45</v>
      </c>
      <c r="EU70" s="24" t="s">
        <v>33</v>
      </c>
      <c r="EV70" s="24">
        <v>141687</v>
      </c>
      <c r="EY70" s="24">
        <v>2022</v>
      </c>
      <c r="EZ70" s="24">
        <v>47</v>
      </c>
      <c r="FA70" s="24" t="s">
        <v>32</v>
      </c>
      <c r="FB70" s="24">
        <v>868</v>
      </c>
      <c r="FE70" s="24">
        <v>2022</v>
      </c>
      <c r="FF70" s="24">
        <v>47</v>
      </c>
      <c r="FG70" s="24" t="s">
        <v>32</v>
      </c>
      <c r="FH70" s="24">
        <v>0.92649999999999999</v>
      </c>
      <c r="FI70" s="24">
        <v>264</v>
      </c>
      <c r="FJ70" s="24">
        <v>128</v>
      </c>
      <c r="FK70" s="24">
        <v>138</v>
      </c>
      <c r="FN70" s="24">
        <v>2022</v>
      </c>
      <c r="FO70" s="24">
        <v>48</v>
      </c>
      <c r="FP70" s="24" t="s">
        <v>32</v>
      </c>
      <c r="FQ70" s="24">
        <v>47373</v>
      </c>
      <c r="FR70" s="24">
        <v>1351.6666666666699</v>
      </c>
      <c r="FS70" s="24">
        <v>38408</v>
      </c>
      <c r="FT70" s="24">
        <v>383.85</v>
      </c>
      <c r="FW70" s="24">
        <v>2022</v>
      </c>
      <c r="FX70" s="24">
        <v>47</v>
      </c>
      <c r="FY70" s="24" t="s">
        <v>32</v>
      </c>
      <c r="FZ70" s="24">
        <v>1706</v>
      </c>
      <c r="GA70" s="24">
        <v>1608</v>
      </c>
      <c r="GB70" s="24"/>
      <c r="GC70" s="24"/>
      <c r="GD70" s="24">
        <v>2022</v>
      </c>
      <c r="GE70" s="24">
        <v>47</v>
      </c>
      <c r="GF70" s="24" t="s">
        <v>32</v>
      </c>
      <c r="GG70" s="24">
        <v>1670</v>
      </c>
      <c r="GH70" s="24">
        <v>1639</v>
      </c>
      <c r="GK70" s="24"/>
      <c r="GL70" s="24"/>
      <c r="GM70" s="24"/>
      <c r="GN70" s="24"/>
      <c r="GO70" s="24"/>
      <c r="GP70" s="24">
        <v>2022</v>
      </c>
      <c r="GQ70" s="24">
        <v>47</v>
      </c>
      <c r="GR70" s="24">
        <v>6.7157142857142897</v>
      </c>
      <c r="GS70" s="24" t="s">
        <v>32</v>
      </c>
      <c r="GX70">
        <v>2022</v>
      </c>
      <c r="GY70">
        <v>47</v>
      </c>
      <c r="GZ70" t="s">
        <v>32</v>
      </c>
      <c r="HA70">
        <v>12902</v>
      </c>
      <c r="HB70">
        <v>12479</v>
      </c>
      <c r="HC70">
        <v>49</v>
      </c>
      <c r="HD70">
        <v>4</v>
      </c>
      <c r="HE70">
        <v>6</v>
      </c>
      <c r="HF70">
        <v>16</v>
      </c>
      <c r="HG70">
        <v>0</v>
      </c>
      <c r="HH70">
        <v>0</v>
      </c>
      <c r="HI70">
        <v>52</v>
      </c>
      <c r="HL70">
        <v>2022</v>
      </c>
      <c r="HM70">
        <v>47</v>
      </c>
      <c r="HN70" t="s">
        <v>32</v>
      </c>
      <c r="HO70">
        <v>10952</v>
      </c>
      <c r="HP70">
        <v>10868</v>
      </c>
      <c r="HQ70">
        <v>45</v>
      </c>
      <c r="HR70">
        <v>0</v>
      </c>
      <c r="HS70">
        <v>0</v>
      </c>
      <c r="HT70">
        <v>2</v>
      </c>
      <c r="HU70">
        <v>0</v>
      </c>
      <c r="HV70">
        <v>0</v>
      </c>
      <c r="HW70">
        <v>2</v>
      </c>
      <c r="HZ70" s="24">
        <v>2022</v>
      </c>
      <c r="IA70" s="24">
        <v>47</v>
      </c>
      <c r="IB70" s="24" t="s">
        <v>32</v>
      </c>
      <c r="IC70" s="24">
        <v>1850</v>
      </c>
      <c r="ID70" s="24">
        <v>1748</v>
      </c>
      <c r="IG70" s="24">
        <v>2022</v>
      </c>
      <c r="IH70" s="24">
        <v>47</v>
      </c>
      <c r="II70" s="24" t="s">
        <v>32</v>
      </c>
      <c r="IJ70" s="24">
        <v>1625</v>
      </c>
      <c r="IK70" s="24">
        <v>1613</v>
      </c>
    </row>
    <row r="71" spans="9:245" x14ac:dyDescent="0.4">
      <c r="I71" s="305">
        <v>2022</v>
      </c>
      <c r="J71" s="306">
        <v>47</v>
      </c>
      <c r="K71" s="306" t="s">
        <v>32</v>
      </c>
      <c r="L71" s="306">
        <v>11100</v>
      </c>
      <c r="M71" s="306">
        <v>10307</v>
      </c>
      <c r="N71" s="306">
        <v>45</v>
      </c>
      <c r="O71" s="306">
        <v>428</v>
      </c>
      <c r="P71" s="306">
        <v>71</v>
      </c>
      <c r="Q71" s="306">
        <v>18</v>
      </c>
      <c r="R71" s="24"/>
      <c r="S71" s="24"/>
      <c r="T71" s="24"/>
      <c r="W71" s="24">
        <v>2022</v>
      </c>
      <c r="X71" s="24">
        <v>47</v>
      </c>
      <c r="Y71" s="24" t="s">
        <v>33</v>
      </c>
      <c r="Z71" s="24">
        <v>198893</v>
      </c>
      <c r="AA71" s="24">
        <v>193305</v>
      </c>
      <c r="AB71" s="24">
        <v>326</v>
      </c>
      <c r="AC71" s="24">
        <v>82</v>
      </c>
      <c r="AD71" s="24"/>
      <c r="AE71" s="24"/>
      <c r="AF71" s="24"/>
      <c r="AG71" s="24"/>
      <c r="AH71" s="24"/>
      <c r="AI71" s="24"/>
      <c r="AJ71" s="24"/>
      <c r="AK71" s="24">
        <v>2022</v>
      </c>
      <c r="AL71" s="24">
        <v>47</v>
      </c>
      <c r="AM71" s="24">
        <v>17236.93</v>
      </c>
      <c r="AN71" s="24">
        <v>870.43000000000006</v>
      </c>
      <c r="AO71" s="24">
        <v>0</v>
      </c>
      <c r="AP71" s="24">
        <v>555</v>
      </c>
      <c r="AQ71" s="24">
        <v>0</v>
      </c>
      <c r="AR71" s="24">
        <v>2</v>
      </c>
      <c r="AS71" s="24" t="s">
        <v>33</v>
      </c>
      <c r="AT71" s="24"/>
      <c r="AU71" s="24">
        <v>2022</v>
      </c>
      <c r="AV71" s="24">
        <v>47</v>
      </c>
      <c r="AW71" s="24">
        <v>0.14000000000000001</v>
      </c>
      <c r="AX71" s="24">
        <v>33300</v>
      </c>
      <c r="AY71" s="24">
        <v>240897</v>
      </c>
      <c r="AZ71" s="24" t="s">
        <v>33</v>
      </c>
      <c r="BA71" s="24"/>
      <c r="BB71" s="24"/>
      <c r="BC71" s="24">
        <v>2022</v>
      </c>
      <c r="BD71" s="24">
        <v>47</v>
      </c>
      <c r="BE71" s="24">
        <v>3090.8908571428597</v>
      </c>
      <c r="BF71" s="24" t="s">
        <v>33</v>
      </c>
      <c r="BG71" s="24"/>
      <c r="BI71" s="24">
        <v>2023</v>
      </c>
      <c r="BJ71" s="24">
        <v>2</v>
      </c>
      <c r="BK71" s="24" t="s">
        <v>32</v>
      </c>
      <c r="BL71" s="24" t="s">
        <v>272</v>
      </c>
      <c r="BM71" s="24">
        <v>2656</v>
      </c>
      <c r="BN71" s="24">
        <v>2651</v>
      </c>
      <c r="BO71" s="24">
        <v>9317</v>
      </c>
      <c r="BR71" s="24">
        <v>2022</v>
      </c>
      <c r="BS71" s="24">
        <v>47</v>
      </c>
      <c r="BT71" s="24">
        <v>13172</v>
      </c>
      <c r="BU71" s="24">
        <v>66</v>
      </c>
      <c r="BV71" s="24" t="s">
        <v>32</v>
      </c>
      <c r="BY71" s="24">
        <v>2022</v>
      </c>
      <c r="BZ71" s="24">
        <v>52</v>
      </c>
      <c r="CA71" s="24" t="s">
        <v>32</v>
      </c>
      <c r="CB71" s="24" t="s">
        <v>423</v>
      </c>
      <c r="CC71" s="24">
        <v>1</v>
      </c>
      <c r="CF71" s="24">
        <v>2022</v>
      </c>
      <c r="CG71" s="24">
        <v>47</v>
      </c>
      <c r="CH71" s="24" t="s">
        <v>33</v>
      </c>
      <c r="CI71" s="24">
        <v>113.39245844703548</v>
      </c>
      <c r="CJ71" s="24">
        <v>182834</v>
      </c>
      <c r="CK71" s="24">
        <v>1612.4</v>
      </c>
      <c r="CL71" s="24">
        <v>102.01888242397629</v>
      </c>
      <c r="CM71" s="24">
        <v>95719</v>
      </c>
      <c r="CN71" s="24">
        <v>185858</v>
      </c>
      <c r="CO71" s="24">
        <v>1821.8</v>
      </c>
      <c r="CP71" s="24">
        <v>67925</v>
      </c>
      <c r="CQ71" s="24">
        <v>409.5</v>
      </c>
      <c r="CR71" s="24">
        <v>2166.5</v>
      </c>
      <c r="CS71" s="24">
        <v>101976</v>
      </c>
      <c r="CT71" s="24">
        <v>101976</v>
      </c>
      <c r="CU71" s="24">
        <v>1191.0999999999999</v>
      </c>
      <c r="CV71" s="24">
        <v>48927</v>
      </c>
      <c r="CW71" s="24">
        <v>0</v>
      </c>
      <c r="CX71" s="24">
        <v>102058</v>
      </c>
      <c r="CY71" s="24">
        <v>804.7</v>
      </c>
      <c r="CZ71" s="24">
        <v>55556</v>
      </c>
      <c r="DA71" s="24">
        <v>2166.5</v>
      </c>
      <c r="DD71" s="24">
        <v>2022</v>
      </c>
      <c r="DE71" s="24">
        <v>47</v>
      </c>
      <c r="DF71" s="24" t="s">
        <v>33</v>
      </c>
      <c r="DG71" s="24">
        <v>19292</v>
      </c>
      <c r="DH71" s="24">
        <v>18751</v>
      </c>
      <c r="DJ71" s="24">
        <v>2022</v>
      </c>
      <c r="DK71" s="24">
        <v>47</v>
      </c>
      <c r="DL71" s="24" t="s">
        <v>33</v>
      </c>
      <c r="DM71" s="24">
        <v>521</v>
      </c>
      <c r="DP71" s="24">
        <v>2022</v>
      </c>
      <c r="DQ71" s="24">
        <v>47</v>
      </c>
      <c r="DR71" s="24" t="s">
        <v>33</v>
      </c>
      <c r="DS71" s="24">
        <v>5494</v>
      </c>
      <c r="DT71" s="24">
        <v>4358</v>
      </c>
      <c r="DU71" s="24"/>
      <c r="DW71" s="24">
        <v>2022</v>
      </c>
      <c r="DX71" s="24">
        <v>52</v>
      </c>
      <c r="DY71" s="24" t="s">
        <v>33</v>
      </c>
      <c r="DZ71" s="24">
        <v>112</v>
      </c>
      <c r="EA71" s="24" t="s">
        <v>149</v>
      </c>
      <c r="EB71" s="24">
        <v>308.3</v>
      </c>
      <c r="EC71" s="24">
        <v>2806.5</v>
      </c>
      <c r="ED71" s="24">
        <v>67326</v>
      </c>
      <c r="EE71" s="24">
        <v>77435</v>
      </c>
      <c r="EF71" s="24">
        <v>218.2</v>
      </c>
      <c r="EI71" s="24">
        <v>2023</v>
      </c>
      <c r="EJ71" s="24">
        <v>9</v>
      </c>
      <c r="EK71" s="24" t="s">
        <v>237</v>
      </c>
      <c r="EL71" s="24" t="s">
        <v>233</v>
      </c>
      <c r="EM71" s="24" t="s">
        <v>215</v>
      </c>
      <c r="EN71" s="24">
        <v>2</v>
      </c>
      <c r="EO71" s="24"/>
      <c r="EP71" s="24"/>
      <c r="EQ71" s="24"/>
      <c r="ER71" s="24"/>
      <c r="ES71" s="24">
        <v>2022</v>
      </c>
      <c r="ET71" s="24">
        <v>44</v>
      </c>
      <c r="EU71" s="24" t="s">
        <v>32</v>
      </c>
      <c r="EV71" s="24">
        <v>7102</v>
      </c>
      <c r="EY71" s="24">
        <v>2022</v>
      </c>
      <c r="EZ71" s="24">
        <v>47</v>
      </c>
      <c r="FA71" s="24" t="s">
        <v>33</v>
      </c>
      <c r="FB71" s="24">
        <v>1140</v>
      </c>
      <c r="FE71" s="24">
        <v>2022</v>
      </c>
      <c r="FF71" s="24">
        <v>47</v>
      </c>
      <c r="FG71" s="24" t="s">
        <v>33</v>
      </c>
      <c r="FH71" s="24">
        <v>0.97550000000000003</v>
      </c>
      <c r="FI71" s="24">
        <v>11278</v>
      </c>
      <c r="FJ71" s="24">
        <v>5111</v>
      </c>
      <c r="FK71" s="24">
        <v>5262</v>
      </c>
      <c r="FN71" s="24">
        <v>2022</v>
      </c>
      <c r="FO71" s="24">
        <v>48</v>
      </c>
      <c r="FP71" s="24" t="s">
        <v>33</v>
      </c>
      <c r="FQ71" s="24">
        <v>1304967</v>
      </c>
      <c r="FR71" s="24">
        <v>13875.4333333333</v>
      </c>
      <c r="FS71" s="24">
        <v>369620</v>
      </c>
      <c r="FT71" s="24">
        <v>3736.7166666666699</v>
      </c>
      <c r="FW71" s="24">
        <v>2022</v>
      </c>
      <c r="FX71" s="24">
        <v>47</v>
      </c>
      <c r="FY71" s="24" t="s">
        <v>33</v>
      </c>
      <c r="FZ71" s="24">
        <v>14708</v>
      </c>
      <c r="GA71" s="24">
        <v>13427</v>
      </c>
      <c r="GB71" s="24"/>
      <c r="GC71" s="24"/>
      <c r="GD71" s="24">
        <v>2022</v>
      </c>
      <c r="GE71" s="24">
        <v>47</v>
      </c>
      <c r="GF71" s="24" t="s">
        <v>33</v>
      </c>
      <c r="GG71" s="24">
        <v>14757</v>
      </c>
      <c r="GH71" s="24">
        <v>13709</v>
      </c>
      <c r="GK71" s="24"/>
      <c r="GL71" s="24"/>
      <c r="GM71" s="24"/>
      <c r="GN71" s="24"/>
      <c r="GO71" s="24"/>
      <c r="GP71" s="24">
        <v>2022</v>
      </c>
      <c r="GQ71" s="24">
        <v>47</v>
      </c>
      <c r="GR71" s="24">
        <v>35.575571428571401</v>
      </c>
      <c r="GS71" s="24" t="s">
        <v>33</v>
      </c>
      <c r="GX71">
        <v>2022</v>
      </c>
      <c r="GY71">
        <v>47</v>
      </c>
      <c r="GZ71" t="s">
        <v>33</v>
      </c>
      <c r="HA71">
        <v>241280</v>
      </c>
      <c r="HB71">
        <v>227877</v>
      </c>
      <c r="HC71">
        <v>700</v>
      </c>
      <c r="HD71">
        <v>494</v>
      </c>
      <c r="HE71">
        <v>94</v>
      </c>
      <c r="HF71">
        <v>6649</v>
      </c>
      <c r="HG71">
        <v>0</v>
      </c>
      <c r="HH71">
        <v>184</v>
      </c>
      <c r="HI71">
        <v>868</v>
      </c>
      <c r="HL71">
        <v>2022</v>
      </c>
      <c r="HM71">
        <v>47</v>
      </c>
      <c r="HN71" t="s">
        <v>33</v>
      </c>
      <c r="HO71">
        <v>198601</v>
      </c>
      <c r="HP71">
        <v>195951</v>
      </c>
      <c r="HQ71">
        <v>574</v>
      </c>
      <c r="HR71">
        <v>66</v>
      </c>
      <c r="HS71">
        <v>15</v>
      </c>
      <c r="HT71">
        <v>608</v>
      </c>
      <c r="HU71">
        <v>0</v>
      </c>
      <c r="HV71">
        <v>119</v>
      </c>
      <c r="HW71">
        <v>147</v>
      </c>
      <c r="HZ71" s="24">
        <v>2022</v>
      </c>
      <c r="IA71" s="24">
        <v>47</v>
      </c>
      <c r="IB71" s="24" t="s">
        <v>33</v>
      </c>
      <c r="IC71" s="24">
        <v>15469</v>
      </c>
      <c r="ID71" s="24">
        <v>14769</v>
      </c>
      <c r="IG71" s="24">
        <v>2022</v>
      </c>
      <c r="IH71" s="24">
        <v>47</v>
      </c>
      <c r="II71" s="24" t="s">
        <v>33</v>
      </c>
      <c r="IJ71" s="24">
        <v>13861</v>
      </c>
      <c r="IK71" s="24">
        <v>13700</v>
      </c>
    </row>
    <row r="72" spans="9:245" x14ac:dyDescent="0.4">
      <c r="I72" s="305">
        <v>2022</v>
      </c>
      <c r="J72" s="306">
        <v>47</v>
      </c>
      <c r="K72" s="306" t="s">
        <v>33</v>
      </c>
      <c r="L72" s="306">
        <v>200626</v>
      </c>
      <c r="M72" s="306">
        <v>194349</v>
      </c>
      <c r="N72" s="306">
        <v>428</v>
      </c>
      <c r="O72" s="306">
        <v>2075</v>
      </c>
      <c r="P72" s="306">
        <v>469</v>
      </c>
      <c r="Q72" s="306">
        <v>87</v>
      </c>
      <c r="R72" s="24"/>
      <c r="S72" s="24"/>
      <c r="T72" s="24"/>
      <c r="W72" s="24">
        <v>2022</v>
      </c>
      <c r="X72" s="24">
        <v>46</v>
      </c>
      <c r="Y72" s="24" t="s">
        <v>32</v>
      </c>
      <c r="Z72" s="24">
        <v>16686</v>
      </c>
      <c r="AA72" s="24">
        <v>15115</v>
      </c>
      <c r="AB72" s="24">
        <v>35</v>
      </c>
      <c r="AC72" s="24">
        <v>16</v>
      </c>
      <c r="AD72" s="24"/>
      <c r="AE72" s="24"/>
      <c r="AF72" s="24"/>
      <c r="AG72" s="24"/>
      <c r="AH72" s="24"/>
      <c r="AI72" s="24"/>
      <c r="AJ72" s="24"/>
      <c r="AK72" s="24">
        <v>2022</v>
      </c>
      <c r="AL72" s="24">
        <v>46</v>
      </c>
      <c r="AM72" s="24">
        <v>537.47</v>
      </c>
      <c r="AN72" s="24">
        <v>45.42</v>
      </c>
      <c r="AO72" s="24">
        <v>0</v>
      </c>
      <c r="AP72" s="24">
        <v>13</v>
      </c>
      <c r="AQ72" s="24">
        <v>0</v>
      </c>
      <c r="AR72" s="24">
        <v>0</v>
      </c>
      <c r="AS72" s="24" t="s">
        <v>32</v>
      </c>
      <c r="AT72" s="24"/>
      <c r="AU72" s="24">
        <v>2022</v>
      </c>
      <c r="AV72" s="24">
        <v>46</v>
      </c>
      <c r="AW72" s="24">
        <v>0.18</v>
      </c>
      <c r="AX72" s="24">
        <v>3000</v>
      </c>
      <c r="AY72" s="24">
        <v>17071</v>
      </c>
      <c r="AZ72" s="24" t="s">
        <v>32</v>
      </c>
      <c r="BA72" s="24"/>
      <c r="BB72" s="24"/>
      <c r="BC72" s="24">
        <v>2022</v>
      </c>
      <c r="BD72" s="24">
        <v>46</v>
      </c>
      <c r="BE72" s="24">
        <v>291.55814285714297</v>
      </c>
      <c r="BF72" s="24" t="s">
        <v>32</v>
      </c>
      <c r="BG72" s="24"/>
      <c r="BI72" s="24">
        <v>2023</v>
      </c>
      <c r="BJ72" s="24">
        <v>2</v>
      </c>
      <c r="BK72" s="24" t="s">
        <v>32</v>
      </c>
      <c r="BL72" s="24" t="s">
        <v>273</v>
      </c>
      <c r="BM72" s="24">
        <v>6491</v>
      </c>
      <c r="BN72" s="24">
        <v>6451</v>
      </c>
      <c r="BO72" s="24">
        <v>6581</v>
      </c>
      <c r="BR72" s="24">
        <v>2022</v>
      </c>
      <c r="BS72" s="24">
        <v>46</v>
      </c>
      <c r="BT72" s="24">
        <v>264630</v>
      </c>
      <c r="BU72" s="24">
        <v>391</v>
      </c>
      <c r="BV72" s="24" t="s">
        <v>33</v>
      </c>
      <c r="BY72" s="24">
        <v>2022</v>
      </c>
      <c r="BZ72" s="24">
        <v>52</v>
      </c>
      <c r="CA72" s="24" t="s">
        <v>33</v>
      </c>
      <c r="CB72" s="24" t="s">
        <v>108</v>
      </c>
      <c r="CC72" s="24">
        <v>1</v>
      </c>
      <c r="CF72" s="24">
        <v>2022</v>
      </c>
      <c r="CG72" s="24">
        <v>46</v>
      </c>
      <c r="CH72" s="24" t="s">
        <v>32</v>
      </c>
      <c r="CI72" s="24">
        <v>52.1606529209622</v>
      </c>
      <c r="CJ72" s="24">
        <v>12143</v>
      </c>
      <c r="CK72" s="24">
        <v>232.8</v>
      </c>
      <c r="CL72" s="24">
        <v>45.382543103448278</v>
      </c>
      <c r="CM72" s="24">
        <v>8899</v>
      </c>
      <c r="CN72" s="24">
        <v>16846</v>
      </c>
      <c r="CO72" s="24">
        <v>371.2</v>
      </c>
      <c r="CP72" s="24">
        <v>8406</v>
      </c>
      <c r="CQ72" s="24">
        <v>29.3</v>
      </c>
      <c r="CR72" s="24">
        <v>270.89999999999998</v>
      </c>
      <c r="CS72" s="24">
        <v>11777</v>
      </c>
      <c r="CT72" s="24">
        <v>11777</v>
      </c>
      <c r="CU72" s="24">
        <v>344.3</v>
      </c>
      <c r="CV72" s="24">
        <v>2545</v>
      </c>
      <c r="CW72" s="24">
        <v>0</v>
      </c>
      <c r="CX72" s="24">
        <v>11622</v>
      </c>
      <c r="CY72" s="24">
        <v>93.7</v>
      </c>
      <c r="CZ72" s="24">
        <v>7709</v>
      </c>
      <c r="DA72" s="24">
        <v>270.89999999999998</v>
      </c>
      <c r="DD72" s="24">
        <v>2022</v>
      </c>
      <c r="DE72" s="24">
        <v>46</v>
      </c>
      <c r="DF72" s="24" t="s">
        <v>32</v>
      </c>
      <c r="DG72" s="24">
        <v>2406</v>
      </c>
      <c r="DH72" s="24">
        <v>2251</v>
      </c>
      <c r="DJ72" s="24">
        <v>2022</v>
      </c>
      <c r="DK72" s="24">
        <v>46</v>
      </c>
      <c r="DL72" s="24" t="s">
        <v>32</v>
      </c>
      <c r="DM72" s="24">
        <v>9</v>
      </c>
      <c r="DP72" s="24">
        <v>2022</v>
      </c>
      <c r="DQ72" s="24">
        <v>46</v>
      </c>
      <c r="DR72" s="24" t="s">
        <v>32</v>
      </c>
      <c r="DS72" s="24">
        <v>579</v>
      </c>
      <c r="DT72" s="24">
        <v>586</v>
      </c>
      <c r="DW72" s="24">
        <v>2022</v>
      </c>
      <c r="DX72" s="24">
        <v>51</v>
      </c>
      <c r="DY72" s="24" t="s">
        <v>32</v>
      </c>
      <c r="DZ72" s="24">
        <v>3</v>
      </c>
      <c r="EA72" s="24" t="s">
        <v>149</v>
      </c>
      <c r="EB72" s="24">
        <v>0</v>
      </c>
      <c r="EC72" s="24">
        <v>97.9</v>
      </c>
      <c r="ED72" s="24">
        <v>2385</v>
      </c>
      <c r="EE72" s="24">
        <v>1970</v>
      </c>
      <c r="EF72" s="24">
        <v>10.7</v>
      </c>
      <c r="EI72" s="24">
        <v>2023</v>
      </c>
      <c r="EJ72" s="24">
        <v>9</v>
      </c>
      <c r="EK72" s="24" t="s">
        <v>237</v>
      </c>
      <c r="EL72" s="24" t="s">
        <v>556</v>
      </c>
      <c r="EM72" s="24" t="s">
        <v>210</v>
      </c>
      <c r="EN72" s="24">
        <v>1</v>
      </c>
      <c r="EO72" s="24"/>
      <c r="EP72" s="24"/>
      <c r="EQ72" s="24"/>
      <c r="ER72" s="24"/>
      <c r="ES72" s="24">
        <v>2022</v>
      </c>
      <c r="ET72" s="24">
        <v>44</v>
      </c>
      <c r="EU72" s="24" t="s">
        <v>33</v>
      </c>
      <c r="EV72" s="24">
        <v>148002</v>
      </c>
      <c r="EY72" s="24">
        <v>2022</v>
      </c>
      <c r="EZ72" s="24">
        <v>46</v>
      </c>
      <c r="FA72" s="24" t="s">
        <v>32</v>
      </c>
      <c r="FB72" s="24">
        <v>961</v>
      </c>
      <c r="FE72" s="24">
        <v>2022</v>
      </c>
      <c r="FF72" s="24">
        <v>46</v>
      </c>
      <c r="FG72" s="24" t="s">
        <v>32</v>
      </c>
      <c r="FH72" s="24">
        <v>0.86670000000000003</v>
      </c>
      <c r="FI72" s="24">
        <v>376</v>
      </c>
      <c r="FJ72" s="24">
        <v>181</v>
      </c>
      <c r="FK72" s="24">
        <v>207</v>
      </c>
      <c r="FN72" s="24">
        <v>2022</v>
      </c>
      <c r="FO72" s="24">
        <v>47</v>
      </c>
      <c r="FP72" s="24" t="s">
        <v>32</v>
      </c>
      <c r="FQ72" s="24">
        <v>29798</v>
      </c>
      <c r="FR72" s="24">
        <v>924.55000000000007</v>
      </c>
      <c r="FS72" s="24">
        <v>28110</v>
      </c>
      <c r="FT72" s="24">
        <v>373.26666666666699</v>
      </c>
      <c r="FW72" s="24">
        <v>2022</v>
      </c>
      <c r="FX72" s="24">
        <v>46</v>
      </c>
      <c r="FY72" s="24" t="s">
        <v>32</v>
      </c>
      <c r="FZ72" s="24">
        <v>2706</v>
      </c>
      <c r="GA72" s="24">
        <v>2312</v>
      </c>
      <c r="GB72" s="24"/>
      <c r="GC72" s="24"/>
      <c r="GD72" s="24">
        <v>2022</v>
      </c>
      <c r="GE72" s="24">
        <v>46</v>
      </c>
      <c r="GF72" s="24" t="s">
        <v>32</v>
      </c>
      <c r="GG72" s="24">
        <v>2670</v>
      </c>
      <c r="GH72" s="24">
        <v>2270</v>
      </c>
      <c r="GK72" s="24"/>
      <c r="GL72" s="24"/>
      <c r="GM72" s="24"/>
      <c r="GN72" s="24"/>
      <c r="GO72" s="24"/>
      <c r="GP72" s="24">
        <v>2022</v>
      </c>
      <c r="GQ72" s="24">
        <v>46</v>
      </c>
      <c r="GR72" s="24">
        <v>6.6630000000000003</v>
      </c>
      <c r="GS72" s="24" t="s">
        <v>32</v>
      </c>
      <c r="GX72">
        <v>2022</v>
      </c>
      <c r="GY72">
        <v>46</v>
      </c>
      <c r="GZ72" t="s">
        <v>32</v>
      </c>
      <c r="HA72">
        <v>16542</v>
      </c>
      <c r="HB72">
        <v>14932</v>
      </c>
      <c r="HC72">
        <v>108</v>
      </c>
      <c r="HD72">
        <v>20</v>
      </c>
      <c r="HE72">
        <v>18</v>
      </c>
      <c r="HF72">
        <v>45</v>
      </c>
      <c r="HG72">
        <v>0</v>
      </c>
      <c r="HH72">
        <v>0</v>
      </c>
      <c r="HI72">
        <v>102</v>
      </c>
      <c r="HL72">
        <v>2022</v>
      </c>
      <c r="HM72">
        <v>46</v>
      </c>
      <c r="HN72" t="s">
        <v>32</v>
      </c>
      <c r="HO72">
        <v>16662</v>
      </c>
      <c r="HP72">
        <v>16394</v>
      </c>
      <c r="HQ72">
        <v>123</v>
      </c>
      <c r="HR72">
        <v>2</v>
      </c>
      <c r="HS72">
        <v>8</v>
      </c>
      <c r="HT72">
        <v>85</v>
      </c>
      <c r="HU72">
        <v>0</v>
      </c>
      <c r="HV72">
        <v>0</v>
      </c>
      <c r="HW72">
        <v>7</v>
      </c>
      <c r="HZ72" s="24">
        <v>2022</v>
      </c>
      <c r="IA72" s="24">
        <v>46</v>
      </c>
      <c r="IB72" s="24" t="s">
        <v>32</v>
      </c>
      <c r="IC72" s="24">
        <v>2623</v>
      </c>
      <c r="ID72" s="24">
        <v>2282</v>
      </c>
      <c r="IG72" s="24">
        <v>2022</v>
      </c>
      <c r="IH72" s="24">
        <v>46</v>
      </c>
      <c r="II72" s="24" t="s">
        <v>32</v>
      </c>
      <c r="IJ72" s="24">
        <v>2638</v>
      </c>
      <c r="IK72" s="24">
        <v>2560</v>
      </c>
    </row>
    <row r="73" spans="9:245" x14ac:dyDescent="0.4">
      <c r="I73" s="305">
        <v>2022</v>
      </c>
      <c r="J73" s="306">
        <v>46</v>
      </c>
      <c r="K73" s="306" t="s">
        <v>32</v>
      </c>
      <c r="L73" s="306">
        <v>16837</v>
      </c>
      <c r="M73" s="306">
        <v>15151</v>
      </c>
      <c r="N73" s="306">
        <v>53</v>
      </c>
      <c r="O73" s="306">
        <v>832</v>
      </c>
      <c r="P73" s="306">
        <v>87</v>
      </c>
      <c r="Q73" s="306">
        <v>10</v>
      </c>
      <c r="R73" s="24"/>
      <c r="S73" s="24"/>
      <c r="T73" s="24"/>
      <c r="W73" s="24">
        <v>2022</v>
      </c>
      <c r="X73" s="24">
        <v>46</v>
      </c>
      <c r="Y73" s="24" t="s">
        <v>33</v>
      </c>
      <c r="Z73" s="24">
        <v>260864</v>
      </c>
      <c r="AA73" s="24">
        <v>253884</v>
      </c>
      <c r="AB73" s="24">
        <v>370</v>
      </c>
      <c r="AC73" s="24">
        <v>48</v>
      </c>
      <c r="AD73" s="24"/>
      <c r="AE73" s="24"/>
      <c r="AF73" s="24"/>
      <c r="AG73" s="24"/>
      <c r="AH73" s="24"/>
      <c r="AI73" s="24"/>
      <c r="AJ73" s="24"/>
      <c r="AK73" s="24">
        <v>2022</v>
      </c>
      <c r="AL73" s="24">
        <v>46</v>
      </c>
      <c r="AM73" s="24">
        <v>21167.73</v>
      </c>
      <c r="AN73" s="24">
        <v>640.6</v>
      </c>
      <c r="AO73" s="24">
        <v>0</v>
      </c>
      <c r="AP73" s="24">
        <v>559</v>
      </c>
      <c r="AQ73" s="24">
        <v>0</v>
      </c>
      <c r="AR73" s="24">
        <v>1</v>
      </c>
      <c r="AS73" s="24" t="s">
        <v>33</v>
      </c>
      <c r="AT73" s="24"/>
      <c r="AU73" s="24">
        <v>2022</v>
      </c>
      <c r="AV73" s="24">
        <v>46</v>
      </c>
      <c r="AW73" s="24">
        <v>0.04</v>
      </c>
      <c r="AX73" s="24">
        <v>11800</v>
      </c>
      <c r="AY73" s="24">
        <v>265471</v>
      </c>
      <c r="AZ73" s="24" t="s">
        <v>33</v>
      </c>
      <c r="BA73" s="24"/>
      <c r="BB73" s="24"/>
      <c r="BC73" s="24">
        <v>2022</v>
      </c>
      <c r="BD73" s="24">
        <v>46</v>
      </c>
      <c r="BE73" s="24">
        <v>3087.5412857142896</v>
      </c>
      <c r="BF73" s="24" t="s">
        <v>33</v>
      </c>
      <c r="BG73" s="24"/>
      <c r="BI73" s="24">
        <v>2023</v>
      </c>
      <c r="BJ73" s="24">
        <v>2</v>
      </c>
      <c r="BK73" s="24" t="s">
        <v>33</v>
      </c>
      <c r="BL73" s="24" t="s">
        <v>272</v>
      </c>
      <c r="BM73" s="24">
        <v>57645</v>
      </c>
      <c r="BN73" s="24">
        <v>57560</v>
      </c>
      <c r="BO73" s="24">
        <v>208325</v>
      </c>
      <c r="BR73" s="24">
        <v>2022</v>
      </c>
      <c r="BS73" s="24">
        <v>46</v>
      </c>
      <c r="BT73" s="24">
        <v>16892</v>
      </c>
      <c r="BU73" s="24">
        <v>131</v>
      </c>
      <c r="BV73" s="24" t="s">
        <v>32</v>
      </c>
      <c r="BY73" s="24">
        <v>2022</v>
      </c>
      <c r="BZ73" s="24">
        <v>52</v>
      </c>
      <c r="CA73" s="24" t="s">
        <v>33</v>
      </c>
      <c r="CB73" s="24" t="s">
        <v>423</v>
      </c>
      <c r="CC73" s="24">
        <v>1</v>
      </c>
      <c r="CF73" s="24">
        <v>2022</v>
      </c>
      <c r="CG73" s="24">
        <v>46</v>
      </c>
      <c r="CH73" s="24" t="s">
        <v>33</v>
      </c>
      <c r="CI73" s="24">
        <v>117.45839711619179</v>
      </c>
      <c r="CJ73" s="24">
        <v>237865</v>
      </c>
      <c r="CK73" s="24">
        <v>2025.1</v>
      </c>
      <c r="CL73" s="24">
        <v>108.31877536615494</v>
      </c>
      <c r="CM73" s="24">
        <v>121080</v>
      </c>
      <c r="CN73" s="24">
        <v>245537</v>
      </c>
      <c r="CO73" s="24">
        <v>2266.8000000000002</v>
      </c>
      <c r="CP73" s="24">
        <v>74188</v>
      </c>
      <c r="CQ73" s="24">
        <v>460.5</v>
      </c>
      <c r="CR73" s="24">
        <v>2431.6999999999998</v>
      </c>
      <c r="CS73" s="24">
        <v>122011</v>
      </c>
      <c r="CT73" s="24">
        <v>122011</v>
      </c>
      <c r="CU73" s="24">
        <v>1554.3</v>
      </c>
      <c r="CV73" s="24">
        <v>52608</v>
      </c>
      <c r="CW73" s="24">
        <v>0</v>
      </c>
      <c r="CX73" s="24">
        <v>118967</v>
      </c>
      <c r="CY73" s="24">
        <v>958.5</v>
      </c>
      <c r="CZ73" s="24">
        <v>60268</v>
      </c>
      <c r="DA73" s="24">
        <v>2431.6999999999998</v>
      </c>
      <c r="DD73" s="24">
        <v>2022</v>
      </c>
      <c r="DE73" s="24">
        <v>46</v>
      </c>
      <c r="DF73" s="24" t="s">
        <v>33</v>
      </c>
      <c r="DG73" s="24">
        <v>13712</v>
      </c>
      <c r="DH73" s="24">
        <v>19243</v>
      </c>
      <c r="DJ73" s="24">
        <v>2022</v>
      </c>
      <c r="DK73" s="24">
        <v>46</v>
      </c>
      <c r="DL73" s="24" t="s">
        <v>33</v>
      </c>
      <c r="DM73" s="24">
        <v>171</v>
      </c>
      <c r="DP73" s="24">
        <v>2022</v>
      </c>
      <c r="DQ73" s="24">
        <v>46</v>
      </c>
      <c r="DR73" s="24" t="s">
        <v>33</v>
      </c>
      <c r="DS73" s="24">
        <v>6952</v>
      </c>
      <c r="DT73" s="24">
        <v>4790</v>
      </c>
      <c r="DW73" s="24">
        <v>2022</v>
      </c>
      <c r="DX73" s="24">
        <v>51</v>
      </c>
      <c r="DY73" s="24" t="s">
        <v>33</v>
      </c>
      <c r="DZ73" s="24">
        <v>15</v>
      </c>
      <c r="EA73" s="24" t="s">
        <v>562</v>
      </c>
      <c r="EB73" s="24">
        <v>552</v>
      </c>
      <c r="EC73" s="24">
        <v>0</v>
      </c>
      <c r="ED73" s="24"/>
      <c r="EE73" s="24">
        <v>18996</v>
      </c>
      <c r="EF73" s="24">
        <v>43.2</v>
      </c>
      <c r="EI73" s="24">
        <v>2023</v>
      </c>
      <c r="EJ73" s="24">
        <v>9</v>
      </c>
      <c r="EK73" s="24" t="s">
        <v>237</v>
      </c>
      <c r="EL73" s="24" t="s">
        <v>572</v>
      </c>
      <c r="EM73" s="24" t="s">
        <v>210</v>
      </c>
      <c r="EN73" s="24">
        <v>6</v>
      </c>
      <c r="EO73" s="24"/>
      <c r="EP73" s="24"/>
      <c r="EQ73" s="24"/>
      <c r="ER73" s="24"/>
      <c r="ES73" s="24">
        <v>2022</v>
      </c>
      <c r="ET73" s="24">
        <v>43</v>
      </c>
      <c r="EU73" s="24" t="s">
        <v>32</v>
      </c>
      <c r="EV73" s="24">
        <v>7560</v>
      </c>
      <c r="EY73" s="24">
        <v>2022</v>
      </c>
      <c r="EZ73" s="24">
        <v>46</v>
      </c>
      <c r="FA73" s="24" t="s">
        <v>33</v>
      </c>
      <c r="FB73" s="24">
        <v>1615</v>
      </c>
      <c r="FE73" s="24">
        <v>2022</v>
      </c>
      <c r="FF73" s="24">
        <v>46</v>
      </c>
      <c r="FG73" s="24" t="s">
        <v>33</v>
      </c>
      <c r="FH73" s="24">
        <v>0.98140000000000005</v>
      </c>
      <c r="FI73" s="24">
        <v>11981</v>
      </c>
      <c r="FJ73" s="24">
        <v>5461</v>
      </c>
      <c r="FK73" s="24">
        <v>5582</v>
      </c>
      <c r="FN73" s="24">
        <v>2022</v>
      </c>
      <c r="FO73" s="24">
        <v>47</v>
      </c>
      <c r="FP73" s="24" t="s">
        <v>33</v>
      </c>
      <c r="FQ73" s="24">
        <v>658065</v>
      </c>
      <c r="FR73" s="24">
        <v>7991.9833333333399</v>
      </c>
      <c r="FS73" s="24">
        <v>269241</v>
      </c>
      <c r="FT73" s="24">
        <v>2565.3166666666698</v>
      </c>
      <c r="FW73" s="24">
        <v>2022</v>
      </c>
      <c r="FX73" s="24">
        <v>46</v>
      </c>
      <c r="FY73" s="24" t="s">
        <v>33</v>
      </c>
      <c r="FZ73" s="24">
        <v>17242</v>
      </c>
      <c r="GA73" s="24">
        <v>15602</v>
      </c>
      <c r="GB73" s="24"/>
      <c r="GC73" s="24"/>
      <c r="GD73" s="24">
        <v>2022</v>
      </c>
      <c r="GE73" s="24">
        <v>46</v>
      </c>
      <c r="GF73" s="24" t="s">
        <v>33</v>
      </c>
      <c r="GG73" s="24">
        <v>17200</v>
      </c>
      <c r="GH73" s="24">
        <v>16003</v>
      </c>
      <c r="GK73" s="24"/>
      <c r="GL73" s="24"/>
      <c r="GM73" s="24"/>
      <c r="GN73" s="24"/>
      <c r="GO73" s="24"/>
      <c r="GP73" s="24">
        <v>2022</v>
      </c>
      <c r="GQ73" s="24">
        <v>46</v>
      </c>
      <c r="GR73" s="24">
        <v>35.576857142857101</v>
      </c>
      <c r="GS73" s="24" t="s">
        <v>33</v>
      </c>
      <c r="GX73">
        <v>2022</v>
      </c>
      <c r="GY73">
        <v>46</v>
      </c>
      <c r="GZ73" t="s">
        <v>33</v>
      </c>
      <c r="HA73">
        <v>259828</v>
      </c>
      <c r="HB73">
        <v>236990</v>
      </c>
      <c r="HC73">
        <v>535</v>
      </c>
      <c r="HD73">
        <v>292</v>
      </c>
      <c r="HE73">
        <v>199</v>
      </c>
      <c r="HF73">
        <v>1116</v>
      </c>
      <c r="HG73">
        <v>0</v>
      </c>
      <c r="HH73">
        <v>139</v>
      </c>
      <c r="HI73">
        <v>1573</v>
      </c>
      <c r="HL73">
        <v>2022</v>
      </c>
      <c r="HM73">
        <v>46</v>
      </c>
      <c r="HN73" t="s">
        <v>33</v>
      </c>
      <c r="HO73">
        <v>260228</v>
      </c>
      <c r="HP73">
        <v>258117</v>
      </c>
      <c r="HQ73">
        <v>350</v>
      </c>
      <c r="HR73">
        <v>55</v>
      </c>
      <c r="HS73">
        <v>28</v>
      </c>
      <c r="HT73">
        <v>966</v>
      </c>
      <c r="HU73">
        <v>0</v>
      </c>
      <c r="HV73">
        <v>97</v>
      </c>
      <c r="HW73">
        <v>156</v>
      </c>
      <c r="HZ73" s="24">
        <v>2022</v>
      </c>
      <c r="IA73" s="24">
        <v>46</v>
      </c>
      <c r="IB73" s="24" t="s">
        <v>33</v>
      </c>
      <c r="IC73" s="24">
        <v>17394</v>
      </c>
      <c r="ID73" s="24">
        <v>15447</v>
      </c>
      <c r="IG73" s="24">
        <v>2022</v>
      </c>
      <c r="IH73" s="24">
        <v>46</v>
      </c>
      <c r="II73" s="24" t="s">
        <v>33</v>
      </c>
      <c r="IJ73" s="24">
        <v>15960</v>
      </c>
      <c r="IK73" s="24">
        <v>15811</v>
      </c>
    </row>
    <row r="74" spans="9:245" x14ac:dyDescent="0.4">
      <c r="I74" s="305">
        <v>2022</v>
      </c>
      <c r="J74" s="306">
        <v>46</v>
      </c>
      <c r="K74" s="306" t="s">
        <v>33</v>
      </c>
      <c r="L74" s="306">
        <v>262661</v>
      </c>
      <c r="M74" s="306">
        <v>254106</v>
      </c>
      <c r="N74" s="306">
        <v>583</v>
      </c>
      <c r="O74" s="306">
        <v>3117</v>
      </c>
      <c r="P74" s="306">
        <v>687</v>
      </c>
      <c r="Q74" s="306">
        <v>49</v>
      </c>
      <c r="R74" s="24"/>
      <c r="S74" s="24"/>
      <c r="T74" s="24"/>
      <c r="W74" s="24">
        <v>2022</v>
      </c>
      <c r="X74" s="24">
        <v>45</v>
      </c>
      <c r="Y74" s="24" t="s">
        <v>32</v>
      </c>
      <c r="Z74" s="24">
        <v>15993</v>
      </c>
      <c r="AA74" s="24">
        <v>15673</v>
      </c>
      <c r="AB74" s="24">
        <v>15</v>
      </c>
      <c r="AC74" s="24">
        <v>13</v>
      </c>
      <c r="AD74" s="24"/>
      <c r="AE74" s="24"/>
      <c r="AF74" s="24"/>
      <c r="AG74" s="24"/>
      <c r="AH74" s="24"/>
      <c r="AI74" s="24"/>
      <c r="AJ74" s="24"/>
      <c r="AK74" s="24">
        <v>2022</v>
      </c>
      <c r="AL74" s="24">
        <v>45</v>
      </c>
      <c r="AM74" s="24">
        <v>570.82000000000005</v>
      </c>
      <c r="AN74" s="24">
        <v>41.6</v>
      </c>
      <c r="AO74" s="24">
        <v>0</v>
      </c>
      <c r="AP74" s="24">
        <v>14</v>
      </c>
      <c r="AQ74" s="24">
        <v>0</v>
      </c>
      <c r="AR74" s="24">
        <v>0</v>
      </c>
      <c r="AS74" s="24" t="s">
        <v>32</v>
      </c>
      <c r="AT74" s="24"/>
      <c r="AU74" s="24">
        <v>2022</v>
      </c>
      <c r="AV74" s="24">
        <v>45</v>
      </c>
      <c r="AW74" s="24">
        <v>0.1</v>
      </c>
      <c r="AX74" s="24">
        <v>1600</v>
      </c>
      <c r="AY74" s="24">
        <v>16230</v>
      </c>
      <c r="AZ74" s="24" t="s">
        <v>32</v>
      </c>
      <c r="BA74" s="24"/>
      <c r="BB74" s="24"/>
      <c r="BC74" s="24">
        <v>2022</v>
      </c>
      <c r="BD74" s="24">
        <v>45</v>
      </c>
      <c r="BE74" s="24">
        <v>288.76800000000003</v>
      </c>
      <c r="BF74" s="24" t="s">
        <v>32</v>
      </c>
      <c r="BG74" s="24"/>
      <c r="BI74" s="24">
        <v>2023</v>
      </c>
      <c r="BJ74" s="24">
        <v>1</v>
      </c>
      <c r="BK74" s="24" t="s">
        <v>33</v>
      </c>
      <c r="BL74" s="24" t="s">
        <v>273</v>
      </c>
      <c r="BM74" s="24">
        <v>82552</v>
      </c>
      <c r="BN74" s="24">
        <v>81362</v>
      </c>
      <c r="BO74" s="24">
        <v>84029</v>
      </c>
      <c r="BR74" s="24">
        <v>2022</v>
      </c>
      <c r="BS74" s="24">
        <v>45</v>
      </c>
      <c r="BT74" s="24">
        <v>273047</v>
      </c>
      <c r="BU74" s="24">
        <v>349</v>
      </c>
      <c r="BV74" s="24" t="s">
        <v>33</v>
      </c>
      <c r="BY74" s="24">
        <v>2022</v>
      </c>
      <c r="BZ74" s="24">
        <v>51</v>
      </c>
      <c r="CA74" s="24" t="s">
        <v>32</v>
      </c>
      <c r="CB74" s="24" t="s">
        <v>108</v>
      </c>
      <c r="CC74" s="24">
        <v>1</v>
      </c>
      <c r="CF74" s="24">
        <v>2022</v>
      </c>
      <c r="CG74" s="24">
        <v>45</v>
      </c>
      <c r="CH74" s="24" t="s">
        <v>32</v>
      </c>
      <c r="CI74" s="24">
        <v>50.36988110964333</v>
      </c>
      <c r="CJ74" s="24">
        <v>11439</v>
      </c>
      <c r="CK74" s="24">
        <v>227.1</v>
      </c>
      <c r="CL74" s="24">
        <v>47.541133455210236</v>
      </c>
      <c r="CM74" s="24">
        <v>8763</v>
      </c>
      <c r="CN74" s="24">
        <v>15603</v>
      </c>
      <c r="CO74" s="24">
        <v>328.2</v>
      </c>
      <c r="CP74" s="24">
        <v>9119</v>
      </c>
      <c r="CQ74" s="24">
        <v>36</v>
      </c>
      <c r="CR74" s="24">
        <v>307.2</v>
      </c>
      <c r="CS74" s="24">
        <v>14251</v>
      </c>
      <c r="CT74" s="24">
        <v>14251</v>
      </c>
      <c r="CU74" s="24">
        <v>348.3</v>
      </c>
      <c r="CV74" s="24">
        <v>3316</v>
      </c>
      <c r="CW74" s="24">
        <v>0</v>
      </c>
      <c r="CX74" s="24">
        <v>11428</v>
      </c>
      <c r="CY74" s="24">
        <v>100.7</v>
      </c>
      <c r="CZ74" s="24">
        <v>8143</v>
      </c>
      <c r="DA74" s="24">
        <v>307.2</v>
      </c>
      <c r="DD74" s="24">
        <v>2022</v>
      </c>
      <c r="DE74" s="24">
        <v>45</v>
      </c>
      <c r="DF74" s="24" t="s">
        <v>32</v>
      </c>
      <c r="DG74" s="24">
        <v>1155</v>
      </c>
      <c r="DH74" s="24">
        <v>2066</v>
      </c>
      <c r="DJ74" s="24">
        <v>2022</v>
      </c>
      <c r="DK74" s="24">
        <v>44</v>
      </c>
      <c r="DL74" s="24" t="s">
        <v>32</v>
      </c>
      <c r="DM74" s="24">
        <v>11</v>
      </c>
      <c r="DP74" s="24">
        <v>2022</v>
      </c>
      <c r="DQ74" s="24">
        <v>45</v>
      </c>
      <c r="DR74" s="24" t="s">
        <v>32</v>
      </c>
      <c r="DS74" s="24">
        <v>322</v>
      </c>
      <c r="DT74" s="24">
        <v>608</v>
      </c>
      <c r="DW74" s="24">
        <v>2022</v>
      </c>
      <c r="DX74" s="24">
        <v>51</v>
      </c>
      <c r="DY74" s="24" t="s">
        <v>33</v>
      </c>
      <c r="DZ74" s="24">
        <v>117</v>
      </c>
      <c r="EA74" s="24" t="s">
        <v>149</v>
      </c>
      <c r="EB74" s="24">
        <v>89</v>
      </c>
      <c r="EC74" s="24">
        <v>3796.9</v>
      </c>
      <c r="ED74" s="24">
        <v>96413</v>
      </c>
      <c r="EE74" s="24">
        <v>97484</v>
      </c>
      <c r="EF74" s="24">
        <v>447.8</v>
      </c>
      <c r="EI74" s="24">
        <v>2023</v>
      </c>
      <c r="EJ74" s="24">
        <v>9</v>
      </c>
      <c r="EK74" s="24" t="s">
        <v>237</v>
      </c>
      <c r="EL74" s="24" t="s">
        <v>235</v>
      </c>
      <c r="EM74" s="24" t="s">
        <v>210</v>
      </c>
      <c r="EN74" s="24">
        <v>422</v>
      </c>
      <c r="EO74" s="24"/>
      <c r="EP74" s="24"/>
      <c r="EQ74" s="24"/>
      <c r="ER74" s="24"/>
      <c r="ES74" s="24">
        <v>2022</v>
      </c>
      <c r="ET74" s="24">
        <v>43</v>
      </c>
      <c r="EU74" s="24" t="s">
        <v>33</v>
      </c>
      <c r="EV74" s="24">
        <v>147035</v>
      </c>
      <c r="EY74" s="24">
        <v>2022</v>
      </c>
      <c r="EZ74" s="24">
        <v>45</v>
      </c>
      <c r="FA74" s="24" t="s">
        <v>32</v>
      </c>
      <c r="FB74" s="24">
        <v>815</v>
      </c>
      <c r="FE74" s="24">
        <v>2022</v>
      </c>
      <c r="FF74" s="24">
        <v>45</v>
      </c>
      <c r="FG74" s="24" t="s">
        <v>32</v>
      </c>
      <c r="FH74" s="24">
        <v>0.93690000000000007</v>
      </c>
      <c r="FI74" s="24">
        <v>391</v>
      </c>
      <c r="FJ74" s="24">
        <v>185</v>
      </c>
      <c r="FK74" s="24">
        <v>198</v>
      </c>
      <c r="FN74" s="24">
        <v>2022</v>
      </c>
      <c r="FO74" s="24">
        <v>46</v>
      </c>
      <c r="FP74" s="24" t="s">
        <v>32</v>
      </c>
      <c r="FQ74" s="24">
        <v>41485</v>
      </c>
      <c r="FR74" s="24">
        <v>1193.1000000000001</v>
      </c>
      <c r="FS74" s="24">
        <v>33476</v>
      </c>
      <c r="FT74" s="24">
        <v>473.3</v>
      </c>
      <c r="FW74" s="24">
        <v>2022</v>
      </c>
      <c r="FX74" s="24">
        <v>45</v>
      </c>
      <c r="FY74" s="24" t="s">
        <v>32</v>
      </c>
      <c r="FZ74" s="24">
        <v>2233</v>
      </c>
      <c r="GA74" s="24">
        <v>2116</v>
      </c>
      <c r="GB74" s="24"/>
      <c r="GC74" s="24"/>
      <c r="GD74" s="24">
        <v>2022</v>
      </c>
      <c r="GE74" s="24">
        <v>45</v>
      </c>
      <c r="GF74" s="24" t="s">
        <v>32</v>
      </c>
      <c r="GG74" s="24">
        <v>2255</v>
      </c>
      <c r="GH74" s="24">
        <v>2174</v>
      </c>
      <c r="GK74" s="24"/>
      <c r="GL74" s="24"/>
      <c r="GM74" s="24"/>
      <c r="GN74" s="24"/>
      <c r="GO74" s="24"/>
      <c r="GP74" s="24">
        <v>2022</v>
      </c>
      <c r="GQ74" s="24">
        <v>45</v>
      </c>
      <c r="GR74" s="24">
        <v>6.6552857142857098</v>
      </c>
      <c r="GS74" s="24" t="s">
        <v>32</v>
      </c>
      <c r="GX74">
        <v>2022</v>
      </c>
      <c r="GY74">
        <v>45</v>
      </c>
      <c r="GZ74" t="s">
        <v>32</v>
      </c>
      <c r="HA74">
        <v>15740</v>
      </c>
      <c r="HB74">
        <v>15198</v>
      </c>
      <c r="HC74">
        <v>25</v>
      </c>
      <c r="HD74">
        <v>4</v>
      </c>
      <c r="HE74">
        <v>4</v>
      </c>
      <c r="HF74">
        <v>54</v>
      </c>
      <c r="HG74">
        <v>0</v>
      </c>
      <c r="HH74">
        <v>0</v>
      </c>
      <c r="HI74">
        <v>82</v>
      </c>
      <c r="HL74">
        <v>2022</v>
      </c>
      <c r="HM74">
        <v>45</v>
      </c>
      <c r="HN74" t="s">
        <v>32</v>
      </c>
      <c r="HO74">
        <v>15949</v>
      </c>
      <c r="HP74">
        <v>15785</v>
      </c>
      <c r="HQ74">
        <v>28</v>
      </c>
      <c r="HR74">
        <v>0</v>
      </c>
      <c r="HS74">
        <v>5</v>
      </c>
      <c r="HT74">
        <v>74</v>
      </c>
      <c r="HU74">
        <v>0</v>
      </c>
      <c r="HV74">
        <v>0</v>
      </c>
      <c r="HW74">
        <v>5</v>
      </c>
      <c r="HZ74" s="24">
        <v>2022</v>
      </c>
      <c r="IA74" s="24">
        <v>45</v>
      </c>
      <c r="IB74" s="24" t="s">
        <v>32</v>
      </c>
      <c r="IC74" s="24">
        <v>2324</v>
      </c>
      <c r="ID74" s="24">
        <v>2212</v>
      </c>
      <c r="IG74" s="24">
        <v>2022</v>
      </c>
      <c r="IH74" s="24">
        <v>45</v>
      </c>
      <c r="II74" s="24" t="s">
        <v>32</v>
      </c>
      <c r="IJ74" s="24">
        <v>2217</v>
      </c>
      <c r="IK74" s="24">
        <v>2182</v>
      </c>
    </row>
    <row r="75" spans="9:245" x14ac:dyDescent="0.4">
      <c r="I75" s="305">
        <v>2022</v>
      </c>
      <c r="J75" s="306">
        <v>45</v>
      </c>
      <c r="K75" s="306" t="s">
        <v>32</v>
      </c>
      <c r="L75" s="306">
        <v>15600</v>
      </c>
      <c r="M75" s="306">
        <v>15003</v>
      </c>
      <c r="N75" s="306">
        <v>54</v>
      </c>
      <c r="O75" s="306">
        <v>339</v>
      </c>
      <c r="P75" s="306">
        <v>57</v>
      </c>
      <c r="Q75" s="306">
        <v>13</v>
      </c>
      <c r="R75" s="24"/>
      <c r="S75" s="24"/>
      <c r="T75" s="24"/>
      <c r="W75" s="24">
        <v>2022</v>
      </c>
      <c r="X75" s="24">
        <v>45</v>
      </c>
      <c r="Y75" s="24" t="s">
        <v>33</v>
      </c>
      <c r="Z75" s="24">
        <v>267353</v>
      </c>
      <c r="AA75" s="24">
        <v>260731</v>
      </c>
      <c r="AB75" s="24">
        <v>465</v>
      </c>
      <c r="AC75" s="24">
        <v>53</v>
      </c>
      <c r="AD75" s="24"/>
      <c r="AE75" s="24"/>
      <c r="AF75" s="24"/>
      <c r="AG75" s="24"/>
      <c r="AH75" s="24"/>
      <c r="AI75" s="24"/>
      <c r="AJ75" s="24"/>
      <c r="AK75" s="24">
        <v>2022</v>
      </c>
      <c r="AL75" s="24">
        <v>45</v>
      </c>
      <c r="AM75" s="24">
        <v>21427.300000000003</v>
      </c>
      <c r="AN75" s="24">
        <v>900.57</v>
      </c>
      <c r="AO75" s="24">
        <v>0</v>
      </c>
      <c r="AP75" s="24">
        <v>554</v>
      </c>
      <c r="AQ75" s="24">
        <v>0</v>
      </c>
      <c r="AR75" s="24">
        <v>5</v>
      </c>
      <c r="AS75" s="24" t="s">
        <v>33</v>
      </c>
      <c r="AT75" s="24"/>
      <c r="AU75" s="24">
        <v>2022</v>
      </c>
      <c r="AV75" s="24">
        <v>45</v>
      </c>
      <c r="AW75" s="24">
        <v>0.04</v>
      </c>
      <c r="AX75" s="24">
        <v>11600</v>
      </c>
      <c r="AY75" s="24">
        <v>273963</v>
      </c>
      <c r="AZ75" s="24" t="s">
        <v>33</v>
      </c>
      <c r="BA75" s="24"/>
      <c r="BB75" s="24"/>
      <c r="BC75" s="24">
        <v>2022</v>
      </c>
      <c r="BD75" s="24">
        <v>45</v>
      </c>
      <c r="BE75" s="24">
        <v>3093.25171428571</v>
      </c>
      <c r="BF75" s="24" t="s">
        <v>33</v>
      </c>
      <c r="BG75" s="24"/>
      <c r="BI75" s="24">
        <v>2023</v>
      </c>
      <c r="BJ75" s="24">
        <v>1</v>
      </c>
      <c r="BK75" s="24" t="s">
        <v>32</v>
      </c>
      <c r="BL75" s="24" t="s">
        <v>273</v>
      </c>
      <c r="BM75" s="24">
        <v>6672</v>
      </c>
      <c r="BN75" s="24">
        <v>6635</v>
      </c>
      <c r="BO75" s="24">
        <v>6766</v>
      </c>
      <c r="BR75" s="24">
        <v>2022</v>
      </c>
      <c r="BS75" s="24">
        <v>45</v>
      </c>
      <c r="BT75" s="24">
        <v>16063</v>
      </c>
      <c r="BU75" s="24">
        <v>42</v>
      </c>
      <c r="BV75" s="24" t="s">
        <v>32</v>
      </c>
      <c r="BY75" s="24">
        <v>2022</v>
      </c>
      <c r="BZ75" s="24">
        <v>51</v>
      </c>
      <c r="CA75" s="24" t="s">
        <v>32</v>
      </c>
      <c r="CB75" s="24" t="s">
        <v>423</v>
      </c>
      <c r="CC75" s="24">
        <v>2</v>
      </c>
      <c r="CF75" s="24">
        <v>2022</v>
      </c>
      <c r="CG75" s="24">
        <v>45</v>
      </c>
      <c r="CH75" s="24" t="s">
        <v>33</v>
      </c>
      <c r="CI75" s="24">
        <v>122.44729743231092</v>
      </c>
      <c r="CJ75" s="24">
        <v>245115</v>
      </c>
      <c r="CK75" s="24">
        <v>2001.8</v>
      </c>
      <c r="CL75" s="24">
        <v>113.37195776664281</v>
      </c>
      <c r="CM75" s="24">
        <v>124556</v>
      </c>
      <c r="CN75" s="24">
        <v>253409</v>
      </c>
      <c r="CO75" s="24">
        <v>2235.1999999999998</v>
      </c>
      <c r="CP75" s="24">
        <v>81429</v>
      </c>
      <c r="CQ75" s="24">
        <v>416.9</v>
      </c>
      <c r="CR75" s="24">
        <v>2604.5</v>
      </c>
      <c r="CS75" s="24">
        <v>169765</v>
      </c>
      <c r="CT75" s="24">
        <v>169765</v>
      </c>
      <c r="CU75" s="24">
        <v>1868.8</v>
      </c>
      <c r="CV75" s="24">
        <v>58559</v>
      </c>
      <c r="CW75" s="24">
        <v>0</v>
      </c>
      <c r="CX75" s="24">
        <v>170426</v>
      </c>
      <c r="CY75" s="24">
        <v>1091.5</v>
      </c>
      <c r="CZ75" s="24">
        <v>67648</v>
      </c>
      <c r="DA75" s="24">
        <v>2604.5</v>
      </c>
      <c r="DD75" s="24">
        <v>2022</v>
      </c>
      <c r="DE75" s="24">
        <v>45</v>
      </c>
      <c r="DF75" s="24" t="s">
        <v>33</v>
      </c>
      <c r="DG75" s="24">
        <v>28558</v>
      </c>
      <c r="DH75" s="24">
        <v>25908</v>
      </c>
      <c r="DJ75" s="24">
        <v>2022</v>
      </c>
      <c r="DK75" s="24">
        <v>44</v>
      </c>
      <c r="DL75" s="24" t="s">
        <v>33</v>
      </c>
      <c r="DM75" s="24">
        <v>347</v>
      </c>
      <c r="DP75" s="24">
        <v>2022</v>
      </c>
      <c r="DQ75" s="24">
        <v>45</v>
      </c>
      <c r="DR75" s="24" t="s">
        <v>33</v>
      </c>
      <c r="DS75" s="24">
        <v>7476</v>
      </c>
      <c r="DT75" s="24">
        <v>4827</v>
      </c>
      <c r="DW75" s="24">
        <v>2022</v>
      </c>
      <c r="DX75" s="24">
        <v>50</v>
      </c>
      <c r="DY75" s="24" t="s">
        <v>32</v>
      </c>
      <c r="DZ75" s="24">
        <v>3</v>
      </c>
      <c r="EA75" s="24" t="s">
        <v>149</v>
      </c>
      <c r="EB75" s="24">
        <v>0</v>
      </c>
      <c r="EC75" s="24">
        <v>94.3</v>
      </c>
      <c r="ED75" s="24">
        <v>2507</v>
      </c>
      <c r="EE75" s="24">
        <v>1921</v>
      </c>
      <c r="EF75" s="24">
        <v>12.7</v>
      </c>
      <c r="EI75" s="24">
        <v>2023</v>
      </c>
      <c r="EJ75" s="24">
        <v>9</v>
      </c>
      <c r="EK75" s="24" t="s">
        <v>237</v>
      </c>
      <c r="EL75" s="24" t="s">
        <v>235</v>
      </c>
      <c r="EM75" s="24" t="s">
        <v>234</v>
      </c>
      <c r="EN75" s="24">
        <v>1</v>
      </c>
      <c r="EO75" s="24"/>
      <c r="EP75" s="24"/>
      <c r="EQ75" s="24"/>
      <c r="ER75" s="24"/>
      <c r="ES75" s="24">
        <v>2022</v>
      </c>
      <c r="ET75" s="24">
        <v>42</v>
      </c>
      <c r="EU75" s="24" t="s">
        <v>32</v>
      </c>
      <c r="EV75" s="24">
        <v>7418</v>
      </c>
      <c r="EY75" s="24">
        <v>2022</v>
      </c>
      <c r="EZ75" s="24">
        <v>45</v>
      </c>
      <c r="FA75" s="24" t="s">
        <v>33</v>
      </c>
      <c r="FB75" s="24">
        <v>1264</v>
      </c>
      <c r="FE75" s="24">
        <v>2022</v>
      </c>
      <c r="FF75" s="24">
        <v>45</v>
      </c>
      <c r="FG75" s="24" t="s">
        <v>33</v>
      </c>
      <c r="FH75" s="24">
        <v>0.9768</v>
      </c>
      <c r="FI75" s="24">
        <v>12247</v>
      </c>
      <c r="FJ75" s="24">
        <v>5606</v>
      </c>
      <c r="FK75" s="24">
        <v>5760</v>
      </c>
      <c r="FN75" s="24">
        <v>2022</v>
      </c>
      <c r="FO75" s="24">
        <v>46</v>
      </c>
      <c r="FP75" s="24" t="s">
        <v>33</v>
      </c>
      <c r="FQ75" s="24">
        <v>876117</v>
      </c>
      <c r="FR75" s="24">
        <v>9753.5</v>
      </c>
      <c r="FS75" s="24">
        <v>315106</v>
      </c>
      <c r="FT75" s="24">
        <v>3179.1000000000004</v>
      </c>
      <c r="FW75" s="24">
        <v>2022</v>
      </c>
      <c r="FX75" s="24">
        <v>45</v>
      </c>
      <c r="FY75" s="24" t="s">
        <v>33</v>
      </c>
      <c r="FZ75" s="24">
        <v>18536</v>
      </c>
      <c r="GA75" s="24">
        <v>17029</v>
      </c>
      <c r="GB75" s="24"/>
      <c r="GC75" s="24"/>
      <c r="GD75" s="24">
        <v>2022</v>
      </c>
      <c r="GE75" s="24">
        <v>45</v>
      </c>
      <c r="GF75" s="24" t="s">
        <v>33</v>
      </c>
      <c r="GG75" s="24">
        <v>18559</v>
      </c>
      <c r="GH75" s="24">
        <v>17193</v>
      </c>
      <c r="GK75" s="24"/>
      <c r="GL75" s="24"/>
      <c r="GM75" s="24"/>
      <c r="GN75" s="24"/>
      <c r="GO75" s="24"/>
      <c r="GP75" s="24">
        <v>2022</v>
      </c>
      <c r="GQ75" s="24">
        <v>45</v>
      </c>
      <c r="GR75" s="24">
        <v>35.712142857142901</v>
      </c>
      <c r="GS75" s="24" t="s">
        <v>33</v>
      </c>
      <c r="GX75">
        <v>2022</v>
      </c>
      <c r="GY75">
        <v>45</v>
      </c>
      <c r="GZ75" t="s">
        <v>33</v>
      </c>
      <c r="HA75">
        <v>269203</v>
      </c>
      <c r="HB75">
        <v>264534</v>
      </c>
      <c r="HC75">
        <v>322</v>
      </c>
      <c r="HD75">
        <v>168</v>
      </c>
      <c r="HE75">
        <v>48</v>
      </c>
      <c r="HF75">
        <v>1243</v>
      </c>
      <c r="HG75">
        <v>0</v>
      </c>
      <c r="HH75">
        <v>106</v>
      </c>
      <c r="HI75">
        <v>1087</v>
      </c>
      <c r="HL75">
        <v>2022</v>
      </c>
      <c r="HM75">
        <v>45</v>
      </c>
      <c r="HN75" t="s">
        <v>33</v>
      </c>
      <c r="HO75">
        <v>265783</v>
      </c>
      <c r="HP75">
        <v>263737</v>
      </c>
      <c r="HQ75">
        <v>333</v>
      </c>
      <c r="HR75">
        <v>103</v>
      </c>
      <c r="HS75">
        <v>24</v>
      </c>
      <c r="HT75">
        <v>1041</v>
      </c>
      <c r="HU75">
        <v>0</v>
      </c>
      <c r="HV75">
        <v>88</v>
      </c>
      <c r="HW75">
        <v>120</v>
      </c>
      <c r="HZ75" s="24">
        <v>2022</v>
      </c>
      <c r="IA75" s="24">
        <v>45</v>
      </c>
      <c r="IB75" s="24" t="s">
        <v>33</v>
      </c>
      <c r="IC75" s="24">
        <v>18344</v>
      </c>
      <c r="ID75" s="24">
        <v>17784</v>
      </c>
      <c r="IG75" s="24">
        <v>2022</v>
      </c>
      <c r="IH75" s="24">
        <v>45</v>
      </c>
      <c r="II75" s="24" t="s">
        <v>33</v>
      </c>
      <c r="IJ75" s="24">
        <v>17044</v>
      </c>
      <c r="IK75" s="24">
        <v>16913</v>
      </c>
    </row>
    <row r="76" spans="9:245" x14ac:dyDescent="0.4">
      <c r="I76" s="305">
        <v>2022</v>
      </c>
      <c r="J76" s="306">
        <v>45</v>
      </c>
      <c r="K76" s="306" t="s">
        <v>33</v>
      </c>
      <c r="L76" s="306">
        <v>269798</v>
      </c>
      <c r="M76" s="306">
        <v>261946</v>
      </c>
      <c r="N76" s="306">
        <v>706</v>
      </c>
      <c r="O76" s="306">
        <v>2392</v>
      </c>
      <c r="P76" s="306">
        <v>525</v>
      </c>
      <c r="Q76" s="306">
        <v>51</v>
      </c>
      <c r="R76" s="24"/>
      <c r="S76" s="24"/>
      <c r="T76" s="24"/>
      <c r="W76" s="24">
        <v>2022</v>
      </c>
      <c r="X76" s="24">
        <v>44</v>
      </c>
      <c r="Y76" s="24" t="s">
        <v>32</v>
      </c>
      <c r="Z76" s="24">
        <v>14164</v>
      </c>
      <c r="AA76" s="24">
        <v>13809</v>
      </c>
      <c r="AB76" s="24">
        <v>20</v>
      </c>
      <c r="AC76" s="24">
        <v>12</v>
      </c>
      <c r="AD76" s="24"/>
      <c r="AE76" s="24"/>
      <c r="AF76" s="24"/>
      <c r="AG76" s="24"/>
      <c r="AH76" s="24"/>
      <c r="AI76" s="24"/>
      <c r="AJ76" s="24"/>
      <c r="AK76" s="24">
        <v>2022</v>
      </c>
      <c r="AL76" s="24">
        <v>44</v>
      </c>
      <c r="AM76" s="24">
        <v>557.20000000000005</v>
      </c>
      <c r="AN76" s="24">
        <v>59.43</v>
      </c>
      <c r="AO76" s="24">
        <v>0</v>
      </c>
      <c r="AP76" s="24">
        <v>13</v>
      </c>
      <c r="AQ76" s="24">
        <v>0</v>
      </c>
      <c r="AR76" s="24">
        <v>0</v>
      </c>
      <c r="AS76" s="24" t="s">
        <v>32</v>
      </c>
      <c r="AT76" s="24"/>
      <c r="AU76" s="24">
        <v>2022</v>
      </c>
      <c r="AV76" s="24">
        <v>44</v>
      </c>
      <c r="AW76" s="24">
        <v>0.15</v>
      </c>
      <c r="AX76" s="24">
        <v>2300</v>
      </c>
      <c r="AY76" s="24">
        <v>15465</v>
      </c>
      <c r="AZ76" s="24" t="s">
        <v>32</v>
      </c>
      <c r="BA76" s="24"/>
      <c r="BB76" s="24"/>
      <c r="BC76" s="24">
        <v>2022</v>
      </c>
      <c r="BD76" s="24">
        <v>44</v>
      </c>
      <c r="BE76" s="24">
        <v>285.314142857143</v>
      </c>
      <c r="BF76" s="24" t="s">
        <v>32</v>
      </c>
      <c r="BG76" s="24"/>
      <c r="BI76" s="24">
        <v>2023</v>
      </c>
      <c r="BJ76" s="24">
        <v>1</v>
      </c>
      <c r="BK76" s="24" t="s">
        <v>33</v>
      </c>
      <c r="BL76" s="24" t="s">
        <v>272</v>
      </c>
      <c r="BM76" s="24">
        <v>48374</v>
      </c>
      <c r="BN76" s="24">
        <v>48113</v>
      </c>
      <c r="BO76" s="24">
        <v>176132</v>
      </c>
      <c r="BR76" s="24">
        <v>2022</v>
      </c>
      <c r="BS76" s="24">
        <v>44</v>
      </c>
      <c r="BT76" s="24">
        <v>15213</v>
      </c>
      <c r="BU76" s="24">
        <v>36</v>
      </c>
      <c r="BV76" s="24" t="s">
        <v>32</v>
      </c>
      <c r="BY76" s="24">
        <v>2022</v>
      </c>
      <c r="BZ76" s="24">
        <v>51</v>
      </c>
      <c r="CA76" s="24" t="s">
        <v>33</v>
      </c>
      <c r="CB76" s="24" t="s">
        <v>108</v>
      </c>
      <c r="CC76" s="24">
        <v>1</v>
      </c>
      <c r="CF76" s="24">
        <v>2022</v>
      </c>
      <c r="CG76" s="24">
        <v>44</v>
      </c>
      <c r="CH76" s="24" t="s">
        <v>32</v>
      </c>
      <c r="CI76" s="24">
        <v>42.671322566564818</v>
      </c>
      <c r="CJ76" s="24">
        <v>9776</v>
      </c>
      <c r="CK76" s="24">
        <v>229.1</v>
      </c>
      <c r="CL76" s="24">
        <v>43.184796854521622</v>
      </c>
      <c r="CM76" s="24">
        <v>7467</v>
      </c>
      <c r="CN76" s="24">
        <v>13180</v>
      </c>
      <c r="CO76" s="24">
        <v>305.2</v>
      </c>
      <c r="CP76" s="24">
        <v>10928</v>
      </c>
      <c r="CQ76" s="24">
        <v>40.5</v>
      </c>
      <c r="CR76" s="24">
        <v>365.5</v>
      </c>
      <c r="CS76" s="24">
        <v>12664</v>
      </c>
      <c r="CT76" s="24">
        <v>12664</v>
      </c>
      <c r="CU76" s="24">
        <v>321.39999999999998</v>
      </c>
      <c r="CV76" s="24">
        <v>3721</v>
      </c>
      <c r="CW76" s="24">
        <v>0</v>
      </c>
      <c r="CX76" s="24">
        <v>10870</v>
      </c>
      <c r="CY76" s="24">
        <v>90.8</v>
      </c>
      <c r="CZ76" s="24">
        <v>9786</v>
      </c>
      <c r="DA76" s="24">
        <v>365.5</v>
      </c>
      <c r="DD76" s="24">
        <v>2022</v>
      </c>
      <c r="DE76" s="24">
        <v>44</v>
      </c>
      <c r="DF76" s="24" t="s">
        <v>32</v>
      </c>
      <c r="DG76" s="24">
        <v>3661</v>
      </c>
      <c r="DH76" s="24">
        <v>2115</v>
      </c>
      <c r="DJ76" s="24">
        <v>2022</v>
      </c>
      <c r="DK76" s="24">
        <v>43</v>
      </c>
      <c r="DL76" s="24" t="s">
        <v>32</v>
      </c>
      <c r="DM76" s="24">
        <v>10</v>
      </c>
      <c r="DP76" s="24">
        <v>2022</v>
      </c>
      <c r="DQ76" s="24">
        <v>44</v>
      </c>
      <c r="DR76" s="24" t="s">
        <v>32</v>
      </c>
      <c r="DS76" s="24">
        <v>404</v>
      </c>
      <c r="DT76" s="24">
        <v>288</v>
      </c>
      <c r="DW76" s="24">
        <v>2022</v>
      </c>
      <c r="DX76" s="24">
        <v>50</v>
      </c>
      <c r="DY76" s="24" t="s">
        <v>33</v>
      </c>
      <c r="DZ76" s="24">
        <v>15</v>
      </c>
      <c r="EA76" s="24" t="s">
        <v>562</v>
      </c>
      <c r="EB76" s="24">
        <v>532</v>
      </c>
      <c r="EC76" s="24">
        <v>0</v>
      </c>
      <c r="ED76" s="24">
        <v>10</v>
      </c>
      <c r="EE76" s="24">
        <v>18220</v>
      </c>
      <c r="EF76" s="24">
        <v>37.799999999999997</v>
      </c>
      <c r="EI76" s="24">
        <v>2023</v>
      </c>
      <c r="EJ76" s="24">
        <v>9</v>
      </c>
      <c r="EK76" s="24" t="s">
        <v>237</v>
      </c>
      <c r="EL76" s="24" t="s">
        <v>247</v>
      </c>
      <c r="EM76" s="24" t="s">
        <v>210</v>
      </c>
      <c r="EN76" s="24">
        <v>1</v>
      </c>
      <c r="EO76" s="24"/>
      <c r="EP76" s="24"/>
      <c r="EQ76" s="24"/>
      <c r="ER76" s="24"/>
      <c r="ES76" s="24">
        <v>2022</v>
      </c>
      <c r="ET76" s="24">
        <v>42</v>
      </c>
      <c r="EU76" s="24" t="s">
        <v>33</v>
      </c>
      <c r="EV76" s="24">
        <v>153689</v>
      </c>
      <c r="EY76" s="24">
        <v>2022</v>
      </c>
      <c r="EZ76" s="24">
        <v>44</v>
      </c>
      <c r="FA76" s="24" t="s">
        <v>32</v>
      </c>
      <c r="FB76" s="24">
        <v>1006</v>
      </c>
      <c r="FE76" s="24">
        <v>2022</v>
      </c>
      <c r="FF76" s="24">
        <v>44</v>
      </c>
      <c r="FG76" s="24" t="s">
        <v>32</v>
      </c>
      <c r="FH76" s="24">
        <v>0.89230000000000009</v>
      </c>
      <c r="FI76" s="24">
        <v>374</v>
      </c>
      <c r="FJ76" s="24">
        <v>179</v>
      </c>
      <c r="FK76" s="24">
        <v>200</v>
      </c>
      <c r="FN76" s="24">
        <v>2022</v>
      </c>
      <c r="FO76" s="24">
        <v>45</v>
      </c>
      <c r="FP76" s="24" t="s">
        <v>32</v>
      </c>
      <c r="FQ76" s="24">
        <v>40228</v>
      </c>
      <c r="FR76" s="24">
        <v>1200.5166666666698</v>
      </c>
      <c r="FS76" s="24">
        <v>34946</v>
      </c>
      <c r="FT76" s="24">
        <v>455.066666666667</v>
      </c>
      <c r="FW76" s="24">
        <v>2022</v>
      </c>
      <c r="FX76" s="24">
        <v>44</v>
      </c>
      <c r="FY76" s="24" t="s">
        <v>32</v>
      </c>
      <c r="FZ76" s="24">
        <v>2105</v>
      </c>
      <c r="GA76" s="24">
        <v>1893</v>
      </c>
      <c r="GB76" s="24"/>
      <c r="GC76" s="24"/>
      <c r="GD76" s="24">
        <v>2022</v>
      </c>
      <c r="GE76" s="24">
        <v>44</v>
      </c>
      <c r="GF76" s="24" t="s">
        <v>32</v>
      </c>
      <c r="GG76" s="24">
        <v>2109</v>
      </c>
      <c r="GH76" s="24">
        <v>1941</v>
      </c>
      <c r="GK76" s="24"/>
      <c r="GL76" s="24"/>
      <c r="GM76" s="24"/>
      <c r="GN76" s="24"/>
      <c r="GO76" s="24"/>
      <c r="GP76" s="24">
        <v>2022</v>
      </c>
      <c r="GQ76" s="24">
        <v>44</v>
      </c>
      <c r="GR76" s="24">
        <v>5.7575714285714303</v>
      </c>
      <c r="GS76" s="24" t="s">
        <v>32</v>
      </c>
      <c r="GX76">
        <v>2022</v>
      </c>
      <c r="GY76">
        <v>44</v>
      </c>
      <c r="GZ76" t="s">
        <v>32</v>
      </c>
      <c r="HA76">
        <v>14959</v>
      </c>
      <c r="HB76">
        <v>13687</v>
      </c>
      <c r="HC76">
        <v>24</v>
      </c>
      <c r="HD76">
        <v>5</v>
      </c>
      <c r="HE76">
        <v>8</v>
      </c>
      <c r="HF76">
        <v>192</v>
      </c>
      <c r="HG76">
        <v>0</v>
      </c>
      <c r="HH76">
        <v>0</v>
      </c>
      <c r="HI76">
        <v>72</v>
      </c>
      <c r="HL76">
        <v>2022</v>
      </c>
      <c r="HM76">
        <v>44</v>
      </c>
      <c r="HN76" t="s">
        <v>32</v>
      </c>
      <c r="HO76">
        <v>14110</v>
      </c>
      <c r="HP76">
        <v>13803</v>
      </c>
      <c r="HQ76">
        <v>28</v>
      </c>
      <c r="HR76">
        <v>1</v>
      </c>
      <c r="HS76">
        <v>2</v>
      </c>
      <c r="HT76">
        <v>215</v>
      </c>
      <c r="HU76">
        <v>0</v>
      </c>
      <c r="HV76">
        <v>0</v>
      </c>
      <c r="HW76">
        <v>6</v>
      </c>
      <c r="HZ76" s="24">
        <v>2022</v>
      </c>
      <c r="IA76" s="24">
        <v>44</v>
      </c>
      <c r="IB76" s="24" t="s">
        <v>32</v>
      </c>
      <c r="IC76" s="24">
        <v>2128</v>
      </c>
      <c r="ID76" s="24">
        <v>1899</v>
      </c>
      <c r="IG76" s="24">
        <v>2022</v>
      </c>
      <c r="IH76" s="24">
        <v>44</v>
      </c>
      <c r="II76" s="24" t="s">
        <v>32</v>
      </c>
      <c r="IJ76" s="24">
        <v>2078</v>
      </c>
      <c r="IK76" s="24">
        <v>1937</v>
      </c>
    </row>
    <row r="77" spans="9:245" x14ac:dyDescent="0.4">
      <c r="I77" s="305">
        <v>2022</v>
      </c>
      <c r="J77" s="306">
        <v>44</v>
      </c>
      <c r="K77" s="306" t="s">
        <v>32</v>
      </c>
      <c r="L77" s="306">
        <v>14856</v>
      </c>
      <c r="M77" s="306">
        <v>13653</v>
      </c>
      <c r="N77" s="306">
        <v>44</v>
      </c>
      <c r="O77" s="306">
        <v>445</v>
      </c>
      <c r="P77" s="306">
        <v>51</v>
      </c>
      <c r="Q77" s="306">
        <v>30</v>
      </c>
      <c r="R77" s="24"/>
      <c r="S77" s="24"/>
      <c r="T77" s="24"/>
      <c r="W77" s="24">
        <v>2022</v>
      </c>
      <c r="X77" s="24">
        <v>44</v>
      </c>
      <c r="Y77" s="24" t="s">
        <v>33</v>
      </c>
      <c r="Z77" s="24">
        <v>242566</v>
      </c>
      <c r="AA77" s="24">
        <v>237116</v>
      </c>
      <c r="AB77" s="24">
        <v>316</v>
      </c>
      <c r="AC77" s="24">
        <v>20</v>
      </c>
      <c r="AD77" s="24"/>
      <c r="AE77" s="24"/>
      <c r="AF77" s="24"/>
      <c r="AG77" s="24"/>
      <c r="AH77" s="24"/>
      <c r="AI77" s="24"/>
      <c r="AJ77" s="24"/>
      <c r="AK77" s="24">
        <v>2022</v>
      </c>
      <c r="AL77" s="24">
        <v>44</v>
      </c>
      <c r="AM77" s="24">
        <v>21068.68</v>
      </c>
      <c r="AN77" s="24">
        <v>1249.1200000000001</v>
      </c>
      <c r="AO77" s="24">
        <v>0</v>
      </c>
      <c r="AP77" s="24">
        <v>551</v>
      </c>
      <c r="AQ77" s="24">
        <v>0</v>
      </c>
      <c r="AR77" s="24">
        <v>2</v>
      </c>
      <c r="AS77" s="24" t="s">
        <v>33</v>
      </c>
      <c r="AT77" s="24"/>
      <c r="AU77" s="24">
        <v>2022</v>
      </c>
      <c r="AV77" s="24">
        <v>44</v>
      </c>
      <c r="AW77" s="24">
        <v>0.04</v>
      </c>
      <c r="AX77" s="24">
        <v>9300</v>
      </c>
      <c r="AY77" s="24">
        <v>250441</v>
      </c>
      <c r="AZ77" s="24" t="s">
        <v>33</v>
      </c>
      <c r="BA77" s="24"/>
      <c r="BB77" s="24"/>
      <c r="BC77" s="24">
        <v>2022</v>
      </c>
      <c r="BD77" s="24">
        <v>44</v>
      </c>
      <c r="BE77" s="24">
        <v>3075.0657142857099</v>
      </c>
      <c r="BF77" s="24" t="s">
        <v>33</v>
      </c>
      <c r="BG77" s="24"/>
      <c r="BI77" s="24">
        <v>2023</v>
      </c>
      <c r="BJ77" s="24">
        <v>1</v>
      </c>
      <c r="BK77" s="24" t="s">
        <v>32</v>
      </c>
      <c r="BL77" s="24" t="s">
        <v>272</v>
      </c>
      <c r="BM77" s="24">
        <v>2673</v>
      </c>
      <c r="BN77" s="24">
        <v>2661</v>
      </c>
      <c r="BO77" s="24">
        <v>9028</v>
      </c>
      <c r="BR77" s="24">
        <v>2022</v>
      </c>
      <c r="BS77" s="24">
        <v>44</v>
      </c>
      <c r="BT77" s="24">
        <v>246657</v>
      </c>
      <c r="BU77" s="24">
        <v>166</v>
      </c>
      <c r="BV77" s="24" t="s">
        <v>33</v>
      </c>
      <c r="BY77" s="24">
        <v>2022</v>
      </c>
      <c r="BZ77" s="24">
        <v>51</v>
      </c>
      <c r="CA77" s="24" t="s">
        <v>33</v>
      </c>
      <c r="CB77" s="24" t="s">
        <v>423</v>
      </c>
      <c r="CC77" s="24">
        <v>1</v>
      </c>
      <c r="CF77" s="24">
        <v>2022</v>
      </c>
      <c r="CG77" s="24">
        <v>44</v>
      </c>
      <c r="CH77" s="24" t="s">
        <v>33</v>
      </c>
      <c r="CI77" s="24">
        <v>124.92710260036992</v>
      </c>
      <c r="CJ77" s="24">
        <v>229641</v>
      </c>
      <c r="CK77" s="24">
        <v>1838.2</v>
      </c>
      <c r="CL77" s="24">
        <v>111.11480865224625</v>
      </c>
      <c r="CM77" s="24">
        <v>117037</v>
      </c>
      <c r="CN77" s="24">
        <v>233730</v>
      </c>
      <c r="CO77" s="24">
        <v>2103.5</v>
      </c>
      <c r="CP77" s="24">
        <v>92990</v>
      </c>
      <c r="CQ77" s="24">
        <v>564.4</v>
      </c>
      <c r="CR77" s="24">
        <v>2928.6</v>
      </c>
      <c r="CS77" s="24">
        <v>154973</v>
      </c>
      <c r="CT77" s="24">
        <v>154973</v>
      </c>
      <c r="CU77" s="24">
        <v>1949.9</v>
      </c>
      <c r="CV77" s="24">
        <v>66336</v>
      </c>
      <c r="CW77" s="24">
        <v>0</v>
      </c>
      <c r="CX77" s="24">
        <v>160620</v>
      </c>
      <c r="CY77" s="24">
        <v>1050.5999999999999</v>
      </c>
      <c r="CZ77" s="24">
        <v>70452</v>
      </c>
      <c r="DA77" s="24">
        <v>2928.6</v>
      </c>
      <c r="DD77" s="24">
        <v>2022</v>
      </c>
      <c r="DE77" s="24">
        <v>44</v>
      </c>
      <c r="DF77" s="24" t="s">
        <v>33</v>
      </c>
      <c r="DG77" s="24">
        <v>36082</v>
      </c>
      <c r="DH77" s="24">
        <v>22807</v>
      </c>
      <c r="DJ77" s="24">
        <v>2022</v>
      </c>
      <c r="DK77" s="24">
        <v>43</v>
      </c>
      <c r="DL77" s="24" t="s">
        <v>33</v>
      </c>
      <c r="DM77" s="24">
        <v>314</v>
      </c>
      <c r="DP77" s="24">
        <v>2022</v>
      </c>
      <c r="DQ77" s="24">
        <v>44</v>
      </c>
      <c r="DR77" s="24" t="s">
        <v>33</v>
      </c>
      <c r="DS77" s="24">
        <v>7519</v>
      </c>
      <c r="DT77" s="24">
        <v>943</v>
      </c>
      <c r="DW77" s="24">
        <v>2022</v>
      </c>
      <c r="DX77" s="24">
        <v>50</v>
      </c>
      <c r="DY77" s="24" t="s">
        <v>33</v>
      </c>
      <c r="DZ77" s="24">
        <v>114</v>
      </c>
      <c r="EA77" s="24" t="s">
        <v>149</v>
      </c>
      <c r="EB77" s="24">
        <v>147.6</v>
      </c>
      <c r="EC77" s="24">
        <v>3442.3</v>
      </c>
      <c r="ED77" s="24">
        <v>87110</v>
      </c>
      <c r="EE77" s="24">
        <v>90611</v>
      </c>
      <c r="EF77" s="24">
        <v>445.8</v>
      </c>
      <c r="EI77" s="24">
        <v>2023</v>
      </c>
      <c r="EJ77" s="24">
        <v>9</v>
      </c>
      <c r="EK77" s="24" t="s">
        <v>211</v>
      </c>
      <c r="EL77" s="24" t="s">
        <v>212</v>
      </c>
      <c r="EM77" s="24" t="s">
        <v>210</v>
      </c>
      <c r="EN77" s="24">
        <v>3</v>
      </c>
      <c r="EO77" s="24"/>
      <c r="EP77" s="24"/>
      <c r="EQ77" s="24"/>
      <c r="ER77" s="24"/>
      <c r="ES77" s="24">
        <v>2022</v>
      </c>
      <c r="ET77" s="24">
        <v>41</v>
      </c>
      <c r="EU77" s="24" t="s">
        <v>32</v>
      </c>
      <c r="EV77" s="24">
        <v>8556</v>
      </c>
      <c r="EY77" s="24">
        <v>2022</v>
      </c>
      <c r="EZ77" s="24">
        <v>44</v>
      </c>
      <c r="FA77" s="24" t="s">
        <v>33</v>
      </c>
      <c r="FB77" s="24">
        <v>1847</v>
      </c>
      <c r="FE77" s="24">
        <v>2022</v>
      </c>
      <c r="FF77" s="24">
        <v>44</v>
      </c>
      <c r="FG77" s="24" t="s">
        <v>33</v>
      </c>
      <c r="FH77" s="24">
        <v>0.97699999999999998</v>
      </c>
      <c r="FI77" s="24">
        <v>11458</v>
      </c>
      <c r="FJ77" s="24">
        <v>5204</v>
      </c>
      <c r="FK77" s="24">
        <v>5348</v>
      </c>
      <c r="FN77" s="24">
        <v>2022</v>
      </c>
      <c r="FO77" s="24">
        <v>45</v>
      </c>
      <c r="FP77" s="24" t="s">
        <v>33</v>
      </c>
      <c r="FQ77" s="24">
        <v>918165</v>
      </c>
      <c r="FR77" s="24">
        <v>9892.8000000000011</v>
      </c>
      <c r="FS77" s="24">
        <v>419270</v>
      </c>
      <c r="FT77" s="24">
        <v>3578.8833333333296</v>
      </c>
      <c r="FW77" s="24">
        <v>2022</v>
      </c>
      <c r="FX77" s="24">
        <v>44</v>
      </c>
      <c r="FY77" s="24" t="s">
        <v>33</v>
      </c>
      <c r="FZ77" s="24">
        <v>17268</v>
      </c>
      <c r="GA77" s="24">
        <v>15834</v>
      </c>
      <c r="GB77" s="24"/>
      <c r="GC77" s="24"/>
      <c r="GD77" s="24">
        <v>2022</v>
      </c>
      <c r="GE77" s="24">
        <v>44</v>
      </c>
      <c r="GF77" s="24" t="s">
        <v>33</v>
      </c>
      <c r="GG77" s="24">
        <v>17308</v>
      </c>
      <c r="GH77" s="24">
        <v>16127</v>
      </c>
      <c r="GK77" s="24"/>
      <c r="GL77" s="24"/>
      <c r="GM77" s="24"/>
      <c r="GN77" s="24"/>
      <c r="GO77" s="24"/>
      <c r="GP77" s="24">
        <v>2022</v>
      </c>
      <c r="GQ77" s="24">
        <v>44</v>
      </c>
      <c r="GR77" s="24">
        <v>35.771999999999998</v>
      </c>
      <c r="GS77" s="24" t="s">
        <v>33</v>
      </c>
      <c r="GX77">
        <v>2022</v>
      </c>
      <c r="GY77">
        <v>44</v>
      </c>
      <c r="GZ77" t="s">
        <v>33</v>
      </c>
      <c r="HA77">
        <v>245147</v>
      </c>
      <c r="HB77">
        <v>241290</v>
      </c>
      <c r="HC77">
        <v>283</v>
      </c>
      <c r="HD77">
        <v>74</v>
      </c>
      <c r="HE77">
        <v>27</v>
      </c>
      <c r="HF77">
        <v>611</v>
      </c>
      <c r="HG77">
        <v>0</v>
      </c>
      <c r="HH77">
        <v>60</v>
      </c>
      <c r="HI77">
        <v>1001</v>
      </c>
      <c r="HL77">
        <v>2022</v>
      </c>
      <c r="HM77">
        <v>44</v>
      </c>
      <c r="HN77" t="s">
        <v>33</v>
      </c>
      <c r="HO77">
        <v>241497</v>
      </c>
      <c r="HP77">
        <v>240166</v>
      </c>
      <c r="HQ77">
        <v>334</v>
      </c>
      <c r="HR77">
        <v>21</v>
      </c>
      <c r="HS77">
        <v>11</v>
      </c>
      <c r="HT77">
        <v>393</v>
      </c>
      <c r="HU77">
        <v>0</v>
      </c>
      <c r="HV77">
        <v>55</v>
      </c>
      <c r="HW77">
        <v>60</v>
      </c>
      <c r="HZ77" s="24">
        <v>2022</v>
      </c>
      <c r="IA77" s="24">
        <v>44</v>
      </c>
      <c r="IB77" s="24" t="s">
        <v>33</v>
      </c>
      <c r="IC77" s="24">
        <v>17520</v>
      </c>
      <c r="ID77" s="24">
        <v>16926</v>
      </c>
      <c r="IG77" s="24">
        <v>2022</v>
      </c>
      <c r="IH77" s="24">
        <v>44</v>
      </c>
      <c r="II77" s="24" t="s">
        <v>33</v>
      </c>
      <c r="IJ77" s="24">
        <v>16075</v>
      </c>
      <c r="IK77" s="24">
        <v>15968</v>
      </c>
    </row>
    <row r="78" spans="9:245" x14ac:dyDescent="0.4">
      <c r="I78" s="305">
        <v>2022</v>
      </c>
      <c r="J78" s="306">
        <v>44</v>
      </c>
      <c r="K78" s="306" t="s">
        <v>33</v>
      </c>
      <c r="L78" s="306">
        <v>244513</v>
      </c>
      <c r="M78" s="306">
        <v>237751</v>
      </c>
      <c r="N78" s="306">
        <v>551</v>
      </c>
      <c r="O78" s="306">
        <v>2317</v>
      </c>
      <c r="P78" s="306">
        <v>527</v>
      </c>
      <c r="Q78" s="306">
        <v>49</v>
      </c>
      <c r="R78" s="24"/>
      <c r="S78" s="24"/>
      <c r="T78" s="24"/>
      <c r="W78" s="24">
        <v>2022</v>
      </c>
      <c r="X78" s="24">
        <v>43</v>
      </c>
      <c r="Y78" s="24" t="s">
        <v>32</v>
      </c>
      <c r="Z78" s="24">
        <v>15026</v>
      </c>
      <c r="AA78" s="24">
        <v>14604</v>
      </c>
      <c r="AB78" s="24">
        <v>12</v>
      </c>
      <c r="AC78" s="24">
        <v>34</v>
      </c>
      <c r="AD78" s="24"/>
      <c r="AE78" s="24"/>
      <c r="AF78" s="24"/>
      <c r="AG78" s="24"/>
      <c r="AH78" s="24"/>
      <c r="AI78" s="24"/>
      <c r="AJ78" s="24"/>
      <c r="AK78" s="24">
        <v>2022</v>
      </c>
      <c r="AL78" s="24">
        <v>43</v>
      </c>
      <c r="AM78" s="24">
        <v>575.45000000000005</v>
      </c>
      <c r="AN78" s="24">
        <v>38.6</v>
      </c>
      <c r="AO78" s="24">
        <v>0</v>
      </c>
      <c r="AP78" s="24">
        <v>14</v>
      </c>
      <c r="AQ78" s="24">
        <v>0</v>
      </c>
      <c r="AR78" s="24">
        <v>0</v>
      </c>
      <c r="AS78" s="24" t="s">
        <v>32</v>
      </c>
      <c r="AT78" s="24"/>
      <c r="AU78" s="24">
        <v>2022</v>
      </c>
      <c r="AV78" s="24">
        <v>43</v>
      </c>
      <c r="AW78" s="24">
        <v>0.18</v>
      </c>
      <c r="AX78" s="24">
        <v>2700</v>
      </c>
      <c r="AY78" s="24">
        <v>15422</v>
      </c>
      <c r="AZ78" s="24" t="s">
        <v>32</v>
      </c>
      <c r="BA78" s="24"/>
      <c r="BB78" s="24"/>
      <c r="BC78" s="24">
        <v>2022</v>
      </c>
      <c r="BD78" s="24">
        <v>43</v>
      </c>
      <c r="BE78" s="24">
        <v>281.638714285714</v>
      </c>
      <c r="BF78" s="24" t="s">
        <v>32</v>
      </c>
      <c r="BG78" s="24"/>
      <c r="BI78" s="24">
        <v>2022</v>
      </c>
      <c r="BJ78" s="24">
        <v>52</v>
      </c>
      <c r="BK78" s="24" t="s">
        <v>33</v>
      </c>
      <c r="BL78" s="24" t="s">
        <v>273</v>
      </c>
      <c r="BM78" s="24">
        <v>88672</v>
      </c>
      <c r="BN78" s="24">
        <v>88001</v>
      </c>
      <c r="BO78" s="24">
        <v>90313</v>
      </c>
      <c r="BR78" s="24">
        <v>2022</v>
      </c>
      <c r="BS78" s="24">
        <v>43</v>
      </c>
      <c r="BT78" s="24">
        <v>264526</v>
      </c>
      <c r="BU78" s="24">
        <v>129</v>
      </c>
      <c r="BV78" s="24" t="s">
        <v>33</v>
      </c>
      <c r="BY78" s="24">
        <v>2022</v>
      </c>
      <c r="BZ78" s="24">
        <v>50</v>
      </c>
      <c r="CA78" s="24" t="s">
        <v>32</v>
      </c>
      <c r="CB78" s="24" t="s">
        <v>423</v>
      </c>
      <c r="CC78" s="24">
        <v>1</v>
      </c>
      <c r="CF78" s="24">
        <v>2022</v>
      </c>
      <c r="CG78" s="24">
        <v>43</v>
      </c>
      <c r="CH78" s="24" t="s">
        <v>32</v>
      </c>
      <c r="CI78" s="24">
        <v>49.738589211618255</v>
      </c>
      <c r="CJ78" s="24">
        <v>11987</v>
      </c>
      <c r="CK78" s="24">
        <v>241</v>
      </c>
      <c r="CL78" s="24">
        <v>47.497467071935155</v>
      </c>
      <c r="CM78" s="24">
        <v>7989</v>
      </c>
      <c r="CN78" s="24">
        <v>14064</v>
      </c>
      <c r="CO78" s="24">
        <v>296.10000000000002</v>
      </c>
      <c r="CP78" s="24">
        <v>11091</v>
      </c>
      <c r="CQ78" s="24">
        <v>64.099999999999994</v>
      </c>
      <c r="CR78" s="24">
        <v>349.1</v>
      </c>
      <c r="CS78" s="24">
        <v>10228</v>
      </c>
      <c r="CT78" s="24">
        <v>10228</v>
      </c>
      <c r="CU78" s="24">
        <v>327.60000000000002</v>
      </c>
      <c r="CV78" s="24">
        <v>3788</v>
      </c>
      <c r="CW78" s="24">
        <v>0</v>
      </c>
      <c r="CX78" s="24">
        <v>8295</v>
      </c>
      <c r="CY78" s="24">
        <v>97.4</v>
      </c>
      <c r="CZ78" s="24">
        <v>9700</v>
      </c>
      <c r="DA78" s="24">
        <v>349.1</v>
      </c>
      <c r="DD78" s="24">
        <v>2022</v>
      </c>
      <c r="DE78" s="24">
        <v>43</v>
      </c>
      <c r="DF78" s="24" t="s">
        <v>32</v>
      </c>
      <c r="DG78" s="24">
        <v>1283</v>
      </c>
      <c r="DH78" s="24">
        <v>1708</v>
      </c>
      <c r="DJ78" s="24">
        <v>2022</v>
      </c>
      <c r="DK78" s="24">
        <v>42</v>
      </c>
      <c r="DL78" s="24" t="s">
        <v>32</v>
      </c>
      <c r="DM78" s="24">
        <v>39</v>
      </c>
      <c r="DP78" s="24">
        <v>2022</v>
      </c>
      <c r="DQ78" s="24">
        <v>43</v>
      </c>
      <c r="DR78" s="24" t="s">
        <v>32</v>
      </c>
      <c r="DS78" s="24">
        <v>440</v>
      </c>
      <c r="DT78" s="24"/>
      <c r="DW78" s="24">
        <v>2022</v>
      </c>
      <c r="DX78" s="24">
        <v>49</v>
      </c>
      <c r="DY78" s="24" t="s">
        <v>32</v>
      </c>
      <c r="DZ78" s="24">
        <v>3</v>
      </c>
      <c r="EA78" s="24" t="s">
        <v>149</v>
      </c>
      <c r="EB78" s="24">
        <v>7.2</v>
      </c>
      <c r="EC78" s="24">
        <v>64.599999999999994</v>
      </c>
      <c r="ED78" s="24">
        <v>1752</v>
      </c>
      <c r="EE78" s="24">
        <v>1532</v>
      </c>
      <c r="EF78" s="24">
        <v>5.5</v>
      </c>
      <c r="EI78" s="24">
        <v>2023</v>
      </c>
      <c r="EJ78" s="24">
        <v>8</v>
      </c>
      <c r="EK78" s="24" t="s">
        <v>208</v>
      </c>
      <c r="EL78" s="24" t="s">
        <v>352</v>
      </c>
      <c r="EM78" s="24" t="s">
        <v>210</v>
      </c>
      <c r="EN78" s="24">
        <v>1</v>
      </c>
      <c r="EO78" s="24"/>
      <c r="EP78" s="24"/>
      <c r="EQ78" s="24"/>
      <c r="ER78" s="24"/>
      <c r="ES78" s="24">
        <v>2022</v>
      </c>
      <c r="ET78" s="24">
        <v>41</v>
      </c>
      <c r="EU78" s="24" t="s">
        <v>33</v>
      </c>
      <c r="EV78" s="24">
        <v>151426</v>
      </c>
      <c r="EY78" s="24">
        <v>2022</v>
      </c>
      <c r="EZ78" s="24">
        <v>43</v>
      </c>
      <c r="FA78" s="24" t="s">
        <v>32</v>
      </c>
      <c r="FB78" s="24">
        <v>972</v>
      </c>
      <c r="FE78" s="24">
        <v>2022</v>
      </c>
      <c r="FF78" s="24">
        <v>43</v>
      </c>
      <c r="FG78" s="24" t="s">
        <v>32</v>
      </c>
      <c r="FH78" s="24">
        <v>0.90570000000000006</v>
      </c>
      <c r="FI78" s="24">
        <v>454</v>
      </c>
      <c r="FJ78" s="24">
        <v>210</v>
      </c>
      <c r="FK78" s="24">
        <v>233</v>
      </c>
      <c r="FN78" s="24">
        <v>2022</v>
      </c>
      <c r="FO78" s="24">
        <v>44</v>
      </c>
      <c r="FP78" s="24" t="s">
        <v>32</v>
      </c>
      <c r="FQ78" s="24">
        <v>36945</v>
      </c>
      <c r="FR78" s="24">
        <v>1198.9000000000001</v>
      </c>
      <c r="FS78" s="24">
        <v>33037</v>
      </c>
      <c r="FT78" s="24">
        <v>425.05</v>
      </c>
      <c r="FW78" s="24">
        <v>2022</v>
      </c>
      <c r="FX78" s="24">
        <v>43</v>
      </c>
      <c r="FY78" s="24" t="s">
        <v>32</v>
      </c>
      <c r="FZ78" s="24">
        <v>2299</v>
      </c>
      <c r="GA78" s="24">
        <v>2147</v>
      </c>
      <c r="GB78" s="24"/>
      <c r="GC78" s="24"/>
      <c r="GD78" s="24">
        <v>2022</v>
      </c>
      <c r="GE78" s="24">
        <v>43</v>
      </c>
      <c r="GF78" s="24" t="s">
        <v>32</v>
      </c>
      <c r="GG78" s="24">
        <v>2292</v>
      </c>
      <c r="GH78" s="24">
        <v>2172</v>
      </c>
      <c r="GK78" s="24"/>
      <c r="GL78" s="24"/>
      <c r="GM78" s="24"/>
      <c r="GN78" s="24"/>
      <c r="GO78" s="24"/>
      <c r="GP78" s="24">
        <v>2022</v>
      </c>
      <c r="GQ78" s="24">
        <v>43</v>
      </c>
      <c r="GR78" s="24">
        <v>3.6905714285714302</v>
      </c>
      <c r="GS78" s="24" t="s">
        <v>32</v>
      </c>
      <c r="GX78">
        <v>2022</v>
      </c>
      <c r="GY78">
        <v>43</v>
      </c>
      <c r="GZ78" t="s">
        <v>32</v>
      </c>
      <c r="HA78">
        <v>15024</v>
      </c>
      <c r="HB78">
        <v>14481</v>
      </c>
      <c r="HC78">
        <v>23</v>
      </c>
      <c r="HD78">
        <v>3</v>
      </c>
      <c r="HE78">
        <v>7</v>
      </c>
      <c r="HF78">
        <v>30</v>
      </c>
      <c r="HG78">
        <v>0</v>
      </c>
      <c r="HH78">
        <v>0</v>
      </c>
      <c r="HI78">
        <v>58</v>
      </c>
      <c r="HL78">
        <v>2022</v>
      </c>
      <c r="HM78">
        <v>43</v>
      </c>
      <c r="HN78" t="s">
        <v>32</v>
      </c>
      <c r="HO78">
        <v>14962</v>
      </c>
      <c r="HP78">
        <v>14780</v>
      </c>
      <c r="HQ78">
        <v>25</v>
      </c>
      <c r="HR78">
        <v>1</v>
      </c>
      <c r="HS78">
        <v>2</v>
      </c>
      <c r="HT78">
        <v>56</v>
      </c>
      <c r="HU78">
        <v>0</v>
      </c>
      <c r="HV78">
        <v>0</v>
      </c>
      <c r="HW78">
        <v>5</v>
      </c>
      <c r="HZ78" s="24">
        <v>2022</v>
      </c>
      <c r="IA78" s="24">
        <v>43</v>
      </c>
      <c r="IB78" s="24" t="s">
        <v>32</v>
      </c>
      <c r="IC78" s="24">
        <v>2251</v>
      </c>
      <c r="ID78" s="24">
        <v>2116</v>
      </c>
      <c r="IG78" s="24">
        <v>2022</v>
      </c>
      <c r="IH78" s="24">
        <v>43</v>
      </c>
      <c r="II78" s="24" t="s">
        <v>32</v>
      </c>
      <c r="IJ78" s="24">
        <v>2246</v>
      </c>
      <c r="IK78" s="24">
        <v>2177</v>
      </c>
    </row>
    <row r="79" spans="9:245" x14ac:dyDescent="0.4">
      <c r="I79" s="305">
        <v>2022</v>
      </c>
      <c r="J79" s="306">
        <v>43</v>
      </c>
      <c r="K79" s="306" t="s">
        <v>32</v>
      </c>
      <c r="L79" s="306">
        <v>15228</v>
      </c>
      <c r="M79" s="306">
        <v>14521</v>
      </c>
      <c r="N79" s="306">
        <v>44</v>
      </c>
      <c r="O79" s="306">
        <v>436</v>
      </c>
      <c r="P79" s="306">
        <v>70</v>
      </c>
      <c r="Q79" s="306">
        <v>29</v>
      </c>
      <c r="R79" s="24"/>
      <c r="S79" s="24"/>
      <c r="T79" s="24"/>
      <c r="W79" s="24">
        <v>2022</v>
      </c>
      <c r="X79" s="24">
        <v>43</v>
      </c>
      <c r="Y79" s="24" t="s">
        <v>33</v>
      </c>
      <c r="Z79" s="24">
        <v>262967</v>
      </c>
      <c r="AA79" s="24">
        <v>257872</v>
      </c>
      <c r="AB79" s="24">
        <v>238</v>
      </c>
      <c r="AC79" s="24">
        <v>31</v>
      </c>
      <c r="AD79" s="24"/>
      <c r="AE79" s="24"/>
      <c r="AF79" s="24"/>
      <c r="AG79" s="24"/>
      <c r="AH79" s="24"/>
      <c r="AI79" s="24"/>
      <c r="AJ79" s="24"/>
      <c r="AK79" s="24">
        <v>2022</v>
      </c>
      <c r="AL79" s="24">
        <v>43</v>
      </c>
      <c r="AM79" s="24">
        <v>21484.55</v>
      </c>
      <c r="AN79" s="24">
        <v>1454.53</v>
      </c>
      <c r="AO79" s="24">
        <v>0</v>
      </c>
      <c r="AP79" s="24">
        <v>553</v>
      </c>
      <c r="AQ79" s="24">
        <v>0</v>
      </c>
      <c r="AR79" s="24">
        <v>4</v>
      </c>
      <c r="AS79" s="24" t="s">
        <v>33</v>
      </c>
      <c r="AT79" s="24"/>
      <c r="AU79" s="24">
        <v>2022</v>
      </c>
      <c r="AV79" s="24">
        <v>43</v>
      </c>
      <c r="AW79" s="24">
        <v>0.04</v>
      </c>
      <c r="AX79" s="24">
        <v>11800</v>
      </c>
      <c r="AY79" s="24">
        <v>265477</v>
      </c>
      <c r="AZ79" s="24" t="s">
        <v>33</v>
      </c>
      <c r="BA79" s="24"/>
      <c r="BB79" s="24"/>
      <c r="BC79" s="24">
        <v>2022</v>
      </c>
      <c r="BD79" s="24">
        <v>43</v>
      </c>
      <c r="BE79" s="24">
        <v>3041.6480000000001</v>
      </c>
      <c r="BF79" s="24" t="s">
        <v>33</v>
      </c>
      <c r="BG79" s="24"/>
      <c r="BI79" s="24">
        <v>2022</v>
      </c>
      <c r="BJ79" s="24">
        <v>52</v>
      </c>
      <c r="BK79" s="24" t="s">
        <v>32</v>
      </c>
      <c r="BL79" s="24" t="s">
        <v>273</v>
      </c>
      <c r="BM79" s="24">
        <v>6892</v>
      </c>
      <c r="BN79" s="24">
        <v>6838</v>
      </c>
      <c r="BO79" s="24">
        <v>6993</v>
      </c>
      <c r="BR79" s="24">
        <v>2022</v>
      </c>
      <c r="BS79" s="24">
        <v>43</v>
      </c>
      <c r="BT79" s="24">
        <v>15278</v>
      </c>
      <c r="BU79" s="24">
        <v>16</v>
      </c>
      <c r="BV79" s="24" t="s">
        <v>32</v>
      </c>
      <c r="BY79" s="24">
        <v>2022</v>
      </c>
      <c r="BZ79" s="24">
        <v>50</v>
      </c>
      <c r="CA79" s="24" t="s">
        <v>33</v>
      </c>
      <c r="CB79" s="24" t="s">
        <v>423</v>
      </c>
      <c r="CC79" s="24">
        <v>1</v>
      </c>
      <c r="CF79" s="24">
        <v>2022</v>
      </c>
      <c r="CG79" s="24">
        <v>43</v>
      </c>
      <c r="CH79" s="24" t="s">
        <v>33</v>
      </c>
      <c r="CI79" s="24">
        <v>127.49094858797973</v>
      </c>
      <c r="CJ79" s="24">
        <v>246491</v>
      </c>
      <c r="CK79" s="24">
        <v>1933.4</v>
      </c>
      <c r="CL79" s="24">
        <v>124.24408908074169</v>
      </c>
      <c r="CM79" s="24">
        <v>128772</v>
      </c>
      <c r="CN79" s="24">
        <v>253284</v>
      </c>
      <c r="CO79" s="24">
        <v>2038.6</v>
      </c>
      <c r="CP79" s="24">
        <v>92294</v>
      </c>
      <c r="CQ79" s="24">
        <v>550.4</v>
      </c>
      <c r="CR79" s="24">
        <v>2955.8</v>
      </c>
      <c r="CS79" s="24">
        <v>148856</v>
      </c>
      <c r="CT79" s="24">
        <v>148856</v>
      </c>
      <c r="CU79" s="24">
        <v>1918.1</v>
      </c>
      <c r="CV79" s="24">
        <v>72448</v>
      </c>
      <c r="CW79" s="24">
        <v>0</v>
      </c>
      <c r="CX79" s="24">
        <v>147809</v>
      </c>
      <c r="CY79" s="24">
        <v>1080.9000000000001</v>
      </c>
      <c r="CZ79" s="24">
        <v>71706</v>
      </c>
      <c r="DA79" s="24">
        <v>2955.8</v>
      </c>
      <c r="DD79" s="24">
        <v>2022</v>
      </c>
      <c r="DE79" s="24">
        <v>43</v>
      </c>
      <c r="DF79" s="24" t="s">
        <v>33</v>
      </c>
      <c r="DG79" s="24">
        <v>45319</v>
      </c>
      <c r="DH79" s="24">
        <v>23689</v>
      </c>
      <c r="DJ79" s="24">
        <v>2022</v>
      </c>
      <c r="DK79" s="24">
        <v>42</v>
      </c>
      <c r="DL79" s="24" t="s">
        <v>33</v>
      </c>
      <c r="DM79" s="24">
        <v>226</v>
      </c>
      <c r="DP79" s="24">
        <v>2022</v>
      </c>
      <c r="DQ79" s="24">
        <v>43</v>
      </c>
      <c r="DR79" s="24" t="s">
        <v>33</v>
      </c>
      <c r="DS79" s="24">
        <v>7942</v>
      </c>
      <c r="DT79" s="24">
        <v>36</v>
      </c>
      <c r="DW79" s="24">
        <v>2022</v>
      </c>
      <c r="DX79" s="24">
        <v>49</v>
      </c>
      <c r="DY79" s="24" t="s">
        <v>33</v>
      </c>
      <c r="DZ79" s="24">
        <v>15</v>
      </c>
      <c r="EA79" s="24" t="s">
        <v>562</v>
      </c>
      <c r="EB79" s="24">
        <v>524.5</v>
      </c>
      <c r="EC79" s="24">
        <v>0</v>
      </c>
      <c r="ED79" s="24">
        <v>31</v>
      </c>
      <c r="EE79" s="24">
        <v>18231</v>
      </c>
      <c r="EF79" s="24">
        <v>56.2</v>
      </c>
      <c r="EI79" s="24">
        <v>2023</v>
      </c>
      <c r="EJ79" s="24">
        <v>8</v>
      </c>
      <c r="EK79" s="24" t="s">
        <v>208</v>
      </c>
      <c r="EL79" s="24" t="s">
        <v>351</v>
      </c>
      <c r="EM79" s="24" t="s">
        <v>210</v>
      </c>
      <c r="EN79" s="24">
        <v>17</v>
      </c>
      <c r="EO79" s="24"/>
      <c r="EP79" s="24"/>
      <c r="EQ79" s="24"/>
      <c r="ER79" s="24"/>
      <c r="ES79" s="24">
        <v>2022</v>
      </c>
      <c r="ET79" s="24">
        <v>41</v>
      </c>
      <c r="EU79" s="24" t="s">
        <v>213</v>
      </c>
      <c r="EV79" s="24">
        <v>1</v>
      </c>
      <c r="EY79" s="24">
        <v>2022</v>
      </c>
      <c r="EZ79" s="24">
        <v>43</v>
      </c>
      <c r="FA79" s="24" t="s">
        <v>33</v>
      </c>
      <c r="FB79" s="24">
        <v>1146</v>
      </c>
      <c r="FE79" s="24">
        <v>2022</v>
      </c>
      <c r="FF79" s="24">
        <v>43</v>
      </c>
      <c r="FG79" s="24" t="s">
        <v>33</v>
      </c>
      <c r="FH79" s="24">
        <v>0.97730000000000006</v>
      </c>
      <c r="FI79" s="24">
        <v>14958</v>
      </c>
      <c r="FJ79" s="24">
        <v>6758</v>
      </c>
      <c r="FK79" s="24">
        <v>6944</v>
      </c>
      <c r="FN79" s="24">
        <v>2022</v>
      </c>
      <c r="FO79" s="24">
        <v>44</v>
      </c>
      <c r="FP79" s="24" t="s">
        <v>33</v>
      </c>
      <c r="FQ79" s="24">
        <v>847743</v>
      </c>
      <c r="FR79" s="24">
        <v>9756.1666666666697</v>
      </c>
      <c r="FS79" s="24">
        <v>406141</v>
      </c>
      <c r="FT79" s="24">
        <v>3757.85</v>
      </c>
      <c r="FW79" s="24">
        <v>2022</v>
      </c>
      <c r="FX79" s="24">
        <v>43</v>
      </c>
      <c r="FY79" s="24" t="s">
        <v>33</v>
      </c>
      <c r="FZ79" s="24">
        <v>16985</v>
      </c>
      <c r="GA79" s="24">
        <v>15367</v>
      </c>
      <c r="GB79" s="24"/>
      <c r="GC79" s="24"/>
      <c r="GD79" s="24">
        <v>2022</v>
      </c>
      <c r="GE79" s="24">
        <v>43</v>
      </c>
      <c r="GF79" s="24" t="s">
        <v>33</v>
      </c>
      <c r="GG79" s="24">
        <v>16795</v>
      </c>
      <c r="GH79" s="24">
        <v>15587</v>
      </c>
      <c r="GK79" s="24"/>
      <c r="GL79" s="24"/>
      <c r="GM79" s="24"/>
      <c r="GN79" s="24"/>
      <c r="GO79" s="24"/>
      <c r="GP79" s="24">
        <v>2022</v>
      </c>
      <c r="GQ79" s="24">
        <v>43</v>
      </c>
      <c r="GR79" s="24">
        <v>35.843714285714299</v>
      </c>
      <c r="GS79" s="24" t="s">
        <v>33</v>
      </c>
      <c r="GX79">
        <v>2022</v>
      </c>
      <c r="GY79">
        <v>43</v>
      </c>
      <c r="GZ79" t="s">
        <v>33</v>
      </c>
      <c r="HA79">
        <v>262565</v>
      </c>
      <c r="HB79">
        <v>259004</v>
      </c>
      <c r="HC79">
        <v>226</v>
      </c>
      <c r="HD79">
        <v>120</v>
      </c>
      <c r="HE79">
        <v>29</v>
      </c>
      <c r="HF79">
        <v>287</v>
      </c>
      <c r="HG79">
        <v>0</v>
      </c>
      <c r="HH79">
        <v>57</v>
      </c>
      <c r="HI79">
        <v>993</v>
      </c>
      <c r="HL79">
        <v>2022</v>
      </c>
      <c r="HM79">
        <v>43</v>
      </c>
      <c r="HN79" t="s">
        <v>33</v>
      </c>
      <c r="HO79">
        <v>262502</v>
      </c>
      <c r="HP79">
        <v>261350</v>
      </c>
      <c r="HQ79">
        <v>301</v>
      </c>
      <c r="HR79">
        <v>23</v>
      </c>
      <c r="HS79">
        <v>11</v>
      </c>
      <c r="HT79">
        <v>125</v>
      </c>
      <c r="HU79">
        <v>0</v>
      </c>
      <c r="HV79">
        <v>55</v>
      </c>
      <c r="HW79">
        <v>96</v>
      </c>
      <c r="HZ79" s="24">
        <v>2022</v>
      </c>
      <c r="IA79" s="24">
        <v>43</v>
      </c>
      <c r="IB79" s="24" t="s">
        <v>33</v>
      </c>
      <c r="IC79" s="24">
        <v>16931</v>
      </c>
      <c r="ID79" s="24">
        <v>16245</v>
      </c>
      <c r="IG79" s="24">
        <v>2022</v>
      </c>
      <c r="IH79" s="24">
        <v>43</v>
      </c>
      <c r="II79" s="24" t="s">
        <v>33</v>
      </c>
      <c r="IJ79" s="24">
        <v>15655</v>
      </c>
      <c r="IK79" s="24">
        <v>15586</v>
      </c>
    </row>
    <row r="80" spans="9:245" x14ac:dyDescent="0.4">
      <c r="I80" s="305">
        <v>2022</v>
      </c>
      <c r="J80" s="306">
        <v>43</v>
      </c>
      <c r="K80" s="306" t="s">
        <v>33</v>
      </c>
      <c r="L80" s="306">
        <v>265218</v>
      </c>
      <c r="M80" s="306">
        <v>258622</v>
      </c>
      <c r="N80" s="306">
        <v>844</v>
      </c>
      <c r="O80" s="306">
        <v>2732</v>
      </c>
      <c r="P80" s="306">
        <v>481</v>
      </c>
      <c r="Q80" s="306">
        <v>42</v>
      </c>
      <c r="R80" s="24"/>
      <c r="S80" s="24"/>
      <c r="T80" s="24"/>
      <c r="W80" s="24">
        <v>2022</v>
      </c>
      <c r="X80" s="24">
        <v>42</v>
      </c>
      <c r="Y80" s="24" t="s">
        <v>32</v>
      </c>
      <c r="Z80" s="24">
        <v>15033</v>
      </c>
      <c r="AA80" s="24">
        <v>14500</v>
      </c>
      <c r="AB80" s="24">
        <v>20</v>
      </c>
      <c r="AC80" s="24">
        <v>6</v>
      </c>
      <c r="AD80" s="24"/>
      <c r="AE80" s="24"/>
      <c r="AF80" s="24"/>
      <c r="AG80" s="24"/>
      <c r="AH80" s="24"/>
      <c r="AI80" s="24"/>
      <c r="AJ80" s="24"/>
      <c r="AK80" s="24">
        <v>2022</v>
      </c>
      <c r="AL80" s="24">
        <v>42</v>
      </c>
      <c r="AM80" s="24">
        <v>581.4</v>
      </c>
      <c r="AN80" s="24">
        <v>44.28</v>
      </c>
      <c r="AO80" s="24">
        <v>0</v>
      </c>
      <c r="AP80" s="24">
        <v>14</v>
      </c>
      <c r="AQ80" s="24">
        <v>0</v>
      </c>
      <c r="AR80" s="24">
        <v>0</v>
      </c>
      <c r="AS80" s="24" t="s">
        <v>32</v>
      </c>
      <c r="AT80" s="24"/>
      <c r="AU80" s="24">
        <v>2022</v>
      </c>
      <c r="AV80" s="24">
        <v>42</v>
      </c>
      <c r="AW80" s="24">
        <v>0.19</v>
      </c>
      <c r="AX80" s="24">
        <v>3000</v>
      </c>
      <c r="AY80" s="24">
        <v>15459</v>
      </c>
      <c r="AZ80" s="24" t="s">
        <v>32</v>
      </c>
      <c r="BA80" s="24"/>
      <c r="BB80" s="24"/>
      <c r="BC80" s="24">
        <v>2022</v>
      </c>
      <c r="BD80" s="24">
        <v>42</v>
      </c>
      <c r="BE80" s="24">
        <v>284.35385714285701</v>
      </c>
      <c r="BF80" s="24" t="s">
        <v>32</v>
      </c>
      <c r="BG80" s="24"/>
      <c r="BI80" s="24">
        <v>2022</v>
      </c>
      <c r="BJ80" s="24">
        <v>52</v>
      </c>
      <c r="BK80" s="24" t="s">
        <v>32</v>
      </c>
      <c r="BL80" s="24" t="s">
        <v>272</v>
      </c>
      <c r="BM80" s="24">
        <v>2664</v>
      </c>
      <c r="BN80" s="24">
        <v>2660</v>
      </c>
      <c r="BO80" s="24">
        <v>8747</v>
      </c>
      <c r="BR80" s="24">
        <v>2022</v>
      </c>
      <c r="BS80" s="24">
        <v>42</v>
      </c>
      <c r="BT80" s="24">
        <v>15333</v>
      </c>
      <c r="BU80" s="24">
        <v>8</v>
      </c>
      <c r="BV80" s="24" t="s">
        <v>32</v>
      </c>
      <c r="BY80" s="24">
        <v>2022</v>
      </c>
      <c r="BZ80" s="24">
        <v>49</v>
      </c>
      <c r="CA80" s="24" t="s">
        <v>32</v>
      </c>
      <c r="CB80" s="24" t="s">
        <v>108</v>
      </c>
      <c r="CC80" s="24">
        <v>1</v>
      </c>
      <c r="CF80" s="24">
        <v>2022</v>
      </c>
      <c r="CG80" s="24">
        <v>42</v>
      </c>
      <c r="CH80" s="24" t="s">
        <v>32</v>
      </c>
      <c r="CI80" s="24">
        <v>40.268719806763286</v>
      </c>
      <c r="CJ80" s="24">
        <v>13337</v>
      </c>
      <c r="CK80" s="24">
        <v>331.2</v>
      </c>
      <c r="CL80" s="24">
        <v>41.073844419391207</v>
      </c>
      <c r="CM80" s="24">
        <v>8375</v>
      </c>
      <c r="CN80" s="24">
        <v>14573</v>
      </c>
      <c r="CO80" s="24">
        <v>354.8</v>
      </c>
      <c r="CP80" s="24">
        <v>11022</v>
      </c>
      <c r="CQ80" s="24">
        <v>103.6</v>
      </c>
      <c r="CR80" s="24">
        <v>384.1</v>
      </c>
      <c r="CS80" s="24">
        <v>7823</v>
      </c>
      <c r="CT80" s="24">
        <v>7823</v>
      </c>
      <c r="CU80" s="24">
        <v>303.10000000000002</v>
      </c>
      <c r="CV80" s="24">
        <v>3841</v>
      </c>
      <c r="CW80" s="24">
        <v>0</v>
      </c>
      <c r="CX80" s="24">
        <v>8724</v>
      </c>
      <c r="CY80" s="24">
        <v>78.8</v>
      </c>
      <c r="CZ80" s="24">
        <v>9773</v>
      </c>
      <c r="DA80" s="24">
        <v>384.1</v>
      </c>
      <c r="DD80" s="24">
        <v>2022</v>
      </c>
      <c r="DE80" s="24">
        <v>42</v>
      </c>
      <c r="DF80" s="24" t="s">
        <v>32</v>
      </c>
      <c r="DG80" s="24">
        <v>1039</v>
      </c>
      <c r="DH80" s="24">
        <v>1562</v>
      </c>
      <c r="DJ80" s="24">
        <v>2022</v>
      </c>
      <c r="DK80" s="24">
        <v>41</v>
      </c>
      <c r="DL80" s="24" t="s">
        <v>32</v>
      </c>
      <c r="DM80" s="24">
        <v>5</v>
      </c>
      <c r="DP80" s="24">
        <v>2022</v>
      </c>
      <c r="DQ80" s="24">
        <v>42</v>
      </c>
      <c r="DR80" s="24" t="s">
        <v>32</v>
      </c>
      <c r="DS80" s="24">
        <v>415</v>
      </c>
      <c r="DT80" s="24"/>
      <c r="DW80" s="24">
        <v>2022</v>
      </c>
      <c r="DX80" s="24">
        <v>49</v>
      </c>
      <c r="DY80" s="24" t="s">
        <v>33</v>
      </c>
      <c r="DZ80" s="24">
        <v>114</v>
      </c>
      <c r="EA80" s="24" t="s">
        <v>149</v>
      </c>
      <c r="EB80" s="24">
        <v>198.8</v>
      </c>
      <c r="EC80" s="24">
        <v>2913.2</v>
      </c>
      <c r="ED80" s="24">
        <v>70289</v>
      </c>
      <c r="EE80" s="24">
        <v>75947</v>
      </c>
      <c r="EF80" s="24">
        <v>360.6</v>
      </c>
      <c r="EI80" s="24">
        <v>2023</v>
      </c>
      <c r="EJ80" s="24">
        <v>8</v>
      </c>
      <c r="EK80" s="24" t="s">
        <v>208</v>
      </c>
      <c r="EL80" s="24" t="s">
        <v>351</v>
      </c>
      <c r="EM80" s="24" t="s">
        <v>234</v>
      </c>
      <c r="EN80" s="24">
        <v>5</v>
      </c>
      <c r="EO80" s="24"/>
      <c r="EP80" s="24"/>
      <c r="EQ80" s="24"/>
      <c r="ER80" s="24"/>
      <c r="ES80" s="24">
        <v>2022</v>
      </c>
      <c r="ET80" s="24">
        <v>40</v>
      </c>
      <c r="EU80" s="24" t="s">
        <v>32</v>
      </c>
      <c r="EV80" s="24">
        <v>8516</v>
      </c>
      <c r="EY80" s="24">
        <v>2022</v>
      </c>
      <c r="EZ80" s="24">
        <v>42</v>
      </c>
      <c r="FA80" s="24" t="s">
        <v>32</v>
      </c>
      <c r="FB80" s="24">
        <v>1212</v>
      </c>
      <c r="FE80" s="24">
        <v>2022</v>
      </c>
      <c r="FF80" s="24">
        <v>42</v>
      </c>
      <c r="FG80" s="24" t="s">
        <v>32</v>
      </c>
      <c r="FH80" s="24">
        <v>0.8145</v>
      </c>
      <c r="FI80" s="24">
        <v>418</v>
      </c>
      <c r="FJ80" s="24">
        <v>197</v>
      </c>
      <c r="FK80" s="24">
        <v>238</v>
      </c>
      <c r="FN80" s="24">
        <v>2022</v>
      </c>
      <c r="FO80" s="24">
        <v>43</v>
      </c>
      <c r="FP80" s="24" t="s">
        <v>32</v>
      </c>
      <c r="FQ80" s="24">
        <v>38697</v>
      </c>
      <c r="FR80" s="24">
        <v>1136.81666666667</v>
      </c>
      <c r="FS80" s="24">
        <v>28088</v>
      </c>
      <c r="FT80" s="24">
        <v>476.15000000000003</v>
      </c>
      <c r="FW80" s="24">
        <v>2022</v>
      </c>
      <c r="FX80" s="24">
        <v>42</v>
      </c>
      <c r="FY80" s="24" t="s">
        <v>32</v>
      </c>
      <c r="FZ80" s="24">
        <v>2577</v>
      </c>
      <c r="GA80" s="24">
        <v>2410</v>
      </c>
      <c r="GB80" s="24"/>
      <c r="GC80" s="24"/>
      <c r="GD80" s="24">
        <v>2022</v>
      </c>
      <c r="GE80" s="24">
        <v>42</v>
      </c>
      <c r="GF80" s="24" t="s">
        <v>32</v>
      </c>
      <c r="GG80" s="24">
        <v>2513</v>
      </c>
      <c r="GH80" s="24">
        <v>2399</v>
      </c>
      <c r="GK80" s="24"/>
      <c r="GL80" s="24"/>
      <c r="GM80" s="24"/>
      <c r="GN80" s="24"/>
      <c r="GO80" s="24"/>
      <c r="GP80" s="24">
        <v>2022</v>
      </c>
      <c r="GQ80" s="24">
        <v>42</v>
      </c>
      <c r="GR80" s="24">
        <v>3.0220000000000002</v>
      </c>
      <c r="GS80" s="24" t="s">
        <v>32</v>
      </c>
      <c r="GX80">
        <v>2022</v>
      </c>
      <c r="GY80">
        <v>42</v>
      </c>
      <c r="GZ80" t="s">
        <v>32</v>
      </c>
      <c r="HA80">
        <v>15165</v>
      </c>
      <c r="HB80">
        <v>14654</v>
      </c>
      <c r="HC80">
        <v>31</v>
      </c>
      <c r="HD80">
        <v>0</v>
      </c>
      <c r="HE80">
        <v>5</v>
      </c>
      <c r="HF80">
        <v>54</v>
      </c>
      <c r="HG80">
        <v>0</v>
      </c>
      <c r="HH80">
        <v>0</v>
      </c>
      <c r="HI80">
        <v>69</v>
      </c>
      <c r="HL80">
        <v>2022</v>
      </c>
      <c r="HM80">
        <v>42</v>
      </c>
      <c r="HN80" t="s">
        <v>32</v>
      </c>
      <c r="HO80">
        <v>14972</v>
      </c>
      <c r="HP80">
        <v>14690</v>
      </c>
      <c r="HQ80">
        <v>73</v>
      </c>
      <c r="HR80">
        <v>1</v>
      </c>
      <c r="HS80">
        <v>2</v>
      </c>
      <c r="HT80">
        <v>101</v>
      </c>
      <c r="HU80">
        <v>0</v>
      </c>
      <c r="HV80">
        <v>0</v>
      </c>
      <c r="HW80">
        <v>11</v>
      </c>
      <c r="HZ80" s="24">
        <v>2022</v>
      </c>
      <c r="IA80" s="24">
        <v>42</v>
      </c>
      <c r="IB80" s="24" t="s">
        <v>32</v>
      </c>
      <c r="IC80" s="24">
        <v>2541</v>
      </c>
      <c r="ID80" s="24">
        <v>2376</v>
      </c>
      <c r="IG80" s="24">
        <v>2022</v>
      </c>
      <c r="IH80" s="24">
        <v>42</v>
      </c>
      <c r="II80" s="24" t="s">
        <v>32</v>
      </c>
      <c r="IJ80" s="24">
        <v>2453</v>
      </c>
      <c r="IK80" s="24">
        <v>2375</v>
      </c>
    </row>
    <row r="81" spans="9:245" x14ac:dyDescent="0.4">
      <c r="I81" s="305">
        <v>2022</v>
      </c>
      <c r="J81" s="306">
        <v>42</v>
      </c>
      <c r="K81" s="306" t="s">
        <v>32</v>
      </c>
      <c r="L81" s="306">
        <v>15168</v>
      </c>
      <c r="M81" s="306">
        <v>14457</v>
      </c>
      <c r="N81" s="306">
        <v>44</v>
      </c>
      <c r="O81" s="306">
        <v>370</v>
      </c>
      <c r="P81" s="306">
        <v>67</v>
      </c>
      <c r="Q81" s="306">
        <v>11</v>
      </c>
      <c r="R81" s="24"/>
      <c r="S81" s="24"/>
      <c r="T81" s="24"/>
      <c r="W81" s="24">
        <v>2022</v>
      </c>
      <c r="X81" s="24">
        <v>42</v>
      </c>
      <c r="Y81" s="24" t="s">
        <v>33</v>
      </c>
      <c r="Z81" s="24">
        <v>277488</v>
      </c>
      <c r="AA81" s="24">
        <v>271716</v>
      </c>
      <c r="AB81" s="24">
        <v>202</v>
      </c>
      <c r="AC81" s="24">
        <v>23</v>
      </c>
      <c r="AD81" s="24"/>
      <c r="AE81" s="24"/>
      <c r="AF81" s="24"/>
      <c r="AG81" s="24"/>
      <c r="AH81" s="24"/>
      <c r="AI81" s="24"/>
      <c r="AJ81" s="24"/>
      <c r="AK81" s="24">
        <v>2022</v>
      </c>
      <c r="AL81" s="24">
        <v>42</v>
      </c>
      <c r="AM81" s="24">
        <v>22061.43</v>
      </c>
      <c r="AN81" s="24">
        <v>1330.8000000000002</v>
      </c>
      <c r="AO81" s="24">
        <v>0</v>
      </c>
      <c r="AP81" s="24">
        <v>555</v>
      </c>
      <c r="AQ81" s="24">
        <v>0</v>
      </c>
      <c r="AR81" s="24">
        <v>1</v>
      </c>
      <c r="AS81" s="24" t="s">
        <v>33</v>
      </c>
      <c r="AT81" s="24"/>
      <c r="AU81" s="24">
        <v>2022</v>
      </c>
      <c r="AV81" s="24">
        <v>42</v>
      </c>
      <c r="AW81" s="24">
        <v>0.04</v>
      </c>
      <c r="AX81" s="24">
        <v>11600</v>
      </c>
      <c r="AY81" s="24">
        <v>282009</v>
      </c>
      <c r="AZ81" s="24" t="s">
        <v>33</v>
      </c>
      <c r="BA81" s="24"/>
      <c r="BB81" s="24"/>
      <c r="BC81" s="24">
        <v>2022</v>
      </c>
      <c r="BD81" s="24">
        <v>42</v>
      </c>
      <c r="BE81" s="24">
        <v>2990.3564285714297</v>
      </c>
      <c r="BF81" s="24" t="s">
        <v>33</v>
      </c>
      <c r="BG81" s="24"/>
      <c r="BI81" s="24">
        <v>2022</v>
      </c>
      <c r="BJ81" s="24">
        <v>52</v>
      </c>
      <c r="BK81" s="24" t="s">
        <v>33</v>
      </c>
      <c r="BL81" s="24" t="s">
        <v>272</v>
      </c>
      <c r="BM81" s="24">
        <v>49178</v>
      </c>
      <c r="BN81" s="24">
        <v>49136</v>
      </c>
      <c r="BO81" s="24">
        <v>174157</v>
      </c>
      <c r="BR81" s="24">
        <v>2022</v>
      </c>
      <c r="BS81" s="24">
        <v>42</v>
      </c>
      <c r="BT81" s="24">
        <v>280918</v>
      </c>
      <c r="BU81" s="24">
        <v>57</v>
      </c>
      <c r="BV81" s="24" t="s">
        <v>33</v>
      </c>
      <c r="BY81" s="24">
        <v>2022</v>
      </c>
      <c r="BZ81" s="24">
        <v>49</v>
      </c>
      <c r="CA81" s="24" t="s">
        <v>32</v>
      </c>
      <c r="CB81" s="24" t="s">
        <v>423</v>
      </c>
      <c r="CC81" s="24">
        <v>1</v>
      </c>
      <c r="CF81" s="24">
        <v>2022</v>
      </c>
      <c r="CG81" s="24">
        <v>42</v>
      </c>
      <c r="CH81" s="24" t="s">
        <v>33</v>
      </c>
      <c r="CI81" s="24">
        <v>132.99517156359153</v>
      </c>
      <c r="CJ81" s="24">
        <v>258915</v>
      </c>
      <c r="CK81" s="24">
        <v>1946.8</v>
      </c>
      <c r="CL81" s="24">
        <v>123.91332957322805</v>
      </c>
      <c r="CM81" s="24">
        <v>133022</v>
      </c>
      <c r="CN81" s="24">
        <v>263638</v>
      </c>
      <c r="CO81" s="24">
        <v>2127.6</v>
      </c>
      <c r="CP81" s="24">
        <v>89290</v>
      </c>
      <c r="CQ81" s="24">
        <v>727.4</v>
      </c>
      <c r="CR81" s="24">
        <v>2401.6</v>
      </c>
      <c r="CS81" s="24">
        <v>138379</v>
      </c>
      <c r="CT81" s="24">
        <v>138379</v>
      </c>
      <c r="CU81" s="24">
        <v>1740.3</v>
      </c>
      <c r="CV81" s="24">
        <v>71577</v>
      </c>
      <c r="CW81" s="24">
        <v>0</v>
      </c>
      <c r="CX81" s="24">
        <v>140092</v>
      </c>
      <c r="CY81" s="24">
        <v>1062.7</v>
      </c>
      <c r="CZ81" s="24">
        <v>66118</v>
      </c>
      <c r="DA81" s="24">
        <v>2401.6</v>
      </c>
      <c r="DD81" s="24">
        <v>2022</v>
      </c>
      <c r="DE81" s="24">
        <v>42</v>
      </c>
      <c r="DF81" s="24" t="s">
        <v>33</v>
      </c>
      <c r="DG81" s="24">
        <v>20618</v>
      </c>
      <c r="DH81" s="24">
        <v>22898</v>
      </c>
      <c r="DJ81" s="24">
        <v>2022</v>
      </c>
      <c r="DK81" s="24">
        <v>41</v>
      </c>
      <c r="DL81" s="24" t="s">
        <v>33</v>
      </c>
      <c r="DM81" s="24">
        <v>150</v>
      </c>
      <c r="DP81" s="24">
        <v>2022</v>
      </c>
      <c r="DQ81" s="24">
        <v>42</v>
      </c>
      <c r="DR81" s="24" t="s">
        <v>33</v>
      </c>
      <c r="DS81" s="24">
        <v>13068</v>
      </c>
      <c r="DT81" s="24">
        <v>30</v>
      </c>
      <c r="DW81" s="24">
        <v>2022</v>
      </c>
      <c r="DX81" s="24">
        <v>48</v>
      </c>
      <c r="DY81" s="24" t="s">
        <v>32</v>
      </c>
      <c r="DZ81" s="24">
        <v>3</v>
      </c>
      <c r="EA81" s="24" t="s">
        <v>149</v>
      </c>
      <c r="EB81" s="24">
        <v>0</v>
      </c>
      <c r="EC81" s="24">
        <v>95.2</v>
      </c>
      <c r="ED81" s="24">
        <v>2204</v>
      </c>
      <c r="EE81" s="24">
        <v>1793</v>
      </c>
      <c r="EF81" s="24">
        <v>7.3</v>
      </c>
      <c r="EI81" s="24">
        <v>2023</v>
      </c>
      <c r="EJ81" s="24">
        <v>8</v>
      </c>
      <c r="EK81" s="24" t="s">
        <v>208</v>
      </c>
      <c r="EL81" s="24" t="s">
        <v>235</v>
      </c>
      <c r="EM81" s="24" t="s">
        <v>210</v>
      </c>
      <c r="EN81" s="24">
        <v>21</v>
      </c>
      <c r="EO81" s="24"/>
      <c r="EP81" s="24"/>
      <c r="EQ81" s="24"/>
      <c r="ER81" s="24"/>
      <c r="ES81" s="24">
        <v>2022</v>
      </c>
      <c r="ET81" s="24">
        <v>40</v>
      </c>
      <c r="EU81" s="24" t="s">
        <v>33</v>
      </c>
      <c r="EV81" s="24">
        <v>154271</v>
      </c>
      <c r="EY81" s="24">
        <v>2022</v>
      </c>
      <c r="EZ81" s="24">
        <v>42</v>
      </c>
      <c r="FA81" s="24" t="s">
        <v>33</v>
      </c>
      <c r="FB81" s="24">
        <v>1204</v>
      </c>
      <c r="FE81" s="24">
        <v>2022</v>
      </c>
      <c r="FF81" s="24">
        <v>42</v>
      </c>
      <c r="FG81" s="24" t="s">
        <v>33</v>
      </c>
      <c r="FH81" s="24">
        <v>0.97720000000000007</v>
      </c>
      <c r="FI81" s="24">
        <v>14614</v>
      </c>
      <c r="FJ81" s="24">
        <v>6670</v>
      </c>
      <c r="FK81" s="24">
        <v>6851</v>
      </c>
      <c r="FN81" s="24">
        <v>2022</v>
      </c>
      <c r="FO81" s="24">
        <v>43</v>
      </c>
      <c r="FP81" s="24" t="s">
        <v>33</v>
      </c>
      <c r="FQ81" s="24">
        <v>895561</v>
      </c>
      <c r="FR81" s="24">
        <v>9937.6166666666686</v>
      </c>
      <c r="FS81" s="24">
        <v>393502</v>
      </c>
      <c r="FT81" s="24">
        <v>3760.05</v>
      </c>
      <c r="FW81" s="24">
        <v>2022</v>
      </c>
      <c r="FX81" s="24">
        <v>42</v>
      </c>
      <c r="FY81" s="24" t="s">
        <v>33</v>
      </c>
      <c r="FZ81" s="24">
        <v>18118</v>
      </c>
      <c r="GA81" s="24">
        <v>16791</v>
      </c>
      <c r="GB81" s="24"/>
      <c r="GC81" s="24"/>
      <c r="GD81" s="24">
        <v>2022</v>
      </c>
      <c r="GE81" s="24">
        <v>42</v>
      </c>
      <c r="GF81" s="24" t="s">
        <v>33</v>
      </c>
      <c r="GG81" s="24">
        <v>18211</v>
      </c>
      <c r="GH81" s="24">
        <v>17057</v>
      </c>
      <c r="GK81" s="24"/>
      <c r="GL81" s="24"/>
      <c r="GM81" s="24"/>
      <c r="GN81" s="24"/>
      <c r="GO81" s="24"/>
      <c r="GP81" s="24">
        <v>2022</v>
      </c>
      <c r="GQ81" s="24">
        <v>42</v>
      </c>
      <c r="GR81" s="24">
        <v>35.805571428571405</v>
      </c>
      <c r="GS81" s="24" t="s">
        <v>33</v>
      </c>
      <c r="GX81">
        <v>2022</v>
      </c>
      <c r="GY81">
        <v>42</v>
      </c>
      <c r="GZ81" t="s">
        <v>33</v>
      </c>
      <c r="HA81">
        <v>278295</v>
      </c>
      <c r="HB81">
        <v>274289</v>
      </c>
      <c r="HC81">
        <v>323</v>
      </c>
      <c r="HD81">
        <v>117</v>
      </c>
      <c r="HE81">
        <v>9</v>
      </c>
      <c r="HF81">
        <v>551</v>
      </c>
      <c r="HG81">
        <v>0</v>
      </c>
      <c r="HH81">
        <v>27</v>
      </c>
      <c r="HI81">
        <v>1169</v>
      </c>
      <c r="HL81">
        <v>2022</v>
      </c>
      <c r="HM81">
        <v>42</v>
      </c>
      <c r="HN81" t="s">
        <v>33</v>
      </c>
      <c r="HO81">
        <v>277033</v>
      </c>
      <c r="HP81">
        <v>275303</v>
      </c>
      <c r="HQ81">
        <v>401</v>
      </c>
      <c r="HR81">
        <v>45</v>
      </c>
      <c r="HS81">
        <v>2</v>
      </c>
      <c r="HT81">
        <v>431</v>
      </c>
      <c r="HU81">
        <v>0</v>
      </c>
      <c r="HV81">
        <v>23</v>
      </c>
      <c r="HW81">
        <v>95</v>
      </c>
      <c r="HZ81" s="24">
        <v>2022</v>
      </c>
      <c r="IA81" s="24">
        <v>42</v>
      </c>
      <c r="IB81" s="24" t="s">
        <v>33</v>
      </c>
      <c r="IC81" s="24">
        <v>17962</v>
      </c>
      <c r="ID81" s="24">
        <v>17449</v>
      </c>
      <c r="IG81" s="24">
        <v>2022</v>
      </c>
      <c r="IH81" s="24">
        <v>42</v>
      </c>
      <c r="II81" s="24" t="s">
        <v>33</v>
      </c>
      <c r="IJ81" s="24">
        <v>16980</v>
      </c>
      <c r="IK81" s="24">
        <v>16874</v>
      </c>
    </row>
    <row r="82" spans="9:245" x14ac:dyDescent="0.4">
      <c r="I82" s="305">
        <v>2022</v>
      </c>
      <c r="J82" s="306">
        <v>42</v>
      </c>
      <c r="K82" s="306" t="s">
        <v>33</v>
      </c>
      <c r="L82" s="306">
        <v>280148</v>
      </c>
      <c r="M82" s="306">
        <v>273057</v>
      </c>
      <c r="N82" s="306">
        <v>795</v>
      </c>
      <c r="O82" s="306">
        <v>2738</v>
      </c>
      <c r="P82" s="306">
        <v>316</v>
      </c>
      <c r="Q82" s="306">
        <v>23</v>
      </c>
      <c r="R82" s="24"/>
      <c r="S82" s="24"/>
      <c r="T82" s="24"/>
      <c r="W82" s="24">
        <v>2022</v>
      </c>
      <c r="X82" s="24">
        <v>41</v>
      </c>
      <c r="Y82" s="24" t="s">
        <v>32</v>
      </c>
      <c r="Z82" s="24">
        <v>15085</v>
      </c>
      <c r="AA82" s="24">
        <v>14519</v>
      </c>
      <c r="AB82" s="24">
        <v>35</v>
      </c>
      <c r="AC82" s="24">
        <v>16</v>
      </c>
      <c r="AD82" s="24"/>
      <c r="AE82" s="24"/>
      <c r="AF82" s="24"/>
      <c r="AG82" s="24"/>
      <c r="AH82" s="24"/>
      <c r="AI82" s="24"/>
      <c r="AJ82" s="24"/>
      <c r="AK82" s="24">
        <v>2022</v>
      </c>
      <c r="AL82" s="24">
        <v>41</v>
      </c>
      <c r="AM82" s="24">
        <v>542.52</v>
      </c>
      <c r="AN82" s="24">
        <v>51.980000000000004</v>
      </c>
      <c r="AO82" s="24">
        <v>0</v>
      </c>
      <c r="AP82" s="24">
        <v>14</v>
      </c>
      <c r="AQ82" s="24">
        <v>0</v>
      </c>
      <c r="AR82" s="24">
        <v>0</v>
      </c>
      <c r="AS82" s="24" t="s">
        <v>32</v>
      </c>
      <c r="AT82" s="24"/>
      <c r="AU82" s="24">
        <v>2022</v>
      </c>
      <c r="AV82" s="24">
        <v>41</v>
      </c>
      <c r="AW82" s="24">
        <v>0.21</v>
      </c>
      <c r="AX82" s="24">
        <v>3200</v>
      </c>
      <c r="AY82" s="24">
        <v>15436</v>
      </c>
      <c r="AZ82" s="24" t="s">
        <v>32</v>
      </c>
      <c r="BA82" s="24"/>
      <c r="BB82" s="24"/>
      <c r="BC82" s="24">
        <v>2022</v>
      </c>
      <c r="BD82" s="24">
        <v>41</v>
      </c>
      <c r="BE82" s="24">
        <v>282.950285714286</v>
      </c>
      <c r="BF82" s="24" t="s">
        <v>32</v>
      </c>
      <c r="BG82" s="24"/>
      <c r="BI82" s="24">
        <v>2022</v>
      </c>
      <c r="BJ82" s="24">
        <v>51</v>
      </c>
      <c r="BK82" s="24" t="s">
        <v>32</v>
      </c>
      <c r="BL82" s="24" t="s">
        <v>272</v>
      </c>
      <c r="BM82" s="24">
        <v>3043</v>
      </c>
      <c r="BN82" s="24">
        <v>3037</v>
      </c>
      <c r="BO82" s="24">
        <v>10085</v>
      </c>
      <c r="BR82" s="24">
        <v>2022</v>
      </c>
      <c r="BS82" s="24">
        <v>41</v>
      </c>
      <c r="BT82" s="24">
        <v>15336</v>
      </c>
      <c r="BU82" s="24">
        <v>8</v>
      </c>
      <c r="BV82" s="24" t="s">
        <v>32</v>
      </c>
      <c r="BY82" s="24">
        <v>2022</v>
      </c>
      <c r="BZ82" s="24">
        <v>49</v>
      </c>
      <c r="CA82" s="24" t="s">
        <v>33</v>
      </c>
      <c r="CB82" s="24" t="s">
        <v>108</v>
      </c>
      <c r="CC82" s="24">
        <v>1</v>
      </c>
      <c r="CF82" s="24">
        <v>2022</v>
      </c>
      <c r="CG82" s="24">
        <v>41</v>
      </c>
      <c r="CH82" s="24" t="s">
        <v>32</v>
      </c>
      <c r="CI82" s="24">
        <v>40.668294171498324</v>
      </c>
      <c r="CJ82" s="24">
        <v>13327</v>
      </c>
      <c r="CK82" s="24">
        <v>327.7</v>
      </c>
      <c r="CL82" s="24">
        <v>42.69721577726218</v>
      </c>
      <c r="CM82" s="24">
        <v>8534</v>
      </c>
      <c r="CN82" s="24">
        <v>14722</v>
      </c>
      <c r="CO82" s="24">
        <v>344.8</v>
      </c>
      <c r="CP82" s="24">
        <v>9353</v>
      </c>
      <c r="CQ82" s="24">
        <v>130.19999999999999</v>
      </c>
      <c r="CR82" s="24">
        <v>288.8</v>
      </c>
      <c r="CS82" s="24">
        <v>12026</v>
      </c>
      <c r="CT82" s="24">
        <v>12027</v>
      </c>
      <c r="CU82" s="24">
        <v>447.4</v>
      </c>
      <c r="CV82" s="24">
        <v>4091</v>
      </c>
      <c r="CW82" s="24">
        <v>0</v>
      </c>
      <c r="CX82" s="24">
        <v>10744</v>
      </c>
      <c r="CY82" s="24">
        <v>97.9</v>
      </c>
      <c r="CZ82" s="24">
        <v>6577</v>
      </c>
      <c r="DA82" s="24">
        <v>288.8</v>
      </c>
      <c r="DD82" s="24">
        <v>2022</v>
      </c>
      <c r="DE82" s="24">
        <v>41</v>
      </c>
      <c r="DF82" s="24" t="s">
        <v>32</v>
      </c>
      <c r="DG82" s="24">
        <v>1740</v>
      </c>
      <c r="DH82" s="24">
        <v>2003</v>
      </c>
      <c r="DJ82" s="24">
        <v>2022</v>
      </c>
      <c r="DK82" s="24">
        <v>40</v>
      </c>
      <c r="DL82" s="24" t="s">
        <v>32</v>
      </c>
      <c r="DM82" s="24">
        <v>7</v>
      </c>
      <c r="DP82" s="24">
        <v>2022</v>
      </c>
      <c r="DQ82" s="24">
        <v>41</v>
      </c>
      <c r="DR82" s="24" t="s">
        <v>32</v>
      </c>
      <c r="DS82" s="24">
        <v>468</v>
      </c>
      <c r="DT82" s="24"/>
      <c r="DW82" s="24">
        <v>2022</v>
      </c>
      <c r="DX82" s="24">
        <v>48</v>
      </c>
      <c r="DY82" s="24" t="s">
        <v>33</v>
      </c>
      <c r="DZ82" s="24">
        <v>15</v>
      </c>
      <c r="EA82" s="24" t="s">
        <v>562</v>
      </c>
      <c r="EB82" s="24">
        <v>509.9</v>
      </c>
      <c r="EC82" s="24">
        <v>0</v>
      </c>
      <c r="ED82" s="24">
        <v>2</v>
      </c>
      <c r="EE82" s="24">
        <v>17053</v>
      </c>
      <c r="EF82" s="24">
        <v>56</v>
      </c>
      <c r="EI82" s="24">
        <v>2023</v>
      </c>
      <c r="EJ82" s="24">
        <v>8</v>
      </c>
      <c r="EK82" s="24" t="s">
        <v>208</v>
      </c>
      <c r="EL82" s="24" t="s">
        <v>235</v>
      </c>
      <c r="EM82" s="24" t="s">
        <v>234</v>
      </c>
      <c r="EN82" s="24">
        <v>3</v>
      </c>
      <c r="EO82" s="24"/>
      <c r="EP82" s="24"/>
      <c r="EQ82" s="24"/>
      <c r="ER82" s="24"/>
      <c r="ES82" s="24">
        <v>2022</v>
      </c>
      <c r="ET82" s="24">
        <v>39</v>
      </c>
      <c r="EU82" s="24" t="s">
        <v>32</v>
      </c>
      <c r="EV82" s="24">
        <v>7054</v>
      </c>
      <c r="EY82" s="24">
        <v>2022</v>
      </c>
      <c r="EZ82" s="24">
        <v>41</v>
      </c>
      <c r="FA82" s="24" t="s">
        <v>32</v>
      </c>
      <c r="FB82" s="24">
        <v>1020</v>
      </c>
      <c r="FE82" s="24">
        <v>2022</v>
      </c>
      <c r="FF82" s="24">
        <v>41</v>
      </c>
      <c r="FG82" s="24" t="s">
        <v>32</v>
      </c>
      <c r="FH82" s="24">
        <v>0.8589</v>
      </c>
      <c r="FI82" s="24">
        <v>457</v>
      </c>
      <c r="FJ82" s="24">
        <v>216</v>
      </c>
      <c r="FK82" s="24">
        <v>250</v>
      </c>
      <c r="FN82" s="24">
        <v>2022</v>
      </c>
      <c r="FO82" s="24">
        <v>42</v>
      </c>
      <c r="FP82" s="24" t="s">
        <v>32</v>
      </c>
      <c r="FQ82" s="24">
        <v>38939</v>
      </c>
      <c r="FR82" s="24">
        <v>1321.5166666666698</v>
      </c>
      <c r="FS82" s="24">
        <v>26822</v>
      </c>
      <c r="FT82" s="24">
        <v>471.28333333333302</v>
      </c>
      <c r="FW82" s="24">
        <v>2022</v>
      </c>
      <c r="FX82" s="24">
        <v>41</v>
      </c>
      <c r="FY82" s="24" t="s">
        <v>32</v>
      </c>
      <c r="FZ82" s="24">
        <v>2511</v>
      </c>
      <c r="GA82" s="24">
        <v>2296</v>
      </c>
      <c r="GB82" s="24"/>
      <c r="GC82" s="24"/>
      <c r="GD82" s="24">
        <v>2022</v>
      </c>
      <c r="GE82" s="24">
        <v>41</v>
      </c>
      <c r="GF82" s="24" t="s">
        <v>32</v>
      </c>
      <c r="GG82" s="24">
        <v>2592</v>
      </c>
      <c r="GH82" s="24">
        <v>2390</v>
      </c>
      <c r="GK82" s="24"/>
      <c r="GL82" s="24"/>
      <c r="GM82" s="24"/>
      <c r="GN82" s="24"/>
      <c r="GO82" s="24"/>
      <c r="GP82" s="24">
        <v>2022</v>
      </c>
      <c r="GQ82" s="24">
        <v>41</v>
      </c>
      <c r="GR82" s="24">
        <v>3.0220000000000002</v>
      </c>
      <c r="GS82" s="24" t="s">
        <v>32</v>
      </c>
      <c r="GX82">
        <v>2022</v>
      </c>
      <c r="GY82">
        <v>41</v>
      </c>
      <c r="GZ82" t="s">
        <v>32</v>
      </c>
      <c r="HA82">
        <v>15030</v>
      </c>
      <c r="HB82">
        <v>14424</v>
      </c>
      <c r="HC82">
        <v>51</v>
      </c>
      <c r="HD82">
        <v>2</v>
      </c>
      <c r="HE82">
        <v>2</v>
      </c>
      <c r="HF82">
        <v>125</v>
      </c>
      <c r="HG82">
        <v>0</v>
      </c>
      <c r="HH82">
        <v>0</v>
      </c>
      <c r="HI82">
        <v>55</v>
      </c>
      <c r="HL82">
        <v>2022</v>
      </c>
      <c r="HM82">
        <v>41</v>
      </c>
      <c r="HN82" t="s">
        <v>32</v>
      </c>
      <c r="HO82">
        <v>15026</v>
      </c>
      <c r="HP82">
        <v>14678</v>
      </c>
      <c r="HQ82">
        <v>27</v>
      </c>
      <c r="HR82">
        <v>3</v>
      </c>
      <c r="HS82">
        <v>1</v>
      </c>
      <c r="HT82">
        <v>154</v>
      </c>
      <c r="HU82">
        <v>0</v>
      </c>
      <c r="HV82">
        <v>0</v>
      </c>
      <c r="HW82">
        <v>3</v>
      </c>
      <c r="HZ82" s="24">
        <v>2022</v>
      </c>
      <c r="IA82" s="24">
        <v>41</v>
      </c>
      <c r="IB82" s="24" t="s">
        <v>32</v>
      </c>
      <c r="IC82" s="24">
        <v>2528</v>
      </c>
      <c r="ID82" s="24">
        <v>2323</v>
      </c>
      <c r="IG82" s="24">
        <v>2022</v>
      </c>
      <c r="IH82" s="24">
        <v>41</v>
      </c>
      <c r="II82" s="24" t="s">
        <v>32</v>
      </c>
      <c r="IJ82" s="24">
        <v>2538</v>
      </c>
      <c r="IK82" s="24">
        <v>2409</v>
      </c>
    </row>
    <row r="83" spans="9:245" x14ac:dyDescent="0.4">
      <c r="I83" s="305">
        <v>2022</v>
      </c>
      <c r="J83" s="306">
        <v>41</v>
      </c>
      <c r="K83" s="306" t="s">
        <v>32</v>
      </c>
      <c r="L83" s="306">
        <v>14948</v>
      </c>
      <c r="M83" s="306">
        <v>14254</v>
      </c>
      <c r="N83" s="306">
        <v>32</v>
      </c>
      <c r="O83" s="306">
        <v>361</v>
      </c>
      <c r="P83" s="306">
        <v>73</v>
      </c>
      <c r="Q83" s="306">
        <v>10</v>
      </c>
      <c r="R83" s="24"/>
      <c r="S83" s="24"/>
      <c r="T83" s="24"/>
      <c r="W83" s="24">
        <v>2022</v>
      </c>
      <c r="X83" s="24">
        <v>41</v>
      </c>
      <c r="Y83" s="24" t="s">
        <v>33</v>
      </c>
      <c r="Z83" s="24">
        <v>259334</v>
      </c>
      <c r="AA83" s="24">
        <v>255083</v>
      </c>
      <c r="AB83" s="24">
        <v>156</v>
      </c>
      <c r="AC83" s="24">
        <v>49</v>
      </c>
      <c r="AD83" s="24"/>
      <c r="AE83" s="24"/>
      <c r="AF83" s="24"/>
      <c r="AG83" s="24"/>
      <c r="AH83" s="24"/>
      <c r="AI83" s="24"/>
      <c r="AJ83" s="24"/>
      <c r="AK83" s="24">
        <v>2022</v>
      </c>
      <c r="AL83" s="24">
        <v>41</v>
      </c>
      <c r="AM83" s="24">
        <v>21347.47</v>
      </c>
      <c r="AN83" s="24">
        <v>1393.45</v>
      </c>
      <c r="AO83" s="24">
        <v>0</v>
      </c>
      <c r="AP83" s="24">
        <v>560</v>
      </c>
      <c r="AQ83" s="24">
        <v>0</v>
      </c>
      <c r="AR83" s="24">
        <v>7</v>
      </c>
      <c r="AS83" s="24" t="s">
        <v>33</v>
      </c>
      <c r="AT83" s="24"/>
      <c r="AU83" s="24">
        <v>2022</v>
      </c>
      <c r="AV83" s="24">
        <v>41</v>
      </c>
      <c r="AW83" s="24">
        <v>0.05</v>
      </c>
      <c r="AX83" s="24">
        <v>12200</v>
      </c>
      <c r="AY83" s="24">
        <v>264484</v>
      </c>
      <c r="AZ83" s="24" t="s">
        <v>33</v>
      </c>
      <c r="BA83" s="24"/>
      <c r="BB83" s="24"/>
      <c r="BC83" s="24">
        <v>2022</v>
      </c>
      <c r="BD83" s="24">
        <v>41</v>
      </c>
      <c r="BE83" s="24">
        <v>2990.6825714285696</v>
      </c>
      <c r="BF83" s="24" t="s">
        <v>33</v>
      </c>
      <c r="BG83" s="24"/>
      <c r="BI83" s="24">
        <v>2022</v>
      </c>
      <c r="BJ83" s="24">
        <v>51</v>
      </c>
      <c r="BK83" s="24" t="s">
        <v>33</v>
      </c>
      <c r="BL83" s="24" t="s">
        <v>272</v>
      </c>
      <c r="BM83" s="24">
        <v>52331</v>
      </c>
      <c r="BN83" s="24">
        <v>52278</v>
      </c>
      <c r="BO83" s="24">
        <v>188481</v>
      </c>
      <c r="BR83" s="24">
        <v>2022</v>
      </c>
      <c r="BS83" s="24">
        <v>41</v>
      </c>
      <c r="BT83" s="24">
        <v>263285</v>
      </c>
      <c r="BU83" s="24">
        <v>48</v>
      </c>
      <c r="BV83" s="24" t="s">
        <v>33</v>
      </c>
      <c r="BY83" s="24">
        <v>2022</v>
      </c>
      <c r="BZ83" s="24">
        <v>49</v>
      </c>
      <c r="CA83" s="24" t="s">
        <v>33</v>
      </c>
      <c r="CB83" s="24" t="s">
        <v>423</v>
      </c>
      <c r="CC83" s="24">
        <v>1</v>
      </c>
      <c r="CF83" s="24">
        <v>2022</v>
      </c>
      <c r="CG83" s="24">
        <v>41</v>
      </c>
      <c r="CH83" s="24" t="s">
        <v>33</v>
      </c>
      <c r="CI83" s="24">
        <v>122.53661717495987</v>
      </c>
      <c r="CJ83" s="24">
        <v>244289</v>
      </c>
      <c r="CK83" s="24">
        <v>1993.6</v>
      </c>
      <c r="CL83" s="24">
        <v>116.69112114371708</v>
      </c>
      <c r="CM83" s="24">
        <v>127692</v>
      </c>
      <c r="CN83" s="24">
        <v>248132</v>
      </c>
      <c r="CO83" s="24">
        <v>2126.4</v>
      </c>
      <c r="CP83" s="24">
        <v>88210</v>
      </c>
      <c r="CQ83" s="24">
        <v>718.2</v>
      </c>
      <c r="CR83" s="24">
        <v>2409.5</v>
      </c>
      <c r="CS83" s="24">
        <v>150038</v>
      </c>
      <c r="CT83" s="24">
        <v>150038</v>
      </c>
      <c r="CU83" s="24">
        <v>1924.5</v>
      </c>
      <c r="CV83" s="24">
        <v>66364</v>
      </c>
      <c r="CW83" s="24">
        <v>0</v>
      </c>
      <c r="CX83" s="24">
        <v>150153</v>
      </c>
      <c r="CY83" s="24">
        <v>1141.2</v>
      </c>
      <c r="CZ83" s="24">
        <v>65073</v>
      </c>
      <c r="DA83" s="24">
        <v>2409.5</v>
      </c>
      <c r="DD83" s="24">
        <v>2022</v>
      </c>
      <c r="DE83" s="24">
        <v>41</v>
      </c>
      <c r="DF83" s="24" t="s">
        <v>33</v>
      </c>
      <c r="DG83" s="24">
        <v>37991</v>
      </c>
      <c r="DH83" s="24">
        <v>24164</v>
      </c>
      <c r="DJ83" s="24">
        <v>2022</v>
      </c>
      <c r="DK83" s="24">
        <v>40</v>
      </c>
      <c r="DL83" s="24" t="s">
        <v>33</v>
      </c>
      <c r="DM83" s="24">
        <v>249</v>
      </c>
      <c r="DP83" s="24">
        <v>2022</v>
      </c>
      <c r="DQ83" s="24">
        <v>41</v>
      </c>
      <c r="DR83" s="24" t="s">
        <v>33</v>
      </c>
      <c r="DS83" s="24">
        <v>17481</v>
      </c>
      <c r="DT83" s="24">
        <v>22</v>
      </c>
      <c r="DW83" s="24">
        <v>2022</v>
      </c>
      <c r="DX83" s="24">
        <v>48</v>
      </c>
      <c r="DY83" s="24" t="s">
        <v>33</v>
      </c>
      <c r="DZ83" s="24">
        <v>105</v>
      </c>
      <c r="EA83" s="24" t="s">
        <v>149</v>
      </c>
      <c r="EB83" s="24">
        <v>181.2</v>
      </c>
      <c r="EC83" s="24">
        <v>2994</v>
      </c>
      <c r="ED83" s="24">
        <v>74060</v>
      </c>
      <c r="EE83" s="24">
        <v>79881</v>
      </c>
      <c r="EF83" s="24">
        <v>219.3</v>
      </c>
      <c r="EI83" s="24">
        <v>2023</v>
      </c>
      <c r="EJ83" s="24">
        <v>8</v>
      </c>
      <c r="EK83" s="24" t="s">
        <v>208</v>
      </c>
      <c r="EL83" s="24" t="s">
        <v>235</v>
      </c>
      <c r="EM83" s="24" t="s">
        <v>215</v>
      </c>
      <c r="EN83" s="24">
        <v>1</v>
      </c>
      <c r="EO83" s="24"/>
      <c r="EP83" s="24"/>
      <c r="EQ83" s="24"/>
      <c r="ER83" s="24"/>
      <c r="ES83" s="24">
        <v>2022</v>
      </c>
      <c r="ET83" s="24">
        <v>39</v>
      </c>
      <c r="EU83" s="24" t="s">
        <v>33</v>
      </c>
      <c r="EV83" s="24">
        <v>161698</v>
      </c>
      <c r="EY83" s="24">
        <v>2022</v>
      </c>
      <c r="EZ83" s="24">
        <v>41</v>
      </c>
      <c r="FA83" s="24" t="s">
        <v>33</v>
      </c>
      <c r="FB83" s="24">
        <v>1768</v>
      </c>
      <c r="FE83" s="24">
        <v>2022</v>
      </c>
      <c r="FF83" s="24">
        <v>41</v>
      </c>
      <c r="FG83" s="24" t="s">
        <v>33</v>
      </c>
      <c r="FH83" s="24">
        <v>0.97250000000000003</v>
      </c>
      <c r="FI83" s="24">
        <v>14200</v>
      </c>
      <c r="FJ83" s="24">
        <v>6466</v>
      </c>
      <c r="FK83" s="24">
        <v>6679</v>
      </c>
      <c r="FN83" s="24">
        <v>2022</v>
      </c>
      <c r="FO83" s="24">
        <v>42</v>
      </c>
      <c r="FP83" s="24" t="s">
        <v>33</v>
      </c>
      <c r="FQ83" s="24">
        <v>935076</v>
      </c>
      <c r="FR83" s="24">
        <v>9762.2666666666701</v>
      </c>
      <c r="FS83" s="24">
        <v>371227</v>
      </c>
      <c r="FT83" s="24">
        <v>3729.1833333333298</v>
      </c>
      <c r="FW83" s="24">
        <v>2022</v>
      </c>
      <c r="FX83" s="24">
        <v>41</v>
      </c>
      <c r="FY83" s="24" t="s">
        <v>33</v>
      </c>
      <c r="FZ83" s="24">
        <v>18012</v>
      </c>
      <c r="GA83" s="24">
        <v>16551</v>
      </c>
      <c r="GB83" s="24"/>
      <c r="GC83" s="24"/>
      <c r="GD83" s="24">
        <v>2022</v>
      </c>
      <c r="GE83" s="24">
        <v>41</v>
      </c>
      <c r="GF83" s="24" t="s">
        <v>33</v>
      </c>
      <c r="GG83" s="24">
        <v>18039</v>
      </c>
      <c r="GH83" s="24">
        <v>16894</v>
      </c>
      <c r="GK83" s="24"/>
      <c r="GL83" s="24"/>
      <c r="GM83" s="24"/>
      <c r="GN83" s="24"/>
      <c r="GO83" s="24"/>
      <c r="GP83" s="24">
        <v>2022</v>
      </c>
      <c r="GQ83" s="24">
        <v>41</v>
      </c>
      <c r="GR83" s="24">
        <v>35.765857142857101</v>
      </c>
      <c r="GS83" s="24" t="s">
        <v>33</v>
      </c>
      <c r="GX83">
        <v>2022</v>
      </c>
      <c r="GY83">
        <v>41</v>
      </c>
      <c r="GZ83" t="s">
        <v>33</v>
      </c>
      <c r="HA83">
        <v>263192</v>
      </c>
      <c r="HB83">
        <v>259530</v>
      </c>
      <c r="HC83">
        <v>326</v>
      </c>
      <c r="HD83">
        <v>106</v>
      </c>
      <c r="HE83">
        <v>10</v>
      </c>
      <c r="HF83">
        <v>175</v>
      </c>
      <c r="HG83">
        <v>0</v>
      </c>
      <c r="HH83">
        <v>21</v>
      </c>
      <c r="HI83">
        <v>1072</v>
      </c>
      <c r="HL83">
        <v>2022</v>
      </c>
      <c r="HM83">
        <v>41</v>
      </c>
      <c r="HN83" t="s">
        <v>33</v>
      </c>
      <c r="HO83">
        <v>258972</v>
      </c>
      <c r="HP83">
        <v>257435</v>
      </c>
      <c r="HQ83">
        <v>411</v>
      </c>
      <c r="HR83">
        <v>38</v>
      </c>
      <c r="HS83">
        <v>2</v>
      </c>
      <c r="HT83">
        <v>120</v>
      </c>
      <c r="HU83">
        <v>0</v>
      </c>
      <c r="HV83">
        <v>16</v>
      </c>
      <c r="HW83">
        <v>109</v>
      </c>
      <c r="HZ83" s="24">
        <v>2022</v>
      </c>
      <c r="IA83" s="24">
        <v>41</v>
      </c>
      <c r="IB83" s="24" t="s">
        <v>33</v>
      </c>
      <c r="IC83" s="24">
        <v>17851</v>
      </c>
      <c r="ID83" s="24">
        <v>17231</v>
      </c>
      <c r="IG83" s="24">
        <v>2022</v>
      </c>
      <c r="IH83" s="24">
        <v>41</v>
      </c>
      <c r="II83" s="24" t="s">
        <v>33</v>
      </c>
      <c r="IJ83" s="24">
        <v>16928</v>
      </c>
      <c r="IK83" s="24">
        <v>16800</v>
      </c>
    </row>
    <row r="84" spans="9:245" x14ac:dyDescent="0.4">
      <c r="I84" s="305">
        <v>2022</v>
      </c>
      <c r="J84" s="306">
        <v>41</v>
      </c>
      <c r="K84" s="306" t="s">
        <v>33</v>
      </c>
      <c r="L84" s="306">
        <v>261594</v>
      </c>
      <c r="M84" s="306">
        <v>255716</v>
      </c>
      <c r="N84" s="306">
        <v>764</v>
      </c>
      <c r="O84" s="306">
        <v>2355</v>
      </c>
      <c r="P84" s="306">
        <v>386</v>
      </c>
      <c r="Q84" s="306">
        <v>51</v>
      </c>
      <c r="R84" s="24"/>
      <c r="S84" s="24"/>
      <c r="T84" s="24"/>
      <c r="W84" s="24">
        <v>2022</v>
      </c>
      <c r="X84" s="24">
        <v>40</v>
      </c>
      <c r="Y84" s="24" t="s">
        <v>32</v>
      </c>
      <c r="Z84" s="24">
        <v>16305</v>
      </c>
      <c r="AA84" s="24">
        <v>14107</v>
      </c>
      <c r="AB84" s="24">
        <v>72</v>
      </c>
      <c r="AC84" s="24">
        <v>26</v>
      </c>
      <c r="AD84" s="24"/>
      <c r="AE84" s="24"/>
      <c r="AF84" s="24"/>
      <c r="AG84" s="24"/>
      <c r="AH84" s="24"/>
      <c r="AI84" s="24"/>
      <c r="AJ84" s="24"/>
      <c r="AK84" s="24">
        <v>2022</v>
      </c>
      <c r="AL84" s="24">
        <v>40</v>
      </c>
      <c r="AM84" s="24">
        <v>637.53</v>
      </c>
      <c r="AN84" s="24">
        <v>67.08</v>
      </c>
      <c r="AO84" s="24">
        <v>0</v>
      </c>
      <c r="AP84" s="24">
        <v>14</v>
      </c>
      <c r="AQ84" s="24">
        <v>0</v>
      </c>
      <c r="AR84" s="24">
        <v>0</v>
      </c>
      <c r="AS84" s="24" t="s">
        <v>32</v>
      </c>
      <c r="AT84" s="24"/>
      <c r="AU84" s="24">
        <v>2022</v>
      </c>
      <c r="AV84" s="24">
        <v>40</v>
      </c>
      <c r="AW84" s="24">
        <v>0.28999999999999998</v>
      </c>
      <c r="AX84" s="24">
        <v>4900</v>
      </c>
      <c r="AY84" s="24">
        <v>16762</v>
      </c>
      <c r="AZ84" s="24" t="s">
        <v>32</v>
      </c>
      <c r="BA84" s="24"/>
      <c r="BB84" s="24"/>
      <c r="BC84" s="24">
        <v>2022</v>
      </c>
      <c r="BD84" s="24">
        <v>40</v>
      </c>
      <c r="BE84" s="24">
        <v>283.71942857142898</v>
      </c>
      <c r="BF84" s="24" t="s">
        <v>32</v>
      </c>
      <c r="BG84" s="24"/>
      <c r="BI84" s="24">
        <v>2022</v>
      </c>
      <c r="BJ84" s="24">
        <v>51</v>
      </c>
      <c r="BK84" s="24" t="s">
        <v>32</v>
      </c>
      <c r="BL84" s="24" t="s">
        <v>273</v>
      </c>
      <c r="BM84" s="24">
        <v>7035</v>
      </c>
      <c r="BN84" s="24">
        <v>6990</v>
      </c>
      <c r="BO84" s="24">
        <v>7125</v>
      </c>
      <c r="BR84" s="24">
        <v>2022</v>
      </c>
      <c r="BS84" s="24">
        <v>40</v>
      </c>
      <c r="BT84" s="24">
        <v>16610</v>
      </c>
      <c r="BU84" s="24">
        <v>16</v>
      </c>
      <c r="BV84" s="24" t="s">
        <v>32</v>
      </c>
      <c r="BY84" s="24">
        <v>2022</v>
      </c>
      <c r="BZ84" s="24">
        <v>48</v>
      </c>
      <c r="CA84" s="24" t="s">
        <v>32</v>
      </c>
      <c r="CB84" s="24" t="s">
        <v>108</v>
      </c>
      <c r="CC84" s="24">
        <v>1</v>
      </c>
      <c r="CF84" s="24">
        <v>2022</v>
      </c>
      <c r="CG84" s="24">
        <v>40</v>
      </c>
      <c r="CH84" s="24" t="s">
        <v>32</v>
      </c>
      <c r="CI84" s="24">
        <v>39.982911825017091</v>
      </c>
      <c r="CJ84" s="24">
        <v>11699</v>
      </c>
      <c r="CK84" s="24">
        <v>292.60000000000002</v>
      </c>
      <c r="CL84" s="24">
        <v>39.315335374338993</v>
      </c>
      <c r="CM84" s="24">
        <v>8131</v>
      </c>
      <c r="CN84" s="24">
        <v>14126</v>
      </c>
      <c r="CO84" s="24">
        <v>359.3</v>
      </c>
      <c r="CP84" s="24">
        <v>11116</v>
      </c>
      <c r="CQ84" s="24">
        <v>85.5</v>
      </c>
      <c r="CR84" s="24">
        <v>350.2</v>
      </c>
      <c r="CS84" s="24">
        <v>9109</v>
      </c>
      <c r="CT84" s="24">
        <v>9109</v>
      </c>
      <c r="CU84" s="24">
        <v>350.8</v>
      </c>
      <c r="CV84" s="24">
        <v>3327</v>
      </c>
      <c r="CW84" s="24">
        <v>0</v>
      </c>
      <c r="CX84" s="24">
        <v>9471</v>
      </c>
      <c r="CY84" s="24">
        <v>64.5</v>
      </c>
      <c r="CZ84" s="24">
        <v>7901</v>
      </c>
      <c r="DA84" s="24">
        <v>350.2</v>
      </c>
      <c r="DD84" s="24">
        <v>2022</v>
      </c>
      <c r="DE84" s="24">
        <v>40</v>
      </c>
      <c r="DF84" s="24" t="s">
        <v>32</v>
      </c>
      <c r="DG84" s="24">
        <v>3606</v>
      </c>
      <c r="DH84" s="24">
        <v>1836</v>
      </c>
      <c r="DJ84" s="24">
        <v>2022</v>
      </c>
      <c r="DK84" s="24">
        <v>39</v>
      </c>
      <c r="DL84" s="24" t="s">
        <v>32</v>
      </c>
      <c r="DM84" s="24">
        <v>23</v>
      </c>
      <c r="DP84" s="24">
        <v>2022</v>
      </c>
      <c r="DQ84" s="24">
        <v>40</v>
      </c>
      <c r="DR84" s="24" t="s">
        <v>32</v>
      </c>
      <c r="DS84" s="24">
        <v>1334</v>
      </c>
      <c r="DT84" s="24"/>
      <c r="DW84" s="24">
        <v>2022</v>
      </c>
      <c r="DX84" s="24">
        <v>47</v>
      </c>
      <c r="DY84" s="24" t="s">
        <v>32</v>
      </c>
      <c r="DZ84" s="24">
        <v>3</v>
      </c>
      <c r="EA84" s="24" t="s">
        <v>149</v>
      </c>
      <c r="EB84" s="24">
        <v>0</v>
      </c>
      <c r="EC84" s="24">
        <v>54.6</v>
      </c>
      <c r="ED84" s="24">
        <v>1164</v>
      </c>
      <c r="EE84" s="24">
        <v>1018</v>
      </c>
      <c r="EF84" s="24">
        <v>3.1</v>
      </c>
      <c r="EI84" s="24">
        <v>2023</v>
      </c>
      <c r="EJ84" s="24">
        <v>8</v>
      </c>
      <c r="EK84" s="24" t="s">
        <v>208</v>
      </c>
      <c r="EL84" s="24" t="s">
        <v>209</v>
      </c>
      <c r="EM84" s="24" t="s">
        <v>210</v>
      </c>
      <c r="EN84" s="24">
        <v>6</v>
      </c>
      <c r="EO84" s="24"/>
      <c r="EP84" s="24"/>
      <c r="EQ84" s="24"/>
      <c r="ER84" s="24"/>
      <c r="ES84" s="24">
        <v>2022</v>
      </c>
      <c r="ET84" s="24">
        <v>38</v>
      </c>
      <c r="EU84" s="24" t="s">
        <v>32</v>
      </c>
      <c r="EV84" s="24">
        <v>8194</v>
      </c>
      <c r="EY84" s="24">
        <v>2022</v>
      </c>
      <c r="EZ84" s="24">
        <v>40</v>
      </c>
      <c r="FA84" s="24" t="s">
        <v>32</v>
      </c>
      <c r="FB84" s="24">
        <v>706</v>
      </c>
      <c r="FE84" s="24">
        <v>2022</v>
      </c>
      <c r="FF84" s="24">
        <v>40</v>
      </c>
      <c r="FG84" s="24" t="s">
        <v>32</v>
      </c>
      <c r="FH84" s="24">
        <v>0.43620000000000003</v>
      </c>
      <c r="FI84" s="24">
        <v>523</v>
      </c>
      <c r="FJ84" s="24">
        <v>241</v>
      </c>
      <c r="FK84" s="24">
        <v>400</v>
      </c>
      <c r="FN84" s="24">
        <v>2022</v>
      </c>
      <c r="FO84" s="24">
        <v>41</v>
      </c>
      <c r="FP84" s="24" t="s">
        <v>32</v>
      </c>
      <c r="FQ84" s="24">
        <v>39865</v>
      </c>
      <c r="FR84" s="24">
        <v>1183.1500000000001</v>
      </c>
      <c r="FS84" s="24">
        <v>34310</v>
      </c>
      <c r="FT84" s="24">
        <v>632.80000000000007</v>
      </c>
      <c r="FW84" s="24">
        <v>2022</v>
      </c>
      <c r="FX84" s="24">
        <v>40</v>
      </c>
      <c r="FY84" s="24" t="s">
        <v>32</v>
      </c>
      <c r="FZ84" s="24">
        <v>2517</v>
      </c>
      <c r="GA84" s="24">
        <v>1892</v>
      </c>
      <c r="GB84" s="24"/>
      <c r="GC84" s="24"/>
      <c r="GD84" s="24">
        <v>2022</v>
      </c>
      <c r="GE84" s="24">
        <v>40</v>
      </c>
      <c r="GF84" s="24" t="s">
        <v>32</v>
      </c>
      <c r="GG84" s="24">
        <v>2470</v>
      </c>
      <c r="GH84" s="24">
        <v>1846</v>
      </c>
      <c r="GK84" s="24"/>
      <c r="GL84" s="24"/>
      <c r="GM84" s="24"/>
      <c r="GN84" s="24"/>
      <c r="GO84" s="24"/>
      <c r="GP84" s="24">
        <v>2022</v>
      </c>
      <c r="GQ84" s="24">
        <v>40</v>
      </c>
      <c r="GR84" s="24">
        <v>3.0218571428571401</v>
      </c>
      <c r="GS84" s="24" t="s">
        <v>32</v>
      </c>
      <c r="GX84">
        <v>2022</v>
      </c>
      <c r="GY84">
        <v>40</v>
      </c>
      <c r="GZ84" t="s">
        <v>32</v>
      </c>
      <c r="HA84">
        <v>16400</v>
      </c>
      <c r="HB84">
        <v>14086</v>
      </c>
      <c r="HC84">
        <v>42</v>
      </c>
      <c r="HD84">
        <v>15</v>
      </c>
      <c r="HE84">
        <v>2</v>
      </c>
      <c r="HF84">
        <v>1374</v>
      </c>
      <c r="HG84">
        <v>0</v>
      </c>
      <c r="HH84">
        <v>0</v>
      </c>
      <c r="HI84">
        <v>134</v>
      </c>
      <c r="HL84">
        <v>2022</v>
      </c>
      <c r="HM84">
        <v>40</v>
      </c>
      <c r="HN84" t="s">
        <v>32</v>
      </c>
      <c r="HO84">
        <v>16267</v>
      </c>
      <c r="HP84">
        <v>14263</v>
      </c>
      <c r="HQ84">
        <v>58</v>
      </c>
      <c r="HR84">
        <v>11</v>
      </c>
      <c r="HS84">
        <v>2</v>
      </c>
      <c r="HT84">
        <v>1529</v>
      </c>
      <c r="HU84">
        <v>0</v>
      </c>
      <c r="HV84">
        <v>0</v>
      </c>
      <c r="HW84">
        <v>85</v>
      </c>
      <c r="HZ84" s="24">
        <v>2022</v>
      </c>
      <c r="IA84" s="24">
        <v>40</v>
      </c>
      <c r="IB84" s="24" t="s">
        <v>32</v>
      </c>
      <c r="IC84" s="24">
        <v>2558</v>
      </c>
      <c r="ID84" s="24">
        <v>1964</v>
      </c>
      <c r="IG84" s="24">
        <v>2022</v>
      </c>
      <c r="IH84" s="24">
        <v>40</v>
      </c>
      <c r="II84" s="24" t="s">
        <v>32</v>
      </c>
      <c r="IJ84" s="24">
        <v>2421</v>
      </c>
      <c r="IK84" s="24">
        <v>1864</v>
      </c>
    </row>
    <row r="85" spans="9:245" x14ac:dyDescent="0.4">
      <c r="I85" s="305">
        <v>2022</v>
      </c>
      <c r="J85" s="306">
        <v>40</v>
      </c>
      <c r="K85" s="306" t="s">
        <v>32</v>
      </c>
      <c r="L85" s="306">
        <v>16568</v>
      </c>
      <c r="M85" s="306">
        <v>14230</v>
      </c>
      <c r="N85" s="306">
        <v>64</v>
      </c>
      <c r="O85" s="306">
        <v>868</v>
      </c>
      <c r="P85" s="306">
        <v>132</v>
      </c>
      <c r="Q85" s="306">
        <v>24</v>
      </c>
      <c r="R85" s="24"/>
      <c r="S85" s="24"/>
      <c r="T85" s="24"/>
      <c r="W85" s="24">
        <v>2022</v>
      </c>
      <c r="X85" s="24">
        <v>40</v>
      </c>
      <c r="Y85" s="24" t="s">
        <v>33</v>
      </c>
      <c r="Z85" s="24">
        <v>273611</v>
      </c>
      <c r="AA85" s="24">
        <v>267416</v>
      </c>
      <c r="AB85" s="24">
        <v>228</v>
      </c>
      <c r="AC85" s="24">
        <v>83</v>
      </c>
      <c r="AD85" s="24"/>
      <c r="AE85" s="24"/>
      <c r="AF85" s="24"/>
      <c r="AG85" s="24"/>
      <c r="AH85" s="24"/>
      <c r="AI85" s="24"/>
      <c r="AJ85" s="24"/>
      <c r="AK85" s="24">
        <v>2022</v>
      </c>
      <c r="AL85" s="24">
        <v>40</v>
      </c>
      <c r="AM85" s="24">
        <v>22963.05</v>
      </c>
      <c r="AN85" s="24">
        <v>1680.95</v>
      </c>
      <c r="AO85" s="24">
        <v>0</v>
      </c>
      <c r="AP85" s="24">
        <v>556</v>
      </c>
      <c r="AQ85" s="24">
        <v>0</v>
      </c>
      <c r="AR85" s="24">
        <v>5</v>
      </c>
      <c r="AS85" s="24" t="s">
        <v>33</v>
      </c>
      <c r="AT85" s="24"/>
      <c r="AU85" s="24">
        <v>2022</v>
      </c>
      <c r="AV85" s="24">
        <v>40</v>
      </c>
      <c r="AW85" s="24">
        <v>0.06</v>
      </c>
      <c r="AX85" s="24">
        <v>16800</v>
      </c>
      <c r="AY85" s="24">
        <v>280009</v>
      </c>
      <c r="AZ85" s="24" t="s">
        <v>33</v>
      </c>
      <c r="BA85" s="24"/>
      <c r="BB85" s="24"/>
      <c r="BC85" s="24">
        <v>2022</v>
      </c>
      <c r="BD85" s="24">
        <v>40</v>
      </c>
      <c r="BE85" s="24">
        <v>2950.9658571428599</v>
      </c>
      <c r="BF85" s="24" t="s">
        <v>33</v>
      </c>
      <c r="BG85" s="24"/>
      <c r="BI85" s="24">
        <v>2022</v>
      </c>
      <c r="BJ85" s="24">
        <v>51</v>
      </c>
      <c r="BK85" s="24" t="s">
        <v>33</v>
      </c>
      <c r="BL85" s="24" t="s">
        <v>273</v>
      </c>
      <c r="BM85" s="24">
        <v>102492</v>
      </c>
      <c r="BN85" s="24">
        <v>101816</v>
      </c>
      <c r="BO85" s="24">
        <v>104348</v>
      </c>
      <c r="BR85" s="24">
        <v>2022</v>
      </c>
      <c r="BS85" s="24">
        <v>40</v>
      </c>
      <c r="BT85" s="24">
        <v>278721</v>
      </c>
      <c r="BU85" s="24">
        <v>42</v>
      </c>
      <c r="BV85" s="24" t="s">
        <v>33</v>
      </c>
      <c r="BY85" s="24">
        <v>2022</v>
      </c>
      <c r="BZ85" s="24">
        <v>48</v>
      </c>
      <c r="CA85" s="24" t="s">
        <v>32</v>
      </c>
      <c r="CB85" s="24" t="s">
        <v>423</v>
      </c>
      <c r="CC85" s="24">
        <v>1</v>
      </c>
      <c r="CF85" s="24">
        <v>2022</v>
      </c>
      <c r="CG85" s="24">
        <v>40</v>
      </c>
      <c r="CH85" s="24" t="s">
        <v>33</v>
      </c>
      <c r="CI85" s="24">
        <v>115.45023696682465</v>
      </c>
      <c r="CJ85" s="24">
        <v>255780</v>
      </c>
      <c r="CK85" s="24">
        <v>2215.5</v>
      </c>
      <c r="CL85" s="24">
        <v>107.81017700932277</v>
      </c>
      <c r="CM85" s="24">
        <v>133207</v>
      </c>
      <c r="CN85" s="24">
        <v>262507</v>
      </c>
      <c r="CO85" s="24">
        <v>2434.9</v>
      </c>
      <c r="CP85" s="24">
        <v>89238</v>
      </c>
      <c r="CQ85" s="24">
        <v>668.9</v>
      </c>
      <c r="CR85" s="24">
        <v>2834.4</v>
      </c>
      <c r="CS85" s="24">
        <v>127291</v>
      </c>
      <c r="CT85" s="24">
        <v>127291</v>
      </c>
      <c r="CU85" s="24">
        <v>1645</v>
      </c>
      <c r="CV85" s="24">
        <v>62410</v>
      </c>
      <c r="CW85" s="24">
        <v>0</v>
      </c>
      <c r="CX85" s="24">
        <v>123436</v>
      </c>
      <c r="CY85" s="24">
        <v>919.1</v>
      </c>
      <c r="CZ85" s="24">
        <v>66559</v>
      </c>
      <c r="DA85" s="24">
        <v>2834.4</v>
      </c>
      <c r="DD85" s="24">
        <v>2022</v>
      </c>
      <c r="DE85" s="24">
        <v>40</v>
      </c>
      <c r="DF85" s="24" t="s">
        <v>33</v>
      </c>
      <c r="DG85" s="24">
        <v>22936</v>
      </c>
      <c r="DH85" s="24">
        <v>19472</v>
      </c>
      <c r="DJ85" s="24">
        <v>2022</v>
      </c>
      <c r="DK85" s="24">
        <v>39</v>
      </c>
      <c r="DL85" s="24" t="s">
        <v>33</v>
      </c>
      <c r="DM85" s="24">
        <v>382</v>
      </c>
      <c r="DP85" s="24">
        <v>2022</v>
      </c>
      <c r="DQ85" s="24">
        <v>40</v>
      </c>
      <c r="DR85" s="24" t="s">
        <v>33</v>
      </c>
      <c r="DS85" s="24">
        <v>18166</v>
      </c>
      <c r="DT85" s="24"/>
      <c r="DW85" s="24">
        <v>2022</v>
      </c>
      <c r="DX85" s="24">
        <v>47</v>
      </c>
      <c r="DY85" s="24" t="s">
        <v>33</v>
      </c>
      <c r="DZ85" s="24">
        <v>15</v>
      </c>
      <c r="EA85" s="24" t="s">
        <v>562</v>
      </c>
      <c r="EB85" s="24">
        <v>396.7</v>
      </c>
      <c r="EC85" s="24">
        <v>0</v>
      </c>
      <c r="ED85" s="24"/>
      <c r="EE85" s="24">
        <v>13552</v>
      </c>
      <c r="EF85" s="24">
        <v>43.2</v>
      </c>
      <c r="EI85" s="24">
        <v>2023</v>
      </c>
      <c r="EJ85" s="24">
        <v>8</v>
      </c>
      <c r="EK85" s="24" t="s">
        <v>33</v>
      </c>
      <c r="EL85" s="24" t="s">
        <v>233</v>
      </c>
      <c r="EM85" s="24" t="s">
        <v>210</v>
      </c>
      <c r="EN85" s="24">
        <v>3</v>
      </c>
      <c r="EO85" s="24"/>
      <c r="EP85" s="24"/>
      <c r="EQ85" s="24"/>
      <c r="ER85" s="24"/>
      <c r="ES85" s="24">
        <v>2022</v>
      </c>
      <c r="ET85" s="24">
        <v>38</v>
      </c>
      <c r="EU85" s="24" t="s">
        <v>33</v>
      </c>
      <c r="EV85" s="24">
        <v>147581</v>
      </c>
      <c r="EY85" s="24">
        <v>2022</v>
      </c>
      <c r="EZ85" s="24">
        <v>40</v>
      </c>
      <c r="FA85" s="24" t="s">
        <v>33</v>
      </c>
      <c r="FB85" s="24">
        <v>2224</v>
      </c>
      <c r="FE85" s="24">
        <v>2022</v>
      </c>
      <c r="FF85" s="24">
        <v>40</v>
      </c>
      <c r="FG85" s="24" t="s">
        <v>33</v>
      </c>
      <c r="FH85" s="24">
        <v>0.97750000000000004</v>
      </c>
      <c r="FI85" s="24">
        <v>14512</v>
      </c>
      <c r="FJ85" s="24">
        <v>6602</v>
      </c>
      <c r="FK85" s="24">
        <v>6780</v>
      </c>
      <c r="FN85" s="24">
        <v>2022</v>
      </c>
      <c r="FO85" s="24">
        <v>41</v>
      </c>
      <c r="FP85" s="24" t="s">
        <v>33</v>
      </c>
      <c r="FQ85" s="24">
        <v>868693</v>
      </c>
      <c r="FR85" s="24">
        <v>9664.4833333333299</v>
      </c>
      <c r="FS85" s="24">
        <v>387938</v>
      </c>
      <c r="FT85" s="24">
        <v>4009.6666666666697</v>
      </c>
      <c r="FW85" s="24">
        <v>2022</v>
      </c>
      <c r="FX85" s="24">
        <v>40</v>
      </c>
      <c r="FY85" s="24" t="s">
        <v>33</v>
      </c>
      <c r="FZ85" s="24">
        <v>19915</v>
      </c>
      <c r="GA85" s="24">
        <v>18361</v>
      </c>
      <c r="GB85" s="24"/>
      <c r="GC85" s="24"/>
      <c r="GD85" s="24">
        <v>2022</v>
      </c>
      <c r="GE85" s="24">
        <v>40</v>
      </c>
      <c r="GF85" s="24" t="s">
        <v>33</v>
      </c>
      <c r="GG85" s="24">
        <v>19927</v>
      </c>
      <c r="GH85" s="24">
        <v>18561</v>
      </c>
      <c r="GK85" s="24"/>
      <c r="GL85" s="24"/>
      <c r="GM85" s="24"/>
      <c r="GN85" s="24"/>
      <c r="GO85" s="24"/>
      <c r="GP85" s="24">
        <v>2022</v>
      </c>
      <c r="GQ85" s="24">
        <v>40</v>
      </c>
      <c r="GR85" s="24">
        <v>35.757142857142902</v>
      </c>
      <c r="GS85" s="24" t="s">
        <v>33</v>
      </c>
      <c r="GX85">
        <v>2022</v>
      </c>
      <c r="GY85">
        <v>40</v>
      </c>
      <c r="GZ85" t="s">
        <v>33</v>
      </c>
      <c r="HA85">
        <v>275306</v>
      </c>
      <c r="HB85">
        <v>270272</v>
      </c>
      <c r="HC85">
        <v>622</v>
      </c>
      <c r="HD85">
        <v>121</v>
      </c>
      <c r="HE85">
        <v>9</v>
      </c>
      <c r="HF85">
        <v>1064</v>
      </c>
      <c r="HG85">
        <v>0</v>
      </c>
      <c r="HH85">
        <v>7</v>
      </c>
      <c r="HI85">
        <v>891</v>
      </c>
      <c r="HL85">
        <v>2022</v>
      </c>
      <c r="HM85">
        <v>40</v>
      </c>
      <c r="HN85" t="s">
        <v>33</v>
      </c>
      <c r="HO85">
        <v>273386</v>
      </c>
      <c r="HP85">
        <v>270978</v>
      </c>
      <c r="HQ85">
        <v>663</v>
      </c>
      <c r="HR85">
        <v>51</v>
      </c>
      <c r="HS85">
        <v>5</v>
      </c>
      <c r="HT85">
        <v>885</v>
      </c>
      <c r="HU85">
        <v>0</v>
      </c>
      <c r="HV85">
        <v>6</v>
      </c>
      <c r="HW85">
        <v>171</v>
      </c>
      <c r="HZ85" s="24">
        <v>2022</v>
      </c>
      <c r="IA85" s="24">
        <v>40</v>
      </c>
      <c r="IB85" s="24" t="s">
        <v>33</v>
      </c>
      <c r="IC85" s="24">
        <v>20055</v>
      </c>
      <c r="ID85" s="24">
        <v>19419</v>
      </c>
      <c r="IG85" s="24">
        <v>2022</v>
      </c>
      <c r="IH85" s="24">
        <v>40</v>
      </c>
      <c r="II85" s="24" t="s">
        <v>33</v>
      </c>
      <c r="IJ85" s="24">
        <v>18612</v>
      </c>
      <c r="IK85" s="24">
        <v>18456</v>
      </c>
    </row>
    <row r="86" spans="9:245" x14ac:dyDescent="0.4">
      <c r="I86" s="305">
        <v>2022</v>
      </c>
      <c r="J86" s="306">
        <v>40</v>
      </c>
      <c r="K86" s="306" t="s">
        <v>33</v>
      </c>
      <c r="L86" s="306">
        <v>275801</v>
      </c>
      <c r="M86" s="306">
        <v>268313</v>
      </c>
      <c r="N86" s="306">
        <v>606</v>
      </c>
      <c r="O86" s="306">
        <v>2758</v>
      </c>
      <c r="P86" s="306">
        <v>356</v>
      </c>
      <c r="Q86" s="306">
        <v>79</v>
      </c>
      <c r="R86" s="24"/>
      <c r="S86" s="24"/>
      <c r="T86" s="24"/>
      <c r="W86" s="24">
        <v>2022</v>
      </c>
      <c r="X86" s="24">
        <v>39</v>
      </c>
      <c r="Y86" s="24" t="s">
        <v>32</v>
      </c>
      <c r="Z86" s="24">
        <v>18518</v>
      </c>
      <c r="AA86" s="24">
        <v>17354</v>
      </c>
      <c r="AB86" s="24">
        <v>43</v>
      </c>
      <c r="AC86" s="24">
        <v>3</v>
      </c>
      <c r="AD86" s="24"/>
      <c r="AE86" s="24"/>
      <c r="AF86" s="24"/>
      <c r="AG86" s="24"/>
      <c r="AH86" s="24"/>
      <c r="AI86" s="24"/>
      <c r="AJ86" s="24"/>
      <c r="AK86" s="24">
        <v>2022</v>
      </c>
      <c r="AL86" s="24">
        <v>39</v>
      </c>
      <c r="AM86" s="24">
        <v>556.63</v>
      </c>
      <c r="AN86" s="24">
        <v>50.97</v>
      </c>
      <c r="AO86" s="24">
        <v>0</v>
      </c>
      <c r="AP86" s="24">
        <v>13</v>
      </c>
      <c r="AQ86" s="24">
        <v>0</v>
      </c>
      <c r="AR86" s="24">
        <v>0</v>
      </c>
      <c r="AS86" s="24" t="s">
        <v>32</v>
      </c>
      <c r="AT86" s="24"/>
      <c r="AU86" s="24">
        <v>2022</v>
      </c>
      <c r="AV86" s="24">
        <v>39</v>
      </c>
      <c r="AW86" s="24">
        <v>0.22</v>
      </c>
      <c r="AX86" s="24">
        <v>4100</v>
      </c>
      <c r="AY86" s="24">
        <v>18560</v>
      </c>
      <c r="AZ86" s="24" t="s">
        <v>32</v>
      </c>
      <c r="BA86" s="24"/>
      <c r="BB86" s="24"/>
      <c r="BC86" s="24">
        <v>2022</v>
      </c>
      <c r="BD86" s="24">
        <v>39</v>
      </c>
      <c r="BE86" s="24">
        <v>283.858571428571</v>
      </c>
      <c r="BF86" s="24" t="s">
        <v>32</v>
      </c>
      <c r="BG86" s="24"/>
      <c r="BI86" s="24">
        <v>2022</v>
      </c>
      <c r="BJ86" s="24">
        <v>50</v>
      </c>
      <c r="BK86" s="24" t="s">
        <v>32</v>
      </c>
      <c r="BL86" s="24" t="s">
        <v>272</v>
      </c>
      <c r="BM86" s="24">
        <v>2887</v>
      </c>
      <c r="BN86" s="24">
        <v>2883</v>
      </c>
      <c r="BO86" s="24">
        <v>9669</v>
      </c>
      <c r="BR86" s="24">
        <v>2022</v>
      </c>
      <c r="BS86" s="24">
        <v>39</v>
      </c>
      <c r="BT86" s="24">
        <v>279440</v>
      </c>
      <c r="BU86" s="24">
        <v>38</v>
      </c>
      <c r="BV86" s="24" t="s">
        <v>33</v>
      </c>
      <c r="BY86" s="24">
        <v>2022</v>
      </c>
      <c r="BZ86" s="24">
        <v>48</v>
      </c>
      <c r="CA86" s="24" t="s">
        <v>33</v>
      </c>
      <c r="CB86" s="24" t="s">
        <v>108</v>
      </c>
      <c r="CC86" s="24">
        <v>1</v>
      </c>
      <c r="CF86" s="24">
        <v>2022</v>
      </c>
      <c r="CG86" s="24">
        <v>39</v>
      </c>
      <c r="CH86" s="24" t="s">
        <v>32</v>
      </c>
      <c r="CI86" s="24">
        <v>52.637144745538663</v>
      </c>
      <c r="CJ86" s="24">
        <v>15928</v>
      </c>
      <c r="CK86" s="24">
        <v>302.60000000000002</v>
      </c>
      <c r="CL86" s="24">
        <v>50.103950103950105</v>
      </c>
      <c r="CM86" s="24">
        <v>11046</v>
      </c>
      <c r="CN86" s="24">
        <v>19280</v>
      </c>
      <c r="CO86" s="24">
        <v>384.8</v>
      </c>
      <c r="CP86" s="24">
        <v>9158</v>
      </c>
      <c r="CQ86" s="24">
        <v>60.8</v>
      </c>
      <c r="CR86" s="24">
        <v>316.2</v>
      </c>
      <c r="CS86" s="24">
        <v>12651</v>
      </c>
      <c r="CT86" s="24">
        <v>12651</v>
      </c>
      <c r="CU86" s="24">
        <v>339.2</v>
      </c>
      <c r="CV86" s="24">
        <v>5202</v>
      </c>
      <c r="CW86" s="24">
        <v>0</v>
      </c>
      <c r="CX86" s="24">
        <v>6193</v>
      </c>
      <c r="CY86" s="24">
        <v>102.6</v>
      </c>
      <c r="CZ86" s="24">
        <v>7440</v>
      </c>
      <c r="DA86" s="24">
        <v>316.2</v>
      </c>
      <c r="DD86" s="24">
        <v>2022</v>
      </c>
      <c r="DE86" s="24">
        <v>39</v>
      </c>
      <c r="DF86" s="24" t="s">
        <v>32</v>
      </c>
      <c r="DG86" s="24">
        <v>2066</v>
      </c>
      <c r="DH86" s="24">
        <v>2109</v>
      </c>
      <c r="DJ86" s="24">
        <v>2022</v>
      </c>
      <c r="DK86" s="24">
        <v>38</v>
      </c>
      <c r="DL86" s="24" t="s">
        <v>32</v>
      </c>
      <c r="DM86" s="24">
        <v>11</v>
      </c>
      <c r="DP86" s="24">
        <v>2022</v>
      </c>
      <c r="DQ86" s="24">
        <v>39</v>
      </c>
      <c r="DR86" s="24" t="s">
        <v>32</v>
      </c>
      <c r="DS86" s="24">
        <v>471</v>
      </c>
      <c r="DT86" s="24"/>
      <c r="DW86" s="24">
        <v>2022</v>
      </c>
      <c r="DX86" s="24">
        <v>47</v>
      </c>
      <c r="DY86" s="24" t="s">
        <v>33</v>
      </c>
      <c r="DZ86" s="24">
        <v>97</v>
      </c>
      <c r="EA86" s="24" t="s">
        <v>149</v>
      </c>
      <c r="EB86" s="24">
        <v>12.8</v>
      </c>
      <c r="EC86" s="24">
        <v>2148.1999999999998</v>
      </c>
      <c r="ED86" s="24">
        <v>54654</v>
      </c>
      <c r="EE86" s="24">
        <v>54355</v>
      </c>
      <c r="EF86" s="24">
        <v>181.7</v>
      </c>
      <c r="EI86" s="24">
        <v>2023</v>
      </c>
      <c r="EJ86" s="24">
        <v>8</v>
      </c>
      <c r="EK86" s="24" t="s">
        <v>33</v>
      </c>
      <c r="EL86" s="24" t="s">
        <v>233</v>
      </c>
      <c r="EM86" s="24" t="s">
        <v>234</v>
      </c>
      <c r="EN86" s="24">
        <v>1</v>
      </c>
      <c r="EO86" s="24"/>
      <c r="EP86" s="24"/>
      <c r="EQ86" s="24"/>
      <c r="ER86" s="24"/>
      <c r="ES86" s="24">
        <v>2022</v>
      </c>
      <c r="ET86" s="24">
        <v>37</v>
      </c>
      <c r="EU86" s="24" t="s">
        <v>32</v>
      </c>
      <c r="EV86" s="24">
        <v>8841</v>
      </c>
      <c r="EY86" s="24">
        <v>2022</v>
      </c>
      <c r="EZ86" s="24">
        <v>39</v>
      </c>
      <c r="FA86" s="24" t="s">
        <v>32</v>
      </c>
      <c r="FB86" s="24">
        <v>977</v>
      </c>
      <c r="FE86" s="24">
        <v>2022</v>
      </c>
      <c r="FF86" s="24">
        <v>39</v>
      </c>
      <c r="FG86" s="24" t="s">
        <v>32</v>
      </c>
      <c r="FH86" s="24">
        <v>0.91700000000000004</v>
      </c>
      <c r="FI86" s="24">
        <v>526</v>
      </c>
      <c r="FJ86" s="24">
        <v>249</v>
      </c>
      <c r="FK86" s="24">
        <v>272</v>
      </c>
      <c r="FN86" s="24">
        <v>2022</v>
      </c>
      <c r="FO86" s="24">
        <v>40</v>
      </c>
      <c r="FP86" s="24" t="s">
        <v>32</v>
      </c>
      <c r="FQ86" s="24">
        <v>41948</v>
      </c>
      <c r="FR86" s="24">
        <v>1143.55</v>
      </c>
      <c r="FS86" s="24">
        <v>28612</v>
      </c>
      <c r="FT86" s="24">
        <v>458.816666666667</v>
      </c>
      <c r="FW86" s="24">
        <v>2022</v>
      </c>
      <c r="FX86" s="24">
        <v>39</v>
      </c>
      <c r="FY86" s="24" t="s">
        <v>32</v>
      </c>
      <c r="FZ86" s="24">
        <v>2556</v>
      </c>
      <c r="GA86" s="24">
        <v>2142</v>
      </c>
      <c r="GB86" s="24"/>
      <c r="GC86" s="24"/>
      <c r="GD86" s="24">
        <v>2022</v>
      </c>
      <c r="GE86" s="24">
        <v>39</v>
      </c>
      <c r="GF86" s="24" t="s">
        <v>32</v>
      </c>
      <c r="GG86" s="24">
        <v>2613</v>
      </c>
      <c r="GH86" s="24">
        <v>2193</v>
      </c>
      <c r="GK86" s="24"/>
      <c r="GL86" s="24"/>
      <c r="GM86" s="24"/>
      <c r="GN86" s="24"/>
      <c r="GO86" s="24"/>
      <c r="GP86" s="24">
        <v>2022</v>
      </c>
      <c r="GQ86" s="24">
        <v>39</v>
      </c>
      <c r="GR86" s="24">
        <v>3.0209999999999999</v>
      </c>
      <c r="GS86" s="24" t="s">
        <v>32</v>
      </c>
      <c r="GX86">
        <v>2022</v>
      </c>
      <c r="GY86">
        <v>39</v>
      </c>
      <c r="GZ86" t="s">
        <v>32</v>
      </c>
      <c r="HA86">
        <v>18037</v>
      </c>
      <c r="HB86">
        <v>17179</v>
      </c>
      <c r="HC86">
        <v>13</v>
      </c>
      <c r="HD86">
        <v>6</v>
      </c>
      <c r="HE86">
        <v>2</v>
      </c>
      <c r="HF86">
        <v>278</v>
      </c>
      <c r="HG86">
        <v>0</v>
      </c>
      <c r="HH86">
        <v>0</v>
      </c>
      <c r="HI86">
        <v>91</v>
      </c>
      <c r="HL86">
        <v>2022</v>
      </c>
      <c r="HM86">
        <v>39</v>
      </c>
      <c r="HN86" t="s">
        <v>32</v>
      </c>
      <c r="HO86">
        <v>18443</v>
      </c>
      <c r="HP86">
        <v>17892</v>
      </c>
      <c r="HQ86">
        <v>26</v>
      </c>
      <c r="HR86">
        <v>6</v>
      </c>
      <c r="HS86">
        <v>2</v>
      </c>
      <c r="HT86">
        <v>343</v>
      </c>
      <c r="HU86">
        <v>0</v>
      </c>
      <c r="HV86">
        <v>0</v>
      </c>
      <c r="HW86">
        <v>14</v>
      </c>
      <c r="HZ86" s="24">
        <v>2022</v>
      </c>
      <c r="IA86" s="24">
        <v>39</v>
      </c>
      <c r="IB86" s="24" t="s">
        <v>32</v>
      </c>
      <c r="IC86" s="24">
        <v>2487</v>
      </c>
      <c r="ID86" s="24">
        <v>2248</v>
      </c>
      <c r="IG86" s="24">
        <v>2022</v>
      </c>
      <c r="IH86" s="24">
        <v>39</v>
      </c>
      <c r="II86" s="24" t="s">
        <v>32</v>
      </c>
      <c r="IJ86" s="24">
        <v>2560</v>
      </c>
      <c r="IK86" s="24">
        <v>2353</v>
      </c>
    </row>
    <row r="87" spans="9:245" x14ac:dyDescent="0.4">
      <c r="I87" s="305">
        <v>2022</v>
      </c>
      <c r="J87" s="306">
        <v>39</v>
      </c>
      <c r="K87" s="306" t="s">
        <v>32</v>
      </c>
      <c r="L87" s="306">
        <v>18556</v>
      </c>
      <c r="M87" s="306">
        <v>17161</v>
      </c>
      <c r="N87" s="306">
        <v>75</v>
      </c>
      <c r="O87" s="306">
        <v>694</v>
      </c>
      <c r="P87" s="306">
        <v>77</v>
      </c>
      <c r="Q87" s="306">
        <v>8</v>
      </c>
      <c r="R87" s="24"/>
      <c r="S87" s="24"/>
      <c r="T87" s="24"/>
      <c r="W87" s="24">
        <v>2022</v>
      </c>
      <c r="X87" s="24">
        <v>39</v>
      </c>
      <c r="Y87" s="24" t="s">
        <v>33</v>
      </c>
      <c r="Z87" s="24">
        <v>275261</v>
      </c>
      <c r="AA87" s="24">
        <v>269392</v>
      </c>
      <c r="AB87" s="24">
        <v>271</v>
      </c>
      <c r="AC87" s="24">
        <v>95</v>
      </c>
      <c r="AD87" s="24"/>
      <c r="AE87" s="24"/>
      <c r="AF87" s="24"/>
      <c r="AG87" s="24"/>
      <c r="AH87" s="24"/>
      <c r="AI87" s="24"/>
      <c r="AJ87" s="24"/>
      <c r="AK87" s="24">
        <v>2022</v>
      </c>
      <c r="AL87" s="24">
        <v>39</v>
      </c>
      <c r="AM87" s="24">
        <v>21115.9</v>
      </c>
      <c r="AN87" s="24">
        <v>1288.17</v>
      </c>
      <c r="AO87" s="24">
        <v>0</v>
      </c>
      <c r="AP87" s="24">
        <v>559</v>
      </c>
      <c r="AQ87" s="24">
        <v>0</v>
      </c>
      <c r="AR87" s="24">
        <v>2</v>
      </c>
      <c r="AS87" s="24" t="s">
        <v>33</v>
      </c>
      <c r="AT87" s="24"/>
      <c r="AU87" s="24">
        <v>2022</v>
      </c>
      <c r="AV87" s="24">
        <v>39</v>
      </c>
      <c r="AW87" s="24">
        <v>0.06</v>
      </c>
      <c r="AX87" s="24">
        <v>15600</v>
      </c>
      <c r="AY87" s="24">
        <v>281091</v>
      </c>
      <c r="AZ87" s="24" t="s">
        <v>33</v>
      </c>
      <c r="BA87" s="24"/>
      <c r="BB87" s="24"/>
      <c r="BC87" s="24">
        <v>2022</v>
      </c>
      <c r="BD87" s="24">
        <v>39</v>
      </c>
      <c r="BE87" s="24">
        <v>2956.7532857142896</v>
      </c>
      <c r="BF87" s="24" t="s">
        <v>33</v>
      </c>
      <c r="BG87" s="24"/>
      <c r="BI87" s="24">
        <v>2022</v>
      </c>
      <c r="BJ87" s="24">
        <v>50</v>
      </c>
      <c r="BK87" s="24" t="s">
        <v>32</v>
      </c>
      <c r="BL87" s="24" t="s">
        <v>273</v>
      </c>
      <c r="BM87" s="24">
        <v>6703</v>
      </c>
      <c r="BN87" s="24">
        <v>6665</v>
      </c>
      <c r="BO87" s="24">
        <v>6790</v>
      </c>
      <c r="BR87" s="24">
        <v>2022</v>
      </c>
      <c r="BS87" s="24">
        <v>39</v>
      </c>
      <c r="BT87" s="24">
        <v>18347</v>
      </c>
      <c r="BU87" s="24">
        <v>2</v>
      </c>
      <c r="BV87" s="24" t="s">
        <v>32</v>
      </c>
      <c r="BY87" s="24">
        <v>2022</v>
      </c>
      <c r="BZ87" s="24">
        <v>48</v>
      </c>
      <c r="CA87" s="24" t="s">
        <v>33</v>
      </c>
      <c r="CB87" s="24" t="s">
        <v>423</v>
      </c>
      <c r="CC87" s="24">
        <v>1</v>
      </c>
      <c r="CF87" s="24">
        <v>2022</v>
      </c>
      <c r="CG87" s="24">
        <v>39</v>
      </c>
      <c r="CH87" s="24" t="s">
        <v>33</v>
      </c>
      <c r="CI87" s="24">
        <v>126.50128230420201</v>
      </c>
      <c r="CJ87" s="24">
        <v>256494</v>
      </c>
      <c r="CK87" s="24">
        <v>2027.6</v>
      </c>
      <c r="CL87" s="24">
        <v>114.18489827189921</v>
      </c>
      <c r="CM87" s="24">
        <v>133511</v>
      </c>
      <c r="CN87" s="24">
        <v>268266</v>
      </c>
      <c r="CO87" s="24">
        <v>2349.4</v>
      </c>
      <c r="CP87" s="24">
        <v>81633</v>
      </c>
      <c r="CQ87" s="24">
        <v>568.29999999999995</v>
      </c>
      <c r="CR87" s="24">
        <v>2524.3000000000002</v>
      </c>
      <c r="CS87" s="24">
        <v>134235</v>
      </c>
      <c r="CT87" s="24">
        <v>134235</v>
      </c>
      <c r="CU87" s="24">
        <v>1744.7</v>
      </c>
      <c r="CV87" s="24">
        <v>61379</v>
      </c>
      <c r="CW87" s="24">
        <v>0</v>
      </c>
      <c r="CX87" s="24">
        <v>132141</v>
      </c>
      <c r="CY87" s="24">
        <v>959</v>
      </c>
      <c r="CZ87" s="24">
        <v>62808</v>
      </c>
      <c r="DA87" s="24">
        <v>2524.3000000000002</v>
      </c>
      <c r="DD87" s="24">
        <v>2022</v>
      </c>
      <c r="DE87" s="24">
        <v>39</v>
      </c>
      <c r="DF87" s="24" t="s">
        <v>33</v>
      </c>
      <c r="DG87" s="24">
        <v>26087</v>
      </c>
      <c r="DH87" s="24">
        <v>21405</v>
      </c>
      <c r="DJ87" s="24">
        <v>2022</v>
      </c>
      <c r="DK87" s="24">
        <v>38</v>
      </c>
      <c r="DL87" s="24" t="s">
        <v>33</v>
      </c>
      <c r="DM87" s="24">
        <v>173</v>
      </c>
      <c r="DP87" s="24">
        <v>2022</v>
      </c>
      <c r="DQ87" s="24">
        <v>39</v>
      </c>
      <c r="DR87" s="24" t="s">
        <v>33</v>
      </c>
      <c r="DS87" s="24">
        <v>19199</v>
      </c>
      <c r="DT87" s="24"/>
      <c r="DW87" s="24">
        <v>2022</v>
      </c>
      <c r="DX87" s="24">
        <v>46</v>
      </c>
      <c r="DY87" s="24" t="s">
        <v>32</v>
      </c>
      <c r="DZ87" s="24">
        <v>3</v>
      </c>
      <c r="EA87" s="24" t="s">
        <v>149</v>
      </c>
      <c r="EB87" s="24">
        <v>0</v>
      </c>
      <c r="EC87" s="24">
        <v>75</v>
      </c>
      <c r="ED87" s="24">
        <v>1765</v>
      </c>
      <c r="EE87" s="24">
        <v>1558</v>
      </c>
      <c r="EF87" s="24">
        <v>1.6</v>
      </c>
      <c r="EI87" s="24">
        <v>2023</v>
      </c>
      <c r="EJ87" s="24">
        <v>8</v>
      </c>
      <c r="EK87" s="24" t="s">
        <v>33</v>
      </c>
      <c r="EL87" s="24" t="s">
        <v>247</v>
      </c>
      <c r="EM87" s="24" t="s">
        <v>215</v>
      </c>
      <c r="EN87" s="24">
        <v>1</v>
      </c>
      <c r="EO87" s="24"/>
      <c r="EP87" s="24"/>
      <c r="EQ87" s="24"/>
      <c r="ER87" s="24"/>
      <c r="ES87" s="24">
        <v>2022</v>
      </c>
      <c r="ET87" s="24">
        <v>37</v>
      </c>
      <c r="EU87" s="24" t="s">
        <v>33</v>
      </c>
      <c r="EV87" s="24">
        <v>155640</v>
      </c>
      <c r="EY87" s="24">
        <v>2022</v>
      </c>
      <c r="EZ87" s="24">
        <v>39</v>
      </c>
      <c r="FA87" s="24" t="s">
        <v>33</v>
      </c>
      <c r="FB87" s="24">
        <v>1865</v>
      </c>
      <c r="FE87" s="24">
        <v>2022</v>
      </c>
      <c r="FF87" s="24">
        <v>39</v>
      </c>
      <c r="FG87" s="24" t="s">
        <v>33</v>
      </c>
      <c r="FH87" s="24">
        <v>0.95530000000000004</v>
      </c>
      <c r="FI87" s="24">
        <v>15466</v>
      </c>
      <c r="FJ87" s="24">
        <v>6968</v>
      </c>
      <c r="FK87" s="24">
        <v>7348</v>
      </c>
      <c r="FN87" s="24">
        <v>2022</v>
      </c>
      <c r="FO87" s="24">
        <v>40</v>
      </c>
      <c r="FP87" s="24" t="s">
        <v>33</v>
      </c>
      <c r="FQ87" s="24">
        <v>922854</v>
      </c>
      <c r="FR87" s="24">
        <v>10882.6333333333</v>
      </c>
      <c r="FS87" s="24">
        <v>333919</v>
      </c>
      <c r="FT87" s="24">
        <v>3408.15</v>
      </c>
      <c r="FW87" s="24">
        <v>2022</v>
      </c>
      <c r="FX87" s="24">
        <v>39</v>
      </c>
      <c r="FY87" s="24" t="s">
        <v>33</v>
      </c>
      <c r="FZ87" s="24">
        <v>18322</v>
      </c>
      <c r="GA87" s="24">
        <v>16849</v>
      </c>
      <c r="GB87" s="24"/>
      <c r="GC87" s="24"/>
      <c r="GD87" s="24">
        <v>2022</v>
      </c>
      <c r="GE87" s="24">
        <v>39</v>
      </c>
      <c r="GF87" s="24" t="s">
        <v>33</v>
      </c>
      <c r="GG87" s="24">
        <v>18463</v>
      </c>
      <c r="GH87" s="24">
        <v>17326</v>
      </c>
      <c r="GK87" s="24"/>
      <c r="GL87" s="24"/>
      <c r="GM87" s="24"/>
      <c r="GN87" s="24"/>
      <c r="GO87" s="24"/>
      <c r="GP87" s="24">
        <v>2022</v>
      </c>
      <c r="GQ87" s="24">
        <v>39</v>
      </c>
      <c r="GR87" s="24">
        <v>35.732285714285702</v>
      </c>
      <c r="GS87" s="24" t="s">
        <v>33</v>
      </c>
      <c r="GX87">
        <v>2022</v>
      </c>
      <c r="GY87">
        <v>39</v>
      </c>
      <c r="GZ87" t="s">
        <v>33</v>
      </c>
      <c r="HA87">
        <v>277397</v>
      </c>
      <c r="HB87">
        <v>272658</v>
      </c>
      <c r="HC87">
        <v>536</v>
      </c>
      <c r="HD87">
        <v>135</v>
      </c>
      <c r="HE87">
        <v>3</v>
      </c>
      <c r="HF87">
        <v>615</v>
      </c>
      <c r="HG87">
        <v>0</v>
      </c>
      <c r="HH87">
        <v>13</v>
      </c>
      <c r="HI87">
        <v>1030</v>
      </c>
      <c r="HL87">
        <v>2022</v>
      </c>
      <c r="HM87">
        <v>39</v>
      </c>
      <c r="HN87" t="s">
        <v>33</v>
      </c>
      <c r="HO87">
        <v>274696</v>
      </c>
      <c r="HP87">
        <v>272531</v>
      </c>
      <c r="HQ87">
        <v>594</v>
      </c>
      <c r="HR87">
        <v>55</v>
      </c>
      <c r="HS87">
        <v>3</v>
      </c>
      <c r="HT87">
        <v>403</v>
      </c>
      <c r="HU87">
        <v>0</v>
      </c>
      <c r="HV87">
        <v>12</v>
      </c>
      <c r="HW87">
        <v>105</v>
      </c>
      <c r="HZ87" s="24">
        <v>2022</v>
      </c>
      <c r="IA87" s="24">
        <v>39</v>
      </c>
      <c r="IB87" s="24" t="s">
        <v>33</v>
      </c>
      <c r="IC87" s="24">
        <v>18387</v>
      </c>
      <c r="ID87" s="24">
        <v>17608</v>
      </c>
      <c r="IG87" s="24">
        <v>2022</v>
      </c>
      <c r="IH87" s="24">
        <v>39</v>
      </c>
      <c r="II87" s="24" t="s">
        <v>33</v>
      </c>
      <c r="IJ87" s="24">
        <v>17027</v>
      </c>
      <c r="IK87" s="24">
        <v>16859</v>
      </c>
    </row>
    <row r="88" spans="9:245" x14ac:dyDescent="0.4">
      <c r="I88" s="305">
        <v>2022</v>
      </c>
      <c r="J88" s="306">
        <v>39</v>
      </c>
      <c r="K88" s="306" t="s">
        <v>33</v>
      </c>
      <c r="L88" s="306">
        <v>277166</v>
      </c>
      <c r="M88" s="306">
        <v>269786</v>
      </c>
      <c r="N88" s="306">
        <v>642</v>
      </c>
      <c r="O88" s="306">
        <v>2768</v>
      </c>
      <c r="P88" s="306">
        <v>482</v>
      </c>
      <c r="Q88" s="306">
        <v>105</v>
      </c>
      <c r="R88" s="24"/>
      <c r="S88" s="24"/>
      <c r="T88" s="24"/>
      <c r="W88" s="24">
        <v>2022</v>
      </c>
      <c r="X88" s="24">
        <v>38</v>
      </c>
      <c r="Y88" s="24" t="s">
        <v>32</v>
      </c>
      <c r="Z88" s="24">
        <v>18064</v>
      </c>
      <c r="AA88" s="24">
        <v>16594</v>
      </c>
      <c r="AB88" s="24">
        <v>84</v>
      </c>
      <c r="AC88" s="24">
        <v>12</v>
      </c>
      <c r="AD88" s="24"/>
      <c r="AE88" s="24"/>
      <c r="AF88" s="24"/>
      <c r="AG88" s="24"/>
      <c r="AH88" s="24"/>
      <c r="AI88" s="24"/>
      <c r="AJ88" s="24"/>
      <c r="AK88" s="24">
        <v>2022</v>
      </c>
      <c r="AL88" s="24">
        <v>38</v>
      </c>
      <c r="AM88" s="24">
        <v>533.22</v>
      </c>
      <c r="AN88" s="24">
        <v>40.630000000000003</v>
      </c>
      <c r="AO88" s="24">
        <v>0</v>
      </c>
      <c r="AP88" s="24">
        <v>13</v>
      </c>
      <c r="AQ88" s="24">
        <v>0</v>
      </c>
      <c r="AR88" s="24">
        <v>0</v>
      </c>
      <c r="AS88" s="24" t="s">
        <v>32</v>
      </c>
      <c r="AT88" s="24"/>
      <c r="AU88" s="24">
        <v>2022</v>
      </c>
      <c r="AV88" s="24">
        <v>38</v>
      </c>
      <c r="AW88" s="24">
        <v>0.16</v>
      </c>
      <c r="AX88" s="24">
        <v>3100</v>
      </c>
      <c r="AY88" s="24">
        <v>19072</v>
      </c>
      <c r="AZ88" s="24" t="s">
        <v>32</v>
      </c>
      <c r="BA88" s="24"/>
      <c r="BB88" s="24"/>
      <c r="BC88" s="24">
        <v>2022</v>
      </c>
      <c r="BD88" s="24">
        <v>38</v>
      </c>
      <c r="BE88" s="24">
        <v>286.31</v>
      </c>
      <c r="BF88" s="24" t="s">
        <v>32</v>
      </c>
      <c r="BG88" s="24"/>
      <c r="BI88" s="24">
        <v>2022</v>
      </c>
      <c r="BJ88" s="24">
        <v>50</v>
      </c>
      <c r="BK88" s="24" t="s">
        <v>33</v>
      </c>
      <c r="BL88" s="24" t="s">
        <v>273</v>
      </c>
      <c r="BM88" s="24">
        <v>108044</v>
      </c>
      <c r="BN88" s="24">
        <v>107301</v>
      </c>
      <c r="BO88" s="24">
        <v>110283</v>
      </c>
      <c r="BR88" s="24">
        <v>2022</v>
      </c>
      <c r="BS88" s="24">
        <v>38</v>
      </c>
      <c r="BT88" s="24">
        <v>18881</v>
      </c>
      <c r="BU88" s="24">
        <v>4</v>
      </c>
      <c r="BV88" s="24" t="s">
        <v>32</v>
      </c>
      <c r="BY88" s="24">
        <v>2022</v>
      </c>
      <c r="BZ88" s="24">
        <v>47</v>
      </c>
      <c r="CA88" s="24" t="s">
        <v>32</v>
      </c>
      <c r="CB88" s="24" t="s">
        <v>423</v>
      </c>
      <c r="CC88" s="24">
        <v>1</v>
      </c>
      <c r="CF88" s="24">
        <v>2022</v>
      </c>
      <c r="CG88" s="24">
        <v>38</v>
      </c>
      <c r="CH88" s="24" t="s">
        <v>32</v>
      </c>
      <c r="CI88" s="24">
        <v>47.916233991000347</v>
      </c>
      <c r="CJ88" s="24">
        <v>13843</v>
      </c>
      <c r="CK88" s="24">
        <v>288.89999999999998</v>
      </c>
      <c r="CL88" s="24">
        <v>66.626819126819129</v>
      </c>
      <c r="CM88" s="24">
        <v>12280</v>
      </c>
      <c r="CN88" s="24">
        <v>25638</v>
      </c>
      <c r="CO88" s="24">
        <v>384.8</v>
      </c>
      <c r="CP88" s="24">
        <v>9967</v>
      </c>
      <c r="CQ88" s="24">
        <v>63.9</v>
      </c>
      <c r="CR88" s="24">
        <v>291.3</v>
      </c>
      <c r="CS88" s="24">
        <v>9117</v>
      </c>
      <c r="CT88" s="24">
        <v>9117</v>
      </c>
      <c r="CU88" s="24">
        <v>264.60000000000002</v>
      </c>
      <c r="CV88" s="24">
        <v>4162</v>
      </c>
      <c r="CW88" s="24">
        <v>0</v>
      </c>
      <c r="CX88" s="24">
        <v>7053</v>
      </c>
      <c r="CY88" s="24">
        <v>98.8</v>
      </c>
      <c r="CZ88" s="24">
        <v>7975</v>
      </c>
      <c r="DA88" s="24">
        <v>291.3</v>
      </c>
      <c r="DD88" s="24">
        <v>2022</v>
      </c>
      <c r="DE88" s="24">
        <v>38</v>
      </c>
      <c r="DF88" s="24" t="s">
        <v>32</v>
      </c>
      <c r="DG88" s="24">
        <v>1680</v>
      </c>
      <c r="DH88" s="24">
        <v>1829</v>
      </c>
      <c r="DJ88" s="24">
        <v>2022</v>
      </c>
      <c r="DK88" s="24">
        <v>37</v>
      </c>
      <c r="DL88" s="24" t="s">
        <v>32</v>
      </c>
      <c r="DM88" s="24">
        <v>26</v>
      </c>
      <c r="DP88" s="24">
        <v>2022</v>
      </c>
      <c r="DQ88" s="24">
        <v>38</v>
      </c>
      <c r="DR88" s="24" t="s">
        <v>32</v>
      </c>
      <c r="DS88" s="24">
        <v>306</v>
      </c>
      <c r="DT88" s="24"/>
      <c r="DW88" s="24">
        <v>2022</v>
      </c>
      <c r="DX88" s="24">
        <v>46</v>
      </c>
      <c r="DY88" s="24" t="s">
        <v>33</v>
      </c>
      <c r="DZ88" s="24">
        <v>15</v>
      </c>
      <c r="EA88" s="24" t="s">
        <v>562</v>
      </c>
      <c r="EB88" s="24">
        <v>427</v>
      </c>
      <c r="EC88" s="24">
        <v>0</v>
      </c>
      <c r="ED88" s="24">
        <v>6</v>
      </c>
      <c r="EE88" s="24">
        <v>14571</v>
      </c>
      <c r="EF88" s="24">
        <v>4.4000000000000004</v>
      </c>
      <c r="EI88" s="24">
        <v>2023</v>
      </c>
      <c r="EJ88" s="24">
        <v>8</v>
      </c>
      <c r="EK88" s="24" t="s">
        <v>237</v>
      </c>
      <c r="EL88" s="24" t="s">
        <v>239</v>
      </c>
      <c r="EM88" s="24" t="s">
        <v>210</v>
      </c>
      <c r="EN88" s="24">
        <v>1</v>
      </c>
      <c r="EO88" s="24"/>
      <c r="EP88" s="24"/>
      <c r="EQ88" s="24"/>
      <c r="ER88" s="24"/>
      <c r="ES88" s="24">
        <v>2022</v>
      </c>
      <c r="ET88" s="24">
        <v>36</v>
      </c>
      <c r="EU88" s="24" t="s">
        <v>32</v>
      </c>
      <c r="EV88" s="24">
        <v>6702</v>
      </c>
      <c r="EY88" s="24">
        <v>2022</v>
      </c>
      <c r="EZ88" s="24">
        <v>38</v>
      </c>
      <c r="FA88" s="24" t="s">
        <v>32</v>
      </c>
      <c r="FB88" s="24">
        <v>526</v>
      </c>
      <c r="FE88" s="24">
        <v>2022</v>
      </c>
      <c r="FF88" s="24">
        <v>38</v>
      </c>
      <c r="FG88" s="24" t="s">
        <v>32</v>
      </c>
      <c r="FH88" s="24">
        <v>0.8417</v>
      </c>
      <c r="FI88" s="24">
        <v>515</v>
      </c>
      <c r="FJ88" s="24">
        <v>237</v>
      </c>
      <c r="FK88" s="24">
        <v>281</v>
      </c>
      <c r="FN88" s="24">
        <v>2022</v>
      </c>
      <c r="FO88" s="24">
        <v>39</v>
      </c>
      <c r="FP88" s="24" t="s">
        <v>32</v>
      </c>
      <c r="FQ88" s="24">
        <v>45971</v>
      </c>
      <c r="FR88" s="24">
        <v>1142.5</v>
      </c>
      <c r="FS88" s="24">
        <v>29054</v>
      </c>
      <c r="FT88" s="24">
        <v>460.40000000000003</v>
      </c>
      <c r="FW88" s="24">
        <v>2022</v>
      </c>
      <c r="FX88" s="24">
        <v>38</v>
      </c>
      <c r="FY88" s="24" t="s">
        <v>32</v>
      </c>
      <c r="FZ88" s="24">
        <v>2597</v>
      </c>
      <c r="GA88" s="24">
        <v>1916</v>
      </c>
      <c r="GB88" s="24"/>
      <c r="GC88" s="24"/>
      <c r="GD88" s="24">
        <v>2022</v>
      </c>
      <c r="GE88" s="24">
        <v>38</v>
      </c>
      <c r="GF88" s="24" t="s">
        <v>32</v>
      </c>
      <c r="GG88" s="24">
        <v>2627</v>
      </c>
      <c r="GH88" s="24">
        <v>1900</v>
      </c>
      <c r="GK88" s="24"/>
      <c r="GL88" s="24"/>
      <c r="GM88" s="24"/>
      <c r="GN88" s="24"/>
      <c r="GO88" s="24"/>
      <c r="GP88" s="24">
        <v>2022</v>
      </c>
      <c r="GQ88" s="24">
        <v>38</v>
      </c>
      <c r="GR88" s="24">
        <v>2.871</v>
      </c>
      <c r="GS88" s="24" t="s">
        <v>32</v>
      </c>
      <c r="GX88">
        <v>2022</v>
      </c>
      <c r="GY88">
        <v>38</v>
      </c>
      <c r="GZ88" t="s">
        <v>32</v>
      </c>
      <c r="HA88">
        <v>18597</v>
      </c>
      <c r="HB88">
        <v>16995</v>
      </c>
      <c r="HC88">
        <v>15</v>
      </c>
      <c r="HD88">
        <v>8</v>
      </c>
      <c r="HE88">
        <v>2</v>
      </c>
      <c r="HF88">
        <v>440</v>
      </c>
      <c r="HG88">
        <v>0</v>
      </c>
      <c r="HH88">
        <v>0</v>
      </c>
      <c r="HI88">
        <v>181</v>
      </c>
      <c r="HL88">
        <v>2022</v>
      </c>
      <c r="HM88">
        <v>38</v>
      </c>
      <c r="HN88" t="s">
        <v>32</v>
      </c>
      <c r="HO88">
        <v>18012</v>
      </c>
      <c r="HP88">
        <v>17197</v>
      </c>
      <c r="HQ88">
        <v>47</v>
      </c>
      <c r="HR88">
        <v>3</v>
      </c>
      <c r="HS88">
        <v>0</v>
      </c>
      <c r="HT88">
        <v>607</v>
      </c>
      <c r="HU88">
        <v>0</v>
      </c>
      <c r="HV88">
        <v>0</v>
      </c>
      <c r="HW88">
        <v>29</v>
      </c>
      <c r="HZ88" s="24">
        <v>2022</v>
      </c>
      <c r="IA88" s="24">
        <v>38</v>
      </c>
      <c r="IB88" s="24" t="s">
        <v>32</v>
      </c>
      <c r="IC88" s="24">
        <v>2677</v>
      </c>
      <c r="ID88" s="24">
        <v>2136</v>
      </c>
      <c r="IG88" s="24">
        <v>2022</v>
      </c>
      <c r="IH88" s="24">
        <v>38</v>
      </c>
      <c r="II88" s="24" t="s">
        <v>32</v>
      </c>
      <c r="IJ88" s="24">
        <v>2545</v>
      </c>
      <c r="IK88" s="24">
        <v>2173</v>
      </c>
    </row>
    <row r="89" spans="9:245" x14ac:dyDescent="0.4">
      <c r="I89" s="305">
        <v>2022</v>
      </c>
      <c r="J89" s="306">
        <v>38</v>
      </c>
      <c r="K89" s="306" t="s">
        <v>32</v>
      </c>
      <c r="L89" s="306">
        <v>18086</v>
      </c>
      <c r="M89" s="306">
        <v>16147</v>
      </c>
      <c r="N89" s="306">
        <v>82</v>
      </c>
      <c r="O89" s="306">
        <v>1014</v>
      </c>
      <c r="P89" s="306">
        <v>140</v>
      </c>
      <c r="Q89" s="306">
        <v>18</v>
      </c>
      <c r="R89" s="24"/>
      <c r="S89" s="24"/>
      <c r="T89" s="24"/>
      <c r="W89" s="24">
        <v>2022</v>
      </c>
      <c r="X89" s="24">
        <v>38</v>
      </c>
      <c r="Y89" s="24" t="s">
        <v>33</v>
      </c>
      <c r="Z89" s="24">
        <v>368696</v>
      </c>
      <c r="AA89" s="24">
        <v>334156</v>
      </c>
      <c r="AB89" s="24">
        <v>905</v>
      </c>
      <c r="AC89" s="24">
        <v>353</v>
      </c>
      <c r="AD89" s="24"/>
      <c r="AE89" s="24"/>
      <c r="AF89" s="24"/>
      <c r="AG89" s="24"/>
      <c r="AH89" s="24"/>
      <c r="AI89" s="24"/>
      <c r="AJ89" s="24"/>
      <c r="AK89" s="24">
        <v>2022</v>
      </c>
      <c r="AL89" s="24">
        <v>38</v>
      </c>
      <c r="AM89" s="24">
        <v>22918.800000000003</v>
      </c>
      <c r="AN89" s="24">
        <v>2197.9299999999998</v>
      </c>
      <c r="AO89" s="24">
        <v>0</v>
      </c>
      <c r="AP89" s="24">
        <v>549</v>
      </c>
      <c r="AQ89" s="24">
        <v>0</v>
      </c>
      <c r="AR89" s="24">
        <v>6</v>
      </c>
      <c r="AS89" s="24" t="s">
        <v>33</v>
      </c>
      <c r="AT89" s="24"/>
      <c r="AU89" s="24">
        <v>2022</v>
      </c>
      <c r="AV89" s="24">
        <v>38</v>
      </c>
      <c r="AW89" s="24">
        <v>0.06</v>
      </c>
      <c r="AX89" s="24">
        <v>21200</v>
      </c>
      <c r="AY89" s="24">
        <v>370136</v>
      </c>
      <c r="AZ89" s="24" t="s">
        <v>33</v>
      </c>
      <c r="BA89" s="24"/>
      <c r="BB89" s="24"/>
      <c r="BC89" s="24">
        <v>2022</v>
      </c>
      <c r="BD89" s="24">
        <v>38</v>
      </c>
      <c r="BE89" s="24">
        <v>2998.4812857142897</v>
      </c>
      <c r="BF89" s="24" t="s">
        <v>33</v>
      </c>
      <c r="BG89" s="24"/>
      <c r="BI89" s="24">
        <v>2022</v>
      </c>
      <c r="BJ89" s="24">
        <v>50</v>
      </c>
      <c r="BK89" s="24" t="s">
        <v>33</v>
      </c>
      <c r="BL89" s="24" t="s">
        <v>272</v>
      </c>
      <c r="BM89" s="24">
        <v>55859</v>
      </c>
      <c r="BN89" s="24">
        <v>55766</v>
      </c>
      <c r="BO89" s="24">
        <v>198465</v>
      </c>
      <c r="BR89" s="24">
        <v>2022</v>
      </c>
      <c r="BS89" s="24">
        <v>38</v>
      </c>
      <c r="BT89" s="24">
        <v>368463</v>
      </c>
      <c r="BU89" s="24">
        <v>30</v>
      </c>
      <c r="BV89" s="24" t="s">
        <v>33</v>
      </c>
      <c r="BY89" s="24">
        <v>2022</v>
      </c>
      <c r="BZ89" s="24">
        <v>47</v>
      </c>
      <c r="CA89" s="24" t="s">
        <v>33</v>
      </c>
      <c r="CB89" s="24" t="s">
        <v>423</v>
      </c>
      <c r="CC89" s="24">
        <v>1</v>
      </c>
      <c r="CF89" s="24">
        <v>2022</v>
      </c>
      <c r="CG89" s="24">
        <v>38</v>
      </c>
      <c r="CH89" s="24" t="s">
        <v>33</v>
      </c>
      <c r="CI89" s="24">
        <v>130.61543317026985</v>
      </c>
      <c r="CJ89" s="24">
        <v>331084</v>
      </c>
      <c r="CK89" s="24">
        <v>2534.8000000000002</v>
      </c>
      <c r="CL89" s="24">
        <v>115.22278835960742</v>
      </c>
      <c r="CM89" s="24">
        <v>163059</v>
      </c>
      <c r="CN89" s="24">
        <v>336946</v>
      </c>
      <c r="CO89" s="24">
        <v>2924.3</v>
      </c>
      <c r="CP89" s="24">
        <v>75248</v>
      </c>
      <c r="CQ89" s="24">
        <v>611.4</v>
      </c>
      <c r="CR89" s="24">
        <v>2381.9</v>
      </c>
      <c r="CS89" s="24">
        <v>126265</v>
      </c>
      <c r="CT89" s="24">
        <v>126265</v>
      </c>
      <c r="CU89" s="24">
        <v>1670.1</v>
      </c>
      <c r="CV89" s="24">
        <v>58990</v>
      </c>
      <c r="CW89" s="24">
        <v>0</v>
      </c>
      <c r="CX89" s="24">
        <v>130805</v>
      </c>
      <c r="CY89" s="24">
        <v>952.3</v>
      </c>
      <c r="CZ89" s="24">
        <v>57299</v>
      </c>
      <c r="DA89" s="24">
        <v>2381.9</v>
      </c>
      <c r="DD89" s="24">
        <v>2022</v>
      </c>
      <c r="DE89" s="24">
        <v>38</v>
      </c>
      <c r="DF89" s="24" t="s">
        <v>33</v>
      </c>
      <c r="DG89" s="24">
        <v>14035</v>
      </c>
      <c r="DH89" s="24">
        <v>20244</v>
      </c>
      <c r="DJ89" s="24">
        <v>2022</v>
      </c>
      <c r="DK89" s="24">
        <v>37</v>
      </c>
      <c r="DL89" s="24" t="s">
        <v>33</v>
      </c>
      <c r="DM89" s="24">
        <v>135</v>
      </c>
      <c r="DP89" s="24">
        <v>2022</v>
      </c>
      <c r="DQ89" s="24">
        <v>38</v>
      </c>
      <c r="DR89" s="24" t="s">
        <v>33</v>
      </c>
      <c r="DS89" s="24">
        <v>14224</v>
      </c>
      <c r="DT89" s="24"/>
      <c r="DW89" s="24">
        <v>2022</v>
      </c>
      <c r="DX89" s="24">
        <v>46</v>
      </c>
      <c r="DY89" s="24" t="s">
        <v>33</v>
      </c>
      <c r="DZ89" s="24">
        <v>101</v>
      </c>
      <c r="EA89" s="24" t="s">
        <v>149</v>
      </c>
      <c r="EB89" s="24">
        <v>16.3</v>
      </c>
      <c r="EC89" s="24">
        <v>2382.1999999999998</v>
      </c>
      <c r="ED89" s="24">
        <v>59557</v>
      </c>
      <c r="EE89" s="24">
        <v>59145</v>
      </c>
      <c r="EF89" s="24">
        <v>80.8</v>
      </c>
      <c r="EI89" s="24">
        <v>2023</v>
      </c>
      <c r="EJ89" s="24">
        <v>8</v>
      </c>
      <c r="EK89" s="24" t="s">
        <v>237</v>
      </c>
      <c r="EL89" s="24" t="s">
        <v>557</v>
      </c>
      <c r="EM89" s="24" t="s">
        <v>210</v>
      </c>
      <c r="EN89" s="24">
        <v>14</v>
      </c>
      <c r="EO89" s="24"/>
      <c r="EP89" s="24"/>
      <c r="EQ89" s="24"/>
      <c r="ER89" s="24"/>
      <c r="ES89" s="24">
        <v>2022</v>
      </c>
      <c r="ET89" s="24">
        <v>36</v>
      </c>
      <c r="EU89" s="24" t="s">
        <v>33</v>
      </c>
      <c r="EV89" s="24">
        <v>122460</v>
      </c>
      <c r="EY89" s="24">
        <v>2022</v>
      </c>
      <c r="EZ89" s="24">
        <v>38</v>
      </c>
      <c r="FA89" s="24" t="s">
        <v>33</v>
      </c>
      <c r="FB89" s="24">
        <v>1594</v>
      </c>
      <c r="FE89" s="24">
        <v>2022</v>
      </c>
      <c r="FF89" s="24">
        <v>38</v>
      </c>
      <c r="FG89" s="24" t="s">
        <v>33</v>
      </c>
      <c r="FH89" s="24">
        <v>0.86930000000000007</v>
      </c>
      <c r="FI89" s="24">
        <v>19877</v>
      </c>
      <c r="FJ89" s="24">
        <v>8949</v>
      </c>
      <c r="FK89" s="24">
        <v>10377</v>
      </c>
      <c r="FN89" s="24">
        <v>2022</v>
      </c>
      <c r="FO89" s="24">
        <v>39</v>
      </c>
      <c r="FP89" s="24" t="s">
        <v>33</v>
      </c>
      <c r="FQ89" s="24">
        <v>921937</v>
      </c>
      <c r="FR89" s="24">
        <v>10056.8833333333</v>
      </c>
      <c r="FS89" s="24">
        <v>344835</v>
      </c>
      <c r="FT89" s="24">
        <v>3447.11666666667</v>
      </c>
      <c r="FW89" s="24">
        <v>2022</v>
      </c>
      <c r="FX89" s="24">
        <v>38</v>
      </c>
      <c r="FY89" s="24" t="s">
        <v>33</v>
      </c>
      <c r="FZ89" s="24">
        <v>22812</v>
      </c>
      <c r="GA89" s="24">
        <v>18848</v>
      </c>
      <c r="GB89" s="24"/>
      <c r="GC89" s="24"/>
      <c r="GD89" s="24">
        <v>2022</v>
      </c>
      <c r="GE89" s="24">
        <v>38</v>
      </c>
      <c r="GF89" s="24" t="s">
        <v>33</v>
      </c>
      <c r="GG89" s="24">
        <v>22841</v>
      </c>
      <c r="GH89" s="24">
        <v>19275</v>
      </c>
      <c r="GK89" s="24"/>
      <c r="GL89" s="24"/>
      <c r="GM89" s="24"/>
      <c r="GN89" s="24"/>
      <c r="GO89" s="24"/>
      <c r="GP89" s="24">
        <v>2022</v>
      </c>
      <c r="GQ89" s="24">
        <v>38</v>
      </c>
      <c r="GR89" s="24">
        <v>33.632428571428598</v>
      </c>
      <c r="GS89" s="24" t="s">
        <v>33</v>
      </c>
      <c r="GX89">
        <v>2022</v>
      </c>
      <c r="GY89">
        <v>38</v>
      </c>
      <c r="GZ89" t="s">
        <v>33</v>
      </c>
      <c r="HA89">
        <v>367130</v>
      </c>
      <c r="HB89">
        <v>330575</v>
      </c>
      <c r="HC89">
        <v>1598</v>
      </c>
      <c r="HD89">
        <v>676</v>
      </c>
      <c r="HE89">
        <v>46</v>
      </c>
      <c r="HF89">
        <v>18519</v>
      </c>
      <c r="HG89">
        <v>0</v>
      </c>
      <c r="HH89">
        <v>14</v>
      </c>
      <c r="HI89">
        <v>2882</v>
      </c>
      <c r="HL89">
        <v>2022</v>
      </c>
      <c r="HM89">
        <v>38</v>
      </c>
      <c r="HN89" t="s">
        <v>33</v>
      </c>
      <c r="HO89">
        <v>368135</v>
      </c>
      <c r="HP89">
        <v>339597</v>
      </c>
      <c r="HQ89">
        <v>1648</v>
      </c>
      <c r="HR89">
        <v>543</v>
      </c>
      <c r="HS89">
        <v>39</v>
      </c>
      <c r="HT89">
        <v>17976</v>
      </c>
      <c r="HU89">
        <v>0</v>
      </c>
      <c r="HV89">
        <v>11</v>
      </c>
      <c r="HW89">
        <v>1004</v>
      </c>
      <c r="HZ89" s="24">
        <v>2022</v>
      </c>
      <c r="IA89" s="24">
        <v>38</v>
      </c>
      <c r="IB89" s="24" t="s">
        <v>33</v>
      </c>
      <c r="IC89" s="24">
        <v>22339</v>
      </c>
      <c r="ID89" s="24">
        <v>19085</v>
      </c>
      <c r="IG89" s="24">
        <v>2022</v>
      </c>
      <c r="IH89" s="24">
        <v>38</v>
      </c>
      <c r="II89" s="24" t="s">
        <v>33</v>
      </c>
      <c r="IJ89" s="24">
        <v>21047</v>
      </c>
      <c r="IK89" s="24">
        <v>19407</v>
      </c>
    </row>
    <row r="90" spans="9:245" x14ac:dyDescent="0.4">
      <c r="I90" s="305">
        <v>2022</v>
      </c>
      <c r="J90" s="306">
        <v>38</v>
      </c>
      <c r="K90" s="306" t="s">
        <v>33</v>
      </c>
      <c r="L90" s="306">
        <v>371691</v>
      </c>
      <c r="M90" s="306">
        <v>334660</v>
      </c>
      <c r="N90" s="306">
        <v>1803</v>
      </c>
      <c r="O90" s="306">
        <v>9728</v>
      </c>
      <c r="P90" s="306">
        <v>1250</v>
      </c>
      <c r="Q90" s="306">
        <v>355</v>
      </c>
      <c r="R90" s="24"/>
      <c r="S90" s="24"/>
      <c r="T90" s="24"/>
      <c r="W90" s="24">
        <v>2022</v>
      </c>
      <c r="X90" s="24">
        <v>37</v>
      </c>
      <c r="Y90" s="24" t="s">
        <v>32</v>
      </c>
      <c r="Z90" s="24">
        <v>20256</v>
      </c>
      <c r="AA90" s="24">
        <v>17103</v>
      </c>
      <c r="AB90" s="24">
        <v>116</v>
      </c>
      <c r="AC90" s="24">
        <v>4</v>
      </c>
      <c r="AD90" s="24"/>
      <c r="AE90" s="24"/>
      <c r="AF90" s="24"/>
      <c r="AG90" s="24"/>
      <c r="AH90" s="24"/>
      <c r="AI90" s="24"/>
      <c r="AJ90" s="24"/>
      <c r="AK90" s="24">
        <v>2022</v>
      </c>
      <c r="AL90" s="24">
        <v>37</v>
      </c>
      <c r="AM90" s="24">
        <v>601.80000000000007</v>
      </c>
      <c r="AN90" s="24">
        <v>47.03</v>
      </c>
      <c r="AO90" s="24">
        <v>0</v>
      </c>
      <c r="AP90" s="24">
        <v>14</v>
      </c>
      <c r="AQ90" s="24">
        <v>0</v>
      </c>
      <c r="AR90" s="24">
        <v>0</v>
      </c>
      <c r="AS90" s="24" t="s">
        <v>32</v>
      </c>
      <c r="AT90" s="24"/>
      <c r="AU90" s="24">
        <v>2022</v>
      </c>
      <c r="AV90" s="24">
        <v>37</v>
      </c>
      <c r="AW90" s="24">
        <v>0.16</v>
      </c>
      <c r="AX90" s="24">
        <v>3500</v>
      </c>
      <c r="AY90" s="24">
        <v>21376</v>
      </c>
      <c r="AZ90" s="24" t="s">
        <v>32</v>
      </c>
      <c r="BA90" s="24"/>
      <c r="BB90" s="24"/>
      <c r="BC90" s="24">
        <v>2022</v>
      </c>
      <c r="BD90" s="24">
        <v>37</v>
      </c>
      <c r="BE90" s="24">
        <v>289.47985714285699</v>
      </c>
      <c r="BF90" s="24" t="s">
        <v>32</v>
      </c>
      <c r="BG90" s="24"/>
      <c r="BI90" s="24">
        <v>2022</v>
      </c>
      <c r="BJ90" s="24">
        <v>49</v>
      </c>
      <c r="BK90" s="24" t="s">
        <v>32</v>
      </c>
      <c r="BL90" s="24" t="s">
        <v>272</v>
      </c>
      <c r="BM90" s="24">
        <v>2711</v>
      </c>
      <c r="BN90" s="24">
        <v>2695</v>
      </c>
      <c r="BO90" s="24">
        <v>9132</v>
      </c>
      <c r="BR90" s="24">
        <v>2022</v>
      </c>
      <c r="BS90" s="24">
        <v>37</v>
      </c>
      <c r="BT90" s="24">
        <v>20771</v>
      </c>
      <c r="BU90" s="24">
        <v>6</v>
      </c>
      <c r="BV90" s="24" t="s">
        <v>32</v>
      </c>
      <c r="BY90" s="24">
        <v>2022</v>
      </c>
      <c r="BZ90" s="24">
        <v>46</v>
      </c>
      <c r="CA90" s="24" t="s">
        <v>32</v>
      </c>
      <c r="CB90" s="24" t="s">
        <v>108</v>
      </c>
      <c r="CC90" s="24">
        <v>1</v>
      </c>
      <c r="CF90" s="24">
        <v>2022</v>
      </c>
      <c r="CG90" s="24">
        <v>37</v>
      </c>
      <c r="CH90" s="24" t="s">
        <v>32</v>
      </c>
      <c r="CI90" s="24">
        <v>49.532351057014736</v>
      </c>
      <c r="CJ90" s="24">
        <v>15464</v>
      </c>
      <c r="CK90" s="24">
        <v>312.2</v>
      </c>
      <c r="CL90" s="24">
        <v>52.683043167183399</v>
      </c>
      <c r="CM90" s="24">
        <v>13031</v>
      </c>
      <c r="CN90" s="24">
        <v>22090</v>
      </c>
      <c r="CO90" s="24">
        <v>419.3</v>
      </c>
      <c r="CP90" s="24">
        <v>8314</v>
      </c>
      <c r="CQ90" s="24">
        <v>39.4</v>
      </c>
      <c r="CR90" s="24">
        <v>307.3</v>
      </c>
      <c r="CS90" s="24">
        <v>11669</v>
      </c>
      <c r="CT90" s="24">
        <v>11669</v>
      </c>
      <c r="CU90" s="24">
        <v>278.3</v>
      </c>
      <c r="CV90" s="24">
        <v>3129</v>
      </c>
      <c r="CW90" s="24">
        <v>0</v>
      </c>
      <c r="CX90" s="24">
        <v>9940</v>
      </c>
      <c r="CY90" s="24">
        <v>92.4</v>
      </c>
      <c r="CZ90" s="24">
        <v>6989</v>
      </c>
      <c r="DA90" s="24">
        <v>307.3</v>
      </c>
      <c r="DD90" s="24">
        <v>2022</v>
      </c>
      <c r="DE90" s="24">
        <v>37</v>
      </c>
      <c r="DF90" s="24" t="s">
        <v>32</v>
      </c>
      <c r="DG90" s="24">
        <v>1024</v>
      </c>
      <c r="DH90" s="24">
        <v>2339</v>
      </c>
      <c r="DJ90" s="24">
        <v>2022</v>
      </c>
      <c r="DK90" s="24">
        <v>36</v>
      </c>
      <c r="DL90" s="24" t="s">
        <v>32</v>
      </c>
      <c r="DM90" s="24">
        <v>35</v>
      </c>
      <c r="DP90" s="24">
        <v>2022</v>
      </c>
      <c r="DQ90" s="24">
        <v>37</v>
      </c>
      <c r="DR90" s="24" t="s">
        <v>32</v>
      </c>
      <c r="DS90" s="24">
        <v>83</v>
      </c>
      <c r="DT90" s="24"/>
      <c r="DW90" s="24">
        <v>2022</v>
      </c>
      <c r="DX90" s="24">
        <v>45</v>
      </c>
      <c r="DY90" s="24" t="s">
        <v>32</v>
      </c>
      <c r="DZ90" s="24">
        <v>3</v>
      </c>
      <c r="EA90" s="24" t="s">
        <v>149</v>
      </c>
      <c r="EB90" s="24">
        <v>0</v>
      </c>
      <c r="EC90" s="24">
        <v>78.099999999999994</v>
      </c>
      <c r="ED90" s="24">
        <v>1709</v>
      </c>
      <c r="EE90" s="24">
        <v>1525</v>
      </c>
      <c r="EF90" s="24">
        <v>2</v>
      </c>
      <c r="EI90" s="24">
        <v>2023</v>
      </c>
      <c r="EJ90" s="24">
        <v>8</v>
      </c>
      <c r="EK90" s="24" t="s">
        <v>237</v>
      </c>
      <c r="EL90" s="24" t="s">
        <v>557</v>
      </c>
      <c r="EM90" s="24" t="s">
        <v>215</v>
      </c>
      <c r="EN90" s="24">
        <v>3</v>
      </c>
      <c r="EO90" s="24"/>
      <c r="EP90" s="24"/>
      <c r="EQ90" s="24"/>
      <c r="ER90" s="24"/>
      <c r="ES90" s="24">
        <v>2022</v>
      </c>
      <c r="ET90" s="24">
        <v>36</v>
      </c>
      <c r="EU90" s="24" t="s">
        <v>213</v>
      </c>
      <c r="EV90" s="24">
        <v>1</v>
      </c>
      <c r="EY90" s="24">
        <v>2022</v>
      </c>
      <c r="EZ90" s="24">
        <v>38</v>
      </c>
      <c r="FA90" s="24" t="s">
        <v>213</v>
      </c>
      <c r="FB90" s="24">
        <v>6</v>
      </c>
      <c r="FE90" s="24">
        <v>2022</v>
      </c>
      <c r="FF90" s="24">
        <v>37</v>
      </c>
      <c r="FG90" s="24" t="s">
        <v>32</v>
      </c>
      <c r="FH90" s="24">
        <v>0.73820000000000008</v>
      </c>
      <c r="FI90" s="24">
        <v>441</v>
      </c>
      <c r="FJ90" s="24">
        <v>208</v>
      </c>
      <c r="FK90" s="24">
        <v>269</v>
      </c>
      <c r="FN90" s="24">
        <v>2022</v>
      </c>
      <c r="FO90" s="24">
        <v>38</v>
      </c>
      <c r="FP90" s="24" t="s">
        <v>32</v>
      </c>
      <c r="FQ90" s="24">
        <v>46855</v>
      </c>
      <c r="FR90" s="24">
        <v>1035.81666666667</v>
      </c>
      <c r="FS90" s="24">
        <v>25669</v>
      </c>
      <c r="FT90" s="24">
        <v>402.55</v>
      </c>
      <c r="FW90" s="24">
        <v>2022</v>
      </c>
      <c r="FX90" s="24">
        <v>37</v>
      </c>
      <c r="FY90" s="24" t="s">
        <v>32</v>
      </c>
      <c r="FZ90" s="24">
        <v>2403</v>
      </c>
      <c r="GA90" s="24">
        <v>1712</v>
      </c>
      <c r="GB90" s="24"/>
      <c r="GC90" s="24"/>
      <c r="GD90" s="24">
        <v>2022</v>
      </c>
      <c r="GE90" s="24">
        <v>37</v>
      </c>
      <c r="GF90" s="24" t="s">
        <v>32</v>
      </c>
      <c r="GG90" s="24">
        <v>2358</v>
      </c>
      <c r="GH90" s="24">
        <v>1657</v>
      </c>
      <c r="GK90" s="24"/>
      <c r="GL90" s="24"/>
      <c r="GM90" s="24"/>
      <c r="GN90" s="24"/>
      <c r="GO90" s="24"/>
      <c r="GP90" s="24">
        <v>2022</v>
      </c>
      <c r="GQ90" s="24">
        <v>37</v>
      </c>
      <c r="GR90" s="24">
        <v>2.871</v>
      </c>
      <c r="GS90" s="24" t="s">
        <v>32</v>
      </c>
      <c r="GX90">
        <v>2022</v>
      </c>
      <c r="GY90">
        <v>37</v>
      </c>
      <c r="GZ90" t="s">
        <v>32</v>
      </c>
      <c r="HA90">
        <v>20473</v>
      </c>
      <c r="HB90">
        <v>17356</v>
      </c>
      <c r="HC90">
        <v>14</v>
      </c>
      <c r="HD90">
        <v>17</v>
      </c>
      <c r="HE90">
        <v>3</v>
      </c>
      <c r="HF90">
        <v>1692</v>
      </c>
      <c r="HG90">
        <v>0</v>
      </c>
      <c r="HH90">
        <v>0</v>
      </c>
      <c r="HI90">
        <v>131</v>
      </c>
      <c r="HL90">
        <v>2022</v>
      </c>
      <c r="HM90">
        <v>37</v>
      </c>
      <c r="HN90" t="s">
        <v>32</v>
      </c>
      <c r="HO90">
        <v>20216</v>
      </c>
      <c r="HP90">
        <v>17999</v>
      </c>
      <c r="HQ90">
        <v>21</v>
      </c>
      <c r="HR90">
        <v>12</v>
      </c>
      <c r="HS90">
        <v>2</v>
      </c>
      <c r="HT90">
        <v>1898</v>
      </c>
      <c r="HU90">
        <v>0</v>
      </c>
      <c r="HV90">
        <v>0</v>
      </c>
      <c r="HW90">
        <v>31</v>
      </c>
      <c r="HZ90" s="24">
        <v>2022</v>
      </c>
      <c r="IA90" s="24">
        <v>37</v>
      </c>
      <c r="IB90" s="24" t="s">
        <v>32</v>
      </c>
      <c r="IC90" s="24">
        <v>2347</v>
      </c>
      <c r="ID90" s="24">
        <v>1788</v>
      </c>
      <c r="IG90" s="24">
        <v>2022</v>
      </c>
      <c r="IH90" s="24">
        <v>37</v>
      </c>
      <c r="II90" s="24" t="s">
        <v>32</v>
      </c>
      <c r="IJ90" s="24">
        <v>2319</v>
      </c>
      <c r="IK90" s="24">
        <v>1876</v>
      </c>
    </row>
    <row r="91" spans="9:245" x14ac:dyDescent="0.4">
      <c r="I91" s="305">
        <v>2022</v>
      </c>
      <c r="J91" s="306">
        <v>37</v>
      </c>
      <c r="K91" s="306" t="s">
        <v>32</v>
      </c>
      <c r="L91" s="306">
        <v>20447</v>
      </c>
      <c r="M91" s="306">
        <v>16846</v>
      </c>
      <c r="N91" s="306">
        <v>75</v>
      </c>
      <c r="O91" s="306">
        <v>1226</v>
      </c>
      <c r="P91" s="306">
        <v>159</v>
      </c>
      <c r="Q91" s="306">
        <v>15</v>
      </c>
      <c r="R91" s="24"/>
      <c r="S91" s="24"/>
      <c r="T91" s="24"/>
      <c r="W91" s="24">
        <v>2022</v>
      </c>
      <c r="X91" s="24">
        <v>37</v>
      </c>
      <c r="Y91" s="24" t="s">
        <v>33</v>
      </c>
      <c r="Z91" s="24">
        <v>302050</v>
      </c>
      <c r="AA91" s="24">
        <v>288959</v>
      </c>
      <c r="AB91" s="24">
        <v>281</v>
      </c>
      <c r="AC91" s="24">
        <v>160</v>
      </c>
      <c r="AD91" s="24"/>
      <c r="AE91" s="24"/>
      <c r="AF91" s="24"/>
      <c r="AG91" s="24"/>
      <c r="AH91" s="24"/>
      <c r="AI91" s="24"/>
      <c r="AJ91" s="24"/>
      <c r="AK91" s="24">
        <v>2022</v>
      </c>
      <c r="AL91" s="24">
        <v>37</v>
      </c>
      <c r="AM91" s="24">
        <v>22609.58</v>
      </c>
      <c r="AN91" s="24">
        <v>1593.83</v>
      </c>
      <c r="AO91" s="24">
        <v>0</v>
      </c>
      <c r="AP91" s="24">
        <v>555</v>
      </c>
      <c r="AQ91" s="24">
        <v>0</v>
      </c>
      <c r="AR91" s="24">
        <v>14</v>
      </c>
      <c r="AS91" s="24" t="s">
        <v>33</v>
      </c>
      <c r="AT91" s="24"/>
      <c r="AU91" s="24">
        <v>2022</v>
      </c>
      <c r="AV91" s="24">
        <v>37</v>
      </c>
      <c r="AW91" s="24">
        <v>0.05</v>
      </c>
      <c r="AX91" s="24">
        <v>14000</v>
      </c>
      <c r="AY91" s="24">
        <v>311024</v>
      </c>
      <c r="AZ91" s="24" t="s">
        <v>33</v>
      </c>
      <c r="BA91" s="24"/>
      <c r="BB91" s="24"/>
      <c r="BC91" s="24">
        <v>2022</v>
      </c>
      <c r="BD91" s="24">
        <v>37</v>
      </c>
      <c r="BE91" s="24">
        <v>3030.2550000000001</v>
      </c>
      <c r="BF91" s="24" t="s">
        <v>33</v>
      </c>
      <c r="BG91" s="24"/>
      <c r="BI91" s="24">
        <v>2022</v>
      </c>
      <c r="BJ91" s="24">
        <v>49</v>
      </c>
      <c r="BK91" s="24" t="s">
        <v>32</v>
      </c>
      <c r="BL91" s="24" t="s">
        <v>273</v>
      </c>
      <c r="BM91" s="24">
        <v>6812</v>
      </c>
      <c r="BN91" s="24">
        <v>6759</v>
      </c>
      <c r="BO91" s="24">
        <v>6934</v>
      </c>
      <c r="BR91" s="24">
        <v>2022</v>
      </c>
      <c r="BS91" s="24">
        <v>37</v>
      </c>
      <c r="BT91" s="24">
        <v>308477</v>
      </c>
      <c r="BU91" s="24">
        <v>18</v>
      </c>
      <c r="BV91" s="24" t="s">
        <v>33</v>
      </c>
      <c r="BY91" s="24">
        <v>2022</v>
      </c>
      <c r="BZ91" s="24">
        <v>46</v>
      </c>
      <c r="CA91" s="24" t="s">
        <v>32</v>
      </c>
      <c r="CB91" s="24" t="s">
        <v>423</v>
      </c>
      <c r="CC91" s="24">
        <v>1</v>
      </c>
      <c r="CF91" s="24">
        <v>2022</v>
      </c>
      <c r="CG91" s="24">
        <v>37</v>
      </c>
      <c r="CH91" s="24" t="s">
        <v>33</v>
      </c>
      <c r="CI91" s="24">
        <v>127.96493831741026</v>
      </c>
      <c r="CJ91" s="24">
        <v>275918</v>
      </c>
      <c r="CK91" s="24">
        <v>2156.1999999999998</v>
      </c>
      <c r="CL91" s="24">
        <v>119.96714444125016</v>
      </c>
      <c r="CM91" s="24">
        <v>146214</v>
      </c>
      <c r="CN91" s="24">
        <v>292108</v>
      </c>
      <c r="CO91" s="24">
        <v>2434.9</v>
      </c>
      <c r="CP91" s="24">
        <v>78412</v>
      </c>
      <c r="CQ91" s="24">
        <v>492.3</v>
      </c>
      <c r="CR91" s="24">
        <v>2392.1999999999998</v>
      </c>
      <c r="CS91" s="24">
        <v>158393</v>
      </c>
      <c r="CT91" s="24">
        <v>158393</v>
      </c>
      <c r="CU91" s="24">
        <v>1961</v>
      </c>
      <c r="CV91" s="24">
        <v>56829</v>
      </c>
      <c r="CW91" s="24">
        <v>0</v>
      </c>
      <c r="CX91" s="24">
        <v>159983</v>
      </c>
      <c r="CY91" s="24">
        <v>1047.8</v>
      </c>
      <c r="CZ91" s="24">
        <v>61265</v>
      </c>
      <c r="DA91" s="24">
        <v>2392.1999999999998</v>
      </c>
      <c r="DD91" s="24">
        <v>2022</v>
      </c>
      <c r="DE91" s="24">
        <v>37</v>
      </c>
      <c r="DF91" s="24" t="s">
        <v>33</v>
      </c>
      <c r="DG91" s="24">
        <v>17651</v>
      </c>
      <c r="DH91" s="24">
        <v>24560</v>
      </c>
      <c r="DJ91" s="24">
        <v>2022</v>
      </c>
      <c r="DK91" s="24">
        <v>36</v>
      </c>
      <c r="DL91" s="24" t="s">
        <v>33</v>
      </c>
      <c r="DM91" s="24">
        <v>22</v>
      </c>
      <c r="DP91" s="24">
        <v>2022</v>
      </c>
      <c r="DQ91" s="24">
        <v>37</v>
      </c>
      <c r="DR91" s="24" t="s">
        <v>33</v>
      </c>
      <c r="DS91" s="24">
        <v>10141</v>
      </c>
      <c r="DT91" s="24"/>
      <c r="DW91" s="24">
        <v>2022</v>
      </c>
      <c r="DX91" s="24">
        <v>45</v>
      </c>
      <c r="DY91" s="24" t="s">
        <v>33</v>
      </c>
      <c r="DZ91" s="24">
        <v>14</v>
      </c>
      <c r="EA91" s="24" t="s">
        <v>562</v>
      </c>
      <c r="EB91" s="24">
        <v>361.2</v>
      </c>
      <c r="EC91" s="24">
        <v>0.1</v>
      </c>
      <c r="ED91" s="24"/>
      <c r="EE91" s="24">
        <v>13737</v>
      </c>
      <c r="EF91" s="24">
        <v>6.4</v>
      </c>
      <c r="EI91" s="24">
        <v>2023</v>
      </c>
      <c r="EJ91" s="24">
        <v>8</v>
      </c>
      <c r="EK91" s="24" t="s">
        <v>237</v>
      </c>
      <c r="EL91" s="24" t="s">
        <v>240</v>
      </c>
      <c r="EM91" s="24" t="s">
        <v>210</v>
      </c>
      <c r="EN91" s="24">
        <v>8</v>
      </c>
      <c r="EO91" s="24"/>
      <c r="EP91" s="24"/>
      <c r="EQ91" s="24"/>
      <c r="ER91" s="24"/>
      <c r="ES91" s="24">
        <v>2022</v>
      </c>
      <c r="ET91" s="24">
        <v>35</v>
      </c>
      <c r="EU91" s="24" t="s">
        <v>32</v>
      </c>
      <c r="EV91" s="24">
        <v>8285</v>
      </c>
      <c r="EY91" s="24">
        <v>2022</v>
      </c>
      <c r="EZ91" s="24">
        <v>37</v>
      </c>
      <c r="FA91" s="24" t="s">
        <v>32</v>
      </c>
      <c r="FB91" s="24">
        <v>1081</v>
      </c>
      <c r="FE91" s="24">
        <v>2022</v>
      </c>
      <c r="FF91" s="24">
        <v>37</v>
      </c>
      <c r="FG91" s="24" t="s">
        <v>33</v>
      </c>
      <c r="FH91" s="24">
        <v>0.92700000000000005</v>
      </c>
      <c r="FI91" s="24">
        <v>16413</v>
      </c>
      <c r="FJ91" s="24">
        <v>7472</v>
      </c>
      <c r="FK91" s="24">
        <v>8125</v>
      </c>
      <c r="FN91" s="24">
        <v>2022</v>
      </c>
      <c r="FO91" s="24">
        <v>38</v>
      </c>
      <c r="FP91" s="24" t="s">
        <v>33</v>
      </c>
      <c r="FQ91" s="24">
        <v>1208529</v>
      </c>
      <c r="FR91" s="24">
        <v>11863.483333333301</v>
      </c>
      <c r="FS91" s="24">
        <v>327393</v>
      </c>
      <c r="FT91" s="24">
        <v>3431.05</v>
      </c>
      <c r="FW91" s="24">
        <v>2022</v>
      </c>
      <c r="FX91" s="24">
        <v>37</v>
      </c>
      <c r="FY91" s="24" t="s">
        <v>33</v>
      </c>
      <c r="FZ91" s="24">
        <v>20535</v>
      </c>
      <c r="GA91" s="24">
        <v>18323</v>
      </c>
      <c r="GB91" s="24"/>
      <c r="GC91" s="24"/>
      <c r="GD91" s="24">
        <v>2022</v>
      </c>
      <c r="GE91" s="24">
        <v>37</v>
      </c>
      <c r="GF91" s="24" t="s">
        <v>33</v>
      </c>
      <c r="GG91" s="24">
        <v>20310</v>
      </c>
      <c r="GH91" s="24">
        <v>18661</v>
      </c>
      <c r="GK91" s="24"/>
      <c r="GL91" s="24"/>
      <c r="GM91" s="24"/>
      <c r="GN91" s="24"/>
      <c r="GO91" s="24"/>
      <c r="GP91" s="24">
        <v>2022</v>
      </c>
      <c r="GQ91" s="24">
        <v>37</v>
      </c>
      <c r="GR91" s="24">
        <v>34.152714285714303</v>
      </c>
      <c r="GS91" s="24" t="s">
        <v>33</v>
      </c>
      <c r="GX91">
        <v>2022</v>
      </c>
      <c r="GY91">
        <v>37</v>
      </c>
      <c r="GZ91" t="s">
        <v>33</v>
      </c>
      <c r="HA91">
        <v>305689</v>
      </c>
      <c r="HB91">
        <v>291977</v>
      </c>
      <c r="HC91">
        <v>999</v>
      </c>
      <c r="HD91">
        <v>276</v>
      </c>
      <c r="HE91">
        <v>25</v>
      </c>
      <c r="HF91">
        <v>4999</v>
      </c>
      <c r="HG91">
        <v>0</v>
      </c>
      <c r="HH91">
        <v>5</v>
      </c>
      <c r="HI91">
        <v>1943</v>
      </c>
      <c r="HL91">
        <v>2022</v>
      </c>
      <c r="HM91">
        <v>37</v>
      </c>
      <c r="HN91" t="s">
        <v>33</v>
      </c>
      <c r="HO91">
        <v>301547</v>
      </c>
      <c r="HP91">
        <v>294771</v>
      </c>
      <c r="HQ91">
        <v>977</v>
      </c>
      <c r="HR91">
        <v>130</v>
      </c>
      <c r="HS91">
        <v>13</v>
      </c>
      <c r="HT91">
        <v>4627</v>
      </c>
      <c r="HU91">
        <v>0</v>
      </c>
      <c r="HV91">
        <v>4</v>
      </c>
      <c r="HW91">
        <v>380</v>
      </c>
      <c r="HZ91" s="24">
        <v>2022</v>
      </c>
      <c r="IA91" s="24">
        <v>37</v>
      </c>
      <c r="IB91" s="24" t="s">
        <v>33</v>
      </c>
      <c r="IC91" s="24">
        <v>20611</v>
      </c>
      <c r="ID91" s="24">
        <v>19130</v>
      </c>
      <c r="IG91" s="24">
        <v>2022</v>
      </c>
      <c r="IH91" s="24">
        <v>37</v>
      </c>
      <c r="II91" s="24" t="s">
        <v>33</v>
      </c>
      <c r="IJ91" s="24">
        <v>19198</v>
      </c>
      <c r="IK91" s="24">
        <v>18932</v>
      </c>
    </row>
    <row r="92" spans="9:245" x14ac:dyDescent="0.4">
      <c r="I92" s="305">
        <v>2022</v>
      </c>
      <c r="J92" s="306">
        <v>37</v>
      </c>
      <c r="K92" s="306" t="s">
        <v>33</v>
      </c>
      <c r="L92" s="306">
        <v>305720</v>
      </c>
      <c r="M92" s="306">
        <v>290330</v>
      </c>
      <c r="N92" s="306">
        <v>1347</v>
      </c>
      <c r="O92" s="306">
        <v>3224</v>
      </c>
      <c r="P92" s="306">
        <v>554</v>
      </c>
      <c r="Q92" s="306">
        <v>157</v>
      </c>
      <c r="R92" s="24"/>
      <c r="S92" s="24"/>
      <c r="T92" s="24"/>
      <c r="W92" s="24">
        <v>2022</v>
      </c>
      <c r="X92" s="24">
        <v>36</v>
      </c>
      <c r="Y92" s="24" t="s">
        <v>32</v>
      </c>
      <c r="Z92" s="24">
        <v>17384</v>
      </c>
      <c r="AA92" s="24">
        <v>14961</v>
      </c>
      <c r="AB92" s="24">
        <v>127</v>
      </c>
      <c r="AC92" s="24">
        <v>21</v>
      </c>
      <c r="AD92" s="24"/>
      <c r="AE92" s="24"/>
      <c r="AF92" s="24"/>
      <c r="AG92" s="24"/>
      <c r="AH92" s="24"/>
      <c r="AI92" s="24"/>
      <c r="AJ92" s="24"/>
      <c r="AK92" s="24">
        <v>2022</v>
      </c>
      <c r="AL92" s="24">
        <v>36</v>
      </c>
      <c r="AM92" s="24">
        <v>482.6</v>
      </c>
      <c r="AN92" s="24">
        <v>31.17</v>
      </c>
      <c r="AO92" s="24">
        <v>0</v>
      </c>
      <c r="AP92" s="24">
        <v>14</v>
      </c>
      <c r="AQ92" s="24">
        <v>0</v>
      </c>
      <c r="AR92" s="24">
        <v>0</v>
      </c>
      <c r="AS92" s="24" t="s">
        <v>32</v>
      </c>
      <c r="AT92" s="24"/>
      <c r="AU92" s="24">
        <v>2022</v>
      </c>
      <c r="AV92" s="24">
        <v>36</v>
      </c>
      <c r="AW92" s="24">
        <v>0.22</v>
      </c>
      <c r="AX92" s="24">
        <v>3900</v>
      </c>
      <c r="AY92" s="24">
        <v>17853</v>
      </c>
      <c r="AZ92" s="24" t="s">
        <v>32</v>
      </c>
      <c r="BA92" s="24"/>
      <c r="BB92" s="24"/>
      <c r="BC92" s="24">
        <v>2022</v>
      </c>
      <c r="BD92" s="24">
        <v>36</v>
      </c>
      <c r="BE92" s="24">
        <v>292.53557142857102</v>
      </c>
      <c r="BF92" s="24" t="s">
        <v>32</v>
      </c>
      <c r="BG92" s="24"/>
      <c r="BI92" s="24">
        <v>2022</v>
      </c>
      <c r="BJ92" s="24">
        <v>49</v>
      </c>
      <c r="BK92" s="24" t="s">
        <v>33</v>
      </c>
      <c r="BL92" s="24" t="s">
        <v>273</v>
      </c>
      <c r="BM92" s="24">
        <v>115354</v>
      </c>
      <c r="BN92" s="24">
        <v>114715</v>
      </c>
      <c r="BO92" s="24">
        <v>118003</v>
      </c>
      <c r="BR92" s="24">
        <v>2022</v>
      </c>
      <c r="BS92" s="24">
        <v>36</v>
      </c>
      <c r="BT92" s="24">
        <v>274302</v>
      </c>
      <c r="BU92" s="24">
        <v>19</v>
      </c>
      <c r="BV92" s="24" t="s">
        <v>33</v>
      </c>
      <c r="BY92" s="24">
        <v>2022</v>
      </c>
      <c r="BZ92" s="24">
        <v>46</v>
      </c>
      <c r="CA92" s="24" t="s">
        <v>33</v>
      </c>
      <c r="CB92" s="24" t="s">
        <v>108</v>
      </c>
      <c r="CC92" s="24">
        <v>1</v>
      </c>
      <c r="CF92" s="24">
        <v>2022</v>
      </c>
      <c r="CG92" s="24">
        <v>36</v>
      </c>
      <c r="CH92" s="24" t="s">
        <v>32</v>
      </c>
      <c r="CI92" s="24">
        <v>60.907917383821001</v>
      </c>
      <c r="CJ92" s="24">
        <v>14155</v>
      </c>
      <c r="CK92" s="24">
        <v>232.4</v>
      </c>
      <c r="CL92" s="24">
        <v>57.934156378600825</v>
      </c>
      <c r="CM92" s="24">
        <v>11595</v>
      </c>
      <c r="CN92" s="24">
        <v>21117</v>
      </c>
      <c r="CO92" s="24">
        <v>364.5</v>
      </c>
      <c r="CP92" s="24">
        <v>6775</v>
      </c>
      <c r="CQ92" s="24">
        <v>30.1</v>
      </c>
      <c r="CR92" s="24">
        <v>241.7</v>
      </c>
      <c r="CS92" s="24">
        <v>9143</v>
      </c>
      <c r="CT92" s="24">
        <v>9143</v>
      </c>
      <c r="CU92" s="24">
        <v>248.7</v>
      </c>
      <c r="CV92" s="24">
        <v>2212</v>
      </c>
      <c r="CW92" s="24">
        <v>0</v>
      </c>
      <c r="CX92" s="24">
        <v>8044</v>
      </c>
      <c r="CY92" s="24">
        <v>77.3</v>
      </c>
      <c r="CZ92" s="24">
        <v>5272</v>
      </c>
      <c r="DA92" s="24">
        <v>241.7</v>
      </c>
      <c r="DD92" s="24">
        <v>2022</v>
      </c>
      <c r="DE92" s="24">
        <v>36</v>
      </c>
      <c r="DF92" s="24" t="s">
        <v>32</v>
      </c>
      <c r="DG92" s="24">
        <v>1025</v>
      </c>
      <c r="DH92" s="24">
        <v>2267</v>
      </c>
      <c r="DJ92" s="24">
        <v>2022</v>
      </c>
      <c r="DK92" s="24">
        <v>35</v>
      </c>
      <c r="DL92" s="24" t="s">
        <v>32</v>
      </c>
      <c r="DM92" s="24">
        <v>9</v>
      </c>
      <c r="DP92" s="24">
        <v>2022</v>
      </c>
      <c r="DQ92" s="24">
        <v>36</v>
      </c>
      <c r="DR92" s="24" t="s">
        <v>33</v>
      </c>
      <c r="DS92" s="24">
        <v>13071</v>
      </c>
      <c r="DT92" s="24"/>
      <c r="DW92" s="24">
        <v>2022</v>
      </c>
      <c r="DX92" s="24">
        <v>45</v>
      </c>
      <c r="DY92" s="24" t="s">
        <v>33</v>
      </c>
      <c r="DZ92" s="24">
        <v>97</v>
      </c>
      <c r="EA92" s="24" t="s">
        <v>149</v>
      </c>
      <c r="EB92" s="24">
        <v>38.4</v>
      </c>
      <c r="EC92" s="24">
        <v>2546.6</v>
      </c>
      <c r="ED92" s="24">
        <v>66623</v>
      </c>
      <c r="EE92" s="24">
        <v>66723</v>
      </c>
      <c r="EF92" s="24">
        <v>141.9</v>
      </c>
      <c r="EI92" s="24">
        <v>2023</v>
      </c>
      <c r="EJ92" s="24">
        <v>8</v>
      </c>
      <c r="EK92" s="24" t="s">
        <v>237</v>
      </c>
      <c r="EL92" s="24" t="s">
        <v>233</v>
      </c>
      <c r="EM92" s="24" t="s">
        <v>210</v>
      </c>
      <c r="EN92" s="24">
        <v>11</v>
      </c>
      <c r="EO92" s="24"/>
      <c r="EP92" s="24"/>
      <c r="EQ92" s="24"/>
      <c r="ER92" s="24"/>
      <c r="ES92" s="24">
        <v>2022</v>
      </c>
      <c r="ET92" s="24">
        <v>35</v>
      </c>
      <c r="EU92" s="24" t="s">
        <v>33</v>
      </c>
      <c r="EV92" s="24">
        <v>141308</v>
      </c>
      <c r="EY92" s="24">
        <v>2022</v>
      </c>
      <c r="EZ92" s="24">
        <v>37</v>
      </c>
      <c r="FA92" s="24" t="s">
        <v>33</v>
      </c>
      <c r="FB92" s="24">
        <v>2597</v>
      </c>
      <c r="FE92" s="24">
        <v>2022</v>
      </c>
      <c r="FF92" s="24">
        <v>36</v>
      </c>
      <c r="FG92" s="24" t="s">
        <v>32</v>
      </c>
      <c r="FH92" s="24">
        <v>0.83030000000000004</v>
      </c>
      <c r="FI92" s="24">
        <v>516</v>
      </c>
      <c r="FJ92" s="24">
        <v>239</v>
      </c>
      <c r="FK92" s="24">
        <v>286</v>
      </c>
      <c r="FN92" s="24">
        <v>2022</v>
      </c>
      <c r="FO92" s="24">
        <v>37</v>
      </c>
      <c r="FP92" s="24" t="s">
        <v>32</v>
      </c>
      <c r="FQ92" s="24">
        <v>50567</v>
      </c>
      <c r="FR92" s="24">
        <v>1159.2333333333299</v>
      </c>
      <c r="FS92" s="24">
        <v>33943</v>
      </c>
      <c r="FT92" s="24">
        <v>373.40000000000003</v>
      </c>
      <c r="FW92" s="24">
        <v>2022</v>
      </c>
      <c r="FX92" s="24">
        <v>36</v>
      </c>
      <c r="FY92" s="24" t="s">
        <v>32</v>
      </c>
      <c r="FZ92" s="24">
        <v>2989</v>
      </c>
      <c r="GA92" s="24">
        <v>2183</v>
      </c>
      <c r="GB92" s="24"/>
      <c r="GC92" s="24"/>
      <c r="GD92" s="24">
        <v>2022</v>
      </c>
      <c r="GE92" s="24">
        <v>36</v>
      </c>
      <c r="GF92" s="24" t="s">
        <v>32</v>
      </c>
      <c r="GG92" s="24">
        <v>2998</v>
      </c>
      <c r="GH92" s="24">
        <v>2380</v>
      </c>
      <c r="GK92" s="24"/>
      <c r="GL92" s="24"/>
      <c r="GM92" s="24"/>
      <c r="GN92" s="24"/>
      <c r="GO92" s="24"/>
      <c r="GP92" s="24">
        <v>2022</v>
      </c>
      <c r="GQ92" s="24">
        <v>36</v>
      </c>
      <c r="GR92" s="24">
        <v>3.36185714285714</v>
      </c>
      <c r="GS92" s="24" t="s">
        <v>32</v>
      </c>
      <c r="GX92">
        <v>2022</v>
      </c>
      <c r="GY92">
        <v>36</v>
      </c>
      <c r="GZ92" t="s">
        <v>32</v>
      </c>
      <c r="HA92">
        <v>17426</v>
      </c>
      <c r="HB92">
        <v>14610</v>
      </c>
      <c r="HC92">
        <v>49</v>
      </c>
      <c r="HD92">
        <v>10</v>
      </c>
      <c r="HE92">
        <v>3</v>
      </c>
      <c r="HF92">
        <v>1506</v>
      </c>
      <c r="HG92">
        <v>0</v>
      </c>
      <c r="HH92">
        <v>0</v>
      </c>
      <c r="HI92">
        <v>167</v>
      </c>
      <c r="HL92">
        <v>2022</v>
      </c>
      <c r="HM92">
        <v>36</v>
      </c>
      <c r="HN92" t="s">
        <v>32</v>
      </c>
      <c r="HO92">
        <v>17315</v>
      </c>
      <c r="HP92">
        <v>15503</v>
      </c>
      <c r="HQ92">
        <v>65</v>
      </c>
      <c r="HR92">
        <v>6</v>
      </c>
      <c r="HS92">
        <v>1</v>
      </c>
      <c r="HT92">
        <v>1565</v>
      </c>
      <c r="HU92">
        <v>0</v>
      </c>
      <c r="HV92">
        <v>0</v>
      </c>
      <c r="HW92">
        <v>80</v>
      </c>
      <c r="HZ92" s="24">
        <v>2022</v>
      </c>
      <c r="IA92" s="24">
        <v>36</v>
      </c>
      <c r="IB92" s="24" t="s">
        <v>32</v>
      </c>
      <c r="IC92" s="24">
        <v>2938</v>
      </c>
      <c r="ID92" s="24">
        <v>2182</v>
      </c>
      <c r="IG92" s="24">
        <v>2022</v>
      </c>
      <c r="IH92" s="24">
        <v>36</v>
      </c>
      <c r="II92" s="24" t="s">
        <v>32</v>
      </c>
      <c r="IJ92" s="24">
        <v>2935</v>
      </c>
      <c r="IK92" s="24">
        <v>2493</v>
      </c>
    </row>
    <row r="93" spans="9:245" x14ac:dyDescent="0.4">
      <c r="I93" s="305">
        <v>2022</v>
      </c>
      <c r="J93" s="306">
        <v>36</v>
      </c>
      <c r="K93" s="306" t="s">
        <v>32</v>
      </c>
      <c r="L93" s="306">
        <v>17697</v>
      </c>
      <c r="M93" s="306">
        <v>14477</v>
      </c>
      <c r="N93" s="306">
        <v>56</v>
      </c>
      <c r="O93" s="306">
        <v>1625</v>
      </c>
      <c r="P93" s="306">
        <v>244</v>
      </c>
      <c r="Q93" s="306">
        <v>24</v>
      </c>
      <c r="R93" s="24"/>
      <c r="S93" s="24"/>
      <c r="T93" s="24"/>
      <c r="W93" s="24">
        <v>2022</v>
      </c>
      <c r="X93" s="24">
        <v>36</v>
      </c>
      <c r="Y93" s="24" t="s">
        <v>33</v>
      </c>
      <c r="Z93" s="24">
        <v>267603</v>
      </c>
      <c r="AA93" s="24">
        <v>255644</v>
      </c>
      <c r="AB93" s="24">
        <v>327</v>
      </c>
      <c r="AC93" s="24">
        <v>206</v>
      </c>
      <c r="AD93" s="24"/>
      <c r="AE93" s="24"/>
      <c r="AF93" s="24"/>
      <c r="AG93" s="24"/>
      <c r="AH93" s="24"/>
      <c r="AI93" s="24"/>
      <c r="AJ93" s="24"/>
      <c r="AK93" s="24">
        <v>2022</v>
      </c>
      <c r="AL93" s="24">
        <v>36</v>
      </c>
      <c r="AM93" s="24">
        <v>18379.38</v>
      </c>
      <c r="AN93" s="24">
        <v>1236.6300000000001</v>
      </c>
      <c r="AO93" s="24">
        <v>0</v>
      </c>
      <c r="AP93" s="24">
        <v>546</v>
      </c>
      <c r="AQ93" s="24">
        <v>0</v>
      </c>
      <c r="AR93" s="24">
        <v>9</v>
      </c>
      <c r="AS93" s="24" t="s">
        <v>33</v>
      </c>
      <c r="AT93" s="24"/>
      <c r="AU93" s="24">
        <v>2022</v>
      </c>
      <c r="AV93" s="24">
        <v>36</v>
      </c>
      <c r="AW93" s="24">
        <v>7.0000000000000007E-2</v>
      </c>
      <c r="AX93" s="24">
        <v>18700</v>
      </c>
      <c r="AY93" s="24">
        <v>275291</v>
      </c>
      <c r="AZ93" s="24" t="s">
        <v>33</v>
      </c>
      <c r="BA93" s="24"/>
      <c r="BB93" s="24"/>
      <c r="BC93" s="24">
        <v>2022</v>
      </c>
      <c r="BD93" s="24">
        <v>36</v>
      </c>
      <c r="BE93" s="24">
        <v>3051.2022857142897</v>
      </c>
      <c r="BF93" s="24" t="s">
        <v>33</v>
      </c>
      <c r="BG93" s="24"/>
      <c r="BI93" s="24">
        <v>2022</v>
      </c>
      <c r="BJ93" s="24">
        <v>49</v>
      </c>
      <c r="BK93" s="24" t="s">
        <v>33</v>
      </c>
      <c r="BL93" s="24" t="s">
        <v>272</v>
      </c>
      <c r="BM93" s="24">
        <v>58995</v>
      </c>
      <c r="BN93" s="24">
        <v>58925</v>
      </c>
      <c r="BO93" s="24">
        <v>208523</v>
      </c>
      <c r="BR93" s="24">
        <v>2022</v>
      </c>
      <c r="BS93" s="24">
        <v>36</v>
      </c>
      <c r="BT93" s="24">
        <v>17735</v>
      </c>
      <c r="BU93" s="24">
        <v>1</v>
      </c>
      <c r="BV93" s="24" t="s">
        <v>32</v>
      </c>
      <c r="BY93" s="24">
        <v>2022</v>
      </c>
      <c r="BZ93" s="24">
        <v>46</v>
      </c>
      <c r="CA93" s="24" t="s">
        <v>33</v>
      </c>
      <c r="CB93" s="24" t="s">
        <v>423</v>
      </c>
      <c r="CC93" s="24">
        <v>1</v>
      </c>
      <c r="CF93" s="24">
        <v>2022</v>
      </c>
      <c r="CG93" s="24">
        <v>36</v>
      </c>
      <c r="CH93" s="24" t="s">
        <v>33</v>
      </c>
      <c r="CI93" s="24">
        <v>124.6370249783792</v>
      </c>
      <c r="CJ93" s="24">
        <v>244999</v>
      </c>
      <c r="CK93" s="24">
        <v>1965.7</v>
      </c>
      <c r="CL93" s="24">
        <v>121.26942132858723</v>
      </c>
      <c r="CM93" s="24">
        <v>125121</v>
      </c>
      <c r="CN93" s="24">
        <v>252107</v>
      </c>
      <c r="CO93" s="24">
        <v>2078.9</v>
      </c>
      <c r="CP93" s="24">
        <v>60250</v>
      </c>
      <c r="CQ93" s="24">
        <v>370</v>
      </c>
      <c r="CR93" s="24">
        <v>1790.1</v>
      </c>
      <c r="CS93" s="24">
        <v>130872</v>
      </c>
      <c r="CT93" s="24">
        <v>130872</v>
      </c>
      <c r="CU93" s="24">
        <v>1499.9</v>
      </c>
      <c r="CV93" s="24">
        <v>46061</v>
      </c>
      <c r="CW93" s="24">
        <v>0</v>
      </c>
      <c r="CX93" s="24">
        <v>135395</v>
      </c>
      <c r="CY93" s="24">
        <v>746.9</v>
      </c>
      <c r="CZ93" s="24">
        <v>47019</v>
      </c>
      <c r="DA93" s="24">
        <v>1790.1</v>
      </c>
      <c r="DD93" s="24">
        <v>2022</v>
      </c>
      <c r="DE93" s="24">
        <v>36</v>
      </c>
      <c r="DF93" s="24" t="s">
        <v>33</v>
      </c>
      <c r="DG93" s="24">
        <v>24195</v>
      </c>
      <c r="DH93" s="24">
        <v>20702</v>
      </c>
      <c r="DJ93" s="24">
        <v>2022</v>
      </c>
      <c r="DK93" s="24">
        <v>35</v>
      </c>
      <c r="DL93" s="24" t="s">
        <v>33</v>
      </c>
      <c r="DM93" s="24">
        <v>54</v>
      </c>
      <c r="DP93" s="24">
        <v>2022</v>
      </c>
      <c r="DQ93" s="24">
        <v>35</v>
      </c>
      <c r="DR93" s="24" t="s">
        <v>32</v>
      </c>
      <c r="DS93" s="24">
        <v>107</v>
      </c>
      <c r="DT93" s="24"/>
      <c r="DW93" s="24">
        <v>2022</v>
      </c>
      <c r="DX93" s="24">
        <v>44</v>
      </c>
      <c r="DY93" s="24" t="s">
        <v>32</v>
      </c>
      <c r="DZ93" s="24">
        <v>3</v>
      </c>
      <c r="EA93" s="24" t="s">
        <v>149</v>
      </c>
      <c r="EB93" s="24">
        <v>0</v>
      </c>
      <c r="EC93" s="24">
        <v>99.5</v>
      </c>
      <c r="ED93" s="24">
        <v>2258</v>
      </c>
      <c r="EE93" s="24">
        <v>2013</v>
      </c>
      <c r="EF93" s="24">
        <v>11.4</v>
      </c>
      <c r="EI93" s="24">
        <v>2023</v>
      </c>
      <c r="EJ93" s="24">
        <v>8</v>
      </c>
      <c r="EK93" s="24" t="s">
        <v>237</v>
      </c>
      <c r="EL93" s="24" t="s">
        <v>554</v>
      </c>
      <c r="EM93" s="24" t="s">
        <v>210</v>
      </c>
      <c r="EN93" s="24">
        <v>2</v>
      </c>
      <c r="EO93" s="24"/>
      <c r="EP93" s="24"/>
      <c r="EQ93" s="24"/>
      <c r="ER93" s="24"/>
      <c r="ES93" s="24">
        <v>2022</v>
      </c>
      <c r="ET93" s="24">
        <v>34</v>
      </c>
      <c r="EU93" s="24" t="s">
        <v>32</v>
      </c>
      <c r="EV93" s="24">
        <v>7820</v>
      </c>
      <c r="EY93" s="24">
        <v>2022</v>
      </c>
      <c r="EZ93" s="24">
        <v>36</v>
      </c>
      <c r="FA93" s="24" t="s">
        <v>32</v>
      </c>
      <c r="FB93" s="24">
        <v>656</v>
      </c>
      <c r="FE93" s="24">
        <v>2022</v>
      </c>
      <c r="FF93" s="24">
        <v>36</v>
      </c>
      <c r="FG93" s="24" t="s">
        <v>33</v>
      </c>
      <c r="FH93" s="24">
        <v>0.90200000000000002</v>
      </c>
      <c r="FI93" s="24">
        <v>13076</v>
      </c>
      <c r="FJ93" s="24">
        <v>5935</v>
      </c>
      <c r="FK93" s="24">
        <v>6635</v>
      </c>
      <c r="FN93" s="24">
        <v>2022</v>
      </c>
      <c r="FO93" s="24">
        <v>37</v>
      </c>
      <c r="FP93" s="24" t="s">
        <v>33</v>
      </c>
      <c r="FQ93" s="24">
        <v>1005777</v>
      </c>
      <c r="FR93" s="24">
        <v>10338</v>
      </c>
      <c r="FS93" s="24">
        <v>395375</v>
      </c>
      <c r="FT93" s="24">
        <v>3701.4333333333298</v>
      </c>
      <c r="FW93" s="24">
        <v>2022</v>
      </c>
      <c r="FX93" s="24">
        <v>36</v>
      </c>
      <c r="FY93" s="24" t="s">
        <v>33</v>
      </c>
      <c r="FZ93" s="24">
        <v>21084</v>
      </c>
      <c r="GA93" s="24">
        <v>18821</v>
      </c>
      <c r="GB93" s="24"/>
      <c r="GC93" s="24"/>
      <c r="GD93" s="24">
        <v>2022</v>
      </c>
      <c r="GE93" s="24">
        <v>36</v>
      </c>
      <c r="GF93" s="24" t="s">
        <v>33</v>
      </c>
      <c r="GG93" s="24">
        <v>21111</v>
      </c>
      <c r="GH93" s="24">
        <v>20132</v>
      </c>
      <c r="GK93" s="24"/>
      <c r="GL93" s="24"/>
      <c r="GM93" s="24"/>
      <c r="GN93" s="24"/>
      <c r="GO93" s="24"/>
      <c r="GP93" s="24">
        <v>2022</v>
      </c>
      <c r="GQ93" s="24">
        <v>36</v>
      </c>
      <c r="GR93" s="24">
        <v>34.145285714285698</v>
      </c>
      <c r="GS93" s="24" t="s">
        <v>33</v>
      </c>
      <c r="GX93">
        <v>2022</v>
      </c>
      <c r="GY93">
        <v>36</v>
      </c>
      <c r="GZ93" t="s">
        <v>33</v>
      </c>
      <c r="HA93">
        <v>271564</v>
      </c>
      <c r="HB93">
        <v>250718</v>
      </c>
      <c r="HC93">
        <v>1022</v>
      </c>
      <c r="HD93">
        <v>326</v>
      </c>
      <c r="HE93">
        <v>60</v>
      </c>
      <c r="HF93">
        <v>4333</v>
      </c>
      <c r="HG93">
        <v>0</v>
      </c>
      <c r="HH93">
        <v>2</v>
      </c>
      <c r="HI93">
        <v>1931</v>
      </c>
      <c r="HL93">
        <v>2022</v>
      </c>
      <c r="HM93">
        <v>36</v>
      </c>
      <c r="HN93" t="s">
        <v>33</v>
      </c>
      <c r="HO93">
        <v>266923</v>
      </c>
      <c r="HP93">
        <v>261272</v>
      </c>
      <c r="HQ93">
        <v>860</v>
      </c>
      <c r="HR93">
        <v>80</v>
      </c>
      <c r="HS93">
        <v>5</v>
      </c>
      <c r="HT93">
        <v>3784</v>
      </c>
      <c r="HU93">
        <v>0</v>
      </c>
      <c r="HV93">
        <v>0</v>
      </c>
      <c r="HW93">
        <v>325</v>
      </c>
      <c r="HZ93" s="24">
        <v>2022</v>
      </c>
      <c r="IA93" s="24">
        <v>36</v>
      </c>
      <c r="IB93" s="24" t="s">
        <v>33</v>
      </c>
      <c r="IC93" s="24">
        <v>20946</v>
      </c>
      <c r="ID93" s="24">
        <v>18829</v>
      </c>
      <c r="IG93" s="24">
        <v>2022</v>
      </c>
      <c r="IH93" s="24">
        <v>36</v>
      </c>
      <c r="II93" s="24" t="s">
        <v>33</v>
      </c>
      <c r="IJ93" s="24">
        <v>19877</v>
      </c>
      <c r="IK93" s="24">
        <v>19601</v>
      </c>
    </row>
    <row r="94" spans="9:245" x14ac:dyDescent="0.4">
      <c r="I94" s="305">
        <v>2022</v>
      </c>
      <c r="J94" s="306">
        <v>36</v>
      </c>
      <c r="K94" s="306" t="s">
        <v>33</v>
      </c>
      <c r="L94" s="306">
        <v>269827</v>
      </c>
      <c r="M94" s="306">
        <v>247581</v>
      </c>
      <c r="N94" s="306">
        <v>975</v>
      </c>
      <c r="O94" s="306">
        <v>4913</v>
      </c>
      <c r="P94" s="306">
        <v>689</v>
      </c>
      <c r="Q94" s="306">
        <v>261</v>
      </c>
      <c r="R94" s="24"/>
      <c r="S94" s="24"/>
      <c r="T94" s="24"/>
      <c r="W94" s="24">
        <v>2022</v>
      </c>
      <c r="X94" s="24">
        <v>35</v>
      </c>
      <c r="Y94" s="24" t="s">
        <v>32</v>
      </c>
      <c r="Z94" s="24">
        <v>18974</v>
      </c>
      <c r="AA94" s="24">
        <v>17855</v>
      </c>
      <c r="AB94" s="24">
        <v>113</v>
      </c>
      <c r="AC94" s="24">
        <v>5</v>
      </c>
      <c r="AD94" s="24"/>
      <c r="AE94" s="24"/>
      <c r="AF94" s="24"/>
      <c r="AG94" s="24"/>
      <c r="AH94" s="24"/>
      <c r="AI94" s="24"/>
      <c r="AJ94" s="24"/>
      <c r="AK94" s="24">
        <v>2022</v>
      </c>
      <c r="AL94" s="24">
        <v>35</v>
      </c>
      <c r="AM94" s="24">
        <v>554.62</v>
      </c>
      <c r="AN94" s="24">
        <v>36.619999999999997</v>
      </c>
      <c r="AO94" s="24">
        <v>0</v>
      </c>
      <c r="AP94" s="24">
        <v>14</v>
      </c>
      <c r="AQ94" s="24">
        <v>0</v>
      </c>
      <c r="AR94" s="24">
        <v>0</v>
      </c>
      <c r="AS94" s="24" t="s">
        <v>32</v>
      </c>
      <c r="AT94" s="24"/>
      <c r="AU94" s="24">
        <v>2022</v>
      </c>
      <c r="AV94" s="24">
        <v>35</v>
      </c>
      <c r="AW94" s="24">
        <v>0.16</v>
      </c>
      <c r="AX94" s="24">
        <v>3000</v>
      </c>
      <c r="AY94" s="24">
        <v>19146</v>
      </c>
      <c r="AZ94" s="24" t="s">
        <v>32</v>
      </c>
      <c r="BA94" s="24"/>
      <c r="BB94" s="24"/>
      <c r="BC94" s="24">
        <v>2022</v>
      </c>
      <c r="BD94" s="24">
        <v>35</v>
      </c>
      <c r="BE94" s="24">
        <v>289.78942857142897</v>
      </c>
      <c r="BF94" s="24" t="s">
        <v>32</v>
      </c>
      <c r="BG94" s="24"/>
      <c r="BI94" s="24">
        <v>2022</v>
      </c>
      <c r="BJ94" s="24">
        <v>48</v>
      </c>
      <c r="BK94" s="24" t="s">
        <v>33</v>
      </c>
      <c r="BL94" s="24" t="s">
        <v>272</v>
      </c>
      <c r="BM94" s="24">
        <v>68620</v>
      </c>
      <c r="BN94" s="24">
        <v>68564</v>
      </c>
      <c r="BO94" s="24">
        <v>250600</v>
      </c>
      <c r="BR94" s="24">
        <v>2022</v>
      </c>
      <c r="BS94" s="24">
        <v>35</v>
      </c>
      <c r="BT94" s="24">
        <v>19028</v>
      </c>
      <c r="BU94" s="24">
        <v>2</v>
      </c>
      <c r="BV94" s="24" t="s">
        <v>32</v>
      </c>
      <c r="BY94" s="24">
        <v>2022</v>
      </c>
      <c r="BZ94" s="24">
        <v>45</v>
      </c>
      <c r="CA94" s="24" t="s">
        <v>32</v>
      </c>
      <c r="CB94" s="24" t="s">
        <v>423</v>
      </c>
      <c r="CC94" s="24">
        <v>1</v>
      </c>
      <c r="CF94" s="24">
        <v>2022</v>
      </c>
      <c r="CG94" s="24">
        <v>35</v>
      </c>
      <c r="CH94" s="24" t="s">
        <v>32</v>
      </c>
      <c r="CI94" s="24">
        <v>42.586083213773314</v>
      </c>
      <c r="CJ94" s="24">
        <v>11873</v>
      </c>
      <c r="CK94" s="24">
        <v>278.8</v>
      </c>
      <c r="CL94" s="24">
        <v>63.48441926345609</v>
      </c>
      <c r="CM94" s="24">
        <v>12910</v>
      </c>
      <c r="CN94" s="24">
        <v>24651</v>
      </c>
      <c r="CO94" s="24">
        <v>388.3</v>
      </c>
      <c r="CP94" s="24">
        <v>8260</v>
      </c>
      <c r="CQ94" s="24">
        <v>29.8</v>
      </c>
      <c r="CR94" s="24">
        <v>247.7</v>
      </c>
      <c r="CS94" s="24">
        <v>12033</v>
      </c>
      <c r="CT94" s="24">
        <v>12033</v>
      </c>
      <c r="CU94" s="24">
        <v>292</v>
      </c>
      <c r="CV94" s="24">
        <v>2725</v>
      </c>
      <c r="CW94" s="24">
        <v>0</v>
      </c>
      <c r="CX94" s="24">
        <v>8882</v>
      </c>
      <c r="CY94" s="24">
        <v>85.5</v>
      </c>
      <c r="CZ94" s="24">
        <v>6666</v>
      </c>
      <c r="DA94" s="24">
        <v>247.7</v>
      </c>
      <c r="DD94" s="24">
        <v>2022</v>
      </c>
      <c r="DE94" s="24">
        <v>35</v>
      </c>
      <c r="DF94" s="24" t="s">
        <v>32</v>
      </c>
      <c r="DG94" s="24">
        <v>722</v>
      </c>
      <c r="DH94" s="24">
        <v>2404</v>
      </c>
      <c r="DJ94" s="24">
        <v>2022</v>
      </c>
      <c r="DK94" s="24">
        <v>34</v>
      </c>
      <c r="DL94" s="24" t="s">
        <v>32</v>
      </c>
      <c r="DM94" s="24">
        <v>22</v>
      </c>
      <c r="DP94" s="24">
        <v>2022</v>
      </c>
      <c r="DQ94" s="24">
        <v>35</v>
      </c>
      <c r="DR94" s="24" t="s">
        <v>33</v>
      </c>
      <c r="DS94" s="24">
        <v>15515</v>
      </c>
      <c r="DT94" s="24"/>
      <c r="DW94" s="24">
        <v>2022</v>
      </c>
      <c r="DX94" s="24">
        <v>44</v>
      </c>
      <c r="DY94" s="24" t="s">
        <v>33</v>
      </c>
      <c r="DZ94" s="24">
        <v>15</v>
      </c>
      <c r="EA94" s="24" t="s">
        <v>562</v>
      </c>
      <c r="EB94" s="24">
        <v>443.2</v>
      </c>
      <c r="EC94" s="24">
        <v>7.6</v>
      </c>
      <c r="ED94" s="24">
        <v>2</v>
      </c>
      <c r="EE94" s="24">
        <v>17405</v>
      </c>
      <c r="EF94" s="24">
        <v>48.6</v>
      </c>
      <c r="EI94" s="24">
        <v>2023</v>
      </c>
      <c r="EJ94" s="24">
        <v>8</v>
      </c>
      <c r="EK94" s="24" t="s">
        <v>237</v>
      </c>
      <c r="EL94" s="24" t="s">
        <v>572</v>
      </c>
      <c r="EM94" s="24" t="s">
        <v>210</v>
      </c>
      <c r="EN94" s="24">
        <v>12</v>
      </c>
      <c r="EO94" s="24"/>
      <c r="EP94" s="24"/>
      <c r="EQ94" s="24"/>
      <c r="ER94" s="24"/>
      <c r="ES94" s="24">
        <v>2022</v>
      </c>
      <c r="ET94" s="24">
        <v>34</v>
      </c>
      <c r="EU94" s="24" t="s">
        <v>33</v>
      </c>
      <c r="EV94" s="24">
        <v>148494</v>
      </c>
      <c r="EY94" s="24">
        <v>2022</v>
      </c>
      <c r="EZ94" s="24">
        <v>36</v>
      </c>
      <c r="FA94" s="24" t="s">
        <v>33</v>
      </c>
      <c r="FB94" s="24">
        <v>2100</v>
      </c>
      <c r="FE94" s="24">
        <v>2022</v>
      </c>
      <c r="FF94" s="24">
        <v>35</v>
      </c>
      <c r="FG94" s="24" t="s">
        <v>32</v>
      </c>
      <c r="FH94" s="24">
        <v>0.94120000000000004</v>
      </c>
      <c r="FI94" s="24">
        <v>543</v>
      </c>
      <c r="FJ94" s="24">
        <v>254</v>
      </c>
      <c r="FK94" s="24">
        <v>271</v>
      </c>
      <c r="FN94" s="24">
        <v>2022</v>
      </c>
      <c r="FO94" s="24">
        <v>36</v>
      </c>
      <c r="FP94" s="24" t="s">
        <v>32</v>
      </c>
      <c r="FQ94" s="24">
        <v>42819</v>
      </c>
      <c r="FR94" s="24">
        <v>955.43333333333294</v>
      </c>
      <c r="FS94" s="24">
        <v>25693</v>
      </c>
      <c r="FT94" s="24">
        <v>326.05</v>
      </c>
      <c r="FW94" s="24">
        <v>2022</v>
      </c>
      <c r="FX94" s="24">
        <v>35</v>
      </c>
      <c r="FY94" s="24" t="s">
        <v>32</v>
      </c>
      <c r="FZ94" s="24">
        <v>2942</v>
      </c>
      <c r="GA94" s="24">
        <v>2430</v>
      </c>
      <c r="GB94" s="24"/>
      <c r="GC94" s="24"/>
      <c r="GD94" s="24">
        <v>2022</v>
      </c>
      <c r="GE94" s="24">
        <v>35</v>
      </c>
      <c r="GF94" s="24" t="s">
        <v>32</v>
      </c>
      <c r="GG94" s="24">
        <v>2933</v>
      </c>
      <c r="GH94" s="24">
        <v>2294</v>
      </c>
      <c r="GK94" s="24"/>
      <c r="GL94" s="24"/>
      <c r="GM94" s="24"/>
      <c r="GN94" s="24"/>
      <c r="GO94" s="24"/>
      <c r="GP94" s="24">
        <v>2022</v>
      </c>
      <c r="GQ94" s="24">
        <v>35</v>
      </c>
      <c r="GR94" s="24">
        <v>3.5558571428571399</v>
      </c>
      <c r="GS94" s="24" t="s">
        <v>32</v>
      </c>
      <c r="GX94">
        <v>2022</v>
      </c>
      <c r="GY94">
        <v>35</v>
      </c>
      <c r="GZ94" t="s">
        <v>32</v>
      </c>
      <c r="HA94">
        <v>18768</v>
      </c>
      <c r="HB94">
        <v>17829</v>
      </c>
      <c r="HC94">
        <v>15</v>
      </c>
      <c r="HD94">
        <v>9</v>
      </c>
      <c r="HE94">
        <v>1</v>
      </c>
      <c r="HF94">
        <v>200</v>
      </c>
      <c r="HG94">
        <v>0</v>
      </c>
      <c r="HH94">
        <v>0</v>
      </c>
      <c r="HI94">
        <v>72</v>
      </c>
      <c r="HL94">
        <v>2022</v>
      </c>
      <c r="HM94">
        <v>35</v>
      </c>
      <c r="HN94" t="s">
        <v>32</v>
      </c>
      <c r="HO94">
        <v>18922</v>
      </c>
      <c r="HP94">
        <v>18242</v>
      </c>
      <c r="HQ94">
        <v>12</v>
      </c>
      <c r="HR94">
        <v>4</v>
      </c>
      <c r="HS94">
        <v>0</v>
      </c>
      <c r="HT94">
        <v>455</v>
      </c>
      <c r="HU94">
        <v>0</v>
      </c>
      <c r="HV94">
        <v>0</v>
      </c>
      <c r="HW94">
        <v>17</v>
      </c>
      <c r="HZ94" s="24">
        <v>2022</v>
      </c>
      <c r="IA94" s="24">
        <v>35</v>
      </c>
      <c r="IB94" s="24" t="s">
        <v>32</v>
      </c>
      <c r="IC94" s="24">
        <v>2970</v>
      </c>
      <c r="ID94" s="24">
        <v>2670</v>
      </c>
      <c r="IG94" s="24">
        <v>2022</v>
      </c>
      <c r="IH94" s="24">
        <v>35</v>
      </c>
      <c r="II94" s="24" t="s">
        <v>32</v>
      </c>
      <c r="IJ94" s="24">
        <v>2877</v>
      </c>
      <c r="IK94" s="24">
        <v>2566</v>
      </c>
    </row>
    <row r="95" spans="9:245" x14ac:dyDescent="0.4">
      <c r="I95" s="305">
        <v>2022</v>
      </c>
      <c r="J95" s="306">
        <v>35</v>
      </c>
      <c r="K95" s="306" t="s">
        <v>32</v>
      </c>
      <c r="L95" s="306">
        <v>19162</v>
      </c>
      <c r="M95" s="306">
        <v>17948</v>
      </c>
      <c r="N95" s="306">
        <v>60</v>
      </c>
      <c r="O95" s="306">
        <v>507</v>
      </c>
      <c r="P95" s="306">
        <v>93</v>
      </c>
      <c r="Q95" s="306">
        <v>7</v>
      </c>
      <c r="R95" s="24"/>
      <c r="S95" s="24"/>
      <c r="T95" s="24"/>
      <c r="W95" s="24">
        <v>2022</v>
      </c>
      <c r="X95" s="24">
        <v>35</v>
      </c>
      <c r="Y95" s="24" t="s">
        <v>33</v>
      </c>
      <c r="Z95" s="24">
        <v>318492</v>
      </c>
      <c r="AA95" s="24">
        <v>311284</v>
      </c>
      <c r="AB95" s="24">
        <v>328</v>
      </c>
      <c r="AC95" s="24">
        <v>209</v>
      </c>
      <c r="AD95" s="24"/>
      <c r="AE95" s="24"/>
      <c r="AF95" s="24"/>
      <c r="AG95" s="24"/>
      <c r="AH95" s="24"/>
      <c r="AI95" s="24"/>
      <c r="AJ95" s="24"/>
      <c r="AK95" s="24">
        <v>2022</v>
      </c>
      <c r="AL95" s="24">
        <v>35</v>
      </c>
      <c r="AM95" s="24">
        <v>20891.27</v>
      </c>
      <c r="AN95" s="24">
        <v>1092.57</v>
      </c>
      <c r="AO95" s="24">
        <v>0</v>
      </c>
      <c r="AP95" s="24">
        <v>549</v>
      </c>
      <c r="AQ95" s="24">
        <v>0</v>
      </c>
      <c r="AR95" s="24">
        <v>1</v>
      </c>
      <c r="AS95" s="24" t="s">
        <v>33</v>
      </c>
      <c r="AT95" s="24"/>
      <c r="AU95" s="24">
        <v>2022</v>
      </c>
      <c r="AV95" s="24">
        <v>35</v>
      </c>
      <c r="AW95" s="24">
        <v>0.04</v>
      </c>
      <c r="AX95" s="24">
        <v>12600</v>
      </c>
      <c r="AY95" s="24">
        <v>319861</v>
      </c>
      <c r="AZ95" s="24" t="s">
        <v>33</v>
      </c>
      <c r="BA95" s="24"/>
      <c r="BB95" s="24"/>
      <c r="BC95" s="24">
        <v>2022</v>
      </c>
      <c r="BD95" s="24">
        <v>35</v>
      </c>
      <c r="BE95" s="24">
        <v>3081.7437142857098</v>
      </c>
      <c r="BF95" s="24" t="s">
        <v>33</v>
      </c>
      <c r="BG95" s="24"/>
      <c r="BI95" s="24">
        <v>2022</v>
      </c>
      <c r="BJ95" s="24">
        <v>48</v>
      </c>
      <c r="BK95" s="24" t="s">
        <v>33</v>
      </c>
      <c r="BL95" s="24" t="s">
        <v>273</v>
      </c>
      <c r="BM95" s="24">
        <v>121794</v>
      </c>
      <c r="BN95" s="24">
        <v>121051</v>
      </c>
      <c r="BO95" s="24">
        <v>124925</v>
      </c>
      <c r="BR95" s="24">
        <v>2022</v>
      </c>
      <c r="BS95" s="24">
        <v>35</v>
      </c>
      <c r="BT95" s="24">
        <v>317533</v>
      </c>
      <c r="BU95" s="24">
        <v>3</v>
      </c>
      <c r="BV95" s="24" t="s">
        <v>33</v>
      </c>
      <c r="BY95" s="24">
        <v>2022</v>
      </c>
      <c r="BZ95" s="24">
        <v>45</v>
      </c>
      <c r="CA95" s="24" t="s">
        <v>33</v>
      </c>
      <c r="CB95" s="24" t="s">
        <v>423</v>
      </c>
      <c r="CC95" s="24">
        <v>1</v>
      </c>
      <c r="CF95" s="24">
        <v>2022</v>
      </c>
      <c r="CG95" s="24">
        <v>35</v>
      </c>
      <c r="CH95" s="24" t="s">
        <v>33</v>
      </c>
      <c r="CI95" s="24">
        <v>143.67359952908859</v>
      </c>
      <c r="CJ95" s="24">
        <v>292893</v>
      </c>
      <c r="CK95" s="24">
        <v>2038.6</v>
      </c>
      <c r="CL95" s="24">
        <v>129.21503185817693</v>
      </c>
      <c r="CM95" s="24">
        <v>141340</v>
      </c>
      <c r="CN95" s="24">
        <v>298112</v>
      </c>
      <c r="CO95" s="24">
        <v>2307.1</v>
      </c>
      <c r="CP95" s="24">
        <v>74077</v>
      </c>
      <c r="CQ95" s="24">
        <v>458.4</v>
      </c>
      <c r="CR95" s="24">
        <v>2142.1999999999998</v>
      </c>
      <c r="CS95" s="24">
        <v>146850</v>
      </c>
      <c r="CT95" s="24">
        <v>146850</v>
      </c>
      <c r="CU95" s="24">
        <v>1626.8</v>
      </c>
      <c r="CV95" s="24">
        <v>56361</v>
      </c>
      <c r="CW95" s="24">
        <v>0</v>
      </c>
      <c r="CX95" s="24">
        <v>149859</v>
      </c>
      <c r="CY95" s="24">
        <v>830.9</v>
      </c>
      <c r="CZ95" s="24">
        <v>58359</v>
      </c>
      <c r="DA95" s="24">
        <v>2142.1999999999998</v>
      </c>
      <c r="DD95" s="24">
        <v>2022</v>
      </c>
      <c r="DE95" s="24">
        <v>35</v>
      </c>
      <c r="DF95" s="24" t="s">
        <v>33</v>
      </c>
      <c r="DG95" s="24">
        <v>25425</v>
      </c>
      <c r="DH95" s="24">
        <v>22799</v>
      </c>
      <c r="DJ95" s="24">
        <v>2022</v>
      </c>
      <c r="DK95" s="24">
        <v>34</v>
      </c>
      <c r="DL95" s="24" t="s">
        <v>33</v>
      </c>
      <c r="DM95" s="24">
        <v>248</v>
      </c>
      <c r="DP95" s="24">
        <v>2022</v>
      </c>
      <c r="DQ95" s="24">
        <v>34</v>
      </c>
      <c r="DR95" s="24" t="s">
        <v>33</v>
      </c>
      <c r="DS95" s="24">
        <v>15500</v>
      </c>
      <c r="DT95" s="24"/>
      <c r="DW95" s="24">
        <v>2022</v>
      </c>
      <c r="DX95" s="24">
        <v>44</v>
      </c>
      <c r="DY95" s="24" t="s">
        <v>33</v>
      </c>
      <c r="DZ95" s="24">
        <v>98</v>
      </c>
      <c r="EA95" s="24" t="s">
        <v>149</v>
      </c>
      <c r="EB95" s="24">
        <v>104.8</v>
      </c>
      <c r="EC95" s="24">
        <v>2878.1</v>
      </c>
      <c r="ED95" s="24">
        <v>68939</v>
      </c>
      <c r="EE95" s="24">
        <v>73203</v>
      </c>
      <c r="EF95" s="24">
        <v>333.9</v>
      </c>
      <c r="EI95" s="24">
        <v>2023</v>
      </c>
      <c r="EJ95" s="24">
        <v>8</v>
      </c>
      <c r="EK95" s="24" t="s">
        <v>237</v>
      </c>
      <c r="EL95" s="24" t="s">
        <v>235</v>
      </c>
      <c r="EM95" s="24" t="s">
        <v>210</v>
      </c>
      <c r="EN95" s="24">
        <v>965</v>
      </c>
      <c r="EO95" s="24"/>
      <c r="EP95" s="24"/>
      <c r="EQ95" s="24"/>
      <c r="ER95" s="24"/>
      <c r="ES95" s="24">
        <v>2022</v>
      </c>
      <c r="ET95" s="24">
        <v>33</v>
      </c>
      <c r="EU95" s="24" t="s">
        <v>32</v>
      </c>
      <c r="EV95" s="24">
        <v>8480</v>
      </c>
      <c r="EY95" s="24">
        <v>2022</v>
      </c>
      <c r="EZ95" s="24">
        <v>36</v>
      </c>
      <c r="FA95" s="24" t="s">
        <v>213</v>
      </c>
      <c r="FB95" s="24">
        <v>1</v>
      </c>
      <c r="FE95" s="24">
        <v>2022</v>
      </c>
      <c r="FF95" s="24">
        <v>35</v>
      </c>
      <c r="FG95" s="24" t="s">
        <v>33</v>
      </c>
      <c r="FH95" s="24">
        <v>0.9577</v>
      </c>
      <c r="FI95" s="24">
        <v>15557</v>
      </c>
      <c r="FJ95" s="24">
        <v>7038</v>
      </c>
      <c r="FK95" s="24">
        <v>7398</v>
      </c>
      <c r="FN95" s="24">
        <v>2022</v>
      </c>
      <c r="FO95" s="24">
        <v>36</v>
      </c>
      <c r="FP95" s="24" t="s">
        <v>33</v>
      </c>
      <c r="FQ95" s="24">
        <v>885980</v>
      </c>
      <c r="FR95" s="24">
        <v>8912.9</v>
      </c>
      <c r="FS95" s="24">
        <v>326208</v>
      </c>
      <c r="FT95" s="24">
        <v>2764.7333333333299</v>
      </c>
      <c r="FW95" s="24">
        <v>2022</v>
      </c>
      <c r="FX95" s="24">
        <v>35</v>
      </c>
      <c r="FY95" s="24" t="s">
        <v>33</v>
      </c>
      <c r="FZ95" s="24">
        <v>20835</v>
      </c>
      <c r="GA95" s="24">
        <v>19314</v>
      </c>
      <c r="GB95" s="24"/>
      <c r="GC95" s="24"/>
      <c r="GD95" s="24">
        <v>2022</v>
      </c>
      <c r="GE95" s="24">
        <v>35</v>
      </c>
      <c r="GF95" s="24" t="s">
        <v>33</v>
      </c>
      <c r="GG95" s="24">
        <v>20722</v>
      </c>
      <c r="GH95" s="24">
        <v>19613</v>
      </c>
      <c r="GK95" s="24"/>
      <c r="GL95" s="24"/>
      <c r="GM95" s="24"/>
      <c r="GN95" s="24"/>
      <c r="GO95" s="24"/>
      <c r="GP95" s="24">
        <v>2022</v>
      </c>
      <c r="GQ95" s="24">
        <v>35</v>
      </c>
      <c r="GR95" s="24">
        <v>32.545999999999999</v>
      </c>
      <c r="GS95" s="24" t="s">
        <v>33</v>
      </c>
      <c r="GX95">
        <v>2022</v>
      </c>
      <c r="GY95">
        <v>35</v>
      </c>
      <c r="GZ95" t="s">
        <v>33</v>
      </c>
      <c r="HA95">
        <v>315238</v>
      </c>
      <c r="HB95">
        <v>306517</v>
      </c>
      <c r="HC95">
        <v>603</v>
      </c>
      <c r="HD95">
        <v>154</v>
      </c>
      <c r="HE95">
        <v>7</v>
      </c>
      <c r="HF95">
        <v>1958</v>
      </c>
      <c r="HG95">
        <v>0</v>
      </c>
      <c r="HH95">
        <v>0</v>
      </c>
      <c r="HI95">
        <v>1705</v>
      </c>
      <c r="HL95">
        <v>2022</v>
      </c>
      <c r="HM95">
        <v>35</v>
      </c>
      <c r="HN95" t="s">
        <v>33</v>
      </c>
      <c r="HO95">
        <v>317963</v>
      </c>
      <c r="HP95">
        <v>314621</v>
      </c>
      <c r="HQ95">
        <v>595</v>
      </c>
      <c r="HR95">
        <v>49</v>
      </c>
      <c r="HS95">
        <v>0</v>
      </c>
      <c r="HT95">
        <v>1729</v>
      </c>
      <c r="HU95">
        <v>0</v>
      </c>
      <c r="HV95">
        <v>0</v>
      </c>
      <c r="HW95">
        <v>240</v>
      </c>
      <c r="HZ95" s="24">
        <v>2022</v>
      </c>
      <c r="IA95" s="24">
        <v>35</v>
      </c>
      <c r="IB95" s="24" t="s">
        <v>33</v>
      </c>
      <c r="IC95" s="24">
        <v>21221</v>
      </c>
      <c r="ID95" s="24">
        <v>20058</v>
      </c>
      <c r="IG95" s="24">
        <v>2022</v>
      </c>
      <c r="IH95" s="24">
        <v>35</v>
      </c>
      <c r="II95" s="24" t="s">
        <v>33</v>
      </c>
      <c r="IJ95" s="24">
        <v>19193</v>
      </c>
      <c r="IK95" s="24">
        <v>19008</v>
      </c>
    </row>
    <row r="96" spans="9:245" x14ac:dyDescent="0.4">
      <c r="I96" s="305">
        <v>2022</v>
      </c>
      <c r="J96" s="306">
        <v>35</v>
      </c>
      <c r="K96" s="306" t="s">
        <v>33</v>
      </c>
      <c r="L96" s="306">
        <v>319747</v>
      </c>
      <c r="M96" s="306">
        <v>309941</v>
      </c>
      <c r="N96" s="306">
        <v>1190</v>
      </c>
      <c r="O96" s="306">
        <v>2099</v>
      </c>
      <c r="P96" s="306">
        <v>537</v>
      </c>
      <c r="Q96" s="306">
        <v>200</v>
      </c>
      <c r="R96" s="24"/>
      <c r="S96" s="24"/>
      <c r="T96" s="24"/>
      <c r="W96" s="24">
        <v>2022</v>
      </c>
      <c r="X96" s="24">
        <v>34</v>
      </c>
      <c r="Y96" s="24" t="s">
        <v>32</v>
      </c>
      <c r="Z96" s="24">
        <v>16228</v>
      </c>
      <c r="AA96" s="24">
        <v>15344</v>
      </c>
      <c r="AB96" s="24">
        <v>64</v>
      </c>
      <c r="AC96" s="24">
        <v>5</v>
      </c>
      <c r="AD96" s="24"/>
      <c r="AE96" s="24"/>
      <c r="AF96" s="24"/>
      <c r="AG96" s="24"/>
      <c r="AH96" s="24"/>
      <c r="AI96" s="24"/>
      <c r="AJ96" s="24"/>
      <c r="AK96" s="24">
        <v>2022</v>
      </c>
      <c r="AL96" s="24">
        <v>34</v>
      </c>
      <c r="AM96" s="24">
        <v>461.32</v>
      </c>
      <c r="AN96" s="24">
        <v>26.55</v>
      </c>
      <c r="AO96" s="24">
        <v>0</v>
      </c>
      <c r="AP96" s="24">
        <v>12</v>
      </c>
      <c r="AQ96" s="24">
        <v>0</v>
      </c>
      <c r="AR96" s="24">
        <v>0</v>
      </c>
      <c r="AS96" s="24" t="s">
        <v>32</v>
      </c>
      <c r="AT96" s="24"/>
      <c r="AU96" s="24">
        <v>2022</v>
      </c>
      <c r="AV96" s="24">
        <v>34</v>
      </c>
      <c r="AW96" s="24">
        <v>0.17</v>
      </c>
      <c r="AX96" s="24">
        <v>2900</v>
      </c>
      <c r="AY96" s="24">
        <v>17286</v>
      </c>
      <c r="AZ96" s="24" t="s">
        <v>32</v>
      </c>
      <c r="BA96" s="24"/>
      <c r="BB96" s="24"/>
      <c r="BC96" s="24">
        <v>2022</v>
      </c>
      <c r="BD96" s="24">
        <v>34</v>
      </c>
      <c r="BE96" s="24">
        <v>292.221</v>
      </c>
      <c r="BF96" s="24" t="s">
        <v>32</v>
      </c>
      <c r="BG96" s="24"/>
      <c r="BI96" s="24">
        <v>2022</v>
      </c>
      <c r="BJ96" s="24">
        <v>48</v>
      </c>
      <c r="BK96" s="24" t="s">
        <v>32</v>
      </c>
      <c r="BL96" s="24" t="s">
        <v>272</v>
      </c>
      <c r="BM96" s="24">
        <v>2995</v>
      </c>
      <c r="BN96" s="24">
        <v>2990</v>
      </c>
      <c r="BO96" s="24">
        <v>10246</v>
      </c>
      <c r="BR96" s="24">
        <v>2022</v>
      </c>
      <c r="BS96" s="24">
        <v>34</v>
      </c>
      <c r="BT96" s="24">
        <v>314085</v>
      </c>
      <c r="BU96" s="24">
        <v>16</v>
      </c>
      <c r="BV96" s="24" t="s">
        <v>33</v>
      </c>
      <c r="BY96" s="24">
        <v>2022</v>
      </c>
      <c r="BZ96" s="24">
        <v>44</v>
      </c>
      <c r="CA96" s="24" t="s">
        <v>32</v>
      </c>
      <c r="CB96" s="24" t="s">
        <v>423</v>
      </c>
      <c r="CC96" s="24">
        <v>1</v>
      </c>
      <c r="CF96" s="24">
        <v>2022</v>
      </c>
      <c r="CG96" s="24">
        <v>34</v>
      </c>
      <c r="CH96" s="24" t="s">
        <v>32</v>
      </c>
      <c r="CI96" s="24">
        <v>45.889792231255647</v>
      </c>
      <c r="CJ96" s="24">
        <v>15240</v>
      </c>
      <c r="CK96" s="24">
        <v>332.1</v>
      </c>
      <c r="CL96" s="24">
        <v>56.286516853932582</v>
      </c>
      <c r="CM96" s="24">
        <v>11199</v>
      </c>
      <c r="CN96" s="24">
        <v>20038</v>
      </c>
      <c r="CO96" s="24">
        <v>356</v>
      </c>
      <c r="CP96" s="24">
        <v>6849</v>
      </c>
      <c r="CQ96" s="24">
        <v>30.1</v>
      </c>
      <c r="CR96" s="24">
        <v>180.4</v>
      </c>
      <c r="CS96" s="24">
        <v>12807</v>
      </c>
      <c r="CT96" s="24">
        <v>12807</v>
      </c>
      <c r="CU96" s="24">
        <v>335.5</v>
      </c>
      <c r="CV96" s="24">
        <v>3293</v>
      </c>
      <c r="CW96" s="24">
        <v>0</v>
      </c>
      <c r="CX96" s="24">
        <v>9923</v>
      </c>
      <c r="CY96" s="24">
        <v>85.3</v>
      </c>
      <c r="CZ96" s="24">
        <v>5342</v>
      </c>
      <c r="DA96" s="24">
        <v>180.4</v>
      </c>
      <c r="DD96" s="24">
        <v>2022</v>
      </c>
      <c r="DE96" s="24">
        <v>34</v>
      </c>
      <c r="DF96" s="24" t="s">
        <v>32</v>
      </c>
      <c r="DG96" s="24">
        <v>1829</v>
      </c>
      <c r="DH96" s="24">
        <v>2467</v>
      </c>
      <c r="DJ96" s="24">
        <v>2022</v>
      </c>
      <c r="DK96" s="24">
        <v>33</v>
      </c>
      <c r="DL96" s="24" t="s">
        <v>32</v>
      </c>
      <c r="DM96" s="24">
        <v>32</v>
      </c>
      <c r="DP96" s="24">
        <v>2022</v>
      </c>
      <c r="DQ96" s="24">
        <v>33</v>
      </c>
      <c r="DR96" s="24" t="s">
        <v>33</v>
      </c>
      <c r="DS96" s="24">
        <v>15876</v>
      </c>
      <c r="DT96" s="24"/>
      <c r="DW96" s="24">
        <v>2022</v>
      </c>
      <c r="DX96" s="24">
        <v>43</v>
      </c>
      <c r="DY96" s="24" t="s">
        <v>32</v>
      </c>
      <c r="DZ96" s="24">
        <v>3</v>
      </c>
      <c r="EA96" s="24" t="s">
        <v>149</v>
      </c>
      <c r="EB96" s="24">
        <v>15</v>
      </c>
      <c r="EC96" s="24">
        <v>90.5</v>
      </c>
      <c r="ED96" s="24">
        <v>2382</v>
      </c>
      <c r="EE96" s="24">
        <v>1959</v>
      </c>
      <c r="EF96" s="24">
        <v>11.5</v>
      </c>
      <c r="EI96" s="24">
        <v>2023</v>
      </c>
      <c r="EJ96" s="24">
        <v>8</v>
      </c>
      <c r="EK96" s="24" t="s">
        <v>237</v>
      </c>
      <c r="EL96" s="24" t="s">
        <v>235</v>
      </c>
      <c r="EM96" s="24" t="s">
        <v>234</v>
      </c>
      <c r="EN96" s="24">
        <v>1</v>
      </c>
      <c r="EO96" s="24"/>
      <c r="EP96" s="24"/>
      <c r="EQ96" s="24"/>
      <c r="ER96" s="24"/>
      <c r="ES96" s="24">
        <v>2022</v>
      </c>
      <c r="ET96" s="24">
        <v>33</v>
      </c>
      <c r="EU96" s="24" t="s">
        <v>33</v>
      </c>
      <c r="EV96" s="24">
        <v>138441</v>
      </c>
      <c r="EY96" s="24">
        <v>2022</v>
      </c>
      <c r="EZ96" s="24">
        <v>35</v>
      </c>
      <c r="FA96" s="24" t="s">
        <v>32</v>
      </c>
      <c r="FB96" s="24">
        <v>959</v>
      </c>
      <c r="FE96" s="24">
        <v>2022</v>
      </c>
      <c r="FF96" s="24">
        <v>34</v>
      </c>
      <c r="FG96" s="24" t="s">
        <v>32</v>
      </c>
      <c r="FH96" s="24">
        <v>0.91700000000000004</v>
      </c>
      <c r="FI96" s="24">
        <v>520</v>
      </c>
      <c r="FJ96" s="24">
        <v>243</v>
      </c>
      <c r="FK96" s="24">
        <v>266</v>
      </c>
      <c r="FN96" s="24">
        <v>2022</v>
      </c>
      <c r="FO96" s="24">
        <v>35</v>
      </c>
      <c r="FP96" s="24" t="s">
        <v>32</v>
      </c>
      <c r="FQ96" s="24">
        <v>47179</v>
      </c>
      <c r="FR96" s="24">
        <v>1058.2166666666699</v>
      </c>
      <c r="FS96" s="24">
        <v>35537</v>
      </c>
      <c r="FT96" s="24">
        <v>387.66666666666697</v>
      </c>
      <c r="FW96" s="24">
        <v>2022</v>
      </c>
      <c r="FX96" s="24">
        <v>34</v>
      </c>
      <c r="FY96" s="24" t="s">
        <v>32</v>
      </c>
      <c r="FZ96" s="24">
        <v>2593</v>
      </c>
      <c r="GA96" s="24">
        <v>2148</v>
      </c>
      <c r="GB96" s="24"/>
      <c r="GC96" s="24"/>
      <c r="GD96" s="24">
        <v>2022</v>
      </c>
      <c r="GE96" s="24">
        <v>34</v>
      </c>
      <c r="GF96" s="24" t="s">
        <v>32</v>
      </c>
      <c r="GG96" s="24">
        <v>2580</v>
      </c>
      <c r="GH96" s="24">
        <v>2078</v>
      </c>
      <c r="GK96" s="24"/>
      <c r="GL96" s="24"/>
      <c r="GM96" s="24"/>
      <c r="GN96" s="24"/>
      <c r="GO96" s="24"/>
      <c r="GP96" s="24">
        <v>2022</v>
      </c>
      <c r="GQ96" s="24">
        <v>34</v>
      </c>
      <c r="GR96" s="24">
        <v>3.5524285714285702</v>
      </c>
      <c r="GS96" s="24" t="s">
        <v>32</v>
      </c>
      <c r="GX96">
        <v>2022</v>
      </c>
      <c r="GY96">
        <v>34</v>
      </c>
      <c r="GZ96" t="s">
        <v>32</v>
      </c>
      <c r="HA96">
        <v>16812</v>
      </c>
      <c r="HB96">
        <v>15768</v>
      </c>
      <c r="HC96">
        <v>24</v>
      </c>
      <c r="HD96">
        <v>4</v>
      </c>
      <c r="HE96">
        <v>0</v>
      </c>
      <c r="HF96">
        <v>333</v>
      </c>
      <c r="HG96">
        <v>0</v>
      </c>
      <c r="HH96">
        <v>0</v>
      </c>
      <c r="HI96">
        <v>73</v>
      </c>
      <c r="HL96">
        <v>2022</v>
      </c>
      <c r="HM96">
        <v>34</v>
      </c>
      <c r="HN96" t="s">
        <v>32</v>
      </c>
      <c r="HO96">
        <v>16179</v>
      </c>
      <c r="HP96">
        <v>15746</v>
      </c>
      <c r="HQ96">
        <v>7</v>
      </c>
      <c r="HR96">
        <v>3</v>
      </c>
      <c r="HS96">
        <v>0</v>
      </c>
      <c r="HT96">
        <v>317</v>
      </c>
      <c r="HU96">
        <v>0</v>
      </c>
      <c r="HV96">
        <v>0</v>
      </c>
      <c r="HW96">
        <v>6</v>
      </c>
      <c r="HZ96" s="24">
        <v>2022</v>
      </c>
      <c r="IA96" s="24">
        <v>34</v>
      </c>
      <c r="IB96" s="24" t="s">
        <v>32</v>
      </c>
      <c r="IC96" s="24">
        <v>2647</v>
      </c>
      <c r="ID96" s="24">
        <v>2247</v>
      </c>
      <c r="IG96" s="24">
        <v>2022</v>
      </c>
      <c r="IH96" s="24">
        <v>34</v>
      </c>
      <c r="II96" s="24" t="s">
        <v>32</v>
      </c>
      <c r="IJ96" s="24">
        <v>2491</v>
      </c>
      <c r="IK96" s="24">
        <v>2302</v>
      </c>
    </row>
    <row r="97" spans="9:245" x14ac:dyDescent="0.4">
      <c r="I97" s="305">
        <v>2022</v>
      </c>
      <c r="J97" s="306">
        <v>34</v>
      </c>
      <c r="K97" s="306" t="s">
        <v>32</v>
      </c>
      <c r="L97" s="306">
        <v>16178</v>
      </c>
      <c r="M97" s="306">
        <v>15073</v>
      </c>
      <c r="N97" s="306">
        <v>40</v>
      </c>
      <c r="O97" s="306">
        <v>534</v>
      </c>
      <c r="P97" s="306">
        <v>84</v>
      </c>
      <c r="Q97" s="306">
        <v>1</v>
      </c>
      <c r="R97" s="24"/>
      <c r="S97" s="24"/>
      <c r="T97" s="24"/>
      <c r="W97" s="24">
        <v>2022</v>
      </c>
      <c r="X97" s="24">
        <v>34</v>
      </c>
      <c r="Y97" s="24" t="s">
        <v>33</v>
      </c>
      <c r="Z97" s="24">
        <v>312542</v>
      </c>
      <c r="AA97" s="24">
        <v>306553</v>
      </c>
      <c r="AB97" s="24">
        <v>210</v>
      </c>
      <c r="AC97" s="24">
        <v>164</v>
      </c>
      <c r="AD97" s="24"/>
      <c r="AE97" s="24"/>
      <c r="AF97" s="24"/>
      <c r="AG97" s="24"/>
      <c r="AH97" s="24"/>
      <c r="AI97" s="24"/>
      <c r="AJ97" s="24"/>
      <c r="AK97" s="24">
        <v>2022</v>
      </c>
      <c r="AL97" s="24">
        <v>34</v>
      </c>
      <c r="AM97" s="24">
        <v>21200.45</v>
      </c>
      <c r="AN97" s="24">
        <v>902.68000000000006</v>
      </c>
      <c r="AO97" s="24">
        <v>0</v>
      </c>
      <c r="AP97" s="24">
        <v>551</v>
      </c>
      <c r="AQ97" s="24">
        <v>0</v>
      </c>
      <c r="AR97" s="24">
        <v>4</v>
      </c>
      <c r="AS97" s="24" t="s">
        <v>33</v>
      </c>
      <c r="AT97" s="24"/>
      <c r="AU97" s="24">
        <v>2022</v>
      </c>
      <c r="AV97" s="24">
        <v>34</v>
      </c>
      <c r="AW97" s="24">
        <v>0.11</v>
      </c>
      <c r="AX97" s="24">
        <v>33700</v>
      </c>
      <c r="AY97" s="24">
        <v>315947</v>
      </c>
      <c r="AZ97" s="24" t="s">
        <v>33</v>
      </c>
      <c r="BA97" s="24"/>
      <c r="BB97" s="24"/>
      <c r="BC97" s="24">
        <v>2022</v>
      </c>
      <c r="BD97" s="24">
        <v>34</v>
      </c>
      <c r="BE97" s="24">
        <v>3109.9320000000002</v>
      </c>
      <c r="BF97" s="24" t="s">
        <v>33</v>
      </c>
      <c r="BG97" s="24"/>
      <c r="BI97" s="24">
        <v>2022</v>
      </c>
      <c r="BJ97" s="24">
        <v>48</v>
      </c>
      <c r="BK97" s="24" t="s">
        <v>32</v>
      </c>
      <c r="BL97" s="24" t="s">
        <v>273</v>
      </c>
      <c r="BM97" s="24">
        <v>7177</v>
      </c>
      <c r="BN97" s="24">
        <v>7126</v>
      </c>
      <c r="BO97" s="24">
        <v>7335</v>
      </c>
      <c r="BR97" s="24">
        <v>2022</v>
      </c>
      <c r="BS97" s="24">
        <v>34</v>
      </c>
      <c r="BT97" s="24">
        <v>17113</v>
      </c>
      <c r="BU97" s="24">
        <v>0</v>
      </c>
      <c r="BV97" s="24" t="s">
        <v>32</v>
      </c>
      <c r="BY97" s="24">
        <v>2022</v>
      </c>
      <c r="BZ97" s="24">
        <v>44</v>
      </c>
      <c r="CA97" s="24" t="s">
        <v>33</v>
      </c>
      <c r="CB97" s="24" t="s">
        <v>423</v>
      </c>
      <c r="CC97" s="24">
        <v>1</v>
      </c>
      <c r="CF97" s="24">
        <v>2022</v>
      </c>
      <c r="CG97" s="24">
        <v>34</v>
      </c>
      <c r="CH97" s="24" t="s">
        <v>33</v>
      </c>
      <c r="CI97" s="24">
        <v>143.88355789787698</v>
      </c>
      <c r="CJ97" s="24">
        <v>289393</v>
      </c>
      <c r="CK97" s="24">
        <v>2011.3</v>
      </c>
      <c r="CL97" s="24">
        <v>134.34376123696512</v>
      </c>
      <c r="CM97" s="24">
        <v>142591</v>
      </c>
      <c r="CN97" s="24">
        <v>298888</v>
      </c>
      <c r="CO97" s="24">
        <v>2224.8000000000002</v>
      </c>
      <c r="CP97" s="24">
        <v>74962</v>
      </c>
      <c r="CQ97" s="24">
        <v>534.20000000000005</v>
      </c>
      <c r="CR97" s="24">
        <v>2203.1999999999998</v>
      </c>
      <c r="CS97" s="24">
        <v>138059</v>
      </c>
      <c r="CT97" s="24">
        <v>138059</v>
      </c>
      <c r="CU97" s="24">
        <v>1639.7</v>
      </c>
      <c r="CV97" s="24">
        <v>54748</v>
      </c>
      <c r="CW97" s="24">
        <v>0</v>
      </c>
      <c r="CX97" s="24">
        <v>132756</v>
      </c>
      <c r="CY97" s="24">
        <v>842.4</v>
      </c>
      <c r="CZ97" s="24">
        <v>56665</v>
      </c>
      <c r="DA97" s="24">
        <v>2203.1999999999998</v>
      </c>
      <c r="DD97" s="24">
        <v>2022</v>
      </c>
      <c r="DE97" s="24">
        <v>34</v>
      </c>
      <c r="DF97" s="24" t="s">
        <v>33</v>
      </c>
      <c r="DG97" s="24">
        <v>11296</v>
      </c>
      <c r="DH97" s="24">
        <v>22291</v>
      </c>
      <c r="DJ97" s="24">
        <v>2022</v>
      </c>
      <c r="DK97" s="24">
        <v>33</v>
      </c>
      <c r="DL97" s="24" t="s">
        <v>33</v>
      </c>
      <c r="DM97" s="24">
        <v>176</v>
      </c>
      <c r="DP97" s="24">
        <v>2022</v>
      </c>
      <c r="DQ97" s="24">
        <v>32</v>
      </c>
      <c r="DR97" s="24" t="s">
        <v>33</v>
      </c>
      <c r="DS97" s="24">
        <v>16561</v>
      </c>
      <c r="DT97" s="24"/>
      <c r="DW97" s="24">
        <v>2022</v>
      </c>
      <c r="DX97" s="24">
        <v>43</v>
      </c>
      <c r="DY97" s="24" t="s">
        <v>33</v>
      </c>
      <c r="DZ97" s="24">
        <v>15</v>
      </c>
      <c r="EA97" s="24" t="s">
        <v>562</v>
      </c>
      <c r="EB97" s="24">
        <v>491.4</v>
      </c>
      <c r="EC97" s="24">
        <v>0.1</v>
      </c>
      <c r="ED97" s="24">
        <v>1</v>
      </c>
      <c r="EE97" s="24">
        <v>19989</v>
      </c>
      <c r="EF97" s="24">
        <v>91.5</v>
      </c>
      <c r="EI97" s="24">
        <v>2023</v>
      </c>
      <c r="EJ97" s="24">
        <v>8</v>
      </c>
      <c r="EK97" s="24" t="s">
        <v>237</v>
      </c>
      <c r="EL97" s="24" t="s">
        <v>235</v>
      </c>
      <c r="EM97" s="24" t="s">
        <v>215</v>
      </c>
      <c r="EN97" s="24">
        <v>1</v>
      </c>
      <c r="EO97" s="24"/>
      <c r="EP97" s="24"/>
      <c r="EQ97" s="24"/>
      <c r="ER97" s="24"/>
      <c r="ES97" s="24">
        <v>2022</v>
      </c>
      <c r="ET97" s="24">
        <v>32</v>
      </c>
      <c r="EU97" s="24" t="s">
        <v>32</v>
      </c>
      <c r="EV97" s="24">
        <v>8214</v>
      </c>
      <c r="EY97" s="24">
        <v>2022</v>
      </c>
      <c r="EZ97" s="24">
        <v>35</v>
      </c>
      <c r="FA97" s="24" t="s">
        <v>33</v>
      </c>
      <c r="FB97" s="24">
        <v>1752</v>
      </c>
      <c r="FE97" s="24">
        <v>2022</v>
      </c>
      <c r="FF97" s="24">
        <v>34</v>
      </c>
      <c r="FG97" s="24" t="s">
        <v>33</v>
      </c>
      <c r="FH97" s="24">
        <v>0.97070000000000001</v>
      </c>
      <c r="FI97" s="24">
        <v>15965</v>
      </c>
      <c r="FJ97" s="24">
        <v>7271</v>
      </c>
      <c r="FK97" s="24">
        <v>7526</v>
      </c>
      <c r="FN97" s="24">
        <v>2022</v>
      </c>
      <c r="FO97" s="24">
        <v>35</v>
      </c>
      <c r="FP97" s="24" t="s">
        <v>33</v>
      </c>
      <c r="FQ97" s="24">
        <v>1062085</v>
      </c>
      <c r="FR97" s="24">
        <v>9654.4333333333288</v>
      </c>
      <c r="FS97" s="24">
        <v>361568</v>
      </c>
      <c r="FT97" s="24">
        <v>3092.75</v>
      </c>
      <c r="FW97" s="24">
        <v>2022</v>
      </c>
      <c r="FX97" s="24">
        <v>34</v>
      </c>
      <c r="FY97" s="24" t="s">
        <v>33</v>
      </c>
      <c r="FZ97" s="24">
        <v>19021</v>
      </c>
      <c r="GA97" s="24">
        <v>17651</v>
      </c>
      <c r="GB97" s="24"/>
      <c r="GC97" s="24"/>
      <c r="GD97" s="24">
        <v>2022</v>
      </c>
      <c r="GE97" s="24">
        <v>34</v>
      </c>
      <c r="GF97" s="24" t="s">
        <v>33</v>
      </c>
      <c r="GG97" s="24">
        <v>19053</v>
      </c>
      <c r="GH97" s="24">
        <v>18154</v>
      </c>
      <c r="GK97" s="24"/>
      <c r="GL97" s="24"/>
      <c r="GM97" s="24"/>
      <c r="GN97" s="24"/>
      <c r="GO97" s="24"/>
      <c r="GP97" s="24">
        <v>2022</v>
      </c>
      <c r="GQ97" s="24">
        <v>34</v>
      </c>
      <c r="GR97" s="24">
        <v>30.241</v>
      </c>
      <c r="GS97" s="24" t="s">
        <v>33</v>
      </c>
      <c r="GX97">
        <v>2022</v>
      </c>
      <c r="GY97">
        <v>34</v>
      </c>
      <c r="GZ97" t="s">
        <v>33</v>
      </c>
      <c r="HA97">
        <v>312169</v>
      </c>
      <c r="HB97">
        <v>304720</v>
      </c>
      <c r="HC97">
        <v>769</v>
      </c>
      <c r="HD97">
        <v>154</v>
      </c>
      <c r="HE97">
        <v>3</v>
      </c>
      <c r="HF97">
        <v>874</v>
      </c>
      <c r="HG97">
        <v>0</v>
      </c>
      <c r="HH97">
        <v>4</v>
      </c>
      <c r="HI97">
        <v>1390</v>
      </c>
      <c r="HL97">
        <v>2022</v>
      </c>
      <c r="HM97">
        <v>34</v>
      </c>
      <c r="HN97" t="s">
        <v>33</v>
      </c>
      <c r="HO97">
        <v>312209</v>
      </c>
      <c r="HP97">
        <v>309510</v>
      </c>
      <c r="HQ97">
        <v>988</v>
      </c>
      <c r="HR97">
        <v>43</v>
      </c>
      <c r="HS97">
        <v>1</v>
      </c>
      <c r="HT97">
        <v>760</v>
      </c>
      <c r="HU97">
        <v>0</v>
      </c>
      <c r="HV97">
        <v>3</v>
      </c>
      <c r="HW97">
        <v>167</v>
      </c>
      <c r="HZ97" s="24">
        <v>2022</v>
      </c>
      <c r="IA97" s="24">
        <v>34</v>
      </c>
      <c r="IB97" s="24" t="s">
        <v>33</v>
      </c>
      <c r="IC97" s="24">
        <v>18914</v>
      </c>
      <c r="ID97" s="24">
        <v>18064</v>
      </c>
      <c r="IG97" s="24">
        <v>2022</v>
      </c>
      <c r="IH97" s="24">
        <v>34</v>
      </c>
      <c r="II97" s="24" t="s">
        <v>33</v>
      </c>
      <c r="IJ97" s="24">
        <v>17657</v>
      </c>
      <c r="IK97" s="24">
        <v>17498</v>
      </c>
    </row>
    <row r="98" spans="9:245" x14ac:dyDescent="0.4">
      <c r="I98" s="305">
        <v>2022</v>
      </c>
      <c r="J98" s="306">
        <v>34</v>
      </c>
      <c r="K98" s="306" t="s">
        <v>33</v>
      </c>
      <c r="L98" s="306">
        <v>312751</v>
      </c>
      <c r="M98" s="306">
        <v>303883</v>
      </c>
      <c r="N98" s="306">
        <v>887</v>
      </c>
      <c r="O98" s="306">
        <v>2523</v>
      </c>
      <c r="P98" s="306">
        <v>454</v>
      </c>
      <c r="Q98" s="306">
        <v>161</v>
      </c>
      <c r="R98" s="24"/>
      <c r="S98" s="24"/>
      <c r="T98" s="24"/>
      <c r="W98" s="24">
        <v>2022</v>
      </c>
      <c r="X98" s="24">
        <v>33</v>
      </c>
      <c r="Y98" s="24" t="s">
        <v>32</v>
      </c>
      <c r="Z98" s="24">
        <v>14968</v>
      </c>
      <c r="AA98" s="24">
        <v>14276</v>
      </c>
      <c r="AB98" s="24">
        <v>23</v>
      </c>
      <c r="AC98" s="24">
        <v>3</v>
      </c>
      <c r="AD98" s="24"/>
      <c r="AE98" s="24"/>
      <c r="AF98" s="24"/>
      <c r="AG98" s="24"/>
      <c r="AH98" s="24"/>
      <c r="AI98" s="24"/>
      <c r="AJ98" s="24"/>
      <c r="AK98" s="24">
        <v>2022</v>
      </c>
      <c r="AL98" s="24">
        <v>33</v>
      </c>
      <c r="AM98" s="24">
        <v>456.38</v>
      </c>
      <c r="AN98" s="24">
        <v>24.52</v>
      </c>
      <c r="AO98" s="24">
        <v>0</v>
      </c>
      <c r="AP98" s="24">
        <v>11</v>
      </c>
      <c r="AQ98" s="24">
        <v>0</v>
      </c>
      <c r="AR98" s="24">
        <v>0</v>
      </c>
      <c r="AS98" s="24" t="s">
        <v>32</v>
      </c>
      <c r="AT98" s="24"/>
      <c r="AU98" s="24">
        <v>2022</v>
      </c>
      <c r="AV98" s="24">
        <v>33</v>
      </c>
      <c r="AW98" s="24">
        <v>0.17</v>
      </c>
      <c r="AX98" s="24">
        <v>2700</v>
      </c>
      <c r="AY98" s="24">
        <v>15433</v>
      </c>
      <c r="AZ98" s="24" t="s">
        <v>32</v>
      </c>
      <c r="BA98" s="24"/>
      <c r="BB98" s="24"/>
      <c r="BC98" s="24">
        <v>2022</v>
      </c>
      <c r="BD98" s="24">
        <v>33</v>
      </c>
      <c r="BE98" s="24">
        <v>288.90199999999999</v>
      </c>
      <c r="BF98" s="24" t="s">
        <v>32</v>
      </c>
      <c r="BG98" s="24"/>
      <c r="BI98" s="24">
        <v>2022</v>
      </c>
      <c r="BJ98" s="24">
        <v>47</v>
      </c>
      <c r="BK98" s="24" t="s">
        <v>32</v>
      </c>
      <c r="BL98" s="24" t="s">
        <v>272</v>
      </c>
      <c r="BM98" s="24">
        <v>2267</v>
      </c>
      <c r="BN98" s="24">
        <v>2263</v>
      </c>
      <c r="BO98" s="24">
        <v>7420</v>
      </c>
      <c r="BR98" s="24">
        <v>2022</v>
      </c>
      <c r="BS98" s="24">
        <v>33</v>
      </c>
      <c r="BT98" s="24">
        <v>15354</v>
      </c>
      <c r="BU98" s="24">
        <v>2</v>
      </c>
      <c r="BV98" s="24" t="s">
        <v>32</v>
      </c>
      <c r="BY98" s="24">
        <v>2022</v>
      </c>
      <c r="BZ98" s="24">
        <v>43</v>
      </c>
      <c r="CA98" s="24" t="s">
        <v>32</v>
      </c>
      <c r="CB98" s="24" t="s">
        <v>108</v>
      </c>
      <c r="CC98" s="24">
        <v>1</v>
      </c>
      <c r="CF98" s="24">
        <v>2022</v>
      </c>
      <c r="CG98" s="24">
        <v>33</v>
      </c>
      <c r="CH98" s="24" t="s">
        <v>32</v>
      </c>
      <c r="CI98" s="24">
        <v>45.872616048938468</v>
      </c>
      <c r="CJ98" s="24">
        <v>12748</v>
      </c>
      <c r="CK98" s="24">
        <v>277.89999999999998</v>
      </c>
      <c r="CL98" s="24">
        <v>60.304103926778858</v>
      </c>
      <c r="CM98" s="24">
        <v>10807</v>
      </c>
      <c r="CN98" s="24">
        <v>20425</v>
      </c>
      <c r="CO98" s="24">
        <v>338.7</v>
      </c>
      <c r="CP98" s="24">
        <v>7430</v>
      </c>
      <c r="CQ98" s="24">
        <v>37</v>
      </c>
      <c r="CR98" s="24">
        <v>209.1</v>
      </c>
      <c r="CS98" s="24">
        <v>12236</v>
      </c>
      <c r="CT98" s="24">
        <v>12236</v>
      </c>
      <c r="CU98" s="24">
        <v>366.2</v>
      </c>
      <c r="CV98" s="24">
        <v>3097</v>
      </c>
      <c r="CW98" s="24">
        <v>0</v>
      </c>
      <c r="CX98" s="24">
        <v>9631</v>
      </c>
      <c r="CY98" s="24">
        <v>100.1</v>
      </c>
      <c r="CZ98" s="24">
        <v>5616</v>
      </c>
      <c r="DA98" s="24">
        <v>209.1</v>
      </c>
      <c r="DD98" s="24">
        <v>2022</v>
      </c>
      <c r="DE98" s="24">
        <v>33</v>
      </c>
      <c r="DF98" s="24" t="s">
        <v>32</v>
      </c>
      <c r="DG98" s="24">
        <v>1754</v>
      </c>
      <c r="DH98" s="24">
        <v>2210</v>
      </c>
      <c r="DJ98" s="24">
        <v>2022</v>
      </c>
      <c r="DK98" s="24">
        <v>32</v>
      </c>
      <c r="DL98" s="24" t="s">
        <v>32</v>
      </c>
      <c r="DM98" s="24">
        <v>36</v>
      </c>
      <c r="DP98" s="24">
        <v>2022</v>
      </c>
      <c r="DQ98" s="24">
        <v>31</v>
      </c>
      <c r="DR98" s="24" t="s">
        <v>33</v>
      </c>
      <c r="DS98" s="24">
        <v>20623</v>
      </c>
      <c r="DT98" s="24"/>
      <c r="DW98" s="24">
        <v>2022</v>
      </c>
      <c r="DX98" s="24">
        <v>43</v>
      </c>
      <c r="DY98" s="24" t="s">
        <v>33</v>
      </c>
      <c r="DZ98" s="24">
        <v>98</v>
      </c>
      <c r="EA98" s="24" t="s">
        <v>149</v>
      </c>
      <c r="EB98" s="24">
        <v>27.2</v>
      </c>
      <c r="EC98" s="24">
        <v>2906.5</v>
      </c>
      <c r="ED98" s="24">
        <v>70026</v>
      </c>
      <c r="EE98" s="24">
        <v>69897</v>
      </c>
      <c r="EF98" s="24">
        <v>401.5</v>
      </c>
      <c r="EI98" s="24">
        <v>2023</v>
      </c>
      <c r="EJ98" s="24">
        <v>8</v>
      </c>
      <c r="EK98" s="24" t="s">
        <v>237</v>
      </c>
      <c r="EL98" s="24" t="s">
        <v>247</v>
      </c>
      <c r="EM98" s="24" t="s">
        <v>210</v>
      </c>
      <c r="EN98" s="24">
        <v>7</v>
      </c>
      <c r="EO98" s="24"/>
      <c r="EP98" s="24"/>
      <c r="EQ98" s="24"/>
      <c r="ER98" s="24"/>
      <c r="ES98" s="24">
        <v>2022</v>
      </c>
      <c r="ET98" s="24">
        <v>32</v>
      </c>
      <c r="EU98" s="24" t="s">
        <v>33</v>
      </c>
      <c r="EV98" s="24">
        <v>149477</v>
      </c>
      <c r="EY98" s="24">
        <v>2022</v>
      </c>
      <c r="EZ98" s="24">
        <v>34</v>
      </c>
      <c r="FA98" s="24" t="s">
        <v>32</v>
      </c>
      <c r="FB98" s="24">
        <v>1037</v>
      </c>
      <c r="FE98" s="24">
        <v>2022</v>
      </c>
      <c r="FF98" s="24">
        <v>33</v>
      </c>
      <c r="FG98" s="24" t="s">
        <v>32</v>
      </c>
      <c r="FH98" s="24">
        <v>0.95500000000000007</v>
      </c>
      <c r="FI98" s="24">
        <v>425</v>
      </c>
      <c r="FJ98" s="24">
        <v>203</v>
      </c>
      <c r="FK98" s="24">
        <v>213</v>
      </c>
      <c r="FN98" s="24">
        <v>2022</v>
      </c>
      <c r="FO98" s="24">
        <v>34</v>
      </c>
      <c r="FP98" s="24" t="s">
        <v>32</v>
      </c>
      <c r="FQ98" s="24">
        <v>41335</v>
      </c>
      <c r="FR98" s="24">
        <v>949.56666666666695</v>
      </c>
      <c r="FS98" s="24">
        <v>32906</v>
      </c>
      <c r="FT98" s="24">
        <v>426.3</v>
      </c>
      <c r="FW98" s="24">
        <v>2022</v>
      </c>
      <c r="FX98" s="24">
        <v>33</v>
      </c>
      <c r="FY98" s="24" t="s">
        <v>32</v>
      </c>
      <c r="FZ98" s="24">
        <v>2493</v>
      </c>
      <c r="GA98" s="24">
        <v>2192</v>
      </c>
      <c r="GB98" s="24"/>
      <c r="GC98" s="24"/>
      <c r="GD98" s="24">
        <v>2022</v>
      </c>
      <c r="GE98" s="24">
        <v>33</v>
      </c>
      <c r="GF98" s="24" t="s">
        <v>32</v>
      </c>
      <c r="GG98" s="24">
        <v>2503</v>
      </c>
      <c r="GH98" s="24">
        <v>2192</v>
      </c>
      <c r="GK98" s="24"/>
      <c r="GL98" s="24"/>
      <c r="GM98" s="24"/>
      <c r="GN98" s="24"/>
      <c r="GO98" s="24"/>
      <c r="GP98" s="24">
        <v>2022</v>
      </c>
      <c r="GQ98" s="24">
        <v>33</v>
      </c>
      <c r="GR98" s="24">
        <v>3.5489999999999999</v>
      </c>
      <c r="GS98" s="24" t="s">
        <v>32</v>
      </c>
      <c r="GX98">
        <v>2022</v>
      </c>
      <c r="GY98">
        <v>33</v>
      </c>
      <c r="GZ98" t="s">
        <v>32</v>
      </c>
      <c r="HA98">
        <v>15013</v>
      </c>
      <c r="HB98">
        <v>14324</v>
      </c>
      <c r="HC98">
        <v>5</v>
      </c>
      <c r="HD98">
        <v>0</v>
      </c>
      <c r="HE98">
        <v>0</v>
      </c>
      <c r="HF98">
        <v>91</v>
      </c>
      <c r="HG98">
        <v>0</v>
      </c>
      <c r="HH98">
        <v>0</v>
      </c>
      <c r="HI98">
        <v>83</v>
      </c>
      <c r="HL98">
        <v>2022</v>
      </c>
      <c r="HM98">
        <v>33</v>
      </c>
      <c r="HN98" t="s">
        <v>32</v>
      </c>
      <c r="HO98">
        <v>14910</v>
      </c>
      <c r="HP98">
        <v>14650</v>
      </c>
      <c r="HQ98">
        <v>11</v>
      </c>
      <c r="HR98">
        <v>0</v>
      </c>
      <c r="HS98">
        <v>0</v>
      </c>
      <c r="HT98">
        <v>124</v>
      </c>
      <c r="HU98">
        <v>0</v>
      </c>
      <c r="HV98">
        <v>0</v>
      </c>
      <c r="HW98">
        <v>10</v>
      </c>
      <c r="HZ98" s="24">
        <v>2022</v>
      </c>
      <c r="IA98" s="24">
        <v>33</v>
      </c>
      <c r="IB98" s="24" t="s">
        <v>32</v>
      </c>
      <c r="IC98" s="24">
        <v>2533</v>
      </c>
      <c r="ID98" s="24">
        <v>2321</v>
      </c>
      <c r="IG98" s="24">
        <v>2022</v>
      </c>
      <c r="IH98" s="24">
        <v>33</v>
      </c>
      <c r="II98" s="24" t="s">
        <v>32</v>
      </c>
      <c r="IJ98" s="24">
        <v>2447</v>
      </c>
      <c r="IK98" s="24">
        <v>2336</v>
      </c>
    </row>
    <row r="99" spans="9:245" x14ac:dyDescent="0.4">
      <c r="I99" s="305">
        <v>2022</v>
      </c>
      <c r="J99" s="306">
        <v>33</v>
      </c>
      <c r="K99" s="306" t="s">
        <v>32</v>
      </c>
      <c r="L99" s="306">
        <v>15118</v>
      </c>
      <c r="M99" s="306">
        <v>14252</v>
      </c>
      <c r="N99" s="306">
        <v>68</v>
      </c>
      <c r="O99" s="306">
        <v>444</v>
      </c>
      <c r="P99" s="306">
        <v>68</v>
      </c>
      <c r="Q99" s="306">
        <v>8</v>
      </c>
      <c r="R99" s="24"/>
      <c r="S99" s="24"/>
      <c r="T99" s="24"/>
      <c r="W99" s="24">
        <v>2022</v>
      </c>
      <c r="X99" s="24">
        <v>33</v>
      </c>
      <c r="Y99" s="24" t="s">
        <v>33</v>
      </c>
      <c r="Z99" s="24">
        <v>297815</v>
      </c>
      <c r="AA99" s="24">
        <v>290887</v>
      </c>
      <c r="AB99" s="24">
        <v>253</v>
      </c>
      <c r="AC99" s="24">
        <v>125</v>
      </c>
      <c r="AD99" s="24"/>
      <c r="AE99" s="24"/>
      <c r="AF99" s="24"/>
      <c r="AG99" s="24"/>
      <c r="AH99" s="24"/>
      <c r="AI99" s="24"/>
      <c r="AJ99" s="24"/>
      <c r="AK99" s="24">
        <v>2022</v>
      </c>
      <c r="AL99" s="24">
        <v>33</v>
      </c>
      <c r="AM99" s="24">
        <v>20972.670000000002</v>
      </c>
      <c r="AN99" s="24">
        <v>692.55000000000007</v>
      </c>
      <c r="AO99" s="24">
        <v>0</v>
      </c>
      <c r="AP99" s="24">
        <v>565</v>
      </c>
      <c r="AQ99" s="24">
        <v>0</v>
      </c>
      <c r="AR99" s="24">
        <v>3</v>
      </c>
      <c r="AS99" s="24" t="s">
        <v>33</v>
      </c>
      <c r="AT99" s="24"/>
      <c r="AU99" s="24">
        <v>2022</v>
      </c>
      <c r="AV99" s="24">
        <v>33</v>
      </c>
      <c r="AW99" s="24">
        <v>0.1</v>
      </c>
      <c r="AX99" s="24">
        <v>30700</v>
      </c>
      <c r="AY99" s="24">
        <v>303931</v>
      </c>
      <c r="AZ99" s="24" t="s">
        <v>33</v>
      </c>
      <c r="BA99" s="24"/>
      <c r="BB99" s="24"/>
      <c r="BC99" s="24">
        <v>2022</v>
      </c>
      <c r="BD99" s="24">
        <v>33</v>
      </c>
      <c r="BE99" s="24">
        <v>3148.1798571428599</v>
      </c>
      <c r="BF99" s="24" t="s">
        <v>33</v>
      </c>
      <c r="BG99" s="24"/>
      <c r="BI99" s="24">
        <v>2022</v>
      </c>
      <c r="BJ99" s="24">
        <v>47</v>
      </c>
      <c r="BK99" s="24" t="s">
        <v>33</v>
      </c>
      <c r="BL99" s="24" t="s">
        <v>273</v>
      </c>
      <c r="BM99" s="24">
        <v>84656</v>
      </c>
      <c r="BN99" s="24">
        <v>84037</v>
      </c>
      <c r="BO99" s="24">
        <v>86213</v>
      </c>
      <c r="BR99" s="24">
        <v>2022</v>
      </c>
      <c r="BS99" s="24">
        <v>33</v>
      </c>
      <c r="BT99" s="24">
        <v>302460</v>
      </c>
      <c r="BU99" s="24">
        <v>6</v>
      </c>
      <c r="BV99" s="24" t="s">
        <v>33</v>
      </c>
      <c r="BY99" s="24">
        <v>2022</v>
      </c>
      <c r="BZ99" s="24">
        <v>43</v>
      </c>
      <c r="CA99" s="24" t="s">
        <v>32</v>
      </c>
      <c r="CB99" s="24" t="s">
        <v>423</v>
      </c>
      <c r="CC99" s="24">
        <v>1</v>
      </c>
      <c r="CF99" s="24">
        <v>2022</v>
      </c>
      <c r="CG99" s="24">
        <v>33</v>
      </c>
      <c r="CH99" s="24" t="s">
        <v>33</v>
      </c>
      <c r="CI99" s="24">
        <v>137.3772038738515</v>
      </c>
      <c r="CJ99" s="24">
        <v>276609</v>
      </c>
      <c r="CK99" s="24">
        <v>2013.5</v>
      </c>
      <c r="CL99" s="24">
        <v>132.59380097879281</v>
      </c>
      <c r="CM99" s="24">
        <v>133886</v>
      </c>
      <c r="CN99" s="24">
        <v>284480</v>
      </c>
      <c r="CO99" s="24">
        <v>2145.5</v>
      </c>
      <c r="CP99" s="24">
        <v>73075</v>
      </c>
      <c r="CQ99" s="24">
        <v>421.5</v>
      </c>
      <c r="CR99" s="24">
        <v>2208</v>
      </c>
      <c r="CS99" s="24">
        <v>165504</v>
      </c>
      <c r="CT99" s="24">
        <v>165504</v>
      </c>
      <c r="CU99" s="24">
        <v>1782.1</v>
      </c>
      <c r="CV99" s="24">
        <v>51463</v>
      </c>
      <c r="CW99" s="24">
        <v>0</v>
      </c>
      <c r="CX99" s="24">
        <v>171896</v>
      </c>
      <c r="CY99" s="24">
        <v>968.5</v>
      </c>
      <c r="CZ99" s="24">
        <v>56375</v>
      </c>
      <c r="DA99" s="24">
        <v>2208</v>
      </c>
      <c r="DD99" s="24">
        <v>2022</v>
      </c>
      <c r="DE99" s="24">
        <v>33</v>
      </c>
      <c r="DF99" s="24" t="s">
        <v>33</v>
      </c>
      <c r="DG99" s="24">
        <v>24441</v>
      </c>
      <c r="DH99" s="24">
        <v>26486</v>
      </c>
      <c r="DJ99" s="24">
        <v>2022</v>
      </c>
      <c r="DK99" s="24">
        <v>32</v>
      </c>
      <c r="DL99" s="24" t="s">
        <v>33</v>
      </c>
      <c r="DM99" s="24">
        <v>421</v>
      </c>
      <c r="DP99" s="24">
        <v>2022</v>
      </c>
      <c r="DQ99" s="24">
        <v>30</v>
      </c>
      <c r="DR99" s="24" t="s">
        <v>33</v>
      </c>
      <c r="DS99" s="24">
        <v>20428</v>
      </c>
      <c r="DT99" s="24"/>
      <c r="DW99" s="24">
        <v>2022</v>
      </c>
      <c r="DX99" s="24">
        <v>42</v>
      </c>
      <c r="DY99" s="24" t="s">
        <v>32</v>
      </c>
      <c r="DZ99" s="24">
        <v>3</v>
      </c>
      <c r="EA99" s="24" t="s">
        <v>149</v>
      </c>
      <c r="EB99" s="24">
        <v>53.7</v>
      </c>
      <c r="EC99" s="24">
        <v>100</v>
      </c>
      <c r="ED99" s="24">
        <v>2118</v>
      </c>
      <c r="EE99" s="24">
        <v>1779</v>
      </c>
      <c r="EF99" s="24">
        <v>12</v>
      </c>
      <c r="EI99" s="24">
        <v>2023</v>
      </c>
      <c r="EJ99" s="24">
        <v>8</v>
      </c>
      <c r="EK99" s="24" t="s">
        <v>211</v>
      </c>
      <c r="EL99" s="24" t="s">
        <v>212</v>
      </c>
      <c r="EM99" s="24" t="s">
        <v>210</v>
      </c>
      <c r="EN99" s="24">
        <v>5</v>
      </c>
      <c r="EO99" s="24"/>
      <c r="EP99" s="24"/>
      <c r="EQ99" s="24"/>
      <c r="ER99" s="24"/>
      <c r="ES99" s="24">
        <v>2022</v>
      </c>
      <c r="ET99" s="24">
        <v>32</v>
      </c>
      <c r="EU99" s="24" t="s">
        <v>213</v>
      </c>
      <c r="EV99" s="24">
        <v>1</v>
      </c>
      <c r="EY99" s="24">
        <v>2022</v>
      </c>
      <c r="EZ99" s="24">
        <v>34</v>
      </c>
      <c r="FA99" s="24" t="s">
        <v>33</v>
      </c>
      <c r="FB99" s="24">
        <v>2411</v>
      </c>
      <c r="FE99" s="24">
        <v>2022</v>
      </c>
      <c r="FF99" s="24">
        <v>33</v>
      </c>
      <c r="FG99" s="24" t="s">
        <v>33</v>
      </c>
      <c r="FH99" s="24">
        <v>0.94740000000000002</v>
      </c>
      <c r="FI99" s="24">
        <v>16194</v>
      </c>
      <c r="FJ99" s="24">
        <v>7378</v>
      </c>
      <c r="FK99" s="24">
        <v>7842</v>
      </c>
      <c r="FN99" s="24">
        <v>2022</v>
      </c>
      <c r="FO99" s="24">
        <v>34</v>
      </c>
      <c r="FP99" s="24" t="s">
        <v>33</v>
      </c>
      <c r="FQ99" s="24">
        <v>1034561</v>
      </c>
      <c r="FR99" s="24">
        <v>9615.216666666669</v>
      </c>
      <c r="FS99" s="24">
        <v>338754</v>
      </c>
      <c r="FT99" s="24">
        <v>3188</v>
      </c>
      <c r="FW99" s="24">
        <v>2022</v>
      </c>
      <c r="FX99" s="24">
        <v>33</v>
      </c>
      <c r="FY99" s="24" t="s">
        <v>33</v>
      </c>
      <c r="FZ99" s="24">
        <v>19903</v>
      </c>
      <c r="GA99" s="24">
        <v>18130</v>
      </c>
      <c r="GB99" s="24"/>
      <c r="GC99" s="24"/>
      <c r="GD99" s="24">
        <v>2022</v>
      </c>
      <c r="GE99" s="24">
        <v>33</v>
      </c>
      <c r="GF99" s="24" t="s">
        <v>33</v>
      </c>
      <c r="GG99" s="24">
        <v>19868</v>
      </c>
      <c r="GH99" s="24">
        <v>18660</v>
      </c>
      <c r="GK99" s="24"/>
      <c r="GL99" s="24"/>
      <c r="GM99" s="24"/>
      <c r="GN99" s="24"/>
      <c r="GO99" s="24"/>
      <c r="GP99" s="24">
        <v>2022</v>
      </c>
      <c r="GQ99" s="24">
        <v>33</v>
      </c>
      <c r="GR99" s="24">
        <v>24.691285714285701</v>
      </c>
      <c r="GS99" s="24" t="s">
        <v>33</v>
      </c>
      <c r="GX99">
        <v>2022</v>
      </c>
      <c r="GY99">
        <v>33</v>
      </c>
      <c r="GZ99" t="s">
        <v>33</v>
      </c>
      <c r="HA99">
        <v>300204</v>
      </c>
      <c r="HB99">
        <v>293260</v>
      </c>
      <c r="HC99">
        <v>733</v>
      </c>
      <c r="HD99">
        <v>169</v>
      </c>
      <c r="HE99">
        <v>2</v>
      </c>
      <c r="HF99">
        <v>1190</v>
      </c>
      <c r="HG99">
        <v>0</v>
      </c>
      <c r="HH99">
        <v>0</v>
      </c>
      <c r="HI99">
        <v>1368</v>
      </c>
      <c r="HL99">
        <v>2022</v>
      </c>
      <c r="HM99">
        <v>33</v>
      </c>
      <c r="HN99" t="s">
        <v>33</v>
      </c>
      <c r="HO99">
        <v>297460</v>
      </c>
      <c r="HP99">
        <v>294819</v>
      </c>
      <c r="HQ99">
        <v>756</v>
      </c>
      <c r="HR99">
        <v>38</v>
      </c>
      <c r="HS99">
        <v>1</v>
      </c>
      <c r="HT99">
        <v>939</v>
      </c>
      <c r="HU99">
        <v>0</v>
      </c>
      <c r="HV99">
        <v>0</v>
      </c>
      <c r="HW99">
        <v>124</v>
      </c>
      <c r="HZ99" s="24">
        <v>2022</v>
      </c>
      <c r="IA99" s="24">
        <v>33</v>
      </c>
      <c r="IB99" s="24" t="s">
        <v>33</v>
      </c>
      <c r="IC99" s="24">
        <v>19801</v>
      </c>
      <c r="ID99" s="24">
        <v>18859</v>
      </c>
      <c r="IG99" s="24">
        <v>2022</v>
      </c>
      <c r="IH99" s="24">
        <v>33</v>
      </c>
      <c r="II99" s="24" t="s">
        <v>33</v>
      </c>
      <c r="IJ99" s="24">
        <v>18578</v>
      </c>
      <c r="IK99" s="24">
        <v>18399</v>
      </c>
    </row>
    <row r="100" spans="9:245" x14ac:dyDescent="0.4">
      <c r="I100" s="305">
        <v>2022</v>
      </c>
      <c r="J100" s="306">
        <v>33</v>
      </c>
      <c r="K100" s="306" t="s">
        <v>33</v>
      </c>
      <c r="L100" s="306">
        <v>298099</v>
      </c>
      <c r="M100" s="306">
        <v>288458</v>
      </c>
      <c r="N100" s="306">
        <v>1434</v>
      </c>
      <c r="O100" s="306">
        <v>2253</v>
      </c>
      <c r="P100" s="306">
        <v>530</v>
      </c>
      <c r="Q100" s="306">
        <v>139</v>
      </c>
      <c r="R100" s="24"/>
      <c r="S100" s="24"/>
      <c r="T100" s="24"/>
      <c r="W100" s="24">
        <v>2022</v>
      </c>
      <c r="X100" s="24">
        <v>32</v>
      </c>
      <c r="Y100" s="24" t="s">
        <v>32</v>
      </c>
      <c r="Z100" s="24">
        <v>16811</v>
      </c>
      <c r="AA100" s="24">
        <v>16073</v>
      </c>
      <c r="AB100" s="24">
        <v>54</v>
      </c>
      <c r="AC100" s="24">
        <v>12</v>
      </c>
      <c r="AD100" s="24"/>
      <c r="AE100" s="24"/>
      <c r="AF100" s="24"/>
      <c r="AG100" s="24"/>
      <c r="AH100" s="24"/>
      <c r="AI100" s="24"/>
      <c r="AJ100" s="24"/>
      <c r="AK100" s="24">
        <v>2022</v>
      </c>
      <c r="AL100" s="24">
        <v>32</v>
      </c>
      <c r="AM100" s="24">
        <v>525.65</v>
      </c>
      <c r="AN100" s="24">
        <v>30.23</v>
      </c>
      <c r="AO100" s="24">
        <v>0</v>
      </c>
      <c r="AP100" s="24">
        <v>14</v>
      </c>
      <c r="AQ100" s="24">
        <v>0</v>
      </c>
      <c r="AR100" s="24">
        <v>0</v>
      </c>
      <c r="AS100" s="24" t="s">
        <v>32</v>
      </c>
      <c r="AT100" s="24"/>
      <c r="AU100" s="24">
        <v>2022</v>
      </c>
      <c r="AV100" s="24">
        <v>32</v>
      </c>
      <c r="AW100" s="24">
        <v>0.12</v>
      </c>
      <c r="AX100" s="24">
        <v>2100</v>
      </c>
      <c r="AY100" s="24">
        <v>17226</v>
      </c>
      <c r="AZ100" s="24" t="s">
        <v>32</v>
      </c>
      <c r="BA100" s="24"/>
      <c r="BB100" s="24"/>
      <c r="BC100" s="24">
        <v>2022</v>
      </c>
      <c r="BD100" s="24">
        <v>32</v>
      </c>
      <c r="BE100" s="24">
        <v>286.50342857142897</v>
      </c>
      <c r="BF100" s="24" t="s">
        <v>32</v>
      </c>
      <c r="BG100" s="24"/>
      <c r="BI100" s="24">
        <v>2022</v>
      </c>
      <c r="BJ100" s="24">
        <v>47</v>
      </c>
      <c r="BK100" s="24" t="s">
        <v>33</v>
      </c>
      <c r="BL100" s="24" t="s">
        <v>272</v>
      </c>
      <c r="BM100" s="24">
        <v>43003</v>
      </c>
      <c r="BN100" s="24">
        <v>42960</v>
      </c>
      <c r="BO100" s="24">
        <v>154628</v>
      </c>
      <c r="BR100" s="24">
        <v>2022</v>
      </c>
      <c r="BS100" s="24">
        <v>32</v>
      </c>
      <c r="BT100" s="24">
        <v>284228</v>
      </c>
      <c r="BU100" s="24">
        <v>55</v>
      </c>
      <c r="BV100" s="24" t="s">
        <v>33</v>
      </c>
      <c r="BY100" s="24">
        <v>2022</v>
      </c>
      <c r="BZ100" s="24">
        <v>43</v>
      </c>
      <c r="CA100" s="24" t="s">
        <v>33</v>
      </c>
      <c r="CB100" s="24" t="s">
        <v>108</v>
      </c>
      <c r="CC100" s="24">
        <v>1</v>
      </c>
      <c r="CF100" s="24">
        <v>2022</v>
      </c>
      <c r="CG100" s="24">
        <v>32</v>
      </c>
      <c r="CH100" s="24" t="s">
        <v>32</v>
      </c>
      <c r="CI100" s="24">
        <v>56.249439210408255</v>
      </c>
      <c r="CJ100" s="24">
        <v>12538</v>
      </c>
      <c r="CK100" s="24">
        <v>222.9</v>
      </c>
      <c r="CL100" s="24">
        <v>63.494876765438939</v>
      </c>
      <c r="CM100" s="24">
        <v>11507</v>
      </c>
      <c r="CN100" s="24">
        <v>22928</v>
      </c>
      <c r="CO100" s="24">
        <v>361.1</v>
      </c>
      <c r="CP100" s="24">
        <v>8396</v>
      </c>
      <c r="CQ100" s="24">
        <v>76.2</v>
      </c>
      <c r="CR100" s="24">
        <v>203.5</v>
      </c>
      <c r="CS100" s="24">
        <v>13317</v>
      </c>
      <c r="CT100" s="24">
        <v>13317</v>
      </c>
      <c r="CU100" s="24">
        <v>333.2</v>
      </c>
      <c r="CV100" s="24">
        <v>3361</v>
      </c>
      <c r="CW100" s="24">
        <v>0</v>
      </c>
      <c r="CX100" s="24">
        <v>10900</v>
      </c>
      <c r="CY100" s="24">
        <v>92.6</v>
      </c>
      <c r="CZ100" s="24">
        <v>5504</v>
      </c>
      <c r="DA100" s="24">
        <v>203.5</v>
      </c>
      <c r="DD100" s="24">
        <v>2022</v>
      </c>
      <c r="DE100" s="24">
        <v>32</v>
      </c>
      <c r="DF100" s="24" t="s">
        <v>32</v>
      </c>
      <c r="DG100" s="24">
        <v>1184</v>
      </c>
      <c r="DH100" s="24">
        <v>2166</v>
      </c>
      <c r="DJ100" s="24">
        <v>2022</v>
      </c>
      <c r="DK100" s="24">
        <v>31</v>
      </c>
      <c r="DL100" s="24" t="s">
        <v>32</v>
      </c>
      <c r="DM100" s="24">
        <v>25</v>
      </c>
      <c r="DP100" s="24">
        <v>2022</v>
      </c>
      <c r="DQ100" s="24">
        <v>29</v>
      </c>
      <c r="DR100" s="24" t="s">
        <v>33</v>
      </c>
      <c r="DS100" s="24">
        <v>20090</v>
      </c>
      <c r="DT100" s="24"/>
      <c r="DW100" s="24">
        <v>2022</v>
      </c>
      <c r="DX100" s="24">
        <v>42</v>
      </c>
      <c r="DY100" s="24" t="s">
        <v>33</v>
      </c>
      <c r="DZ100" s="24">
        <v>15</v>
      </c>
      <c r="EA100" s="24" t="s">
        <v>562</v>
      </c>
      <c r="EB100" s="24">
        <v>512.79999999999995</v>
      </c>
      <c r="EC100" s="24">
        <v>9.4</v>
      </c>
      <c r="ED100" s="24">
        <v>1</v>
      </c>
      <c r="EE100" s="24">
        <v>19272</v>
      </c>
      <c r="EF100" s="24">
        <v>89.1</v>
      </c>
      <c r="EI100" s="24">
        <v>2023</v>
      </c>
      <c r="EJ100" s="24">
        <v>8</v>
      </c>
      <c r="EK100" s="24" t="s">
        <v>211</v>
      </c>
      <c r="EL100" s="24" t="s">
        <v>247</v>
      </c>
      <c r="EM100" s="24" t="s">
        <v>234</v>
      </c>
      <c r="EN100" s="24">
        <v>4</v>
      </c>
      <c r="EO100" s="24"/>
      <c r="EP100" s="24"/>
      <c r="EQ100" s="24"/>
      <c r="ER100" s="24"/>
      <c r="ES100" s="24">
        <v>2022</v>
      </c>
      <c r="ET100" s="24">
        <v>31</v>
      </c>
      <c r="EU100" s="24" t="s">
        <v>32</v>
      </c>
      <c r="EV100" s="24">
        <v>8705</v>
      </c>
      <c r="EY100" s="24">
        <v>2022</v>
      </c>
      <c r="EZ100" s="24">
        <v>33</v>
      </c>
      <c r="FA100" s="24" t="s">
        <v>32</v>
      </c>
      <c r="FB100" s="24">
        <v>929</v>
      </c>
      <c r="FE100" s="24">
        <v>2022</v>
      </c>
      <c r="FF100" s="24">
        <v>32</v>
      </c>
      <c r="FG100" s="24" t="s">
        <v>32</v>
      </c>
      <c r="FH100" s="24">
        <v>0.88530000000000009</v>
      </c>
      <c r="FI100" s="24">
        <v>523</v>
      </c>
      <c r="FJ100" s="24">
        <v>244</v>
      </c>
      <c r="FK100" s="24">
        <v>276</v>
      </c>
      <c r="FN100" s="24">
        <v>2022</v>
      </c>
      <c r="FO100" s="24">
        <v>33</v>
      </c>
      <c r="FP100" s="24" t="s">
        <v>32</v>
      </c>
      <c r="FQ100" s="24">
        <v>39987</v>
      </c>
      <c r="FR100" s="24">
        <v>833.61666666666702</v>
      </c>
      <c r="FS100" s="24">
        <v>33332</v>
      </c>
      <c r="FT100" s="24">
        <v>463.58333333333297</v>
      </c>
      <c r="FW100" s="24">
        <v>2022</v>
      </c>
      <c r="FX100" s="24">
        <v>32</v>
      </c>
      <c r="FY100" s="24" t="s">
        <v>32</v>
      </c>
      <c r="FZ100" s="24">
        <v>2593</v>
      </c>
      <c r="GA100" s="24">
        <v>2198</v>
      </c>
      <c r="GB100" s="24"/>
      <c r="GC100" s="24"/>
      <c r="GD100" s="24">
        <v>2022</v>
      </c>
      <c r="GE100" s="24">
        <v>32</v>
      </c>
      <c r="GF100" s="24" t="s">
        <v>32</v>
      </c>
      <c r="GG100" s="24">
        <v>2565</v>
      </c>
      <c r="GH100" s="24">
        <v>2212</v>
      </c>
      <c r="GK100" s="24"/>
      <c r="GL100" s="24"/>
      <c r="GM100" s="24"/>
      <c r="GN100" s="24"/>
      <c r="GO100" s="24"/>
      <c r="GP100" s="24">
        <v>2022</v>
      </c>
      <c r="GQ100" s="24">
        <v>32</v>
      </c>
      <c r="GR100" s="24">
        <v>3.5489999999999999</v>
      </c>
      <c r="GS100" s="24" t="s">
        <v>32</v>
      </c>
      <c r="GX100">
        <v>2022</v>
      </c>
      <c r="GY100">
        <v>32</v>
      </c>
      <c r="GZ100" t="s">
        <v>32</v>
      </c>
      <c r="HA100">
        <v>16791</v>
      </c>
      <c r="HB100">
        <v>16143</v>
      </c>
      <c r="HC100">
        <v>5</v>
      </c>
      <c r="HD100">
        <v>8</v>
      </c>
      <c r="HE100">
        <v>0</v>
      </c>
      <c r="HF100">
        <v>73</v>
      </c>
      <c r="HG100">
        <v>0</v>
      </c>
      <c r="HH100">
        <v>0</v>
      </c>
      <c r="HI100">
        <v>139</v>
      </c>
      <c r="HL100">
        <v>2022</v>
      </c>
      <c r="HM100">
        <v>32</v>
      </c>
      <c r="HN100" t="s">
        <v>32</v>
      </c>
      <c r="HO100">
        <v>16762</v>
      </c>
      <c r="HP100">
        <v>16489</v>
      </c>
      <c r="HQ100">
        <v>11</v>
      </c>
      <c r="HR100">
        <v>4</v>
      </c>
      <c r="HS100">
        <v>0</v>
      </c>
      <c r="HT100">
        <v>125</v>
      </c>
      <c r="HU100">
        <v>0</v>
      </c>
      <c r="HV100">
        <v>0</v>
      </c>
      <c r="HW100">
        <v>30</v>
      </c>
      <c r="HZ100" s="24">
        <v>2022</v>
      </c>
      <c r="IA100" s="24">
        <v>32</v>
      </c>
      <c r="IB100" s="24" t="s">
        <v>32</v>
      </c>
      <c r="IC100" s="24">
        <v>2577</v>
      </c>
      <c r="ID100" s="24">
        <v>2383</v>
      </c>
      <c r="IG100" s="24">
        <v>2022</v>
      </c>
      <c r="IH100" s="24">
        <v>32</v>
      </c>
      <c r="II100" s="24" t="s">
        <v>32</v>
      </c>
      <c r="IJ100" s="24">
        <v>2473</v>
      </c>
      <c r="IK100" s="24">
        <v>2371</v>
      </c>
    </row>
    <row r="101" spans="9:245" x14ac:dyDescent="0.4">
      <c r="I101" s="305">
        <v>2022</v>
      </c>
      <c r="J101" s="306">
        <v>32</v>
      </c>
      <c r="K101" s="306" t="s">
        <v>32</v>
      </c>
      <c r="L101" s="306">
        <v>16926</v>
      </c>
      <c r="M101" s="306">
        <v>15951</v>
      </c>
      <c r="N101" s="306">
        <v>95</v>
      </c>
      <c r="O101" s="306">
        <v>412</v>
      </c>
      <c r="P101" s="306">
        <v>95</v>
      </c>
      <c r="Q101" s="306">
        <v>12</v>
      </c>
      <c r="R101" s="24"/>
      <c r="S101" s="24"/>
      <c r="T101" s="24"/>
      <c r="W101" s="24">
        <v>2022</v>
      </c>
      <c r="X101" s="24">
        <v>32</v>
      </c>
      <c r="Y101" s="24" t="s">
        <v>33</v>
      </c>
      <c r="Z101" s="24">
        <v>277286</v>
      </c>
      <c r="AA101" s="24">
        <v>249915</v>
      </c>
      <c r="AB101" s="24">
        <v>363</v>
      </c>
      <c r="AC101" s="24">
        <v>182</v>
      </c>
      <c r="AD101" s="24"/>
      <c r="AE101" s="24"/>
      <c r="AF101" s="24"/>
      <c r="AG101" s="24"/>
      <c r="AH101" s="24"/>
      <c r="AI101" s="24"/>
      <c r="AJ101" s="24"/>
      <c r="AK101" s="24">
        <v>2022</v>
      </c>
      <c r="AL101" s="24">
        <v>32</v>
      </c>
      <c r="AM101" s="24">
        <v>20969.88</v>
      </c>
      <c r="AN101" s="24">
        <v>786.05000000000007</v>
      </c>
      <c r="AO101" s="24">
        <v>0</v>
      </c>
      <c r="AP101" s="24">
        <v>562</v>
      </c>
      <c r="AQ101" s="24">
        <v>0</v>
      </c>
      <c r="AR101" s="24">
        <v>2</v>
      </c>
      <c r="AS101" s="24" t="s">
        <v>33</v>
      </c>
      <c r="AT101" s="24"/>
      <c r="AU101" s="24">
        <v>2022</v>
      </c>
      <c r="AV101" s="24">
        <v>32</v>
      </c>
      <c r="AW101" s="24">
        <v>0.08</v>
      </c>
      <c r="AX101" s="24">
        <v>21600</v>
      </c>
      <c r="AY101" s="24">
        <v>285386</v>
      </c>
      <c r="AZ101" s="24" t="s">
        <v>33</v>
      </c>
      <c r="BA101" s="24"/>
      <c r="BB101" s="24"/>
      <c r="BC101" s="24">
        <v>2022</v>
      </c>
      <c r="BD101" s="24">
        <v>32</v>
      </c>
      <c r="BE101" s="24">
        <v>3125.1725714285699</v>
      </c>
      <c r="BF101" s="24" t="s">
        <v>33</v>
      </c>
      <c r="BG101" s="24"/>
      <c r="BI101" s="24">
        <v>2022</v>
      </c>
      <c r="BJ101" s="24">
        <v>47</v>
      </c>
      <c r="BK101" s="24" t="s">
        <v>32</v>
      </c>
      <c r="BL101" s="24" t="s">
        <v>273</v>
      </c>
      <c r="BM101" s="24">
        <v>5663</v>
      </c>
      <c r="BN101" s="24">
        <v>5624</v>
      </c>
      <c r="BO101" s="24">
        <v>5808</v>
      </c>
      <c r="BR101" s="24">
        <v>2022</v>
      </c>
      <c r="BS101" s="24">
        <v>32</v>
      </c>
      <c r="BT101" s="24">
        <v>17100</v>
      </c>
      <c r="BU101" s="24">
        <v>1</v>
      </c>
      <c r="BV101" s="24" t="s">
        <v>32</v>
      </c>
      <c r="BY101" s="24">
        <v>2022</v>
      </c>
      <c r="BZ101" s="24">
        <v>43</v>
      </c>
      <c r="CA101" s="24" t="s">
        <v>33</v>
      </c>
      <c r="CB101" s="24" t="s">
        <v>423</v>
      </c>
      <c r="CC101" s="24">
        <v>1</v>
      </c>
      <c r="CF101" s="24">
        <v>2022</v>
      </c>
      <c r="CG101" s="24">
        <v>32</v>
      </c>
      <c r="CH101" s="24" t="s">
        <v>33</v>
      </c>
      <c r="CI101" s="24">
        <v>134.18136658556367</v>
      </c>
      <c r="CJ101" s="24">
        <v>264713</v>
      </c>
      <c r="CK101" s="24">
        <v>1972.8</v>
      </c>
      <c r="CL101" s="24">
        <v>127.58547318535713</v>
      </c>
      <c r="CM101" s="24">
        <v>128297</v>
      </c>
      <c r="CN101" s="24">
        <v>263834</v>
      </c>
      <c r="CO101" s="24">
        <v>2067.9</v>
      </c>
      <c r="CP101" s="24">
        <v>76415</v>
      </c>
      <c r="CQ101" s="24">
        <v>602</v>
      </c>
      <c r="CR101" s="24">
        <v>2289.3000000000002</v>
      </c>
      <c r="CS101" s="24">
        <v>182573</v>
      </c>
      <c r="CT101" s="24">
        <v>182573</v>
      </c>
      <c r="CU101" s="24">
        <v>2081.8000000000002</v>
      </c>
      <c r="CV101" s="24">
        <v>55048</v>
      </c>
      <c r="CW101" s="24">
        <v>0</v>
      </c>
      <c r="CX101" s="24">
        <v>165911</v>
      </c>
      <c r="CY101" s="24">
        <v>963.1</v>
      </c>
      <c r="CZ101" s="24">
        <v>57688</v>
      </c>
      <c r="DA101" s="24">
        <v>2289.3000000000002</v>
      </c>
      <c r="DD101" s="24">
        <v>2022</v>
      </c>
      <c r="DE101" s="24">
        <v>32</v>
      </c>
      <c r="DF101" s="24" t="s">
        <v>33</v>
      </c>
      <c r="DG101" s="24">
        <v>45833</v>
      </c>
      <c r="DH101" s="24">
        <v>29011</v>
      </c>
      <c r="DJ101" s="24">
        <v>2022</v>
      </c>
      <c r="DK101" s="24">
        <v>31</v>
      </c>
      <c r="DL101" s="24" t="s">
        <v>33</v>
      </c>
      <c r="DM101" s="24">
        <v>386</v>
      </c>
      <c r="DP101" s="24">
        <v>2022</v>
      </c>
      <c r="DQ101" s="24">
        <v>27</v>
      </c>
      <c r="DR101" s="24" t="s">
        <v>33</v>
      </c>
      <c r="DS101" s="24">
        <v>22362</v>
      </c>
      <c r="DT101" s="24"/>
      <c r="DW101" s="24">
        <v>2022</v>
      </c>
      <c r="DX101" s="24">
        <v>42</v>
      </c>
      <c r="DY101" s="24" t="s">
        <v>33</v>
      </c>
      <c r="DZ101" s="24">
        <v>86</v>
      </c>
      <c r="EA101" s="24" t="s">
        <v>149</v>
      </c>
      <c r="EB101" s="24">
        <v>129.6</v>
      </c>
      <c r="EC101" s="24">
        <v>2319.1999999999998</v>
      </c>
      <c r="ED101" s="24">
        <v>64509</v>
      </c>
      <c r="EE101" s="24">
        <v>67588</v>
      </c>
      <c r="EF101" s="24">
        <v>354.3</v>
      </c>
      <c r="EI101" s="24">
        <v>2023</v>
      </c>
      <c r="EJ101" s="24">
        <v>7</v>
      </c>
      <c r="EK101" s="24" t="s">
        <v>19</v>
      </c>
      <c r="EL101" s="24" t="s">
        <v>233</v>
      </c>
      <c r="EM101" s="24" t="s">
        <v>210</v>
      </c>
      <c r="EN101" s="24">
        <v>1</v>
      </c>
      <c r="EO101" s="24"/>
      <c r="EP101" s="24"/>
      <c r="EQ101" s="24"/>
      <c r="ER101" s="24"/>
      <c r="ES101" s="24">
        <v>2022</v>
      </c>
      <c r="ET101" s="24">
        <v>31</v>
      </c>
      <c r="EU101" s="24" t="s">
        <v>33</v>
      </c>
      <c r="EV101" s="24">
        <v>143255</v>
      </c>
      <c r="EY101" s="24">
        <v>2022</v>
      </c>
      <c r="EZ101" s="24">
        <v>33</v>
      </c>
      <c r="FA101" s="24" t="s">
        <v>33</v>
      </c>
      <c r="FB101" s="24">
        <v>1050</v>
      </c>
      <c r="FE101" s="24">
        <v>2022</v>
      </c>
      <c r="FF101" s="24">
        <v>32</v>
      </c>
      <c r="FG101" s="24" t="s">
        <v>33</v>
      </c>
      <c r="FH101" s="24">
        <v>0.92600000000000005</v>
      </c>
      <c r="FI101" s="24">
        <v>15610</v>
      </c>
      <c r="FJ101" s="24">
        <v>7111</v>
      </c>
      <c r="FK101" s="24">
        <v>7740</v>
      </c>
      <c r="FN101" s="24">
        <v>2022</v>
      </c>
      <c r="FO101" s="24">
        <v>33</v>
      </c>
      <c r="FP101" s="24" t="s">
        <v>33</v>
      </c>
      <c r="FQ101" s="24">
        <v>989902</v>
      </c>
      <c r="FR101" s="24">
        <v>9460.7000000000007</v>
      </c>
      <c r="FS101" s="24">
        <v>417940</v>
      </c>
      <c r="FT101" s="24">
        <v>3369.7166666666699</v>
      </c>
      <c r="FW101" s="24">
        <v>2022</v>
      </c>
      <c r="FX101" s="24">
        <v>32</v>
      </c>
      <c r="FY101" s="24" t="s">
        <v>33</v>
      </c>
      <c r="FZ101" s="24">
        <v>17459</v>
      </c>
      <c r="GA101" s="24">
        <v>16267</v>
      </c>
      <c r="GB101" s="24"/>
      <c r="GC101" s="24"/>
      <c r="GD101" s="24">
        <v>2022</v>
      </c>
      <c r="GE101" s="24">
        <v>32</v>
      </c>
      <c r="GF101" s="24" t="s">
        <v>33</v>
      </c>
      <c r="GG101" s="24">
        <v>17400</v>
      </c>
      <c r="GH101" s="24">
        <v>16452</v>
      </c>
      <c r="GK101" s="24"/>
      <c r="GL101" s="24"/>
      <c r="GM101" s="24"/>
      <c r="GN101" s="24"/>
      <c r="GO101" s="24"/>
      <c r="GP101" s="24">
        <v>2022</v>
      </c>
      <c r="GQ101" s="24">
        <v>32</v>
      </c>
      <c r="GR101" s="24">
        <v>14.938714285714301</v>
      </c>
      <c r="GS101" s="24" t="s">
        <v>33</v>
      </c>
      <c r="GX101">
        <v>2022</v>
      </c>
      <c r="GY101">
        <v>32</v>
      </c>
      <c r="GZ101" t="s">
        <v>33</v>
      </c>
      <c r="HA101">
        <v>281134</v>
      </c>
      <c r="HB101">
        <v>275751</v>
      </c>
      <c r="HC101">
        <v>548</v>
      </c>
      <c r="HD101">
        <v>120</v>
      </c>
      <c r="HE101">
        <v>6</v>
      </c>
      <c r="HF101">
        <v>508</v>
      </c>
      <c r="HG101">
        <v>0</v>
      </c>
      <c r="HH101">
        <v>5</v>
      </c>
      <c r="HI101">
        <v>1742</v>
      </c>
      <c r="HL101">
        <v>2022</v>
      </c>
      <c r="HM101">
        <v>32</v>
      </c>
      <c r="HN101" t="s">
        <v>33</v>
      </c>
      <c r="HO101">
        <v>276973</v>
      </c>
      <c r="HP101">
        <v>274989</v>
      </c>
      <c r="HQ101">
        <v>679</v>
      </c>
      <c r="HR101">
        <v>25</v>
      </c>
      <c r="HS101">
        <v>0</v>
      </c>
      <c r="HT101">
        <v>298</v>
      </c>
      <c r="HU101">
        <v>0</v>
      </c>
      <c r="HV101">
        <v>5</v>
      </c>
      <c r="HW101">
        <v>76</v>
      </c>
      <c r="HZ101" s="24">
        <v>2022</v>
      </c>
      <c r="IA101" s="24">
        <v>32</v>
      </c>
      <c r="IB101" s="24" t="s">
        <v>33</v>
      </c>
      <c r="IC101" s="24">
        <v>17930</v>
      </c>
      <c r="ID101" s="24">
        <v>17133</v>
      </c>
      <c r="IG101" s="24">
        <v>2022</v>
      </c>
      <c r="IH101" s="24">
        <v>32</v>
      </c>
      <c r="II101" s="24" t="s">
        <v>33</v>
      </c>
      <c r="IJ101" s="24">
        <v>16182</v>
      </c>
      <c r="IK101" s="24">
        <v>16063</v>
      </c>
    </row>
    <row r="102" spans="9:245" x14ac:dyDescent="0.4">
      <c r="I102" s="305">
        <v>2022</v>
      </c>
      <c r="J102" s="306">
        <v>32</v>
      </c>
      <c r="K102" s="306" t="s">
        <v>33</v>
      </c>
      <c r="L102" s="306">
        <v>278012</v>
      </c>
      <c r="M102" s="306">
        <v>248885</v>
      </c>
      <c r="N102" s="306">
        <v>864</v>
      </c>
      <c r="O102" s="306">
        <v>2942</v>
      </c>
      <c r="P102" s="306">
        <v>493</v>
      </c>
      <c r="Q102" s="306">
        <v>185</v>
      </c>
      <c r="R102" s="24"/>
      <c r="S102" s="24"/>
      <c r="T102" s="24"/>
      <c r="W102" s="24">
        <v>2022</v>
      </c>
      <c r="X102" s="24">
        <v>31</v>
      </c>
      <c r="Y102" s="24" t="s">
        <v>32</v>
      </c>
      <c r="Z102" s="24">
        <v>17807</v>
      </c>
      <c r="AA102" s="24">
        <v>16727</v>
      </c>
      <c r="AB102" s="24">
        <v>76</v>
      </c>
      <c r="AC102" s="24">
        <v>6</v>
      </c>
      <c r="AD102" s="24"/>
      <c r="AE102" s="24"/>
      <c r="AF102" s="24"/>
      <c r="AG102" s="24"/>
      <c r="AH102" s="24"/>
      <c r="AI102" s="24"/>
      <c r="AJ102" s="24"/>
      <c r="AK102" s="24">
        <v>2022</v>
      </c>
      <c r="AL102" s="24">
        <v>31</v>
      </c>
      <c r="AM102" s="24">
        <v>548.5</v>
      </c>
      <c r="AN102" s="24">
        <v>41.03</v>
      </c>
      <c r="AO102" s="24">
        <v>0</v>
      </c>
      <c r="AP102" s="24">
        <v>14</v>
      </c>
      <c r="AQ102" s="24">
        <v>0</v>
      </c>
      <c r="AR102" s="24">
        <v>0</v>
      </c>
      <c r="AS102" s="24" t="s">
        <v>32</v>
      </c>
      <c r="AT102" s="24"/>
      <c r="AU102" s="24">
        <v>2022</v>
      </c>
      <c r="AV102" s="24">
        <v>31</v>
      </c>
      <c r="AW102" s="24">
        <v>0.16</v>
      </c>
      <c r="AX102" s="24">
        <v>2900</v>
      </c>
      <c r="AY102" s="24">
        <v>18344</v>
      </c>
      <c r="AZ102" s="24" t="s">
        <v>32</v>
      </c>
      <c r="BA102" s="24"/>
      <c r="BB102" s="24"/>
      <c r="BC102" s="24">
        <v>2022</v>
      </c>
      <c r="BD102" s="24">
        <v>31</v>
      </c>
      <c r="BE102" s="24">
        <v>287.11985714285697</v>
      </c>
      <c r="BF102" s="24" t="s">
        <v>32</v>
      </c>
      <c r="BG102" s="24"/>
      <c r="BI102" s="24">
        <v>2022</v>
      </c>
      <c r="BJ102" s="24">
        <v>46</v>
      </c>
      <c r="BK102" s="24" t="s">
        <v>32</v>
      </c>
      <c r="BL102" s="24" t="s">
        <v>273</v>
      </c>
      <c r="BM102" s="24">
        <v>6443</v>
      </c>
      <c r="BN102" s="24">
        <v>6326</v>
      </c>
      <c r="BO102" s="24">
        <v>6937</v>
      </c>
      <c r="BR102" s="24">
        <v>2022</v>
      </c>
      <c r="BS102" s="24">
        <v>31</v>
      </c>
      <c r="BT102" s="24">
        <v>18159</v>
      </c>
      <c r="BU102" s="24">
        <v>0</v>
      </c>
      <c r="BV102" s="24" t="s">
        <v>32</v>
      </c>
      <c r="BY102" s="24">
        <v>2022</v>
      </c>
      <c r="BZ102" s="24">
        <v>42</v>
      </c>
      <c r="CA102" s="24" t="s">
        <v>32</v>
      </c>
      <c r="CB102" s="24" t="s">
        <v>108</v>
      </c>
      <c r="CC102" s="24">
        <v>1</v>
      </c>
      <c r="CF102" s="24">
        <v>2022</v>
      </c>
      <c r="CG102" s="24">
        <v>31</v>
      </c>
      <c r="CH102" s="24" t="s">
        <v>32</v>
      </c>
      <c r="CI102" s="24">
        <v>73.278525161933231</v>
      </c>
      <c r="CJ102" s="24">
        <v>14707</v>
      </c>
      <c r="CK102" s="24">
        <v>200.7</v>
      </c>
      <c r="CL102" s="24">
        <v>64.868639840372467</v>
      </c>
      <c r="CM102" s="24">
        <v>10922</v>
      </c>
      <c r="CN102" s="24">
        <v>19506</v>
      </c>
      <c r="CO102" s="24">
        <v>300.7</v>
      </c>
      <c r="CP102" s="24">
        <v>9695</v>
      </c>
      <c r="CQ102" s="24">
        <v>72.400000000000006</v>
      </c>
      <c r="CR102" s="24">
        <v>243.9</v>
      </c>
      <c r="CS102" s="24">
        <v>14296</v>
      </c>
      <c r="CT102" s="24">
        <v>14296</v>
      </c>
      <c r="CU102" s="24">
        <v>384.8</v>
      </c>
      <c r="CV102" s="24">
        <v>2525</v>
      </c>
      <c r="CW102" s="24">
        <v>0</v>
      </c>
      <c r="CX102" s="24">
        <v>7552</v>
      </c>
      <c r="CY102" s="24">
        <v>70.5</v>
      </c>
      <c r="CZ102" s="24">
        <v>6749</v>
      </c>
      <c r="DA102" s="24">
        <v>243.9</v>
      </c>
      <c r="DD102" s="24">
        <v>2022</v>
      </c>
      <c r="DE102" s="24">
        <v>31</v>
      </c>
      <c r="DF102" s="24" t="s">
        <v>32</v>
      </c>
      <c r="DG102" s="24">
        <v>1966</v>
      </c>
      <c r="DH102" s="24">
        <v>2212</v>
      </c>
      <c r="DJ102" s="24">
        <v>2022</v>
      </c>
      <c r="DK102" s="24">
        <v>30</v>
      </c>
      <c r="DL102" s="24" t="s">
        <v>32</v>
      </c>
      <c r="DM102" s="24">
        <v>23</v>
      </c>
      <c r="DP102" s="24">
        <v>2022</v>
      </c>
      <c r="DQ102" s="24">
        <v>26</v>
      </c>
      <c r="DR102" s="24" t="s">
        <v>33</v>
      </c>
      <c r="DS102" s="24">
        <v>27580</v>
      </c>
      <c r="DT102" s="24"/>
      <c r="DW102" s="24">
        <v>2022</v>
      </c>
      <c r="DX102" s="24">
        <v>41</v>
      </c>
      <c r="DY102" s="24" t="s">
        <v>32</v>
      </c>
      <c r="DZ102" s="24">
        <v>3</v>
      </c>
      <c r="EA102" s="24" t="s">
        <v>149</v>
      </c>
      <c r="EB102" s="24">
        <v>49.6</v>
      </c>
      <c r="EC102" s="24">
        <v>81.099999999999994</v>
      </c>
      <c r="ED102" s="24">
        <v>1503</v>
      </c>
      <c r="EE102" s="24">
        <v>2003</v>
      </c>
      <c r="EF102" s="24">
        <v>16.2</v>
      </c>
      <c r="EI102" s="24">
        <v>2023</v>
      </c>
      <c r="EJ102" s="24">
        <v>7</v>
      </c>
      <c r="EK102" s="24" t="s">
        <v>19</v>
      </c>
      <c r="EL102" s="24" t="s">
        <v>235</v>
      </c>
      <c r="EM102" s="24" t="s">
        <v>210</v>
      </c>
      <c r="EN102" s="24">
        <v>3</v>
      </c>
      <c r="EO102" s="24"/>
      <c r="EP102" s="24"/>
      <c r="EQ102" s="24"/>
      <c r="ER102" s="24"/>
      <c r="ES102" s="24">
        <v>2022</v>
      </c>
      <c r="ET102" s="24">
        <v>30</v>
      </c>
      <c r="EU102" s="24" t="s">
        <v>32</v>
      </c>
      <c r="EV102" s="24">
        <v>7470</v>
      </c>
      <c r="EY102" s="24">
        <v>2022</v>
      </c>
      <c r="EZ102" s="24">
        <v>32</v>
      </c>
      <c r="FA102" s="24" t="s">
        <v>32</v>
      </c>
      <c r="FB102" s="24">
        <v>1364</v>
      </c>
      <c r="FE102" s="24">
        <v>2022</v>
      </c>
      <c r="FF102" s="24">
        <v>31</v>
      </c>
      <c r="FG102" s="24" t="s">
        <v>32</v>
      </c>
      <c r="FH102" s="24">
        <v>0.94010000000000005</v>
      </c>
      <c r="FI102" s="24">
        <v>520</v>
      </c>
      <c r="FJ102" s="24">
        <v>236</v>
      </c>
      <c r="FK102" s="24">
        <v>253</v>
      </c>
      <c r="FN102" s="24">
        <v>2022</v>
      </c>
      <c r="FO102" s="24">
        <v>32</v>
      </c>
      <c r="FP102" s="24" t="s">
        <v>32</v>
      </c>
      <c r="FQ102" s="24">
        <v>43259</v>
      </c>
      <c r="FR102" s="24">
        <v>883.56666666666695</v>
      </c>
      <c r="FS102" s="24">
        <v>35121</v>
      </c>
      <c r="FT102" s="24">
        <v>414.6</v>
      </c>
      <c r="FW102" s="24">
        <v>2022</v>
      </c>
      <c r="FX102" s="24">
        <v>31</v>
      </c>
      <c r="FY102" s="24" t="s">
        <v>32</v>
      </c>
      <c r="FZ102" s="24">
        <v>2588</v>
      </c>
      <c r="GA102" s="24">
        <v>2251</v>
      </c>
      <c r="GB102" s="24"/>
      <c r="GC102" s="24"/>
      <c r="GD102" s="24">
        <v>2022</v>
      </c>
      <c r="GE102" s="24">
        <v>31</v>
      </c>
      <c r="GF102" s="24" t="s">
        <v>32</v>
      </c>
      <c r="GG102" s="24">
        <v>2608</v>
      </c>
      <c r="GH102" s="24">
        <v>2173</v>
      </c>
      <c r="GK102" s="24"/>
      <c r="GL102" s="24"/>
      <c r="GM102" s="24"/>
      <c r="GN102" s="24"/>
      <c r="GO102" s="272"/>
      <c r="GP102" s="24">
        <v>2022</v>
      </c>
      <c r="GQ102" s="24">
        <v>31</v>
      </c>
      <c r="GR102" s="24">
        <v>3.548</v>
      </c>
      <c r="GS102" s="24" t="s">
        <v>32</v>
      </c>
      <c r="GX102">
        <v>2022</v>
      </c>
      <c r="GY102">
        <v>31</v>
      </c>
      <c r="GZ102" t="s">
        <v>32</v>
      </c>
      <c r="HA102">
        <v>17932</v>
      </c>
      <c r="HB102">
        <v>17069</v>
      </c>
      <c r="HC102">
        <v>5</v>
      </c>
      <c r="HD102">
        <v>10</v>
      </c>
      <c r="HE102">
        <v>2</v>
      </c>
      <c r="HF102">
        <v>133</v>
      </c>
      <c r="HG102">
        <v>0</v>
      </c>
      <c r="HH102">
        <v>0</v>
      </c>
      <c r="HI102">
        <v>173</v>
      </c>
      <c r="HL102">
        <v>2022</v>
      </c>
      <c r="HM102">
        <v>31</v>
      </c>
      <c r="HN102" t="s">
        <v>32</v>
      </c>
      <c r="HO102">
        <v>17755</v>
      </c>
      <c r="HP102">
        <v>17320</v>
      </c>
      <c r="HQ102">
        <v>13</v>
      </c>
      <c r="HR102">
        <v>7</v>
      </c>
      <c r="HS102">
        <v>1</v>
      </c>
      <c r="HT102">
        <v>274</v>
      </c>
      <c r="HU102">
        <v>0</v>
      </c>
      <c r="HV102">
        <v>0</v>
      </c>
      <c r="HW102">
        <v>35</v>
      </c>
      <c r="HZ102" s="24">
        <v>2022</v>
      </c>
      <c r="IA102" s="24">
        <v>31</v>
      </c>
      <c r="IB102" s="24" t="s">
        <v>32</v>
      </c>
      <c r="IC102" s="24">
        <v>2543</v>
      </c>
      <c r="ID102" s="24">
        <v>2379</v>
      </c>
      <c r="IG102" s="24">
        <v>2022</v>
      </c>
      <c r="IH102" s="24">
        <v>31</v>
      </c>
      <c r="II102" s="24" t="s">
        <v>32</v>
      </c>
      <c r="IJ102" s="24">
        <v>2553</v>
      </c>
      <c r="IK102" s="24">
        <v>2385</v>
      </c>
    </row>
    <row r="103" spans="9:245" x14ac:dyDescent="0.4">
      <c r="I103" s="305">
        <v>2022</v>
      </c>
      <c r="J103" s="306">
        <v>31</v>
      </c>
      <c r="K103" s="306" t="s">
        <v>32</v>
      </c>
      <c r="L103" s="306">
        <v>17910</v>
      </c>
      <c r="M103" s="306">
        <v>16714</v>
      </c>
      <c r="N103" s="306">
        <v>138</v>
      </c>
      <c r="O103" s="306">
        <v>437</v>
      </c>
      <c r="P103" s="306">
        <v>58</v>
      </c>
      <c r="Q103" s="306">
        <v>21</v>
      </c>
      <c r="R103" s="24"/>
      <c r="S103" s="24"/>
      <c r="T103" s="24"/>
      <c r="W103" s="24">
        <v>2022</v>
      </c>
      <c r="X103" s="24">
        <v>31</v>
      </c>
      <c r="Y103" s="24" t="s">
        <v>33</v>
      </c>
      <c r="Z103" s="24">
        <v>272556</v>
      </c>
      <c r="AA103" s="24">
        <v>217045</v>
      </c>
      <c r="AB103" s="24">
        <v>514</v>
      </c>
      <c r="AC103" s="24">
        <v>146</v>
      </c>
      <c r="AD103" s="24"/>
      <c r="AE103" s="24"/>
      <c r="AF103" s="24"/>
      <c r="AG103" s="24"/>
      <c r="AH103" s="24"/>
      <c r="AI103" s="24"/>
      <c r="AJ103" s="24"/>
      <c r="AK103" s="24">
        <v>2022</v>
      </c>
      <c r="AL103" s="24">
        <v>31</v>
      </c>
      <c r="AM103" s="24">
        <v>20514.37</v>
      </c>
      <c r="AN103" s="24">
        <v>544.33000000000004</v>
      </c>
      <c r="AO103" s="24">
        <v>0</v>
      </c>
      <c r="AP103" s="24">
        <v>570</v>
      </c>
      <c r="AQ103" s="24">
        <v>0</v>
      </c>
      <c r="AR103" s="24">
        <v>3</v>
      </c>
      <c r="AS103" s="24" t="s">
        <v>33</v>
      </c>
      <c r="AT103" s="24"/>
      <c r="AU103" s="24">
        <v>2022</v>
      </c>
      <c r="AV103" s="24">
        <v>31</v>
      </c>
      <c r="AW103" s="24">
        <v>0.09</v>
      </c>
      <c r="AX103" s="24">
        <v>25000</v>
      </c>
      <c r="AY103" s="24">
        <v>275806</v>
      </c>
      <c r="AZ103" s="24" t="s">
        <v>33</v>
      </c>
      <c r="BA103" s="24"/>
      <c r="BB103" s="24"/>
      <c r="BC103" s="24">
        <v>2022</v>
      </c>
      <c r="BD103" s="24">
        <v>31</v>
      </c>
      <c r="BE103" s="24">
        <v>3071.0168571428599</v>
      </c>
      <c r="BF103" s="24" t="s">
        <v>33</v>
      </c>
      <c r="BG103" s="24"/>
      <c r="BI103" s="24">
        <v>2022</v>
      </c>
      <c r="BJ103" s="24">
        <v>46</v>
      </c>
      <c r="BK103" s="24" t="s">
        <v>33</v>
      </c>
      <c r="BL103" s="24" t="s">
        <v>273</v>
      </c>
      <c r="BM103" s="24">
        <v>88621</v>
      </c>
      <c r="BN103" s="24">
        <v>88098</v>
      </c>
      <c r="BO103" s="24">
        <v>90409</v>
      </c>
      <c r="BR103" s="24">
        <v>2022</v>
      </c>
      <c r="BS103" s="24">
        <v>31</v>
      </c>
      <c r="BT103" s="24">
        <v>274292</v>
      </c>
      <c r="BU103" s="24">
        <v>82</v>
      </c>
      <c r="BV103" s="24" t="s">
        <v>33</v>
      </c>
      <c r="BY103" s="24">
        <v>2022</v>
      </c>
      <c r="BZ103" s="24">
        <v>42</v>
      </c>
      <c r="CA103" s="24" t="s">
        <v>32</v>
      </c>
      <c r="CB103" s="24" t="s">
        <v>423</v>
      </c>
      <c r="CC103" s="24">
        <v>1</v>
      </c>
      <c r="CF103" s="24">
        <v>2022</v>
      </c>
      <c r="CG103" s="24">
        <v>31</v>
      </c>
      <c r="CH103" s="24" t="s">
        <v>33</v>
      </c>
      <c r="CI103" s="24">
        <v>123.65823329666651</v>
      </c>
      <c r="CJ103" s="24">
        <v>258557</v>
      </c>
      <c r="CK103" s="24">
        <v>2090.9</v>
      </c>
      <c r="CL103" s="24">
        <v>117.48588856518572</v>
      </c>
      <c r="CM103" s="24">
        <v>123951</v>
      </c>
      <c r="CN103" s="24">
        <v>258093</v>
      </c>
      <c r="CO103" s="24">
        <v>2196.8000000000002</v>
      </c>
      <c r="CP103" s="24">
        <v>76292</v>
      </c>
      <c r="CQ103" s="24">
        <v>554.79999999999995</v>
      </c>
      <c r="CR103" s="24">
        <v>2401.6</v>
      </c>
      <c r="CS103" s="24">
        <v>164211</v>
      </c>
      <c r="CT103" s="24">
        <v>164211</v>
      </c>
      <c r="CU103" s="24">
        <v>1703.4</v>
      </c>
      <c r="CV103" s="24">
        <v>59584</v>
      </c>
      <c r="CW103" s="24">
        <v>0</v>
      </c>
      <c r="CX103" s="24">
        <v>180897</v>
      </c>
      <c r="CY103" s="24">
        <v>986.4</v>
      </c>
      <c r="CZ103" s="24">
        <v>60176</v>
      </c>
      <c r="DA103" s="24">
        <v>2401.6</v>
      </c>
      <c r="DD103" s="24">
        <v>2022</v>
      </c>
      <c r="DE103" s="24">
        <v>31</v>
      </c>
      <c r="DF103" s="24" t="s">
        <v>33</v>
      </c>
      <c r="DG103" s="24">
        <v>26936</v>
      </c>
      <c r="DH103" s="24">
        <v>26868</v>
      </c>
      <c r="DJ103" s="24">
        <v>2022</v>
      </c>
      <c r="DK103" s="24">
        <v>30</v>
      </c>
      <c r="DL103" s="24" t="s">
        <v>33</v>
      </c>
      <c r="DM103" s="24">
        <v>311</v>
      </c>
      <c r="DP103" s="24">
        <v>2022</v>
      </c>
      <c r="DQ103" s="24">
        <v>25</v>
      </c>
      <c r="DR103" s="24" t="s">
        <v>33</v>
      </c>
      <c r="DS103" s="24">
        <v>27323</v>
      </c>
      <c r="DT103" s="24"/>
      <c r="DW103" s="24">
        <v>2022</v>
      </c>
      <c r="DX103" s="24">
        <v>41</v>
      </c>
      <c r="DY103" s="24" t="s">
        <v>33</v>
      </c>
      <c r="DZ103" s="24">
        <v>15</v>
      </c>
      <c r="EA103" s="24" t="s">
        <v>562</v>
      </c>
      <c r="EB103" s="24">
        <v>524.20000000000005</v>
      </c>
      <c r="EC103" s="24">
        <v>0.2</v>
      </c>
      <c r="ED103" s="24">
        <v>27</v>
      </c>
      <c r="EE103" s="24">
        <v>19079</v>
      </c>
      <c r="EF103" s="24">
        <v>66.599999999999994</v>
      </c>
      <c r="EI103" s="24">
        <v>2023</v>
      </c>
      <c r="EJ103" s="24">
        <v>7</v>
      </c>
      <c r="EK103" s="24" t="s">
        <v>208</v>
      </c>
      <c r="EL103" s="24" t="s">
        <v>352</v>
      </c>
      <c r="EM103" s="24" t="s">
        <v>210</v>
      </c>
      <c r="EN103" s="24">
        <v>2</v>
      </c>
      <c r="EO103" s="24"/>
      <c r="EP103" s="24"/>
      <c r="EQ103" s="24"/>
      <c r="ER103" s="24"/>
      <c r="ES103" s="24">
        <v>2022</v>
      </c>
      <c r="ET103" s="24">
        <v>30</v>
      </c>
      <c r="EU103" s="24" t="s">
        <v>33</v>
      </c>
      <c r="EV103" s="24">
        <v>145565</v>
      </c>
      <c r="EY103" s="24">
        <v>2022</v>
      </c>
      <c r="EZ103" s="24">
        <v>32</v>
      </c>
      <c r="FA103" s="24" t="s">
        <v>33</v>
      </c>
      <c r="FB103" s="24">
        <v>1636</v>
      </c>
      <c r="FE103" s="24">
        <v>2022</v>
      </c>
      <c r="FF103" s="24">
        <v>31</v>
      </c>
      <c r="FG103" s="24" t="s">
        <v>33</v>
      </c>
      <c r="FH103" s="24">
        <v>0.90870000000000006</v>
      </c>
      <c r="FI103" s="24">
        <v>14476</v>
      </c>
      <c r="FJ103" s="24">
        <v>6550</v>
      </c>
      <c r="FK103" s="24">
        <v>7274</v>
      </c>
      <c r="FN103" s="24">
        <v>2022</v>
      </c>
      <c r="FO103" s="24">
        <v>32</v>
      </c>
      <c r="FP103" s="24" t="s">
        <v>33</v>
      </c>
      <c r="FQ103" s="24">
        <v>922181</v>
      </c>
      <c r="FR103" s="24">
        <v>9220.0833333333394</v>
      </c>
      <c r="FS103" s="24">
        <v>427992</v>
      </c>
      <c r="FT103" s="24">
        <v>3890.5333333333297</v>
      </c>
      <c r="FW103" s="24">
        <v>2022</v>
      </c>
      <c r="FX103" s="24">
        <v>31</v>
      </c>
      <c r="FY103" s="24" t="s">
        <v>33</v>
      </c>
      <c r="FZ103" s="24">
        <v>18156</v>
      </c>
      <c r="GA103" s="24">
        <v>16296</v>
      </c>
      <c r="GB103" s="24"/>
      <c r="GC103" s="24"/>
      <c r="GD103" s="24">
        <v>2022</v>
      </c>
      <c r="GE103" s="24">
        <v>31</v>
      </c>
      <c r="GF103" s="24" t="s">
        <v>33</v>
      </c>
      <c r="GG103" s="24">
        <v>18192</v>
      </c>
      <c r="GH103" s="24">
        <v>16582</v>
      </c>
      <c r="GK103" s="24"/>
      <c r="GL103" s="24"/>
      <c r="GM103" s="24"/>
      <c r="GN103" s="24"/>
      <c r="GO103" s="272"/>
      <c r="GP103" s="24">
        <v>2022</v>
      </c>
      <c r="GQ103" s="24">
        <v>31</v>
      </c>
      <c r="GR103" s="24">
        <v>11.588571428571401</v>
      </c>
      <c r="GS103" s="24" t="s">
        <v>33</v>
      </c>
      <c r="GX103">
        <v>2022</v>
      </c>
      <c r="GY103">
        <v>31</v>
      </c>
      <c r="GZ103" t="s">
        <v>33</v>
      </c>
      <c r="HA103">
        <v>272579</v>
      </c>
      <c r="HB103">
        <v>267273</v>
      </c>
      <c r="HC103">
        <v>600</v>
      </c>
      <c r="HD103">
        <v>141</v>
      </c>
      <c r="HE103">
        <v>8</v>
      </c>
      <c r="HF103">
        <v>622</v>
      </c>
      <c r="HG103">
        <v>0</v>
      </c>
      <c r="HH103">
        <v>25</v>
      </c>
      <c r="HI103">
        <v>1227</v>
      </c>
      <c r="HL103">
        <v>2022</v>
      </c>
      <c r="HM103">
        <v>31</v>
      </c>
      <c r="HN103" t="s">
        <v>33</v>
      </c>
      <c r="HO103">
        <v>272166</v>
      </c>
      <c r="HP103">
        <v>270068</v>
      </c>
      <c r="HQ103">
        <v>820</v>
      </c>
      <c r="HR103">
        <v>61</v>
      </c>
      <c r="HS103">
        <v>5</v>
      </c>
      <c r="HT103">
        <v>383</v>
      </c>
      <c r="HU103">
        <v>0</v>
      </c>
      <c r="HV103">
        <v>21</v>
      </c>
      <c r="HW103">
        <v>176</v>
      </c>
      <c r="HZ103" s="24">
        <v>2022</v>
      </c>
      <c r="IA103" s="24">
        <v>31</v>
      </c>
      <c r="IB103" s="24" t="s">
        <v>33</v>
      </c>
      <c r="IC103" s="24">
        <v>18055</v>
      </c>
      <c r="ID103" s="24">
        <v>17395</v>
      </c>
      <c r="IG103" s="24">
        <v>2022</v>
      </c>
      <c r="IH103" s="24">
        <v>31</v>
      </c>
      <c r="II103" s="24" t="s">
        <v>33</v>
      </c>
      <c r="IJ103" s="24">
        <v>16895</v>
      </c>
      <c r="IK103" s="24">
        <v>16767</v>
      </c>
    </row>
    <row r="104" spans="9:245" x14ac:dyDescent="0.4">
      <c r="I104" s="305">
        <v>2022</v>
      </c>
      <c r="J104" s="306">
        <v>31</v>
      </c>
      <c r="K104" s="306" t="s">
        <v>33</v>
      </c>
      <c r="L104" s="306">
        <v>273187</v>
      </c>
      <c r="M104" s="306">
        <v>215582</v>
      </c>
      <c r="N104" s="306">
        <v>1085</v>
      </c>
      <c r="O104" s="306">
        <v>5053</v>
      </c>
      <c r="P104" s="306">
        <v>637</v>
      </c>
      <c r="Q104" s="306">
        <v>167</v>
      </c>
      <c r="R104" s="24"/>
      <c r="S104" s="24"/>
      <c r="T104" s="24"/>
      <c r="W104" s="24">
        <v>2022</v>
      </c>
      <c r="X104" s="24">
        <v>30</v>
      </c>
      <c r="Y104" s="24" t="s">
        <v>32</v>
      </c>
      <c r="Z104" s="24">
        <v>20076</v>
      </c>
      <c r="AA104" s="24">
        <v>18670</v>
      </c>
      <c r="AB104" s="24">
        <v>48</v>
      </c>
      <c r="AC104" s="24">
        <v>32</v>
      </c>
      <c r="AD104" s="24"/>
      <c r="AE104" s="24"/>
      <c r="AF104" s="24"/>
      <c r="AG104" s="24"/>
      <c r="AH104" s="24"/>
      <c r="AI104" s="24"/>
      <c r="AJ104" s="24"/>
      <c r="AK104" s="24">
        <v>2022</v>
      </c>
      <c r="AL104" s="24">
        <v>30</v>
      </c>
      <c r="AM104" s="24">
        <v>540.54999999999995</v>
      </c>
      <c r="AN104" s="24">
        <v>34.730000000000004</v>
      </c>
      <c r="AO104" s="24">
        <v>0</v>
      </c>
      <c r="AP104" s="24">
        <v>13</v>
      </c>
      <c r="AQ104" s="24">
        <v>0</v>
      </c>
      <c r="AR104" s="24">
        <v>0</v>
      </c>
      <c r="AS104" s="24" t="s">
        <v>32</v>
      </c>
      <c r="AT104" s="24"/>
      <c r="AU104" s="24">
        <v>2022</v>
      </c>
      <c r="AV104" s="24">
        <v>30</v>
      </c>
      <c r="AW104" s="24">
        <v>0.21</v>
      </c>
      <c r="AX104" s="24">
        <v>4300</v>
      </c>
      <c r="AY104" s="24">
        <v>20051</v>
      </c>
      <c r="AZ104" s="24" t="s">
        <v>32</v>
      </c>
      <c r="BA104" s="24"/>
      <c r="BB104" s="24"/>
      <c r="BC104" s="24">
        <v>2022</v>
      </c>
      <c r="BD104" s="24">
        <v>30</v>
      </c>
      <c r="BE104" s="24">
        <v>286.94200000000001</v>
      </c>
      <c r="BF104" s="24" t="s">
        <v>32</v>
      </c>
      <c r="BG104" s="24"/>
      <c r="BI104" s="24">
        <v>2022</v>
      </c>
      <c r="BJ104" s="24">
        <v>46</v>
      </c>
      <c r="BK104" s="24" t="s">
        <v>33</v>
      </c>
      <c r="BL104" s="24" t="s">
        <v>272</v>
      </c>
      <c r="BM104" s="24">
        <v>48298</v>
      </c>
      <c r="BN104" s="24">
        <v>48246</v>
      </c>
      <c r="BO104" s="24">
        <v>175024</v>
      </c>
      <c r="BR104" s="24">
        <v>2022</v>
      </c>
      <c r="BS104" s="24">
        <v>30</v>
      </c>
      <c r="BT104" s="24">
        <v>283610</v>
      </c>
      <c r="BU104" s="24">
        <v>46</v>
      </c>
      <c r="BV104" s="24" t="s">
        <v>33</v>
      </c>
      <c r="BY104" s="24">
        <v>2022</v>
      </c>
      <c r="BZ104" s="24">
        <v>42</v>
      </c>
      <c r="CA104" s="24" t="s">
        <v>33</v>
      </c>
      <c r="CB104" s="24" t="s">
        <v>108</v>
      </c>
      <c r="CC104" s="24">
        <v>1</v>
      </c>
      <c r="CF104" s="24">
        <v>2022</v>
      </c>
      <c r="CG104" s="24">
        <v>30</v>
      </c>
      <c r="CH104" s="24" t="s">
        <v>32</v>
      </c>
      <c r="CI104" s="24">
        <v>61.944190301921317</v>
      </c>
      <c r="CJ104" s="24">
        <v>13541</v>
      </c>
      <c r="CK104" s="24">
        <v>218.6</v>
      </c>
      <c r="CL104" s="24">
        <v>68.14219474497682</v>
      </c>
      <c r="CM104" s="24">
        <v>11563</v>
      </c>
      <c r="CN104" s="24">
        <v>22044</v>
      </c>
      <c r="CO104" s="24">
        <v>323.5</v>
      </c>
      <c r="CP104" s="24">
        <v>8706</v>
      </c>
      <c r="CQ104" s="24">
        <v>73</v>
      </c>
      <c r="CR104" s="24">
        <v>216.5</v>
      </c>
      <c r="CS104" s="24">
        <v>13426</v>
      </c>
      <c r="CT104" s="24">
        <v>13426</v>
      </c>
      <c r="CU104" s="24">
        <v>358.5</v>
      </c>
      <c r="CV104" s="24">
        <v>2593</v>
      </c>
      <c r="CW104" s="24">
        <v>0</v>
      </c>
      <c r="CX104" s="24">
        <v>10572</v>
      </c>
      <c r="CY104" s="24">
        <v>43.1</v>
      </c>
      <c r="CZ104" s="24">
        <v>5839</v>
      </c>
      <c r="DA104" s="24">
        <v>216.5</v>
      </c>
      <c r="DD104" s="24">
        <v>2022</v>
      </c>
      <c r="DE104" s="24">
        <v>30</v>
      </c>
      <c r="DF104" s="24" t="s">
        <v>32</v>
      </c>
      <c r="DG104" s="24">
        <v>1698</v>
      </c>
      <c r="DH104" s="24">
        <v>2454</v>
      </c>
      <c r="DJ104" s="24">
        <v>2022</v>
      </c>
      <c r="DK104" s="24">
        <v>29</v>
      </c>
      <c r="DL104" s="24" t="s">
        <v>32</v>
      </c>
      <c r="DM104" s="24">
        <v>34</v>
      </c>
      <c r="DP104" s="24">
        <v>2022</v>
      </c>
      <c r="DQ104" s="24">
        <v>24</v>
      </c>
      <c r="DR104" s="24" t="s">
        <v>33</v>
      </c>
      <c r="DS104" s="24">
        <v>29212</v>
      </c>
      <c r="DT104" s="24"/>
      <c r="DW104" s="24">
        <v>2022</v>
      </c>
      <c r="DX104" s="24">
        <v>41</v>
      </c>
      <c r="DY104" s="24" t="s">
        <v>33</v>
      </c>
      <c r="DZ104" s="24">
        <v>93</v>
      </c>
      <c r="EA104" s="24" t="s">
        <v>149</v>
      </c>
      <c r="EB104" s="24">
        <v>154.1</v>
      </c>
      <c r="EC104" s="24">
        <v>2343</v>
      </c>
      <c r="ED104" s="24">
        <v>63468</v>
      </c>
      <c r="EE104" s="24">
        <v>67955</v>
      </c>
      <c r="EF104" s="24">
        <v>333.2</v>
      </c>
      <c r="EI104" s="24">
        <v>2023</v>
      </c>
      <c r="EJ104" s="24">
        <v>7</v>
      </c>
      <c r="EK104" s="24" t="s">
        <v>208</v>
      </c>
      <c r="EL104" s="24" t="s">
        <v>351</v>
      </c>
      <c r="EM104" s="24" t="s">
        <v>210</v>
      </c>
      <c r="EN104" s="24">
        <v>13</v>
      </c>
      <c r="EO104" s="24"/>
      <c r="EP104" s="24"/>
      <c r="EQ104" s="24"/>
      <c r="ER104" s="24"/>
      <c r="ES104" s="24">
        <v>2022</v>
      </c>
      <c r="ET104" s="24">
        <v>29</v>
      </c>
      <c r="EU104" s="24" t="s">
        <v>32</v>
      </c>
      <c r="EV104" s="24">
        <v>8153</v>
      </c>
      <c r="EY104" s="24">
        <v>2022</v>
      </c>
      <c r="EZ104" s="24">
        <v>31</v>
      </c>
      <c r="FA104" s="24" t="s">
        <v>32</v>
      </c>
      <c r="FB104" s="24">
        <v>731</v>
      </c>
      <c r="FE104" s="24">
        <v>2022</v>
      </c>
      <c r="FF104" s="24">
        <v>30</v>
      </c>
      <c r="FG104" s="24" t="s">
        <v>32</v>
      </c>
      <c r="FH104" s="24">
        <v>0.86240000000000006</v>
      </c>
      <c r="FI104" s="24">
        <v>610</v>
      </c>
      <c r="FJ104" s="24">
        <v>283</v>
      </c>
      <c r="FK104" s="24">
        <v>328</v>
      </c>
      <c r="FN104" s="24">
        <v>2022</v>
      </c>
      <c r="FO104" s="24">
        <v>31</v>
      </c>
      <c r="FP104" s="24" t="s">
        <v>32</v>
      </c>
      <c r="FQ104" s="24">
        <v>45430</v>
      </c>
      <c r="FR104" s="24">
        <v>895.75</v>
      </c>
      <c r="FS104" s="24">
        <v>37789</v>
      </c>
      <c r="FT104" s="24">
        <v>454.53333333333302</v>
      </c>
      <c r="FW104" s="24">
        <v>2022</v>
      </c>
      <c r="FX104" s="24">
        <v>30</v>
      </c>
      <c r="FY104" s="24" t="s">
        <v>32</v>
      </c>
      <c r="FZ104" s="24">
        <v>2813</v>
      </c>
      <c r="GA104" s="24">
        <v>2175</v>
      </c>
      <c r="GB104" s="24"/>
      <c r="GC104" s="24"/>
      <c r="GD104" s="24">
        <v>2022</v>
      </c>
      <c r="GE104" s="24">
        <v>30</v>
      </c>
      <c r="GF104" s="24" t="s">
        <v>32</v>
      </c>
      <c r="GG104" s="24">
        <v>2804</v>
      </c>
      <c r="GH104" s="24">
        <v>2153</v>
      </c>
      <c r="GK104" s="24"/>
      <c r="GL104" s="24"/>
      <c r="GM104" s="24"/>
      <c r="GN104" s="24"/>
      <c r="GO104" s="273"/>
      <c r="GP104" s="24">
        <v>2022</v>
      </c>
      <c r="GQ104" s="24">
        <v>30</v>
      </c>
      <c r="GR104" s="24">
        <v>3.5484285714285702</v>
      </c>
      <c r="GS104" s="24" t="s">
        <v>32</v>
      </c>
      <c r="GX104">
        <v>2022</v>
      </c>
      <c r="GY104">
        <v>30</v>
      </c>
      <c r="GZ104" t="s">
        <v>32</v>
      </c>
      <c r="HA104">
        <v>19560</v>
      </c>
      <c r="HB104">
        <v>18683</v>
      </c>
      <c r="HC104">
        <v>4</v>
      </c>
      <c r="HD104">
        <v>5</v>
      </c>
      <c r="HE104">
        <v>1</v>
      </c>
      <c r="HF104">
        <v>254</v>
      </c>
      <c r="HG104">
        <v>0</v>
      </c>
      <c r="HH104">
        <v>0</v>
      </c>
      <c r="HI104">
        <v>140</v>
      </c>
      <c r="HL104">
        <v>2022</v>
      </c>
      <c r="HM104">
        <v>30</v>
      </c>
      <c r="HN104" t="s">
        <v>32</v>
      </c>
      <c r="HO104">
        <v>20035</v>
      </c>
      <c r="HP104">
        <v>19430</v>
      </c>
      <c r="HQ104">
        <v>20</v>
      </c>
      <c r="HR104">
        <v>5</v>
      </c>
      <c r="HS104">
        <v>0</v>
      </c>
      <c r="HT104">
        <v>399</v>
      </c>
      <c r="HU104">
        <v>0</v>
      </c>
      <c r="HV104">
        <v>0</v>
      </c>
      <c r="HW104">
        <v>30</v>
      </c>
      <c r="HZ104" s="24">
        <v>2022</v>
      </c>
      <c r="IA104" s="24">
        <v>30</v>
      </c>
      <c r="IB104" s="24" t="s">
        <v>32</v>
      </c>
      <c r="IC104" s="24">
        <v>2826</v>
      </c>
      <c r="ID104" s="24">
        <v>2488</v>
      </c>
      <c r="IG104" s="24">
        <v>2022</v>
      </c>
      <c r="IH104" s="24">
        <v>30</v>
      </c>
      <c r="II104" s="24" t="s">
        <v>32</v>
      </c>
      <c r="IJ104" s="24">
        <v>2763</v>
      </c>
      <c r="IK104" s="24">
        <v>2474</v>
      </c>
    </row>
    <row r="105" spans="9:245" x14ac:dyDescent="0.4">
      <c r="I105" s="305">
        <v>2022</v>
      </c>
      <c r="J105" s="306">
        <v>30</v>
      </c>
      <c r="K105" s="306" t="s">
        <v>32</v>
      </c>
      <c r="L105" s="306">
        <v>20299</v>
      </c>
      <c r="M105" s="306">
        <v>18845</v>
      </c>
      <c r="N105" s="306">
        <v>84</v>
      </c>
      <c r="O105" s="306">
        <v>470</v>
      </c>
      <c r="P105" s="306">
        <v>62</v>
      </c>
      <c r="Q105" s="306">
        <v>34</v>
      </c>
      <c r="R105" s="24"/>
      <c r="S105" s="24"/>
      <c r="T105" s="24"/>
      <c r="W105" s="24">
        <v>2022</v>
      </c>
      <c r="X105" s="24">
        <v>30</v>
      </c>
      <c r="Y105" s="24" t="s">
        <v>33</v>
      </c>
      <c r="Z105" s="24">
        <v>287002</v>
      </c>
      <c r="AA105" s="24">
        <v>220874</v>
      </c>
      <c r="AB105" s="24">
        <v>671</v>
      </c>
      <c r="AC105" s="24">
        <v>196</v>
      </c>
      <c r="AD105" s="24"/>
      <c r="AE105" s="24"/>
      <c r="AF105" s="24"/>
      <c r="AG105" s="24"/>
      <c r="AH105" s="24"/>
      <c r="AI105" s="24"/>
      <c r="AJ105" s="24"/>
      <c r="AK105" s="24">
        <v>2022</v>
      </c>
      <c r="AL105" s="24">
        <v>30</v>
      </c>
      <c r="AM105" s="24">
        <v>20675.72</v>
      </c>
      <c r="AN105" s="24">
        <v>604.52</v>
      </c>
      <c r="AO105" s="24">
        <v>0</v>
      </c>
      <c r="AP105" s="24">
        <v>575</v>
      </c>
      <c r="AQ105" s="24">
        <v>0</v>
      </c>
      <c r="AR105" s="24">
        <v>4</v>
      </c>
      <c r="AS105" s="24" t="s">
        <v>33</v>
      </c>
      <c r="AT105" s="24"/>
      <c r="AU105" s="24">
        <v>2022</v>
      </c>
      <c r="AV105" s="24">
        <v>30</v>
      </c>
      <c r="AW105" s="24">
        <v>0.14000000000000001</v>
      </c>
      <c r="AX105" s="24">
        <v>40200</v>
      </c>
      <c r="AY105" s="24">
        <v>284795</v>
      </c>
      <c r="AZ105" s="24" t="s">
        <v>33</v>
      </c>
      <c r="BA105" s="24"/>
      <c r="BB105" s="24"/>
      <c r="BC105" s="24">
        <v>2022</v>
      </c>
      <c r="BD105" s="24">
        <v>30</v>
      </c>
      <c r="BE105" s="24">
        <v>3051.0584285714299</v>
      </c>
      <c r="BF105" s="24" t="s">
        <v>33</v>
      </c>
      <c r="BG105" s="24"/>
      <c r="BI105" s="24">
        <v>2022</v>
      </c>
      <c r="BJ105" s="24">
        <v>46</v>
      </c>
      <c r="BK105" s="24" t="s">
        <v>32</v>
      </c>
      <c r="BL105" s="24" t="s">
        <v>272</v>
      </c>
      <c r="BM105" s="24">
        <v>2858</v>
      </c>
      <c r="BN105" s="24">
        <v>2851</v>
      </c>
      <c r="BO105" s="24">
        <v>10113</v>
      </c>
      <c r="BR105" s="24">
        <v>2022</v>
      </c>
      <c r="BS105" s="24">
        <v>30</v>
      </c>
      <c r="BT105" s="24">
        <v>19936</v>
      </c>
      <c r="BU105" s="24">
        <v>0</v>
      </c>
      <c r="BV105" s="24" t="s">
        <v>32</v>
      </c>
      <c r="BY105" s="24">
        <v>2022</v>
      </c>
      <c r="BZ105" s="24">
        <v>42</v>
      </c>
      <c r="CA105" s="24" t="s">
        <v>33</v>
      </c>
      <c r="CB105" s="24" t="s">
        <v>423</v>
      </c>
      <c r="CC105" s="24">
        <v>1</v>
      </c>
      <c r="CF105" s="24">
        <v>2022</v>
      </c>
      <c r="CG105" s="24">
        <v>30</v>
      </c>
      <c r="CH105" s="24" t="s">
        <v>33</v>
      </c>
      <c r="CI105" s="24">
        <v>126.01694139194139</v>
      </c>
      <c r="CJ105" s="24">
        <v>275221</v>
      </c>
      <c r="CK105" s="24">
        <v>2184</v>
      </c>
      <c r="CL105" s="24">
        <v>123.76428473082748</v>
      </c>
      <c r="CM105" s="24">
        <v>131837</v>
      </c>
      <c r="CN105" s="24">
        <v>269670</v>
      </c>
      <c r="CO105" s="24">
        <v>2178.9</v>
      </c>
      <c r="CP105" s="24">
        <v>70369</v>
      </c>
      <c r="CQ105" s="24">
        <v>586.4</v>
      </c>
      <c r="CR105" s="24">
        <v>2096.3000000000002</v>
      </c>
      <c r="CS105" s="24">
        <v>151010</v>
      </c>
      <c r="CT105" s="24">
        <v>151010</v>
      </c>
      <c r="CU105" s="24">
        <v>1681.1</v>
      </c>
      <c r="CV105" s="24">
        <v>58508</v>
      </c>
      <c r="CW105" s="24">
        <v>0</v>
      </c>
      <c r="CX105" s="24">
        <v>143307</v>
      </c>
      <c r="CY105" s="24">
        <v>926.6</v>
      </c>
      <c r="CZ105" s="24">
        <v>50713</v>
      </c>
      <c r="DA105" s="24">
        <v>2096.3000000000002</v>
      </c>
      <c r="DD105" s="24">
        <v>2022</v>
      </c>
      <c r="DE105" s="24">
        <v>30</v>
      </c>
      <c r="DF105" s="24" t="s">
        <v>33</v>
      </c>
      <c r="DG105" s="24">
        <v>25026</v>
      </c>
      <c r="DH105" s="24">
        <v>23922</v>
      </c>
      <c r="DJ105" s="24">
        <v>2022</v>
      </c>
      <c r="DK105" s="24">
        <v>29</v>
      </c>
      <c r="DL105" s="24" t="s">
        <v>33</v>
      </c>
      <c r="DM105" s="24">
        <v>468</v>
      </c>
      <c r="DP105" s="24">
        <v>2022</v>
      </c>
      <c r="DQ105" s="24">
        <v>23</v>
      </c>
      <c r="DR105" s="24" t="s">
        <v>33</v>
      </c>
      <c r="DS105" s="24">
        <v>24292</v>
      </c>
      <c r="DT105" s="24"/>
      <c r="DW105" s="24">
        <v>2022</v>
      </c>
      <c r="DX105" s="24">
        <v>40</v>
      </c>
      <c r="DY105" s="24" t="s">
        <v>32</v>
      </c>
      <c r="DZ105" s="24">
        <v>3</v>
      </c>
      <c r="EA105" s="24" t="s">
        <v>149</v>
      </c>
      <c r="EB105" s="24">
        <v>9.8000000000000007</v>
      </c>
      <c r="EC105" s="24">
        <v>83.8</v>
      </c>
      <c r="ED105" s="24">
        <v>1324</v>
      </c>
      <c r="EE105" s="24">
        <v>1656</v>
      </c>
      <c r="EF105" s="24">
        <v>19.100000000000001</v>
      </c>
      <c r="EI105" s="24">
        <v>2023</v>
      </c>
      <c r="EJ105" s="24">
        <v>7</v>
      </c>
      <c r="EK105" s="24" t="s">
        <v>208</v>
      </c>
      <c r="EL105" s="24" t="s">
        <v>351</v>
      </c>
      <c r="EM105" s="24" t="s">
        <v>234</v>
      </c>
      <c r="EN105" s="24">
        <v>1</v>
      </c>
      <c r="EO105" s="24"/>
      <c r="EP105" s="24"/>
      <c r="EQ105" s="24"/>
      <c r="ER105" s="24"/>
      <c r="ES105" s="24">
        <v>2022</v>
      </c>
      <c r="ET105" s="24">
        <v>29</v>
      </c>
      <c r="EU105" s="24" t="s">
        <v>33</v>
      </c>
      <c r="EV105" s="24">
        <v>144595</v>
      </c>
      <c r="EY105" s="24">
        <v>2022</v>
      </c>
      <c r="EZ105" s="24">
        <v>31</v>
      </c>
      <c r="FA105" s="24" t="s">
        <v>33</v>
      </c>
      <c r="FB105" s="24">
        <v>1096</v>
      </c>
      <c r="FE105" s="24">
        <v>2022</v>
      </c>
      <c r="FF105" s="24">
        <v>30</v>
      </c>
      <c r="FG105" s="24" t="s">
        <v>33</v>
      </c>
      <c r="FH105" s="24">
        <v>0.89660000000000006</v>
      </c>
      <c r="FI105" s="24">
        <v>15995</v>
      </c>
      <c r="FJ105" s="24">
        <v>7250</v>
      </c>
      <c r="FK105" s="24">
        <v>8154</v>
      </c>
      <c r="FN105" s="24">
        <v>2022</v>
      </c>
      <c r="FO105" s="24">
        <v>31</v>
      </c>
      <c r="FP105" s="24" t="s">
        <v>33</v>
      </c>
      <c r="FQ105" s="24">
        <v>903373</v>
      </c>
      <c r="FR105" s="24">
        <v>9423.5</v>
      </c>
      <c r="FS105" s="24">
        <v>417518</v>
      </c>
      <c r="FT105" s="24">
        <v>3475.6666666666697</v>
      </c>
      <c r="FW105" s="24">
        <v>2022</v>
      </c>
      <c r="FX105" s="24">
        <v>30</v>
      </c>
      <c r="FY105" s="24" t="s">
        <v>33</v>
      </c>
      <c r="FZ105" s="24">
        <v>18879</v>
      </c>
      <c r="GA105" s="24">
        <v>16956</v>
      </c>
      <c r="GB105" s="24"/>
      <c r="GC105" s="24"/>
      <c r="GD105" s="24">
        <v>2022</v>
      </c>
      <c r="GE105" s="24">
        <v>30</v>
      </c>
      <c r="GF105" s="24" t="s">
        <v>33</v>
      </c>
      <c r="GG105" s="24">
        <v>18923</v>
      </c>
      <c r="GH105" s="24">
        <v>17299</v>
      </c>
      <c r="GK105" s="24"/>
      <c r="GL105" s="24"/>
      <c r="GM105" s="24"/>
      <c r="GN105" s="24"/>
      <c r="GO105" s="273"/>
      <c r="GP105" s="24">
        <v>2022</v>
      </c>
      <c r="GQ105" s="24">
        <v>30</v>
      </c>
      <c r="GR105" s="24">
        <v>11.793571428571401</v>
      </c>
      <c r="GS105" s="24" t="s">
        <v>33</v>
      </c>
      <c r="GX105">
        <v>2022</v>
      </c>
      <c r="GY105">
        <v>30</v>
      </c>
      <c r="GZ105" t="s">
        <v>33</v>
      </c>
      <c r="HA105">
        <v>283249</v>
      </c>
      <c r="HB105">
        <v>276391</v>
      </c>
      <c r="HC105">
        <v>777</v>
      </c>
      <c r="HD105">
        <v>172</v>
      </c>
      <c r="HE105">
        <v>4</v>
      </c>
      <c r="HF105">
        <v>993</v>
      </c>
      <c r="HG105">
        <v>0</v>
      </c>
      <c r="HH105">
        <v>18</v>
      </c>
      <c r="HI105">
        <v>1260</v>
      </c>
      <c r="HL105">
        <v>2022</v>
      </c>
      <c r="HM105">
        <v>30</v>
      </c>
      <c r="HN105" t="s">
        <v>33</v>
      </c>
      <c r="HO105">
        <v>286483</v>
      </c>
      <c r="HP105">
        <v>283694</v>
      </c>
      <c r="HQ105">
        <v>1072</v>
      </c>
      <c r="HR105">
        <v>54</v>
      </c>
      <c r="HS105">
        <v>3</v>
      </c>
      <c r="HT105">
        <v>795</v>
      </c>
      <c r="HU105">
        <v>0</v>
      </c>
      <c r="HV105">
        <v>17</v>
      </c>
      <c r="HW105">
        <v>132</v>
      </c>
      <c r="HZ105" s="24">
        <v>2022</v>
      </c>
      <c r="IA105" s="24">
        <v>30</v>
      </c>
      <c r="IB105" s="24" t="s">
        <v>33</v>
      </c>
      <c r="IC105" s="24">
        <v>18339</v>
      </c>
      <c r="ID105" s="24">
        <v>17647</v>
      </c>
      <c r="IG105" s="24">
        <v>2022</v>
      </c>
      <c r="IH105" s="24">
        <v>30</v>
      </c>
      <c r="II105" s="24" t="s">
        <v>33</v>
      </c>
      <c r="IJ105" s="24">
        <v>17541</v>
      </c>
      <c r="IK105" s="24">
        <v>17365</v>
      </c>
    </row>
    <row r="106" spans="9:245" x14ac:dyDescent="0.4">
      <c r="I106" s="305">
        <v>2022</v>
      </c>
      <c r="J106" s="306">
        <v>30</v>
      </c>
      <c r="K106" s="306" t="s">
        <v>33</v>
      </c>
      <c r="L106" s="306">
        <v>286966</v>
      </c>
      <c r="M106" s="306">
        <v>219392</v>
      </c>
      <c r="N106" s="306">
        <v>1070</v>
      </c>
      <c r="O106" s="306">
        <v>5345</v>
      </c>
      <c r="P106" s="306">
        <v>805</v>
      </c>
      <c r="Q106" s="306">
        <v>201</v>
      </c>
      <c r="R106" s="24"/>
      <c r="S106" s="24"/>
      <c r="T106" s="24"/>
      <c r="W106" s="24">
        <v>2022</v>
      </c>
      <c r="X106" s="24">
        <v>29</v>
      </c>
      <c r="Y106" s="24" t="s">
        <v>32</v>
      </c>
      <c r="Z106" s="24">
        <v>16776</v>
      </c>
      <c r="AA106" s="24">
        <v>15559</v>
      </c>
      <c r="AB106" s="24">
        <v>46</v>
      </c>
      <c r="AC106" s="24">
        <v>3</v>
      </c>
      <c r="AD106" s="24"/>
      <c r="AE106" s="24"/>
      <c r="AF106" s="24"/>
      <c r="AG106" s="24"/>
      <c r="AH106" s="24"/>
      <c r="AI106" s="24"/>
      <c r="AJ106" s="24"/>
      <c r="AK106" s="24">
        <v>2022</v>
      </c>
      <c r="AL106" s="24">
        <v>29</v>
      </c>
      <c r="AM106" s="24">
        <v>466.32</v>
      </c>
      <c r="AN106" s="24">
        <v>26.27</v>
      </c>
      <c r="AO106" s="24">
        <v>0</v>
      </c>
      <c r="AP106" s="24">
        <v>13</v>
      </c>
      <c r="AQ106" s="24">
        <v>0</v>
      </c>
      <c r="AR106" s="24">
        <v>0</v>
      </c>
      <c r="AS106" s="24" t="s">
        <v>32</v>
      </c>
      <c r="AT106" s="24"/>
      <c r="AU106" s="24">
        <v>2022</v>
      </c>
      <c r="AV106" s="24">
        <v>29</v>
      </c>
      <c r="AW106" s="24">
        <v>0.70000000000000007</v>
      </c>
      <c r="AX106" s="24">
        <v>12600</v>
      </c>
      <c r="AY106" s="24">
        <v>17981</v>
      </c>
      <c r="AZ106" s="24" t="s">
        <v>32</v>
      </c>
      <c r="BA106" s="24"/>
      <c r="BB106" s="24"/>
      <c r="BC106" s="24">
        <v>2022</v>
      </c>
      <c r="BD106" s="24">
        <v>29</v>
      </c>
      <c r="BE106" s="24">
        <v>289.57314285714301</v>
      </c>
      <c r="BF106" s="24" t="s">
        <v>32</v>
      </c>
      <c r="BG106" s="24"/>
      <c r="BI106" s="24">
        <v>2022</v>
      </c>
      <c r="BJ106" s="24">
        <v>45</v>
      </c>
      <c r="BK106" s="24" t="s">
        <v>32</v>
      </c>
      <c r="BL106" s="24" t="s">
        <v>273</v>
      </c>
      <c r="BM106" s="24">
        <v>6617</v>
      </c>
      <c r="BN106" s="24">
        <v>6553</v>
      </c>
      <c r="BO106" s="24">
        <v>7090</v>
      </c>
      <c r="BR106" s="24">
        <v>2022</v>
      </c>
      <c r="BS106" s="24">
        <v>29</v>
      </c>
      <c r="BT106" s="24">
        <v>17737</v>
      </c>
      <c r="BU106" s="24">
        <v>0</v>
      </c>
      <c r="BV106" s="24" t="s">
        <v>32</v>
      </c>
      <c r="BY106" s="24">
        <v>2022</v>
      </c>
      <c r="BZ106" s="24">
        <v>41</v>
      </c>
      <c r="CA106" s="24" t="s">
        <v>32</v>
      </c>
      <c r="CB106" s="24" t="s">
        <v>423</v>
      </c>
      <c r="CC106" s="24">
        <v>1</v>
      </c>
      <c r="CF106" s="24">
        <v>2022</v>
      </c>
      <c r="CG106" s="24">
        <v>29</v>
      </c>
      <c r="CH106" s="24" t="s">
        <v>32</v>
      </c>
      <c r="CI106" s="24">
        <v>59.069544364508396</v>
      </c>
      <c r="CJ106" s="24">
        <v>12316</v>
      </c>
      <c r="CK106" s="24">
        <v>208.5</v>
      </c>
      <c r="CL106" s="24">
        <v>64.583333333333329</v>
      </c>
      <c r="CM106" s="24">
        <v>9966</v>
      </c>
      <c r="CN106" s="24">
        <v>19220</v>
      </c>
      <c r="CO106" s="24">
        <v>297.60000000000002</v>
      </c>
      <c r="CP106" s="24">
        <v>10764</v>
      </c>
      <c r="CQ106" s="24">
        <v>77</v>
      </c>
      <c r="CR106" s="24">
        <v>246.2</v>
      </c>
      <c r="CS106" s="24">
        <v>11895</v>
      </c>
      <c r="CT106" s="24">
        <v>11895</v>
      </c>
      <c r="CU106" s="24">
        <v>241</v>
      </c>
      <c r="CV106" s="24">
        <v>3005</v>
      </c>
      <c r="CW106" s="24">
        <v>0</v>
      </c>
      <c r="CX106" s="24">
        <v>10146</v>
      </c>
      <c r="CY106" s="24">
        <v>48.6</v>
      </c>
      <c r="CZ106" s="24">
        <v>7584</v>
      </c>
      <c r="DA106" s="24">
        <v>246.2</v>
      </c>
      <c r="DD106" s="24">
        <v>2022</v>
      </c>
      <c r="DE106" s="24">
        <v>29</v>
      </c>
      <c r="DF106" s="24" t="s">
        <v>32</v>
      </c>
      <c r="DG106" s="24">
        <v>1470</v>
      </c>
      <c r="DH106" s="24">
        <v>2108</v>
      </c>
      <c r="DJ106" s="24">
        <v>2022</v>
      </c>
      <c r="DK106" s="24">
        <v>28</v>
      </c>
      <c r="DL106" s="24" t="s">
        <v>32</v>
      </c>
      <c r="DM106" s="24">
        <v>130</v>
      </c>
      <c r="DP106" s="24">
        <v>2022</v>
      </c>
      <c r="DQ106" s="24">
        <v>22</v>
      </c>
      <c r="DR106" s="24" t="s">
        <v>33</v>
      </c>
      <c r="DS106" s="24">
        <v>21617</v>
      </c>
      <c r="DT106" s="24"/>
      <c r="DW106" s="24">
        <v>2022</v>
      </c>
      <c r="DX106" s="24">
        <v>40</v>
      </c>
      <c r="DY106" s="24" t="s">
        <v>33</v>
      </c>
      <c r="DZ106" s="24">
        <v>14</v>
      </c>
      <c r="EA106" s="24" t="s">
        <v>562</v>
      </c>
      <c r="EB106" s="24">
        <v>495.3</v>
      </c>
      <c r="EC106" s="24">
        <v>0.2</v>
      </c>
      <c r="ED106" s="24">
        <v>2</v>
      </c>
      <c r="EE106" s="24">
        <v>17427</v>
      </c>
      <c r="EF106" s="24">
        <v>49.4</v>
      </c>
      <c r="EI106" s="24">
        <v>2023</v>
      </c>
      <c r="EJ106" s="24">
        <v>7</v>
      </c>
      <c r="EK106" s="24" t="s">
        <v>208</v>
      </c>
      <c r="EL106" s="24" t="s">
        <v>235</v>
      </c>
      <c r="EM106" s="24" t="s">
        <v>210</v>
      </c>
      <c r="EN106" s="24">
        <v>26</v>
      </c>
      <c r="EO106" s="24"/>
      <c r="EP106" s="24"/>
      <c r="EQ106" s="24"/>
      <c r="ER106" s="24"/>
      <c r="ES106" s="24">
        <v>2022</v>
      </c>
      <c r="ET106" s="24">
        <v>29</v>
      </c>
      <c r="EU106" s="24" t="s">
        <v>213</v>
      </c>
      <c r="EV106" s="24">
        <v>1</v>
      </c>
      <c r="EY106" s="24">
        <v>2022</v>
      </c>
      <c r="EZ106" s="24">
        <v>30</v>
      </c>
      <c r="FA106" s="24" t="s">
        <v>32</v>
      </c>
      <c r="FB106" s="24">
        <v>628</v>
      </c>
      <c r="FE106" s="24">
        <v>2022</v>
      </c>
      <c r="FF106" s="24">
        <v>29</v>
      </c>
      <c r="FG106" s="24" t="s">
        <v>32</v>
      </c>
      <c r="FH106" s="24">
        <v>0.89419999999999999</v>
      </c>
      <c r="FI106" s="24">
        <v>545</v>
      </c>
      <c r="FJ106" s="24">
        <v>252</v>
      </c>
      <c r="FK106" s="24">
        <v>283</v>
      </c>
      <c r="FN106" s="24">
        <v>2022</v>
      </c>
      <c r="FO106" s="24">
        <v>30</v>
      </c>
      <c r="FP106" s="24" t="s">
        <v>32</v>
      </c>
      <c r="FQ106" s="24">
        <v>49051</v>
      </c>
      <c r="FR106" s="24">
        <v>958.75</v>
      </c>
      <c r="FS106" s="24">
        <v>32617</v>
      </c>
      <c r="FT106" s="24">
        <v>401.16666666666697</v>
      </c>
      <c r="FW106" s="24">
        <v>2022</v>
      </c>
      <c r="FX106" s="24">
        <v>29</v>
      </c>
      <c r="FY106" s="24" t="s">
        <v>32</v>
      </c>
      <c r="FZ106" s="24">
        <v>2730</v>
      </c>
      <c r="GA106" s="24">
        <v>2262</v>
      </c>
      <c r="GB106" s="24"/>
      <c r="GC106" s="24"/>
      <c r="GD106" s="24">
        <v>2022</v>
      </c>
      <c r="GE106" s="24">
        <v>29</v>
      </c>
      <c r="GF106" s="24" t="s">
        <v>32</v>
      </c>
      <c r="GG106" s="24">
        <v>2699</v>
      </c>
      <c r="GH106" s="24">
        <v>2145</v>
      </c>
      <c r="GK106" s="24"/>
      <c r="GL106" s="24"/>
      <c r="GM106" s="24"/>
      <c r="GN106" s="24"/>
      <c r="GO106" s="284"/>
      <c r="GP106" s="24">
        <v>2022</v>
      </c>
      <c r="GQ106" s="24">
        <v>29</v>
      </c>
      <c r="GR106" s="24">
        <v>3.50514285714286</v>
      </c>
      <c r="GS106" s="24" t="s">
        <v>32</v>
      </c>
      <c r="GX106">
        <v>2022</v>
      </c>
      <c r="GY106">
        <v>29</v>
      </c>
      <c r="GZ106" t="s">
        <v>32</v>
      </c>
      <c r="HA106">
        <v>17452</v>
      </c>
      <c r="HB106">
        <v>16440</v>
      </c>
      <c r="HC106">
        <v>2</v>
      </c>
      <c r="HD106">
        <v>6</v>
      </c>
      <c r="HE106">
        <v>0</v>
      </c>
      <c r="HF106">
        <v>317</v>
      </c>
      <c r="HG106">
        <v>0</v>
      </c>
      <c r="HH106">
        <v>0</v>
      </c>
      <c r="HI106">
        <v>122</v>
      </c>
      <c r="HL106">
        <v>2022</v>
      </c>
      <c r="HM106">
        <v>29</v>
      </c>
      <c r="HN106" t="s">
        <v>32</v>
      </c>
      <c r="HO106">
        <v>16688</v>
      </c>
      <c r="HP106">
        <v>16099</v>
      </c>
      <c r="HQ106">
        <v>7</v>
      </c>
      <c r="HR106">
        <v>0</v>
      </c>
      <c r="HS106">
        <v>0</v>
      </c>
      <c r="HT106">
        <v>360</v>
      </c>
      <c r="HU106">
        <v>0</v>
      </c>
      <c r="HV106">
        <v>0</v>
      </c>
      <c r="HW106">
        <v>26</v>
      </c>
      <c r="HZ106" s="24">
        <v>2022</v>
      </c>
      <c r="IA106" s="24">
        <v>29</v>
      </c>
      <c r="IB106" s="24" t="s">
        <v>32</v>
      </c>
      <c r="IC106" s="24">
        <v>2690</v>
      </c>
      <c r="ID106" s="24">
        <v>2442</v>
      </c>
      <c r="IG106" s="24">
        <v>2022</v>
      </c>
      <c r="IH106" s="24">
        <v>29</v>
      </c>
      <c r="II106" s="24" t="s">
        <v>32</v>
      </c>
      <c r="IJ106" s="24">
        <v>2653</v>
      </c>
      <c r="IK106" s="24">
        <v>2436</v>
      </c>
    </row>
    <row r="107" spans="9:245" x14ac:dyDescent="0.4">
      <c r="I107" s="305">
        <v>2022</v>
      </c>
      <c r="J107" s="306">
        <v>29</v>
      </c>
      <c r="K107" s="306" t="s">
        <v>32</v>
      </c>
      <c r="L107" s="306">
        <v>16730</v>
      </c>
      <c r="M107" s="306">
        <v>15359</v>
      </c>
      <c r="N107" s="306">
        <v>55</v>
      </c>
      <c r="O107" s="306">
        <v>433</v>
      </c>
      <c r="P107" s="306">
        <v>55</v>
      </c>
      <c r="Q107" s="306">
        <v>9</v>
      </c>
      <c r="R107" s="24"/>
      <c r="S107" s="24"/>
      <c r="T107" s="24"/>
      <c r="W107" s="24">
        <v>2022</v>
      </c>
      <c r="X107" s="24">
        <v>29</v>
      </c>
      <c r="Y107" s="24" t="s">
        <v>33</v>
      </c>
      <c r="Z107" s="24">
        <v>298142</v>
      </c>
      <c r="AA107" s="24">
        <v>248002</v>
      </c>
      <c r="AB107" s="24">
        <v>531</v>
      </c>
      <c r="AC107" s="24">
        <v>382</v>
      </c>
      <c r="AD107" s="24"/>
      <c r="AE107" s="24"/>
      <c r="AF107" s="24"/>
      <c r="AG107" s="24"/>
      <c r="AH107" s="24"/>
      <c r="AI107" s="24"/>
      <c r="AJ107" s="24"/>
      <c r="AK107" s="24">
        <v>2022</v>
      </c>
      <c r="AL107" s="24">
        <v>29</v>
      </c>
      <c r="AM107" s="24">
        <v>20787.32</v>
      </c>
      <c r="AN107" s="24">
        <v>591.28</v>
      </c>
      <c r="AO107" s="24">
        <v>0</v>
      </c>
      <c r="AP107" s="24">
        <v>566</v>
      </c>
      <c r="AQ107" s="24">
        <v>0</v>
      </c>
      <c r="AR107" s="24">
        <v>2</v>
      </c>
      <c r="AS107" s="24" t="s">
        <v>33</v>
      </c>
      <c r="AT107" s="24"/>
      <c r="AU107" s="24">
        <v>2022</v>
      </c>
      <c r="AV107" s="24">
        <v>29</v>
      </c>
      <c r="AW107" s="24">
        <v>0.1</v>
      </c>
      <c r="AX107" s="24">
        <v>29600</v>
      </c>
      <c r="AY107" s="24">
        <v>296651</v>
      </c>
      <c r="AZ107" s="24" t="s">
        <v>33</v>
      </c>
      <c r="BA107" s="24"/>
      <c r="BB107" s="24"/>
      <c r="BC107" s="24">
        <v>2022</v>
      </c>
      <c r="BD107" s="24">
        <v>29</v>
      </c>
      <c r="BE107" s="24">
        <v>3043.4025714285699</v>
      </c>
      <c r="BF107" s="24" t="s">
        <v>33</v>
      </c>
      <c r="BG107" s="24"/>
      <c r="BI107" s="24">
        <v>2022</v>
      </c>
      <c r="BJ107" s="24">
        <v>45</v>
      </c>
      <c r="BK107" s="24" t="s">
        <v>32</v>
      </c>
      <c r="BL107" s="24" t="s">
        <v>272</v>
      </c>
      <c r="BM107" s="24">
        <v>2702</v>
      </c>
      <c r="BN107" s="24">
        <v>2690</v>
      </c>
      <c r="BO107" s="24">
        <v>9093</v>
      </c>
      <c r="BR107" s="24">
        <v>2022</v>
      </c>
      <c r="BS107" s="24">
        <v>29</v>
      </c>
      <c r="BT107" s="24">
        <v>295612</v>
      </c>
      <c r="BU107" s="24">
        <v>24</v>
      </c>
      <c r="BV107" s="24" t="s">
        <v>33</v>
      </c>
      <c r="BY107" s="24">
        <v>2022</v>
      </c>
      <c r="BZ107" s="24">
        <v>41</v>
      </c>
      <c r="CA107" s="24" t="s">
        <v>33</v>
      </c>
      <c r="CB107" s="24" t="s">
        <v>423</v>
      </c>
      <c r="CC107" s="24">
        <v>20</v>
      </c>
      <c r="CF107" s="24">
        <v>2022</v>
      </c>
      <c r="CG107" s="24">
        <v>29</v>
      </c>
      <c r="CH107" s="24" t="s">
        <v>33</v>
      </c>
      <c r="CI107" s="24">
        <v>125.09721858924055</v>
      </c>
      <c r="CJ107" s="24">
        <v>286948</v>
      </c>
      <c r="CK107" s="24">
        <v>2293.8000000000002</v>
      </c>
      <c r="CL107" s="24">
        <v>123.51023045444755</v>
      </c>
      <c r="CM107" s="24">
        <v>138252</v>
      </c>
      <c r="CN107" s="24">
        <v>286729</v>
      </c>
      <c r="CO107" s="24">
        <v>2321.5</v>
      </c>
      <c r="CP107" s="24">
        <v>67023</v>
      </c>
      <c r="CQ107" s="24">
        <v>532.79999999999995</v>
      </c>
      <c r="CR107" s="24">
        <v>1504</v>
      </c>
      <c r="CS107" s="24">
        <v>161089</v>
      </c>
      <c r="CT107" s="24">
        <v>161089</v>
      </c>
      <c r="CU107" s="24">
        <v>1823.1</v>
      </c>
      <c r="CV107" s="24">
        <v>62520</v>
      </c>
      <c r="CW107" s="24">
        <v>0</v>
      </c>
      <c r="CX107" s="24">
        <v>158492</v>
      </c>
      <c r="CY107" s="24">
        <v>901.9</v>
      </c>
      <c r="CZ107" s="24">
        <v>47357</v>
      </c>
      <c r="DA107" s="24">
        <v>1504</v>
      </c>
      <c r="DD107" s="24">
        <v>2022</v>
      </c>
      <c r="DE107" s="24">
        <v>29</v>
      </c>
      <c r="DF107" s="24" t="s">
        <v>33</v>
      </c>
      <c r="DG107" s="24">
        <v>30206</v>
      </c>
      <c r="DH107" s="24">
        <v>24967</v>
      </c>
      <c r="DJ107" s="24">
        <v>2022</v>
      </c>
      <c r="DK107" s="24">
        <v>28</v>
      </c>
      <c r="DL107" s="24" t="s">
        <v>33</v>
      </c>
      <c r="DM107" s="24">
        <v>586</v>
      </c>
      <c r="DP107" s="24">
        <v>2022</v>
      </c>
      <c r="DQ107" s="24">
        <v>21</v>
      </c>
      <c r="DR107" s="24" t="s">
        <v>33</v>
      </c>
      <c r="DS107" s="24">
        <v>25343</v>
      </c>
      <c r="DT107" s="24"/>
      <c r="DW107" s="24">
        <v>2022</v>
      </c>
      <c r="DX107" s="24">
        <v>40</v>
      </c>
      <c r="DY107" s="24" t="s">
        <v>33</v>
      </c>
      <c r="DZ107" s="24">
        <v>92</v>
      </c>
      <c r="EA107" s="24" t="s">
        <v>149</v>
      </c>
      <c r="EB107" s="24">
        <v>153.4</v>
      </c>
      <c r="EC107" s="24">
        <v>2742.2</v>
      </c>
      <c r="ED107" s="24">
        <v>65244</v>
      </c>
      <c r="EE107" s="24">
        <v>71125</v>
      </c>
      <c r="EF107" s="24">
        <v>383.5</v>
      </c>
      <c r="EI107" s="24">
        <v>2023</v>
      </c>
      <c r="EJ107" s="24">
        <v>7</v>
      </c>
      <c r="EK107" s="24" t="s">
        <v>208</v>
      </c>
      <c r="EL107" s="24" t="s">
        <v>235</v>
      </c>
      <c r="EM107" s="24" t="s">
        <v>215</v>
      </c>
      <c r="EN107" s="24">
        <v>3</v>
      </c>
      <c r="EO107" s="24"/>
      <c r="EP107" s="24"/>
      <c r="EQ107" s="24"/>
      <c r="ER107" s="24"/>
      <c r="ES107" s="24">
        <v>2022</v>
      </c>
      <c r="ET107" s="24">
        <v>28</v>
      </c>
      <c r="EU107" s="24" t="s">
        <v>32</v>
      </c>
      <c r="EV107" s="24">
        <v>7662</v>
      </c>
      <c r="EY107" s="24">
        <v>2022</v>
      </c>
      <c r="EZ107" s="24">
        <v>30</v>
      </c>
      <c r="FA107" s="24" t="s">
        <v>33</v>
      </c>
      <c r="FB107" s="24">
        <v>1266</v>
      </c>
      <c r="FE107" s="24">
        <v>2022</v>
      </c>
      <c r="FF107" s="24">
        <v>29</v>
      </c>
      <c r="FG107" s="24" t="s">
        <v>33</v>
      </c>
      <c r="FH107" s="24">
        <v>0.87770000000000004</v>
      </c>
      <c r="FI107" s="24">
        <v>16656</v>
      </c>
      <c r="FJ107" s="24">
        <v>7593</v>
      </c>
      <c r="FK107" s="24">
        <v>8701</v>
      </c>
      <c r="FN107" s="24">
        <v>2022</v>
      </c>
      <c r="FO107" s="24">
        <v>30</v>
      </c>
      <c r="FP107" s="24" t="s">
        <v>33</v>
      </c>
      <c r="FQ107" s="24">
        <v>938483</v>
      </c>
      <c r="FR107" s="24">
        <v>9560.6333333333296</v>
      </c>
      <c r="FS107" s="24">
        <v>372737</v>
      </c>
      <c r="FT107" s="24">
        <v>3413.6333333333296</v>
      </c>
      <c r="FW107" s="24">
        <v>2022</v>
      </c>
      <c r="FX107" s="24">
        <v>29</v>
      </c>
      <c r="FY107" s="24" t="s">
        <v>33</v>
      </c>
      <c r="FZ107" s="24">
        <v>19493</v>
      </c>
      <c r="GA107" s="24">
        <v>17706</v>
      </c>
      <c r="GB107" s="24"/>
      <c r="GC107" s="24"/>
      <c r="GD107" s="24">
        <v>2022</v>
      </c>
      <c r="GE107" s="24">
        <v>29</v>
      </c>
      <c r="GF107" s="24" t="s">
        <v>33</v>
      </c>
      <c r="GG107" s="24">
        <v>19941</v>
      </c>
      <c r="GH107" s="24">
        <v>18628</v>
      </c>
      <c r="GK107" s="24"/>
      <c r="GL107" s="24"/>
      <c r="GM107" s="24"/>
      <c r="GN107" s="24"/>
      <c r="GO107" s="284"/>
      <c r="GP107" s="24">
        <v>2022</v>
      </c>
      <c r="GQ107" s="24">
        <v>29</v>
      </c>
      <c r="GR107" s="24">
        <v>15.962571428571401</v>
      </c>
      <c r="GS107" s="24" t="s">
        <v>33</v>
      </c>
      <c r="GX107">
        <v>2022</v>
      </c>
      <c r="GY107">
        <v>29</v>
      </c>
      <c r="GZ107" t="s">
        <v>33</v>
      </c>
      <c r="HA107">
        <v>293848</v>
      </c>
      <c r="HB107">
        <v>286711</v>
      </c>
      <c r="HC107">
        <v>751</v>
      </c>
      <c r="HD107">
        <v>142</v>
      </c>
      <c r="HE107">
        <v>9</v>
      </c>
      <c r="HF107">
        <v>1178</v>
      </c>
      <c r="HG107">
        <v>0</v>
      </c>
      <c r="HH107">
        <v>8</v>
      </c>
      <c r="HI107">
        <v>1308</v>
      </c>
      <c r="HL107">
        <v>2022</v>
      </c>
      <c r="HM107">
        <v>29</v>
      </c>
      <c r="HN107" t="s">
        <v>33</v>
      </c>
      <c r="HO107">
        <v>297810</v>
      </c>
      <c r="HP107">
        <v>295186</v>
      </c>
      <c r="HQ107">
        <v>853</v>
      </c>
      <c r="HR107">
        <v>49</v>
      </c>
      <c r="HS107">
        <v>0</v>
      </c>
      <c r="HT107">
        <v>876</v>
      </c>
      <c r="HU107">
        <v>0</v>
      </c>
      <c r="HV107">
        <v>5</v>
      </c>
      <c r="HW107">
        <v>171</v>
      </c>
      <c r="HZ107" s="24">
        <v>2022</v>
      </c>
      <c r="IA107" s="24">
        <v>29</v>
      </c>
      <c r="IB107" s="24" t="s">
        <v>33</v>
      </c>
      <c r="IC107" s="24">
        <v>19807</v>
      </c>
      <c r="ID107" s="24">
        <v>18809</v>
      </c>
      <c r="IG107" s="24">
        <v>2022</v>
      </c>
      <c r="IH107" s="24">
        <v>29</v>
      </c>
      <c r="II107" s="24" t="s">
        <v>33</v>
      </c>
      <c r="IJ107" s="24">
        <v>18353</v>
      </c>
      <c r="IK107" s="24">
        <v>18200</v>
      </c>
    </row>
    <row r="108" spans="9:245" x14ac:dyDescent="0.4">
      <c r="I108" s="305">
        <v>2022</v>
      </c>
      <c r="J108" s="306">
        <v>29</v>
      </c>
      <c r="K108" s="306" t="s">
        <v>33</v>
      </c>
      <c r="L108" s="306">
        <v>294108</v>
      </c>
      <c r="M108" s="306">
        <v>241985</v>
      </c>
      <c r="N108" s="306">
        <v>1212</v>
      </c>
      <c r="O108" s="306">
        <v>5724</v>
      </c>
      <c r="P108" s="306">
        <v>721</v>
      </c>
      <c r="Q108" s="306">
        <v>368</v>
      </c>
      <c r="R108" s="24"/>
      <c r="S108" s="24"/>
      <c r="T108" s="24"/>
      <c r="W108" s="24">
        <v>2022</v>
      </c>
      <c r="X108" s="24">
        <v>28</v>
      </c>
      <c r="Y108" s="24" t="s">
        <v>32</v>
      </c>
      <c r="Z108" s="24">
        <v>17372</v>
      </c>
      <c r="AA108" s="24">
        <v>15522</v>
      </c>
      <c r="AB108" s="24">
        <v>48</v>
      </c>
      <c r="AC108" s="24">
        <v>6</v>
      </c>
      <c r="AD108" s="24"/>
      <c r="AE108" s="24"/>
      <c r="AF108" s="24"/>
      <c r="AG108" s="24"/>
      <c r="AH108" s="24"/>
      <c r="AI108" s="24"/>
      <c r="AJ108" s="24"/>
      <c r="AK108" s="24">
        <v>2022</v>
      </c>
      <c r="AL108" s="24">
        <v>28</v>
      </c>
      <c r="AM108" s="24">
        <v>475.42</v>
      </c>
      <c r="AN108" s="24">
        <v>44.52</v>
      </c>
      <c r="AO108" s="24">
        <v>0</v>
      </c>
      <c r="AP108" s="24">
        <v>13</v>
      </c>
      <c r="AQ108" s="24">
        <v>0</v>
      </c>
      <c r="AR108" s="24">
        <v>0</v>
      </c>
      <c r="AS108" s="24" t="s">
        <v>32</v>
      </c>
      <c r="AT108" s="24"/>
      <c r="AU108" s="24">
        <v>2022</v>
      </c>
      <c r="AV108" s="24">
        <v>28</v>
      </c>
      <c r="AW108" s="24">
        <v>0.18</v>
      </c>
      <c r="AX108" s="24">
        <v>3700</v>
      </c>
      <c r="AY108" s="24">
        <v>20405</v>
      </c>
      <c r="AZ108" s="24" t="s">
        <v>32</v>
      </c>
      <c r="BA108" s="24"/>
      <c r="BB108" s="24"/>
      <c r="BC108" s="24">
        <v>2022</v>
      </c>
      <c r="BD108" s="24">
        <v>28</v>
      </c>
      <c r="BE108" s="24">
        <v>290.92814285714297</v>
      </c>
      <c r="BF108" s="24" t="s">
        <v>32</v>
      </c>
      <c r="BG108" s="24"/>
      <c r="BI108" s="24">
        <v>2022</v>
      </c>
      <c r="BJ108" s="24">
        <v>45</v>
      </c>
      <c r="BK108" s="24" t="s">
        <v>33</v>
      </c>
      <c r="BL108" s="24" t="s">
        <v>273</v>
      </c>
      <c r="BM108" s="24">
        <v>90746</v>
      </c>
      <c r="BN108" s="24">
        <v>90306</v>
      </c>
      <c r="BO108" s="24">
        <v>92705</v>
      </c>
      <c r="BR108" s="24">
        <v>2022</v>
      </c>
      <c r="BS108" s="24">
        <v>28</v>
      </c>
      <c r="BT108" s="24">
        <v>285916</v>
      </c>
      <c r="BU108" s="24">
        <v>4</v>
      </c>
      <c r="BV108" s="24" t="s">
        <v>33</v>
      </c>
      <c r="BY108" s="24">
        <v>2022</v>
      </c>
      <c r="BZ108" s="24">
        <v>40</v>
      </c>
      <c r="CA108" s="24" t="s">
        <v>32</v>
      </c>
      <c r="CB108" s="24" t="s">
        <v>423</v>
      </c>
      <c r="CC108" s="24">
        <v>1</v>
      </c>
      <c r="CF108" s="24">
        <v>2022</v>
      </c>
      <c r="CG108" s="24">
        <v>28</v>
      </c>
      <c r="CH108" s="24" t="s">
        <v>32</v>
      </c>
      <c r="CI108" s="24">
        <v>49.254530477759474</v>
      </c>
      <c r="CJ108" s="24">
        <v>11959</v>
      </c>
      <c r="CK108" s="24">
        <v>242.8</v>
      </c>
      <c r="CL108" s="24">
        <v>62.81083142639207</v>
      </c>
      <c r="CM108" s="24">
        <v>8768</v>
      </c>
      <c r="CN108" s="24">
        <v>16469</v>
      </c>
      <c r="CO108" s="24">
        <v>262.2</v>
      </c>
      <c r="CP108" s="24">
        <v>10644</v>
      </c>
      <c r="CQ108" s="24">
        <v>77.400000000000006</v>
      </c>
      <c r="CR108" s="24">
        <v>237.4</v>
      </c>
      <c r="CS108" s="24">
        <v>15290</v>
      </c>
      <c r="CT108" s="24">
        <v>15290</v>
      </c>
      <c r="CU108" s="24">
        <v>319.89999999999998</v>
      </c>
      <c r="CV108" s="24">
        <v>2591</v>
      </c>
      <c r="CW108" s="24">
        <v>0</v>
      </c>
      <c r="CX108" s="24">
        <v>10710</v>
      </c>
      <c r="CY108" s="24">
        <v>56.9</v>
      </c>
      <c r="CZ108" s="24">
        <v>7501</v>
      </c>
      <c r="DA108" s="24">
        <v>237.4</v>
      </c>
      <c r="DD108" s="24">
        <v>2022</v>
      </c>
      <c r="DE108" s="24">
        <v>28</v>
      </c>
      <c r="DF108" s="24" t="s">
        <v>32</v>
      </c>
      <c r="DG108" s="24">
        <v>1878</v>
      </c>
      <c r="DH108" s="24">
        <v>2581</v>
      </c>
      <c r="DJ108" s="24">
        <v>2022</v>
      </c>
      <c r="DK108" s="24">
        <v>27</v>
      </c>
      <c r="DL108" s="24" t="s">
        <v>32</v>
      </c>
      <c r="DM108" s="24">
        <v>7</v>
      </c>
      <c r="DP108" s="24">
        <v>2022</v>
      </c>
      <c r="DQ108" s="24">
        <v>20</v>
      </c>
      <c r="DR108" s="24" t="s">
        <v>33</v>
      </c>
      <c r="DS108" s="24">
        <v>20852</v>
      </c>
      <c r="DT108" s="24"/>
      <c r="DW108" s="24">
        <v>2022</v>
      </c>
      <c r="DX108" s="24">
        <v>39</v>
      </c>
      <c r="DY108" s="24" t="s">
        <v>32</v>
      </c>
      <c r="DZ108" s="24">
        <v>3</v>
      </c>
      <c r="EA108" s="24" t="s">
        <v>149</v>
      </c>
      <c r="EB108" s="24">
        <v>0.1</v>
      </c>
      <c r="EC108" s="24">
        <v>84.5</v>
      </c>
      <c r="ED108" s="24">
        <v>1631</v>
      </c>
      <c r="EE108" s="24">
        <v>1495</v>
      </c>
      <c r="EF108" s="24">
        <v>9</v>
      </c>
      <c r="EI108" s="24">
        <v>2023</v>
      </c>
      <c r="EJ108" s="24">
        <v>7</v>
      </c>
      <c r="EK108" s="24" t="s">
        <v>208</v>
      </c>
      <c r="EL108" s="24" t="s">
        <v>209</v>
      </c>
      <c r="EM108" s="24" t="s">
        <v>210</v>
      </c>
      <c r="EN108" s="24">
        <v>5</v>
      </c>
      <c r="EO108" s="24"/>
      <c r="EP108" s="24"/>
      <c r="EQ108" s="24"/>
      <c r="ER108" s="24"/>
      <c r="ES108" s="24">
        <v>2022</v>
      </c>
      <c r="ET108" s="24">
        <v>28</v>
      </c>
      <c r="EU108" s="24" t="s">
        <v>33</v>
      </c>
      <c r="EV108" s="24">
        <v>155903</v>
      </c>
      <c r="EY108" s="24">
        <v>2022</v>
      </c>
      <c r="EZ108" s="24">
        <v>29</v>
      </c>
      <c r="FA108" s="24" t="s">
        <v>32</v>
      </c>
      <c r="FB108" s="24">
        <v>738</v>
      </c>
      <c r="FE108" s="24">
        <v>2022</v>
      </c>
      <c r="FF108" s="24">
        <v>28</v>
      </c>
      <c r="FG108" s="24" t="s">
        <v>32</v>
      </c>
      <c r="FH108" s="24">
        <v>0.86420000000000008</v>
      </c>
      <c r="FI108" s="24">
        <v>465</v>
      </c>
      <c r="FJ108" s="24">
        <v>222</v>
      </c>
      <c r="FK108" s="24">
        <v>255</v>
      </c>
      <c r="FN108" s="24">
        <v>2022</v>
      </c>
      <c r="FO108" s="24">
        <v>29</v>
      </c>
      <c r="FP108" s="24" t="s">
        <v>32</v>
      </c>
      <c r="FQ108" s="24">
        <v>42533</v>
      </c>
      <c r="FR108" s="24">
        <v>915.23333333333301</v>
      </c>
      <c r="FS108" s="24">
        <v>29674</v>
      </c>
      <c r="FT108" s="24">
        <v>279.183333333333</v>
      </c>
      <c r="FW108" s="24">
        <v>2022</v>
      </c>
      <c r="FX108" s="24">
        <v>28</v>
      </c>
      <c r="FY108" s="24" t="s">
        <v>32</v>
      </c>
      <c r="FZ108" s="24">
        <v>2533</v>
      </c>
      <c r="GA108" s="24">
        <v>2062</v>
      </c>
      <c r="GB108" s="24"/>
      <c r="GC108" s="24"/>
      <c r="GD108" s="24">
        <v>2022</v>
      </c>
      <c r="GE108" s="24">
        <v>28</v>
      </c>
      <c r="GF108" s="24" t="s">
        <v>32</v>
      </c>
      <c r="GG108" s="24">
        <v>2462</v>
      </c>
      <c r="GH108" s="24">
        <v>1977</v>
      </c>
      <c r="GK108" s="24"/>
      <c r="GL108" s="24"/>
      <c r="GM108" s="24"/>
      <c r="GN108" s="24"/>
      <c r="GO108" s="284"/>
      <c r="GP108" s="24">
        <v>2022</v>
      </c>
      <c r="GQ108" s="24">
        <v>28</v>
      </c>
      <c r="GR108" s="24">
        <v>3.3028571428571398</v>
      </c>
      <c r="GS108" s="24" t="s">
        <v>32</v>
      </c>
      <c r="GX108">
        <v>2022</v>
      </c>
      <c r="GY108">
        <v>28</v>
      </c>
      <c r="GZ108" t="s">
        <v>32</v>
      </c>
      <c r="HA108">
        <v>17518</v>
      </c>
      <c r="HB108">
        <v>16308</v>
      </c>
      <c r="HC108">
        <v>17</v>
      </c>
      <c r="HD108">
        <v>11</v>
      </c>
      <c r="HE108">
        <v>0</v>
      </c>
      <c r="HF108">
        <v>351</v>
      </c>
      <c r="HG108">
        <v>0</v>
      </c>
      <c r="HH108">
        <v>0</v>
      </c>
      <c r="HI108">
        <v>171</v>
      </c>
      <c r="HL108">
        <v>2022</v>
      </c>
      <c r="HM108">
        <v>28</v>
      </c>
      <c r="HN108" t="s">
        <v>32</v>
      </c>
      <c r="HO108">
        <v>17287</v>
      </c>
      <c r="HP108">
        <v>16561</v>
      </c>
      <c r="HQ108">
        <v>22</v>
      </c>
      <c r="HR108">
        <v>8</v>
      </c>
      <c r="HS108">
        <v>0</v>
      </c>
      <c r="HT108">
        <v>500</v>
      </c>
      <c r="HU108">
        <v>0</v>
      </c>
      <c r="HV108">
        <v>0</v>
      </c>
      <c r="HW108">
        <v>23</v>
      </c>
      <c r="HZ108" s="24">
        <v>2022</v>
      </c>
      <c r="IA108" s="24">
        <v>28</v>
      </c>
      <c r="IB108" s="24" t="s">
        <v>32</v>
      </c>
      <c r="IC108" s="24">
        <v>2455</v>
      </c>
      <c r="ID108" s="24">
        <v>2224</v>
      </c>
      <c r="IG108" s="24">
        <v>2022</v>
      </c>
      <c r="IH108" s="24">
        <v>28</v>
      </c>
      <c r="II108" s="24" t="s">
        <v>32</v>
      </c>
      <c r="IJ108" s="24">
        <v>2409</v>
      </c>
      <c r="IK108" s="24">
        <v>2256</v>
      </c>
    </row>
    <row r="109" spans="9:245" x14ac:dyDescent="0.4">
      <c r="I109" s="305">
        <v>2022</v>
      </c>
      <c r="J109" s="306">
        <v>28</v>
      </c>
      <c r="K109" s="306" t="s">
        <v>32</v>
      </c>
      <c r="L109" s="306">
        <v>17798</v>
      </c>
      <c r="M109" s="306">
        <v>15825</v>
      </c>
      <c r="N109" s="306">
        <v>79</v>
      </c>
      <c r="O109" s="306">
        <v>488</v>
      </c>
      <c r="P109" s="306">
        <v>66</v>
      </c>
      <c r="Q109" s="306">
        <v>23</v>
      </c>
      <c r="R109" s="24"/>
      <c r="S109" s="24"/>
      <c r="T109" s="24"/>
      <c r="U109" s="24"/>
      <c r="V109" s="24"/>
      <c r="W109" s="24">
        <v>2022</v>
      </c>
      <c r="X109" s="24">
        <v>28</v>
      </c>
      <c r="Y109" s="24" t="s">
        <v>33</v>
      </c>
      <c r="Z109" s="24">
        <v>279779</v>
      </c>
      <c r="AA109" s="24">
        <v>214842</v>
      </c>
      <c r="AB109" s="24">
        <v>547</v>
      </c>
      <c r="AC109" s="24">
        <v>278</v>
      </c>
      <c r="AD109" s="24"/>
      <c r="AE109" s="24"/>
      <c r="AF109" s="24"/>
      <c r="AG109" s="24"/>
      <c r="AH109" s="24"/>
      <c r="AI109" s="24"/>
      <c r="AJ109" s="24"/>
      <c r="AK109" s="24">
        <v>2022</v>
      </c>
      <c r="AL109" s="24">
        <v>28</v>
      </c>
      <c r="AM109" s="24">
        <v>19807.800000000003</v>
      </c>
      <c r="AN109" s="24">
        <v>431.05</v>
      </c>
      <c r="AO109" s="24">
        <v>0</v>
      </c>
      <c r="AP109" s="24">
        <v>563</v>
      </c>
      <c r="AQ109" s="24">
        <v>0</v>
      </c>
      <c r="AR109" s="24">
        <v>4</v>
      </c>
      <c r="AS109" s="24" t="s">
        <v>33</v>
      </c>
      <c r="AT109" s="24"/>
      <c r="AU109" s="24">
        <v>2022</v>
      </c>
      <c r="AV109" s="24">
        <v>28</v>
      </c>
      <c r="AW109" s="24">
        <v>0.08</v>
      </c>
      <c r="AX109" s="24">
        <v>23200</v>
      </c>
      <c r="AY109" s="24">
        <v>287029</v>
      </c>
      <c r="AZ109" s="24" t="s">
        <v>33</v>
      </c>
      <c r="BA109" s="24"/>
      <c r="BB109" s="24"/>
      <c r="BC109" s="24">
        <v>2022</v>
      </c>
      <c r="BD109" s="24">
        <v>28</v>
      </c>
      <c r="BE109" s="24">
        <v>3015.6235714285699</v>
      </c>
      <c r="BF109" s="24" t="s">
        <v>33</v>
      </c>
      <c r="BG109" s="24"/>
      <c r="BI109" s="24">
        <v>2022</v>
      </c>
      <c r="BJ109" s="24">
        <v>45</v>
      </c>
      <c r="BK109" s="24" t="s">
        <v>33</v>
      </c>
      <c r="BL109" s="24" t="s">
        <v>272</v>
      </c>
      <c r="BM109" s="24">
        <v>50147</v>
      </c>
      <c r="BN109" s="24">
        <v>50100</v>
      </c>
      <c r="BO109" s="24">
        <v>181107</v>
      </c>
      <c r="BR109" s="24">
        <v>2022</v>
      </c>
      <c r="BS109" s="24">
        <v>28</v>
      </c>
      <c r="BT109" s="24">
        <v>17624</v>
      </c>
      <c r="BU109" s="24">
        <v>1</v>
      </c>
      <c r="BV109" s="24" t="s">
        <v>32</v>
      </c>
      <c r="BY109" s="24">
        <v>2022</v>
      </c>
      <c r="BZ109" s="24">
        <v>40</v>
      </c>
      <c r="CA109" s="24" t="s">
        <v>33</v>
      </c>
      <c r="CB109" s="24" t="s">
        <v>423</v>
      </c>
      <c r="CC109" s="24">
        <v>3</v>
      </c>
      <c r="CF109" s="24">
        <v>2022</v>
      </c>
      <c r="CG109" s="24">
        <v>28</v>
      </c>
      <c r="CH109" s="24" t="s">
        <v>33</v>
      </c>
      <c r="CI109" s="24">
        <v>126.87162737858563</v>
      </c>
      <c r="CJ109" s="24">
        <v>268029</v>
      </c>
      <c r="CK109" s="24">
        <v>2112.6</v>
      </c>
      <c r="CL109" s="24">
        <v>123.02109321841688</v>
      </c>
      <c r="CM109" s="24">
        <v>131582</v>
      </c>
      <c r="CN109" s="24">
        <v>271200</v>
      </c>
      <c r="CO109" s="24">
        <v>2204.5</v>
      </c>
      <c r="CP109" s="24">
        <v>59173</v>
      </c>
      <c r="CQ109" s="24">
        <v>341.4</v>
      </c>
      <c r="CR109" s="24">
        <v>1352.1</v>
      </c>
      <c r="CS109" s="24">
        <v>159000</v>
      </c>
      <c r="CT109" s="24">
        <v>159000</v>
      </c>
      <c r="CU109" s="24">
        <v>1693.7</v>
      </c>
      <c r="CV109" s="24">
        <v>53263</v>
      </c>
      <c r="CW109" s="24">
        <v>0</v>
      </c>
      <c r="CX109" s="24">
        <v>157807</v>
      </c>
      <c r="CY109" s="24">
        <v>923.8</v>
      </c>
      <c r="CZ109" s="24">
        <v>48294</v>
      </c>
      <c r="DA109" s="24">
        <v>1352.1</v>
      </c>
      <c r="DD109" s="24">
        <v>2022</v>
      </c>
      <c r="DE109" s="24">
        <v>28</v>
      </c>
      <c r="DF109" s="24" t="s">
        <v>33</v>
      </c>
      <c r="DG109" s="24">
        <v>19622</v>
      </c>
      <c r="DH109" s="24">
        <v>28593</v>
      </c>
      <c r="DJ109" s="24">
        <v>2022</v>
      </c>
      <c r="DK109" s="24">
        <v>27</v>
      </c>
      <c r="DL109" s="24" t="s">
        <v>33</v>
      </c>
      <c r="DM109" s="24">
        <v>213</v>
      </c>
      <c r="DP109" s="24">
        <v>2022</v>
      </c>
      <c r="DQ109" s="24">
        <v>19</v>
      </c>
      <c r="DR109" s="24" t="s">
        <v>33</v>
      </c>
      <c r="DS109" s="24">
        <v>21614</v>
      </c>
      <c r="DT109" s="24"/>
      <c r="DW109" s="24">
        <v>2022</v>
      </c>
      <c r="DX109" s="24">
        <v>39</v>
      </c>
      <c r="DY109" s="24" t="s">
        <v>33</v>
      </c>
      <c r="DZ109" s="24">
        <v>16</v>
      </c>
      <c r="EA109" s="24" t="s">
        <v>562</v>
      </c>
      <c r="EB109" s="24">
        <v>443.8</v>
      </c>
      <c r="EC109" s="24">
        <v>12.3</v>
      </c>
      <c r="ED109" s="24">
        <v>1</v>
      </c>
      <c r="EE109" s="24">
        <v>15321</v>
      </c>
      <c r="EF109" s="24">
        <v>56.1</v>
      </c>
      <c r="EI109" s="24">
        <v>2023</v>
      </c>
      <c r="EJ109" s="24">
        <v>7</v>
      </c>
      <c r="EK109" s="24" t="s">
        <v>558</v>
      </c>
      <c r="EL109" s="24" t="s">
        <v>555</v>
      </c>
      <c r="EM109" s="24" t="s">
        <v>210</v>
      </c>
      <c r="EN109" s="24">
        <v>12</v>
      </c>
      <c r="EO109" s="24"/>
      <c r="EP109" s="24"/>
      <c r="EQ109" s="24"/>
      <c r="ER109" s="24"/>
      <c r="ES109" s="24">
        <v>2022</v>
      </c>
      <c r="ET109" s="24">
        <v>27</v>
      </c>
      <c r="EU109" s="24" t="s">
        <v>32</v>
      </c>
      <c r="EV109" s="24">
        <v>6916</v>
      </c>
      <c r="EY109" s="24">
        <v>2022</v>
      </c>
      <c r="EZ109" s="24">
        <v>29</v>
      </c>
      <c r="FA109" s="24" t="s">
        <v>33</v>
      </c>
      <c r="FB109" s="24">
        <v>998</v>
      </c>
      <c r="FE109" s="24">
        <v>2022</v>
      </c>
      <c r="FF109" s="24">
        <v>28</v>
      </c>
      <c r="FG109" s="24" t="s">
        <v>33</v>
      </c>
      <c r="FH109" s="24">
        <v>0.83440000000000003</v>
      </c>
      <c r="FI109" s="24">
        <v>16129</v>
      </c>
      <c r="FJ109" s="24">
        <v>7296</v>
      </c>
      <c r="FK109" s="24">
        <v>8759</v>
      </c>
      <c r="FN109" s="24">
        <v>2022</v>
      </c>
      <c r="FO109" s="24">
        <v>29</v>
      </c>
      <c r="FP109" s="24" t="s">
        <v>33</v>
      </c>
      <c r="FQ109" s="24">
        <v>980012</v>
      </c>
      <c r="FR109" s="24">
        <v>9312.716666666669</v>
      </c>
      <c r="FS109" s="24">
        <v>397990</v>
      </c>
      <c r="FT109" s="24">
        <v>3475.7000000000003</v>
      </c>
      <c r="FW109" s="24">
        <v>2022</v>
      </c>
      <c r="FX109" s="24">
        <v>28</v>
      </c>
      <c r="FY109" s="24" t="s">
        <v>33</v>
      </c>
      <c r="FZ109" s="24">
        <v>19928</v>
      </c>
      <c r="GA109" s="24">
        <v>16949</v>
      </c>
      <c r="GB109" s="24"/>
      <c r="GC109" s="24"/>
      <c r="GD109" s="24">
        <v>2022</v>
      </c>
      <c r="GE109" s="24">
        <v>28</v>
      </c>
      <c r="GF109" s="24" t="s">
        <v>33</v>
      </c>
      <c r="GG109" s="24">
        <v>19445</v>
      </c>
      <c r="GH109" s="24">
        <v>17341</v>
      </c>
      <c r="GK109" s="24"/>
      <c r="GL109" s="24"/>
      <c r="GM109" s="24"/>
      <c r="GN109" s="24"/>
      <c r="GO109" s="284"/>
      <c r="GP109" s="24">
        <v>2022</v>
      </c>
      <c r="GQ109" s="24">
        <v>28</v>
      </c>
      <c r="GR109" s="24">
        <v>15.435285714285701</v>
      </c>
      <c r="GS109" s="24" t="s">
        <v>33</v>
      </c>
      <c r="GX109">
        <v>2022</v>
      </c>
      <c r="GY109">
        <v>28</v>
      </c>
      <c r="GZ109" t="s">
        <v>33</v>
      </c>
      <c r="HA109">
        <v>284258</v>
      </c>
      <c r="HB109">
        <v>272410</v>
      </c>
      <c r="HC109">
        <v>796</v>
      </c>
      <c r="HD109">
        <v>246</v>
      </c>
      <c r="HE109">
        <v>4</v>
      </c>
      <c r="HF109">
        <v>1232</v>
      </c>
      <c r="HG109">
        <v>0</v>
      </c>
      <c r="HH109">
        <v>1</v>
      </c>
      <c r="HI109">
        <v>1901</v>
      </c>
      <c r="HL109">
        <v>2022</v>
      </c>
      <c r="HM109">
        <v>28</v>
      </c>
      <c r="HN109" t="s">
        <v>33</v>
      </c>
      <c r="HO109">
        <v>279449</v>
      </c>
      <c r="HP109">
        <v>277082</v>
      </c>
      <c r="HQ109">
        <v>884</v>
      </c>
      <c r="HR109">
        <v>34</v>
      </c>
      <c r="HS109">
        <v>0</v>
      </c>
      <c r="HT109">
        <v>913</v>
      </c>
      <c r="HU109">
        <v>0</v>
      </c>
      <c r="HV109">
        <v>1</v>
      </c>
      <c r="HW109">
        <v>100</v>
      </c>
      <c r="HZ109" s="24">
        <v>2022</v>
      </c>
      <c r="IA109" s="24">
        <v>28</v>
      </c>
      <c r="IB109" s="24" t="s">
        <v>33</v>
      </c>
      <c r="IC109" s="24">
        <v>19495</v>
      </c>
      <c r="ID109" s="24">
        <v>18108</v>
      </c>
      <c r="IG109" s="24">
        <v>2022</v>
      </c>
      <c r="IH109" s="24">
        <v>28</v>
      </c>
      <c r="II109" s="24" t="s">
        <v>33</v>
      </c>
      <c r="IJ109" s="24">
        <v>18193</v>
      </c>
      <c r="IK109" s="24">
        <v>18039</v>
      </c>
    </row>
    <row r="110" spans="9:245" x14ac:dyDescent="0.4">
      <c r="I110" s="305">
        <v>2022</v>
      </c>
      <c r="J110" s="306">
        <v>28</v>
      </c>
      <c r="K110" s="306" t="s">
        <v>33</v>
      </c>
      <c r="L110" s="306">
        <v>285264</v>
      </c>
      <c r="M110" s="306">
        <v>212918</v>
      </c>
      <c r="N110" s="306">
        <v>1482</v>
      </c>
      <c r="O110" s="306">
        <v>8974</v>
      </c>
      <c r="P110" s="306">
        <v>810</v>
      </c>
      <c r="Q110" s="306">
        <v>293</v>
      </c>
      <c r="R110" s="24"/>
      <c r="S110" s="24"/>
      <c r="T110" s="24"/>
      <c r="W110" s="24">
        <v>2022</v>
      </c>
      <c r="X110" s="24">
        <v>27</v>
      </c>
      <c r="Y110" s="24" t="s">
        <v>32</v>
      </c>
      <c r="Z110" s="24">
        <v>14684</v>
      </c>
      <c r="AA110" s="24">
        <v>13648</v>
      </c>
      <c r="AB110" s="24">
        <v>40</v>
      </c>
      <c r="AC110" s="24">
        <v>9</v>
      </c>
      <c r="AD110" s="24"/>
      <c r="AE110" s="24"/>
      <c r="AF110" s="24"/>
      <c r="AG110" s="24"/>
      <c r="AH110" s="24"/>
      <c r="AI110" s="24"/>
      <c r="AJ110" s="24"/>
      <c r="AK110" s="24">
        <v>2022</v>
      </c>
      <c r="AL110" s="24">
        <v>27</v>
      </c>
      <c r="AM110" s="24">
        <v>431.22</v>
      </c>
      <c r="AN110" s="24">
        <v>18.32</v>
      </c>
      <c r="AO110" s="24">
        <v>0</v>
      </c>
      <c r="AP110" s="24">
        <v>14</v>
      </c>
      <c r="AQ110" s="24">
        <v>0</v>
      </c>
      <c r="AR110" s="24">
        <v>0</v>
      </c>
      <c r="AS110" s="24" t="s">
        <v>32</v>
      </c>
      <c r="AT110" s="24"/>
      <c r="AU110" s="24">
        <v>2022</v>
      </c>
      <c r="AV110" s="24">
        <v>27</v>
      </c>
      <c r="AW110" s="24">
        <v>0.1</v>
      </c>
      <c r="AX110" s="24">
        <v>1500</v>
      </c>
      <c r="AY110" s="24">
        <v>14925</v>
      </c>
      <c r="AZ110" s="24" t="s">
        <v>32</v>
      </c>
      <c r="BA110" s="24"/>
      <c r="BB110" s="24"/>
      <c r="BC110" s="24">
        <v>2022</v>
      </c>
      <c r="BD110" s="24">
        <v>27</v>
      </c>
      <c r="BE110" s="24">
        <v>290.84699999999998</v>
      </c>
      <c r="BF110" s="24" t="s">
        <v>32</v>
      </c>
      <c r="BG110" s="24"/>
      <c r="BI110" s="24">
        <v>2022</v>
      </c>
      <c r="BJ110" s="24">
        <v>44</v>
      </c>
      <c r="BK110" s="24" t="s">
        <v>32</v>
      </c>
      <c r="BL110" s="24" t="s">
        <v>272</v>
      </c>
      <c r="BM110" s="24">
        <v>2459</v>
      </c>
      <c r="BN110" s="24">
        <v>2438</v>
      </c>
      <c r="BO110" s="24">
        <v>8725</v>
      </c>
      <c r="BR110" s="24">
        <v>2022</v>
      </c>
      <c r="BS110" s="24">
        <v>27</v>
      </c>
      <c r="BT110" s="24">
        <v>14872</v>
      </c>
      <c r="BU110" s="24">
        <v>0</v>
      </c>
      <c r="BV110" s="24" t="s">
        <v>32</v>
      </c>
      <c r="BY110" s="24">
        <v>2022</v>
      </c>
      <c r="BZ110" s="24">
        <v>39</v>
      </c>
      <c r="CA110" s="24" t="s">
        <v>33</v>
      </c>
      <c r="CB110" s="24" t="s">
        <v>423</v>
      </c>
      <c r="CC110" s="24">
        <v>1</v>
      </c>
      <c r="CF110" s="24">
        <v>2022</v>
      </c>
      <c r="CG110" s="24">
        <v>27</v>
      </c>
      <c r="CH110" s="24" t="s">
        <v>32</v>
      </c>
      <c r="CI110" s="24">
        <v>48.217309501411101</v>
      </c>
      <c r="CJ110" s="24">
        <v>10251</v>
      </c>
      <c r="CK110" s="24">
        <v>212.6</v>
      </c>
      <c r="CL110" s="24">
        <v>60.078710644677663</v>
      </c>
      <c r="CM110" s="24">
        <v>9085</v>
      </c>
      <c r="CN110" s="24">
        <v>16029</v>
      </c>
      <c r="CO110" s="24">
        <v>266.8</v>
      </c>
      <c r="CP110" s="24">
        <v>8528</v>
      </c>
      <c r="CQ110" s="24">
        <v>60.1</v>
      </c>
      <c r="CR110" s="24">
        <v>206.5</v>
      </c>
      <c r="CS110" s="24">
        <v>10967</v>
      </c>
      <c r="CT110" s="24">
        <v>10967</v>
      </c>
      <c r="CU110" s="24">
        <v>289.3</v>
      </c>
      <c r="CV110" s="24">
        <v>2718</v>
      </c>
      <c r="CW110" s="24">
        <v>0</v>
      </c>
      <c r="CX110" s="24">
        <v>10286</v>
      </c>
      <c r="CY110" s="24">
        <v>63.1</v>
      </c>
      <c r="CZ110" s="24">
        <v>6056</v>
      </c>
      <c r="DA110" s="24">
        <v>206.5</v>
      </c>
      <c r="DD110" s="24">
        <v>2022</v>
      </c>
      <c r="DE110" s="24">
        <v>27</v>
      </c>
      <c r="DF110" s="24" t="s">
        <v>32</v>
      </c>
      <c r="DG110" s="24">
        <v>1946</v>
      </c>
      <c r="DH110" s="24">
        <v>2676</v>
      </c>
      <c r="DJ110" s="24">
        <v>2022</v>
      </c>
      <c r="DK110" s="24">
        <v>26</v>
      </c>
      <c r="DL110" s="24" t="s">
        <v>32</v>
      </c>
      <c r="DM110" s="24">
        <v>14</v>
      </c>
      <c r="DP110" s="24">
        <v>2022</v>
      </c>
      <c r="DQ110" s="24">
        <v>18</v>
      </c>
      <c r="DR110" s="24" t="s">
        <v>33</v>
      </c>
      <c r="DS110" s="24">
        <v>27367</v>
      </c>
      <c r="DT110" s="24"/>
      <c r="DW110" s="24">
        <v>2022</v>
      </c>
      <c r="DX110" s="24">
        <v>39</v>
      </c>
      <c r="DY110" s="24" t="s">
        <v>33</v>
      </c>
      <c r="DZ110" s="24">
        <v>91</v>
      </c>
      <c r="EA110" s="24" t="s">
        <v>149</v>
      </c>
      <c r="EB110" s="24">
        <v>115.3</v>
      </c>
      <c r="EC110" s="24">
        <v>2436.5</v>
      </c>
      <c r="ED110" s="24">
        <v>61765</v>
      </c>
      <c r="EE110" s="24">
        <v>65804</v>
      </c>
      <c r="EF110" s="24">
        <v>331.5</v>
      </c>
      <c r="EI110" s="24">
        <v>2023</v>
      </c>
      <c r="EJ110" s="24">
        <v>7</v>
      </c>
      <c r="EK110" s="24" t="s">
        <v>558</v>
      </c>
      <c r="EL110" s="24" t="s">
        <v>557</v>
      </c>
      <c r="EM110" s="24" t="s">
        <v>210</v>
      </c>
      <c r="EN110" s="24">
        <v>113</v>
      </c>
      <c r="EO110" s="24"/>
      <c r="EP110" s="24"/>
      <c r="EQ110" s="24"/>
      <c r="ER110" s="24"/>
      <c r="ES110" s="24">
        <v>2022</v>
      </c>
      <c r="ET110" s="24">
        <v>27</v>
      </c>
      <c r="EU110" s="24" t="s">
        <v>33</v>
      </c>
      <c r="EV110" s="24">
        <v>149216</v>
      </c>
      <c r="EY110" s="24">
        <v>2022</v>
      </c>
      <c r="EZ110" s="24">
        <v>29</v>
      </c>
      <c r="FA110" s="24" t="s">
        <v>35</v>
      </c>
      <c r="FB110" s="24">
        <v>1</v>
      </c>
      <c r="FE110" s="24">
        <v>2022</v>
      </c>
      <c r="FF110" s="24">
        <v>27</v>
      </c>
      <c r="FG110" s="24" t="s">
        <v>32</v>
      </c>
      <c r="FH110" s="24">
        <v>0.94300000000000006</v>
      </c>
      <c r="FI110" s="24">
        <v>432</v>
      </c>
      <c r="FJ110" s="24">
        <v>204</v>
      </c>
      <c r="FK110" s="24">
        <v>217</v>
      </c>
      <c r="FN110" s="24">
        <v>2022</v>
      </c>
      <c r="FO110" s="24">
        <v>28</v>
      </c>
      <c r="FP110" s="24" t="s">
        <v>32</v>
      </c>
      <c r="FQ110" s="24">
        <v>43193</v>
      </c>
      <c r="FR110" s="24">
        <v>882.36666666666599</v>
      </c>
      <c r="FS110" s="24">
        <v>32044</v>
      </c>
      <c r="FT110" s="24">
        <v>377.933333333333</v>
      </c>
      <c r="FW110" s="24">
        <v>2022</v>
      </c>
      <c r="FX110" s="24">
        <v>27</v>
      </c>
      <c r="FY110" s="24" t="s">
        <v>32</v>
      </c>
      <c r="FZ110" s="24">
        <v>2612</v>
      </c>
      <c r="GA110" s="24">
        <v>2283</v>
      </c>
      <c r="GB110" s="24"/>
      <c r="GC110" s="24"/>
      <c r="GD110" s="24">
        <v>2022</v>
      </c>
      <c r="GE110" s="24">
        <v>27</v>
      </c>
      <c r="GF110" s="24" t="s">
        <v>32</v>
      </c>
      <c r="GG110" s="24">
        <v>2686</v>
      </c>
      <c r="GH110" s="24">
        <v>2184</v>
      </c>
      <c r="GK110" s="24"/>
      <c r="GL110" s="24"/>
      <c r="GM110" s="24"/>
      <c r="GN110" s="24"/>
      <c r="GO110" s="285"/>
      <c r="GP110" s="24">
        <v>2022</v>
      </c>
      <c r="GQ110" s="24">
        <v>27</v>
      </c>
      <c r="GR110" s="24">
        <v>3.2065714285714302</v>
      </c>
      <c r="GS110" s="24" t="s">
        <v>32</v>
      </c>
      <c r="GX110">
        <v>2022</v>
      </c>
      <c r="GY110">
        <v>27</v>
      </c>
      <c r="GZ110" t="s">
        <v>32</v>
      </c>
      <c r="HA110">
        <v>14650</v>
      </c>
      <c r="HB110">
        <v>14270</v>
      </c>
      <c r="HC110">
        <v>1</v>
      </c>
      <c r="HD110">
        <v>9</v>
      </c>
      <c r="HE110">
        <v>0</v>
      </c>
      <c r="HF110">
        <v>117</v>
      </c>
      <c r="HG110">
        <v>0</v>
      </c>
      <c r="HH110">
        <v>0</v>
      </c>
      <c r="HI110">
        <v>46</v>
      </c>
      <c r="HL110">
        <v>2022</v>
      </c>
      <c r="HM110">
        <v>27</v>
      </c>
      <c r="HN110" t="s">
        <v>32</v>
      </c>
      <c r="HO110">
        <v>14623</v>
      </c>
      <c r="HP110">
        <v>14190</v>
      </c>
      <c r="HQ110">
        <v>4</v>
      </c>
      <c r="HR110">
        <v>6</v>
      </c>
      <c r="HS110">
        <v>0</v>
      </c>
      <c r="HT110">
        <v>283</v>
      </c>
      <c r="HU110">
        <v>0</v>
      </c>
      <c r="HV110">
        <v>0</v>
      </c>
      <c r="HW110">
        <v>19</v>
      </c>
      <c r="HZ110" s="24">
        <v>2022</v>
      </c>
      <c r="IA110" s="24">
        <v>27</v>
      </c>
      <c r="IB110" s="24" t="s">
        <v>32</v>
      </c>
      <c r="IC110" s="24">
        <v>2660</v>
      </c>
      <c r="ID110" s="24">
        <v>2511</v>
      </c>
      <c r="IG110" s="24">
        <v>2022</v>
      </c>
      <c r="IH110" s="24">
        <v>27</v>
      </c>
      <c r="II110" s="24" t="s">
        <v>32</v>
      </c>
      <c r="IJ110" s="24">
        <v>2629</v>
      </c>
      <c r="IK110" s="24">
        <v>2382</v>
      </c>
    </row>
    <row r="111" spans="9:245" x14ac:dyDescent="0.4">
      <c r="I111" s="305">
        <v>2022</v>
      </c>
      <c r="J111" s="306">
        <v>27</v>
      </c>
      <c r="K111" s="306" t="s">
        <v>32</v>
      </c>
      <c r="L111" s="306">
        <v>14676</v>
      </c>
      <c r="M111" s="306">
        <v>13804</v>
      </c>
      <c r="N111" s="306">
        <v>39</v>
      </c>
      <c r="O111" s="306">
        <v>199</v>
      </c>
      <c r="P111" s="306">
        <v>30</v>
      </c>
      <c r="Q111" s="306">
        <v>7</v>
      </c>
      <c r="R111" s="24"/>
      <c r="S111" s="24"/>
      <c r="T111" s="24"/>
      <c r="W111" s="24">
        <v>2022</v>
      </c>
      <c r="X111" s="24">
        <v>27</v>
      </c>
      <c r="Y111" s="24" t="s">
        <v>33</v>
      </c>
      <c r="Z111" s="24">
        <v>253607</v>
      </c>
      <c r="AA111" s="24">
        <v>185844</v>
      </c>
      <c r="AB111" s="24">
        <v>378</v>
      </c>
      <c r="AC111" s="24">
        <v>266</v>
      </c>
      <c r="AD111" s="24"/>
      <c r="AE111" s="24"/>
      <c r="AF111" s="24"/>
      <c r="AG111" s="24"/>
      <c r="AH111" s="24"/>
      <c r="AI111" s="24"/>
      <c r="AJ111" s="24"/>
      <c r="AK111" s="24">
        <v>2022</v>
      </c>
      <c r="AL111" s="24">
        <v>27</v>
      </c>
      <c r="AM111" s="24">
        <v>18736.100000000002</v>
      </c>
      <c r="AN111" s="24">
        <v>308.45</v>
      </c>
      <c r="AO111" s="24">
        <v>0</v>
      </c>
      <c r="AP111" s="24">
        <v>575</v>
      </c>
      <c r="AQ111" s="24">
        <v>0</v>
      </c>
      <c r="AR111" s="24">
        <v>2</v>
      </c>
      <c r="AS111" s="24" t="s">
        <v>33</v>
      </c>
      <c r="AT111" s="24"/>
      <c r="AU111" s="24">
        <v>2022</v>
      </c>
      <c r="AV111" s="24">
        <v>27</v>
      </c>
      <c r="AW111" s="24">
        <v>7.0000000000000007E-2</v>
      </c>
      <c r="AX111" s="24">
        <v>18600</v>
      </c>
      <c r="AY111" s="24">
        <v>253086</v>
      </c>
      <c r="AZ111" s="24" t="s">
        <v>33</v>
      </c>
      <c r="BA111" s="24"/>
      <c r="BB111" s="24"/>
      <c r="BC111" s="24">
        <v>2022</v>
      </c>
      <c r="BD111" s="24">
        <v>27</v>
      </c>
      <c r="BE111" s="24">
        <v>3006.0767142857098</v>
      </c>
      <c r="BF111" s="24" t="s">
        <v>33</v>
      </c>
      <c r="BG111" s="24"/>
      <c r="BI111" s="24">
        <v>2022</v>
      </c>
      <c r="BJ111" s="24">
        <v>44</v>
      </c>
      <c r="BK111" s="24" t="s">
        <v>33</v>
      </c>
      <c r="BL111" s="24" t="s">
        <v>273</v>
      </c>
      <c r="BM111" s="24">
        <v>81051</v>
      </c>
      <c r="BN111" s="24">
        <v>80537</v>
      </c>
      <c r="BO111" s="24">
        <v>82516</v>
      </c>
      <c r="BR111" s="24">
        <v>2022</v>
      </c>
      <c r="BS111" s="24">
        <v>27</v>
      </c>
      <c r="BT111" s="24">
        <v>252186</v>
      </c>
      <c r="BU111" s="24">
        <v>7</v>
      </c>
      <c r="BV111" s="24" t="s">
        <v>33</v>
      </c>
      <c r="BY111" s="24">
        <v>2022</v>
      </c>
      <c r="BZ111" s="24">
        <v>38</v>
      </c>
      <c r="CA111" s="24" t="s">
        <v>33</v>
      </c>
      <c r="CB111" s="24" t="s">
        <v>108</v>
      </c>
      <c r="CC111" s="24">
        <v>1</v>
      </c>
      <c r="CF111" s="24">
        <v>2022</v>
      </c>
      <c r="CG111" s="24">
        <v>27</v>
      </c>
      <c r="CH111" s="24" t="s">
        <v>33</v>
      </c>
      <c r="CI111" s="24">
        <v>121.01807288085649</v>
      </c>
      <c r="CJ111" s="24">
        <v>246417</v>
      </c>
      <c r="CK111" s="24">
        <v>2036.2</v>
      </c>
      <c r="CL111" s="24">
        <v>120.72363242817788</v>
      </c>
      <c r="CM111" s="24">
        <v>124251</v>
      </c>
      <c r="CN111" s="24">
        <v>245407</v>
      </c>
      <c r="CO111" s="24">
        <v>2032.8</v>
      </c>
      <c r="CP111" s="24">
        <v>56600</v>
      </c>
      <c r="CQ111" s="24">
        <v>220.8</v>
      </c>
      <c r="CR111" s="24">
        <v>1366.8</v>
      </c>
      <c r="CS111" s="24">
        <v>159202</v>
      </c>
      <c r="CT111" s="24">
        <v>159202</v>
      </c>
      <c r="CU111" s="24">
        <v>1654.5</v>
      </c>
      <c r="CV111" s="24">
        <v>49938</v>
      </c>
      <c r="CW111" s="24">
        <v>0</v>
      </c>
      <c r="CX111" s="24">
        <v>164484</v>
      </c>
      <c r="CY111" s="24">
        <v>925.5</v>
      </c>
      <c r="CZ111" s="24">
        <v>49412</v>
      </c>
      <c r="DA111" s="24">
        <v>1366.8</v>
      </c>
      <c r="DD111" s="24">
        <v>2022</v>
      </c>
      <c r="DE111" s="24">
        <v>27</v>
      </c>
      <c r="DF111" s="24" t="s">
        <v>33</v>
      </c>
      <c r="DG111" s="24">
        <v>40073</v>
      </c>
      <c r="DH111" s="24">
        <v>25918</v>
      </c>
      <c r="DJ111" s="24">
        <v>2022</v>
      </c>
      <c r="DK111" s="24">
        <v>26</v>
      </c>
      <c r="DL111" s="24" t="s">
        <v>33</v>
      </c>
      <c r="DM111" s="24">
        <v>290</v>
      </c>
      <c r="DP111" s="24">
        <v>2022</v>
      </c>
      <c r="DQ111" s="24">
        <v>17</v>
      </c>
      <c r="DR111" s="24" t="s">
        <v>33</v>
      </c>
      <c r="DS111" s="24">
        <v>28104</v>
      </c>
      <c r="DT111" s="24"/>
      <c r="DW111" s="24">
        <v>2022</v>
      </c>
      <c r="DX111" s="24">
        <v>38</v>
      </c>
      <c r="DY111" s="24" t="s">
        <v>32</v>
      </c>
      <c r="DZ111" s="24">
        <v>3</v>
      </c>
      <c r="EA111" s="24" t="s">
        <v>149</v>
      </c>
      <c r="EB111" s="24">
        <v>5.2</v>
      </c>
      <c r="EC111" s="24">
        <v>81.900000000000006</v>
      </c>
      <c r="ED111" s="24">
        <v>1937</v>
      </c>
      <c r="EE111" s="24">
        <v>1724</v>
      </c>
      <c r="EF111" s="24">
        <v>0.1</v>
      </c>
      <c r="EI111" s="24">
        <v>2023</v>
      </c>
      <c r="EJ111" s="24">
        <v>7</v>
      </c>
      <c r="EK111" s="24" t="s">
        <v>558</v>
      </c>
      <c r="EL111" s="24" t="s">
        <v>557</v>
      </c>
      <c r="EM111" s="24" t="s">
        <v>234</v>
      </c>
      <c r="EN111" s="24">
        <v>9</v>
      </c>
      <c r="EO111" s="24"/>
      <c r="EP111" s="24"/>
      <c r="EQ111" s="24"/>
      <c r="ER111" s="24"/>
      <c r="ES111" s="24">
        <v>2022</v>
      </c>
      <c r="ET111" s="24">
        <v>27</v>
      </c>
      <c r="EU111" s="24" t="s">
        <v>213</v>
      </c>
      <c r="EV111" s="24">
        <v>1</v>
      </c>
      <c r="EY111" s="24">
        <v>2022</v>
      </c>
      <c r="EZ111" s="24">
        <v>28</v>
      </c>
      <c r="FA111" s="24" t="s">
        <v>32</v>
      </c>
      <c r="FB111" s="24">
        <v>653</v>
      </c>
      <c r="FE111" s="24">
        <v>2022</v>
      </c>
      <c r="FF111" s="24">
        <v>27</v>
      </c>
      <c r="FG111" s="24" t="s">
        <v>33</v>
      </c>
      <c r="FH111" s="24">
        <v>0.92700000000000005</v>
      </c>
      <c r="FI111" s="24">
        <v>14676</v>
      </c>
      <c r="FJ111" s="24">
        <v>6649</v>
      </c>
      <c r="FK111" s="24">
        <v>7235</v>
      </c>
      <c r="FN111" s="24">
        <v>2022</v>
      </c>
      <c r="FO111" s="24">
        <v>28</v>
      </c>
      <c r="FP111" s="24" t="s">
        <v>33</v>
      </c>
      <c r="FQ111" s="24">
        <v>916970</v>
      </c>
      <c r="FR111" s="24">
        <v>8713.9333333333288</v>
      </c>
      <c r="FS111" s="24">
        <v>383932</v>
      </c>
      <c r="FT111" s="24">
        <v>3165.2333333333299</v>
      </c>
      <c r="FW111" s="24">
        <v>2022</v>
      </c>
      <c r="FX111" s="24">
        <v>27</v>
      </c>
      <c r="FY111" s="24" t="s">
        <v>33</v>
      </c>
      <c r="FZ111" s="24">
        <v>18275</v>
      </c>
      <c r="GA111" s="24">
        <v>16984</v>
      </c>
      <c r="GB111" s="24"/>
      <c r="GC111" s="24"/>
      <c r="GD111" s="24">
        <v>2022</v>
      </c>
      <c r="GE111" s="24">
        <v>27</v>
      </c>
      <c r="GF111" s="24" t="s">
        <v>33</v>
      </c>
      <c r="GG111" s="24">
        <v>18340</v>
      </c>
      <c r="GH111" s="24">
        <v>17274</v>
      </c>
      <c r="GK111" s="272"/>
      <c r="GL111" s="272"/>
      <c r="GM111" s="272"/>
      <c r="GN111" s="272"/>
      <c r="GO111" s="285"/>
      <c r="GP111" s="24">
        <v>2022</v>
      </c>
      <c r="GQ111" s="24">
        <v>27</v>
      </c>
      <c r="GR111" s="24">
        <v>15.421571428571401</v>
      </c>
      <c r="GS111" s="24" t="s">
        <v>33</v>
      </c>
      <c r="GX111">
        <v>2022</v>
      </c>
      <c r="GY111">
        <v>27</v>
      </c>
      <c r="GZ111" t="s">
        <v>33</v>
      </c>
      <c r="HA111">
        <v>255053</v>
      </c>
      <c r="HB111">
        <v>251148</v>
      </c>
      <c r="HC111">
        <v>513</v>
      </c>
      <c r="HD111">
        <v>83</v>
      </c>
      <c r="HE111">
        <v>1</v>
      </c>
      <c r="HF111">
        <v>295</v>
      </c>
      <c r="HG111">
        <v>0</v>
      </c>
      <c r="HH111">
        <v>2</v>
      </c>
      <c r="HI111">
        <v>813</v>
      </c>
      <c r="HL111">
        <v>2022</v>
      </c>
      <c r="HM111">
        <v>27</v>
      </c>
      <c r="HN111" t="s">
        <v>33</v>
      </c>
      <c r="HO111">
        <v>253305</v>
      </c>
      <c r="HP111">
        <v>252123</v>
      </c>
      <c r="HQ111">
        <v>561</v>
      </c>
      <c r="HR111">
        <v>7</v>
      </c>
      <c r="HS111">
        <v>1</v>
      </c>
      <c r="HT111">
        <v>139</v>
      </c>
      <c r="HU111">
        <v>0</v>
      </c>
      <c r="HV111">
        <v>2</v>
      </c>
      <c r="HW111">
        <v>42</v>
      </c>
      <c r="HZ111" s="24">
        <v>2022</v>
      </c>
      <c r="IA111" s="24">
        <v>27</v>
      </c>
      <c r="IB111" s="24" t="s">
        <v>33</v>
      </c>
      <c r="IC111" s="24">
        <v>18009</v>
      </c>
      <c r="ID111" s="24">
        <v>17505</v>
      </c>
      <c r="IG111" s="24">
        <v>2022</v>
      </c>
      <c r="IH111" s="24">
        <v>27</v>
      </c>
      <c r="II111" s="24" t="s">
        <v>33</v>
      </c>
      <c r="IJ111" s="24">
        <v>17380</v>
      </c>
      <c r="IK111" s="24">
        <v>17286</v>
      </c>
    </row>
    <row r="112" spans="9:245" x14ac:dyDescent="0.4">
      <c r="I112" s="305">
        <v>2022</v>
      </c>
      <c r="J112" s="306">
        <v>27</v>
      </c>
      <c r="K112" s="306" t="s">
        <v>33</v>
      </c>
      <c r="L112" s="306">
        <v>253173</v>
      </c>
      <c r="M112" s="306">
        <v>184301</v>
      </c>
      <c r="N112" s="306">
        <v>1150</v>
      </c>
      <c r="O112" s="306">
        <v>5547</v>
      </c>
      <c r="P112" s="306">
        <v>437</v>
      </c>
      <c r="Q112" s="306">
        <v>273</v>
      </c>
      <c r="R112" s="24"/>
      <c r="S112" s="24"/>
      <c r="T112" s="24"/>
      <c r="W112" s="24">
        <v>2022</v>
      </c>
      <c r="X112" s="24">
        <v>26</v>
      </c>
      <c r="Y112" s="24" t="s">
        <v>32</v>
      </c>
      <c r="Z112" s="24">
        <v>16055</v>
      </c>
      <c r="AA112" s="24">
        <v>14740</v>
      </c>
      <c r="AB112" s="24">
        <v>44</v>
      </c>
      <c r="AC112" s="24">
        <v>1</v>
      </c>
      <c r="AD112" s="24"/>
      <c r="AE112" s="24"/>
      <c r="AF112" s="24"/>
      <c r="AG112" s="24"/>
      <c r="AH112" s="24"/>
      <c r="AI112" s="24"/>
      <c r="AJ112" s="24"/>
      <c r="AK112" s="24">
        <v>2022</v>
      </c>
      <c r="AL112" s="24">
        <v>26</v>
      </c>
      <c r="AM112" s="24">
        <v>541.41999999999996</v>
      </c>
      <c r="AN112" s="24">
        <v>31.48</v>
      </c>
      <c r="AO112" s="24">
        <v>0</v>
      </c>
      <c r="AP112" s="24">
        <v>14</v>
      </c>
      <c r="AQ112" s="24">
        <v>0</v>
      </c>
      <c r="AR112" s="24">
        <v>0</v>
      </c>
      <c r="AS112" s="24" t="s">
        <v>32</v>
      </c>
      <c r="AT112" s="24"/>
      <c r="AU112" s="24">
        <v>2022</v>
      </c>
      <c r="AV112" s="24">
        <v>26</v>
      </c>
      <c r="AW112" s="24">
        <v>0.13</v>
      </c>
      <c r="AX112" s="24">
        <v>2200</v>
      </c>
      <c r="AY112" s="24">
        <v>16624</v>
      </c>
      <c r="AZ112" s="24" t="s">
        <v>32</v>
      </c>
      <c r="BA112" s="24"/>
      <c r="BB112" s="24"/>
      <c r="BC112" s="24">
        <v>2022</v>
      </c>
      <c r="BD112" s="24">
        <v>26</v>
      </c>
      <c r="BE112" s="24">
        <v>288.28300000000002</v>
      </c>
      <c r="BF112" s="24" t="s">
        <v>32</v>
      </c>
      <c r="BG112" s="24"/>
      <c r="BI112" s="24">
        <v>2022</v>
      </c>
      <c r="BJ112" s="24">
        <v>44</v>
      </c>
      <c r="BK112" s="24" t="s">
        <v>33</v>
      </c>
      <c r="BL112" s="24" t="s">
        <v>272</v>
      </c>
      <c r="BM112" s="24">
        <v>45404</v>
      </c>
      <c r="BN112" s="24">
        <v>45127</v>
      </c>
      <c r="BO112" s="24">
        <v>167834</v>
      </c>
      <c r="BR112" s="24">
        <v>2022</v>
      </c>
      <c r="BS112" s="24">
        <v>26</v>
      </c>
      <c r="BT112" s="24">
        <v>301167</v>
      </c>
      <c r="BU112" s="24">
        <v>6</v>
      </c>
      <c r="BV112" s="24" t="s">
        <v>33</v>
      </c>
      <c r="BY112" s="24">
        <v>2022</v>
      </c>
      <c r="BZ112" s="24">
        <v>38</v>
      </c>
      <c r="CA112" s="24" t="s">
        <v>33</v>
      </c>
      <c r="CB112" s="24" t="s">
        <v>423</v>
      </c>
      <c r="CC112" s="24">
        <v>3</v>
      </c>
      <c r="CF112" s="24">
        <v>2022</v>
      </c>
      <c r="CG112" s="24">
        <v>26</v>
      </c>
      <c r="CH112" s="24" t="s">
        <v>32</v>
      </c>
      <c r="CI112" s="24">
        <v>52.833402575820521</v>
      </c>
      <c r="CJ112" s="24">
        <v>12717</v>
      </c>
      <c r="CK112" s="24">
        <v>240.7</v>
      </c>
      <c r="CL112" s="24">
        <v>62.03675805965652</v>
      </c>
      <c r="CM112" s="24">
        <v>10868</v>
      </c>
      <c r="CN112" s="24">
        <v>20590</v>
      </c>
      <c r="CO112" s="24">
        <v>331.9</v>
      </c>
      <c r="CP112" s="24">
        <v>10307</v>
      </c>
      <c r="CQ112" s="24">
        <v>72.900000000000006</v>
      </c>
      <c r="CR112" s="24">
        <v>253.1</v>
      </c>
      <c r="CS112" s="24">
        <v>15715</v>
      </c>
      <c r="CT112" s="24">
        <v>15715</v>
      </c>
      <c r="CU112" s="24">
        <v>388.5</v>
      </c>
      <c r="CV112" s="24">
        <v>2469</v>
      </c>
      <c r="CW112" s="24">
        <v>0</v>
      </c>
      <c r="CX112" s="24">
        <v>6465</v>
      </c>
      <c r="CY112" s="24">
        <v>59.1</v>
      </c>
      <c r="CZ112" s="24">
        <v>7534</v>
      </c>
      <c r="DA112" s="24">
        <v>253.1</v>
      </c>
      <c r="DD112" s="24">
        <v>2022</v>
      </c>
      <c r="DE112" s="24">
        <v>26</v>
      </c>
      <c r="DF112" s="24" t="s">
        <v>32</v>
      </c>
      <c r="DG112" s="24">
        <v>1388</v>
      </c>
      <c r="DH112" s="24">
        <v>2591</v>
      </c>
      <c r="DJ112" s="24">
        <v>2022</v>
      </c>
      <c r="DK112" s="24">
        <v>25</v>
      </c>
      <c r="DL112" s="24" t="s">
        <v>32</v>
      </c>
      <c r="DM112" s="24">
        <v>28</v>
      </c>
      <c r="DP112" s="24">
        <v>2022</v>
      </c>
      <c r="DQ112" s="24">
        <v>16</v>
      </c>
      <c r="DR112" s="24" t="s">
        <v>33</v>
      </c>
      <c r="DS112" s="24">
        <v>31209</v>
      </c>
      <c r="DT112" s="24"/>
      <c r="DW112" s="24">
        <v>2022</v>
      </c>
      <c r="DX112" s="24">
        <v>38</v>
      </c>
      <c r="DY112" s="24" t="s">
        <v>33</v>
      </c>
      <c r="DZ112" s="24">
        <v>15</v>
      </c>
      <c r="EA112" s="24" t="s">
        <v>562</v>
      </c>
      <c r="EB112" s="24">
        <v>390.4</v>
      </c>
      <c r="EC112" s="24">
        <v>0</v>
      </c>
      <c r="ED112" s="24">
        <v>3</v>
      </c>
      <c r="EE112" s="24">
        <v>12616</v>
      </c>
      <c r="EF112" s="24">
        <v>26</v>
      </c>
      <c r="EI112" s="24">
        <v>2023</v>
      </c>
      <c r="EJ112" s="24">
        <v>7</v>
      </c>
      <c r="EK112" s="24" t="s">
        <v>558</v>
      </c>
      <c r="EL112" s="24" t="s">
        <v>554</v>
      </c>
      <c r="EM112" s="24" t="s">
        <v>210</v>
      </c>
      <c r="EN112" s="24">
        <v>5</v>
      </c>
      <c r="EO112" s="24"/>
      <c r="EP112" s="24"/>
      <c r="EQ112" s="24"/>
      <c r="ER112" s="24"/>
      <c r="ES112" s="24">
        <v>2022</v>
      </c>
      <c r="ET112" s="24">
        <v>26</v>
      </c>
      <c r="EU112" s="24" t="s">
        <v>32</v>
      </c>
      <c r="EV112" s="24">
        <v>7787</v>
      </c>
      <c r="EY112" s="24">
        <v>2022</v>
      </c>
      <c r="EZ112" s="24">
        <v>28</v>
      </c>
      <c r="FA112" s="24" t="s">
        <v>33</v>
      </c>
      <c r="FB112" s="24">
        <v>756</v>
      </c>
      <c r="FE112" s="24">
        <v>2022</v>
      </c>
      <c r="FF112" s="24">
        <v>26</v>
      </c>
      <c r="FG112" s="24" t="s">
        <v>32</v>
      </c>
      <c r="FH112" s="24">
        <v>0.90980000000000005</v>
      </c>
      <c r="FI112" s="24">
        <v>496</v>
      </c>
      <c r="FJ112" s="24">
        <v>241</v>
      </c>
      <c r="FK112" s="24">
        <v>264</v>
      </c>
      <c r="FN112" s="24">
        <v>2022</v>
      </c>
      <c r="FO112" s="24">
        <v>27</v>
      </c>
      <c r="FP112" s="24" t="s">
        <v>32</v>
      </c>
      <c r="FQ112" s="24">
        <v>37620</v>
      </c>
      <c r="FR112" s="24">
        <v>847.5</v>
      </c>
      <c r="FS112" s="24">
        <v>30126</v>
      </c>
      <c r="FT112" s="24">
        <v>348.66666666666697</v>
      </c>
      <c r="FW112" s="24">
        <v>2022</v>
      </c>
      <c r="FX112" s="24">
        <v>26</v>
      </c>
      <c r="FY112" s="24" t="s">
        <v>32</v>
      </c>
      <c r="FZ112" s="24">
        <v>2789</v>
      </c>
      <c r="GA112" s="24">
        <v>2265</v>
      </c>
      <c r="GB112" s="24"/>
      <c r="GC112" s="24"/>
      <c r="GD112" s="24">
        <v>2022</v>
      </c>
      <c r="GE112" s="24">
        <v>26</v>
      </c>
      <c r="GF112" s="24" t="s">
        <v>32</v>
      </c>
      <c r="GG112" s="24">
        <v>2766</v>
      </c>
      <c r="GH112" s="24">
        <v>2158</v>
      </c>
      <c r="GK112" s="272"/>
      <c r="GL112" s="272"/>
      <c r="GM112" s="272"/>
      <c r="GN112" s="272"/>
      <c r="GO112" s="286"/>
      <c r="GP112" s="24">
        <v>2022</v>
      </c>
      <c r="GQ112" s="24">
        <v>26</v>
      </c>
      <c r="GR112" s="24">
        <v>2.9855714285714301</v>
      </c>
      <c r="GS112" s="24" t="s">
        <v>32</v>
      </c>
      <c r="GX112">
        <v>2022</v>
      </c>
      <c r="GY112">
        <v>26</v>
      </c>
      <c r="GZ112" t="s">
        <v>32</v>
      </c>
      <c r="HA112">
        <v>16101</v>
      </c>
      <c r="HB112">
        <v>15328</v>
      </c>
      <c r="HC112">
        <v>3</v>
      </c>
      <c r="HD112">
        <v>5</v>
      </c>
      <c r="HE112">
        <v>0</v>
      </c>
      <c r="HF112">
        <v>330</v>
      </c>
      <c r="HG112">
        <v>0</v>
      </c>
      <c r="HH112">
        <v>0</v>
      </c>
      <c r="HI112">
        <v>115</v>
      </c>
      <c r="HL112">
        <v>2022</v>
      </c>
      <c r="HM112">
        <v>26</v>
      </c>
      <c r="HN112" t="s">
        <v>32</v>
      </c>
      <c r="HO112">
        <v>15976</v>
      </c>
      <c r="HP112">
        <v>15305</v>
      </c>
      <c r="HQ112">
        <v>3</v>
      </c>
      <c r="HR112">
        <v>7</v>
      </c>
      <c r="HS112">
        <v>0</v>
      </c>
      <c r="HT112">
        <v>409</v>
      </c>
      <c r="HU112">
        <v>0</v>
      </c>
      <c r="HV112">
        <v>0</v>
      </c>
      <c r="HW112">
        <v>17</v>
      </c>
      <c r="HZ112" s="24">
        <v>2022</v>
      </c>
      <c r="IA112" s="24">
        <v>26</v>
      </c>
      <c r="IB112" s="24" t="s">
        <v>32</v>
      </c>
      <c r="IC112" s="24">
        <v>2844</v>
      </c>
      <c r="ID112" s="24">
        <v>2453</v>
      </c>
      <c r="IG112" s="24">
        <v>2022</v>
      </c>
      <c r="IH112" s="24">
        <v>26</v>
      </c>
      <c r="II112" s="24" t="s">
        <v>32</v>
      </c>
      <c r="IJ112" s="24">
        <v>2682</v>
      </c>
      <c r="IK112" s="24">
        <v>2337</v>
      </c>
    </row>
    <row r="113" spans="9:245" x14ac:dyDescent="0.4">
      <c r="I113" s="305">
        <v>2022</v>
      </c>
      <c r="J113" s="306">
        <v>26</v>
      </c>
      <c r="K113" s="306" t="s">
        <v>32</v>
      </c>
      <c r="L113" s="306">
        <v>16193</v>
      </c>
      <c r="M113" s="306">
        <v>14999</v>
      </c>
      <c r="N113" s="306">
        <v>74</v>
      </c>
      <c r="O113" s="306">
        <v>233</v>
      </c>
      <c r="P113" s="306">
        <v>53</v>
      </c>
      <c r="Q113" s="306">
        <v>2</v>
      </c>
      <c r="R113" s="24"/>
      <c r="S113" s="24"/>
      <c r="T113" s="24"/>
      <c r="W113" s="24">
        <v>2022</v>
      </c>
      <c r="X113" s="24">
        <v>26</v>
      </c>
      <c r="Y113" s="24" t="s">
        <v>33</v>
      </c>
      <c r="Z113" s="24">
        <v>295727</v>
      </c>
      <c r="AA113" s="24">
        <v>223573</v>
      </c>
      <c r="AB113" s="24">
        <v>577</v>
      </c>
      <c r="AC113" s="24">
        <v>259</v>
      </c>
      <c r="AD113" s="24"/>
      <c r="AE113" s="24"/>
      <c r="AF113" s="24"/>
      <c r="AG113" s="24"/>
      <c r="AH113" s="24"/>
      <c r="AI113" s="24"/>
      <c r="AJ113" s="24"/>
      <c r="AK113" s="24">
        <v>2022</v>
      </c>
      <c r="AL113" s="24">
        <v>26</v>
      </c>
      <c r="AM113" s="24">
        <v>21131.670000000002</v>
      </c>
      <c r="AN113" s="24">
        <v>707.7</v>
      </c>
      <c r="AO113" s="24">
        <v>0</v>
      </c>
      <c r="AP113" s="24">
        <v>568</v>
      </c>
      <c r="AQ113" s="24">
        <v>0</v>
      </c>
      <c r="AR113" s="24">
        <v>0</v>
      </c>
      <c r="AS113" s="24" t="s">
        <v>33</v>
      </c>
      <c r="AT113" s="24"/>
      <c r="AU113" s="24">
        <v>2022</v>
      </c>
      <c r="AV113" s="24">
        <v>26</v>
      </c>
      <c r="AW113" s="24">
        <v>0.08</v>
      </c>
      <c r="AX113" s="24">
        <v>22900</v>
      </c>
      <c r="AY113" s="24">
        <v>302733</v>
      </c>
      <c r="AZ113" s="24" t="s">
        <v>33</v>
      </c>
      <c r="BA113" s="24"/>
      <c r="BB113" s="24"/>
      <c r="BC113" s="24">
        <v>2022</v>
      </c>
      <c r="BD113" s="24">
        <v>26</v>
      </c>
      <c r="BE113" s="24">
        <v>2945.9444285714299</v>
      </c>
      <c r="BF113" s="24" t="s">
        <v>33</v>
      </c>
      <c r="BG113" s="24"/>
      <c r="BI113" s="24">
        <v>2022</v>
      </c>
      <c r="BJ113" s="24">
        <v>44</v>
      </c>
      <c r="BK113" s="24" t="s">
        <v>32</v>
      </c>
      <c r="BL113" s="24" t="s">
        <v>273</v>
      </c>
      <c r="BM113" s="24">
        <v>6087</v>
      </c>
      <c r="BN113" s="24">
        <v>6058</v>
      </c>
      <c r="BO113" s="24">
        <v>6710</v>
      </c>
      <c r="BR113" s="24">
        <v>2022</v>
      </c>
      <c r="BS113" s="24">
        <v>26</v>
      </c>
      <c r="BT113" s="24">
        <v>16506</v>
      </c>
      <c r="BU113" s="24">
        <v>2</v>
      </c>
      <c r="BV113" s="24" t="s">
        <v>32</v>
      </c>
      <c r="BY113" s="24">
        <v>2022</v>
      </c>
      <c r="BZ113" s="24">
        <v>37</v>
      </c>
      <c r="CA113" s="24" t="s">
        <v>33</v>
      </c>
      <c r="CB113" s="24" t="s">
        <v>108</v>
      </c>
      <c r="CC113" s="24">
        <v>4</v>
      </c>
      <c r="CF113" s="24">
        <v>2022</v>
      </c>
      <c r="CG113" s="24">
        <v>26</v>
      </c>
      <c r="CH113" s="24" t="s">
        <v>33</v>
      </c>
      <c r="CI113" s="24">
        <v>136.36407025582284</v>
      </c>
      <c r="CJ113" s="24">
        <v>285710</v>
      </c>
      <c r="CK113" s="24">
        <v>2095.1999999999998</v>
      </c>
      <c r="CL113" s="24">
        <v>126.75227466272243</v>
      </c>
      <c r="CM113" s="24">
        <v>136294</v>
      </c>
      <c r="CN113" s="24">
        <v>282797</v>
      </c>
      <c r="CO113" s="24">
        <v>2231.1</v>
      </c>
      <c r="CP113" s="24">
        <v>68686</v>
      </c>
      <c r="CQ113" s="24">
        <v>428.4</v>
      </c>
      <c r="CR113" s="24">
        <v>1518.3</v>
      </c>
      <c r="CS113" s="24">
        <v>134240</v>
      </c>
      <c r="CT113" s="24">
        <v>134240</v>
      </c>
      <c r="CU113" s="24">
        <v>1450.1</v>
      </c>
      <c r="CV113" s="24">
        <v>61265</v>
      </c>
      <c r="CW113" s="24">
        <v>0</v>
      </c>
      <c r="CX113" s="24">
        <v>149602</v>
      </c>
      <c r="CY113" s="24">
        <v>1019.9</v>
      </c>
      <c r="CZ113" s="24">
        <v>51424</v>
      </c>
      <c r="DA113" s="24">
        <v>1518.3</v>
      </c>
      <c r="DD113" s="24">
        <v>2022</v>
      </c>
      <c r="DE113" s="24">
        <v>26</v>
      </c>
      <c r="DF113" s="24" t="s">
        <v>33</v>
      </c>
      <c r="DG113" s="24">
        <v>19716</v>
      </c>
      <c r="DH113" s="24">
        <v>20931</v>
      </c>
      <c r="DJ113" s="24">
        <v>2022</v>
      </c>
      <c r="DK113" s="24">
        <v>25</v>
      </c>
      <c r="DL113" s="24" t="s">
        <v>33</v>
      </c>
      <c r="DM113" s="24">
        <v>527</v>
      </c>
      <c r="DP113" s="24">
        <v>2022</v>
      </c>
      <c r="DQ113" s="24">
        <v>15</v>
      </c>
      <c r="DR113" s="24" t="s">
        <v>33</v>
      </c>
      <c r="DS113" s="24">
        <v>26805</v>
      </c>
      <c r="DT113" s="24"/>
      <c r="DW113" s="24">
        <v>2022</v>
      </c>
      <c r="DX113" s="24">
        <v>38</v>
      </c>
      <c r="DY113" s="24" t="s">
        <v>33</v>
      </c>
      <c r="DZ113" s="24">
        <v>84</v>
      </c>
      <c r="EA113" s="24" t="s">
        <v>149</v>
      </c>
      <c r="EB113" s="24">
        <v>198.6</v>
      </c>
      <c r="EC113" s="24">
        <v>2333.8000000000002</v>
      </c>
      <c r="ED113" s="24">
        <v>56646</v>
      </c>
      <c r="EE113" s="24">
        <v>61909</v>
      </c>
      <c r="EF113" s="24">
        <v>184.6</v>
      </c>
      <c r="EI113" s="24">
        <v>2023</v>
      </c>
      <c r="EJ113" s="24">
        <v>7</v>
      </c>
      <c r="EK113" s="24" t="s">
        <v>558</v>
      </c>
      <c r="EL113" s="24" t="s">
        <v>554</v>
      </c>
      <c r="EM113" s="24" t="s">
        <v>234</v>
      </c>
      <c r="EN113" s="24">
        <v>1</v>
      </c>
      <c r="EO113" s="24"/>
      <c r="EP113" s="24"/>
      <c r="EQ113" s="24"/>
      <c r="ER113" s="24"/>
      <c r="ES113" s="24">
        <v>2022</v>
      </c>
      <c r="ET113" s="24">
        <v>26</v>
      </c>
      <c r="EU113" s="24" t="s">
        <v>33</v>
      </c>
      <c r="EV113" s="24">
        <v>170290</v>
      </c>
      <c r="EY113" s="24">
        <v>2022</v>
      </c>
      <c r="EZ113" s="24">
        <v>27</v>
      </c>
      <c r="FA113" s="24" t="s">
        <v>32</v>
      </c>
      <c r="FB113" s="24">
        <v>668</v>
      </c>
      <c r="FE113" s="24">
        <v>2022</v>
      </c>
      <c r="FF113" s="24">
        <v>26</v>
      </c>
      <c r="FG113" s="24" t="s">
        <v>33</v>
      </c>
      <c r="FH113" s="24">
        <v>0.88760000000000006</v>
      </c>
      <c r="FI113" s="24">
        <v>17723</v>
      </c>
      <c r="FJ113" s="24">
        <v>7998</v>
      </c>
      <c r="FK113" s="24">
        <v>9091</v>
      </c>
      <c r="FN113" s="24">
        <v>2022</v>
      </c>
      <c r="FO113" s="24">
        <v>27</v>
      </c>
      <c r="FP113" s="24" t="s">
        <v>33</v>
      </c>
      <c r="FQ113" s="24">
        <v>828520</v>
      </c>
      <c r="FR113" s="24">
        <v>8152.7666666666692</v>
      </c>
      <c r="FS113" s="24">
        <v>399179</v>
      </c>
      <c r="FT113" s="24">
        <v>3001.35</v>
      </c>
      <c r="FW113" s="24">
        <v>2022</v>
      </c>
      <c r="FX113" s="24">
        <v>26</v>
      </c>
      <c r="FY113" s="24" t="s">
        <v>33</v>
      </c>
      <c r="FZ113" s="24">
        <v>20975</v>
      </c>
      <c r="GA113" s="24">
        <v>18776</v>
      </c>
      <c r="GB113" s="24"/>
      <c r="GC113" s="24"/>
      <c r="GD113" s="24">
        <v>2022</v>
      </c>
      <c r="GE113" s="24">
        <v>26</v>
      </c>
      <c r="GF113" s="24" t="s">
        <v>33</v>
      </c>
      <c r="GG113" s="24">
        <v>20961</v>
      </c>
      <c r="GH113" s="24">
        <v>19046</v>
      </c>
      <c r="GK113" s="273"/>
      <c r="GL113" s="273"/>
      <c r="GM113" s="273"/>
      <c r="GN113" s="273"/>
      <c r="GO113" s="286"/>
      <c r="GP113" s="24">
        <v>2022</v>
      </c>
      <c r="GQ113" s="24">
        <v>26</v>
      </c>
      <c r="GR113" s="24">
        <v>15.4281428571429</v>
      </c>
      <c r="GS113" s="24" t="s">
        <v>33</v>
      </c>
      <c r="GX113">
        <v>2022</v>
      </c>
      <c r="GY113">
        <v>26</v>
      </c>
      <c r="GZ113" t="s">
        <v>33</v>
      </c>
      <c r="HA113">
        <v>294216</v>
      </c>
      <c r="HB113">
        <v>288864</v>
      </c>
      <c r="HC113">
        <v>900</v>
      </c>
      <c r="HD113">
        <v>92</v>
      </c>
      <c r="HE113">
        <v>0</v>
      </c>
      <c r="HF113">
        <v>1172</v>
      </c>
      <c r="HG113">
        <v>0</v>
      </c>
      <c r="HH113">
        <v>1</v>
      </c>
      <c r="HI113">
        <v>896</v>
      </c>
      <c r="HL113">
        <v>2022</v>
      </c>
      <c r="HM113">
        <v>26</v>
      </c>
      <c r="HN113" t="s">
        <v>33</v>
      </c>
      <c r="HO113">
        <v>295467</v>
      </c>
      <c r="HP113">
        <v>292852</v>
      </c>
      <c r="HQ113">
        <v>1051</v>
      </c>
      <c r="HR113">
        <v>35</v>
      </c>
      <c r="HS113">
        <v>0</v>
      </c>
      <c r="HT113">
        <v>940</v>
      </c>
      <c r="HU113">
        <v>0</v>
      </c>
      <c r="HV113">
        <v>1</v>
      </c>
      <c r="HW113">
        <v>65</v>
      </c>
      <c r="HZ113" s="24">
        <v>2022</v>
      </c>
      <c r="IA113" s="24">
        <v>26</v>
      </c>
      <c r="IB113" s="24" t="s">
        <v>33</v>
      </c>
      <c r="IC113" s="24">
        <v>21798</v>
      </c>
      <c r="ID113" s="24">
        <v>20917</v>
      </c>
      <c r="IG113" s="24">
        <v>2022</v>
      </c>
      <c r="IH113" s="24">
        <v>26</v>
      </c>
      <c r="II113" s="24" t="s">
        <v>33</v>
      </c>
      <c r="IJ113" s="24">
        <v>19863</v>
      </c>
      <c r="IK113" s="24">
        <v>19619</v>
      </c>
    </row>
    <row r="114" spans="9:245" x14ac:dyDescent="0.4">
      <c r="I114" s="305">
        <v>2022</v>
      </c>
      <c r="J114" s="306">
        <v>26</v>
      </c>
      <c r="K114" s="306" t="s">
        <v>33</v>
      </c>
      <c r="L114" s="306">
        <v>296429</v>
      </c>
      <c r="M114" s="306">
        <v>223010</v>
      </c>
      <c r="N114" s="306">
        <v>1160</v>
      </c>
      <c r="O114" s="306">
        <v>5246</v>
      </c>
      <c r="P114" s="306">
        <v>694</v>
      </c>
      <c r="Q114" s="306">
        <v>256</v>
      </c>
      <c r="R114" s="24"/>
      <c r="S114" s="24"/>
      <c r="T114" s="24"/>
      <c r="W114" s="24">
        <v>2022</v>
      </c>
      <c r="X114" s="24">
        <v>25</v>
      </c>
      <c r="Y114" s="24" t="s">
        <v>32</v>
      </c>
      <c r="Z114" s="24">
        <v>15541</v>
      </c>
      <c r="AA114" s="24">
        <v>14786</v>
      </c>
      <c r="AB114" s="24">
        <v>47</v>
      </c>
      <c r="AC114" s="24">
        <v>61</v>
      </c>
      <c r="AD114" s="24"/>
      <c r="AE114" s="24"/>
      <c r="AF114" s="24"/>
      <c r="AG114" s="24"/>
      <c r="AH114" s="24"/>
      <c r="AI114" s="24"/>
      <c r="AJ114" s="24"/>
      <c r="AK114" s="24">
        <v>2022</v>
      </c>
      <c r="AL114" s="24">
        <v>25</v>
      </c>
      <c r="AM114" s="24">
        <v>542.63</v>
      </c>
      <c r="AN114" s="24">
        <v>32.619999999999997</v>
      </c>
      <c r="AO114" s="24">
        <v>0</v>
      </c>
      <c r="AP114" s="24">
        <v>13</v>
      </c>
      <c r="AQ114" s="24">
        <v>0</v>
      </c>
      <c r="AR114" s="24">
        <v>0</v>
      </c>
      <c r="AS114" s="24" t="s">
        <v>32</v>
      </c>
      <c r="AT114" s="24"/>
      <c r="AU114" s="24">
        <v>2022</v>
      </c>
      <c r="AV114" s="24">
        <v>25</v>
      </c>
      <c r="AW114" s="24">
        <v>0.2</v>
      </c>
      <c r="AX114" s="24">
        <v>3300</v>
      </c>
      <c r="AY114" s="24">
        <v>16175</v>
      </c>
      <c r="AZ114" s="24" t="s">
        <v>32</v>
      </c>
      <c r="BA114" s="24"/>
      <c r="BB114" s="24"/>
      <c r="BC114" s="24">
        <v>2022</v>
      </c>
      <c r="BD114" s="24">
        <v>25</v>
      </c>
      <c r="BE114" s="24">
        <v>287.90542857142901</v>
      </c>
      <c r="BF114" s="24" t="s">
        <v>32</v>
      </c>
      <c r="BG114" s="24"/>
      <c r="BI114" s="24">
        <v>2022</v>
      </c>
      <c r="BJ114" s="24">
        <v>43</v>
      </c>
      <c r="BK114" s="24" t="s">
        <v>32</v>
      </c>
      <c r="BL114" s="24" t="s">
        <v>273</v>
      </c>
      <c r="BM114" s="24">
        <v>6210</v>
      </c>
      <c r="BN114" s="24">
        <v>6114</v>
      </c>
      <c r="BO114" s="24">
        <v>6305</v>
      </c>
      <c r="BR114" s="24">
        <v>2022</v>
      </c>
      <c r="BS114" s="24">
        <v>25</v>
      </c>
      <c r="BT114" s="24">
        <v>16039</v>
      </c>
      <c r="BU114" s="24">
        <v>1</v>
      </c>
      <c r="BV114" s="24" t="s">
        <v>32</v>
      </c>
      <c r="BY114" s="24">
        <v>2022</v>
      </c>
      <c r="BZ114" s="24">
        <v>37</v>
      </c>
      <c r="CA114" s="24" t="s">
        <v>33</v>
      </c>
      <c r="CB114" s="24" t="s">
        <v>423</v>
      </c>
      <c r="CC114" s="24">
        <v>15</v>
      </c>
      <c r="CF114" s="24">
        <v>2022</v>
      </c>
      <c r="CG114" s="24">
        <v>25</v>
      </c>
      <c r="CH114" s="24" t="s">
        <v>32</v>
      </c>
      <c r="CI114" s="24">
        <v>42.072259136212622</v>
      </c>
      <c r="CJ114" s="24">
        <v>10131</v>
      </c>
      <c r="CK114" s="24">
        <v>240.8</v>
      </c>
      <c r="CL114" s="24">
        <v>71.651263093037585</v>
      </c>
      <c r="CM114" s="24">
        <v>11678</v>
      </c>
      <c r="CN114" s="24">
        <v>23258</v>
      </c>
      <c r="CO114" s="24">
        <v>324.60000000000002</v>
      </c>
      <c r="CP114" s="24">
        <v>11561</v>
      </c>
      <c r="CQ114" s="24">
        <v>92.3</v>
      </c>
      <c r="CR114" s="24">
        <v>257.10000000000002</v>
      </c>
      <c r="CS114" s="24">
        <v>19478</v>
      </c>
      <c r="CT114" s="24">
        <v>19478</v>
      </c>
      <c r="CU114" s="24">
        <v>425.5</v>
      </c>
      <c r="CV114" s="24">
        <v>1841</v>
      </c>
      <c r="CW114" s="24">
        <v>0</v>
      </c>
      <c r="CX114" s="24">
        <v>6049</v>
      </c>
      <c r="CY114" s="24">
        <v>46.8</v>
      </c>
      <c r="CZ114" s="24">
        <v>7818</v>
      </c>
      <c r="DA114" s="24">
        <v>257.10000000000002</v>
      </c>
      <c r="DD114" s="24">
        <v>2022</v>
      </c>
      <c r="DE114" s="24">
        <v>25</v>
      </c>
      <c r="DF114" s="24" t="s">
        <v>32</v>
      </c>
      <c r="DG114" s="24">
        <v>2277</v>
      </c>
      <c r="DH114" s="24">
        <v>3173</v>
      </c>
      <c r="DJ114" s="24">
        <v>2022</v>
      </c>
      <c r="DK114" s="24">
        <v>24</v>
      </c>
      <c r="DL114" s="24" t="s">
        <v>32</v>
      </c>
      <c r="DM114" s="24">
        <v>111</v>
      </c>
      <c r="DP114" s="24">
        <v>2022</v>
      </c>
      <c r="DQ114" s="24">
        <v>14</v>
      </c>
      <c r="DR114" s="24" t="s">
        <v>33</v>
      </c>
      <c r="DS114" s="24">
        <v>26791</v>
      </c>
      <c r="DT114" s="24"/>
      <c r="DW114" s="24">
        <v>2022</v>
      </c>
      <c r="DX114" s="24">
        <v>37</v>
      </c>
      <c r="DY114" s="24" t="s">
        <v>32</v>
      </c>
      <c r="DZ114" s="24">
        <v>3</v>
      </c>
      <c r="EA114" s="24" t="s">
        <v>149</v>
      </c>
      <c r="EB114" s="24">
        <v>0.4</v>
      </c>
      <c r="EC114" s="24">
        <v>69.7</v>
      </c>
      <c r="ED114" s="24">
        <v>1466</v>
      </c>
      <c r="EE114" s="24">
        <v>1389</v>
      </c>
      <c r="EF114" s="24">
        <v>0.5</v>
      </c>
      <c r="EI114" s="24">
        <v>2023</v>
      </c>
      <c r="EJ114" s="24">
        <v>7</v>
      </c>
      <c r="EK114" s="24" t="s">
        <v>558</v>
      </c>
      <c r="EL114" s="24" t="s">
        <v>235</v>
      </c>
      <c r="EM114" s="24" t="s">
        <v>210</v>
      </c>
      <c r="EN114" s="24">
        <v>21</v>
      </c>
      <c r="EO114" s="24"/>
      <c r="EP114" s="24"/>
      <c r="EQ114" s="24"/>
      <c r="ER114" s="24"/>
      <c r="ES114" s="24">
        <v>2022</v>
      </c>
      <c r="ET114" s="24">
        <v>26</v>
      </c>
      <c r="EU114" s="24" t="s">
        <v>213</v>
      </c>
      <c r="EV114" s="24">
        <v>1</v>
      </c>
      <c r="EY114" s="24">
        <v>2022</v>
      </c>
      <c r="EZ114" s="24">
        <v>27</v>
      </c>
      <c r="FA114" s="24" t="s">
        <v>33</v>
      </c>
      <c r="FB114" s="24">
        <v>953</v>
      </c>
      <c r="FE114" s="24">
        <v>2022</v>
      </c>
      <c r="FF114" s="24">
        <v>25</v>
      </c>
      <c r="FG114" s="24" t="s">
        <v>32</v>
      </c>
      <c r="FH114" s="24">
        <v>0.87350000000000005</v>
      </c>
      <c r="FI114" s="24">
        <v>481</v>
      </c>
      <c r="FJ114" s="24">
        <v>228</v>
      </c>
      <c r="FK114" s="24">
        <v>260</v>
      </c>
      <c r="FN114" s="24">
        <v>2022</v>
      </c>
      <c r="FO114" s="24">
        <v>26</v>
      </c>
      <c r="FP114" s="24" t="s">
        <v>32</v>
      </c>
      <c r="FQ114" s="24">
        <v>40649</v>
      </c>
      <c r="FR114" s="24">
        <v>1056.05</v>
      </c>
      <c r="FS114" s="24">
        <v>34475</v>
      </c>
      <c r="FT114" s="24">
        <v>453.86666666666702</v>
      </c>
      <c r="FW114" s="24">
        <v>2022</v>
      </c>
      <c r="FX114" s="24">
        <v>25</v>
      </c>
      <c r="FY114" s="24" t="s">
        <v>32</v>
      </c>
      <c r="FZ114" s="24">
        <v>2659</v>
      </c>
      <c r="GA114" s="24">
        <v>2404</v>
      </c>
      <c r="GB114" s="24"/>
      <c r="GC114" s="24"/>
      <c r="GD114" s="24">
        <v>2022</v>
      </c>
      <c r="GE114" s="24">
        <v>25</v>
      </c>
      <c r="GF114" s="24" t="s">
        <v>32</v>
      </c>
      <c r="GG114" s="24">
        <v>2676</v>
      </c>
      <c r="GH114" s="24">
        <v>2358</v>
      </c>
      <c r="GK114" s="273"/>
      <c r="GL114" s="273"/>
      <c r="GM114" s="273"/>
      <c r="GN114" s="273"/>
      <c r="GO114" s="24"/>
      <c r="GP114" s="24">
        <v>2022</v>
      </c>
      <c r="GQ114" s="24">
        <v>25</v>
      </c>
      <c r="GR114" s="24">
        <v>2.911</v>
      </c>
      <c r="GS114" s="24" t="s">
        <v>32</v>
      </c>
      <c r="GX114">
        <v>2022</v>
      </c>
      <c r="GY114">
        <v>25</v>
      </c>
      <c r="GZ114" t="s">
        <v>32</v>
      </c>
      <c r="HA114">
        <v>15784</v>
      </c>
      <c r="HB114">
        <v>15115</v>
      </c>
      <c r="HC114">
        <v>8</v>
      </c>
      <c r="HD114">
        <v>3</v>
      </c>
      <c r="HE114">
        <v>0</v>
      </c>
      <c r="HF114">
        <v>201</v>
      </c>
      <c r="HG114">
        <v>0</v>
      </c>
      <c r="HH114">
        <v>0</v>
      </c>
      <c r="HI114">
        <v>74</v>
      </c>
      <c r="HL114">
        <v>2022</v>
      </c>
      <c r="HM114">
        <v>25</v>
      </c>
      <c r="HN114" t="s">
        <v>32</v>
      </c>
      <c r="HO114">
        <v>15477</v>
      </c>
      <c r="HP114">
        <v>14964</v>
      </c>
      <c r="HQ114">
        <v>12</v>
      </c>
      <c r="HR114">
        <v>1</v>
      </c>
      <c r="HS114">
        <v>0</v>
      </c>
      <c r="HT114">
        <v>299</v>
      </c>
      <c r="HU114">
        <v>0</v>
      </c>
      <c r="HV114">
        <v>0</v>
      </c>
      <c r="HW114">
        <v>21</v>
      </c>
      <c r="HZ114" s="24">
        <v>2022</v>
      </c>
      <c r="IA114" s="24">
        <v>25</v>
      </c>
      <c r="IB114" s="24" t="s">
        <v>32</v>
      </c>
      <c r="IC114" s="24">
        <v>2645</v>
      </c>
      <c r="ID114" s="24">
        <v>2404</v>
      </c>
      <c r="IG114" s="24">
        <v>2022</v>
      </c>
      <c r="IH114" s="24">
        <v>25</v>
      </c>
      <c r="II114" s="24" t="s">
        <v>32</v>
      </c>
      <c r="IJ114" s="24">
        <v>2625</v>
      </c>
      <c r="IK114" s="24">
        <v>2411</v>
      </c>
    </row>
    <row r="115" spans="9:245" x14ac:dyDescent="0.4">
      <c r="I115" s="305">
        <v>2022</v>
      </c>
      <c r="J115" s="306">
        <v>25</v>
      </c>
      <c r="K115" s="306" t="s">
        <v>32</v>
      </c>
      <c r="L115" s="306">
        <v>15587</v>
      </c>
      <c r="M115" s="306">
        <v>14842</v>
      </c>
      <c r="N115" s="306">
        <v>77</v>
      </c>
      <c r="O115" s="306">
        <v>177</v>
      </c>
      <c r="P115" s="306">
        <v>52</v>
      </c>
      <c r="Q115" s="306">
        <v>55</v>
      </c>
      <c r="R115" s="24"/>
      <c r="S115" s="24"/>
      <c r="T115" s="24"/>
      <c r="W115" s="24">
        <v>2022</v>
      </c>
      <c r="X115" s="24">
        <v>25</v>
      </c>
      <c r="Y115" s="24" t="s">
        <v>33</v>
      </c>
      <c r="Z115" s="24">
        <v>311095</v>
      </c>
      <c r="AA115" s="24">
        <v>232870</v>
      </c>
      <c r="AB115" s="24">
        <v>644</v>
      </c>
      <c r="AC115" s="24">
        <v>390</v>
      </c>
      <c r="AD115" s="24"/>
      <c r="AE115" s="24"/>
      <c r="AF115" s="24"/>
      <c r="AG115" s="24"/>
      <c r="AH115" s="24"/>
      <c r="AI115" s="24"/>
      <c r="AJ115" s="24"/>
      <c r="AK115" s="24">
        <v>2022</v>
      </c>
      <c r="AL115" s="24">
        <v>25</v>
      </c>
      <c r="AM115" s="24">
        <v>21490.9</v>
      </c>
      <c r="AN115" s="24">
        <v>942.90000000000009</v>
      </c>
      <c r="AO115" s="24">
        <v>0</v>
      </c>
      <c r="AP115" s="24">
        <v>571</v>
      </c>
      <c r="AQ115" s="24">
        <v>0</v>
      </c>
      <c r="AR115" s="24">
        <v>12</v>
      </c>
      <c r="AS115" s="24" t="s">
        <v>33</v>
      </c>
      <c r="AT115" s="24"/>
      <c r="AU115" s="24">
        <v>2022</v>
      </c>
      <c r="AV115" s="24">
        <v>25</v>
      </c>
      <c r="AW115" s="24">
        <v>0.09</v>
      </c>
      <c r="AX115" s="24">
        <v>26800</v>
      </c>
      <c r="AY115" s="24">
        <v>311840</v>
      </c>
      <c r="AZ115" s="24" t="s">
        <v>33</v>
      </c>
      <c r="BA115" s="24"/>
      <c r="BB115" s="24"/>
      <c r="BC115" s="24">
        <v>2022</v>
      </c>
      <c r="BD115" s="24">
        <v>25</v>
      </c>
      <c r="BE115" s="24">
        <v>2949.4431428571397</v>
      </c>
      <c r="BF115" s="24" t="s">
        <v>33</v>
      </c>
      <c r="BG115" s="24"/>
      <c r="BI115" s="24">
        <v>2022</v>
      </c>
      <c r="BJ115" s="24">
        <v>43</v>
      </c>
      <c r="BK115" s="24" t="s">
        <v>32</v>
      </c>
      <c r="BL115" s="24" t="s">
        <v>272</v>
      </c>
      <c r="BM115" s="24">
        <v>2665</v>
      </c>
      <c r="BN115" s="24">
        <v>2661</v>
      </c>
      <c r="BO115" s="24">
        <v>9108</v>
      </c>
      <c r="BR115" s="24">
        <v>2022</v>
      </c>
      <c r="BS115" s="24">
        <v>25</v>
      </c>
      <c r="BT115" s="24">
        <v>310398</v>
      </c>
      <c r="BU115" s="24">
        <v>5</v>
      </c>
      <c r="BV115" s="24" t="s">
        <v>33</v>
      </c>
      <c r="BY115" s="24">
        <v>2022</v>
      </c>
      <c r="BZ115" s="24">
        <v>31</v>
      </c>
      <c r="CA115" s="24" t="s">
        <v>33</v>
      </c>
      <c r="CB115" s="24" t="s">
        <v>108</v>
      </c>
      <c r="CC115" s="24">
        <v>3</v>
      </c>
      <c r="CF115" s="24">
        <v>2022</v>
      </c>
      <c r="CG115" s="24">
        <v>25</v>
      </c>
      <c r="CH115" s="24" t="s">
        <v>33</v>
      </c>
      <c r="CI115" s="24">
        <v>135.26994062686978</v>
      </c>
      <c r="CJ115" s="24">
        <v>293901</v>
      </c>
      <c r="CK115" s="24">
        <v>2172.6999999999998</v>
      </c>
      <c r="CL115" s="24">
        <v>124.57809694793536</v>
      </c>
      <c r="CM115" s="24">
        <v>144973</v>
      </c>
      <c r="CN115" s="24">
        <v>291438</v>
      </c>
      <c r="CO115" s="24">
        <v>2339.4</v>
      </c>
      <c r="CP115" s="24">
        <v>71714</v>
      </c>
      <c r="CQ115" s="24">
        <v>489.8</v>
      </c>
      <c r="CR115" s="24">
        <v>1639.8</v>
      </c>
      <c r="CS115" s="24">
        <v>174118</v>
      </c>
      <c r="CT115" s="24">
        <v>174118</v>
      </c>
      <c r="CU115" s="24">
        <v>1742.2</v>
      </c>
      <c r="CV115" s="24">
        <v>63453</v>
      </c>
      <c r="CW115" s="24">
        <v>0</v>
      </c>
      <c r="CX115" s="24">
        <v>162221</v>
      </c>
      <c r="CY115" s="24">
        <v>1048.5999999999999</v>
      </c>
      <c r="CZ115" s="24">
        <v>53209</v>
      </c>
      <c r="DA115" s="24">
        <v>1639.8</v>
      </c>
      <c r="DD115" s="24">
        <v>2022</v>
      </c>
      <c r="DE115" s="24">
        <v>25</v>
      </c>
      <c r="DF115" s="24" t="s">
        <v>33</v>
      </c>
      <c r="DG115" s="24">
        <v>20939</v>
      </c>
      <c r="DH115" s="24">
        <v>27031</v>
      </c>
      <c r="DJ115" s="24">
        <v>2022</v>
      </c>
      <c r="DK115" s="24">
        <v>24</v>
      </c>
      <c r="DL115" s="24" t="s">
        <v>33</v>
      </c>
      <c r="DM115" s="24">
        <v>862</v>
      </c>
      <c r="DP115" s="24">
        <v>2022</v>
      </c>
      <c r="DQ115" s="24">
        <v>13</v>
      </c>
      <c r="DR115" s="24" t="s">
        <v>33</v>
      </c>
      <c r="DS115" s="24">
        <v>26910</v>
      </c>
      <c r="DT115" s="24"/>
      <c r="DW115" s="24">
        <v>2022</v>
      </c>
      <c r="DX115" s="24">
        <v>37</v>
      </c>
      <c r="DY115" s="24" t="s">
        <v>33</v>
      </c>
      <c r="DZ115" s="24">
        <v>15</v>
      </c>
      <c r="EA115" s="24" t="s">
        <v>562</v>
      </c>
      <c r="EB115" s="24">
        <v>422.9</v>
      </c>
      <c r="EC115" s="24">
        <v>0</v>
      </c>
      <c r="ED115" s="24">
        <v>24</v>
      </c>
      <c r="EE115" s="24">
        <v>14644</v>
      </c>
      <c r="EF115" s="24">
        <v>20.3</v>
      </c>
      <c r="EI115" s="24">
        <v>2023</v>
      </c>
      <c r="EJ115" s="24">
        <v>7</v>
      </c>
      <c r="EK115" s="24" t="s">
        <v>558</v>
      </c>
      <c r="EL115" s="24" t="s">
        <v>235</v>
      </c>
      <c r="EM115" s="24" t="s">
        <v>234</v>
      </c>
      <c r="EN115" s="24">
        <v>2</v>
      </c>
      <c r="EO115" s="24"/>
      <c r="EP115" s="24"/>
      <c r="EQ115" s="24"/>
      <c r="ER115" s="24"/>
      <c r="ES115" s="24">
        <v>2022</v>
      </c>
      <c r="ET115" s="24">
        <v>25</v>
      </c>
      <c r="EU115" s="24" t="s">
        <v>32</v>
      </c>
      <c r="EV115" s="24">
        <v>8118</v>
      </c>
      <c r="EY115" s="24">
        <v>2022</v>
      </c>
      <c r="EZ115" s="24">
        <v>26</v>
      </c>
      <c r="FA115" s="24" t="s">
        <v>32</v>
      </c>
      <c r="FB115" s="24">
        <v>688</v>
      </c>
      <c r="FE115" s="24">
        <v>2022</v>
      </c>
      <c r="FF115" s="24">
        <v>25</v>
      </c>
      <c r="FG115" s="24" t="s">
        <v>33</v>
      </c>
      <c r="FH115" s="24">
        <v>0.86460000000000004</v>
      </c>
      <c r="FI115" s="24">
        <v>19316</v>
      </c>
      <c r="FJ115" s="24">
        <v>8657</v>
      </c>
      <c r="FK115" s="24">
        <v>10100</v>
      </c>
      <c r="FN115" s="24">
        <v>2022</v>
      </c>
      <c r="FO115" s="24">
        <v>26</v>
      </c>
      <c r="FP115" s="24" t="s">
        <v>33</v>
      </c>
      <c r="FQ115" s="24">
        <v>963173</v>
      </c>
      <c r="FR115" s="24">
        <v>9095.0666666666693</v>
      </c>
      <c r="FS115" s="24">
        <v>363893</v>
      </c>
      <c r="FT115" s="24">
        <v>3113.3166666666698</v>
      </c>
      <c r="FW115" s="24">
        <v>2022</v>
      </c>
      <c r="FX115" s="24">
        <v>25</v>
      </c>
      <c r="FY115" s="24" t="s">
        <v>33</v>
      </c>
      <c r="FZ115" s="24">
        <v>19209</v>
      </c>
      <c r="GA115" s="24">
        <v>17840</v>
      </c>
      <c r="GB115" s="24"/>
      <c r="GC115" s="24"/>
      <c r="GD115" s="24">
        <v>2022</v>
      </c>
      <c r="GE115" s="24">
        <v>25</v>
      </c>
      <c r="GF115" s="24" t="s">
        <v>33</v>
      </c>
      <c r="GG115" s="24">
        <v>19217</v>
      </c>
      <c r="GH115" s="24">
        <v>18097</v>
      </c>
      <c r="GK115" s="284"/>
      <c r="GL115" s="284"/>
      <c r="GM115" s="284"/>
      <c r="GN115" s="284"/>
      <c r="GO115" s="24"/>
      <c r="GP115" s="24">
        <v>2022</v>
      </c>
      <c r="GQ115" s="24">
        <v>25</v>
      </c>
      <c r="GR115" s="24">
        <v>15.4325714285714</v>
      </c>
      <c r="GS115" s="24" t="s">
        <v>33</v>
      </c>
      <c r="GX115">
        <v>2022</v>
      </c>
      <c r="GY115">
        <v>25</v>
      </c>
      <c r="GZ115" t="s">
        <v>33</v>
      </c>
      <c r="HA115">
        <v>308579</v>
      </c>
      <c r="HB115">
        <v>303370</v>
      </c>
      <c r="HC115">
        <v>591</v>
      </c>
      <c r="HD115">
        <v>139</v>
      </c>
      <c r="HE115">
        <v>0</v>
      </c>
      <c r="HF115">
        <v>923</v>
      </c>
      <c r="HG115">
        <v>0</v>
      </c>
      <c r="HH115">
        <v>0</v>
      </c>
      <c r="HI115">
        <v>1156</v>
      </c>
      <c r="HL115">
        <v>2022</v>
      </c>
      <c r="HM115">
        <v>25</v>
      </c>
      <c r="HN115" t="s">
        <v>33</v>
      </c>
      <c r="HO115">
        <v>310775</v>
      </c>
      <c r="HP115">
        <v>308436</v>
      </c>
      <c r="HQ115">
        <v>714</v>
      </c>
      <c r="HR115">
        <v>69</v>
      </c>
      <c r="HS115">
        <v>0</v>
      </c>
      <c r="HT115">
        <v>779</v>
      </c>
      <c r="HU115">
        <v>0</v>
      </c>
      <c r="HV115">
        <v>0</v>
      </c>
      <c r="HW115">
        <v>192</v>
      </c>
      <c r="HZ115" s="24">
        <v>2022</v>
      </c>
      <c r="IA115" s="24">
        <v>25</v>
      </c>
      <c r="IB115" s="24" t="s">
        <v>33</v>
      </c>
      <c r="IC115" s="24">
        <v>18852</v>
      </c>
      <c r="ID115" s="24">
        <v>18228</v>
      </c>
      <c r="IG115" s="24">
        <v>2022</v>
      </c>
      <c r="IH115" s="24">
        <v>25</v>
      </c>
      <c r="II115" s="24" t="s">
        <v>33</v>
      </c>
      <c r="IJ115" s="24">
        <v>17976</v>
      </c>
      <c r="IK115" s="24">
        <v>17842</v>
      </c>
    </row>
    <row r="116" spans="9:245" x14ac:dyDescent="0.4">
      <c r="I116" s="305">
        <v>2022</v>
      </c>
      <c r="J116" s="306">
        <v>25</v>
      </c>
      <c r="K116" s="306" t="s">
        <v>33</v>
      </c>
      <c r="L116" s="306">
        <v>311275</v>
      </c>
      <c r="M116" s="306">
        <v>231771</v>
      </c>
      <c r="N116" s="306">
        <v>1316</v>
      </c>
      <c r="O116" s="306">
        <v>6004</v>
      </c>
      <c r="P116" s="306">
        <v>787</v>
      </c>
      <c r="Q116" s="306">
        <v>400</v>
      </c>
      <c r="R116" s="24"/>
      <c r="S116" s="24"/>
      <c r="T116" s="24"/>
      <c r="W116" s="24">
        <v>2022</v>
      </c>
      <c r="X116" s="24">
        <v>24</v>
      </c>
      <c r="Y116" s="24" t="s">
        <v>32</v>
      </c>
      <c r="Z116" s="24">
        <v>16395</v>
      </c>
      <c r="AA116" s="24">
        <v>15837</v>
      </c>
      <c r="AB116" s="24">
        <v>26</v>
      </c>
      <c r="AC116" s="24">
        <v>12</v>
      </c>
      <c r="AD116" s="24"/>
      <c r="AE116" s="24"/>
      <c r="AF116" s="24"/>
      <c r="AG116" s="24"/>
      <c r="AH116" s="24"/>
      <c r="AI116" s="24"/>
      <c r="AJ116" s="24"/>
      <c r="AK116" s="24">
        <v>2022</v>
      </c>
      <c r="AL116" s="24">
        <v>24</v>
      </c>
      <c r="AM116" s="24">
        <v>555.87</v>
      </c>
      <c r="AN116" s="24">
        <v>54.230000000000004</v>
      </c>
      <c r="AO116" s="24">
        <v>0</v>
      </c>
      <c r="AP116" s="24">
        <v>14</v>
      </c>
      <c r="AQ116" s="24">
        <v>0</v>
      </c>
      <c r="AR116" s="24">
        <v>0</v>
      </c>
      <c r="AS116" s="24" t="s">
        <v>32</v>
      </c>
      <c r="AT116" s="24"/>
      <c r="AU116" s="24">
        <v>2022</v>
      </c>
      <c r="AV116" s="24">
        <v>24</v>
      </c>
      <c r="AW116" s="24">
        <v>0.1</v>
      </c>
      <c r="AX116" s="24">
        <v>1700</v>
      </c>
      <c r="AY116" s="24">
        <v>16862</v>
      </c>
      <c r="AZ116" s="24" t="s">
        <v>32</v>
      </c>
      <c r="BA116" s="24"/>
      <c r="BB116" s="24"/>
      <c r="BC116" s="24">
        <v>2022</v>
      </c>
      <c r="BD116" s="24">
        <v>24</v>
      </c>
      <c r="BE116" s="24">
        <v>282.89914285714298</v>
      </c>
      <c r="BF116" s="24" t="s">
        <v>32</v>
      </c>
      <c r="BG116" s="24"/>
      <c r="BI116" s="24">
        <v>2022</v>
      </c>
      <c r="BJ116" s="24">
        <v>43</v>
      </c>
      <c r="BK116" s="24" t="s">
        <v>33</v>
      </c>
      <c r="BL116" s="24" t="s">
        <v>272</v>
      </c>
      <c r="BM116" s="24">
        <v>47846</v>
      </c>
      <c r="BN116" s="24">
        <v>47805</v>
      </c>
      <c r="BO116" s="24">
        <v>171568</v>
      </c>
      <c r="BR116" s="24">
        <v>2022</v>
      </c>
      <c r="BS116" s="24">
        <v>24</v>
      </c>
      <c r="BT116" s="24">
        <v>318931</v>
      </c>
      <c r="BU116" s="24">
        <v>5</v>
      </c>
      <c r="BV116" s="24" t="s">
        <v>33</v>
      </c>
      <c r="BY116" s="24">
        <v>2022</v>
      </c>
      <c r="BZ116" s="24">
        <v>31</v>
      </c>
      <c r="CA116" s="24" t="s">
        <v>33</v>
      </c>
      <c r="CB116" s="24" t="s">
        <v>423</v>
      </c>
      <c r="CC116" s="24">
        <v>29</v>
      </c>
      <c r="CF116" s="24">
        <v>2022</v>
      </c>
      <c r="CG116" s="24">
        <v>24</v>
      </c>
      <c r="CH116" s="24" t="s">
        <v>32</v>
      </c>
      <c r="CI116" s="24">
        <v>53.095238095238095</v>
      </c>
      <c r="CJ116" s="24">
        <v>7136</v>
      </c>
      <c r="CK116" s="24">
        <v>134.4</v>
      </c>
      <c r="CL116" s="24">
        <v>54.842476914720258</v>
      </c>
      <c r="CM116" s="24">
        <v>11532</v>
      </c>
      <c r="CN116" s="24">
        <v>20193</v>
      </c>
      <c r="CO116" s="24">
        <v>368.2</v>
      </c>
      <c r="CP116" s="24">
        <v>11729</v>
      </c>
      <c r="CQ116" s="24">
        <v>76.8</v>
      </c>
      <c r="CR116" s="24">
        <v>282.89999999999998</v>
      </c>
      <c r="CS116" s="24">
        <v>30094</v>
      </c>
      <c r="CT116" s="24">
        <v>30094</v>
      </c>
      <c r="CU116" s="24">
        <v>385.4</v>
      </c>
      <c r="CV116" s="24">
        <v>8457</v>
      </c>
      <c r="CW116" s="24">
        <v>0</v>
      </c>
      <c r="CX116" s="24">
        <v>9440</v>
      </c>
      <c r="CY116" s="24">
        <v>121.9</v>
      </c>
      <c r="CZ116" s="24">
        <v>8755</v>
      </c>
      <c r="DA116" s="24">
        <v>282.89999999999998</v>
      </c>
      <c r="DD116" s="24">
        <v>2022</v>
      </c>
      <c r="DE116" s="24">
        <v>24</v>
      </c>
      <c r="DF116" s="24" t="s">
        <v>32</v>
      </c>
      <c r="DG116" s="24">
        <v>3261</v>
      </c>
      <c r="DH116" s="24">
        <v>2832</v>
      </c>
      <c r="DJ116" s="24">
        <v>2022</v>
      </c>
      <c r="DK116" s="24">
        <v>23</v>
      </c>
      <c r="DL116" s="24" t="s">
        <v>32</v>
      </c>
      <c r="DM116" s="24">
        <v>65</v>
      </c>
      <c r="DP116" s="24">
        <v>2022</v>
      </c>
      <c r="DQ116" s="24">
        <v>12</v>
      </c>
      <c r="DR116" s="24" t="s">
        <v>33</v>
      </c>
      <c r="DS116" s="24">
        <v>26947</v>
      </c>
      <c r="DT116" s="24"/>
      <c r="DW116" s="24">
        <v>2022</v>
      </c>
      <c r="DX116" s="24">
        <v>37</v>
      </c>
      <c r="DY116" s="24" t="s">
        <v>33</v>
      </c>
      <c r="DZ116" s="24">
        <v>87</v>
      </c>
      <c r="EA116" s="24" t="s">
        <v>149</v>
      </c>
      <c r="EB116" s="24">
        <v>56.1</v>
      </c>
      <c r="EC116" s="24">
        <v>2325.6999999999998</v>
      </c>
      <c r="ED116" s="24">
        <v>60193</v>
      </c>
      <c r="EE116" s="24">
        <v>63077</v>
      </c>
      <c r="EF116" s="24">
        <v>238.8</v>
      </c>
      <c r="EI116" s="24">
        <v>2023</v>
      </c>
      <c r="EJ116" s="24">
        <v>7</v>
      </c>
      <c r="EK116" s="24" t="s">
        <v>558</v>
      </c>
      <c r="EL116" s="24" t="s">
        <v>245</v>
      </c>
      <c r="EM116" s="24" t="s">
        <v>210</v>
      </c>
      <c r="EN116" s="24">
        <v>12</v>
      </c>
      <c r="EO116" s="24"/>
      <c r="EP116" s="24"/>
      <c r="EQ116" s="24"/>
      <c r="ER116" s="24"/>
      <c r="ES116" s="24">
        <v>2022</v>
      </c>
      <c r="ET116" s="24">
        <v>25</v>
      </c>
      <c r="EU116" s="24" t="s">
        <v>33</v>
      </c>
      <c r="EV116" s="24">
        <v>167438</v>
      </c>
      <c r="EY116" s="24">
        <v>2022</v>
      </c>
      <c r="EZ116" s="24">
        <v>26</v>
      </c>
      <c r="FA116" s="24" t="s">
        <v>33</v>
      </c>
      <c r="FB116" s="24">
        <v>1587</v>
      </c>
      <c r="FE116" s="24">
        <v>2022</v>
      </c>
      <c r="FF116" s="24">
        <v>24</v>
      </c>
      <c r="FG116" s="24" t="s">
        <v>32</v>
      </c>
      <c r="FH116" s="24">
        <v>0.84760000000000002</v>
      </c>
      <c r="FI116" s="24">
        <v>614</v>
      </c>
      <c r="FJ116" s="24">
        <v>286</v>
      </c>
      <c r="FK116" s="24">
        <v>336</v>
      </c>
      <c r="FN116" s="24">
        <v>2022</v>
      </c>
      <c r="FO116" s="24">
        <v>25</v>
      </c>
      <c r="FP116" s="24" t="s">
        <v>32</v>
      </c>
      <c r="FQ116" s="24">
        <v>38865</v>
      </c>
      <c r="FR116" s="24">
        <v>1092.6666666666699</v>
      </c>
      <c r="FS116" s="24">
        <v>36174</v>
      </c>
      <c r="FT116" s="24">
        <v>492.88333333333298</v>
      </c>
      <c r="FW116" s="24">
        <v>2022</v>
      </c>
      <c r="FX116" s="24">
        <v>24</v>
      </c>
      <c r="FY116" s="24" t="s">
        <v>32</v>
      </c>
      <c r="FZ116" s="24">
        <v>2466</v>
      </c>
      <c r="GA116" s="24">
        <v>2252</v>
      </c>
      <c r="GB116" s="24"/>
      <c r="GC116" s="24"/>
      <c r="GD116" s="24">
        <v>2022</v>
      </c>
      <c r="GE116" s="24">
        <v>24</v>
      </c>
      <c r="GF116" s="24" t="s">
        <v>32</v>
      </c>
      <c r="GG116" s="24">
        <v>2431</v>
      </c>
      <c r="GH116" s="24">
        <v>2080</v>
      </c>
      <c r="GK116" s="284"/>
      <c r="GL116" s="284"/>
      <c r="GM116" s="284"/>
      <c r="GN116" s="284"/>
      <c r="GO116" s="24"/>
      <c r="GP116" s="24">
        <v>2022</v>
      </c>
      <c r="GQ116" s="24">
        <v>24</v>
      </c>
      <c r="GR116" s="24">
        <v>1.83785714285714</v>
      </c>
      <c r="GS116" s="24" t="s">
        <v>32</v>
      </c>
      <c r="GX116">
        <v>2022</v>
      </c>
      <c r="GY116">
        <v>24</v>
      </c>
      <c r="GZ116" t="s">
        <v>32</v>
      </c>
      <c r="HA116">
        <v>16264</v>
      </c>
      <c r="HB116">
        <v>15778</v>
      </c>
      <c r="HC116">
        <v>4</v>
      </c>
      <c r="HD116">
        <v>9</v>
      </c>
      <c r="HE116">
        <v>0</v>
      </c>
      <c r="HF116">
        <v>152</v>
      </c>
      <c r="HG116">
        <v>0</v>
      </c>
      <c r="HH116">
        <v>0</v>
      </c>
      <c r="HI116">
        <v>73</v>
      </c>
      <c r="HL116">
        <v>2022</v>
      </c>
      <c r="HM116">
        <v>24</v>
      </c>
      <c r="HN116" t="s">
        <v>32</v>
      </c>
      <c r="HO116">
        <v>16333</v>
      </c>
      <c r="HP116">
        <v>15901</v>
      </c>
      <c r="HQ116">
        <v>9</v>
      </c>
      <c r="HR116">
        <v>7</v>
      </c>
      <c r="HS116">
        <v>0</v>
      </c>
      <c r="HT116">
        <v>302</v>
      </c>
      <c r="HU116">
        <v>0</v>
      </c>
      <c r="HV116">
        <v>0</v>
      </c>
      <c r="HW116">
        <v>14</v>
      </c>
      <c r="HZ116" s="24">
        <v>2022</v>
      </c>
      <c r="IA116" s="24">
        <v>24</v>
      </c>
      <c r="IB116" s="24" t="s">
        <v>32</v>
      </c>
      <c r="IC116" s="24">
        <v>2370</v>
      </c>
      <c r="ID116" s="24">
        <v>2238</v>
      </c>
      <c r="IG116" s="24">
        <v>2022</v>
      </c>
      <c r="IH116" s="24">
        <v>24</v>
      </c>
      <c r="II116" s="24" t="s">
        <v>32</v>
      </c>
      <c r="IJ116" s="24">
        <v>2370</v>
      </c>
      <c r="IK116" s="24">
        <v>2188</v>
      </c>
    </row>
    <row r="117" spans="9:245" x14ac:dyDescent="0.4">
      <c r="I117" s="305">
        <v>2022</v>
      </c>
      <c r="J117" s="306">
        <v>24</v>
      </c>
      <c r="K117" s="306" t="s">
        <v>32</v>
      </c>
      <c r="L117" s="306">
        <v>16702</v>
      </c>
      <c r="M117" s="306">
        <v>16224</v>
      </c>
      <c r="N117" s="306">
        <v>47</v>
      </c>
      <c r="O117" s="306">
        <v>152</v>
      </c>
      <c r="P117" s="306">
        <v>13</v>
      </c>
      <c r="Q117" s="306">
        <v>17</v>
      </c>
      <c r="R117" s="24"/>
      <c r="S117" s="24"/>
      <c r="T117" s="24"/>
      <c r="W117" s="24">
        <v>2022</v>
      </c>
      <c r="X117" s="24">
        <v>24</v>
      </c>
      <c r="Y117" s="24" t="s">
        <v>33</v>
      </c>
      <c r="Z117" s="24">
        <v>317281</v>
      </c>
      <c r="AA117" s="24">
        <v>230386</v>
      </c>
      <c r="AB117" s="24">
        <v>625</v>
      </c>
      <c r="AC117" s="24">
        <v>529</v>
      </c>
      <c r="AD117" s="24"/>
      <c r="AE117" s="24"/>
      <c r="AF117" s="24"/>
      <c r="AG117" s="24"/>
      <c r="AH117" s="24"/>
      <c r="AI117" s="24"/>
      <c r="AJ117" s="24"/>
      <c r="AK117" s="24">
        <v>2022</v>
      </c>
      <c r="AL117" s="24">
        <v>24</v>
      </c>
      <c r="AM117" s="24">
        <v>21369.88</v>
      </c>
      <c r="AN117" s="24">
        <v>1468.3000000000002</v>
      </c>
      <c r="AO117" s="24">
        <v>0</v>
      </c>
      <c r="AP117" s="24">
        <v>550</v>
      </c>
      <c r="AQ117" s="24">
        <v>0</v>
      </c>
      <c r="AR117" s="24">
        <v>1</v>
      </c>
      <c r="AS117" s="24" t="s">
        <v>33</v>
      </c>
      <c r="AT117" s="24"/>
      <c r="AU117" s="24">
        <v>2022</v>
      </c>
      <c r="AV117" s="24">
        <v>24</v>
      </c>
      <c r="AW117" s="24">
        <v>0.06</v>
      </c>
      <c r="AX117" s="24">
        <v>17800</v>
      </c>
      <c r="AY117" s="24">
        <v>320202</v>
      </c>
      <c r="AZ117" s="24" t="s">
        <v>33</v>
      </c>
      <c r="BA117" s="24"/>
      <c r="BB117" s="24"/>
      <c r="BC117" s="24">
        <v>2022</v>
      </c>
      <c r="BD117" s="24">
        <v>24</v>
      </c>
      <c r="BE117" s="24">
        <v>2928.4231428571397</v>
      </c>
      <c r="BF117" s="24" t="s">
        <v>33</v>
      </c>
      <c r="BG117" s="24"/>
      <c r="BI117" s="24">
        <v>2022</v>
      </c>
      <c r="BJ117" s="24">
        <v>43</v>
      </c>
      <c r="BK117" s="24" t="s">
        <v>33</v>
      </c>
      <c r="BL117" s="24" t="s">
        <v>273</v>
      </c>
      <c r="BM117" s="24">
        <v>92138</v>
      </c>
      <c r="BN117" s="24">
        <v>91604</v>
      </c>
      <c r="BO117" s="24">
        <v>93817</v>
      </c>
      <c r="BR117" s="24">
        <v>2022</v>
      </c>
      <c r="BS117" s="24">
        <v>24</v>
      </c>
      <c r="BT117" s="24">
        <v>16686</v>
      </c>
      <c r="BU117" s="24">
        <v>0</v>
      </c>
      <c r="BV117" s="24" t="s">
        <v>32</v>
      </c>
      <c r="BY117" s="24">
        <v>2022</v>
      </c>
      <c r="BZ117" s="24">
        <v>30</v>
      </c>
      <c r="CA117" s="24" t="s">
        <v>33</v>
      </c>
      <c r="CB117" s="24" t="s">
        <v>108</v>
      </c>
      <c r="CC117" s="24">
        <v>2</v>
      </c>
      <c r="CF117" s="24">
        <v>2022</v>
      </c>
      <c r="CG117" s="24">
        <v>24</v>
      </c>
      <c r="CH117" s="24" t="s">
        <v>33</v>
      </c>
      <c r="CI117" s="24">
        <v>143.54529914529914</v>
      </c>
      <c r="CJ117" s="24">
        <v>293909</v>
      </c>
      <c r="CK117" s="24">
        <v>2047.5</v>
      </c>
      <c r="CL117" s="24">
        <v>120.0969639167064</v>
      </c>
      <c r="CM117" s="24">
        <v>155392</v>
      </c>
      <c r="CN117" s="24">
        <v>302212</v>
      </c>
      <c r="CO117" s="24">
        <v>2516.4</v>
      </c>
      <c r="CP117" s="24">
        <v>72301</v>
      </c>
      <c r="CQ117" s="24">
        <v>346.5</v>
      </c>
      <c r="CR117" s="24">
        <v>1885.4</v>
      </c>
      <c r="CS117" s="24">
        <v>200467</v>
      </c>
      <c r="CT117" s="24">
        <v>200467</v>
      </c>
      <c r="CU117" s="24">
        <v>1975.7</v>
      </c>
      <c r="CV117" s="24">
        <v>58008</v>
      </c>
      <c r="CW117" s="24">
        <v>0</v>
      </c>
      <c r="CX117" s="24">
        <v>194326</v>
      </c>
      <c r="CY117" s="24">
        <v>1222.2</v>
      </c>
      <c r="CZ117" s="24">
        <v>61407</v>
      </c>
      <c r="DA117" s="24">
        <v>1885.4</v>
      </c>
      <c r="DD117" s="24">
        <v>2022</v>
      </c>
      <c r="DE117" s="24">
        <v>24</v>
      </c>
      <c r="DF117" s="24" t="s">
        <v>33</v>
      </c>
      <c r="DG117" s="24">
        <v>40181</v>
      </c>
      <c r="DH117" s="24">
        <v>34805</v>
      </c>
      <c r="DJ117" s="24">
        <v>2022</v>
      </c>
      <c r="DK117" s="24">
        <v>23</v>
      </c>
      <c r="DL117" s="24" t="s">
        <v>33</v>
      </c>
      <c r="DM117" s="24">
        <v>550</v>
      </c>
      <c r="DP117" s="24">
        <v>2022</v>
      </c>
      <c r="DQ117" s="24">
        <v>11</v>
      </c>
      <c r="DR117" s="24" t="s">
        <v>33</v>
      </c>
      <c r="DS117" s="24">
        <v>28348</v>
      </c>
      <c r="DT117" s="24"/>
      <c r="DW117" s="24">
        <v>2022</v>
      </c>
      <c r="DX117" s="24">
        <v>36</v>
      </c>
      <c r="DY117" s="24" t="s">
        <v>32</v>
      </c>
      <c r="DZ117" s="24">
        <v>3</v>
      </c>
      <c r="EA117" s="24" t="s">
        <v>149</v>
      </c>
      <c r="EB117" s="24">
        <v>0.2</v>
      </c>
      <c r="EC117" s="24">
        <v>59.8</v>
      </c>
      <c r="ED117" s="24">
        <v>1251</v>
      </c>
      <c r="EE117" s="24">
        <v>1211</v>
      </c>
      <c r="EF117" s="24">
        <v>0</v>
      </c>
      <c r="EI117" s="24">
        <v>2023</v>
      </c>
      <c r="EJ117" s="24">
        <v>7</v>
      </c>
      <c r="EK117" s="24" t="s">
        <v>33</v>
      </c>
      <c r="EL117" s="24" t="s">
        <v>233</v>
      </c>
      <c r="EM117" s="24" t="s">
        <v>210</v>
      </c>
      <c r="EN117" s="24">
        <v>2</v>
      </c>
      <c r="EO117" s="24"/>
      <c r="EP117" s="24"/>
      <c r="EQ117" s="24"/>
      <c r="ER117" s="24"/>
      <c r="ES117" s="24">
        <v>2022</v>
      </c>
      <c r="ET117" s="24">
        <v>25</v>
      </c>
      <c r="EU117" s="24" t="s">
        <v>213</v>
      </c>
      <c r="EV117" s="24">
        <v>3</v>
      </c>
      <c r="EY117" s="24">
        <v>2022</v>
      </c>
      <c r="EZ117" s="24">
        <v>25</v>
      </c>
      <c r="FA117" s="24" t="s">
        <v>32</v>
      </c>
      <c r="FB117" s="24">
        <v>1165</v>
      </c>
      <c r="FE117" s="24">
        <v>2022</v>
      </c>
      <c r="FF117" s="24">
        <v>24</v>
      </c>
      <c r="FG117" s="24" t="s">
        <v>33</v>
      </c>
      <c r="FH117" s="24">
        <v>0.8449000000000001</v>
      </c>
      <c r="FI117" s="24">
        <v>22265</v>
      </c>
      <c r="FJ117" s="24">
        <v>10002</v>
      </c>
      <c r="FK117" s="24">
        <v>11904</v>
      </c>
      <c r="FN117" s="24">
        <v>2022</v>
      </c>
      <c r="FO117" s="24">
        <v>25</v>
      </c>
      <c r="FP117" s="24" t="s">
        <v>33</v>
      </c>
      <c r="FQ117" s="24">
        <v>989631</v>
      </c>
      <c r="FR117" s="24">
        <v>9520.9</v>
      </c>
      <c r="FS117" s="24">
        <v>434615</v>
      </c>
      <c r="FT117" s="24">
        <v>3510.7166666666699</v>
      </c>
      <c r="FW117" s="24">
        <v>2022</v>
      </c>
      <c r="FX117" s="24">
        <v>24</v>
      </c>
      <c r="FY117" s="24" t="s">
        <v>33</v>
      </c>
      <c r="FZ117" s="24">
        <v>18008</v>
      </c>
      <c r="GA117" s="24">
        <v>16641</v>
      </c>
      <c r="GB117" s="24"/>
      <c r="GC117" s="24"/>
      <c r="GD117" s="24">
        <v>2022</v>
      </c>
      <c r="GE117" s="24">
        <v>24</v>
      </c>
      <c r="GF117" s="24" t="s">
        <v>33</v>
      </c>
      <c r="GG117" s="24">
        <v>17972</v>
      </c>
      <c r="GH117" s="24">
        <v>16771</v>
      </c>
      <c r="GK117" s="284"/>
      <c r="GL117" s="284"/>
      <c r="GM117" s="284"/>
      <c r="GN117" s="284"/>
      <c r="GO117" s="24"/>
      <c r="GP117" s="24">
        <v>2022</v>
      </c>
      <c r="GQ117" s="24">
        <v>24</v>
      </c>
      <c r="GR117" s="24">
        <v>15.441714285714301</v>
      </c>
      <c r="GS117" s="24" t="s">
        <v>33</v>
      </c>
      <c r="GX117">
        <v>2022</v>
      </c>
      <c r="GY117">
        <v>24</v>
      </c>
      <c r="GZ117" t="s">
        <v>33</v>
      </c>
      <c r="HA117">
        <v>318909</v>
      </c>
      <c r="HB117">
        <v>312022</v>
      </c>
      <c r="HC117">
        <v>842</v>
      </c>
      <c r="HD117">
        <v>350</v>
      </c>
      <c r="HE117">
        <v>0</v>
      </c>
      <c r="HF117">
        <v>1784</v>
      </c>
      <c r="HG117">
        <v>0</v>
      </c>
      <c r="HH117">
        <v>0</v>
      </c>
      <c r="HI117">
        <v>1051</v>
      </c>
      <c r="HL117">
        <v>2022</v>
      </c>
      <c r="HM117">
        <v>24</v>
      </c>
      <c r="HN117" t="s">
        <v>33</v>
      </c>
      <c r="HO117">
        <v>316896</v>
      </c>
      <c r="HP117">
        <v>313525</v>
      </c>
      <c r="HQ117">
        <v>946</v>
      </c>
      <c r="HR117">
        <v>139</v>
      </c>
      <c r="HS117">
        <v>0</v>
      </c>
      <c r="HT117">
        <v>1704</v>
      </c>
      <c r="HU117">
        <v>0</v>
      </c>
      <c r="HV117">
        <v>0</v>
      </c>
      <c r="HW117">
        <v>188</v>
      </c>
      <c r="HZ117" s="24">
        <v>2022</v>
      </c>
      <c r="IA117" s="24">
        <v>24</v>
      </c>
      <c r="IB117" s="24" t="s">
        <v>33</v>
      </c>
      <c r="IC117" s="24">
        <v>18363</v>
      </c>
      <c r="ID117" s="24">
        <v>17585</v>
      </c>
      <c r="IG117" s="24">
        <v>2022</v>
      </c>
      <c r="IH117" s="24">
        <v>24</v>
      </c>
      <c r="II117" s="24" t="s">
        <v>33</v>
      </c>
      <c r="IJ117" s="24">
        <v>16716</v>
      </c>
      <c r="IK117" s="24">
        <v>16540</v>
      </c>
    </row>
    <row r="118" spans="9:245" x14ac:dyDescent="0.4">
      <c r="I118" s="305">
        <v>2022</v>
      </c>
      <c r="J118" s="306">
        <v>24</v>
      </c>
      <c r="K118" s="306" t="s">
        <v>33</v>
      </c>
      <c r="L118" s="306">
        <v>317811</v>
      </c>
      <c r="M118" s="306">
        <v>230141</v>
      </c>
      <c r="N118" s="306">
        <v>1167</v>
      </c>
      <c r="O118" s="306">
        <v>6062</v>
      </c>
      <c r="P118" s="306">
        <v>682</v>
      </c>
      <c r="Q118" s="306">
        <v>538</v>
      </c>
      <c r="R118" s="24"/>
      <c r="S118" s="24"/>
      <c r="T118" s="24"/>
      <c r="W118" s="24">
        <v>2022</v>
      </c>
      <c r="X118" s="24">
        <v>23</v>
      </c>
      <c r="Y118" s="24" t="s">
        <v>32</v>
      </c>
      <c r="Z118" s="24">
        <v>17242</v>
      </c>
      <c r="AA118" s="24">
        <v>16689</v>
      </c>
      <c r="AB118" s="24">
        <v>69</v>
      </c>
      <c r="AC118" s="24">
        <v>18</v>
      </c>
      <c r="AD118" s="290"/>
      <c r="AE118" s="290"/>
      <c r="AF118" s="290"/>
      <c r="AG118" s="290"/>
      <c r="AH118" s="290"/>
      <c r="AI118" s="24"/>
      <c r="AJ118" s="24"/>
      <c r="AK118" s="24">
        <v>2022</v>
      </c>
      <c r="AL118" s="24">
        <v>23</v>
      </c>
      <c r="AM118" s="24">
        <v>618.22</v>
      </c>
      <c r="AN118" s="24">
        <v>63.35</v>
      </c>
      <c r="AO118" s="24">
        <v>0</v>
      </c>
      <c r="AP118" s="24">
        <v>14</v>
      </c>
      <c r="AQ118" s="24">
        <v>0</v>
      </c>
      <c r="AR118" s="24">
        <v>0</v>
      </c>
      <c r="AS118" s="24" t="s">
        <v>32</v>
      </c>
      <c r="AT118" s="24"/>
      <c r="AU118" s="24">
        <v>2022</v>
      </c>
      <c r="AV118" s="24">
        <v>23</v>
      </c>
      <c r="AW118" s="24">
        <v>0.08</v>
      </c>
      <c r="AX118" s="24">
        <v>1400</v>
      </c>
      <c r="AY118" s="24">
        <v>17736</v>
      </c>
      <c r="AZ118" s="24" t="s">
        <v>32</v>
      </c>
      <c r="BA118" s="24"/>
      <c r="BB118" s="24"/>
      <c r="BC118" s="24">
        <v>2022</v>
      </c>
      <c r="BD118" s="24">
        <v>23</v>
      </c>
      <c r="BE118" s="24">
        <v>276.588142857143</v>
      </c>
      <c r="BF118" s="24" t="s">
        <v>32</v>
      </c>
      <c r="BG118" s="24"/>
      <c r="BI118" s="24">
        <v>2022</v>
      </c>
      <c r="BJ118" s="24">
        <v>42</v>
      </c>
      <c r="BK118" s="24" t="s">
        <v>33</v>
      </c>
      <c r="BL118" s="24" t="s">
        <v>272</v>
      </c>
      <c r="BM118" s="24">
        <v>50982</v>
      </c>
      <c r="BN118" s="24">
        <v>50928</v>
      </c>
      <c r="BO118" s="24">
        <v>182664</v>
      </c>
      <c r="BR118" s="24">
        <v>2022</v>
      </c>
      <c r="BS118" s="24">
        <v>23</v>
      </c>
      <c r="BT118" s="24">
        <v>316047</v>
      </c>
      <c r="BU118" s="24">
        <v>3</v>
      </c>
      <c r="BV118" s="24" t="s">
        <v>33</v>
      </c>
      <c r="BY118" s="24">
        <v>2022</v>
      </c>
      <c r="BZ118" s="24">
        <v>30</v>
      </c>
      <c r="CA118" s="24" t="s">
        <v>33</v>
      </c>
      <c r="CB118" s="24" t="s">
        <v>423</v>
      </c>
      <c r="CC118" s="24">
        <v>18</v>
      </c>
      <c r="CF118" s="24">
        <v>2022</v>
      </c>
      <c r="CG118" s="24">
        <v>23</v>
      </c>
      <c r="CH118" s="24" t="s">
        <v>32</v>
      </c>
      <c r="CI118" s="24">
        <v>55.901937046004839</v>
      </c>
      <c r="CJ118" s="24">
        <v>9235</v>
      </c>
      <c r="CK118" s="24">
        <v>165.2</v>
      </c>
      <c r="CL118" s="24">
        <v>53.322532402791623</v>
      </c>
      <c r="CM118" s="24">
        <v>11550</v>
      </c>
      <c r="CN118" s="24">
        <v>21393</v>
      </c>
      <c r="CO118" s="24">
        <v>401.2</v>
      </c>
      <c r="CP118" s="24">
        <v>10797</v>
      </c>
      <c r="CQ118" s="24">
        <v>62.5</v>
      </c>
      <c r="CR118" s="24">
        <v>259.39999999999998</v>
      </c>
      <c r="CS118" s="24">
        <v>21489</v>
      </c>
      <c r="CT118" s="24">
        <v>21489</v>
      </c>
      <c r="CU118" s="24">
        <v>395.9</v>
      </c>
      <c r="CV118" s="24">
        <v>3083</v>
      </c>
      <c r="CW118" s="24">
        <v>0</v>
      </c>
      <c r="CX118" s="24">
        <v>7461</v>
      </c>
      <c r="CY118" s="24">
        <v>119.7</v>
      </c>
      <c r="CZ118" s="24">
        <v>7687</v>
      </c>
      <c r="DA118" s="24">
        <v>259.39999999999998</v>
      </c>
      <c r="DD118" s="24">
        <v>2022</v>
      </c>
      <c r="DE118" s="24">
        <v>23</v>
      </c>
      <c r="DF118" s="24" t="s">
        <v>32</v>
      </c>
      <c r="DG118" s="24">
        <v>2307</v>
      </c>
      <c r="DH118" s="24">
        <v>2922</v>
      </c>
      <c r="DJ118" s="24">
        <v>2022</v>
      </c>
      <c r="DK118" s="24">
        <v>22</v>
      </c>
      <c r="DL118" s="24" t="s">
        <v>32</v>
      </c>
      <c r="DM118" s="24">
        <v>36</v>
      </c>
      <c r="DP118" s="24">
        <v>2022</v>
      </c>
      <c r="DQ118" s="24">
        <v>10</v>
      </c>
      <c r="DR118" s="24" t="s">
        <v>33</v>
      </c>
      <c r="DS118" s="24">
        <v>23627</v>
      </c>
      <c r="DT118" s="24"/>
      <c r="DW118" s="24">
        <v>2022</v>
      </c>
      <c r="DX118" s="24">
        <v>36</v>
      </c>
      <c r="DY118" s="24" t="s">
        <v>33</v>
      </c>
      <c r="DZ118" s="24">
        <v>15</v>
      </c>
      <c r="EA118" s="24" t="s">
        <v>562</v>
      </c>
      <c r="EB118" s="24">
        <v>295.89999999999998</v>
      </c>
      <c r="EC118" s="24">
        <v>0</v>
      </c>
      <c r="ED118" s="24">
        <v>7</v>
      </c>
      <c r="EE118" s="24">
        <v>10628</v>
      </c>
      <c r="EF118" s="24">
        <v>7.9</v>
      </c>
      <c r="EI118" s="24">
        <v>2023</v>
      </c>
      <c r="EJ118" s="24">
        <v>7</v>
      </c>
      <c r="EK118" s="24" t="s">
        <v>33</v>
      </c>
      <c r="EL118" s="24" t="s">
        <v>233</v>
      </c>
      <c r="EM118" s="24" t="s">
        <v>215</v>
      </c>
      <c r="EN118" s="24">
        <v>1</v>
      </c>
      <c r="EO118" s="24"/>
      <c r="EP118" s="24"/>
      <c r="EQ118" s="24"/>
      <c r="ER118" s="24"/>
      <c r="ES118" s="24">
        <v>2022</v>
      </c>
      <c r="ET118" s="24">
        <v>24</v>
      </c>
      <c r="EU118" s="24" t="s">
        <v>32</v>
      </c>
      <c r="EV118" s="24">
        <v>10646</v>
      </c>
      <c r="EY118" s="24">
        <v>2022</v>
      </c>
      <c r="EZ118" s="24">
        <v>25</v>
      </c>
      <c r="FA118" s="24" t="s">
        <v>33</v>
      </c>
      <c r="FB118" s="24">
        <v>1073</v>
      </c>
      <c r="FE118" s="24">
        <v>2022</v>
      </c>
      <c r="FF118" s="24">
        <v>23</v>
      </c>
      <c r="FG118" s="24" t="s">
        <v>32</v>
      </c>
      <c r="FH118" s="24">
        <v>0.85570000000000002</v>
      </c>
      <c r="FI118" s="24">
        <v>552</v>
      </c>
      <c r="FJ118" s="24">
        <v>254</v>
      </c>
      <c r="FK118" s="24">
        <v>297</v>
      </c>
      <c r="FN118" s="24">
        <v>2022</v>
      </c>
      <c r="FO118" s="24">
        <v>24</v>
      </c>
      <c r="FP118" s="24" t="s">
        <v>32</v>
      </c>
      <c r="FQ118" s="24">
        <v>42955</v>
      </c>
      <c r="FR118" s="24">
        <v>1079.7166666666699</v>
      </c>
      <c r="FS118" s="24">
        <v>40769</v>
      </c>
      <c r="FT118" s="24">
        <v>476.38333333333298</v>
      </c>
      <c r="FW118" s="24">
        <v>2022</v>
      </c>
      <c r="FX118" s="24">
        <v>23</v>
      </c>
      <c r="FY118" s="24" t="s">
        <v>32</v>
      </c>
      <c r="FZ118" s="24">
        <v>2830</v>
      </c>
      <c r="GA118" s="24">
        <v>2643</v>
      </c>
      <c r="GB118" s="24"/>
      <c r="GC118" s="24"/>
      <c r="GD118" s="24">
        <v>2022</v>
      </c>
      <c r="GE118" s="24">
        <v>23</v>
      </c>
      <c r="GF118" s="24" t="s">
        <v>32</v>
      </c>
      <c r="GG118" s="24">
        <v>2819</v>
      </c>
      <c r="GH118" s="24">
        <v>2532</v>
      </c>
      <c r="GK118" s="284"/>
      <c r="GL118" s="284"/>
      <c r="GM118" s="284"/>
      <c r="GN118" s="284"/>
      <c r="GO118" s="24"/>
      <c r="GP118" s="24">
        <v>2022</v>
      </c>
      <c r="GQ118" s="24">
        <v>23</v>
      </c>
      <c r="GR118" s="24">
        <v>0.7357142857142861</v>
      </c>
      <c r="GS118" s="24" t="s">
        <v>32</v>
      </c>
      <c r="GX118">
        <v>2022</v>
      </c>
      <c r="GY118">
        <v>23</v>
      </c>
      <c r="GZ118" t="s">
        <v>32</v>
      </c>
      <c r="HA118">
        <v>17272</v>
      </c>
      <c r="HB118">
        <v>16663</v>
      </c>
      <c r="HC118">
        <v>19</v>
      </c>
      <c r="HD118">
        <v>5</v>
      </c>
      <c r="HE118">
        <v>0</v>
      </c>
      <c r="HF118">
        <v>91</v>
      </c>
      <c r="HG118">
        <v>0</v>
      </c>
      <c r="HH118">
        <v>0</v>
      </c>
      <c r="HI118">
        <v>171</v>
      </c>
      <c r="HL118">
        <v>2022</v>
      </c>
      <c r="HM118">
        <v>23</v>
      </c>
      <c r="HN118" t="s">
        <v>32</v>
      </c>
      <c r="HO118">
        <v>17108</v>
      </c>
      <c r="HP118">
        <v>16828</v>
      </c>
      <c r="HQ118">
        <v>16</v>
      </c>
      <c r="HR118">
        <v>2</v>
      </c>
      <c r="HS118">
        <v>0</v>
      </c>
      <c r="HT118">
        <v>141</v>
      </c>
      <c r="HU118">
        <v>0</v>
      </c>
      <c r="HV118">
        <v>0</v>
      </c>
      <c r="HW118">
        <v>9</v>
      </c>
      <c r="HZ118" s="24">
        <v>2022</v>
      </c>
      <c r="IA118" s="24">
        <v>23</v>
      </c>
      <c r="IB118" s="24" t="s">
        <v>32</v>
      </c>
      <c r="IC118" s="24">
        <v>2857</v>
      </c>
      <c r="ID118" s="24">
        <v>2711</v>
      </c>
      <c r="IG118" s="24">
        <v>2022</v>
      </c>
      <c r="IH118" s="24">
        <v>23</v>
      </c>
      <c r="II118" s="24" t="s">
        <v>32</v>
      </c>
      <c r="IJ118" s="24">
        <v>2713</v>
      </c>
      <c r="IK118" s="24">
        <v>2630</v>
      </c>
    </row>
    <row r="119" spans="9:245" x14ac:dyDescent="0.4">
      <c r="I119" s="305">
        <v>2022</v>
      </c>
      <c r="J119" s="306">
        <v>23</v>
      </c>
      <c r="K119" s="306" t="s">
        <v>32</v>
      </c>
      <c r="L119" s="306">
        <v>17149</v>
      </c>
      <c r="M119" s="306">
        <v>16533</v>
      </c>
      <c r="N119" s="306">
        <v>125</v>
      </c>
      <c r="O119" s="306">
        <v>222</v>
      </c>
      <c r="P119" s="306">
        <v>49</v>
      </c>
      <c r="Q119" s="306">
        <v>13</v>
      </c>
      <c r="R119" s="24"/>
      <c r="S119" s="24"/>
      <c r="T119" s="24"/>
      <c r="W119" s="24">
        <v>2022</v>
      </c>
      <c r="X119" s="24">
        <v>23</v>
      </c>
      <c r="Y119" s="24" t="s">
        <v>33</v>
      </c>
      <c r="Z119" s="24">
        <v>316328</v>
      </c>
      <c r="AA119" s="24">
        <v>233380</v>
      </c>
      <c r="AB119" s="24">
        <v>550</v>
      </c>
      <c r="AC119" s="24">
        <v>451</v>
      </c>
      <c r="AD119" s="290"/>
      <c r="AE119" s="290"/>
      <c r="AF119" s="290"/>
      <c r="AG119" s="290"/>
      <c r="AH119" s="290"/>
      <c r="AI119" s="24"/>
      <c r="AJ119" s="24"/>
      <c r="AK119" s="24">
        <v>2022</v>
      </c>
      <c r="AL119" s="24">
        <v>23</v>
      </c>
      <c r="AM119" s="24">
        <v>20900.93</v>
      </c>
      <c r="AN119" s="24">
        <v>1409.03</v>
      </c>
      <c r="AO119" s="24">
        <v>0</v>
      </c>
      <c r="AP119" s="24">
        <v>540</v>
      </c>
      <c r="AQ119" s="24">
        <v>0</v>
      </c>
      <c r="AR119" s="24">
        <v>3</v>
      </c>
      <c r="AS119" s="24" t="s">
        <v>33</v>
      </c>
      <c r="AT119" s="24"/>
      <c r="AU119" s="24">
        <v>2022</v>
      </c>
      <c r="AV119" s="24">
        <v>23</v>
      </c>
      <c r="AW119" s="24">
        <v>0.05</v>
      </c>
      <c r="AX119" s="24">
        <v>16600</v>
      </c>
      <c r="AY119" s="24">
        <v>317715</v>
      </c>
      <c r="AZ119" s="24" t="s">
        <v>33</v>
      </c>
      <c r="BA119" s="24"/>
      <c r="BB119" s="24"/>
      <c r="BC119" s="24">
        <v>2022</v>
      </c>
      <c r="BD119" s="24">
        <v>23</v>
      </c>
      <c r="BE119" s="24">
        <v>2856.65028571429</v>
      </c>
      <c r="BF119" s="24" t="s">
        <v>33</v>
      </c>
      <c r="BG119" s="24"/>
      <c r="BI119" s="24">
        <v>2022</v>
      </c>
      <c r="BJ119" s="24">
        <v>42</v>
      </c>
      <c r="BK119" s="24" t="s">
        <v>32</v>
      </c>
      <c r="BL119" s="24" t="s">
        <v>272</v>
      </c>
      <c r="BM119" s="24">
        <v>2654</v>
      </c>
      <c r="BN119" s="24">
        <v>2649</v>
      </c>
      <c r="BO119" s="24">
        <v>8945</v>
      </c>
      <c r="BR119" s="24">
        <v>2022</v>
      </c>
      <c r="BS119" s="24">
        <v>23</v>
      </c>
      <c r="BT119" s="24">
        <v>17635</v>
      </c>
      <c r="BU119" s="24">
        <v>0</v>
      </c>
      <c r="BV119" s="24" t="s">
        <v>32</v>
      </c>
      <c r="BY119" s="24">
        <v>2022</v>
      </c>
      <c r="BZ119" s="24">
        <v>29</v>
      </c>
      <c r="CA119" s="24" t="s">
        <v>33</v>
      </c>
      <c r="CB119" s="24" t="s">
        <v>108</v>
      </c>
      <c r="CC119" s="24">
        <v>3</v>
      </c>
      <c r="CF119" s="24">
        <v>2022</v>
      </c>
      <c r="CG119" s="24">
        <v>23</v>
      </c>
      <c r="CH119" s="24" t="s">
        <v>33</v>
      </c>
      <c r="CI119" s="24">
        <v>145.55317024463304</v>
      </c>
      <c r="CJ119" s="24">
        <v>291543</v>
      </c>
      <c r="CK119" s="24">
        <v>2003</v>
      </c>
      <c r="CL119" s="24">
        <v>118.40405904059041</v>
      </c>
      <c r="CM119" s="24">
        <v>151359</v>
      </c>
      <c r="CN119" s="24">
        <v>295205</v>
      </c>
      <c r="CO119" s="24">
        <v>2493.1999999999998</v>
      </c>
      <c r="CP119" s="24">
        <v>64052</v>
      </c>
      <c r="CQ119" s="24">
        <v>381</v>
      </c>
      <c r="CR119" s="24">
        <v>1616.1</v>
      </c>
      <c r="CS119" s="24">
        <v>208326</v>
      </c>
      <c r="CT119" s="24">
        <v>208326</v>
      </c>
      <c r="CU119" s="24">
        <v>1809.2</v>
      </c>
      <c r="CV119" s="24">
        <v>52889</v>
      </c>
      <c r="CW119" s="24">
        <v>0</v>
      </c>
      <c r="CX119" s="24">
        <v>204948</v>
      </c>
      <c r="CY119" s="24">
        <v>1195.9000000000001</v>
      </c>
      <c r="CZ119" s="24">
        <v>49581</v>
      </c>
      <c r="DA119" s="24">
        <v>1616.1</v>
      </c>
      <c r="DD119" s="24">
        <v>2022</v>
      </c>
      <c r="DE119" s="24">
        <v>23</v>
      </c>
      <c r="DF119" s="24" t="s">
        <v>33</v>
      </c>
      <c r="DG119" s="24">
        <v>29799</v>
      </c>
      <c r="DH119" s="24">
        <v>34728</v>
      </c>
      <c r="DJ119" s="24">
        <v>2022</v>
      </c>
      <c r="DK119" s="24">
        <v>22</v>
      </c>
      <c r="DL119" s="24" t="s">
        <v>33</v>
      </c>
      <c r="DM119" s="24">
        <v>299</v>
      </c>
      <c r="DP119" s="24">
        <v>2022</v>
      </c>
      <c r="DQ119" s="24">
        <v>9</v>
      </c>
      <c r="DR119" s="24" t="s">
        <v>33</v>
      </c>
      <c r="DS119" s="24">
        <v>20508</v>
      </c>
      <c r="DT119" s="24"/>
      <c r="DW119" s="24">
        <v>2022</v>
      </c>
      <c r="DX119" s="24">
        <v>36</v>
      </c>
      <c r="DY119" s="24" t="s">
        <v>33</v>
      </c>
      <c r="DZ119" s="24">
        <v>86</v>
      </c>
      <c r="EA119" s="24" t="s">
        <v>149</v>
      </c>
      <c r="EB119" s="24">
        <v>59.1</v>
      </c>
      <c r="EC119" s="24">
        <v>1746.1</v>
      </c>
      <c r="ED119" s="24">
        <v>45980</v>
      </c>
      <c r="EE119" s="24">
        <v>48959</v>
      </c>
      <c r="EF119" s="24">
        <v>83.8</v>
      </c>
      <c r="EI119" s="24">
        <v>2023</v>
      </c>
      <c r="EJ119" s="24">
        <v>7</v>
      </c>
      <c r="EK119" s="24" t="s">
        <v>237</v>
      </c>
      <c r="EL119" s="24" t="s">
        <v>555</v>
      </c>
      <c r="EM119" s="24" t="s">
        <v>210</v>
      </c>
      <c r="EN119" s="24">
        <v>3</v>
      </c>
      <c r="EO119" s="24"/>
      <c r="EP119" s="24"/>
      <c r="EQ119" s="24"/>
      <c r="ER119" s="24"/>
      <c r="ES119" s="24">
        <v>2022</v>
      </c>
      <c r="ET119" s="24">
        <v>24</v>
      </c>
      <c r="EU119" s="24" t="s">
        <v>33</v>
      </c>
      <c r="EV119" s="24">
        <v>168345</v>
      </c>
      <c r="EY119" s="24">
        <v>2022</v>
      </c>
      <c r="EZ119" s="24">
        <v>24</v>
      </c>
      <c r="FA119" s="24" t="s">
        <v>32</v>
      </c>
      <c r="FB119" s="24">
        <v>940</v>
      </c>
      <c r="FE119" s="24">
        <v>2022</v>
      </c>
      <c r="FF119" s="24">
        <v>23</v>
      </c>
      <c r="FG119" s="24" t="s">
        <v>33</v>
      </c>
      <c r="FH119" s="24">
        <v>0.90860000000000007</v>
      </c>
      <c r="FI119" s="24">
        <v>21287</v>
      </c>
      <c r="FJ119" s="24">
        <v>9532</v>
      </c>
      <c r="FK119" s="24">
        <v>10606</v>
      </c>
      <c r="FN119" s="24">
        <v>2022</v>
      </c>
      <c r="FO119" s="24">
        <v>24</v>
      </c>
      <c r="FP119" s="24" t="s">
        <v>33</v>
      </c>
      <c r="FQ119" s="24">
        <v>1001735</v>
      </c>
      <c r="FR119" s="24">
        <v>9786.5333333333292</v>
      </c>
      <c r="FS119" s="24">
        <v>516999</v>
      </c>
      <c r="FT119" s="24">
        <v>3830.9833333333299</v>
      </c>
      <c r="FW119" s="24">
        <v>2022</v>
      </c>
      <c r="FX119" s="24">
        <v>23</v>
      </c>
      <c r="FY119" s="24" t="s">
        <v>33</v>
      </c>
      <c r="FZ119" s="24">
        <v>19002</v>
      </c>
      <c r="GA119" s="24">
        <v>17580</v>
      </c>
      <c r="GB119" s="24"/>
      <c r="GC119" s="24"/>
      <c r="GD119" s="24">
        <v>2022</v>
      </c>
      <c r="GE119" s="24">
        <v>23</v>
      </c>
      <c r="GF119" s="24" t="s">
        <v>33</v>
      </c>
      <c r="GG119" s="24">
        <v>19045</v>
      </c>
      <c r="GH119" s="24">
        <v>17844</v>
      </c>
      <c r="GK119" s="285"/>
      <c r="GL119" s="285"/>
      <c r="GM119" s="285"/>
      <c r="GN119" s="285"/>
      <c r="GO119" s="24"/>
      <c r="GP119" s="24">
        <v>2022</v>
      </c>
      <c r="GQ119" s="24">
        <v>23</v>
      </c>
      <c r="GR119" s="24">
        <v>15.421000000000001</v>
      </c>
      <c r="GS119" s="24" t="s">
        <v>33</v>
      </c>
      <c r="GX119">
        <v>2022</v>
      </c>
      <c r="GY119">
        <v>23</v>
      </c>
      <c r="GZ119" t="s">
        <v>33</v>
      </c>
      <c r="HA119">
        <v>313458</v>
      </c>
      <c r="HB119">
        <v>306713</v>
      </c>
      <c r="HC119">
        <v>929</v>
      </c>
      <c r="HD119">
        <v>249</v>
      </c>
      <c r="HE119">
        <v>0</v>
      </c>
      <c r="HF119">
        <v>1287</v>
      </c>
      <c r="HG119">
        <v>0</v>
      </c>
      <c r="HH119">
        <v>0</v>
      </c>
      <c r="HI119">
        <v>1045</v>
      </c>
      <c r="HL119">
        <v>2022</v>
      </c>
      <c r="HM119">
        <v>23</v>
      </c>
      <c r="HN119" t="s">
        <v>33</v>
      </c>
      <c r="HO119">
        <v>316022</v>
      </c>
      <c r="HP119">
        <v>312825</v>
      </c>
      <c r="HQ119">
        <v>826</v>
      </c>
      <c r="HR119">
        <v>105</v>
      </c>
      <c r="HS119">
        <v>0</v>
      </c>
      <c r="HT119">
        <v>1035</v>
      </c>
      <c r="HU119">
        <v>0</v>
      </c>
      <c r="HV119">
        <v>0</v>
      </c>
      <c r="HW119">
        <v>199</v>
      </c>
      <c r="HZ119" s="24">
        <v>2022</v>
      </c>
      <c r="IA119" s="24">
        <v>23</v>
      </c>
      <c r="IB119" s="24" t="s">
        <v>33</v>
      </c>
      <c r="IC119" s="24">
        <v>18719</v>
      </c>
      <c r="ID119" s="24">
        <v>17840</v>
      </c>
      <c r="IG119" s="24">
        <v>2022</v>
      </c>
      <c r="IH119" s="24">
        <v>23</v>
      </c>
      <c r="II119" s="24" t="s">
        <v>33</v>
      </c>
      <c r="IJ119" s="24">
        <v>18051</v>
      </c>
      <c r="IK119" s="24">
        <v>17842</v>
      </c>
    </row>
    <row r="120" spans="9:245" x14ac:dyDescent="0.4">
      <c r="I120" s="305">
        <v>2022</v>
      </c>
      <c r="J120" s="306">
        <v>23</v>
      </c>
      <c r="K120" s="306" t="s">
        <v>33</v>
      </c>
      <c r="L120" s="306">
        <v>316305</v>
      </c>
      <c r="M120" s="306">
        <v>232005</v>
      </c>
      <c r="N120" s="306">
        <v>1125</v>
      </c>
      <c r="O120" s="306">
        <v>6314</v>
      </c>
      <c r="P120" s="306">
        <v>627</v>
      </c>
      <c r="Q120" s="306">
        <v>453</v>
      </c>
      <c r="R120" s="24"/>
      <c r="S120" s="24"/>
      <c r="T120" s="24"/>
      <c r="W120" s="24">
        <v>2022</v>
      </c>
      <c r="X120" s="24">
        <v>22</v>
      </c>
      <c r="Y120" s="24" t="s">
        <v>32</v>
      </c>
      <c r="Z120" s="24">
        <v>16486</v>
      </c>
      <c r="AA120" s="24">
        <v>16117</v>
      </c>
      <c r="AB120" s="24">
        <v>36</v>
      </c>
      <c r="AC120" s="24">
        <v>6</v>
      </c>
      <c r="AD120" s="291"/>
      <c r="AE120" s="291"/>
      <c r="AF120" s="291"/>
      <c r="AG120" s="291"/>
      <c r="AH120" s="291"/>
      <c r="AI120" s="24"/>
      <c r="AJ120" s="24"/>
      <c r="AK120" s="24">
        <v>2022</v>
      </c>
      <c r="AL120" s="24">
        <v>22</v>
      </c>
      <c r="AM120" s="24">
        <v>535.43000000000006</v>
      </c>
      <c r="AN120" s="24">
        <v>34.35</v>
      </c>
      <c r="AO120" s="24">
        <v>0</v>
      </c>
      <c r="AP120" s="24">
        <v>14</v>
      </c>
      <c r="AQ120" s="24">
        <v>0</v>
      </c>
      <c r="AR120" s="24">
        <v>0</v>
      </c>
      <c r="AS120" s="24" t="s">
        <v>32</v>
      </c>
      <c r="AT120" s="24"/>
      <c r="AU120" s="24">
        <v>2022</v>
      </c>
      <c r="AV120" s="24">
        <v>22</v>
      </c>
      <c r="AW120" s="24">
        <v>0.16</v>
      </c>
      <c r="AX120" s="24">
        <v>2700</v>
      </c>
      <c r="AY120" s="24">
        <v>16917</v>
      </c>
      <c r="AZ120" s="24" t="s">
        <v>32</v>
      </c>
      <c r="BA120" s="24"/>
      <c r="BB120" s="24"/>
      <c r="BC120" s="24">
        <v>2022</v>
      </c>
      <c r="BD120" s="24">
        <v>22</v>
      </c>
      <c r="BE120" s="24">
        <v>271.950285714286</v>
      </c>
      <c r="BF120" s="24" t="s">
        <v>32</v>
      </c>
      <c r="BG120" s="24"/>
      <c r="BI120" s="24">
        <v>2022</v>
      </c>
      <c r="BJ120" s="24">
        <v>42</v>
      </c>
      <c r="BK120" s="24" t="s">
        <v>33</v>
      </c>
      <c r="BL120" s="24" t="s">
        <v>273</v>
      </c>
      <c r="BM120" s="24">
        <v>97033</v>
      </c>
      <c r="BN120" s="24">
        <v>96544</v>
      </c>
      <c r="BO120" s="24">
        <v>99234</v>
      </c>
      <c r="BR120" s="24">
        <v>2022</v>
      </c>
      <c r="BS120" s="24">
        <v>22</v>
      </c>
      <c r="BT120" s="24">
        <v>293506</v>
      </c>
      <c r="BU120" s="24">
        <v>6</v>
      </c>
      <c r="BV120" s="24" t="s">
        <v>33</v>
      </c>
      <c r="BY120" s="24">
        <v>2022</v>
      </c>
      <c r="BZ120" s="24">
        <v>29</v>
      </c>
      <c r="CA120" s="24" t="s">
        <v>33</v>
      </c>
      <c r="CB120" s="24" t="s">
        <v>423</v>
      </c>
      <c r="CC120" s="24">
        <v>8</v>
      </c>
      <c r="CF120" s="24">
        <v>2022</v>
      </c>
      <c r="CG120" s="24">
        <v>22</v>
      </c>
      <c r="CH120" s="24" t="s">
        <v>32</v>
      </c>
      <c r="CI120" s="24">
        <v>92.84417549167928</v>
      </c>
      <c r="CJ120" s="24">
        <v>6137</v>
      </c>
      <c r="CK120" s="24">
        <v>66.099999999999994</v>
      </c>
      <c r="CL120" s="24">
        <v>47.594594594594597</v>
      </c>
      <c r="CM120" s="24">
        <v>11029</v>
      </c>
      <c r="CN120" s="24">
        <v>19371</v>
      </c>
      <c r="CO120" s="24">
        <v>407</v>
      </c>
      <c r="CP120" s="24">
        <v>10427</v>
      </c>
      <c r="CQ120" s="24">
        <v>32.299999999999997</v>
      </c>
      <c r="CR120" s="24">
        <v>263.7</v>
      </c>
      <c r="CS120" s="24">
        <v>18057</v>
      </c>
      <c r="CT120" s="24">
        <v>18057</v>
      </c>
      <c r="CU120" s="24">
        <v>298.2</v>
      </c>
      <c r="CV120" s="24">
        <v>2590</v>
      </c>
      <c r="CW120" s="24">
        <v>0</v>
      </c>
      <c r="CX120" s="24">
        <v>8789</v>
      </c>
      <c r="CY120" s="24">
        <v>56.6</v>
      </c>
      <c r="CZ120" s="24">
        <v>7796</v>
      </c>
      <c r="DA120" s="24">
        <v>263.7</v>
      </c>
      <c r="DD120" s="24">
        <v>2022</v>
      </c>
      <c r="DE120" s="24">
        <v>22</v>
      </c>
      <c r="DF120" s="24" t="s">
        <v>32</v>
      </c>
      <c r="DG120" s="24">
        <v>675</v>
      </c>
      <c r="DH120" s="24">
        <v>2407</v>
      </c>
      <c r="DJ120" s="24">
        <v>2022</v>
      </c>
      <c r="DK120" s="24">
        <v>21</v>
      </c>
      <c r="DL120" s="24" t="s">
        <v>32</v>
      </c>
      <c r="DM120" s="24">
        <v>27</v>
      </c>
      <c r="DP120" s="24">
        <v>2022</v>
      </c>
      <c r="DQ120" s="24">
        <v>8</v>
      </c>
      <c r="DR120" s="24" t="s">
        <v>33</v>
      </c>
      <c r="DS120" s="24">
        <v>19662</v>
      </c>
      <c r="DT120" s="24"/>
      <c r="DW120" s="24">
        <v>2022</v>
      </c>
      <c r="DX120" s="24">
        <v>35</v>
      </c>
      <c r="DY120" s="24" t="s">
        <v>32</v>
      </c>
      <c r="DZ120" s="24">
        <v>3</v>
      </c>
      <c r="EA120" s="24" t="s">
        <v>149</v>
      </c>
      <c r="EB120" s="24">
        <v>0.3</v>
      </c>
      <c r="EC120" s="24">
        <v>66.900000000000006</v>
      </c>
      <c r="ED120" s="24">
        <v>1640</v>
      </c>
      <c r="EE120" s="24">
        <v>1603</v>
      </c>
      <c r="EF120" s="24">
        <v>0</v>
      </c>
      <c r="EI120" s="24">
        <v>2023</v>
      </c>
      <c r="EJ120" s="24">
        <v>7</v>
      </c>
      <c r="EK120" s="24" t="s">
        <v>237</v>
      </c>
      <c r="EL120" s="24" t="s">
        <v>557</v>
      </c>
      <c r="EM120" s="24" t="s">
        <v>210</v>
      </c>
      <c r="EN120" s="24">
        <v>19</v>
      </c>
      <c r="EO120" s="24"/>
      <c r="EP120" s="24"/>
      <c r="EQ120" s="24"/>
      <c r="ER120" s="24"/>
      <c r="ES120" s="24">
        <v>2022</v>
      </c>
      <c r="ET120" s="24">
        <v>23</v>
      </c>
      <c r="EU120" s="24" t="s">
        <v>32</v>
      </c>
      <c r="EV120" s="24">
        <v>11633</v>
      </c>
      <c r="EY120" s="24">
        <v>2022</v>
      </c>
      <c r="EZ120" s="24">
        <v>24</v>
      </c>
      <c r="FA120" s="24" t="s">
        <v>33</v>
      </c>
      <c r="FB120" s="24">
        <v>1128</v>
      </c>
      <c r="FE120" s="24">
        <v>2022</v>
      </c>
      <c r="FF120" s="24">
        <v>22</v>
      </c>
      <c r="FG120" s="24" t="s">
        <v>32</v>
      </c>
      <c r="FH120" s="24">
        <v>0.86910000000000009</v>
      </c>
      <c r="FI120" s="24">
        <v>532</v>
      </c>
      <c r="FJ120" s="24">
        <v>257</v>
      </c>
      <c r="FK120" s="24">
        <v>293</v>
      </c>
      <c r="FN120" s="24">
        <v>2022</v>
      </c>
      <c r="FO120" s="24">
        <v>23</v>
      </c>
      <c r="FP120" s="24" t="s">
        <v>32</v>
      </c>
      <c r="FQ120" s="24">
        <v>45545</v>
      </c>
      <c r="FR120" s="24">
        <v>1130.7666666666698</v>
      </c>
      <c r="FS120" s="24">
        <v>37133</v>
      </c>
      <c r="FT120" s="24">
        <v>501.33333333333297</v>
      </c>
      <c r="FW120" s="24">
        <v>2022</v>
      </c>
      <c r="FX120" s="24">
        <v>22</v>
      </c>
      <c r="FY120" s="24" t="s">
        <v>32</v>
      </c>
      <c r="FZ120" s="24">
        <v>2672</v>
      </c>
      <c r="GA120" s="24">
        <v>2495</v>
      </c>
      <c r="GB120" s="24"/>
      <c r="GC120" s="24"/>
      <c r="GD120" s="24">
        <v>2022</v>
      </c>
      <c r="GE120" s="24">
        <v>22</v>
      </c>
      <c r="GF120" s="24" t="s">
        <v>32</v>
      </c>
      <c r="GG120" s="24">
        <v>2658</v>
      </c>
      <c r="GH120" s="24">
        <v>2404</v>
      </c>
      <c r="GK120" s="285"/>
      <c r="GL120" s="285"/>
      <c r="GM120" s="285"/>
      <c r="GN120" s="285"/>
      <c r="GO120" s="24"/>
      <c r="GP120" s="24">
        <v>2022</v>
      </c>
      <c r="GQ120" s="24">
        <v>22</v>
      </c>
      <c r="GR120" s="24">
        <v>0.03</v>
      </c>
      <c r="GS120" s="24" t="s">
        <v>32</v>
      </c>
      <c r="GX120">
        <v>2022</v>
      </c>
      <c r="GY120">
        <v>22</v>
      </c>
      <c r="GZ120" t="s">
        <v>32</v>
      </c>
      <c r="HA120">
        <v>16500</v>
      </c>
      <c r="HB120">
        <v>16145</v>
      </c>
      <c r="HC120">
        <v>9</v>
      </c>
      <c r="HD120">
        <v>2</v>
      </c>
      <c r="HE120">
        <v>1</v>
      </c>
      <c r="HF120">
        <v>84</v>
      </c>
      <c r="HG120">
        <v>0</v>
      </c>
      <c r="HH120">
        <v>0</v>
      </c>
      <c r="HI120">
        <v>55</v>
      </c>
      <c r="HL120">
        <v>2022</v>
      </c>
      <c r="HM120">
        <v>22</v>
      </c>
      <c r="HN120" t="s">
        <v>32</v>
      </c>
      <c r="HO120">
        <v>16335</v>
      </c>
      <c r="HP120">
        <v>16131</v>
      </c>
      <c r="HQ120">
        <v>13</v>
      </c>
      <c r="HR120">
        <v>1</v>
      </c>
      <c r="HS120">
        <v>0</v>
      </c>
      <c r="HT120">
        <v>105</v>
      </c>
      <c r="HU120">
        <v>0</v>
      </c>
      <c r="HV120">
        <v>0</v>
      </c>
      <c r="HW120">
        <v>9</v>
      </c>
      <c r="HZ120" s="24">
        <v>2022</v>
      </c>
      <c r="IA120" s="24">
        <v>22</v>
      </c>
      <c r="IB120" s="24" t="s">
        <v>32</v>
      </c>
      <c r="IC120" s="24">
        <v>2704</v>
      </c>
      <c r="ID120" s="24">
        <v>2573</v>
      </c>
      <c r="IG120" s="24">
        <v>2022</v>
      </c>
      <c r="IH120" s="24">
        <v>22</v>
      </c>
      <c r="II120" s="24" t="s">
        <v>32</v>
      </c>
      <c r="IJ120" s="24">
        <v>2600</v>
      </c>
      <c r="IK120" s="24">
        <v>2518</v>
      </c>
    </row>
    <row r="121" spans="9:245" x14ac:dyDescent="0.4">
      <c r="I121" s="305">
        <v>2022</v>
      </c>
      <c r="J121" s="306">
        <v>22</v>
      </c>
      <c r="K121" s="306" t="s">
        <v>32</v>
      </c>
      <c r="L121" s="306">
        <v>16535</v>
      </c>
      <c r="M121" s="306">
        <v>16158</v>
      </c>
      <c r="N121" s="306">
        <v>25</v>
      </c>
      <c r="O121" s="306">
        <v>172</v>
      </c>
      <c r="P121" s="306">
        <v>36</v>
      </c>
      <c r="Q121" s="306">
        <v>14</v>
      </c>
      <c r="R121" s="24"/>
      <c r="S121" s="24"/>
      <c r="T121" s="24"/>
      <c r="W121" s="24">
        <v>2022</v>
      </c>
      <c r="X121" s="24">
        <v>22</v>
      </c>
      <c r="Y121" s="24" t="s">
        <v>33</v>
      </c>
      <c r="Z121" s="24">
        <v>288812</v>
      </c>
      <c r="AA121" s="24">
        <v>215224</v>
      </c>
      <c r="AB121" s="24">
        <v>401</v>
      </c>
      <c r="AC121" s="24">
        <v>414</v>
      </c>
      <c r="AD121" s="291"/>
      <c r="AE121" s="291"/>
      <c r="AF121" s="291"/>
      <c r="AG121" s="291"/>
      <c r="AH121" s="291"/>
      <c r="AI121" s="24"/>
      <c r="AJ121" s="24"/>
      <c r="AK121" s="24">
        <v>2022</v>
      </c>
      <c r="AL121" s="24">
        <v>22</v>
      </c>
      <c r="AM121" s="24">
        <v>19862.850000000002</v>
      </c>
      <c r="AN121" s="24">
        <v>770.53</v>
      </c>
      <c r="AO121" s="24">
        <v>0</v>
      </c>
      <c r="AP121" s="24">
        <v>545</v>
      </c>
      <c r="AQ121" s="24">
        <v>0</v>
      </c>
      <c r="AR121" s="24">
        <v>1</v>
      </c>
      <c r="AS121" s="24" t="s">
        <v>33</v>
      </c>
      <c r="AT121" s="24"/>
      <c r="AU121" s="24">
        <v>2022</v>
      </c>
      <c r="AV121" s="24">
        <v>22</v>
      </c>
      <c r="AW121" s="24">
        <v>0.05</v>
      </c>
      <c r="AX121" s="24">
        <v>14500</v>
      </c>
      <c r="AY121" s="24">
        <v>294817</v>
      </c>
      <c r="AZ121" s="24" t="s">
        <v>33</v>
      </c>
      <c r="BA121" s="24"/>
      <c r="BB121" s="24"/>
      <c r="BC121" s="24">
        <v>2022</v>
      </c>
      <c r="BD121" s="24">
        <v>22</v>
      </c>
      <c r="BE121" s="24">
        <v>2815.6132857142898</v>
      </c>
      <c r="BF121" s="24" t="s">
        <v>33</v>
      </c>
      <c r="BG121" s="24"/>
      <c r="BI121" s="24">
        <v>2022</v>
      </c>
      <c r="BJ121" s="24">
        <v>42</v>
      </c>
      <c r="BK121" s="24" t="s">
        <v>32</v>
      </c>
      <c r="BL121" s="24" t="s">
        <v>273</v>
      </c>
      <c r="BM121" s="24">
        <v>6335</v>
      </c>
      <c r="BN121" s="24">
        <v>6253</v>
      </c>
      <c r="BO121" s="24">
        <v>6494</v>
      </c>
      <c r="BR121" s="24">
        <v>2022</v>
      </c>
      <c r="BS121" s="24">
        <v>22</v>
      </c>
      <c r="BT121" s="24">
        <v>16840</v>
      </c>
      <c r="BU121" s="24">
        <v>1</v>
      </c>
      <c r="BV121" s="24" t="s">
        <v>32</v>
      </c>
      <c r="BY121" s="24">
        <v>2022</v>
      </c>
      <c r="BZ121" s="24">
        <v>28</v>
      </c>
      <c r="CA121" s="24" t="s">
        <v>33</v>
      </c>
      <c r="CB121" s="24" t="s">
        <v>108</v>
      </c>
      <c r="CC121" s="24">
        <v>2</v>
      </c>
      <c r="CF121" s="24">
        <v>2022</v>
      </c>
      <c r="CG121" s="24">
        <v>22</v>
      </c>
      <c r="CH121" s="24" t="s">
        <v>33</v>
      </c>
      <c r="CI121" s="24">
        <v>136.22413617368261</v>
      </c>
      <c r="CJ121" s="24">
        <v>267299</v>
      </c>
      <c r="CK121" s="24">
        <v>1962.2</v>
      </c>
      <c r="CL121" s="24">
        <v>110.05764513491414</v>
      </c>
      <c r="CM121" s="24">
        <v>138152</v>
      </c>
      <c r="CN121" s="24">
        <v>269201</v>
      </c>
      <c r="CO121" s="24">
        <v>2446</v>
      </c>
      <c r="CP121" s="24">
        <v>65383</v>
      </c>
      <c r="CQ121" s="24">
        <v>289.60000000000002</v>
      </c>
      <c r="CR121" s="24">
        <v>1466.3</v>
      </c>
      <c r="CS121" s="24">
        <v>189813</v>
      </c>
      <c r="CT121" s="24">
        <v>189813</v>
      </c>
      <c r="CU121" s="24">
        <v>1574.8</v>
      </c>
      <c r="CV121" s="24">
        <v>50544</v>
      </c>
      <c r="CW121" s="24">
        <v>0</v>
      </c>
      <c r="CX121" s="24">
        <v>157225</v>
      </c>
      <c r="CY121" s="24">
        <v>1055.0999999999999</v>
      </c>
      <c r="CZ121" s="24">
        <v>52991</v>
      </c>
      <c r="DA121" s="24">
        <v>1466.3</v>
      </c>
      <c r="DD121" s="24">
        <v>2022</v>
      </c>
      <c r="DE121" s="24">
        <v>22</v>
      </c>
      <c r="DF121" s="24" t="s">
        <v>33</v>
      </c>
      <c r="DG121" s="24">
        <v>37191</v>
      </c>
      <c r="DH121" s="24">
        <v>32960</v>
      </c>
      <c r="DJ121" s="24">
        <v>2022</v>
      </c>
      <c r="DK121" s="24">
        <v>21</v>
      </c>
      <c r="DL121" s="24" t="s">
        <v>33</v>
      </c>
      <c r="DM121" s="24">
        <v>272</v>
      </c>
      <c r="DP121" s="24">
        <v>2022</v>
      </c>
      <c r="DQ121" s="24">
        <v>7</v>
      </c>
      <c r="DR121" s="24" t="s">
        <v>33</v>
      </c>
      <c r="DS121" s="24">
        <v>15833</v>
      </c>
      <c r="DT121" s="24"/>
      <c r="DW121" s="24">
        <v>2022</v>
      </c>
      <c r="DX121" s="24">
        <v>35</v>
      </c>
      <c r="DY121" s="24" t="s">
        <v>33</v>
      </c>
      <c r="DZ121" s="24">
        <v>14</v>
      </c>
      <c r="EA121" s="24" t="s">
        <v>562</v>
      </c>
      <c r="EB121" s="24">
        <v>376.1</v>
      </c>
      <c r="EC121" s="24">
        <v>0</v>
      </c>
      <c r="ED121" s="24">
        <v>8</v>
      </c>
      <c r="EE121" s="24">
        <v>14790</v>
      </c>
      <c r="EF121" s="24">
        <v>4.5</v>
      </c>
      <c r="EI121" s="24">
        <v>2023</v>
      </c>
      <c r="EJ121" s="24">
        <v>7</v>
      </c>
      <c r="EK121" s="24" t="s">
        <v>237</v>
      </c>
      <c r="EL121" s="24" t="s">
        <v>240</v>
      </c>
      <c r="EM121" s="24" t="s">
        <v>210</v>
      </c>
      <c r="EN121" s="24">
        <v>9</v>
      </c>
      <c r="EO121" s="24"/>
      <c r="EP121" s="24"/>
      <c r="EQ121" s="24"/>
      <c r="ER121" s="24"/>
      <c r="ES121" s="24">
        <v>2022</v>
      </c>
      <c r="ET121" s="24">
        <v>23</v>
      </c>
      <c r="EU121" s="24" t="s">
        <v>33</v>
      </c>
      <c r="EV121" s="24">
        <v>156241</v>
      </c>
      <c r="EY121" s="24">
        <v>2022</v>
      </c>
      <c r="EZ121" s="24">
        <v>23</v>
      </c>
      <c r="FA121" s="24" t="s">
        <v>32</v>
      </c>
      <c r="FB121" s="24">
        <v>985</v>
      </c>
      <c r="FE121" s="24">
        <v>2022</v>
      </c>
      <c r="FF121" s="24">
        <v>22</v>
      </c>
      <c r="FG121" s="24" t="s">
        <v>33</v>
      </c>
      <c r="FH121" s="24">
        <v>0.8649</v>
      </c>
      <c r="FI121" s="24">
        <v>18968</v>
      </c>
      <c r="FJ121" s="24">
        <v>8538</v>
      </c>
      <c r="FK121" s="24">
        <v>9947</v>
      </c>
      <c r="FN121" s="24">
        <v>2022</v>
      </c>
      <c r="FO121" s="24">
        <v>23</v>
      </c>
      <c r="FP121" s="24" t="s">
        <v>33</v>
      </c>
      <c r="FQ121" s="24">
        <v>973609</v>
      </c>
      <c r="FR121" s="24">
        <v>9332.966666666669</v>
      </c>
      <c r="FS121" s="24">
        <v>519447</v>
      </c>
      <c r="FT121" s="24">
        <v>3623.5666666666698</v>
      </c>
      <c r="FW121" s="24">
        <v>2022</v>
      </c>
      <c r="FX121" s="24">
        <v>22</v>
      </c>
      <c r="FY121" s="24" t="s">
        <v>33</v>
      </c>
      <c r="FZ121" s="24">
        <v>19006</v>
      </c>
      <c r="GA121" s="24">
        <v>17935</v>
      </c>
      <c r="GB121" s="24"/>
      <c r="GC121" s="24"/>
      <c r="GD121" s="24">
        <v>2022</v>
      </c>
      <c r="GE121" s="24">
        <v>22</v>
      </c>
      <c r="GF121" s="24" t="s">
        <v>33</v>
      </c>
      <c r="GG121" s="24">
        <v>18936</v>
      </c>
      <c r="GH121" s="24">
        <v>18052</v>
      </c>
      <c r="GK121" s="286"/>
      <c r="GL121" s="286"/>
      <c r="GM121" s="286"/>
      <c r="GN121" s="286"/>
      <c r="GO121" s="24"/>
      <c r="GP121" s="24">
        <v>2022</v>
      </c>
      <c r="GQ121" s="24">
        <v>22</v>
      </c>
      <c r="GR121" s="24">
        <v>15.4105714285714</v>
      </c>
      <c r="GS121" s="24" t="s">
        <v>33</v>
      </c>
      <c r="GX121">
        <v>2022</v>
      </c>
      <c r="GY121">
        <v>22</v>
      </c>
      <c r="GZ121" t="s">
        <v>33</v>
      </c>
      <c r="HA121">
        <v>290369</v>
      </c>
      <c r="HB121">
        <v>286287</v>
      </c>
      <c r="HC121">
        <v>583</v>
      </c>
      <c r="HD121">
        <v>222</v>
      </c>
      <c r="HE121">
        <v>0</v>
      </c>
      <c r="HF121">
        <v>376</v>
      </c>
      <c r="HG121">
        <v>0</v>
      </c>
      <c r="HH121">
        <v>1</v>
      </c>
      <c r="HI121">
        <v>557</v>
      </c>
      <c r="HL121">
        <v>2022</v>
      </c>
      <c r="HM121">
        <v>22</v>
      </c>
      <c r="HN121" t="s">
        <v>33</v>
      </c>
      <c r="HO121">
        <v>288374</v>
      </c>
      <c r="HP121">
        <v>286376</v>
      </c>
      <c r="HQ121">
        <v>650</v>
      </c>
      <c r="HR121">
        <v>83</v>
      </c>
      <c r="HS121">
        <v>0</v>
      </c>
      <c r="HT121">
        <v>292</v>
      </c>
      <c r="HU121">
        <v>0</v>
      </c>
      <c r="HV121">
        <v>0</v>
      </c>
      <c r="HW121">
        <v>107</v>
      </c>
      <c r="HZ121" s="24">
        <v>2022</v>
      </c>
      <c r="IA121" s="24">
        <v>22</v>
      </c>
      <c r="IB121" s="24" t="s">
        <v>33</v>
      </c>
      <c r="IC121" s="24">
        <v>18811</v>
      </c>
      <c r="ID121" s="24">
        <v>18343</v>
      </c>
      <c r="IG121" s="24">
        <v>2022</v>
      </c>
      <c r="IH121" s="24">
        <v>22</v>
      </c>
      <c r="II121" s="24" t="s">
        <v>33</v>
      </c>
      <c r="IJ121" s="24">
        <v>18048</v>
      </c>
      <c r="IK121" s="24">
        <v>17909</v>
      </c>
    </row>
    <row r="122" spans="9:245" x14ac:dyDescent="0.4">
      <c r="I122" s="305">
        <v>2022</v>
      </c>
      <c r="J122" s="306">
        <v>22</v>
      </c>
      <c r="K122" s="306" t="s">
        <v>33</v>
      </c>
      <c r="L122" s="306">
        <v>289453</v>
      </c>
      <c r="M122" s="306">
        <v>215000</v>
      </c>
      <c r="N122" s="306">
        <v>657</v>
      </c>
      <c r="O122" s="306">
        <v>6415</v>
      </c>
      <c r="P122" s="306">
        <v>494</v>
      </c>
      <c r="Q122" s="306">
        <v>402</v>
      </c>
      <c r="R122" s="24"/>
      <c r="S122" s="24"/>
      <c r="T122" s="24"/>
      <c r="W122" s="24">
        <v>2022</v>
      </c>
      <c r="X122" s="24">
        <v>21</v>
      </c>
      <c r="Y122" s="24" t="s">
        <v>32</v>
      </c>
      <c r="Z122" s="24">
        <v>23791</v>
      </c>
      <c r="AA122" s="24">
        <v>20469</v>
      </c>
      <c r="AB122" s="24">
        <v>92</v>
      </c>
      <c r="AC122" s="24">
        <v>52</v>
      </c>
      <c r="AD122" s="292"/>
      <c r="AE122" s="292"/>
      <c r="AF122" s="292"/>
      <c r="AG122" s="292"/>
      <c r="AH122" s="292"/>
      <c r="AI122" s="24"/>
      <c r="AJ122" s="24"/>
      <c r="AK122" s="24">
        <v>2022</v>
      </c>
      <c r="AL122" s="24">
        <v>21</v>
      </c>
      <c r="AM122" s="24">
        <v>590.28</v>
      </c>
      <c r="AN122" s="24">
        <v>64.88</v>
      </c>
      <c r="AO122" s="24">
        <v>0</v>
      </c>
      <c r="AP122" s="24">
        <v>14</v>
      </c>
      <c r="AQ122" s="24">
        <v>0</v>
      </c>
      <c r="AR122" s="24">
        <v>0</v>
      </c>
      <c r="AS122" s="24" t="s">
        <v>32</v>
      </c>
      <c r="AT122" s="24"/>
      <c r="AU122" s="24">
        <v>2022</v>
      </c>
      <c r="AV122" s="24">
        <v>21</v>
      </c>
      <c r="AW122" s="24">
        <v>0.13</v>
      </c>
      <c r="AX122" s="24">
        <v>2700</v>
      </c>
      <c r="AY122" s="24">
        <v>21487</v>
      </c>
      <c r="AZ122" s="24" t="s">
        <v>32</v>
      </c>
      <c r="BA122" s="24"/>
      <c r="BB122" s="24"/>
      <c r="BC122" s="24">
        <v>2022</v>
      </c>
      <c r="BD122" s="24">
        <v>21</v>
      </c>
      <c r="BE122" s="24">
        <v>273.12200000000001</v>
      </c>
      <c r="BF122" s="24" t="s">
        <v>32</v>
      </c>
      <c r="BG122" s="24"/>
      <c r="BI122" s="24">
        <v>2022</v>
      </c>
      <c r="BJ122" s="24">
        <v>41</v>
      </c>
      <c r="BK122" s="24" t="s">
        <v>33</v>
      </c>
      <c r="BL122" s="24" t="s">
        <v>272</v>
      </c>
      <c r="BM122" s="24">
        <v>47880</v>
      </c>
      <c r="BN122" s="24">
        <v>47836</v>
      </c>
      <c r="BO122" s="24">
        <v>169637</v>
      </c>
      <c r="BR122" s="24">
        <v>2022</v>
      </c>
      <c r="BS122" s="24">
        <v>21</v>
      </c>
      <c r="BT122" s="24">
        <v>330451</v>
      </c>
      <c r="BU122" s="24">
        <v>4</v>
      </c>
      <c r="BV122" s="24" t="s">
        <v>33</v>
      </c>
      <c r="BY122" s="24">
        <v>2022</v>
      </c>
      <c r="BZ122" s="24">
        <v>28</v>
      </c>
      <c r="CA122" s="24" t="s">
        <v>33</v>
      </c>
      <c r="CB122" s="24" t="s">
        <v>423</v>
      </c>
      <c r="CC122" s="24">
        <v>1</v>
      </c>
      <c r="CF122" s="24">
        <v>2022</v>
      </c>
      <c r="CG122" s="24">
        <v>21</v>
      </c>
      <c r="CH122" s="24" t="s">
        <v>32</v>
      </c>
      <c r="CI122" s="24">
        <v>66.727272727272734</v>
      </c>
      <c r="CJ122" s="24">
        <v>5138</v>
      </c>
      <c r="CK122" s="24">
        <v>77</v>
      </c>
      <c r="CL122" s="24">
        <v>45.411296436694464</v>
      </c>
      <c r="CM122" s="24">
        <v>13179</v>
      </c>
      <c r="CN122" s="24">
        <v>23959</v>
      </c>
      <c r="CO122" s="24">
        <v>527.6</v>
      </c>
      <c r="CP122" s="24">
        <v>9788</v>
      </c>
      <c r="CQ122" s="24">
        <v>39.1</v>
      </c>
      <c r="CR122" s="24">
        <v>268.60000000000002</v>
      </c>
      <c r="CS122" s="24">
        <v>17013</v>
      </c>
      <c r="CT122" s="24">
        <v>17013</v>
      </c>
      <c r="CU122" s="24">
        <v>364.6</v>
      </c>
      <c r="CV122" s="24">
        <v>3108</v>
      </c>
      <c r="CW122" s="24">
        <v>0</v>
      </c>
      <c r="CX122" s="24">
        <v>10853</v>
      </c>
      <c r="CY122" s="24">
        <v>77.8</v>
      </c>
      <c r="CZ122" s="24">
        <v>7663</v>
      </c>
      <c r="DA122" s="24">
        <v>268.60000000000002</v>
      </c>
      <c r="DD122" s="24">
        <v>2022</v>
      </c>
      <c r="DE122" s="24">
        <v>21</v>
      </c>
      <c r="DF122" s="24" t="s">
        <v>32</v>
      </c>
      <c r="DG122" s="24">
        <v>251</v>
      </c>
      <c r="DH122" s="24">
        <v>2915</v>
      </c>
      <c r="DJ122" s="24">
        <v>2022</v>
      </c>
      <c r="DK122" s="24">
        <v>20</v>
      </c>
      <c r="DL122" s="24" t="s">
        <v>32</v>
      </c>
      <c r="DM122" s="24">
        <v>18</v>
      </c>
      <c r="DP122" s="24">
        <v>2022</v>
      </c>
      <c r="DQ122" s="24">
        <v>6</v>
      </c>
      <c r="DR122" s="24" t="s">
        <v>33</v>
      </c>
      <c r="DS122" s="24">
        <v>16626</v>
      </c>
      <c r="DT122" s="24"/>
      <c r="DW122" s="24">
        <v>2022</v>
      </c>
      <c r="DX122" s="24">
        <v>35</v>
      </c>
      <c r="DY122" s="24" t="s">
        <v>33</v>
      </c>
      <c r="DZ122" s="24">
        <v>89</v>
      </c>
      <c r="EA122" s="24" t="s">
        <v>149</v>
      </c>
      <c r="EB122" s="24">
        <v>52.4</v>
      </c>
      <c r="EC122" s="24">
        <v>2090.1999999999998</v>
      </c>
      <c r="ED122" s="24">
        <v>57157</v>
      </c>
      <c r="EE122" s="24">
        <v>58697</v>
      </c>
      <c r="EF122" s="24">
        <v>93.8</v>
      </c>
      <c r="EI122" s="24">
        <v>2023</v>
      </c>
      <c r="EJ122" s="24">
        <v>7</v>
      </c>
      <c r="EK122" s="24" t="s">
        <v>237</v>
      </c>
      <c r="EL122" s="24" t="s">
        <v>233</v>
      </c>
      <c r="EM122" s="24" t="s">
        <v>210</v>
      </c>
      <c r="EN122" s="24">
        <v>2</v>
      </c>
      <c r="EO122" s="24"/>
      <c r="EP122" s="24"/>
      <c r="EQ122" s="24"/>
      <c r="ER122" s="24"/>
      <c r="ES122" s="24">
        <v>2022</v>
      </c>
      <c r="ET122" s="24">
        <v>23</v>
      </c>
      <c r="EU122" s="24" t="s">
        <v>213</v>
      </c>
      <c r="EV122" s="24">
        <v>1</v>
      </c>
      <c r="EY122" s="24">
        <v>2022</v>
      </c>
      <c r="EZ122" s="24">
        <v>23</v>
      </c>
      <c r="FA122" s="24" t="s">
        <v>33</v>
      </c>
      <c r="FB122" s="24">
        <v>1822</v>
      </c>
      <c r="FE122" s="24">
        <v>2022</v>
      </c>
      <c r="FF122" s="24">
        <v>21</v>
      </c>
      <c r="FG122" s="24" t="s">
        <v>32</v>
      </c>
      <c r="FH122" s="24">
        <v>0.46650000000000003</v>
      </c>
      <c r="FI122" s="24">
        <v>977</v>
      </c>
      <c r="FJ122" s="24">
        <v>469</v>
      </c>
      <c r="FK122" s="24">
        <v>740</v>
      </c>
      <c r="FN122" s="24">
        <v>2022</v>
      </c>
      <c r="FO122" s="24">
        <v>22</v>
      </c>
      <c r="FP122" s="24" t="s">
        <v>32</v>
      </c>
      <c r="FQ122" s="24">
        <v>41728</v>
      </c>
      <c r="FR122" s="24">
        <v>964.41666666666697</v>
      </c>
      <c r="FS122" s="24">
        <v>30193</v>
      </c>
      <c r="FT122" s="24">
        <v>369.38333333333298</v>
      </c>
      <c r="FW122" s="24">
        <v>2022</v>
      </c>
      <c r="FX122" s="24">
        <v>21</v>
      </c>
      <c r="FY122" s="24" t="s">
        <v>32</v>
      </c>
      <c r="FZ122" s="24">
        <v>3245</v>
      </c>
      <c r="GA122" s="24">
        <v>2640</v>
      </c>
      <c r="GB122" s="24"/>
      <c r="GC122" s="24"/>
      <c r="GD122" s="24">
        <v>2022</v>
      </c>
      <c r="GE122" s="24">
        <v>21</v>
      </c>
      <c r="GF122" s="24" t="s">
        <v>32</v>
      </c>
      <c r="GG122" s="24">
        <v>3267</v>
      </c>
      <c r="GH122" s="24">
        <v>2615</v>
      </c>
      <c r="GK122" s="286"/>
      <c r="GL122" s="286"/>
      <c r="GM122" s="286"/>
      <c r="GN122" s="286"/>
      <c r="GO122" s="24"/>
      <c r="GP122" s="24">
        <v>2022</v>
      </c>
      <c r="GQ122" s="24">
        <v>21</v>
      </c>
      <c r="GR122" s="24">
        <v>0.03</v>
      </c>
      <c r="GS122" s="24" t="s">
        <v>32</v>
      </c>
      <c r="GX122">
        <v>2022</v>
      </c>
      <c r="GY122">
        <v>21</v>
      </c>
      <c r="GZ122" t="s">
        <v>32</v>
      </c>
      <c r="HA122">
        <v>20978</v>
      </c>
      <c r="HB122">
        <v>18903</v>
      </c>
      <c r="HC122">
        <v>9</v>
      </c>
      <c r="HD122">
        <v>17</v>
      </c>
      <c r="HE122">
        <v>1</v>
      </c>
      <c r="HF122">
        <v>320</v>
      </c>
      <c r="HG122">
        <v>0</v>
      </c>
      <c r="HH122">
        <v>0</v>
      </c>
      <c r="HI122">
        <v>110</v>
      </c>
      <c r="HL122">
        <v>2022</v>
      </c>
      <c r="HM122">
        <v>21</v>
      </c>
      <c r="HN122" t="s">
        <v>32</v>
      </c>
      <c r="HO122">
        <v>23671</v>
      </c>
      <c r="HP122">
        <v>20498</v>
      </c>
      <c r="HQ122">
        <v>24</v>
      </c>
      <c r="HR122">
        <v>25</v>
      </c>
      <c r="HS122">
        <v>1</v>
      </c>
      <c r="HT122">
        <v>554</v>
      </c>
      <c r="HU122">
        <v>0</v>
      </c>
      <c r="HV122">
        <v>0</v>
      </c>
      <c r="HW122">
        <v>125</v>
      </c>
      <c r="HZ122" s="24">
        <v>2022</v>
      </c>
      <c r="IA122" s="24">
        <v>21</v>
      </c>
      <c r="IB122" s="24" t="s">
        <v>32</v>
      </c>
      <c r="IC122" s="24">
        <v>3120</v>
      </c>
      <c r="ID122" s="24">
        <v>2654</v>
      </c>
      <c r="IG122" s="24">
        <v>2022</v>
      </c>
      <c r="IH122" s="24">
        <v>21</v>
      </c>
      <c r="II122" s="24" t="s">
        <v>32</v>
      </c>
      <c r="IJ122" s="24">
        <v>3184</v>
      </c>
      <c r="IK122" s="24">
        <v>2611</v>
      </c>
    </row>
    <row r="123" spans="9:245" x14ac:dyDescent="0.4">
      <c r="I123" s="305">
        <v>2022</v>
      </c>
      <c r="J123" s="306">
        <v>21</v>
      </c>
      <c r="K123" s="306" t="s">
        <v>32</v>
      </c>
      <c r="L123" s="306">
        <v>24438</v>
      </c>
      <c r="M123" s="306">
        <v>21622</v>
      </c>
      <c r="N123" s="306">
        <v>95</v>
      </c>
      <c r="O123" s="306">
        <v>479</v>
      </c>
      <c r="P123" s="306">
        <v>102</v>
      </c>
      <c r="Q123" s="306">
        <v>62</v>
      </c>
      <c r="R123" s="24"/>
      <c r="S123" s="24"/>
      <c r="T123" s="24"/>
      <c r="W123" s="24">
        <v>2022</v>
      </c>
      <c r="X123" s="24">
        <v>21</v>
      </c>
      <c r="Y123" s="24" t="s">
        <v>33</v>
      </c>
      <c r="Z123" s="24">
        <v>333308</v>
      </c>
      <c r="AA123" s="24">
        <v>250067</v>
      </c>
      <c r="AB123" s="24">
        <v>687</v>
      </c>
      <c r="AC123" s="24">
        <v>664</v>
      </c>
      <c r="AD123" s="292"/>
      <c r="AE123" s="292"/>
      <c r="AF123" s="292"/>
      <c r="AG123" s="292"/>
      <c r="AH123" s="292"/>
      <c r="AI123" s="24"/>
      <c r="AJ123" s="24"/>
      <c r="AK123" s="24">
        <v>2022</v>
      </c>
      <c r="AL123" s="24">
        <v>21</v>
      </c>
      <c r="AM123" s="24">
        <v>21406.53</v>
      </c>
      <c r="AN123" s="24">
        <v>2184.08</v>
      </c>
      <c r="AO123" s="24">
        <v>0</v>
      </c>
      <c r="AP123" s="24">
        <v>534</v>
      </c>
      <c r="AQ123" s="24">
        <v>0</v>
      </c>
      <c r="AR123" s="24">
        <v>3</v>
      </c>
      <c r="AS123" s="24" t="s">
        <v>33</v>
      </c>
      <c r="AT123" s="24"/>
      <c r="AU123" s="24">
        <v>2022</v>
      </c>
      <c r="AV123" s="24">
        <v>21</v>
      </c>
      <c r="AW123" s="24">
        <v>0.05</v>
      </c>
      <c r="AX123" s="24">
        <v>16400</v>
      </c>
      <c r="AY123" s="24">
        <v>331814</v>
      </c>
      <c r="AZ123" s="24" t="s">
        <v>33</v>
      </c>
      <c r="BA123" s="24"/>
      <c r="BB123" s="24"/>
      <c r="BC123" s="24">
        <v>2022</v>
      </c>
      <c r="BD123" s="24">
        <v>21</v>
      </c>
      <c r="BE123" s="24">
        <v>2741.8811428571398</v>
      </c>
      <c r="BF123" s="24" t="s">
        <v>33</v>
      </c>
      <c r="BG123" s="24"/>
      <c r="BI123" s="24">
        <v>2022</v>
      </c>
      <c r="BJ123" s="24">
        <v>41</v>
      </c>
      <c r="BK123" s="24" t="s">
        <v>32</v>
      </c>
      <c r="BL123" s="24" t="s">
        <v>273</v>
      </c>
      <c r="BM123" s="24">
        <v>6343</v>
      </c>
      <c r="BN123" s="24">
        <v>6281</v>
      </c>
      <c r="BO123" s="24">
        <v>6591</v>
      </c>
      <c r="BR123" s="24">
        <v>2022</v>
      </c>
      <c r="BS123" s="24">
        <v>21</v>
      </c>
      <c r="BT123" s="24">
        <v>21336</v>
      </c>
      <c r="BU123" s="24">
        <v>0</v>
      </c>
      <c r="BV123" s="24" t="s">
        <v>32</v>
      </c>
      <c r="BY123" s="24">
        <v>2022</v>
      </c>
      <c r="BZ123" s="24">
        <v>27</v>
      </c>
      <c r="CA123" s="24" t="s">
        <v>33</v>
      </c>
      <c r="CB123" s="24" t="s">
        <v>423</v>
      </c>
      <c r="CC123" s="24">
        <v>3</v>
      </c>
      <c r="CF123" s="24">
        <v>2022</v>
      </c>
      <c r="CG123" s="24">
        <v>21</v>
      </c>
      <c r="CH123" s="24" t="s">
        <v>33</v>
      </c>
      <c r="CI123" s="24">
        <v>134.38775510204081</v>
      </c>
      <c r="CJ123" s="24">
        <v>310812</v>
      </c>
      <c r="CK123" s="24">
        <v>2312.8000000000002</v>
      </c>
      <c r="CL123" s="24">
        <v>108.42840553189991</v>
      </c>
      <c r="CM123" s="24">
        <v>158351</v>
      </c>
      <c r="CN123" s="24">
        <v>308121</v>
      </c>
      <c r="CO123" s="24">
        <v>2841.7</v>
      </c>
      <c r="CP123" s="24">
        <v>64389</v>
      </c>
      <c r="CQ123" s="24">
        <v>306.5</v>
      </c>
      <c r="CR123" s="24">
        <v>1496.5</v>
      </c>
      <c r="CS123" s="24">
        <v>173082</v>
      </c>
      <c r="CT123" s="24">
        <v>173082</v>
      </c>
      <c r="CU123" s="24">
        <v>1383.8</v>
      </c>
      <c r="CV123" s="24">
        <v>51987</v>
      </c>
      <c r="CW123" s="24">
        <v>3</v>
      </c>
      <c r="CX123" s="24">
        <v>156587</v>
      </c>
      <c r="CY123" s="24">
        <v>1053</v>
      </c>
      <c r="CZ123" s="24">
        <v>51111</v>
      </c>
      <c r="DA123" s="24">
        <v>1496.5</v>
      </c>
      <c r="DD123" s="24">
        <v>2022</v>
      </c>
      <c r="DE123" s="24">
        <v>21</v>
      </c>
      <c r="DF123" s="24" t="s">
        <v>33</v>
      </c>
      <c r="DG123" s="24">
        <v>31998</v>
      </c>
      <c r="DH123" s="24">
        <v>28135</v>
      </c>
      <c r="DJ123" s="24">
        <v>2022</v>
      </c>
      <c r="DK123" s="24">
        <v>20</v>
      </c>
      <c r="DL123" s="24" t="s">
        <v>33</v>
      </c>
      <c r="DM123" s="24">
        <v>334</v>
      </c>
      <c r="DP123" s="24">
        <v>2022</v>
      </c>
      <c r="DQ123" s="24">
        <v>5</v>
      </c>
      <c r="DR123" s="24" t="s">
        <v>33</v>
      </c>
      <c r="DS123" s="24">
        <v>17691</v>
      </c>
      <c r="DT123" s="24"/>
      <c r="DW123" s="24">
        <v>2022</v>
      </c>
      <c r="DX123" s="24">
        <v>34</v>
      </c>
      <c r="DY123" s="24" t="s">
        <v>32</v>
      </c>
      <c r="DZ123" s="24">
        <v>3</v>
      </c>
      <c r="EA123" s="24" t="s">
        <v>149</v>
      </c>
      <c r="EB123" s="24">
        <v>0</v>
      </c>
      <c r="EC123" s="24">
        <v>37.1</v>
      </c>
      <c r="ED123" s="24">
        <v>1648</v>
      </c>
      <c r="EE123" s="24">
        <v>1597</v>
      </c>
      <c r="EF123" s="24">
        <v>0</v>
      </c>
      <c r="EI123" s="24">
        <v>2023</v>
      </c>
      <c r="EJ123" s="24">
        <v>7</v>
      </c>
      <c r="EK123" s="24" t="s">
        <v>237</v>
      </c>
      <c r="EL123" s="24" t="s">
        <v>554</v>
      </c>
      <c r="EM123" s="24" t="s">
        <v>210</v>
      </c>
      <c r="EN123" s="24">
        <v>2</v>
      </c>
      <c r="EO123" s="24"/>
      <c r="EP123" s="24"/>
      <c r="EQ123" s="24"/>
      <c r="ER123" s="24"/>
      <c r="ES123" s="24">
        <v>2022</v>
      </c>
      <c r="ET123" s="24">
        <v>22</v>
      </c>
      <c r="EU123" s="24" t="s">
        <v>32</v>
      </c>
      <c r="EV123" s="24">
        <v>9032</v>
      </c>
      <c r="EY123" s="24">
        <v>2022</v>
      </c>
      <c r="EZ123" s="24">
        <v>22</v>
      </c>
      <c r="FA123" s="24" t="s">
        <v>32</v>
      </c>
      <c r="FB123" s="24">
        <v>666</v>
      </c>
      <c r="FE123" s="24">
        <v>2022</v>
      </c>
      <c r="FF123" s="24">
        <v>21</v>
      </c>
      <c r="FG123" s="24" t="s">
        <v>33</v>
      </c>
      <c r="FH123" s="24">
        <v>0.79720000000000002</v>
      </c>
      <c r="FI123" s="24">
        <v>23869</v>
      </c>
      <c r="FJ123" s="24">
        <v>10690</v>
      </c>
      <c r="FK123" s="24">
        <v>13363</v>
      </c>
      <c r="FN123" s="24">
        <v>2022</v>
      </c>
      <c r="FO123" s="24">
        <v>22</v>
      </c>
      <c r="FP123" s="24" t="s">
        <v>33</v>
      </c>
      <c r="FQ123" s="24">
        <v>907778</v>
      </c>
      <c r="FR123" s="24">
        <v>8828.7000000000007</v>
      </c>
      <c r="FS123" s="24">
        <v>474611</v>
      </c>
      <c r="FT123" s="24">
        <v>3087.2666666666696</v>
      </c>
      <c r="FW123" s="24">
        <v>2022</v>
      </c>
      <c r="FX123" s="24">
        <v>21</v>
      </c>
      <c r="FY123" s="24" t="s">
        <v>33</v>
      </c>
      <c r="FZ123" s="24">
        <v>20536</v>
      </c>
      <c r="GA123" s="24">
        <v>19030</v>
      </c>
      <c r="GB123" s="24"/>
      <c r="GC123" s="24"/>
      <c r="GD123" s="24">
        <v>2022</v>
      </c>
      <c r="GE123" s="24">
        <v>21</v>
      </c>
      <c r="GF123" s="24" t="s">
        <v>33</v>
      </c>
      <c r="GG123" s="24">
        <v>20600</v>
      </c>
      <c r="GH123" s="24">
        <v>19323</v>
      </c>
      <c r="GK123" s="24"/>
      <c r="GL123" s="24"/>
      <c r="GM123" s="24"/>
      <c r="GN123" s="24"/>
      <c r="GO123" s="24"/>
      <c r="GP123" s="24">
        <v>2022</v>
      </c>
      <c r="GQ123" s="24">
        <v>21</v>
      </c>
      <c r="GR123" s="24">
        <v>15.407999999999999</v>
      </c>
      <c r="GS123" s="24" t="s">
        <v>33</v>
      </c>
      <c r="GX123">
        <v>2022</v>
      </c>
      <c r="GY123">
        <v>21</v>
      </c>
      <c r="GZ123" t="s">
        <v>33</v>
      </c>
      <c r="HA123">
        <v>329430</v>
      </c>
      <c r="HB123">
        <v>319274</v>
      </c>
      <c r="HC123">
        <v>958</v>
      </c>
      <c r="HD123">
        <v>590</v>
      </c>
      <c r="HE123">
        <v>0</v>
      </c>
      <c r="HF123">
        <v>3819</v>
      </c>
      <c r="HG123">
        <v>0</v>
      </c>
      <c r="HH123">
        <v>0</v>
      </c>
      <c r="HI123">
        <v>1249</v>
      </c>
      <c r="HL123">
        <v>2022</v>
      </c>
      <c r="HM123">
        <v>21</v>
      </c>
      <c r="HN123" t="s">
        <v>33</v>
      </c>
      <c r="HO123">
        <v>333042</v>
      </c>
      <c r="HP123">
        <v>327426</v>
      </c>
      <c r="HQ123">
        <v>955</v>
      </c>
      <c r="HR123">
        <v>260</v>
      </c>
      <c r="HS123">
        <v>0</v>
      </c>
      <c r="HT123">
        <v>3737</v>
      </c>
      <c r="HU123">
        <v>0</v>
      </c>
      <c r="HV123">
        <v>0</v>
      </c>
      <c r="HW123">
        <v>237</v>
      </c>
      <c r="HZ123" s="24">
        <v>2022</v>
      </c>
      <c r="IA123" s="24">
        <v>21</v>
      </c>
      <c r="IB123" s="24" t="s">
        <v>33</v>
      </c>
      <c r="IC123" s="24">
        <v>20711</v>
      </c>
      <c r="ID123" s="24">
        <v>19839</v>
      </c>
      <c r="IG123" s="24">
        <v>2022</v>
      </c>
      <c r="IH123" s="24">
        <v>21</v>
      </c>
      <c r="II123" s="24" t="s">
        <v>33</v>
      </c>
      <c r="IJ123" s="24">
        <v>19459</v>
      </c>
      <c r="IK123" s="24">
        <v>19201</v>
      </c>
    </row>
    <row r="124" spans="9:245" x14ac:dyDescent="0.4">
      <c r="I124" s="305">
        <v>2022</v>
      </c>
      <c r="J124" s="306">
        <v>21</v>
      </c>
      <c r="K124" s="306" t="s">
        <v>33</v>
      </c>
      <c r="L124" s="306">
        <v>333417</v>
      </c>
      <c r="M124" s="306">
        <v>248832</v>
      </c>
      <c r="N124" s="306">
        <v>1324</v>
      </c>
      <c r="O124" s="306">
        <v>6164</v>
      </c>
      <c r="P124" s="306">
        <v>805</v>
      </c>
      <c r="Q124" s="306">
        <v>692</v>
      </c>
      <c r="R124" s="24"/>
      <c r="S124" s="24"/>
      <c r="T124" s="24"/>
      <c r="W124" s="24">
        <v>2022</v>
      </c>
      <c r="X124" s="24">
        <v>20</v>
      </c>
      <c r="Y124" s="24" t="s">
        <v>32</v>
      </c>
      <c r="Z124" s="24">
        <v>21356</v>
      </c>
      <c r="AA124" s="24">
        <v>19030</v>
      </c>
      <c r="AB124" s="24">
        <v>66</v>
      </c>
      <c r="AC124" s="24">
        <v>16</v>
      </c>
      <c r="AD124" s="292"/>
      <c r="AE124" s="292"/>
      <c r="AF124" s="292"/>
      <c r="AG124" s="292"/>
      <c r="AH124" s="292"/>
      <c r="AI124" s="24"/>
      <c r="AJ124" s="24"/>
      <c r="AK124" s="24">
        <v>2022</v>
      </c>
      <c r="AL124" s="24">
        <v>20</v>
      </c>
      <c r="AM124" s="24">
        <v>554.68000000000006</v>
      </c>
      <c r="AN124" s="24">
        <v>54.72</v>
      </c>
      <c r="AO124" s="24">
        <v>0</v>
      </c>
      <c r="AP124" s="24">
        <v>14</v>
      </c>
      <c r="AQ124" s="24">
        <v>0</v>
      </c>
      <c r="AR124" s="24">
        <v>0</v>
      </c>
      <c r="AS124" s="24" t="s">
        <v>32</v>
      </c>
      <c r="AT124" s="24"/>
      <c r="AU124" s="24">
        <v>2022</v>
      </c>
      <c r="AV124" s="24">
        <v>20</v>
      </c>
      <c r="AW124" s="24">
        <v>0.1</v>
      </c>
      <c r="AX124" s="24">
        <v>2400</v>
      </c>
      <c r="AY124" s="24">
        <v>24837</v>
      </c>
      <c r="AZ124" s="24" t="s">
        <v>32</v>
      </c>
      <c r="BA124" s="24"/>
      <c r="BB124" s="24"/>
      <c r="BC124" s="24">
        <v>2022</v>
      </c>
      <c r="BD124" s="24">
        <v>20</v>
      </c>
      <c r="BE124" s="24">
        <v>278.97728571428598</v>
      </c>
      <c r="BF124" s="24" t="s">
        <v>32</v>
      </c>
      <c r="BG124" s="24"/>
      <c r="BI124" s="24">
        <v>2022</v>
      </c>
      <c r="BJ124" s="24">
        <v>41</v>
      </c>
      <c r="BK124" s="24" t="s">
        <v>33</v>
      </c>
      <c r="BL124" s="24" t="s">
        <v>273</v>
      </c>
      <c r="BM124" s="24">
        <v>92609</v>
      </c>
      <c r="BN124" s="24">
        <v>92028</v>
      </c>
      <c r="BO124" s="24">
        <v>94689</v>
      </c>
      <c r="BR124" s="24">
        <v>2022</v>
      </c>
      <c r="BS124" s="24">
        <v>20</v>
      </c>
      <c r="BT124" s="24">
        <v>24749</v>
      </c>
      <c r="BU124" s="24">
        <v>1</v>
      </c>
      <c r="BV124" s="24" t="s">
        <v>32</v>
      </c>
      <c r="BY124" s="24">
        <v>2022</v>
      </c>
      <c r="BZ124" s="24">
        <v>23</v>
      </c>
      <c r="CA124" s="24" t="s">
        <v>33</v>
      </c>
      <c r="CB124" s="24" t="s">
        <v>423</v>
      </c>
      <c r="CC124" s="24">
        <v>19</v>
      </c>
      <c r="CF124" s="24">
        <v>2022</v>
      </c>
      <c r="CG124" s="24">
        <v>20</v>
      </c>
      <c r="CH124" s="24" t="s">
        <v>32</v>
      </c>
      <c r="CI124" s="24">
        <v>106.19289340101523</v>
      </c>
      <c r="CJ124" s="24">
        <v>8368</v>
      </c>
      <c r="CK124" s="24">
        <v>78.8</v>
      </c>
      <c r="CL124" s="24">
        <v>51.089617054875639</v>
      </c>
      <c r="CM124" s="24">
        <v>14001</v>
      </c>
      <c r="CN124" s="24">
        <v>25882</v>
      </c>
      <c r="CO124" s="24">
        <v>506.6</v>
      </c>
      <c r="CP124" s="24">
        <v>7641</v>
      </c>
      <c r="CQ124" s="24">
        <v>20.3</v>
      </c>
      <c r="CR124" s="24">
        <v>223.4</v>
      </c>
      <c r="CS124" s="24">
        <v>17975</v>
      </c>
      <c r="CT124" s="24">
        <v>17975</v>
      </c>
      <c r="CU124" s="24">
        <v>384.5</v>
      </c>
      <c r="CV124" s="24">
        <v>3002</v>
      </c>
      <c r="CW124" s="24">
        <v>0</v>
      </c>
      <c r="CX124" s="24">
        <v>7316</v>
      </c>
      <c r="CY124" s="24">
        <v>72.8</v>
      </c>
      <c r="CZ124" s="24">
        <v>6553</v>
      </c>
      <c r="DA124" s="24">
        <v>223.4</v>
      </c>
      <c r="DD124" s="24">
        <v>2022</v>
      </c>
      <c r="DE124" s="24">
        <v>20</v>
      </c>
      <c r="DF124" s="24" t="s">
        <v>32</v>
      </c>
      <c r="DG124" s="24">
        <v>178</v>
      </c>
      <c r="DH124" s="24">
        <v>1561</v>
      </c>
      <c r="DJ124" s="24">
        <v>2022</v>
      </c>
      <c r="DK124" s="24">
        <v>19</v>
      </c>
      <c r="DL124" s="24" t="s">
        <v>32</v>
      </c>
      <c r="DM124" s="24">
        <v>130</v>
      </c>
      <c r="DP124" s="24">
        <v>2022</v>
      </c>
      <c r="DQ124" s="24">
        <v>4</v>
      </c>
      <c r="DR124" s="24" t="s">
        <v>33</v>
      </c>
      <c r="DS124" s="24">
        <v>17126</v>
      </c>
      <c r="DT124" s="24"/>
      <c r="DW124" s="24">
        <v>2022</v>
      </c>
      <c r="DX124" s="24">
        <v>34</v>
      </c>
      <c r="DY124" s="24" t="s">
        <v>33</v>
      </c>
      <c r="DZ124" s="24">
        <v>14</v>
      </c>
      <c r="EA124" s="24" t="s">
        <v>562</v>
      </c>
      <c r="EB124" s="24">
        <v>391.6</v>
      </c>
      <c r="EC124" s="24">
        <v>0.1</v>
      </c>
      <c r="ED124" s="24">
        <v>4</v>
      </c>
      <c r="EE124" s="24">
        <v>16113</v>
      </c>
      <c r="EF124" s="24">
        <v>4.8</v>
      </c>
      <c r="EI124" s="24">
        <v>2023</v>
      </c>
      <c r="EJ124" s="24">
        <v>7</v>
      </c>
      <c r="EK124" s="24" t="s">
        <v>237</v>
      </c>
      <c r="EL124" s="24" t="s">
        <v>572</v>
      </c>
      <c r="EM124" s="24" t="s">
        <v>210</v>
      </c>
      <c r="EN124" s="24">
        <v>14</v>
      </c>
      <c r="EO124" s="24"/>
      <c r="EP124" s="24"/>
      <c r="EQ124" s="24"/>
      <c r="ER124" s="24"/>
      <c r="ES124" s="24">
        <v>2022</v>
      </c>
      <c r="ET124" s="24">
        <v>22</v>
      </c>
      <c r="EU124" s="24" t="s">
        <v>33</v>
      </c>
      <c r="EV124" s="24">
        <v>148211</v>
      </c>
      <c r="EY124" s="24">
        <v>2022</v>
      </c>
      <c r="EZ124" s="24">
        <v>22</v>
      </c>
      <c r="FA124" s="24" t="s">
        <v>33</v>
      </c>
      <c r="FB124" s="24">
        <v>1120</v>
      </c>
      <c r="FE124" s="24">
        <v>2022</v>
      </c>
      <c r="FF124" s="24">
        <v>20</v>
      </c>
      <c r="FG124" s="24" t="s">
        <v>32</v>
      </c>
      <c r="FH124" s="24">
        <v>0.5171</v>
      </c>
      <c r="FI124" s="24">
        <v>772</v>
      </c>
      <c r="FJ124" s="24">
        <v>362</v>
      </c>
      <c r="FK124" s="24">
        <v>560</v>
      </c>
      <c r="FN124" s="24">
        <v>2022</v>
      </c>
      <c r="FO124" s="24">
        <v>21</v>
      </c>
      <c r="FP124" s="24" t="s">
        <v>32</v>
      </c>
      <c r="FQ124" s="24">
        <v>56354</v>
      </c>
      <c r="FR124" s="24">
        <v>1299.8500000000001</v>
      </c>
      <c r="FS124" s="24">
        <v>37336</v>
      </c>
      <c r="FT124" s="24">
        <v>446.35</v>
      </c>
      <c r="FW124" s="24">
        <v>2022</v>
      </c>
      <c r="FX124" s="24">
        <v>20</v>
      </c>
      <c r="FY124" s="24" t="s">
        <v>32</v>
      </c>
      <c r="FZ124" s="24">
        <v>3014</v>
      </c>
      <c r="GA124" s="24">
        <v>2499</v>
      </c>
      <c r="GB124" s="24"/>
      <c r="GC124" s="24"/>
      <c r="GD124" s="24">
        <v>2022</v>
      </c>
      <c r="GE124" s="24">
        <v>20</v>
      </c>
      <c r="GF124" s="24" t="s">
        <v>32</v>
      </c>
      <c r="GG124" s="24">
        <v>3042</v>
      </c>
      <c r="GH124" s="24">
        <v>2367</v>
      </c>
      <c r="GK124" s="24"/>
      <c r="GL124" s="24"/>
      <c r="GM124" s="24"/>
      <c r="GN124" s="24"/>
      <c r="GO124" s="24"/>
      <c r="GP124" s="24">
        <v>2022</v>
      </c>
      <c r="GQ124" s="24">
        <v>20</v>
      </c>
      <c r="GR124" s="24">
        <v>2.92857142857143E-2</v>
      </c>
      <c r="GS124" s="24" t="s">
        <v>32</v>
      </c>
      <c r="GX124">
        <v>2022</v>
      </c>
      <c r="GY124">
        <v>20</v>
      </c>
      <c r="GZ124" t="s">
        <v>32</v>
      </c>
      <c r="HA124">
        <v>24360</v>
      </c>
      <c r="HB124">
        <v>21951</v>
      </c>
      <c r="HC124">
        <v>27</v>
      </c>
      <c r="HD124">
        <v>20</v>
      </c>
      <c r="HE124">
        <v>0</v>
      </c>
      <c r="HF124">
        <v>968</v>
      </c>
      <c r="HG124">
        <v>0</v>
      </c>
      <c r="HH124">
        <v>0</v>
      </c>
      <c r="HI124">
        <v>202</v>
      </c>
      <c r="HL124">
        <v>2022</v>
      </c>
      <c r="HM124">
        <v>20</v>
      </c>
      <c r="HN124" t="s">
        <v>32</v>
      </c>
      <c r="HO124">
        <v>21276</v>
      </c>
      <c r="HP124">
        <v>19171</v>
      </c>
      <c r="HQ124">
        <v>35</v>
      </c>
      <c r="HR124">
        <v>13</v>
      </c>
      <c r="HS124">
        <v>0</v>
      </c>
      <c r="HT124">
        <v>1054</v>
      </c>
      <c r="HU124">
        <v>0</v>
      </c>
      <c r="HV124">
        <v>0</v>
      </c>
      <c r="HW124">
        <v>100</v>
      </c>
      <c r="HZ124" s="24">
        <v>2022</v>
      </c>
      <c r="IA124" s="24">
        <v>20</v>
      </c>
      <c r="IB124" s="24" t="s">
        <v>32</v>
      </c>
      <c r="IC124" s="24">
        <v>3203</v>
      </c>
      <c r="ID124" s="24">
        <v>2575</v>
      </c>
      <c r="IG124" s="24">
        <v>2022</v>
      </c>
      <c r="IH124" s="24">
        <v>20</v>
      </c>
      <c r="II124" s="24" t="s">
        <v>32</v>
      </c>
      <c r="IJ124" s="24">
        <v>2971</v>
      </c>
      <c r="IK124" s="24">
        <v>2392</v>
      </c>
    </row>
    <row r="125" spans="9:245" x14ac:dyDescent="0.4">
      <c r="I125" s="305">
        <v>2022</v>
      </c>
      <c r="J125" s="306">
        <v>20</v>
      </c>
      <c r="K125" s="306" t="s">
        <v>32</v>
      </c>
      <c r="L125" s="306">
        <v>20807</v>
      </c>
      <c r="M125" s="306">
        <v>19118</v>
      </c>
      <c r="N125" s="306">
        <v>82</v>
      </c>
      <c r="O125" s="306">
        <v>372</v>
      </c>
      <c r="P125" s="306">
        <v>53</v>
      </c>
      <c r="Q125" s="306">
        <v>13</v>
      </c>
      <c r="R125" s="24"/>
      <c r="S125" s="24"/>
      <c r="T125" s="24"/>
      <c r="W125" s="24">
        <v>2022</v>
      </c>
      <c r="X125" s="24">
        <v>20</v>
      </c>
      <c r="Y125" s="24" t="s">
        <v>33</v>
      </c>
      <c r="Z125" s="24">
        <v>348890</v>
      </c>
      <c r="AA125" s="24">
        <v>248230</v>
      </c>
      <c r="AB125" s="24">
        <v>729</v>
      </c>
      <c r="AC125" s="24">
        <v>581</v>
      </c>
      <c r="AD125" s="292"/>
      <c r="AE125" s="292"/>
      <c r="AF125" s="292"/>
      <c r="AG125" s="292"/>
      <c r="AH125" s="292"/>
      <c r="AI125" s="24"/>
      <c r="AJ125" s="24"/>
      <c r="AK125" s="24">
        <v>2022</v>
      </c>
      <c r="AL125" s="24">
        <v>20</v>
      </c>
      <c r="AM125" s="24">
        <v>20452.37</v>
      </c>
      <c r="AN125" s="24">
        <v>1960.47</v>
      </c>
      <c r="AO125" s="24">
        <v>0</v>
      </c>
      <c r="AP125" s="24">
        <v>516</v>
      </c>
      <c r="AQ125" s="24">
        <v>0</v>
      </c>
      <c r="AR125" s="24">
        <v>3</v>
      </c>
      <c r="AS125" s="24" t="s">
        <v>33</v>
      </c>
      <c r="AT125" s="24"/>
      <c r="AU125" s="24">
        <v>2022</v>
      </c>
      <c r="AV125" s="24">
        <v>20</v>
      </c>
      <c r="AW125" s="24">
        <v>0.04</v>
      </c>
      <c r="AX125" s="24">
        <v>13900</v>
      </c>
      <c r="AY125" s="24">
        <v>354931</v>
      </c>
      <c r="AZ125" s="24" t="s">
        <v>33</v>
      </c>
      <c r="BA125" s="24"/>
      <c r="BB125" s="24"/>
      <c r="BC125" s="24">
        <v>2022</v>
      </c>
      <c r="BD125" s="24">
        <v>20</v>
      </c>
      <c r="BE125" s="24">
        <v>2719.6098571428597</v>
      </c>
      <c r="BF125" s="24" t="s">
        <v>33</v>
      </c>
      <c r="BG125" s="24"/>
      <c r="BI125" s="24">
        <v>2022</v>
      </c>
      <c r="BJ125" s="24">
        <v>41</v>
      </c>
      <c r="BK125" s="24" t="s">
        <v>32</v>
      </c>
      <c r="BL125" s="24" t="s">
        <v>272</v>
      </c>
      <c r="BM125" s="24">
        <v>2647</v>
      </c>
      <c r="BN125" s="24">
        <v>2644</v>
      </c>
      <c r="BO125" s="24">
        <v>8829</v>
      </c>
      <c r="BR125" s="24">
        <v>2022</v>
      </c>
      <c r="BS125" s="24">
        <v>20</v>
      </c>
      <c r="BT125" s="24">
        <v>353685</v>
      </c>
      <c r="BU125" s="24">
        <v>6</v>
      </c>
      <c r="BV125" s="24" t="s">
        <v>33</v>
      </c>
      <c r="BY125" s="24">
        <v>2022</v>
      </c>
      <c r="BZ125" s="24">
        <v>22</v>
      </c>
      <c r="CA125" s="24" t="s">
        <v>33</v>
      </c>
      <c r="CB125" s="24" t="s">
        <v>108</v>
      </c>
      <c r="CC125" s="24">
        <v>1</v>
      </c>
      <c r="CF125" s="24">
        <v>2022</v>
      </c>
      <c r="CG125" s="24">
        <v>20</v>
      </c>
      <c r="CH125" s="24" t="s">
        <v>33</v>
      </c>
      <c r="CI125" s="24">
        <v>146.75566007285471</v>
      </c>
      <c r="CJ125" s="24">
        <v>318269</v>
      </c>
      <c r="CK125" s="24">
        <v>2168.6999999999998</v>
      </c>
      <c r="CL125" s="24">
        <v>116.6284285609236</v>
      </c>
      <c r="CM125" s="24">
        <v>164825</v>
      </c>
      <c r="CN125" s="24">
        <v>317206</v>
      </c>
      <c r="CO125" s="24">
        <v>2719.8</v>
      </c>
      <c r="CP125" s="24">
        <v>60068</v>
      </c>
      <c r="CQ125" s="24">
        <v>427.8</v>
      </c>
      <c r="CR125" s="24">
        <v>1295.5</v>
      </c>
      <c r="CS125" s="24">
        <v>206493</v>
      </c>
      <c r="CT125" s="24">
        <v>206493</v>
      </c>
      <c r="CU125" s="24">
        <v>1588.8</v>
      </c>
      <c r="CV125" s="24">
        <v>39135</v>
      </c>
      <c r="CW125" s="24">
        <v>0.5</v>
      </c>
      <c r="CX125" s="24">
        <v>182887</v>
      </c>
      <c r="CY125" s="24">
        <v>1083.4000000000001</v>
      </c>
      <c r="CZ125" s="24">
        <v>41337</v>
      </c>
      <c r="DA125" s="24">
        <v>1295.5</v>
      </c>
      <c r="DD125" s="24">
        <v>2022</v>
      </c>
      <c r="DE125" s="24">
        <v>20</v>
      </c>
      <c r="DF125" s="24" t="s">
        <v>33</v>
      </c>
      <c r="DG125" s="24">
        <v>35251</v>
      </c>
      <c r="DH125" s="24">
        <v>38047</v>
      </c>
      <c r="DJ125" s="24">
        <v>2022</v>
      </c>
      <c r="DK125" s="24">
        <v>19</v>
      </c>
      <c r="DL125" s="24" t="s">
        <v>33</v>
      </c>
      <c r="DM125" s="24">
        <v>836</v>
      </c>
      <c r="DP125" s="24">
        <v>2022</v>
      </c>
      <c r="DQ125" s="24">
        <v>3</v>
      </c>
      <c r="DR125" s="24" t="s">
        <v>33</v>
      </c>
      <c r="DS125" s="24">
        <v>19538</v>
      </c>
      <c r="DT125" s="24"/>
      <c r="DW125" s="24">
        <v>2022</v>
      </c>
      <c r="DX125" s="24">
        <v>34</v>
      </c>
      <c r="DY125" s="24" t="s">
        <v>33</v>
      </c>
      <c r="DZ125" s="24">
        <v>88</v>
      </c>
      <c r="EA125" s="24" t="s">
        <v>149</v>
      </c>
      <c r="EB125" s="24">
        <v>98.7</v>
      </c>
      <c r="EC125" s="24">
        <v>2202.3000000000002</v>
      </c>
      <c r="ED125" s="24">
        <v>55626</v>
      </c>
      <c r="EE125" s="24">
        <v>57765</v>
      </c>
      <c r="EF125" s="24">
        <v>18.3</v>
      </c>
      <c r="EI125" s="24">
        <v>2023</v>
      </c>
      <c r="EJ125" s="24">
        <v>7</v>
      </c>
      <c r="EK125" s="24" t="s">
        <v>237</v>
      </c>
      <c r="EL125" s="24" t="s">
        <v>235</v>
      </c>
      <c r="EM125" s="24" t="s">
        <v>210</v>
      </c>
      <c r="EN125" s="24">
        <v>835</v>
      </c>
      <c r="EO125" s="24"/>
      <c r="EP125" s="24"/>
      <c r="EQ125" s="24"/>
      <c r="ER125" s="24"/>
      <c r="ES125" s="24">
        <v>2022</v>
      </c>
      <c r="ET125" s="24">
        <v>22</v>
      </c>
      <c r="EU125" s="24" t="s">
        <v>213</v>
      </c>
      <c r="EV125" s="24">
        <v>1</v>
      </c>
      <c r="EY125" s="24">
        <v>2022</v>
      </c>
      <c r="EZ125" s="24">
        <v>21</v>
      </c>
      <c r="FA125" s="24" t="s">
        <v>32</v>
      </c>
      <c r="FB125" s="24">
        <v>776</v>
      </c>
      <c r="FE125" s="24">
        <v>2022</v>
      </c>
      <c r="FF125" s="24">
        <v>20</v>
      </c>
      <c r="FG125" s="24" t="s">
        <v>33</v>
      </c>
      <c r="FH125" s="24">
        <v>0.81610000000000005</v>
      </c>
      <c r="FI125" s="24">
        <v>24260</v>
      </c>
      <c r="FJ125" s="24">
        <v>10800</v>
      </c>
      <c r="FK125" s="24">
        <v>13275</v>
      </c>
      <c r="FN125" s="24">
        <v>2022</v>
      </c>
      <c r="FO125" s="24">
        <v>21</v>
      </c>
      <c r="FP125" s="24" t="s">
        <v>33</v>
      </c>
      <c r="FQ125" s="24">
        <v>1031164</v>
      </c>
      <c r="FR125" s="24">
        <v>9912.6333333333296</v>
      </c>
      <c r="FS125" s="24">
        <v>434640</v>
      </c>
      <c r="FT125" s="24">
        <v>2893.1000000000004</v>
      </c>
      <c r="FW125" s="24">
        <v>2022</v>
      </c>
      <c r="FX125" s="24">
        <v>20</v>
      </c>
      <c r="FY125" s="24" t="s">
        <v>33</v>
      </c>
      <c r="FZ125" s="24">
        <v>20396</v>
      </c>
      <c r="GA125" s="24">
        <v>18686</v>
      </c>
      <c r="GB125" s="24"/>
      <c r="GC125" s="24"/>
      <c r="GD125" s="24">
        <v>2022</v>
      </c>
      <c r="GE125" s="24">
        <v>20</v>
      </c>
      <c r="GF125" s="24" t="s">
        <v>33</v>
      </c>
      <c r="GG125" s="24">
        <v>20374</v>
      </c>
      <c r="GH125" s="24">
        <v>18927</v>
      </c>
      <c r="GK125" s="24"/>
      <c r="GL125" s="24"/>
      <c r="GM125" s="24"/>
      <c r="GN125" s="24"/>
      <c r="GO125" s="24"/>
      <c r="GP125" s="24">
        <v>2022</v>
      </c>
      <c r="GQ125" s="24">
        <v>20</v>
      </c>
      <c r="GR125" s="24">
        <v>15.419857142857101</v>
      </c>
      <c r="GS125" s="24" t="s">
        <v>33</v>
      </c>
      <c r="GX125">
        <v>2022</v>
      </c>
      <c r="GY125">
        <v>20</v>
      </c>
      <c r="GZ125" t="s">
        <v>33</v>
      </c>
      <c r="HA125">
        <v>350838</v>
      </c>
      <c r="HB125">
        <v>330131</v>
      </c>
      <c r="HC125">
        <v>1079</v>
      </c>
      <c r="HD125">
        <v>1337</v>
      </c>
      <c r="HE125">
        <v>10</v>
      </c>
      <c r="HF125">
        <v>12649</v>
      </c>
      <c r="HG125">
        <v>0</v>
      </c>
      <c r="HH125">
        <v>1</v>
      </c>
      <c r="HI125">
        <v>1410</v>
      </c>
      <c r="HL125">
        <v>2022</v>
      </c>
      <c r="HM125">
        <v>20</v>
      </c>
      <c r="HN125" t="s">
        <v>33</v>
      </c>
      <c r="HO125">
        <v>348662</v>
      </c>
      <c r="HP125">
        <v>334856</v>
      </c>
      <c r="HQ125">
        <v>991</v>
      </c>
      <c r="HR125">
        <v>802</v>
      </c>
      <c r="HS125">
        <v>8</v>
      </c>
      <c r="HT125">
        <v>11928</v>
      </c>
      <c r="HU125">
        <v>0</v>
      </c>
      <c r="HV125">
        <v>1</v>
      </c>
      <c r="HW125">
        <v>466</v>
      </c>
      <c r="HZ125" s="24">
        <v>2022</v>
      </c>
      <c r="IA125" s="24">
        <v>20</v>
      </c>
      <c r="IB125" s="24" t="s">
        <v>33</v>
      </c>
      <c r="IC125" s="24">
        <v>20345</v>
      </c>
      <c r="ID125" s="24">
        <v>18951</v>
      </c>
      <c r="IG125" s="24">
        <v>2022</v>
      </c>
      <c r="IH125" s="24">
        <v>20</v>
      </c>
      <c r="II125" s="24" t="s">
        <v>33</v>
      </c>
      <c r="IJ125" s="24">
        <v>19254</v>
      </c>
      <c r="IK125" s="24">
        <v>18818</v>
      </c>
    </row>
    <row r="126" spans="9:245" x14ac:dyDescent="0.4">
      <c r="I126" s="305">
        <v>2022</v>
      </c>
      <c r="J126" s="306">
        <v>20</v>
      </c>
      <c r="K126" s="306" t="s">
        <v>33</v>
      </c>
      <c r="L126" s="306">
        <v>349530</v>
      </c>
      <c r="M126" s="306">
        <v>247650</v>
      </c>
      <c r="N126" s="306">
        <v>1303</v>
      </c>
      <c r="O126" s="306">
        <v>7295</v>
      </c>
      <c r="P126" s="306">
        <v>904</v>
      </c>
      <c r="Q126" s="306">
        <v>619</v>
      </c>
      <c r="R126" s="24"/>
      <c r="S126" s="24"/>
      <c r="T126" s="24"/>
      <c r="W126" s="24">
        <v>2022</v>
      </c>
      <c r="X126" s="24">
        <v>19</v>
      </c>
      <c r="Y126" s="24" t="s">
        <v>32</v>
      </c>
      <c r="Z126" s="24">
        <v>18195</v>
      </c>
      <c r="AA126" s="24">
        <v>17712</v>
      </c>
      <c r="AB126" s="24">
        <v>48</v>
      </c>
      <c r="AC126" s="24">
        <v>8</v>
      </c>
      <c r="AD126" s="292"/>
      <c r="AE126" s="292"/>
      <c r="AF126" s="292"/>
      <c r="AG126" s="292"/>
      <c r="AH126" s="292"/>
      <c r="AI126" s="24"/>
      <c r="AJ126" s="24"/>
      <c r="AK126" s="24">
        <v>2022</v>
      </c>
      <c r="AL126" s="24">
        <v>19</v>
      </c>
      <c r="AM126" s="24">
        <v>542.38</v>
      </c>
      <c r="AN126" s="24">
        <v>59.42</v>
      </c>
      <c r="AO126" s="24">
        <v>0</v>
      </c>
      <c r="AP126" s="24">
        <v>13</v>
      </c>
      <c r="AQ126" s="24">
        <v>0</v>
      </c>
      <c r="AR126" s="24">
        <v>0</v>
      </c>
      <c r="AS126" s="24" t="s">
        <v>32</v>
      </c>
      <c r="AT126" s="24"/>
      <c r="AU126" s="24">
        <v>2022</v>
      </c>
      <c r="AV126" s="24">
        <v>19</v>
      </c>
      <c r="AW126" s="24">
        <v>0.1</v>
      </c>
      <c r="AX126" s="24">
        <v>1800</v>
      </c>
      <c r="AY126" s="24">
        <v>18490</v>
      </c>
      <c r="AZ126" s="24" t="s">
        <v>32</v>
      </c>
      <c r="BA126" s="24"/>
      <c r="BB126" s="24"/>
      <c r="BC126" s="24">
        <v>2022</v>
      </c>
      <c r="BD126" s="24">
        <v>19</v>
      </c>
      <c r="BE126" s="24">
        <v>281.29928571428599</v>
      </c>
      <c r="BF126" s="24" t="s">
        <v>32</v>
      </c>
      <c r="BG126" s="24"/>
      <c r="BI126" s="24">
        <v>2022</v>
      </c>
      <c r="BJ126" s="24">
        <v>40</v>
      </c>
      <c r="BK126" s="24" t="s">
        <v>33</v>
      </c>
      <c r="BL126" s="24" t="s">
        <v>272</v>
      </c>
      <c r="BM126" s="24">
        <v>50284</v>
      </c>
      <c r="BN126" s="24">
        <v>50222</v>
      </c>
      <c r="BO126" s="24">
        <v>179726</v>
      </c>
      <c r="BR126" s="24">
        <v>2022</v>
      </c>
      <c r="BS126" s="24">
        <v>19</v>
      </c>
      <c r="BT126" s="24">
        <v>334589</v>
      </c>
      <c r="BU126" s="24">
        <v>20</v>
      </c>
      <c r="BV126" s="24" t="s">
        <v>33</v>
      </c>
      <c r="BY126" s="24">
        <v>2022</v>
      </c>
      <c r="BZ126" s="24">
        <v>22</v>
      </c>
      <c r="CA126" s="24" t="s">
        <v>33</v>
      </c>
      <c r="CB126" s="24" t="s">
        <v>423</v>
      </c>
      <c r="CC126" s="24">
        <v>8</v>
      </c>
      <c r="CF126" s="24">
        <v>2022</v>
      </c>
      <c r="CG126" s="24">
        <v>19</v>
      </c>
      <c r="CH126" s="24" t="s">
        <v>32</v>
      </c>
      <c r="CI126" s="24">
        <v>117.05701078582435</v>
      </c>
      <c r="CJ126" s="24">
        <v>7597</v>
      </c>
      <c r="CK126" s="24">
        <v>64.900000000000006</v>
      </c>
      <c r="CL126" s="24">
        <v>55.266406089282043</v>
      </c>
      <c r="CM126" s="24">
        <v>13999</v>
      </c>
      <c r="CN126" s="24">
        <v>26865</v>
      </c>
      <c r="CO126" s="24">
        <v>486.1</v>
      </c>
      <c r="CP126" s="24">
        <v>5563</v>
      </c>
      <c r="CQ126" s="24">
        <v>0</v>
      </c>
      <c r="CR126" s="24">
        <v>205.5</v>
      </c>
      <c r="CS126" s="24">
        <v>28022</v>
      </c>
      <c r="CT126" s="24">
        <v>28022</v>
      </c>
      <c r="CU126" s="24">
        <v>442.9</v>
      </c>
      <c r="CV126" s="24">
        <v>3070</v>
      </c>
      <c r="CW126" s="24">
        <v>0</v>
      </c>
      <c r="CX126" s="24">
        <v>10337</v>
      </c>
      <c r="CY126" s="24">
        <v>81</v>
      </c>
      <c r="CZ126" s="24">
        <v>5484</v>
      </c>
      <c r="DA126" s="24">
        <v>205.5</v>
      </c>
      <c r="DD126" s="24">
        <v>2022</v>
      </c>
      <c r="DE126" s="24">
        <v>19</v>
      </c>
      <c r="DF126" s="24" t="s">
        <v>32</v>
      </c>
      <c r="DG126" s="24">
        <v>537</v>
      </c>
      <c r="DH126" s="24">
        <v>1950</v>
      </c>
      <c r="DJ126" s="24">
        <v>2022</v>
      </c>
      <c r="DK126" s="24">
        <v>18</v>
      </c>
      <c r="DL126" s="24" t="s">
        <v>32</v>
      </c>
      <c r="DM126" s="24">
        <v>33</v>
      </c>
      <c r="DP126" s="24">
        <v>2022</v>
      </c>
      <c r="DQ126" s="24">
        <v>2</v>
      </c>
      <c r="DR126" s="24" t="s">
        <v>33</v>
      </c>
      <c r="DS126" s="24">
        <v>15080</v>
      </c>
      <c r="DT126" s="24"/>
      <c r="DW126" s="24">
        <v>2022</v>
      </c>
      <c r="DX126" s="24">
        <v>33</v>
      </c>
      <c r="DY126" s="24" t="s">
        <v>32</v>
      </c>
      <c r="DZ126" s="24">
        <v>2</v>
      </c>
      <c r="EA126" s="24" t="s">
        <v>149</v>
      </c>
      <c r="EB126" s="24">
        <v>0.4</v>
      </c>
      <c r="EC126" s="24">
        <v>37.4</v>
      </c>
      <c r="ED126" s="24">
        <v>1484</v>
      </c>
      <c r="EE126" s="24">
        <v>1457</v>
      </c>
      <c r="EF126" s="24">
        <v>0</v>
      </c>
      <c r="EI126" s="24">
        <v>2023</v>
      </c>
      <c r="EJ126" s="24">
        <v>7</v>
      </c>
      <c r="EK126" s="24" t="s">
        <v>237</v>
      </c>
      <c r="EL126" s="24" t="s">
        <v>235</v>
      </c>
      <c r="EM126" s="24" t="s">
        <v>234</v>
      </c>
      <c r="EN126" s="24">
        <v>1</v>
      </c>
      <c r="EO126" s="24"/>
      <c r="EP126" s="24"/>
      <c r="EQ126" s="24"/>
      <c r="ER126" s="24"/>
      <c r="ES126" s="24">
        <v>2022</v>
      </c>
      <c r="ET126" s="24">
        <v>21</v>
      </c>
      <c r="EU126" s="24" t="s">
        <v>32</v>
      </c>
      <c r="EV126" s="24">
        <v>9266</v>
      </c>
      <c r="EY126" s="24">
        <v>2022</v>
      </c>
      <c r="EZ126" s="24">
        <v>21</v>
      </c>
      <c r="FA126" s="24" t="s">
        <v>33</v>
      </c>
      <c r="FB126" s="24">
        <v>918</v>
      </c>
      <c r="FE126" s="24">
        <v>2022</v>
      </c>
      <c r="FF126" s="24">
        <v>19</v>
      </c>
      <c r="FG126" s="24" t="s">
        <v>32</v>
      </c>
      <c r="FH126" s="24">
        <v>0.8952</v>
      </c>
      <c r="FI126" s="24">
        <v>596</v>
      </c>
      <c r="FJ126" s="24">
        <v>281</v>
      </c>
      <c r="FK126" s="24">
        <v>314</v>
      </c>
      <c r="FN126" s="24">
        <v>2022</v>
      </c>
      <c r="FO126" s="24">
        <v>20</v>
      </c>
      <c r="FP126" s="24" t="s">
        <v>32</v>
      </c>
      <c r="FQ126" s="24">
        <v>48344</v>
      </c>
      <c r="FR126" s="24">
        <v>1103.9000000000001</v>
      </c>
      <c r="FS126" s="24">
        <v>27858</v>
      </c>
      <c r="FT126" s="24">
        <v>433.03333333333302</v>
      </c>
      <c r="FW126" s="24">
        <v>2022</v>
      </c>
      <c r="FX126" s="24">
        <v>19</v>
      </c>
      <c r="FY126" s="24" t="s">
        <v>32</v>
      </c>
      <c r="FZ126" s="24">
        <v>3029</v>
      </c>
      <c r="GA126" s="24">
        <v>2849</v>
      </c>
      <c r="GB126" s="24"/>
      <c r="GC126" s="24"/>
      <c r="GD126" s="24">
        <v>2022</v>
      </c>
      <c r="GE126" s="24">
        <v>19</v>
      </c>
      <c r="GF126" s="24" t="s">
        <v>32</v>
      </c>
      <c r="GG126" s="24">
        <v>3046</v>
      </c>
      <c r="GH126" s="24">
        <v>2808</v>
      </c>
      <c r="GK126" s="24"/>
      <c r="GL126" s="24"/>
      <c r="GM126" s="24"/>
      <c r="GN126" s="24"/>
      <c r="GO126" s="24"/>
      <c r="GP126" s="24">
        <v>2022</v>
      </c>
      <c r="GQ126" s="24">
        <v>19</v>
      </c>
      <c r="GR126" s="24">
        <v>2.9000000000000001E-2</v>
      </c>
      <c r="GS126" s="24" t="s">
        <v>32</v>
      </c>
      <c r="GX126">
        <v>2022</v>
      </c>
      <c r="GY126">
        <v>19</v>
      </c>
      <c r="GZ126" t="s">
        <v>32</v>
      </c>
      <c r="HA126">
        <v>18024</v>
      </c>
      <c r="HB126">
        <v>17638</v>
      </c>
      <c r="HC126">
        <v>6</v>
      </c>
      <c r="HD126">
        <v>2</v>
      </c>
      <c r="HE126">
        <v>0</v>
      </c>
      <c r="HF126">
        <v>66</v>
      </c>
      <c r="HG126">
        <v>0</v>
      </c>
      <c r="HH126">
        <v>0</v>
      </c>
      <c r="HI126">
        <v>81</v>
      </c>
      <c r="HL126">
        <v>2022</v>
      </c>
      <c r="HM126">
        <v>19</v>
      </c>
      <c r="HN126" t="s">
        <v>32</v>
      </c>
      <c r="HO126">
        <v>18129</v>
      </c>
      <c r="HP126">
        <v>17900</v>
      </c>
      <c r="HQ126">
        <v>10</v>
      </c>
      <c r="HR126">
        <v>2</v>
      </c>
      <c r="HS126">
        <v>0</v>
      </c>
      <c r="HT126">
        <v>71</v>
      </c>
      <c r="HU126">
        <v>0</v>
      </c>
      <c r="HV126">
        <v>0</v>
      </c>
      <c r="HW126">
        <v>6</v>
      </c>
      <c r="HZ126" s="24">
        <v>2022</v>
      </c>
      <c r="IA126" s="24">
        <v>19</v>
      </c>
      <c r="IB126" s="24" t="s">
        <v>32</v>
      </c>
      <c r="IC126" s="24">
        <v>2942</v>
      </c>
      <c r="ID126" s="24">
        <v>2816</v>
      </c>
      <c r="IG126" s="24">
        <v>2022</v>
      </c>
      <c r="IH126" s="24">
        <v>19</v>
      </c>
      <c r="II126" s="24" t="s">
        <v>32</v>
      </c>
      <c r="IJ126" s="24">
        <v>3018</v>
      </c>
      <c r="IK126" s="24">
        <v>2959</v>
      </c>
    </row>
    <row r="127" spans="9:245" x14ac:dyDescent="0.4">
      <c r="I127" s="305">
        <v>2022</v>
      </c>
      <c r="J127" s="306">
        <v>19</v>
      </c>
      <c r="K127" s="306" t="s">
        <v>32</v>
      </c>
      <c r="L127" s="306">
        <v>18264</v>
      </c>
      <c r="M127" s="306">
        <v>17804</v>
      </c>
      <c r="N127" s="306">
        <v>55</v>
      </c>
      <c r="O127" s="306">
        <v>124</v>
      </c>
      <c r="P127" s="306">
        <v>56</v>
      </c>
      <c r="Q127" s="306">
        <v>11</v>
      </c>
      <c r="R127" s="24"/>
      <c r="S127" s="24"/>
      <c r="T127" s="24"/>
      <c r="W127" s="24">
        <v>2022</v>
      </c>
      <c r="X127" s="24">
        <v>19</v>
      </c>
      <c r="Y127" s="24" t="s">
        <v>33</v>
      </c>
      <c r="Z127" s="24">
        <v>331432</v>
      </c>
      <c r="AA127" s="24">
        <v>248091</v>
      </c>
      <c r="AB127" s="24">
        <v>498</v>
      </c>
      <c r="AC127" s="24">
        <v>445</v>
      </c>
      <c r="AD127" s="292"/>
      <c r="AE127" s="292"/>
      <c r="AF127" s="292"/>
      <c r="AG127" s="292"/>
      <c r="AH127" s="292"/>
      <c r="AI127" s="24"/>
      <c r="AJ127" s="24"/>
      <c r="AK127" s="24">
        <v>2022</v>
      </c>
      <c r="AL127" s="24">
        <v>19</v>
      </c>
      <c r="AM127" s="24">
        <v>19822.350000000002</v>
      </c>
      <c r="AN127" s="24">
        <v>1766</v>
      </c>
      <c r="AO127" s="24">
        <v>0</v>
      </c>
      <c r="AP127" s="24">
        <v>491</v>
      </c>
      <c r="AQ127" s="24">
        <v>0</v>
      </c>
      <c r="AR127" s="24">
        <v>2</v>
      </c>
      <c r="AS127" s="24" t="s">
        <v>33</v>
      </c>
      <c r="AT127" s="24"/>
      <c r="AU127" s="24">
        <v>2022</v>
      </c>
      <c r="AV127" s="24">
        <v>19</v>
      </c>
      <c r="AW127" s="24">
        <v>0.05</v>
      </c>
      <c r="AX127" s="24">
        <v>16800</v>
      </c>
      <c r="AY127" s="24">
        <v>335833</v>
      </c>
      <c r="AZ127" s="24" t="s">
        <v>33</v>
      </c>
      <c r="BA127" s="24"/>
      <c r="BB127" s="24"/>
      <c r="BC127" s="24">
        <v>2022</v>
      </c>
      <c r="BD127" s="24">
        <v>19</v>
      </c>
      <c r="BE127" s="24">
        <v>2712.1888571428599</v>
      </c>
      <c r="BF127" s="24" t="s">
        <v>33</v>
      </c>
      <c r="BG127" s="24"/>
      <c r="BI127" s="24">
        <v>2022</v>
      </c>
      <c r="BJ127" s="24">
        <v>40</v>
      </c>
      <c r="BK127" s="24" t="s">
        <v>33</v>
      </c>
      <c r="BL127" s="24" t="s">
        <v>273</v>
      </c>
      <c r="BM127" s="24">
        <v>97892</v>
      </c>
      <c r="BN127" s="24">
        <v>97090</v>
      </c>
      <c r="BO127" s="24">
        <v>100183</v>
      </c>
      <c r="BR127" s="24">
        <v>2022</v>
      </c>
      <c r="BS127" s="24">
        <v>19</v>
      </c>
      <c r="BT127" s="24">
        <v>18440</v>
      </c>
      <c r="BU127" s="24">
        <v>0</v>
      </c>
      <c r="BV127" s="24" t="s">
        <v>32</v>
      </c>
      <c r="BY127" s="24">
        <v>2022</v>
      </c>
      <c r="BZ127" s="24">
        <v>21</v>
      </c>
      <c r="CA127" s="24" t="s">
        <v>33</v>
      </c>
      <c r="CB127" s="24" t="s">
        <v>108</v>
      </c>
      <c r="CC127" s="24">
        <v>4</v>
      </c>
      <c r="CF127" s="24">
        <v>2022</v>
      </c>
      <c r="CG127" s="24">
        <v>19</v>
      </c>
      <c r="CH127" s="24" t="s">
        <v>33</v>
      </c>
      <c r="CI127" s="24">
        <v>141.14511873350924</v>
      </c>
      <c r="CJ127" s="24">
        <v>294217</v>
      </c>
      <c r="CK127" s="24">
        <v>2084.5</v>
      </c>
      <c r="CL127" s="24">
        <v>115.78609371283596</v>
      </c>
      <c r="CM127" s="24">
        <v>153424</v>
      </c>
      <c r="CN127" s="24">
        <v>292082</v>
      </c>
      <c r="CO127" s="24">
        <v>2522.6</v>
      </c>
      <c r="CP127" s="24">
        <v>52605</v>
      </c>
      <c r="CQ127" s="24">
        <v>384.6</v>
      </c>
      <c r="CR127" s="24">
        <v>1150.7</v>
      </c>
      <c r="CS127" s="24">
        <v>216519</v>
      </c>
      <c r="CT127" s="24">
        <v>216519</v>
      </c>
      <c r="CU127" s="24">
        <v>1825.3</v>
      </c>
      <c r="CV127" s="24">
        <v>33317</v>
      </c>
      <c r="CW127" s="24">
        <v>1.4</v>
      </c>
      <c r="CX127" s="24">
        <v>198659</v>
      </c>
      <c r="CY127" s="24">
        <v>1067.5</v>
      </c>
      <c r="CZ127" s="24">
        <v>37643</v>
      </c>
      <c r="DA127" s="24">
        <v>1150.7</v>
      </c>
      <c r="DD127" s="24">
        <v>2022</v>
      </c>
      <c r="DE127" s="24">
        <v>19</v>
      </c>
      <c r="DF127" s="24" t="s">
        <v>33</v>
      </c>
      <c r="DG127" s="24">
        <v>57664</v>
      </c>
      <c r="DH127" s="24">
        <v>41219</v>
      </c>
      <c r="DJ127" s="24">
        <v>2022</v>
      </c>
      <c r="DK127" s="24">
        <v>18</v>
      </c>
      <c r="DL127" s="24" t="s">
        <v>33</v>
      </c>
      <c r="DM127" s="24">
        <v>279</v>
      </c>
      <c r="DP127" s="24">
        <v>2022</v>
      </c>
      <c r="DQ127" s="24">
        <v>1</v>
      </c>
      <c r="DR127" s="24" t="s">
        <v>33</v>
      </c>
      <c r="DS127" s="24">
        <v>17760</v>
      </c>
      <c r="DT127" s="24"/>
      <c r="DW127" s="24">
        <v>2022</v>
      </c>
      <c r="DX127" s="24">
        <v>33</v>
      </c>
      <c r="DY127" s="24" t="s">
        <v>33</v>
      </c>
      <c r="DZ127" s="24">
        <v>14</v>
      </c>
      <c r="EA127" s="24" t="s">
        <v>562</v>
      </c>
      <c r="EB127" s="24">
        <v>329.9</v>
      </c>
      <c r="EC127" s="24">
        <v>0.3</v>
      </c>
      <c r="ED127" s="24">
        <v>8</v>
      </c>
      <c r="EE127" s="24">
        <v>14607</v>
      </c>
      <c r="EF127" s="24">
        <v>4.4000000000000004</v>
      </c>
      <c r="EI127" s="24">
        <v>2023</v>
      </c>
      <c r="EJ127" s="24">
        <v>7</v>
      </c>
      <c r="EK127" s="24" t="s">
        <v>237</v>
      </c>
      <c r="EL127" s="24" t="s">
        <v>247</v>
      </c>
      <c r="EM127" s="24" t="s">
        <v>210</v>
      </c>
      <c r="EN127" s="24">
        <v>12</v>
      </c>
      <c r="EO127" s="24"/>
      <c r="EP127" s="24"/>
      <c r="EQ127" s="24"/>
      <c r="ER127" s="24"/>
      <c r="ES127" s="24">
        <v>2022</v>
      </c>
      <c r="ET127" s="24">
        <v>21</v>
      </c>
      <c r="EU127" s="24" t="s">
        <v>33</v>
      </c>
      <c r="EV127" s="24">
        <v>174859</v>
      </c>
      <c r="EY127" s="24">
        <v>2022</v>
      </c>
      <c r="EZ127" s="24">
        <v>21</v>
      </c>
      <c r="FA127" s="24" t="s">
        <v>213</v>
      </c>
      <c r="FB127" s="24">
        <v>2</v>
      </c>
      <c r="FE127" s="24">
        <v>2022</v>
      </c>
      <c r="FF127" s="24">
        <v>19</v>
      </c>
      <c r="FG127" s="24" t="s">
        <v>33</v>
      </c>
      <c r="FH127" s="24">
        <v>0.90280000000000005</v>
      </c>
      <c r="FI127" s="24">
        <v>22359</v>
      </c>
      <c r="FJ127" s="24">
        <v>10039</v>
      </c>
      <c r="FK127" s="24">
        <v>11236</v>
      </c>
      <c r="FN127" s="24">
        <v>2022</v>
      </c>
      <c r="FO127" s="24">
        <v>20</v>
      </c>
      <c r="FP127" s="24" t="s">
        <v>33</v>
      </c>
      <c r="FQ127" s="24">
        <v>1063578</v>
      </c>
      <c r="FR127" s="24">
        <v>9604.733333333339</v>
      </c>
      <c r="FS127" s="24">
        <v>514871</v>
      </c>
      <c r="FT127" s="24">
        <v>3284.75</v>
      </c>
      <c r="FW127" s="24">
        <v>2022</v>
      </c>
      <c r="FX127" s="24">
        <v>19</v>
      </c>
      <c r="FY127" s="24" t="s">
        <v>33</v>
      </c>
      <c r="FZ127" s="24">
        <v>19623</v>
      </c>
      <c r="GA127" s="24">
        <v>18146</v>
      </c>
      <c r="GB127" s="24"/>
      <c r="GC127" s="24"/>
      <c r="GD127" s="24">
        <v>2022</v>
      </c>
      <c r="GE127" s="24">
        <v>19</v>
      </c>
      <c r="GF127" s="24" t="s">
        <v>33</v>
      </c>
      <c r="GG127" s="24">
        <v>19517</v>
      </c>
      <c r="GH127" s="24">
        <v>18240</v>
      </c>
      <c r="GK127" s="24"/>
      <c r="GL127" s="24"/>
      <c r="GM127" s="24"/>
      <c r="GN127" s="24"/>
      <c r="GO127" s="24"/>
      <c r="GP127" s="24">
        <v>2022</v>
      </c>
      <c r="GQ127" s="24">
        <v>19</v>
      </c>
      <c r="GR127" s="24">
        <v>15.2991428571429</v>
      </c>
      <c r="GS127" s="24" t="s">
        <v>33</v>
      </c>
      <c r="GX127">
        <v>2022</v>
      </c>
      <c r="GY127">
        <v>19</v>
      </c>
      <c r="GZ127" t="s">
        <v>33</v>
      </c>
      <c r="HA127">
        <v>335276</v>
      </c>
      <c r="HB127">
        <v>326698</v>
      </c>
      <c r="HC127">
        <v>789</v>
      </c>
      <c r="HD127">
        <v>499</v>
      </c>
      <c r="HE127">
        <v>2</v>
      </c>
      <c r="HF127">
        <v>2005</v>
      </c>
      <c r="HG127">
        <v>0</v>
      </c>
      <c r="HH127">
        <v>18</v>
      </c>
      <c r="HI127">
        <v>1103</v>
      </c>
      <c r="HL127">
        <v>2022</v>
      </c>
      <c r="HM127">
        <v>19</v>
      </c>
      <c r="HN127" t="s">
        <v>33</v>
      </c>
      <c r="HO127">
        <v>331171</v>
      </c>
      <c r="HP127">
        <v>327266</v>
      </c>
      <c r="HQ127">
        <v>785</v>
      </c>
      <c r="HR127">
        <v>174</v>
      </c>
      <c r="HS127">
        <v>1</v>
      </c>
      <c r="HT127">
        <v>1672</v>
      </c>
      <c r="HU127">
        <v>0</v>
      </c>
      <c r="HV127">
        <v>15</v>
      </c>
      <c r="HW127">
        <v>184</v>
      </c>
      <c r="HZ127" s="24">
        <v>2022</v>
      </c>
      <c r="IA127" s="24">
        <v>19</v>
      </c>
      <c r="IB127" s="24" t="s">
        <v>33</v>
      </c>
      <c r="IC127" s="24">
        <v>19499</v>
      </c>
      <c r="ID127" s="24">
        <v>18612</v>
      </c>
      <c r="IG127" s="24">
        <v>2022</v>
      </c>
      <c r="IH127" s="24">
        <v>19</v>
      </c>
      <c r="II127" s="24" t="s">
        <v>33</v>
      </c>
      <c r="IJ127" s="24">
        <v>18395</v>
      </c>
      <c r="IK127" s="24">
        <v>18128</v>
      </c>
    </row>
    <row r="128" spans="9:245" x14ac:dyDescent="0.4">
      <c r="I128" s="305">
        <v>2022</v>
      </c>
      <c r="J128" s="306">
        <v>19</v>
      </c>
      <c r="K128" s="306" t="s">
        <v>33</v>
      </c>
      <c r="L128" s="306">
        <v>332966</v>
      </c>
      <c r="M128" s="306">
        <v>248411</v>
      </c>
      <c r="N128" s="306">
        <v>1207</v>
      </c>
      <c r="O128" s="306">
        <v>6753</v>
      </c>
      <c r="P128" s="306">
        <v>637</v>
      </c>
      <c r="Q128" s="306">
        <v>454</v>
      </c>
      <c r="R128" s="24"/>
      <c r="S128" s="24"/>
      <c r="T128" s="24"/>
      <c r="W128" s="24">
        <v>2022</v>
      </c>
      <c r="X128" s="24">
        <v>18</v>
      </c>
      <c r="Y128" s="24" t="s">
        <v>32</v>
      </c>
      <c r="Z128" s="24">
        <v>18133</v>
      </c>
      <c r="AA128" s="24">
        <v>17562</v>
      </c>
      <c r="AB128" s="24">
        <v>42</v>
      </c>
      <c r="AC128" s="24">
        <v>2</v>
      </c>
      <c r="AD128" s="296"/>
      <c r="AE128" s="296"/>
      <c r="AF128" s="296"/>
      <c r="AG128" s="296"/>
      <c r="AH128" s="296"/>
      <c r="AI128" s="24"/>
      <c r="AJ128" s="24"/>
      <c r="AK128" s="24">
        <v>2022</v>
      </c>
      <c r="AL128" s="24">
        <v>18</v>
      </c>
      <c r="AM128" s="24">
        <v>536.82000000000005</v>
      </c>
      <c r="AN128" s="24">
        <v>63.480000000000004</v>
      </c>
      <c r="AO128" s="24">
        <v>0</v>
      </c>
      <c r="AP128" s="24">
        <v>14</v>
      </c>
      <c r="AQ128" s="24">
        <v>0</v>
      </c>
      <c r="AR128" s="24">
        <v>0</v>
      </c>
      <c r="AS128" s="24" t="s">
        <v>32</v>
      </c>
      <c r="AT128" s="24"/>
      <c r="AU128" s="24">
        <v>2022</v>
      </c>
      <c r="AV128" s="24">
        <v>18</v>
      </c>
      <c r="AW128" s="24">
        <v>0.18</v>
      </c>
      <c r="AX128" s="24">
        <v>3400</v>
      </c>
      <c r="AY128" s="24">
        <v>18807</v>
      </c>
      <c r="AZ128" s="24" t="s">
        <v>32</v>
      </c>
      <c r="BA128" s="24"/>
      <c r="BB128" s="24"/>
      <c r="BC128" s="24">
        <v>2022</v>
      </c>
      <c r="BD128" s="24">
        <v>18</v>
      </c>
      <c r="BE128" s="24">
        <v>282.98200000000003</v>
      </c>
      <c r="BF128" s="24" t="s">
        <v>32</v>
      </c>
      <c r="BG128" s="24"/>
      <c r="BI128" s="24">
        <v>2022</v>
      </c>
      <c r="BJ128" s="24">
        <v>40</v>
      </c>
      <c r="BK128" s="24" t="s">
        <v>32</v>
      </c>
      <c r="BL128" s="24" t="s">
        <v>273</v>
      </c>
      <c r="BM128" s="24">
        <v>7229</v>
      </c>
      <c r="BN128" s="24">
        <v>7142</v>
      </c>
      <c r="BO128" s="24">
        <v>7718</v>
      </c>
      <c r="BR128" s="24">
        <v>2022</v>
      </c>
      <c r="BS128" s="24">
        <v>18</v>
      </c>
      <c r="BT128" s="24">
        <v>18654</v>
      </c>
      <c r="BU128" s="24">
        <v>1</v>
      </c>
      <c r="BV128" s="24" t="s">
        <v>32</v>
      </c>
      <c r="BY128" s="24">
        <v>2022</v>
      </c>
      <c r="BZ128" s="24">
        <v>21</v>
      </c>
      <c r="CA128" s="24" t="s">
        <v>33</v>
      </c>
      <c r="CB128" s="24" t="s">
        <v>423</v>
      </c>
      <c r="CC128" s="24">
        <v>24</v>
      </c>
      <c r="CF128" s="24">
        <v>2022</v>
      </c>
      <c r="CG128" s="24">
        <v>18</v>
      </c>
      <c r="CH128" s="24" t="s">
        <v>32</v>
      </c>
      <c r="CI128" s="24">
        <v>127.28699551569507</v>
      </c>
      <c r="CJ128" s="24">
        <v>11354</v>
      </c>
      <c r="CK128" s="24">
        <v>89.2</v>
      </c>
      <c r="CL128" s="24">
        <v>45.124421933494823</v>
      </c>
      <c r="CM128" s="24">
        <v>11432</v>
      </c>
      <c r="CN128" s="24">
        <v>20491</v>
      </c>
      <c r="CO128" s="24">
        <v>454.1</v>
      </c>
      <c r="CP128" s="24">
        <v>6447</v>
      </c>
      <c r="CQ128" s="24">
        <v>8.5</v>
      </c>
      <c r="CR128" s="24">
        <v>217.6</v>
      </c>
      <c r="CS128" s="24">
        <v>22275</v>
      </c>
      <c r="CT128" s="24">
        <v>22275</v>
      </c>
      <c r="CU128" s="24">
        <v>526.29999999999995</v>
      </c>
      <c r="CV128" s="24">
        <v>2707</v>
      </c>
      <c r="CW128" s="24">
        <v>0</v>
      </c>
      <c r="CX128" s="24">
        <v>16903</v>
      </c>
      <c r="CY128" s="24">
        <v>76.900000000000006</v>
      </c>
      <c r="CZ128" s="24">
        <v>6031</v>
      </c>
      <c r="DA128" s="24">
        <v>217.6</v>
      </c>
      <c r="DD128" s="24">
        <v>2022</v>
      </c>
      <c r="DE128" s="24">
        <v>18</v>
      </c>
      <c r="DF128" s="24" t="s">
        <v>32</v>
      </c>
      <c r="DG128" s="24">
        <v>1967</v>
      </c>
      <c r="DH128" s="24">
        <v>4512</v>
      </c>
      <c r="DJ128" s="24">
        <v>2022</v>
      </c>
      <c r="DK128" s="24">
        <v>17</v>
      </c>
      <c r="DL128" s="24" t="s">
        <v>32</v>
      </c>
      <c r="DM128" s="24">
        <v>20</v>
      </c>
      <c r="DP128" s="24">
        <v>2021</v>
      </c>
      <c r="DQ128" s="24">
        <v>52</v>
      </c>
      <c r="DR128" s="24" t="s">
        <v>33</v>
      </c>
      <c r="DS128" s="24">
        <v>18570</v>
      </c>
      <c r="DT128" s="24"/>
      <c r="DW128" s="24">
        <v>2022</v>
      </c>
      <c r="DX128" s="24">
        <v>33</v>
      </c>
      <c r="DY128" s="24" t="s">
        <v>33</v>
      </c>
      <c r="DZ128" s="24">
        <v>95</v>
      </c>
      <c r="EA128" s="24" t="s">
        <v>149</v>
      </c>
      <c r="EB128" s="24">
        <v>62.1</v>
      </c>
      <c r="EC128" s="24">
        <v>2198.4</v>
      </c>
      <c r="ED128" s="24">
        <v>55531</v>
      </c>
      <c r="EE128" s="24">
        <v>57453</v>
      </c>
      <c r="EF128" s="24">
        <v>12.5</v>
      </c>
      <c r="EI128" s="24">
        <v>2023</v>
      </c>
      <c r="EJ128" s="24">
        <v>7</v>
      </c>
      <c r="EK128" s="24" t="s">
        <v>211</v>
      </c>
      <c r="EL128" s="24" t="s">
        <v>212</v>
      </c>
      <c r="EM128" s="24" t="s">
        <v>210</v>
      </c>
      <c r="EN128" s="24">
        <v>6</v>
      </c>
      <c r="EO128" s="24"/>
      <c r="EP128" s="24"/>
      <c r="EQ128" s="24"/>
      <c r="ER128" s="24"/>
      <c r="ES128" s="24">
        <v>2022</v>
      </c>
      <c r="ET128" s="24">
        <v>20</v>
      </c>
      <c r="EU128" s="24" t="s">
        <v>32</v>
      </c>
      <c r="EV128" s="24">
        <v>8650</v>
      </c>
      <c r="EY128" s="24">
        <v>2022</v>
      </c>
      <c r="EZ128" s="24">
        <v>20</v>
      </c>
      <c r="FA128" s="24" t="s">
        <v>32</v>
      </c>
      <c r="FB128" s="24">
        <v>1430</v>
      </c>
      <c r="FE128" s="24">
        <v>2022</v>
      </c>
      <c r="FF128" s="24">
        <v>18</v>
      </c>
      <c r="FG128" s="24" t="s">
        <v>32</v>
      </c>
      <c r="FH128" s="24">
        <v>0.84930000000000005</v>
      </c>
      <c r="FI128" s="24">
        <v>559</v>
      </c>
      <c r="FJ128" s="24">
        <v>267</v>
      </c>
      <c r="FK128" s="24">
        <v>311</v>
      </c>
      <c r="FN128" s="24">
        <v>2022</v>
      </c>
      <c r="FO128" s="24">
        <v>19</v>
      </c>
      <c r="FP128" s="24" t="s">
        <v>32</v>
      </c>
      <c r="FQ128" s="24">
        <v>44859</v>
      </c>
      <c r="FR128" s="24">
        <v>1067.18333333333</v>
      </c>
      <c r="FS128" s="24">
        <v>35041</v>
      </c>
      <c r="FT128" s="24">
        <v>458.16666666666697</v>
      </c>
      <c r="FW128" s="24">
        <v>2022</v>
      </c>
      <c r="FX128" s="24">
        <v>18</v>
      </c>
      <c r="FY128" s="24" t="s">
        <v>32</v>
      </c>
      <c r="FZ128" s="24">
        <v>2819</v>
      </c>
      <c r="GA128" s="24">
        <v>2523</v>
      </c>
      <c r="GB128" s="24"/>
      <c r="GC128" s="24"/>
      <c r="GD128" s="24">
        <v>2022</v>
      </c>
      <c r="GE128" s="24">
        <v>18</v>
      </c>
      <c r="GF128" s="24" t="s">
        <v>32</v>
      </c>
      <c r="GG128" s="24">
        <v>2812</v>
      </c>
      <c r="GH128" s="24">
        <v>2457</v>
      </c>
      <c r="GK128" s="24"/>
      <c r="GL128" s="24"/>
      <c r="GM128" s="24"/>
      <c r="GN128" s="24"/>
      <c r="GO128" s="24"/>
      <c r="GP128" s="24">
        <v>2022</v>
      </c>
      <c r="GQ128" s="24">
        <v>18</v>
      </c>
      <c r="GR128" s="24">
        <v>2.9857142857142898E-2</v>
      </c>
      <c r="GS128" s="24" t="s">
        <v>32</v>
      </c>
      <c r="GX128">
        <v>2022</v>
      </c>
      <c r="GY128">
        <v>18</v>
      </c>
      <c r="GZ128" t="s">
        <v>32</v>
      </c>
      <c r="HA128">
        <v>18284</v>
      </c>
      <c r="HB128">
        <v>17749</v>
      </c>
      <c r="HC128">
        <v>4</v>
      </c>
      <c r="HD128">
        <v>3</v>
      </c>
      <c r="HE128">
        <v>0</v>
      </c>
      <c r="HF128">
        <v>47</v>
      </c>
      <c r="HG128">
        <v>0</v>
      </c>
      <c r="HH128">
        <v>0</v>
      </c>
      <c r="HI128">
        <v>79</v>
      </c>
      <c r="HL128">
        <v>2022</v>
      </c>
      <c r="HM128">
        <v>18</v>
      </c>
      <c r="HN128" t="s">
        <v>32</v>
      </c>
      <c r="HO128">
        <v>18066</v>
      </c>
      <c r="HP128">
        <v>17854</v>
      </c>
      <c r="HQ128">
        <v>6</v>
      </c>
      <c r="HR128">
        <v>1</v>
      </c>
      <c r="HS128">
        <v>0</v>
      </c>
      <c r="HT128">
        <v>46</v>
      </c>
      <c r="HU128">
        <v>0</v>
      </c>
      <c r="HV128">
        <v>0</v>
      </c>
      <c r="HW128">
        <v>13</v>
      </c>
      <c r="HZ128" s="24">
        <v>2022</v>
      </c>
      <c r="IA128" s="24">
        <v>18</v>
      </c>
      <c r="IB128" s="24" t="s">
        <v>32</v>
      </c>
      <c r="IC128" s="24">
        <v>2869</v>
      </c>
      <c r="ID128" s="24">
        <v>2713</v>
      </c>
      <c r="IG128" s="24">
        <v>2022</v>
      </c>
      <c r="IH128" s="24">
        <v>18</v>
      </c>
      <c r="II128" s="24" t="s">
        <v>32</v>
      </c>
      <c r="IJ128" s="24">
        <v>2767</v>
      </c>
      <c r="IK128" s="24">
        <v>2715</v>
      </c>
    </row>
    <row r="129" spans="9:245" x14ac:dyDescent="0.4">
      <c r="I129" s="305">
        <v>2022</v>
      </c>
      <c r="J129" s="306">
        <v>18</v>
      </c>
      <c r="K129" s="306" t="s">
        <v>32</v>
      </c>
      <c r="L129" s="306">
        <v>18253</v>
      </c>
      <c r="M129" s="306">
        <v>17631</v>
      </c>
      <c r="N129" s="306">
        <v>70</v>
      </c>
      <c r="O129" s="306">
        <v>207</v>
      </c>
      <c r="P129" s="306">
        <v>39</v>
      </c>
      <c r="Q129" s="306">
        <v>9</v>
      </c>
      <c r="R129" s="24"/>
      <c r="S129" s="24"/>
      <c r="T129" s="24"/>
      <c r="W129" s="24">
        <v>2022</v>
      </c>
      <c r="X129" s="24">
        <v>18</v>
      </c>
      <c r="Y129" s="24" t="s">
        <v>33</v>
      </c>
      <c r="Z129" s="24">
        <v>319666</v>
      </c>
      <c r="AA129" s="24">
        <v>240521</v>
      </c>
      <c r="AB129" s="24">
        <v>534</v>
      </c>
      <c r="AC129" s="24">
        <v>426</v>
      </c>
      <c r="AD129" s="296"/>
      <c r="AE129" s="296"/>
      <c r="AF129" s="296"/>
      <c r="AG129" s="296"/>
      <c r="AH129" s="296"/>
      <c r="AI129" s="24"/>
      <c r="AJ129" s="24"/>
      <c r="AK129" s="24">
        <v>2022</v>
      </c>
      <c r="AL129" s="24">
        <v>18</v>
      </c>
      <c r="AM129" s="24">
        <v>19330.830000000002</v>
      </c>
      <c r="AN129" s="24">
        <v>1631.57</v>
      </c>
      <c r="AO129" s="24">
        <v>0</v>
      </c>
      <c r="AP129" s="24">
        <v>488</v>
      </c>
      <c r="AQ129" s="24">
        <v>0</v>
      </c>
      <c r="AR129" s="24">
        <v>2</v>
      </c>
      <c r="AS129" s="24" t="s">
        <v>33</v>
      </c>
      <c r="AT129" s="24"/>
      <c r="AU129" s="24">
        <v>2022</v>
      </c>
      <c r="AV129" s="24">
        <v>18</v>
      </c>
      <c r="AW129" s="24">
        <v>7.0000000000000007E-2</v>
      </c>
      <c r="AX129" s="24">
        <v>22000</v>
      </c>
      <c r="AY129" s="24">
        <v>329627</v>
      </c>
      <c r="AZ129" s="24" t="s">
        <v>33</v>
      </c>
      <c r="BA129" s="24"/>
      <c r="BB129" s="24"/>
      <c r="BC129" s="24">
        <v>2022</v>
      </c>
      <c r="BD129" s="24">
        <v>18</v>
      </c>
      <c r="BE129" s="24">
        <v>2642.1184285714298</v>
      </c>
      <c r="BF129" s="24" t="s">
        <v>33</v>
      </c>
      <c r="BG129" s="24"/>
      <c r="BI129" s="24">
        <v>2022</v>
      </c>
      <c r="BJ129" s="24">
        <v>40</v>
      </c>
      <c r="BK129" s="24" t="s">
        <v>32</v>
      </c>
      <c r="BL129" s="24" t="s">
        <v>272</v>
      </c>
      <c r="BM129" s="24">
        <v>2659</v>
      </c>
      <c r="BN129" s="24">
        <v>2654</v>
      </c>
      <c r="BO129" s="24">
        <v>9022</v>
      </c>
      <c r="BR129" s="24">
        <v>2022</v>
      </c>
      <c r="BS129" s="24">
        <v>18</v>
      </c>
      <c r="BT129" s="24">
        <v>328279</v>
      </c>
      <c r="BU129" s="24">
        <v>3</v>
      </c>
      <c r="BV129" s="24" t="s">
        <v>33</v>
      </c>
      <c r="BY129" s="24">
        <v>2022</v>
      </c>
      <c r="BZ129" s="24">
        <v>20</v>
      </c>
      <c r="CA129" s="24" t="s">
        <v>32</v>
      </c>
      <c r="CB129" s="24" t="s">
        <v>108</v>
      </c>
      <c r="CC129" s="24">
        <v>1</v>
      </c>
      <c r="CF129" s="24">
        <v>2022</v>
      </c>
      <c r="CG129" s="24">
        <v>18</v>
      </c>
      <c r="CH129" s="24" t="s">
        <v>33</v>
      </c>
      <c r="CI129" s="24">
        <v>133.3099196523321</v>
      </c>
      <c r="CJ129" s="24">
        <v>263807</v>
      </c>
      <c r="CK129" s="24">
        <v>1978.9</v>
      </c>
      <c r="CL129" s="24">
        <v>115.25517465739499</v>
      </c>
      <c r="CM129" s="24">
        <v>146603</v>
      </c>
      <c r="CN129" s="24">
        <v>283424</v>
      </c>
      <c r="CO129" s="24">
        <v>2459.1</v>
      </c>
      <c r="CP129" s="24">
        <v>54863</v>
      </c>
      <c r="CQ129" s="24">
        <v>398.3</v>
      </c>
      <c r="CR129" s="24">
        <v>1246.0999999999999</v>
      </c>
      <c r="CS129" s="24">
        <v>198776</v>
      </c>
      <c r="CT129" s="24">
        <v>198776</v>
      </c>
      <c r="CU129" s="24">
        <v>1716.7</v>
      </c>
      <c r="CV129" s="24">
        <v>33938</v>
      </c>
      <c r="CW129" s="24">
        <v>0.7</v>
      </c>
      <c r="CX129" s="24">
        <v>163825</v>
      </c>
      <c r="CY129" s="24">
        <v>1036.2</v>
      </c>
      <c r="CZ129" s="24">
        <v>38282</v>
      </c>
      <c r="DA129" s="24">
        <v>1246.0999999999999</v>
      </c>
      <c r="DD129" s="24">
        <v>2022</v>
      </c>
      <c r="DE129" s="24">
        <v>18</v>
      </c>
      <c r="DF129" s="24" t="s">
        <v>33</v>
      </c>
      <c r="DG129" s="24">
        <v>47595</v>
      </c>
      <c r="DH129" s="24">
        <v>31561</v>
      </c>
      <c r="DJ129" s="24">
        <v>2022</v>
      </c>
      <c r="DK129" s="24">
        <v>17</v>
      </c>
      <c r="DL129" s="24" t="s">
        <v>33</v>
      </c>
      <c r="DM129" s="24">
        <v>495</v>
      </c>
      <c r="DP129" s="24">
        <v>2021</v>
      </c>
      <c r="DQ129" s="24">
        <v>51</v>
      </c>
      <c r="DR129" s="24" t="s">
        <v>33</v>
      </c>
      <c r="DS129" s="24">
        <v>17844</v>
      </c>
      <c r="DT129" s="24"/>
      <c r="DW129" s="24">
        <v>2022</v>
      </c>
      <c r="DX129" s="24">
        <v>32</v>
      </c>
      <c r="DY129" s="24" t="s">
        <v>32</v>
      </c>
      <c r="DZ129" s="24">
        <v>2</v>
      </c>
      <c r="EA129" s="24" t="s">
        <v>149</v>
      </c>
      <c r="EB129" s="24">
        <v>31.3</v>
      </c>
      <c r="EC129" s="24">
        <v>32.4</v>
      </c>
      <c r="ED129" s="24">
        <v>871</v>
      </c>
      <c r="EE129" s="24">
        <v>2060</v>
      </c>
      <c r="EF129" s="24">
        <v>0</v>
      </c>
      <c r="EI129" s="24">
        <v>2023</v>
      </c>
      <c r="EJ129" s="24">
        <v>7</v>
      </c>
      <c r="EK129" s="24" t="s">
        <v>211</v>
      </c>
      <c r="EL129" s="24" t="s">
        <v>212</v>
      </c>
      <c r="EM129" s="24" t="s">
        <v>234</v>
      </c>
      <c r="EN129" s="24">
        <v>5</v>
      </c>
      <c r="EO129" s="24"/>
      <c r="EP129" s="24"/>
      <c r="EQ129" s="24"/>
      <c r="ER129" s="24"/>
      <c r="ES129" s="24">
        <v>2022</v>
      </c>
      <c r="ET129" s="24">
        <v>20</v>
      </c>
      <c r="EU129" s="24" t="s">
        <v>33</v>
      </c>
      <c r="EV129" s="24">
        <v>171738</v>
      </c>
      <c r="EY129" s="24">
        <v>2022</v>
      </c>
      <c r="EZ129" s="24">
        <v>20</v>
      </c>
      <c r="FA129" s="24" t="s">
        <v>33</v>
      </c>
      <c r="FB129" s="24">
        <v>832</v>
      </c>
      <c r="FE129" s="24">
        <v>2022</v>
      </c>
      <c r="FF129" s="24">
        <v>18</v>
      </c>
      <c r="FG129" s="24" t="s">
        <v>33</v>
      </c>
      <c r="FH129" s="24">
        <v>0.9244</v>
      </c>
      <c r="FI129" s="24">
        <v>20409</v>
      </c>
      <c r="FJ129" s="24">
        <v>9198</v>
      </c>
      <c r="FK129" s="24">
        <v>10046</v>
      </c>
      <c r="FN129" s="24">
        <v>2022</v>
      </c>
      <c r="FO129" s="24">
        <v>19</v>
      </c>
      <c r="FP129" s="24" t="s">
        <v>33</v>
      </c>
      <c r="FQ129" s="24">
        <v>982135</v>
      </c>
      <c r="FR129" s="24">
        <v>8907.85</v>
      </c>
      <c r="FS129" s="24">
        <v>541827</v>
      </c>
      <c r="FT129" s="24">
        <v>3443.55</v>
      </c>
      <c r="FW129" s="24">
        <v>2022</v>
      </c>
      <c r="FX129" s="24">
        <v>18</v>
      </c>
      <c r="FY129" s="24" t="s">
        <v>33</v>
      </c>
      <c r="FZ129" s="24">
        <v>18434</v>
      </c>
      <c r="GA129" s="24">
        <v>17226</v>
      </c>
      <c r="GB129" s="24"/>
      <c r="GC129" s="24"/>
      <c r="GD129" s="24">
        <v>2022</v>
      </c>
      <c r="GE129" s="24">
        <v>18</v>
      </c>
      <c r="GF129" s="24" t="s">
        <v>33</v>
      </c>
      <c r="GG129" s="24">
        <v>18451</v>
      </c>
      <c r="GH129" s="24">
        <v>17586</v>
      </c>
      <c r="GK129" s="24"/>
      <c r="GL129" s="24"/>
      <c r="GM129" s="24"/>
      <c r="GN129" s="24"/>
      <c r="GO129" s="24"/>
      <c r="GP129" s="24">
        <v>2022</v>
      </c>
      <c r="GQ129" s="24">
        <v>18</v>
      </c>
      <c r="GR129" s="24">
        <v>15.1778571428571</v>
      </c>
      <c r="GS129" s="24" t="s">
        <v>33</v>
      </c>
      <c r="GX129">
        <v>2022</v>
      </c>
      <c r="GY129">
        <v>18</v>
      </c>
      <c r="GZ129" t="s">
        <v>33</v>
      </c>
      <c r="HA129">
        <v>321388</v>
      </c>
      <c r="HB129">
        <v>314440</v>
      </c>
      <c r="HC129">
        <v>563</v>
      </c>
      <c r="HD129">
        <v>272</v>
      </c>
      <c r="HE129">
        <v>2</v>
      </c>
      <c r="HF129">
        <v>1123</v>
      </c>
      <c r="HG129">
        <v>0</v>
      </c>
      <c r="HH129">
        <v>1</v>
      </c>
      <c r="HI129">
        <v>913</v>
      </c>
      <c r="HL129">
        <v>2022</v>
      </c>
      <c r="HM129">
        <v>18</v>
      </c>
      <c r="HN129" t="s">
        <v>33</v>
      </c>
      <c r="HO129">
        <v>319230</v>
      </c>
      <c r="HP129">
        <v>315958</v>
      </c>
      <c r="HQ129">
        <v>654</v>
      </c>
      <c r="HR129">
        <v>132</v>
      </c>
      <c r="HS129">
        <v>0</v>
      </c>
      <c r="HT129">
        <v>996</v>
      </c>
      <c r="HU129">
        <v>0</v>
      </c>
      <c r="HV129">
        <v>1</v>
      </c>
      <c r="HW129">
        <v>157</v>
      </c>
      <c r="HZ129" s="24">
        <v>2022</v>
      </c>
      <c r="IA129" s="24">
        <v>18</v>
      </c>
      <c r="IB129" s="24" t="s">
        <v>33</v>
      </c>
      <c r="IC129" s="24">
        <v>18798</v>
      </c>
      <c r="ID129" s="24">
        <v>17941</v>
      </c>
      <c r="IG129" s="24">
        <v>2022</v>
      </c>
      <c r="IH129" s="24">
        <v>18</v>
      </c>
      <c r="II129" s="24" t="s">
        <v>33</v>
      </c>
      <c r="IJ129" s="24">
        <v>17338</v>
      </c>
      <c r="IK129" s="24">
        <v>17065</v>
      </c>
    </row>
    <row r="130" spans="9:245" x14ac:dyDescent="0.4">
      <c r="I130" s="305">
        <v>2022</v>
      </c>
      <c r="J130" s="306">
        <v>18</v>
      </c>
      <c r="K130" s="306" t="s">
        <v>33</v>
      </c>
      <c r="L130" s="306">
        <v>320499</v>
      </c>
      <c r="M130" s="306">
        <v>239841</v>
      </c>
      <c r="N130" s="306">
        <v>1083</v>
      </c>
      <c r="O130" s="306">
        <v>5951</v>
      </c>
      <c r="P130" s="306">
        <v>740</v>
      </c>
      <c r="Q130" s="306">
        <v>439</v>
      </c>
      <c r="R130" s="24"/>
      <c r="S130" s="24"/>
      <c r="T130" s="24"/>
      <c r="W130" s="24">
        <v>2022</v>
      </c>
      <c r="X130" s="24">
        <v>17</v>
      </c>
      <c r="Y130" s="24" t="s">
        <v>32</v>
      </c>
      <c r="Z130" s="24">
        <v>18715</v>
      </c>
      <c r="AA130" s="24">
        <v>17989</v>
      </c>
      <c r="AB130" s="24">
        <v>64</v>
      </c>
      <c r="AC130" s="24">
        <v>2</v>
      </c>
      <c r="AD130" s="24"/>
      <c r="AE130" s="24"/>
      <c r="AF130" s="24"/>
      <c r="AG130" s="24"/>
      <c r="AH130" s="24"/>
      <c r="AI130" s="24"/>
      <c r="AJ130" s="24"/>
      <c r="AK130" s="24">
        <v>2022</v>
      </c>
      <c r="AL130" s="24">
        <v>17</v>
      </c>
      <c r="AM130" s="24">
        <v>583.1</v>
      </c>
      <c r="AN130" s="24">
        <v>79.400000000000006</v>
      </c>
      <c r="AO130" s="24">
        <v>0</v>
      </c>
      <c r="AP130" s="24">
        <v>14</v>
      </c>
      <c r="AQ130" s="24">
        <v>0</v>
      </c>
      <c r="AR130" s="24">
        <v>0</v>
      </c>
      <c r="AS130" s="24" t="s">
        <v>32</v>
      </c>
      <c r="AT130" s="24"/>
      <c r="AU130" s="24">
        <v>2022</v>
      </c>
      <c r="AV130" s="24">
        <v>17</v>
      </c>
      <c r="AW130" s="24">
        <v>0.13</v>
      </c>
      <c r="AX130" s="24">
        <v>2400</v>
      </c>
      <c r="AY130" s="24">
        <v>19144</v>
      </c>
      <c r="AZ130" s="24" t="s">
        <v>32</v>
      </c>
      <c r="BA130" s="24"/>
      <c r="BB130" s="24"/>
      <c r="BC130" s="24">
        <v>2022</v>
      </c>
      <c r="BD130" s="24">
        <v>17</v>
      </c>
      <c r="BE130" s="24">
        <v>282.04657142857099</v>
      </c>
      <c r="BF130" s="24" t="s">
        <v>32</v>
      </c>
      <c r="BG130" s="24"/>
      <c r="BI130" s="24">
        <v>2022</v>
      </c>
      <c r="BJ130" s="24">
        <v>39</v>
      </c>
      <c r="BK130" s="24" t="s">
        <v>32</v>
      </c>
      <c r="BL130" s="24" t="s">
        <v>273</v>
      </c>
      <c r="BM130" s="24">
        <v>7620</v>
      </c>
      <c r="BN130" s="24">
        <v>7519</v>
      </c>
      <c r="BO130" s="24">
        <v>7744</v>
      </c>
      <c r="BR130" s="24">
        <v>2022</v>
      </c>
      <c r="BS130" s="24">
        <v>17</v>
      </c>
      <c r="BT130" s="24">
        <v>19066</v>
      </c>
      <c r="BU130" s="24">
        <v>0</v>
      </c>
      <c r="BV130" s="24" t="s">
        <v>32</v>
      </c>
      <c r="BY130" s="24">
        <v>2022</v>
      </c>
      <c r="BZ130" s="24">
        <v>20</v>
      </c>
      <c r="CA130" s="24" t="s">
        <v>33</v>
      </c>
      <c r="CB130" s="24" t="s">
        <v>108</v>
      </c>
      <c r="CC130" s="24">
        <v>3</v>
      </c>
      <c r="CF130" s="24">
        <v>2022</v>
      </c>
      <c r="CG130" s="24">
        <v>17</v>
      </c>
      <c r="CH130" s="24" t="s">
        <v>32</v>
      </c>
      <c r="CI130" s="24">
        <v>111.79012345679013</v>
      </c>
      <c r="CJ130" s="24">
        <v>7244</v>
      </c>
      <c r="CK130" s="24">
        <v>64.8</v>
      </c>
      <c r="CL130" s="24">
        <v>45.212940961433013</v>
      </c>
      <c r="CM130" s="24">
        <v>12710</v>
      </c>
      <c r="CN130" s="24">
        <v>24736</v>
      </c>
      <c r="CO130" s="24">
        <v>547.1</v>
      </c>
      <c r="CP130" s="24">
        <v>6577</v>
      </c>
      <c r="CQ130" s="24">
        <v>38.799999999999997</v>
      </c>
      <c r="CR130" s="24">
        <v>203.8</v>
      </c>
      <c r="CS130" s="24">
        <v>23046</v>
      </c>
      <c r="CT130" s="24">
        <v>23046</v>
      </c>
      <c r="CU130" s="24">
        <v>483.9</v>
      </c>
      <c r="CV130" s="24">
        <v>2752</v>
      </c>
      <c r="CW130" s="24">
        <v>0</v>
      </c>
      <c r="CX130" s="24">
        <v>16912</v>
      </c>
      <c r="CY130" s="24">
        <v>63.8</v>
      </c>
      <c r="CZ130" s="24">
        <v>5093</v>
      </c>
      <c r="DA130" s="24">
        <v>203.8</v>
      </c>
      <c r="DD130" s="24">
        <v>2022</v>
      </c>
      <c r="DE130" s="24">
        <v>17</v>
      </c>
      <c r="DF130" s="24" t="s">
        <v>32</v>
      </c>
      <c r="DG130" s="24">
        <v>132</v>
      </c>
      <c r="DH130" s="24">
        <v>3204</v>
      </c>
      <c r="DJ130" s="24">
        <v>2022</v>
      </c>
      <c r="DK130" s="24">
        <v>16</v>
      </c>
      <c r="DL130" s="24" t="s">
        <v>32</v>
      </c>
      <c r="DM130" s="24">
        <v>11</v>
      </c>
      <c r="DP130" s="24">
        <v>2021</v>
      </c>
      <c r="DQ130" s="24">
        <v>50</v>
      </c>
      <c r="DR130" s="24" t="s">
        <v>33</v>
      </c>
      <c r="DS130" s="24">
        <v>12968</v>
      </c>
      <c r="DT130" s="24"/>
      <c r="DW130" s="24">
        <v>2022</v>
      </c>
      <c r="DX130" s="24">
        <v>32</v>
      </c>
      <c r="DY130" s="24" t="s">
        <v>33</v>
      </c>
      <c r="DZ130" s="24">
        <v>14</v>
      </c>
      <c r="EA130" s="24" t="s">
        <v>562</v>
      </c>
      <c r="EB130" s="24">
        <v>355.8</v>
      </c>
      <c r="EC130" s="24">
        <v>0.3</v>
      </c>
      <c r="ED130" s="24"/>
      <c r="EE130" s="24">
        <v>12063</v>
      </c>
      <c r="EF130" s="24">
        <v>5.6</v>
      </c>
      <c r="EI130" s="24">
        <v>2023</v>
      </c>
      <c r="EJ130" s="24">
        <v>7</v>
      </c>
      <c r="EK130" s="24" t="s">
        <v>211</v>
      </c>
      <c r="EL130" s="24" t="s">
        <v>212</v>
      </c>
      <c r="EM130" s="24" t="s">
        <v>215</v>
      </c>
      <c r="EN130" s="24">
        <v>1</v>
      </c>
      <c r="EO130" s="24"/>
      <c r="EP130" s="24"/>
      <c r="EQ130" s="24"/>
      <c r="ER130" s="24"/>
      <c r="ES130" s="24">
        <v>2022</v>
      </c>
      <c r="ET130" s="24">
        <v>19</v>
      </c>
      <c r="EU130" s="24" t="s">
        <v>32</v>
      </c>
      <c r="EV130" s="24">
        <v>9231</v>
      </c>
      <c r="EY130" s="24">
        <v>2022</v>
      </c>
      <c r="EZ130" s="24">
        <v>19</v>
      </c>
      <c r="FA130" s="24" t="s">
        <v>32</v>
      </c>
      <c r="FB130" s="24">
        <v>726</v>
      </c>
      <c r="FE130" s="24">
        <v>2022</v>
      </c>
      <c r="FF130" s="24">
        <v>17</v>
      </c>
      <c r="FG130" s="24" t="s">
        <v>32</v>
      </c>
      <c r="FH130" s="24">
        <v>0.81520000000000004</v>
      </c>
      <c r="FI130" s="24">
        <v>577</v>
      </c>
      <c r="FJ130" s="24">
        <v>274</v>
      </c>
      <c r="FK130" s="24">
        <v>330</v>
      </c>
      <c r="FN130" s="24">
        <v>2022</v>
      </c>
      <c r="FO130" s="24">
        <v>18</v>
      </c>
      <c r="FP130" s="24" t="s">
        <v>32</v>
      </c>
      <c r="FQ130" s="24">
        <v>43192</v>
      </c>
      <c r="FR130" s="24">
        <v>1027.4833333333299</v>
      </c>
      <c r="FS130" s="24">
        <v>62827</v>
      </c>
      <c r="FT130" s="24">
        <v>576.96666666666704</v>
      </c>
      <c r="FW130" s="24">
        <v>2022</v>
      </c>
      <c r="FX130" s="24">
        <v>17</v>
      </c>
      <c r="FY130" s="24" t="s">
        <v>32</v>
      </c>
      <c r="FZ130" s="24">
        <v>2812</v>
      </c>
      <c r="GA130" s="24">
        <v>2567</v>
      </c>
      <c r="GB130" s="24"/>
      <c r="GC130" s="24"/>
      <c r="GD130" s="24">
        <v>2022</v>
      </c>
      <c r="GE130" s="24">
        <v>17</v>
      </c>
      <c r="GF130" s="24" t="s">
        <v>32</v>
      </c>
      <c r="GG130" s="24">
        <v>2760</v>
      </c>
      <c r="GH130" s="24">
        <v>2373</v>
      </c>
      <c r="GK130" s="24"/>
      <c r="GL130" s="24"/>
      <c r="GM130" s="24"/>
      <c r="GN130" s="24"/>
      <c r="GO130" s="24"/>
      <c r="GP130" s="24">
        <v>2022</v>
      </c>
      <c r="GQ130" s="24">
        <v>17</v>
      </c>
      <c r="GR130" s="24">
        <v>0.03</v>
      </c>
      <c r="GS130" s="24" t="s">
        <v>32</v>
      </c>
      <c r="GX130">
        <v>2022</v>
      </c>
      <c r="GY130">
        <v>17</v>
      </c>
      <c r="GZ130" t="s">
        <v>32</v>
      </c>
      <c r="HA130">
        <v>18686</v>
      </c>
      <c r="HB130">
        <v>17973</v>
      </c>
      <c r="HC130">
        <v>2</v>
      </c>
      <c r="HD130">
        <v>11</v>
      </c>
      <c r="HE130">
        <v>0</v>
      </c>
      <c r="HF130">
        <v>212</v>
      </c>
      <c r="HG130">
        <v>0</v>
      </c>
      <c r="HH130">
        <v>0</v>
      </c>
      <c r="HI130">
        <v>211</v>
      </c>
      <c r="HL130">
        <v>2022</v>
      </c>
      <c r="HM130">
        <v>17</v>
      </c>
      <c r="HN130" t="s">
        <v>32</v>
      </c>
      <c r="HO130">
        <v>18679</v>
      </c>
      <c r="HP130">
        <v>18213</v>
      </c>
      <c r="HQ130">
        <v>7</v>
      </c>
      <c r="HR130">
        <v>6</v>
      </c>
      <c r="HS130">
        <v>0</v>
      </c>
      <c r="HT130">
        <v>336</v>
      </c>
      <c r="HU130">
        <v>0</v>
      </c>
      <c r="HV130">
        <v>0</v>
      </c>
      <c r="HW130">
        <v>34</v>
      </c>
      <c r="HZ130" s="24">
        <v>2022</v>
      </c>
      <c r="IA130" s="24">
        <v>17</v>
      </c>
      <c r="IB130" s="24" t="s">
        <v>32</v>
      </c>
      <c r="IC130" s="24">
        <v>2812</v>
      </c>
      <c r="ID130" s="24">
        <v>2573</v>
      </c>
      <c r="IG130" s="24">
        <v>2022</v>
      </c>
      <c r="IH130" s="24">
        <v>17</v>
      </c>
      <c r="II130" s="24" t="s">
        <v>32</v>
      </c>
      <c r="IJ130" s="24">
        <v>2729</v>
      </c>
      <c r="IK130" s="24">
        <v>2519</v>
      </c>
    </row>
    <row r="131" spans="9:245" x14ac:dyDescent="0.4">
      <c r="I131" s="305">
        <v>2022</v>
      </c>
      <c r="J131" s="306">
        <v>17</v>
      </c>
      <c r="K131" s="306" t="s">
        <v>32</v>
      </c>
      <c r="L131" s="306">
        <v>18822</v>
      </c>
      <c r="M131" s="306">
        <v>18163</v>
      </c>
      <c r="N131" s="306">
        <v>126</v>
      </c>
      <c r="O131" s="306">
        <v>160</v>
      </c>
      <c r="P131" s="306">
        <v>72</v>
      </c>
      <c r="Q131" s="306">
        <v>5</v>
      </c>
      <c r="R131" s="24"/>
      <c r="S131" s="24"/>
      <c r="T131" s="24"/>
      <c r="W131" s="24">
        <v>2022</v>
      </c>
      <c r="X131" s="24">
        <v>17</v>
      </c>
      <c r="Y131" s="24" t="s">
        <v>33</v>
      </c>
      <c r="Z131" s="24">
        <v>347731</v>
      </c>
      <c r="AA131" s="24">
        <v>267483</v>
      </c>
      <c r="AB131" s="24">
        <v>495</v>
      </c>
      <c r="AC131" s="24">
        <v>94</v>
      </c>
      <c r="AD131" s="24"/>
      <c r="AE131" s="24"/>
      <c r="AF131" s="24"/>
      <c r="AG131" s="24"/>
      <c r="AH131" s="24"/>
      <c r="AI131" s="24"/>
      <c r="AJ131" s="24"/>
      <c r="AK131" s="24">
        <v>2022</v>
      </c>
      <c r="AL131" s="24">
        <v>17</v>
      </c>
      <c r="AM131" s="24">
        <v>20111.53</v>
      </c>
      <c r="AN131" s="24">
        <v>2249.5300000000002</v>
      </c>
      <c r="AO131" s="24">
        <v>0</v>
      </c>
      <c r="AP131" s="24">
        <v>475</v>
      </c>
      <c r="AQ131" s="24">
        <v>0</v>
      </c>
      <c r="AR131" s="24">
        <v>1</v>
      </c>
      <c r="AS131" s="24" t="s">
        <v>33</v>
      </c>
      <c r="AT131" s="24"/>
      <c r="AU131" s="24">
        <v>2022</v>
      </c>
      <c r="AV131" s="24">
        <v>17</v>
      </c>
      <c r="AW131" s="24">
        <v>0.04</v>
      </c>
      <c r="AX131" s="24">
        <v>14600</v>
      </c>
      <c r="AY131" s="24">
        <v>342780</v>
      </c>
      <c r="AZ131" s="24" t="s">
        <v>33</v>
      </c>
      <c r="BA131" s="24"/>
      <c r="BB131" s="24"/>
      <c r="BC131" s="24">
        <v>2022</v>
      </c>
      <c r="BD131" s="24">
        <v>17</v>
      </c>
      <c r="BE131" s="24">
        <v>2607.8070000000002</v>
      </c>
      <c r="BF131" s="24" t="s">
        <v>33</v>
      </c>
      <c r="BG131" s="24"/>
      <c r="BI131" s="24">
        <v>2022</v>
      </c>
      <c r="BJ131" s="24">
        <v>39</v>
      </c>
      <c r="BK131" s="24" t="s">
        <v>33</v>
      </c>
      <c r="BL131" s="24" t="s">
        <v>273</v>
      </c>
      <c r="BM131" s="24">
        <v>98490</v>
      </c>
      <c r="BN131" s="24">
        <v>97603</v>
      </c>
      <c r="BO131" s="24">
        <v>101037</v>
      </c>
      <c r="BR131" s="24">
        <v>2022</v>
      </c>
      <c r="BS131" s="24">
        <v>17</v>
      </c>
      <c r="BT131" s="24">
        <v>341334</v>
      </c>
      <c r="BU131" s="24">
        <v>6</v>
      </c>
      <c r="BV131" s="24" t="s">
        <v>33</v>
      </c>
      <c r="BY131" s="24">
        <v>2022</v>
      </c>
      <c r="BZ131" s="24">
        <v>20</v>
      </c>
      <c r="CA131" s="24" t="s">
        <v>33</v>
      </c>
      <c r="CB131" s="24" t="s">
        <v>423</v>
      </c>
      <c r="CC131" s="24">
        <v>29</v>
      </c>
      <c r="CF131" s="24">
        <v>2022</v>
      </c>
      <c r="CG131" s="24">
        <v>17</v>
      </c>
      <c r="CH131" s="24" t="s">
        <v>33</v>
      </c>
      <c r="CI131" s="24">
        <v>135.94894979749458</v>
      </c>
      <c r="CJ131" s="24">
        <v>288674</v>
      </c>
      <c r="CK131" s="24">
        <v>2123.4</v>
      </c>
      <c r="CL131" s="24">
        <v>124.84409754519352</v>
      </c>
      <c r="CM131" s="24">
        <v>164900</v>
      </c>
      <c r="CN131" s="24">
        <v>308702</v>
      </c>
      <c r="CO131" s="24">
        <v>2472.6999999999998</v>
      </c>
      <c r="CP131" s="24">
        <v>57771</v>
      </c>
      <c r="CQ131" s="24">
        <v>442.5</v>
      </c>
      <c r="CR131" s="24">
        <v>1239.3</v>
      </c>
      <c r="CS131" s="24">
        <v>218450</v>
      </c>
      <c r="CT131" s="24">
        <v>218710</v>
      </c>
      <c r="CU131" s="24">
        <v>1849.4</v>
      </c>
      <c r="CV131" s="24">
        <v>39135</v>
      </c>
      <c r="CW131" s="24">
        <v>0</v>
      </c>
      <c r="CX131" s="24">
        <v>186906</v>
      </c>
      <c r="CY131" s="24">
        <v>1070.0999999999999</v>
      </c>
      <c r="CZ131" s="24">
        <v>40269</v>
      </c>
      <c r="DA131" s="24">
        <v>1239.3</v>
      </c>
      <c r="DD131" s="24">
        <v>2022</v>
      </c>
      <c r="DE131" s="24">
        <v>17</v>
      </c>
      <c r="DF131" s="24" t="s">
        <v>33</v>
      </c>
      <c r="DG131" s="24">
        <v>60434</v>
      </c>
      <c r="DH131" s="24">
        <v>36448</v>
      </c>
      <c r="DJ131" s="24">
        <v>2022</v>
      </c>
      <c r="DK131" s="24">
        <v>16</v>
      </c>
      <c r="DL131" s="24" t="s">
        <v>33</v>
      </c>
      <c r="DM131" s="24">
        <v>288</v>
      </c>
      <c r="DP131" s="24">
        <v>2021</v>
      </c>
      <c r="DQ131" s="24">
        <v>49</v>
      </c>
      <c r="DR131" s="24" t="s">
        <v>33</v>
      </c>
      <c r="DS131" s="24">
        <v>9369</v>
      </c>
      <c r="DT131" s="24"/>
      <c r="DW131" s="24">
        <v>2022</v>
      </c>
      <c r="DX131" s="24">
        <v>32</v>
      </c>
      <c r="DY131" s="24" t="s">
        <v>33</v>
      </c>
      <c r="DZ131" s="24">
        <v>95</v>
      </c>
      <c r="EA131" s="24" t="s">
        <v>149</v>
      </c>
      <c r="EB131" s="24">
        <v>203.2</v>
      </c>
      <c r="EC131" s="24">
        <v>2288.9</v>
      </c>
      <c r="ED131" s="24">
        <v>57001</v>
      </c>
      <c r="EE131" s="24">
        <v>63231</v>
      </c>
      <c r="EF131" s="24">
        <v>14.7</v>
      </c>
      <c r="EI131" s="24">
        <v>2023</v>
      </c>
      <c r="EJ131" s="24">
        <v>7</v>
      </c>
      <c r="EK131" s="24" t="s">
        <v>211</v>
      </c>
      <c r="EL131" s="24" t="s">
        <v>247</v>
      </c>
      <c r="EM131" s="24" t="s">
        <v>210</v>
      </c>
      <c r="EN131" s="24">
        <v>4</v>
      </c>
      <c r="EO131" s="24"/>
      <c r="EP131" s="24"/>
      <c r="EQ131" s="24"/>
      <c r="ER131" s="24"/>
      <c r="ES131" s="24">
        <v>2022</v>
      </c>
      <c r="ET131" s="24">
        <v>19</v>
      </c>
      <c r="EU131" s="24" t="s">
        <v>33</v>
      </c>
      <c r="EV131" s="24">
        <v>169682</v>
      </c>
      <c r="EY131" s="24">
        <v>2022</v>
      </c>
      <c r="EZ131" s="24">
        <v>19</v>
      </c>
      <c r="FA131" s="24" t="s">
        <v>33</v>
      </c>
      <c r="FB131" s="24">
        <v>923</v>
      </c>
      <c r="FE131" s="24">
        <v>2022</v>
      </c>
      <c r="FF131" s="24">
        <v>17</v>
      </c>
      <c r="FG131" s="24" t="s">
        <v>33</v>
      </c>
      <c r="FH131" s="24">
        <v>0.83979999999999999</v>
      </c>
      <c r="FI131" s="24">
        <v>24714</v>
      </c>
      <c r="FJ131" s="24">
        <v>11087</v>
      </c>
      <c r="FK131" s="24">
        <v>13270</v>
      </c>
      <c r="FN131" s="24">
        <v>2022</v>
      </c>
      <c r="FO131" s="24">
        <v>18</v>
      </c>
      <c r="FP131" s="24" t="s">
        <v>33</v>
      </c>
      <c r="FQ131" s="24">
        <v>936051</v>
      </c>
      <c r="FR131" s="24">
        <v>8732.75</v>
      </c>
      <c r="FS131" s="24">
        <v>467979</v>
      </c>
      <c r="FT131" s="24">
        <v>3341.1333333333296</v>
      </c>
      <c r="FW131" s="24">
        <v>2022</v>
      </c>
      <c r="FX131" s="24">
        <v>17</v>
      </c>
      <c r="FY131" s="24" t="s">
        <v>33</v>
      </c>
      <c r="FZ131" s="24">
        <v>19428</v>
      </c>
      <c r="GA131" s="24">
        <v>18248</v>
      </c>
      <c r="GB131" s="24"/>
      <c r="GC131" s="24"/>
      <c r="GD131" s="24">
        <v>2022</v>
      </c>
      <c r="GE131" s="24">
        <v>17</v>
      </c>
      <c r="GF131" s="24" t="s">
        <v>33</v>
      </c>
      <c r="GG131" s="24">
        <v>19733</v>
      </c>
      <c r="GH131" s="24">
        <v>18781</v>
      </c>
      <c r="GK131" s="24"/>
      <c r="GL131" s="24"/>
      <c r="GM131" s="24"/>
      <c r="GN131" s="24"/>
      <c r="GO131" s="24"/>
      <c r="GP131" s="24">
        <v>2022</v>
      </c>
      <c r="GQ131" s="24">
        <v>17</v>
      </c>
      <c r="GR131" s="24">
        <v>15.1777142857143</v>
      </c>
      <c r="GS131" s="24" t="s">
        <v>33</v>
      </c>
      <c r="GX131">
        <v>2022</v>
      </c>
      <c r="GY131">
        <v>17</v>
      </c>
      <c r="GZ131" t="s">
        <v>33</v>
      </c>
      <c r="HA131">
        <v>340665</v>
      </c>
      <c r="HB131">
        <v>326458</v>
      </c>
      <c r="HC131">
        <v>977</v>
      </c>
      <c r="HD131">
        <v>828</v>
      </c>
      <c r="HE131">
        <v>1</v>
      </c>
      <c r="HF131">
        <v>5191</v>
      </c>
      <c r="HG131">
        <v>0</v>
      </c>
      <c r="HH131">
        <v>2</v>
      </c>
      <c r="HI131">
        <v>1432</v>
      </c>
      <c r="HL131">
        <v>2022</v>
      </c>
      <c r="HM131">
        <v>17</v>
      </c>
      <c r="HN131" t="s">
        <v>33</v>
      </c>
      <c r="HO131">
        <v>347436</v>
      </c>
      <c r="HP131">
        <v>340110</v>
      </c>
      <c r="HQ131">
        <v>962</v>
      </c>
      <c r="HR131">
        <v>461</v>
      </c>
      <c r="HS131">
        <v>0</v>
      </c>
      <c r="HT131">
        <v>4952</v>
      </c>
      <c r="HU131">
        <v>0</v>
      </c>
      <c r="HV131">
        <v>2</v>
      </c>
      <c r="HW131">
        <v>278</v>
      </c>
      <c r="HZ131" s="24">
        <v>2022</v>
      </c>
      <c r="IA131" s="24">
        <v>17</v>
      </c>
      <c r="IB131" s="24" t="s">
        <v>33</v>
      </c>
      <c r="IC131" s="24">
        <v>19139</v>
      </c>
      <c r="ID131" s="24">
        <v>18342</v>
      </c>
      <c r="IG131" s="24">
        <v>2022</v>
      </c>
      <c r="IH131" s="24">
        <v>17</v>
      </c>
      <c r="II131" s="24" t="s">
        <v>33</v>
      </c>
      <c r="IJ131" s="24">
        <v>18786</v>
      </c>
      <c r="IK131" s="24">
        <v>18563</v>
      </c>
    </row>
    <row r="132" spans="9:245" x14ac:dyDescent="0.4">
      <c r="I132" s="305">
        <v>2022</v>
      </c>
      <c r="J132" s="306">
        <v>17</v>
      </c>
      <c r="K132" s="306" t="s">
        <v>33</v>
      </c>
      <c r="L132" s="306">
        <v>345833</v>
      </c>
      <c r="M132" s="306">
        <v>264273</v>
      </c>
      <c r="N132" s="306">
        <v>1403</v>
      </c>
      <c r="O132" s="306">
        <v>6388</v>
      </c>
      <c r="P132" s="306">
        <v>643</v>
      </c>
      <c r="Q132" s="306">
        <v>83</v>
      </c>
      <c r="R132" s="24"/>
      <c r="S132" s="24"/>
      <c r="T132" s="24"/>
      <c r="W132" s="24">
        <v>2022</v>
      </c>
      <c r="X132" s="24">
        <v>16</v>
      </c>
      <c r="Y132" s="24" t="s">
        <v>32</v>
      </c>
      <c r="Z132" s="24">
        <v>17433</v>
      </c>
      <c r="AA132" s="24">
        <v>16855</v>
      </c>
      <c r="AB132" s="24">
        <v>66</v>
      </c>
      <c r="AC132" s="24">
        <v>6</v>
      </c>
      <c r="AD132" s="297"/>
      <c r="AE132" s="297"/>
      <c r="AF132" s="297"/>
      <c r="AG132" s="297"/>
      <c r="AH132" s="297"/>
      <c r="AI132" s="24"/>
      <c r="AJ132" s="24"/>
      <c r="AK132" s="24">
        <v>2022</v>
      </c>
      <c r="AL132" s="24">
        <v>16</v>
      </c>
      <c r="AM132" s="24">
        <v>602.03</v>
      </c>
      <c r="AN132" s="24">
        <v>76.3</v>
      </c>
      <c r="AO132" s="24">
        <v>0</v>
      </c>
      <c r="AP132" s="24">
        <v>14</v>
      </c>
      <c r="AQ132" s="24">
        <v>0</v>
      </c>
      <c r="AR132" s="24">
        <v>0</v>
      </c>
      <c r="AS132" s="24" t="s">
        <v>32</v>
      </c>
      <c r="AT132" s="24"/>
      <c r="AU132" s="24">
        <v>2022</v>
      </c>
      <c r="AV132" s="24">
        <v>16</v>
      </c>
      <c r="AW132" s="24">
        <v>0.17</v>
      </c>
      <c r="AX132" s="24">
        <v>3100</v>
      </c>
      <c r="AY132" s="24">
        <v>18021</v>
      </c>
      <c r="AZ132" s="24" t="s">
        <v>32</v>
      </c>
      <c r="BA132" s="24"/>
      <c r="BB132" s="24"/>
      <c r="BC132" s="24">
        <v>2022</v>
      </c>
      <c r="BD132" s="24">
        <v>16</v>
      </c>
      <c r="BE132" s="24">
        <v>275.69499999999999</v>
      </c>
      <c r="BF132" s="24" t="s">
        <v>32</v>
      </c>
      <c r="BG132" s="24"/>
      <c r="BI132" s="24">
        <v>2022</v>
      </c>
      <c r="BJ132" s="24">
        <v>39</v>
      </c>
      <c r="BK132" s="24" t="s">
        <v>33</v>
      </c>
      <c r="BL132" s="24" t="s">
        <v>272</v>
      </c>
      <c r="BM132" s="24">
        <v>50229</v>
      </c>
      <c r="BN132" s="24">
        <v>50139</v>
      </c>
      <c r="BO132" s="24">
        <v>180015</v>
      </c>
      <c r="BR132" s="24">
        <v>2022</v>
      </c>
      <c r="BS132" s="24">
        <v>16</v>
      </c>
      <c r="BT132" s="24">
        <v>17919</v>
      </c>
      <c r="BU132" s="24">
        <v>0</v>
      </c>
      <c r="BV132" s="24" t="s">
        <v>32</v>
      </c>
      <c r="BY132" s="24">
        <v>2022</v>
      </c>
      <c r="BZ132" s="24">
        <v>19</v>
      </c>
      <c r="CA132" s="24" t="s">
        <v>33</v>
      </c>
      <c r="CB132" s="24" t="s">
        <v>423</v>
      </c>
      <c r="CC132" s="24">
        <v>38</v>
      </c>
      <c r="CF132" s="24">
        <v>2022</v>
      </c>
      <c r="CG132" s="24">
        <v>16</v>
      </c>
      <c r="CH132" s="24" t="s">
        <v>32</v>
      </c>
      <c r="CI132" s="24">
        <v>75.936073059360737</v>
      </c>
      <c r="CJ132" s="24">
        <v>3326</v>
      </c>
      <c r="CK132" s="24">
        <v>43.8</v>
      </c>
      <c r="CL132" s="24">
        <v>42.623651079136692</v>
      </c>
      <c r="CM132" s="24">
        <v>9938</v>
      </c>
      <c r="CN132" s="24">
        <v>18959</v>
      </c>
      <c r="CO132" s="24">
        <v>444.8</v>
      </c>
      <c r="CP132" s="24">
        <v>7761</v>
      </c>
      <c r="CQ132" s="24">
        <v>43.2</v>
      </c>
      <c r="CR132" s="24">
        <v>223.1</v>
      </c>
      <c r="CS132" s="24">
        <v>23269</v>
      </c>
      <c r="CT132" s="24">
        <v>23269</v>
      </c>
      <c r="CU132" s="24">
        <v>500.6</v>
      </c>
      <c r="CV132" s="24">
        <v>1766</v>
      </c>
      <c r="CW132" s="24">
        <v>0</v>
      </c>
      <c r="CX132" s="24">
        <v>10100</v>
      </c>
      <c r="CY132" s="24">
        <v>40.200000000000003</v>
      </c>
      <c r="CZ132" s="24">
        <v>6148</v>
      </c>
      <c r="DA132" s="24">
        <v>223.1</v>
      </c>
      <c r="DD132" s="24">
        <v>2022</v>
      </c>
      <c r="DE132" s="24">
        <v>16</v>
      </c>
      <c r="DF132" s="24" t="s">
        <v>32</v>
      </c>
      <c r="DG132" s="24">
        <v>63</v>
      </c>
      <c r="DH132" s="24">
        <v>2849</v>
      </c>
      <c r="DJ132" s="24">
        <v>2022</v>
      </c>
      <c r="DK132" s="24">
        <v>15</v>
      </c>
      <c r="DL132" s="24" t="s">
        <v>32</v>
      </c>
      <c r="DM132" s="24">
        <v>9</v>
      </c>
      <c r="DP132" s="24">
        <v>2021</v>
      </c>
      <c r="DQ132" s="24">
        <v>48</v>
      </c>
      <c r="DR132" s="24" t="s">
        <v>33</v>
      </c>
      <c r="DS132" s="24">
        <v>8642</v>
      </c>
      <c r="DT132" s="24"/>
      <c r="DW132" s="24">
        <v>2022</v>
      </c>
      <c r="DX132" s="24">
        <v>31</v>
      </c>
      <c r="DY132" s="24" t="s">
        <v>32</v>
      </c>
      <c r="DZ132" s="24">
        <v>2</v>
      </c>
      <c r="EA132" s="24" t="s">
        <v>149</v>
      </c>
      <c r="EB132" s="24">
        <v>37.5</v>
      </c>
      <c r="EC132" s="24">
        <v>37.4</v>
      </c>
      <c r="ED132" s="24">
        <v>1036</v>
      </c>
      <c r="EE132" s="24">
        <v>2485</v>
      </c>
      <c r="EF132" s="24">
        <v>0</v>
      </c>
      <c r="EI132" s="24">
        <v>2023</v>
      </c>
      <c r="EJ132" s="24">
        <v>6</v>
      </c>
      <c r="EK132" s="24" t="s">
        <v>208</v>
      </c>
      <c r="EL132" s="24" t="s">
        <v>352</v>
      </c>
      <c r="EM132" s="24" t="s">
        <v>210</v>
      </c>
      <c r="EN132" s="24">
        <v>2</v>
      </c>
      <c r="EO132" s="24"/>
      <c r="EP132" s="24"/>
      <c r="EQ132" s="24"/>
      <c r="ER132" s="24"/>
      <c r="ES132" s="24">
        <v>2022</v>
      </c>
      <c r="ET132" s="24">
        <v>18</v>
      </c>
      <c r="EU132" s="24" t="s">
        <v>32</v>
      </c>
      <c r="EV132" s="24">
        <v>8491</v>
      </c>
      <c r="EY132" s="24">
        <v>2022</v>
      </c>
      <c r="EZ132" s="24">
        <v>18</v>
      </c>
      <c r="FA132" s="24" t="s">
        <v>32</v>
      </c>
      <c r="FB132" s="24">
        <v>904</v>
      </c>
      <c r="FE132" s="24">
        <v>2022</v>
      </c>
      <c r="FF132" s="24">
        <v>16</v>
      </c>
      <c r="FG132" s="24" t="s">
        <v>32</v>
      </c>
      <c r="FH132" s="24">
        <v>0.82330000000000003</v>
      </c>
      <c r="FI132" s="24">
        <v>576</v>
      </c>
      <c r="FJ132" s="24">
        <v>276</v>
      </c>
      <c r="FK132" s="24">
        <v>329</v>
      </c>
      <c r="FN132" s="24">
        <v>2022</v>
      </c>
      <c r="FO132" s="24">
        <v>17</v>
      </c>
      <c r="FP132" s="24" t="s">
        <v>32</v>
      </c>
      <c r="FQ132" s="24">
        <v>44408</v>
      </c>
      <c r="FR132" s="24">
        <v>1114.61666666667</v>
      </c>
      <c r="FS132" s="24">
        <v>47800</v>
      </c>
      <c r="FT132" s="24">
        <v>570.76666666666699</v>
      </c>
      <c r="FW132" s="24">
        <v>2022</v>
      </c>
      <c r="FX132" s="24">
        <v>16</v>
      </c>
      <c r="FY132" s="24" t="s">
        <v>32</v>
      </c>
      <c r="FZ132" s="24">
        <v>2609</v>
      </c>
      <c r="GA132" s="24">
        <v>2350</v>
      </c>
      <c r="GB132" s="24"/>
      <c r="GC132" s="24"/>
      <c r="GD132" s="24">
        <v>2022</v>
      </c>
      <c r="GE132" s="24">
        <v>16</v>
      </c>
      <c r="GF132" s="24" t="s">
        <v>32</v>
      </c>
      <c r="GG132" s="24">
        <v>2621</v>
      </c>
      <c r="GH132" s="24">
        <v>2265</v>
      </c>
      <c r="GK132" s="24"/>
      <c r="GL132" s="24"/>
      <c r="GM132" s="24"/>
      <c r="GN132" s="24"/>
      <c r="GO132" s="24"/>
      <c r="GP132" s="24">
        <v>2022</v>
      </c>
      <c r="GQ132" s="24">
        <v>16</v>
      </c>
      <c r="GR132" s="24">
        <v>0.03</v>
      </c>
      <c r="GS132" s="24" t="s">
        <v>32</v>
      </c>
      <c r="GX132">
        <v>2022</v>
      </c>
      <c r="GY132">
        <v>16</v>
      </c>
      <c r="GZ132" t="s">
        <v>32</v>
      </c>
      <c r="HA132">
        <v>17610</v>
      </c>
      <c r="HB132">
        <v>17185</v>
      </c>
      <c r="HC132">
        <v>4</v>
      </c>
      <c r="HD132">
        <v>4</v>
      </c>
      <c r="HE132">
        <v>0</v>
      </c>
      <c r="HF132">
        <v>63</v>
      </c>
      <c r="HG132">
        <v>0</v>
      </c>
      <c r="HH132">
        <v>0</v>
      </c>
      <c r="HI132">
        <v>75</v>
      </c>
      <c r="HL132">
        <v>2022</v>
      </c>
      <c r="HM132">
        <v>16</v>
      </c>
      <c r="HN132" t="s">
        <v>32</v>
      </c>
      <c r="HO132">
        <v>17379</v>
      </c>
      <c r="HP132">
        <v>17079</v>
      </c>
      <c r="HQ132">
        <v>14</v>
      </c>
      <c r="HR132">
        <v>2</v>
      </c>
      <c r="HS132">
        <v>0</v>
      </c>
      <c r="HT132">
        <v>93</v>
      </c>
      <c r="HU132">
        <v>0</v>
      </c>
      <c r="HV132">
        <v>0</v>
      </c>
      <c r="HW132">
        <v>14</v>
      </c>
      <c r="HZ132" s="24">
        <v>2022</v>
      </c>
      <c r="IA132" s="24">
        <v>16</v>
      </c>
      <c r="IB132" s="24" t="s">
        <v>32</v>
      </c>
      <c r="IC132" s="24">
        <v>2621</v>
      </c>
      <c r="ID132" s="24">
        <v>2472</v>
      </c>
      <c r="IG132" s="24">
        <v>2022</v>
      </c>
      <c r="IH132" s="24">
        <v>16</v>
      </c>
      <c r="II132" s="24" t="s">
        <v>32</v>
      </c>
      <c r="IJ132" s="24">
        <v>2589</v>
      </c>
      <c r="IK132" s="24">
        <v>2516</v>
      </c>
    </row>
    <row r="133" spans="9:245" x14ac:dyDescent="0.4">
      <c r="I133" s="305">
        <v>2022</v>
      </c>
      <c r="J133" s="306">
        <v>16</v>
      </c>
      <c r="K133" s="306" t="s">
        <v>32</v>
      </c>
      <c r="L133" s="306">
        <v>17419</v>
      </c>
      <c r="M133" s="306">
        <v>16909</v>
      </c>
      <c r="N133" s="306">
        <v>46</v>
      </c>
      <c r="O133" s="306">
        <v>138</v>
      </c>
      <c r="P133" s="306">
        <v>60</v>
      </c>
      <c r="Q133" s="306">
        <v>9</v>
      </c>
      <c r="R133" s="24"/>
      <c r="S133" s="24"/>
      <c r="T133" s="24"/>
      <c r="W133" s="24">
        <v>2022</v>
      </c>
      <c r="X133" s="24">
        <v>16</v>
      </c>
      <c r="Y133" s="24" t="s">
        <v>33</v>
      </c>
      <c r="Z133" s="24">
        <v>324977</v>
      </c>
      <c r="AA133" s="24">
        <v>247797</v>
      </c>
      <c r="AB133" s="24">
        <v>467</v>
      </c>
      <c r="AC133" s="24">
        <v>108</v>
      </c>
      <c r="AD133" s="297"/>
      <c r="AE133" s="297"/>
      <c r="AF133" s="297"/>
      <c r="AG133" s="297"/>
      <c r="AH133" s="297"/>
      <c r="AI133" s="24"/>
      <c r="AJ133" s="24"/>
      <c r="AK133" s="24">
        <v>2022</v>
      </c>
      <c r="AL133" s="24">
        <v>16</v>
      </c>
      <c r="AM133" s="24">
        <v>18385.920000000002</v>
      </c>
      <c r="AN133" s="24">
        <v>1479.75</v>
      </c>
      <c r="AO133" s="24">
        <v>0</v>
      </c>
      <c r="AP133" s="24">
        <v>464</v>
      </c>
      <c r="AQ133" s="24">
        <v>0</v>
      </c>
      <c r="AR133" s="24">
        <v>0</v>
      </c>
      <c r="AS133" s="24" t="s">
        <v>33</v>
      </c>
      <c r="AT133" s="24"/>
      <c r="AU133" s="24">
        <v>2022</v>
      </c>
      <c r="AV133" s="24">
        <v>16</v>
      </c>
      <c r="AW133" s="24">
        <v>0.05</v>
      </c>
      <c r="AX133" s="24">
        <v>18700</v>
      </c>
      <c r="AY133" s="24">
        <v>341377</v>
      </c>
      <c r="AZ133" s="24" t="s">
        <v>33</v>
      </c>
      <c r="BA133" s="24"/>
      <c r="BB133" s="24"/>
      <c r="BC133" s="24">
        <v>2022</v>
      </c>
      <c r="BD133" s="24">
        <v>16</v>
      </c>
      <c r="BE133" s="24">
        <v>2567.0239999999999</v>
      </c>
      <c r="BF133" s="24" t="s">
        <v>33</v>
      </c>
      <c r="BG133" s="24"/>
      <c r="BI133" s="24">
        <v>2022</v>
      </c>
      <c r="BJ133" s="24">
        <v>39</v>
      </c>
      <c r="BK133" s="24" t="s">
        <v>32</v>
      </c>
      <c r="BL133" s="24" t="s">
        <v>272</v>
      </c>
      <c r="BM133" s="24">
        <v>3202</v>
      </c>
      <c r="BN133" s="24">
        <v>3198</v>
      </c>
      <c r="BO133" s="24">
        <v>10765</v>
      </c>
      <c r="BR133" s="24">
        <v>2022</v>
      </c>
      <c r="BS133" s="24">
        <v>16</v>
      </c>
      <c r="BT133" s="24">
        <v>334484</v>
      </c>
      <c r="BU133" s="24">
        <v>2</v>
      </c>
      <c r="BV133" s="24" t="s">
        <v>33</v>
      </c>
      <c r="BY133" s="24">
        <v>2022</v>
      </c>
      <c r="BZ133" s="24">
        <v>18</v>
      </c>
      <c r="CA133" s="24" t="s">
        <v>33</v>
      </c>
      <c r="CB133" s="24" t="s">
        <v>423</v>
      </c>
      <c r="CC133" s="24">
        <v>20</v>
      </c>
      <c r="CF133" s="24">
        <v>2022</v>
      </c>
      <c r="CG133" s="24">
        <v>16</v>
      </c>
      <c r="CH133" s="24" t="s">
        <v>33</v>
      </c>
      <c r="CI133" s="24">
        <v>135.67647358240862</v>
      </c>
      <c r="CJ133" s="24">
        <v>266550</v>
      </c>
      <c r="CK133" s="24">
        <v>1964.6</v>
      </c>
      <c r="CL133" s="24">
        <v>124.85026348485498</v>
      </c>
      <c r="CM133" s="24">
        <v>151084</v>
      </c>
      <c r="CN133" s="24">
        <v>291413</v>
      </c>
      <c r="CO133" s="24">
        <v>2334.1</v>
      </c>
      <c r="CP133" s="24">
        <v>49151</v>
      </c>
      <c r="CQ133" s="24">
        <v>326</v>
      </c>
      <c r="CR133" s="24">
        <v>1166.7</v>
      </c>
      <c r="CS133" s="24">
        <v>179804</v>
      </c>
      <c r="CT133" s="24">
        <v>179804</v>
      </c>
      <c r="CU133" s="24">
        <v>1631.4</v>
      </c>
      <c r="CV133" s="24">
        <v>41478</v>
      </c>
      <c r="CW133" s="24">
        <v>1.7</v>
      </c>
      <c r="CX133" s="24">
        <v>179837</v>
      </c>
      <c r="CY133" s="24">
        <v>877.8</v>
      </c>
      <c r="CZ133" s="24">
        <v>36382</v>
      </c>
      <c r="DA133" s="24">
        <v>1166.7</v>
      </c>
      <c r="DD133" s="24">
        <v>2022</v>
      </c>
      <c r="DE133" s="24">
        <v>16</v>
      </c>
      <c r="DF133" s="24" t="s">
        <v>33</v>
      </c>
      <c r="DG133" s="24">
        <v>58612</v>
      </c>
      <c r="DH133" s="24">
        <v>29391</v>
      </c>
      <c r="DJ133" s="24">
        <v>2022</v>
      </c>
      <c r="DK133" s="24">
        <v>15</v>
      </c>
      <c r="DL133" s="24" t="s">
        <v>33</v>
      </c>
      <c r="DM133" s="24">
        <v>315</v>
      </c>
      <c r="DP133" s="24">
        <v>2021</v>
      </c>
      <c r="DQ133" s="24">
        <v>47</v>
      </c>
      <c r="DR133" s="24" t="s">
        <v>33</v>
      </c>
      <c r="DS133" s="24">
        <v>12910</v>
      </c>
      <c r="DT133" s="24"/>
      <c r="DW133" s="24">
        <v>2022</v>
      </c>
      <c r="DX133" s="24">
        <v>31</v>
      </c>
      <c r="DY133" s="24" t="s">
        <v>33</v>
      </c>
      <c r="DZ133" s="24">
        <v>14</v>
      </c>
      <c r="EA133" s="24" t="s">
        <v>562</v>
      </c>
      <c r="EB133" s="24">
        <v>359.7</v>
      </c>
      <c r="EC133" s="24">
        <v>0.2</v>
      </c>
      <c r="ED133" s="24"/>
      <c r="EE133" s="24">
        <v>11908</v>
      </c>
      <c r="EF133" s="24">
        <v>7.2</v>
      </c>
      <c r="EI133" s="24">
        <v>2023</v>
      </c>
      <c r="EJ133" s="24">
        <v>6</v>
      </c>
      <c r="EK133" s="24" t="s">
        <v>208</v>
      </c>
      <c r="EL133" s="24" t="s">
        <v>352</v>
      </c>
      <c r="EM133" s="24" t="s">
        <v>234</v>
      </c>
      <c r="EN133" s="24">
        <v>1</v>
      </c>
      <c r="EO133" s="24"/>
      <c r="EP133" s="24"/>
      <c r="EQ133" s="24"/>
      <c r="ER133" s="24"/>
      <c r="ES133" s="24">
        <v>2022</v>
      </c>
      <c r="ET133" s="24">
        <v>18</v>
      </c>
      <c r="EU133" s="24" t="s">
        <v>33</v>
      </c>
      <c r="EV133" s="24">
        <v>173373</v>
      </c>
      <c r="EY133" s="24">
        <v>2022</v>
      </c>
      <c r="EZ133" s="24">
        <v>18</v>
      </c>
      <c r="FA133" s="24" t="s">
        <v>33</v>
      </c>
      <c r="FB133" s="24">
        <v>1960</v>
      </c>
      <c r="FE133" s="24">
        <v>2022</v>
      </c>
      <c r="FF133" s="24">
        <v>16</v>
      </c>
      <c r="FG133" s="24" t="s">
        <v>33</v>
      </c>
      <c r="FH133" s="24">
        <v>0.88990000000000002</v>
      </c>
      <c r="FI133" s="24">
        <v>21368</v>
      </c>
      <c r="FJ133" s="24">
        <v>9596</v>
      </c>
      <c r="FK133" s="24">
        <v>10892</v>
      </c>
      <c r="FN133" s="24">
        <v>2022</v>
      </c>
      <c r="FO133" s="24">
        <v>17</v>
      </c>
      <c r="FP133" s="24" t="s">
        <v>33</v>
      </c>
      <c r="FQ133" s="24">
        <v>983831</v>
      </c>
      <c r="FR133" s="24">
        <v>8990.6333333333387</v>
      </c>
      <c r="FS133" s="24">
        <v>527971</v>
      </c>
      <c r="FT133" s="24">
        <v>3538.9</v>
      </c>
      <c r="FW133" s="24">
        <v>2022</v>
      </c>
      <c r="FX133" s="24">
        <v>16</v>
      </c>
      <c r="FY133" s="24" t="s">
        <v>33</v>
      </c>
      <c r="FZ133" s="24">
        <v>18344</v>
      </c>
      <c r="GA133" s="24">
        <v>17119</v>
      </c>
      <c r="GB133" s="24"/>
      <c r="GC133" s="24"/>
      <c r="GD133" s="24">
        <v>2022</v>
      </c>
      <c r="GE133" s="24">
        <v>16</v>
      </c>
      <c r="GF133" s="24" t="s">
        <v>33</v>
      </c>
      <c r="GG133" s="24">
        <v>18118</v>
      </c>
      <c r="GH133" s="24">
        <v>17241</v>
      </c>
      <c r="GK133" s="24"/>
      <c r="GL133" s="24"/>
      <c r="GM133" s="24"/>
      <c r="GN133" s="24"/>
      <c r="GO133" s="24"/>
      <c r="GP133" s="24">
        <v>2022</v>
      </c>
      <c r="GQ133" s="24">
        <v>16</v>
      </c>
      <c r="GR133" s="24">
        <v>15.142571428571401</v>
      </c>
      <c r="GS133" s="24" t="s">
        <v>33</v>
      </c>
      <c r="GX133">
        <v>2022</v>
      </c>
      <c r="GY133">
        <v>16</v>
      </c>
      <c r="GZ133" t="s">
        <v>33</v>
      </c>
      <c r="HA133">
        <v>328706</v>
      </c>
      <c r="HB133">
        <v>320521</v>
      </c>
      <c r="HC133">
        <v>571</v>
      </c>
      <c r="HD133">
        <v>360</v>
      </c>
      <c r="HE133">
        <v>1</v>
      </c>
      <c r="HF133">
        <v>1386</v>
      </c>
      <c r="HG133">
        <v>0</v>
      </c>
      <c r="HH133">
        <v>0</v>
      </c>
      <c r="HI133">
        <v>1461</v>
      </c>
      <c r="HL133">
        <v>2022</v>
      </c>
      <c r="HM133">
        <v>16</v>
      </c>
      <c r="HN133" t="s">
        <v>33</v>
      </c>
      <c r="HO133">
        <v>324626</v>
      </c>
      <c r="HP133">
        <v>321760</v>
      </c>
      <c r="HQ133">
        <v>625</v>
      </c>
      <c r="HR133">
        <v>105</v>
      </c>
      <c r="HS133">
        <v>0</v>
      </c>
      <c r="HT133">
        <v>1014</v>
      </c>
      <c r="HU133">
        <v>0</v>
      </c>
      <c r="HV133">
        <v>0</v>
      </c>
      <c r="HW133">
        <v>190</v>
      </c>
      <c r="HZ133" s="24">
        <v>2022</v>
      </c>
      <c r="IA133" s="24">
        <v>16</v>
      </c>
      <c r="IB133" s="24" t="s">
        <v>33</v>
      </c>
      <c r="IC133" s="24">
        <v>18575</v>
      </c>
      <c r="ID133" s="24">
        <v>17689</v>
      </c>
      <c r="IG133" s="24">
        <v>2022</v>
      </c>
      <c r="IH133" s="24">
        <v>16</v>
      </c>
      <c r="II133" s="24" t="s">
        <v>33</v>
      </c>
      <c r="IJ133" s="24">
        <v>17040</v>
      </c>
      <c r="IK133" s="24">
        <v>16892</v>
      </c>
    </row>
    <row r="134" spans="9:245" x14ac:dyDescent="0.4">
      <c r="I134" s="305">
        <v>2022</v>
      </c>
      <c r="J134" s="306">
        <v>16</v>
      </c>
      <c r="K134" s="306" t="s">
        <v>33</v>
      </c>
      <c r="L134" s="306">
        <v>327311</v>
      </c>
      <c r="M134" s="306">
        <v>247264</v>
      </c>
      <c r="N134" s="306">
        <v>1661</v>
      </c>
      <c r="O134" s="306">
        <v>7698</v>
      </c>
      <c r="P134" s="306">
        <v>565</v>
      </c>
      <c r="Q134" s="306">
        <v>97</v>
      </c>
      <c r="R134" s="24"/>
      <c r="S134" s="24"/>
      <c r="T134" s="24"/>
      <c r="W134" s="24">
        <v>2022</v>
      </c>
      <c r="X134" s="24">
        <v>15</v>
      </c>
      <c r="Y134" s="24" t="s">
        <v>32</v>
      </c>
      <c r="Z134" s="24">
        <v>16895</v>
      </c>
      <c r="AA134" s="24">
        <v>16567</v>
      </c>
      <c r="AB134" s="24">
        <v>10</v>
      </c>
      <c r="AC134" s="24">
        <v>4</v>
      </c>
      <c r="AD134" s="297"/>
      <c r="AE134" s="297"/>
      <c r="AF134" s="297"/>
      <c r="AG134" s="297"/>
      <c r="AH134" s="297"/>
      <c r="AI134" s="24"/>
      <c r="AJ134" s="24"/>
      <c r="AK134" s="24">
        <v>2022</v>
      </c>
      <c r="AL134" s="24">
        <v>15</v>
      </c>
      <c r="AM134" s="24">
        <v>663.88</v>
      </c>
      <c r="AN134" s="24">
        <v>74.650000000000006</v>
      </c>
      <c r="AO134" s="24">
        <v>0</v>
      </c>
      <c r="AP134" s="24">
        <v>14</v>
      </c>
      <c r="AQ134" s="24">
        <v>0</v>
      </c>
      <c r="AR134" s="24">
        <v>0</v>
      </c>
      <c r="AS134" s="24" t="s">
        <v>32</v>
      </c>
      <c r="AT134" s="24"/>
      <c r="AU134" s="24">
        <v>2022</v>
      </c>
      <c r="AV134" s="24">
        <v>15</v>
      </c>
      <c r="AW134" s="24">
        <v>0.17</v>
      </c>
      <c r="AX134" s="24">
        <v>3000</v>
      </c>
      <c r="AY134" s="24">
        <v>17337</v>
      </c>
      <c r="AZ134" s="24" t="s">
        <v>32</v>
      </c>
      <c r="BA134" s="24"/>
      <c r="BB134" s="24"/>
      <c r="BC134" s="24">
        <v>2022</v>
      </c>
      <c r="BD134" s="24">
        <v>15</v>
      </c>
      <c r="BE134" s="24">
        <v>269.32514285714302</v>
      </c>
      <c r="BF134" s="24" t="s">
        <v>32</v>
      </c>
      <c r="BG134" s="24"/>
      <c r="BI134" s="24">
        <v>2022</v>
      </c>
      <c r="BJ134" s="24">
        <v>38</v>
      </c>
      <c r="BK134" s="24" t="s">
        <v>32</v>
      </c>
      <c r="BL134" s="24" t="s">
        <v>272</v>
      </c>
      <c r="BM134" s="24">
        <v>3168</v>
      </c>
      <c r="BN134" s="24">
        <v>3161</v>
      </c>
      <c r="BO134" s="24">
        <v>10616</v>
      </c>
      <c r="BR134" s="24">
        <v>2022</v>
      </c>
      <c r="BS134" s="24">
        <v>15</v>
      </c>
      <c r="BT134" s="24">
        <v>323937</v>
      </c>
      <c r="BU134" s="24">
        <v>4</v>
      </c>
      <c r="BV134" s="24" t="s">
        <v>33</v>
      </c>
      <c r="BY134" s="24">
        <v>2022</v>
      </c>
      <c r="BZ134" s="24">
        <v>17</v>
      </c>
      <c r="CA134" s="24" t="s">
        <v>33</v>
      </c>
      <c r="CB134" s="24" t="s">
        <v>108</v>
      </c>
      <c r="CC134" s="24">
        <v>2</v>
      </c>
      <c r="CF134" s="24">
        <v>2022</v>
      </c>
      <c r="CG134" s="24">
        <v>15</v>
      </c>
      <c r="CH134" s="24" t="s">
        <v>32</v>
      </c>
      <c r="CI134" s="24">
        <v>77.180156657963451</v>
      </c>
      <c r="CJ134" s="24">
        <v>5912</v>
      </c>
      <c r="CK134" s="24">
        <v>76.599999999999994</v>
      </c>
      <c r="CL134" s="24">
        <v>41.788689171416046</v>
      </c>
      <c r="CM134" s="24">
        <v>10587</v>
      </c>
      <c r="CN134" s="24">
        <v>19064</v>
      </c>
      <c r="CO134" s="24">
        <v>456.2</v>
      </c>
      <c r="CP134" s="24">
        <v>8520</v>
      </c>
      <c r="CQ134" s="24">
        <v>42.8</v>
      </c>
      <c r="CR134" s="24">
        <v>232.9</v>
      </c>
      <c r="CS134" s="24">
        <v>22648</v>
      </c>
      <c r="CT134" s="24">
        <v>22648</v>
      </c>
      <c r="CU134" s="24">
        <v>424.1</v>
      </c>
      <c r="CV134" s="24">
        <v>2409</v>
      </c>
      <c r="CW134" s="24">
        <v>0</v>
      </c>
      <c r="CX134" s="24">
        <v>9225</v>
      </c>
      <c r="CY134" s="24">
        <v>50.2</v>
      </c>
      <c r="CZ134" s="24">
        <v>7084</v>
      </c>
      <c r="DA134" s="24">
        <v>232.9</v>
      </c>
      <c r="DD134" s="24">
        <v>2022</v>
      </c>
      <c r="DE134" s="24">
        <v>15</v>
      </c>
      <c r="DF134" s="24" t="s">
        <v>32</v>
      </c>
      <c r="DG134" s="24">
        <v>53</v>
      </c>
      <c r="DH134" s="24">
        <v>2570</v>
      </c>
      <c r="DJ134" s="24">
        <v>2022</v>
      </c>
      <c r="DK134" s="24">
        <v>14</v>
      </c>
      <c r="DL134" s="24" t="s">
        <v>32</v>
      </c>
      <c r="DM134" s="24">
        <v>26</v>
      </c>
      <c r="DP134" s="24">
        <v>2021</v>
      </c>
      <c r="DQ134" s="24">
        <v>46</v>
      </c>
      <c r="DR134" s="24" t="s">
        <v>33</v>
      </c>
      <c r="DS134" s="24">
        <v>16888</v>
      </c>
      <c r="DT134" s="24"/>
      <c r="DW134" s="24">
        <v>2022</v>
      </c>
      <c r="DX134" s="24">
        <v>31</v>
      </c>
      <c r="DY134" s="24" t="s">
        <v>33</v>
      </c>
      <c r="DZ134" s="24">
        <v>98</v>
      </c>
      <c r="EA134" s="24" t="s">
        <v>149</v>
      </c>
      <c r="EB134" s="24">
        <v>165.3</v>
      </c>
      <c r="EC134" s="24">
        <v>2400.6999999999998</v>
      </c>
      <c r="ED134" s="24">
        <v>59153</v>
      </c>
      <c r="EE134" s="24">
        <v>63650</v>
      </c>
      <c r="EF134" s="24">
        <v>10.8</v>
      </c>
      <c r="EI134" s="24">
        <v>2023</v>
      </c>
      <c r="EJ134" s="24">
        <v>6</v>
      </c>
      <c r="EK134" s="24" t="s">
        <v>208</v>
      </c>
      <c r="EL134" s="24" t="s">
        <v>554</v>
      </c>
      <c r="EM134" s="24" t="s">
        <v>210</v>
      </c>
      <c r="EN134" s="24">
        <v>1</v>
      </c>
      <c r="EO134" s="24"/>
      <c r="EP134" s="24"/>
      <c r="EQ134" s="24"/>
      <c r="ER134" s="24"/>
      <c r="ES134" s="24">
        <v>2022</v>
      </c>
      <c r="ET134" s="24">
        <v>18</v>
      </c>
      <c r="EU134" s="24" t="s">
        <v>213</v>
      </c>
      <c r="EV134" s="24">
        <v>5</v>
      </c>
      <c r="EY134" s="24">
        <v>2022</v>
      </c>
      <c r="EZ134" s="24">
        <v>18</v>
      </c>
      <c r="FA134" s="24" t="s">
        <v>213</v>
      </c>
      <c r="FB134" s="24">
        <v>1</v>
      </c>
      <c r="FE134" s="24">
        <v>2022</v>
      </c>
      <c r="FF134" s="24">
        <v>15</v>
      </c>
      <c r="FG134" s="24" t="s">
        <v>32</v>
      </c>
      <c r="FH134" s="24">
        <v>0.85410000000000008</v>
      </c>
      <c r="FI134" s="24">
        <v>527</v>
      </c>
      <c r="FJ134" s="24">
        <v>246</v>
      </c>
      <c r="FK134" s="24">
        <v>287</v>
      </c>
      <c r="FN134" s="24">
        <v>2022</v>
      </c>
      <c r="FO134" s="24">
        <v>16</v>
      </c>
      <c r="FP134" s="24" t="s">
        <v>32</v>
      </c>
      <c r="FQ134" s="24">
        <v>41765</v>
      </c>
      <c r="FR134" s="24">
        <v>963</v>
      </c>
      <c r="FS134" s="24">
        <v>42114</v>
      </c>
      <c r="FT134" s="24">
        <v>609.15</v>
      </c>
      <c r="FW134" s="24">
        <v>2022</v>
      </c>
      <c r="FX134" s="24">
        <v>15</v>
      </c>
      <c r="FY134" s="24" t="s">
        <v>32</v>
      </c>
      <c r="FZ134" s="24">
        <v>2683</v>
      </c>
      <c r="GA134" s="24">
        <v>2594</v>
      </c>
      <c r="GB134" s="24"/>
      <c r="GC134" s="24"/>
      <c r="GD134" s="24">
        <v>2022</v>
      </c>
      <c r="GE134" s="24">
        <v>15</v>
      </c>
      <c r="GF134" s="24" t="s">
        <v>32</v>
      </c>
      <c r="GG134" s="24">
        <v>2715</v>
      </c>
      <c r="GH134" s="24">
        <v>2579</v>
      </c>
      <c r="GK134" s="24"/>
      <c r="GL134" s="24"/>
      <c r="GM134" s="24"/>
      <c r="GN134" s="24"/>
      <c r="GO134" s="24"/>
      <c r="GP134" s="24">
        <v>2022</v>
      </c>
      <c r="GQ134" s="24">
        <v>15</v>
      </c>
      <c r="GR134" s="24">
        <v>0.03</v>
      </c>
      <c r="GS134" s="24" t="s">
        <v>32</v>
      </c>
      <c r="GX134">
        <v>2022</v>
      </c>
      <c r="GY134">
        <v>15</v>
      </c>
      <c r="GZ134" t="s">
        <v>32</v>
      </c>
      <c r="HA134">
        <v>16781</v>
      </c>
      <c r="HB134">
        <v>16430</v>
      </c>
      <c r="HC134">
        <v>10</v>
      </c>
      <c r="HD134">
        <v>3</v>
      </c>
      <c r="HE134">
        <v>0</v>
      </c>
      <c r="HF134">
        <v>54</v>
      </c>
      <c r="HG134">
        <v>0</v>
      </c>
      <c r="HH134">
        <v>0</v>
      </c>
      <c r="HI134">
        <v>34</v>
      </c>
      <c r="HL134">
        <v>2022</v>
      </c>
      <c r="HM134">
        <v>15</v>
      </c>
      <c r="HN134" t="s">
        <v>32</v>
      </c>
      <c r="HO134">
        <v>16870</v>
      </c>
      <c r="HP134">
        <v>16619</v>
      </c>
      <c r="HQ134">
        <v>18</v>
      </c>
      <c r="HR134">
        <v>3</v>
      </c>
      <c r="HS134">
        <v>0</v>
      </c>
      <c r="HT134">
        <v>81</v>
      </c>
      <c r="HU134">
        <v>0</v>
      </c>
      <c r="HV134">
        <v>0</v>
      </c>
      <c r="HW134">
        <v>14</v>
      </c>
      <c r="HZ134" s="24">
        <v>2022</v>
      </c>
      <c r="IA134" s="24">
        <v>15</v>
      </c>
      <c r="IB134" s="24" t="s">
        <v>32</v>
      </c>
      <c r="IC134" s="24">
        <v>2680</v>
      </c>
      <c r="ID134" s="24">
        <v>2595</v>
      </c>
      <c r="IG134" s="24">
        <v>2022</v>
      </c>
      <c r="IH134" s="24">
        <v>15</v>
      </c>
      <c r="II134" s="24" t="s">
        <v>32</v>
      </c>
      <c r="IJ134" s="24">
        <v>2673</v>
      </c>
      <c r="IK134" s="24">
        <v>2628</v>
      </c>
    </row>
    <row r="135" spans="9:245" x14ac:dyDescent="0.4">
      <c r="I135" s="305">
        <v>2022</v>
      </c>
      <c r="J135" s="306">
        <v>15</v>
      </c>
      <c r="K135" s="306" t="s">
        <v>32</v>
      </c>
      <c r="L135" s="306">
        <v>16919</v>
      </c>
      <c r="M135" s="306">
        <v>16596</v>
      </c>
      <c r="N135" s="306">
        <v>23</v>
      </c>
      <c r="O135" s="306">
        <v>72</v>
      </c>
      <c r="P135" s="306">
        <v>12</v>
      </c>
      <c r="Q135" s="306">
        <v>6</v>
      </c>
      <c r="R135" s="24"/>
      <c r="S135" s="24"/>
      <c r="T135" s="24"/>
      <c r="W135" s="24">
        <v>2022</v>
      </c>
      <c r="X135" s="24">
        <v>15</v>
      </c>
      <c r="Y135" s="24" t="s">
        <v>33</v>
      </c>
      <c r="Z135" s="24">
        <v>325985</v>
      </c>
      <c r="AA135" s="24">
        <v>237042</v>
      </c>
      <c r="AB135" s="24">
        <v>593</v>
      </c>
      <c r="AC135" s="24">
        <v>159</v>
      </c>
      <c r="AD135" s="297"/>
      <c r="AE135" s="297"/>
      <c r="AF135" s="297"/>
      <c r="AG135" s="297"/>
      <c r="AH135" s="297"/>
      <c r="AI135" s="24"/>
      <c r="AJ135" s="24"/>
      <c r="AK135" s="24">
        <v>2022</v>
      </c>
      <c r="AL135" s="24">
        <v>15</v>
      </c>
      <c r="AM135" s="24">
        <v>19011.600000000002</v>
      </c>
      <c r="AN135" s="24">
        <v>1819.75</v>
      </c>
      <c r="AO135" s="24">
        <v>0</v>
      </c>
      <c r="AP135" s="24">
        <v>470</v>
      </c>
      <c r="AQ135" s="24">
        <v>0</v>
      </c>
      <c r="AR135" s="24">
        <v>3</v>
      </c>
      <c r="AS135" s="24" t="s">
        <v>33</v>
      </c>
      <c r="AT135" s="24"/>
      <c r="AU135" s="24">
        <v>2022</v>
      </c>
      <c r="AV135" s="24">
        <v>15</v>
      </c>
      <c r="AW135" s="24">
        <v>0.08</v>
      </c>
      <c r="AX135" s="24">
        <v>24600</v>
      </c>
      <c r="AY135" s="24">
        <v>325808</v>
      </c>
      <c r="AZ135" s="24" t="s">
        <v>33</v>
      </c>
      <c r="BA135" s="24"/>
      <c r="BB135" s="24"/>
      <c r="BC135" s="24">
        <v>2022</v>
      </c>
      <c r="BD135" s="24">
        <v>15</v>
      </c>
      <c r="BE135" s="24">
        <v>2526.86414285714</v>
      </c>
      <c r="BF135" s="24" t="s">
        <v>33</v>
      </c>
      <c r="BG135" s="24"/>
      <c r="BI135" s="24">
        <v>2022</v>
      </c>
      <c r="BJ135" s="24">
        <v>38</v>
      </c>
      <c r="BK135" s="24" t="s">
        <v>33</v>
      </c>
      <c r="BL135" s="24" t="s">
        <v>272</v>
      </c>
      <c r="BM135" s="24">
        <v>68308</v>
      </c>
      <c r="BN135" s="24">
        <v>68241</v>
      </c>
      <c r="BO135" s="24">
        <v>252061</v>
      </c>
      <c r="BR135" s="24">
        <v>2022</v>
      </c>
      <c r="BS135" s="24">
        <v>15</v>
      </c>
      <c r="BT135" s="24">
        <v>17257</v>
      </c>
      <c r="BU135" s="24">
        <v>3</v>
      </c>
      <c r="BV135" s="24" t="s">
        <v>32</v>
      </c>
      <c r="BY135" s="24">
        <v>2022</v>
      </c>
      <c r="BZ135" s="24">
        <v>17</v>
      </c>
      <c r="CA135" s="24" t="s">
        <v>33</v>
      </c>
      <c r="CB135" s="24" t="s">
        <v>423</v>
      </c>
      <c r="CC135" s="24">
        <v>28</v>
      </c>
      <c r="CF135" s="24">
        <v>2022</v>
      </c>
      <c r="CG135" s="24">
        <v>15</v>
      </c>
      <c r="CH135" s="24" t="s">
        <v>33</v>
      </c>
      <c r="CI135" s="24">
        <v>127.94824486706406</v>
      </c>
      <c r="CJ135" s="24">
        <v>270457</v>
      </c>
      <c r="CK135" s="24">
        <v>2113.8000000000002</v>
      </c>
      <c r="CL135" s="24">
        <v>124.80283071151469</v>
      </c>
      <c r="CM135" s="24">
        <v>155269</v>
      </c>
      <c r="CN135" s="24">
        <v>292750</v>
      </c>
      <c r="CO135" s="24">
        <v>2345.6999999999998</v>
      </c>
      <c r="CP135" s="24">
        <v>55723</v>
      </c>
      <c r="CQ135" s="24">
        <v>496.4</v>
      </c>
      <c r="CR135" s="24">
        <v>1214.2</v>
      </c>
      <c r="CS135" s="24">
        <v>202054</v>
      </c>
      <c r="CT135" s="24">
        <v>202054</v>
      </c>
      <c r="CU135" s="24">
        <v>1702.8</v>
      </c>
      <c r="CV135" s="24">
        <v>52023</v>
      </c>
      <c r="CW135" s="24">
        <v>0</v>
      </c>
      <c r="CX135" s="24">
        <v>226796</v>
      </c>
      <c r="CY135" s="24">
        <v>1058.7</v>
      </c>
      <c r="CZ135" s="24">
        <v>37719</v>
      </c>
      <c r="DA135" s="24">
        <v>1214.2</v>
      </c>
      <c r="DD135" s="24">
        <v>2022</v>
      </c>
      <c r="DE135" s="24">
        <v>15</v>
      </c>
      <c r="DF135" s="24" t="s">
        <v>33</v>
      </c>
      <c r="DG135" s="24">
        <v>62762</v>
      </c>
      <c r="DH135" s="24">
        <v>38057</v>
      </c>
      <c r="DJ135" s="24">
        <v>2022</v>
      </c>
      <c r="DK135" s="24">
        <v>14</v>
      </c>
      <c r="DL135" s="24" t="s">
        <v>33</v>
      </c>
      <c r="DM135" s="24">
        <v>578</v>
      </c>
      <c r="DP135" s="24">
        <v>2021</v>
      </c>
      <c r="DQ135" s="24">
        <v>45</v>
      </c>
      <c r="DR135" s="24" t="s">
        <v>33</v>
      </c>
      <c r="DS135" s="24">
        <v>16448</v>
      </c>
      <c r="DT135" s="24"/>
      <c r="DW135" s="24">
        <v>2022</v>
      </c>
      <c r="DX135" s="24">
        <v>30</v>
      </c>
      <c r="DY135" s="24" t="s">
        <v>32</v>
      </c>
      <c r="DZ135" s="24">
        <v>2</v>
      </c>
      <c r="EA135" s="24" t="s">
        <v>149</v>
      </c>
      <c r="EB135" s="24">
        <v>36.5</v>
      </c>
      <c r="EC135" s="24">
        <v>28.2</v>
      </c>
      <c r="ED135" s="24">
        <v>677</v>
      </c>
      <c r="EE135" s="24">
        <v>1994</v>
      </c>
      <c r="EF135" s="24">
        <v>0</v>
      </c>
      <c r="EI135" s="24">
        <v>2023</v>
      </c>
      <c r="EJ135" s="24">
        <v>6</v>
      </c>
      <c r="EK135" s="24" t="s">
        <v>208</v>
      </c>
      <c r="EL135" s="24" t="s">
        <v>351</v>
      </c>
      <c r="EM135" s="24" t="s">
        <v>210</v>
      </c>
      <c r="EN135" s="24">
        <v>13</v>
      </c>
      <c r="EO135" s="24"/>
      <c r="EP135" s="24"/>
      <c r="EQ135" s="24"/>
      <c r="ER135" s="24"/>
      <c r="ES135" s="24">
        <v>2022</v>
      </c>
      <c r="ET135" s="24">
        <v>17</v>
      </c>
      <c r="EU135" s="24" t="s">
        <v>32</v>
      </c>
      <c r="EV135" s="24">
        <v>7759</v>
      </c>
      <c r="EY135" s="24">
        <v>2022</v>
      </c>
      <c r="EZ135" s="24">
        <v>17</v>
      </c>
      <c r="FA135" s="24" t="s">
        <v>32</v>
      </c>
      <c r="FB135" s="24">
        <v>1238</v>
      </c>
      <c r="FE135" s="24">
        <v>2022</v>
      </c>
      <c r="FF135" s="24">
        <v>15</v>
      </c>
      <c r="FG135" s="24" t="s">
        <v>33</v>
      </c>
      <c r="FH135" s="24">
        <v>0.87240000000000006</v>
      </c>
      <c r="FI135" s="24">
        <v>19302</v>
      </c>
      <c r="FJ135" s="24">
        <v>8613</v>
      </c>
      <c r="FK135" s="24">
        <v>9977</v>
      </c>
      <c r="FN135" s="24">
        <v>2022</v>
      </c>
      <c r="FO135" s="24">
        <v>16</v>
      </c>
      <c r="FP135" s="24" t="s">
        <v>33</v>
      </c>
      <c r="FQ135" s="24">
        <v>928125</v>
      </c>
      <c r="FR135" s="24">
        <v>8275.6666666666697</v>
      </c>
      <c r="FS135" s="24">
        <v>449145</v>
      </c>
      <c r="FT135" s="24">
        <v>2996.25</v>
      </c>
      <c r="FW135" s="24">
        <v>2022</v>
      </c>
      <c r="FX135" s="24">
        <v>15</v>
      </c>
      <c r="FY135" s="24" t="s">
        <v>33</v>
      </c>
      <c r="FZ135" s="24">
        <v>16306</v>
      </c>
      <c r="GA135" s="24">
        <v>15139</v>
      </c>
      <c r="GB135" s="24"/>
      <c r="GC135" s="24"/>
      <c r="GD135" s="24">
        <v>2022</v>
      </c>
      <c r="GE135" s="24">
        <v>15</v>
      </c>
      <c r="GF135" s="24" t="s">
        <v>33</v>
      </c>
      <c r="GG135" s="24">
        <v>16205</v>
      </c>
      <c r="GH135" s="24">
        <v>15290</v>
      </c>
      <c r="GK135" s="24"/>
      <c r="GL135" s="24"/>
      <c r="GM135" s="24"/>
      <c r="GN135" s="24"/>
      <c r="GO135" s="24"/>
      <c r="GP135" s="24">
        <v>2022</v>
      </c>
      <c r="GQ135" s="24">
        <v>15</v>
      </c>
      <c r="GR135" s="24">
        <v>15.1782857142857</v>
      </c>
      <c r="GS135" s="24" t="s">
        <v>33</v>
      </c>
      <c r="GX135">
        <v>2022</v>
      </c>
      <c r="GY135">
        <v>15</v>
      </c>
      <c r="GZ135" t="s">
        <v>33</v>
      </c>
      <c r="HA135">
        <v>327724</v>
      </c>
      <c r="HB135">
        <v>317765</v>
      </c>
      <c r="HC135">
        <v>870</v>
      </c>
      <c r="HD135">
        <v>1095</v>
      </c>
      <c r="HE135">
        <v>0</v>
      </c>
      <c r="HF135">
        <v>3252</v>
      </c>
      <c r="HG135">
        <v>0</v>
      </c>
      <c r="HH135">
        <v>4</v>
      </c>
      <c r="HI135">
        <v>1471</v>
      </c>
      <c r="HL135">
        <v>2022</v>
      </c>
      <c r="HM135">
        <v>15</v>
      </c>
      <c r="HN135" t="s">
        <v>33</v>
      </c>
      <c r="HO135">
        <v>325699</v>
      </c>
      <c r="HP135">
        <v>320237</v>
      </c>
      <c r="HQ135">
        <v>1089</v>
      </c>
      <c r="HR135">
        <v>660</v>
      </c>
      <c r="HS135">
        <v>0</v>
      </c>
      <c r="HT135">
        <v>3093</v>
      </c>
      <c r="HU135">
        <v>0</v>
      </c>
      <c r="HV135">
        <v>3</v>
      </c>
      <c r="HW135">
        <v>203</v>
      </c>
      <c r="HZ135" s="24">
        <v>2022</v>
      </c>
      <c r="IA135" s="24">
        <v>15</v>
      </c>
      <c r="IB135" s="24" t="s">
        <v>33</v>
      </c>
      <c r="IC135" s="24">
        <v>16521</v>
      </c>
      <c r="ID135" s="24">
        <v>15860</v>
      </c>
      <c r="IG135" s="24">
        <v>2022</v>
      </c>
      <c r="IH135" s="24">
        <v>15</v>
      </c>
      <c r="II135" s="24" t="s">
        <v>33</v>
      </c>
      <c r="IJ135" s="24">
        <v>15345</v>
      </c>
      <c r="IK135" s="24">
        <v>15163</v>
      </c>
    </row>
    <row r="136" spans="9:245" x14ac:dyDescent="0.4">
      <c r="I136" s="305">
        <v>2022</v>
      </c>
      <c r="J136" s="306">
        <v>15</v>
      </c>
      <c r="K136" s="306" t="s">
        <v>33</v>
      </c>
      <c r="L136" s="306">
        <v>328528</v>
      </c>
      <c r="M136" s="306">
        <v>237711</v>
      </c>
      <c r="N136" s="306">
        <v>1544</v>
      </c>
      <c r="O136" s="306">
        <v>8011</v>
      </c>
      <c r="P136" s="306">
        <v>699</v>
      </c>
      <c r="Q136" s="306">
        <v>212</v>
      </c>
      <c r="R136" s="24"/>
      <c r="S136" s="24"/>
      <c r="T136" s="24"/>
      <c r="W136" s="24">
        <v>2022</v>
      </c>
      <c r="X136" s="24">
        <v>14</v>
      </c>
      <c r="Y136" s="24" t="s">
        <v>32</v>
      </c>
      <c r="Z136" s="24">
        <v>17915</v>
      </c>
      <c r="AA136" s="24">
        <v>17469</v>
      </c>
      <c r="AB136" s="24">
        <v>34</v>
      </c>
      <c r="AC136" s="24">
        <v>2</v>
      </c>
      <c r="AD136" s="297"/>
      <c r="AE136" s="297"/>
      <c r="AF136" s="297"/>
      <c r="AG136" s="297"/>
      <c r="AH136" s="297"/>
      <c r="AI136" s="24"/>
      <c r="AJ136" s="24"/>
      <c r="AK136" s="24">
        <v>2022</v>
      </c>
      <c r="AL136" s="24">
        <v>14</v>
      </c>
      <c r="AM136" s="24">
        <v>598.88</v>
      </c>
      <c r="AN136" s="24">
        <v>70.22</v>
      </c>
      <c r="AO136" s="24">
        <v>0</v>
      </c>
      <c r="AP136" s="24">
        <v>14</v>
      </c>
      <c r="AQ136" s="24">
        <v>0</v>
      </c>
      <c r="AR136" s="24">
        <v>0</v>
      </c>
      <c r="AS136" s="24" t="s">
        <v>32</v>
      </c>
      <c r="AT136" s="24"/>
      <c r="AU136" s="24">
        <v>2022</v>
      </c>
      <c r="AV136" s="24">
        <v>14</v>
      </c>
      <c r="AW136" s="24">
        <v>0.2</v>
      </c>
      <c r="AX136" s="24">
        <v>3600</v>
      </c>
      <c r="AY136" s="24">
        <v>18311</v>
      </c>
      <c r="AZ136" s="24" t="s">
        <v>32</v>
      </c>
      <c r="BA136" s="24"/>
      <c r="BB136" s="24"/>
      <c r="BC136" s="24">
        <v>2022</v>
      </c>
      <c r="BD136" s="24">
        <v>14</v>
      </c>
      <c r="BE136" s="24">
        <v>268.439428571429</v>
      </c>
      <c r="BF136" s="24" t="s">
        <v>32</v>
      </c>
      <c r="BG136" s="24"/>
      <c r="BI136" s="24">
        <v>2022</v>
      </c>
      <c r="BJ136" s="24">
        <v>38</v>
      </c>
      <c r="BK136" s="24" t="s">
        <v>32</v>
      </c>
      <c r="BL136" s="24" t="s">
        <v>273</v>
      </c>
      <c r="BM136" s="24">
        <v>7671</v>
      </c>
      <c r="BN136" s="24">
        <v>7544</v>
      </c>
      <c r="BO136" s="24">
        <v>8422</v>
      </c>
      <c r="BR136" s="24">
        <v>2022</v>
      </c>
      <c r="BS136" s="24">
        <v>14</v>
      </c>
      <c r="BT136" s="24">
        <v>335186</v>
      </c>
      <c r="BU136" s="24">
        <v>5</v>
      </c>
      <c r="BV136" s="24" t="s">
        <v>33</v>
      </c>
      <c r="BY136" s="24">
        <v>2022</v>
      </c>
      <c r="BZ136" s="24">
        <v>16</v>
      </c>
      <c r="CA136" s="24" t="s">
        <v>33</v>
      </c>
      <c r="CB136" s="24" t="s">
        <v>108</v>
      </c>
      <c r="CC136" s="24">
        <v>3</v>
      </c>
      <c r="CF136" s="24">
        <v>2022</v>
      </c>
      <c r="CG136" s="24">
        <v>14</v>
      </c>
      <c r="CH136" s="24" t="s">
        <v>32</v>
      </c>
      <c r="CI136" s="24">
        <v>125.65765765765765</v>
      </c>
      <c r="CJ136" s="24">
        <v>6974</v>
      </c>
      <c r="CK136" s="24">
        <v>55.5</v>
      </c>
      <c r="CL136" s="24">
        <v>48.305898491083674</v>
      </c>
      <c r="CM136" s="24">
        <v>9644</v>
      </c>
      <c r="CN136" s="24">
        <v>21129</v>
      </c>
      <c r="CO136" s="24">
        <v>437.4</v>
      </c>
      <c r="CP136" s="24">
        <v>10048</v>
      </c>
      <c r="CQ136" s="24">
        <v>46.4</v>
      </c>
      <c r="CR136" s="24">
        <v>274.8</v>
      </c>
      <c r="CS136" s="24">
        <v>16546</v>
      </c>
      <c r="CT136" s="24">
        <v>16546</v>
      </c>
      <c r="CU136" s="24">
        <v>428.1</v>
      </c>
      <c r="CV136" s="24">
        <v>2544</v>
      </c>
      <c r="CW136" s="24">
        <v>0</v>
      </c>
      <c r="CX136" s="24">
        <v>12368</v>
      </c>
      <c r="CY136" s="24">
        <v>50.2</v>
      </c>
      <c r="CZ136" s="24">
        <v>8490</v>
      </c>
      <c r="DA136" s="24">
        <v>274.8</v>
      </c>
      <c r="DD136" s="24">
        <v>2022</v>
      </c>
      <c r="DE136" s="24">
        <v>14</v>
      </c>
      <c r="DF136" s="24" t="s">
        <v>32</v>
      </c>
      <c r="DG136" s="24">
        <v>137</v>
      </c>
      <c r="DH136" s="24">
        <v>2391</v>
      </c>
      <c r="DJ136" s="24">
        <v>2022</v>
      </c>
      <c r="DK136" s="24">
        <v>13</v>
      </c>
      <c r="DL136" s="24" t="s">
        <v>32</v>
      </c>
      <c r="DM136" s="24">
        <v>53</v>
      </c>
      <c r="DP136" s="24">
        <v>2021</v>
      </c>
      <c r="DQ136" s="24">
        <v>44</v>
      </c>
      <c r="DR136" s="24" t="s">
        <v>33</v>
      </c>
      <c r="DS136" s="24">
        <v>18660</v>
      </c>
      <c r="DT136" s="24">
        <v>25</v>
      </c>
      <c r="DW136" s="24">
        <v>2022</v>
      </c>
      <c r="DX136" s="24">
        <v>30</v>
      </c>
      <c r="DY136" s="24" t="s">
        <v>33</v>
      </c>
      <c r="DZ136" s="24">
        <v>14</v>
      </c>
      <c r="EA136" s="24" t="s">
        <v>562</v>
      </c>
      <c r="EB136" s="24">
        <v>322.39999999999998</v>
      </c>
      <c r="EC136" s="24">
        <v>0.3</v>
      </c>
      <c r="ED136" s="24"/>
      <c r="EE136" s="24">
        <v>11780</v>
      </c>
      <c r="EF136" s="24">
        <v>9.6999999999999993</v>
      </c>
      <c r="EI136" s="24">
        <v>2023</v>
      </c>
      <c r="EJ136" s="24">
        <v>6</v>
      </c>
      <c r="EK136" s="24" t="s">
        <v>208</v>
      </c>
      <c r="EL136" s="24" t="s">
        <v>351</v>
      </c>
      <c r="EM136" s="24" t="s">
        <v>234</v>
      </c>
      <c r="EN136" s="24">
        <v>3</v>
      </c>
      <c r="EO136" s="24"/>
      <c r="EP136" s="24"/>
      <c r="EQ136" s="24"/>
      <c r="ER136" s="24"/>
      <c r="ES136" s="24">
        <v>2022</v>
      </c>
      <c r="ET136" s="24">
        <v>17</v>
      </c>
      <c r="EU136" s="24" t="s">
        <v>33</v>
      </c>
      <c r="EV136" s="24">
        <v>177228</v>
      </c>
      <c r="EY136" s="24">
        <v>2022</v>
      </c>
      <c r="EZ136" s="24">
        <v>17</v>
      </c>
      <c r="FA136" s="24" t="s">
        <v>33</v>
      </c>
      <c r="FB136" s="24">
        <v>1717</v>
      </c>
      <c r="FE136" s="24">
        <v>2022</v>
      </c>
      <c r="FF136" s="24">
        <v>14</v>
      </c>
      <c r="FG136" s="24" t="s">
        <v>32</v>
      </c>
      <c r="FH136" s="24">
        <v>0.78450000000000009</v>
      </c>
      <c r="FI136" s="24">
        <v>556</v>
      </c>
      <c r="FJ136" s="24">
        <v>259</v>
      </c>
      <c r="FK136" s="24">
        <v>323</v>
      </c>
      <c r="FN136" s="24">
        <v>2022</v>
      </c>
      <c r="FO136" s="24">
        <v>15</v>
      </c>
      <c r="FP136" s="24" t="s">
        <v>32</v>
      </c>
      <c r="FQ136" s="24">
        <v>43324</v>
      </c>
      <c r="FR136" s="24">
        <v>916.63333333333298</v>
      </c>
      <c r="FS136" s="24">
        <v>38906</v>
      </c>
      <c r="FT136" s="24">
        <v>529.96666666666704</v>
      </c>
      <c r="FW136" s="24">
        <v>2022</v>
      </c>
      <c r="FX136" s="24">
        <v>14</v>
      </c>
      <c r="FY136" s="24" t="s">
        <v>32</v>
      </c>
      <c r="FZ136" s="24">
        <v>2911</v>
      </c>
      <c r="GA136" s="24">
        <v>2764</v>
      </c>
      <c r="GB136" s="24"/>
      <c r="GC136" s="24"/>
      <c r="GD136" s="24">
        <v>2022</v>
      </c>
      <c r="GE136" s="24">
        <v>14</v>
      </c>
      <c r="GF136" s="24" t="s">
        <v>32</v>
      </c>
      <c r="GG136" s="24">
        <v>2795</v>
      </c>
      <c r="GH136" s="24">
        <v>2575</v>
      </c>
      <c r="GK136" s="24"/>
      <c r="GL136" s="24"/>
      <c r="GM136" s="24"/>
      <c r="GN136" s="24"/>
      <c r="GO136" s="24"/>
      <c r="GP136" s="24">
        <v>2022</v>
      </c>
      <c r="GQ136" s="24">
        <v>14</v>
      </c>
      <c r="GR136" s="24">
        <v>0.03</v>
      </c>
      <c r="GS136" s="24" t="s">
        <v>32</v>
      </c>
      <c r="GX136">
        <v>2022</v>
      </c>
      <c r="GY136">
        <v>14</v>
      </c>
      <c r="GZ136" t="s">
        <v>32</v>
      </c>
      <c r="HA136">
        <v>17827</v>
      </c>
      <c r="HB136">
        <v>17417</v>
      </c>
      <c r="HC136">
        <v>1</v>
      </c>
      <c r="HD136">
        <v>4</v>
      </c>
      <c r="HE136">
        <v>0</v>
      </c>
      <c r="HF136">
        <v>132</v>
      </c>
      <c r="HG136">
        <v>0</v>
      </c>
      <c r="HH136">
        <v>0</v>
      </c>
      <c r="HI136">
        <v>55</v>
      </c>
      <c r="HL136">
        <v>2022</v>
      </c>
      <c r="HM136">
        <v>14</v>
      </c>
      <c r="HN136" t="s">
        <v>32</v>
      </c>
      <c r="HO136">
        <v>17890</v>
      </c>
      <c r="HP136">
        <v>17533</v>
      </c>
      <c r="HQ136">
        <v>5</v>
      </c>
      <c r="HR136">
        <v>2</v>
      </c>
      <c r="HS136">
        <v>0</v>
      </c>
      <c r="HT136">
        <v>217</v>
      </c>
      <c r="HU136">
        <v>0</v>
      </c>
      <c r="HV136">
        <v>0</v>
      </c>
      <c r="HW136">
        <v>21</v>
      </c>
      <c r="HZ136" s="24">
        <v>2022</v>
      </c>
      <c r="IA136" s="24">
        <v>14</v>
      </c>
      <c r="IB136" s="24" t="s">
        <v>32</v>
      </c>
      <c r="IC136" s="24">
        <v>2781</v>
      </c>
      <c r="ID136" s="24">
        <v>2633</v>
      </c>
      <c r="IG136" s="24">
        <v>2022</v>
      </c>
      <c r="IH136" s="24">
        <v>14</v>
      </c>
      <c r="II136" s="24" t="s">
        <v>32</v>
      </c>
      <c r="IJ136" s="24">
        <v>2755</v>
      </c>
      <c r="IK136" s="24">
        <v>2598</v>
      </c>
    </row>
    <row r="137" spans="9:245" x14ac:dyDescent="0.4">
      <c r="I137" s="305">
        <v>2022</v>
      </c>
      <c r="J137" s="306">
        <v>14</v>
      </c>
      <c r="K137" s="306" t="s">
        <v>32</v>
      </c>
      <c r="L137" s="306">
        <v>17992</v>
      </c>
      <c r="M137" s="306">
        <v>17575</v>
      </c>
      <c r="N137" s="306">
        <v>33</v>
      </c>
      <c r="O137" s="306">
        <v>105</v>
      </c>
      <c r="P137" s="306">
        <v>38</v>
      </c>
      <c r="Q137" s="306">
        <v>3</v>
      </c>
      <c r="R137" s="24"/>
      <c r="S137" s="24"/>
      <c r="T137" s="24"/>
      <c r="W137" s="24">
        <v>2022</v>
      </c>
      <c r="X137" s="24">
        <v>14</v>
      </c>
      <c r="Y137" s="24" t="s">
        <v>33</v>
      </c>
      <c r="Z137" s="24">
        <v>329697</v>
      </c>
      <c r="AA137" s="24">
        <v>243846</v>
      </c>
      <c r="AB137" s="24">
        <v>521</v>
      </c>
      <c r="AC137" s="24">
        <v>97</v>
      </c>
      <c r="AD137" s="297"/>
      <c r="AE137" s="297"/>
      <c r="AF137" s="297"/>
      <c r="AG137" s="297"/>
      <c r="AH137" s="297"/>
      <c r="AI137" s="24"/>
      <c r="AJ137" s="24"/>
      <c r="AK137" s="24">
        <v>2022</v>
      </c>
      <c r="AL137" s="24">
        <v>14</v>
      </c>
      <c r="AM137" s="24">
        <v>19191.82</v>
      </c>
      <c r="AN137" s="24">
        <v>2138.9299999999998</v>
      </c>
      <c r="AO137" s="24">
        <v>0</v>
      </c>
      <c r="AP137" s="24">
        <v>462</v>
      </c>
      <c r="AQ137" s="24">
        <v>0</v>
      </c>
      <c r="AR137" s="24">
        <v>3</v>
      </c>
      <c r="AS137" s="24" t="s">
        <v>33</v>
      </c>
      <c r="AT137" s="24"/>
      <c r="AU137" s="24">
        <v>2022</v>
      </c>
      <c r="AV137" s="24">
        <v>14</v>
      </c>
      <c r="AW137" s="24">
        <v>0.09</v>
      </c>
      <c r="AX137" s="24">
        <v>32100</v>
      </c>
      <c r="AY137" s="24">
        <v>339098</v>
      </c>
      <c r="AZ137" s="24" t="s">
        <v>33</v>
      </c>
      <c r="BA137" s="24"/>
      <c r="BB137" s="24"/>
      <c r="BC137" s="24">
        <v>2022</v>
      </c>
      <c r="BD137" s="24">
        <v>14</v>
      </c>
      <c r="BE137" s="24">
        <v>2508.2490000000003</v>
      </c>
      <c r="BF137" s="24" t="s">
        <v>33</v>
      </c>
      <c r="BG137" s="24"/>
      <c r="BI137" s="24">
        <v>2022</v>
      </c>
      <c r="BJ137" s="24">
        <v>38</v>
      </c>
      <c r="BK137" s="24" t="s">
        <v>33</v>
      </c>
      <c r="BL137" s="24" t="s">
        <v>273</v>
      </c>
      <c r="BM137" s="24">
        <v>114398</v>
      </c>
      <c r="BN137" s="24">
        <v>113651</v>
      </c>
      <c r="BO137" s="24">
        <v>117919</v>
      </c>
      <c r="BR137" s="24">
        <v>2022</v>
      </c>
      <c r="BS137" s="24">
        <v>14</v>
      </c>
      <c r="BT137" s="24">
        <v>18212</v>
      </c>
      <c r="BU137" s="24">
        <v>1</v>
      </c>
      <c r="BV137" s="24" t="s">
        <v>32</v>
      </c>
      <c r="BY137" s="24">
        <v>2022</v>
      </c>
      <c r="BZ137" s="24">
        <v>16</v>
      </c>
      <c r="CA137" s="24" t="s">
        <v>33</v>
      </c>
      <c r="CB137" s="24" t="s">
        <v>423</v>
      </c>
      <c r="CC137" s="24">
        <v>27</v>
      </c>
      <c r="CF137" s="24">
        <v>2022</v>
      </c>
      <c r="CG137" s="24">
        <v>14</v>
      </c>
      <c r="CH137" s="24" t="s">
        <v>33</v>
      </c>
      <c r="CI137" s="24">
        <v>134.6205178814794</v>
      </c>
      <c r="CJ137" s="24">
        <v>286459</v>
      </c>
      <c r="CK137" s="24">
        <v>2127.9</v>
      </c>
      <c r="CL137" s="24">
        <v>120.65997480391758</v>
      </c>
      <c r="CM137" s="24">
        <v>159407</v>
      </c>
      <c r="CN137" s="24">
        <v>296908</v>
      </c>
      <c r="CO137" s="24">
        <v>2460.6999999999998</v>
      </c>
      <c r="CP137" s="24">
        <v>62464</v>
      </c>
      <c r="CQ137" s="24">
        <v>520.29999999999995</v>
      </c>
      <c r="CR137" s="24">
        <v>1282.3</v>
      </c>
      <c r="CS137" s="24">
        <v>182837</v>
      </c>
      <c r="CT137" s="24">
        <v>182837</v>
      </c>
      <c r="CU137" s="24">
        <v>1795.3</v>
      </c>
      <c r="CV137" s="24">
        <v>55377</v>
      </c>
      <c r="CW137" s="24">
        <v>1</v>
      </c>
      <c r="CX137" s="24">
        <v>189899</v>
      </c>
      <c r="CY137" s="24">
        <v>1049.2</v>
      </c>
      <c r="CZ137" s="24">
        <v>41157</v>
      </c>
      <c r="DA137" s="24">
        <v>1282.3</v>
      </c>
      <c r="DD137" s="24">
        <v>2022</v>
      </c>
      <c r="DE137" s="24">
        <v>14</v>
      </c>
      <c r="DF137" s="24" t="s">
        <v>33</v>
      </c>
      <c r="DG137" s="24">
        <v>53910</v>
      </c>
      <c r="DH137" s="24">
        <v>29957</v>
      </c>
      <c r="DJ137" s="24">
        <v>2022</v>
      </c>
      <c r="DK137" s="24">
        <v>13</v>
      </c>
      <c r="DL137" s="24" t="s">
        <v>33</v>
      </c>
      <c r="DM137" s="24">
        <v>443</v>
      </c>
      <c r="DP137" s="24">
        <v>2021</v>
      </c>
      <c r="DQ137" s="24">
        <v>43</v>
      </c>
      <c r="DR137" s="24" t="s">
        <v>33</v>
      </c>
      <c r="DS137" s="24">
        <v>18138</v>
      </c>
      <c r="DT137" s="24"/>
      <c r="DW137" s="24">
        <v>2022</v>
      </c>
      <c r="DX137" s="24">
        <v>30</v>
      </c>
      <c r="DY137" s="24" t="s">
        <v>33</v>
      </c>
      <c r="DZ137" s="24">
        <v>97</v>
      </c>
      <c r="EA137" s="24" t="s">
        <v>149</v>
      </c>
      <c r="EB137" s="24">
        <v>227.5</v>
      </c>
      <c r="EC137" s="24">
        <v>2088.1</v>
      </c>
      <c r="ED137" s="24">
        <v>49650</v>
      </c>
      <c r="EE137" s="24">
        <v>57841</v>
      </c>
      <c r="EF137" s="24">
        <v>14.1</v>
      </c>
      <c r="EI137" s="24">
        <v>2023</v>
      </c>
      <c r="EJ137" s="24">
        <v>6</v>
      </c>
      <c r="EK137" s="24" t="s">
        <v>208</v>
      </c>
      <c r="EL137" s="24" t="s">
        <v>235</v>
      </c>
      <c r="EM137" s="24" t="s">
        <v>210</v>
      </c>
      <c r="EN137" s="24">
        <v>29</v>
      </c>
      <c r="EO137" s="24"/>
      <c r="EP137" s="24"/>
      <c r="EQ137" s="24"/>
      <c r="ER137" s="24"/>
      <c r="ES137" s="24">
        <v>2022</v>
      </c>
      <c r="ET137" s="24">
        <v>17</v>
      </c>
      <c r="EU137" s="24" t="s">
        <v>213</v>
      </c>
      <c r="EV137" s="24">
        <v>2</v>
      </c>
      <c r="EY137" s="24">
        <v>2022</v>
      </c>
      <c r="EZ137" s="24">
        <v>16</v>
      </c>
      <c r="FA137" s="24" t="s">
        <v>32</v>
      </c>
      <c r="FB137" s="24">
        <v>922</v>
      </c>
      <c r="FE137" s="24">
        <v>2022</v>
      </c>
      <c r="FF137" s="24">
        <v>14</v>
      </c>
      <c r="FG137" s="24" t="s">
        <v>33</v>
      </c>
      <c r="FH137" s="24">
        <v>0.92430000000000001</v>
      </c>
      <c r="FI137" s="24">
        <v>16431</v>
      </c>
      <c r="FJ137" s="24">
        <v>7485</v>
      </c>
      <c r="FK137" s="24">
        <v>8162</v>
      </c>
      <c r="FN137" s="24">
        <v>2022</v>
      </c>
      <c r="FO137" s="24">
        <v>15</v>
      </c>
      <c r="FP137" s="24" t="s">
        <v>33</v>
      </c>
      <c r="FQ137" s="24">
        <v>913566</v>
      </c>
      <c r="FR137" s="24">
        <v>8274.8333333333303</v>
      </c>
      <c r="FS137" s="24">
        <v>527372</v>
      </c>
      <c r="FT137" s="24">
        <v>3438.4</v>
      </c>
      <c r="FW137" s="24">
        <v>2022</v>
      </c>
      <c r="FX137" s="24">
        <v>14</v>
      </c>
      <c r="FY137" s="24" t="s">
        <v>33</v>
      </c>
      <c r="FZ137" s="24">
        <v>17379</v>
      </c>
      <c r="GA137" s="24">
        <v>16110</v>
      </c>
      <c r="GB137" s="24"/>
      <c r="GC137" s="24"/>
      <c r="GD137" s="24">
        <v>2022</v>
      </c>
      <c r="GE137" s="24">
        <v>14</v>
      </c>
      <c r="GF137" s="24" t="s">
        <v>33</v>
      </c>
      <c r="GG137" s="24">
        <v>17474</v>
      </c>
      <c r="GH137" s="24">
        <v>16369</v>
      </c>
      <c r="GK137" s="24"/>
      <c r="GL137" s="24"/>
      <c r="GM137" s="24"/>
      <c r="GN137" s="24"/>
      <c r="GO137" s="24"/>
      <c r="GP137" s="24">
        <v>2022</v>
      </c>
      <c r="GQ137" s="24">
        <v>14</v>
      </c>
      <c r="GR137" s="24">
        <v>14.431857142857101</v>
      </c>
      <c r="GS137" s="24" t="s">
        <v>33</v>
      </c>
      <c r="GX137">
        <v>2022</v>
      </c>
      <c r="GY137">
        <v>14</v>
      </c>
      <c r="GZ137" t="s">
        <v>33</v>
      </c>
      <c r="HA137">
        <v>331236</v>
      </c>
      <c r="HB137">
        <v>322560</v>
      </c>
      <c r="HC137">
        <v>914</v>
      </c>
      <c r="HD137">
        <v>265</v>
      </c>
      <c r="HE137">
        <v>1</v>
      </c>
      <c r="HF137">
        <v>1465</v>
      </c>
      <c r="HG137">
        <v>0</v>
      </c>
      <c r="HH137">
        <v>1</v>
      </c>
      <c r="HI137">
        <v>891</v>
      </c>
      <c r="HL137">
        <v>2022</v>
      </c>
      <c r="HM137">
        <v>14</v>
      </c>
      <c r="HN137" t="s">
        <v>33</v>
      </c>
      <c r="HO137">
        <v>329464</v>
      </c>
      <c r="HP137">
        <v>323993</v>
      </c>
      <c r="HQ137">
        <v>974</v>
      </c>
      <c r="HR137">
        <v>114</v>
      </c>
      <c r="HS137">
        <v>1</v>
      </c>
      <c r="HT137">
        <v>1262</v>
      </c>
      <c r="HU137">
        <v>0</v>
      </c>
      <c r="HV137">
        <v>1</v>
      </c>
      <c r="HW137">
        <v>315</v>
      </c>
      <c r="HZ137" s="24">
        <v>2022</v>
      </c>
      <c r="IA137" s="24">
        <v>14</v>
      </c>
      <c r="IB137" s="24" t="s">
        <v>33</v>
      </c>
      <c r="IC137" s="24">
        <v>17507</v>
      </c>
      <c r="ID137" s="24">
        <v>16701</v>
      </c>
      <c r="IG137" s="24">
        <v>2022</v>
      </c>
      <c r="IH137" s="24">
        <v>14</v>
      </c>
      <c r="II137" s="24" t="s">
        <v>33</v>
      </c>
      <c r="IJ137" s="24">
        <v>16449</v>
      </c>
      <c r="IK137" s="24">
        <v>16215</v>
      </c>
    </row>
    <row r="138" spans="9:245" x14ac:dyDescent="0.4">
      <c r="I138" s="305">
        <v>2022</v>
      </c>
      <c r="J138" s="306">
        <v>14</v>
      </c>
      <c r="K138" s="306" t="s">
        <v>33</v>
      </c>
      <c r="L138" s="306">
        <v>329630</v>
      </c>
      <c r="M138" s="306">
        <v>242820</v>
      </c>
      <c r="N138" s="306">
        <v>1027</v>
      </c>
      <c r="O138" s="306">
        <v>6232</v>
      </c>
      <c r="P138" s="306">
        <v>612</v>
      </c>
      <c r="Q138" s="306">
        <v>107</v>
      </c>
      <c r="R138" s="24"/>
      <c r="S138" s="24"/>
      <c r="T138" s="24"/>
      <c r="W138" s="24">
        <v>2022</v>
      </c>
      <c r="X138" s="24">
        <v>13</v>
      </c>
      <c r="Y138" s="24" t="s">
        <v>32</v>
      </c>
      <c r="Z138" s="24">
        <v>19718</v>
      </c>
      <c r="AA138" s="24">
        <v>18956</v>
      </c>
      <c r="AB138" s="24">
        <v>49</v>
      </c>
      <c r="AC138" s="24">
        <v>2</v>
      </c>
      <c r="AD138" s="297"/>
      <c r="AE138" s="297"/>
      <c r="AF138" s="297"/>
      <c r="AG138" s="297"/>
      <c r="AH138" s="297"/>
      <c r="AI138" s="24"/>
      <c r="AJ138" s="24"/>
      <c r="AK138" s="24">
        <v>2022</v>
      </c>
      <c r="AL138" s="24">
        <v>13</v>
      </c>
      <c r="AM138" s="24">
        <v>590.45000000000005</v>
      </c>
      <c r="AN138" s="24">
        <v>67.55</v>
      </c>
      <c r="AO138" s="24">
        <v>0</v>
      </c>
      <c r="AP138" s="24">
        <v>14</v>
      </c>
      <c r="AQ138" s="24">
        <v>0</v>
      </c>
      <c r="AR138" s="24">
        <v>0</v>
      </c>
      <c r="AS138" s="24" t="s">
        <v>32</v>
      </c>
      <c r="AT138" s="24"/>
      <c r="AU138" s="24">
        <v>2022</v>
      </c>
      <c r="AV138" s="24">
        <v>13</v>
      </c>
      <c r="AW138" s="24">
        <v>0.1</v>
      </c>
      <c r="AX138" s="24">
        <v>2100</v>
      </c>
      <c r="AY138" s="24">
        <v>20285</v>
      </c>
      <c r="AZ138" s="24" t="s">
        <v>32</v>
      </c>
      <c r="BA138" s="24"/>
      <c r="BB138" s="24"/>
      <c r="BC138" s="24">
        <v>2022</v>
      </c>
      <c r="BD138" s="24">
        <v>13</v>
      </c>
      <c r="BE138" s="24">
        <v>267.88</v>
      </c>
      <c r="BF138" s="24" t="s">
        <v>32</v>
      </c>
      <c r="BG138" s="24"/>
      <c r="BI138" s="24">
        <v>2022</v>
      </c>
      <c r="BJ138" s="24">
        <v>37</v>
      </c>
      <c r="BK138" s="24" t="s">
        <v>33</v>
      </c>
      <c r="BL138" s="24" t="s">
        <v>272</v>
      </c>
      <c r="BM138" s="24">
        <v>56173</v>
      </c>
      <c r="BN138" s="24">
        <v>56016</v>
      </c>
      <c r="BO138" s="24">
        <v>203435</v>
      </c>
      <c r="BR138" s="24">
        <v>2022</v>
      </c>
      <c r="BS138" s="24">
        <v>13</v>
      </c>
      <c r="BT138" s="24">
        <v>20080</v>
      </c>
      <c r="BU138" s="24">
        <v>0</v>
      </c>
      <c r="BV138" s="24" t="s">
        <v>32</v>
      </c>
      <c r="BY138" s="24">
        <v>2022</v>
      </c>
      <c r="BZ138" s="24">
        <v>15</v>
      </c>
      <c r="CA138" s="24" t="s">
        <v>33</v>
      </c>
      <c r="CB138" s="24" t="s">
        <v>108</v>
      </c>
      <c r="CC138" s="24">
        <v>1</v>
      </c>
      <c r="CF138" s="24">
        <v>2022</v>
      </c>
      <c r="CG138" s="24">
        <v>13</v>
      </c>
      <c r="CH138" s="24" t="s">
        <v>32</v>
      </c>
      <c r="CI138" s="24">
        <v>64.131455399061039</v>
      </c>
      <c r="CJ138" s="24">
        <v>5464</v>
      </c>
      <c r="CK138" s="24">
        <v>85.2</v>
      </c>
      <c r="CL138" s="24">
        <v>56.612305411415861</v>
      </c>
      <c r="CM138" s="24">
        <v>11930</v>
      </c>
      <c r="CN138" s="24">
        <v>22911</v>
      </c>
      <c r="CO138" s="24">
        <v>404.7</v>
      </c>
      <c r="CP138" s="24">
        <v>9433</v>
      </c>
      <c r="CQ138" s="24">
        <v>45.7</v>
      </c>
      <c r="CR138" s="24">
        <v>260.2</v>
      </c>
      <c r="CS138" s="24">
        <v>12700</v>
      </c>
      <c r="CT138" s="24">
        <v>12700</v>
      </c>
      <c r="CU138" s="24">
        <v>400.7</v>
      </c>
      <c r="CV138" s="24">
        <v>2956</v>
      </c>
      <c r="CW138" s="24">
        <v>0</v>
      </c>
      <c r="CX138" s="24">
        <v>10342</v>
      </c>
      <c r="CY138" s="24">
        <v>48.7</v>
      </c>
      <c r="CZ138" s="24">
        <v>8014</v>
      </c>
      <c r="DA138" s="24">
        <v>260.2</v>
      </c>
      <c r="DD138" s="24">
        <v>2022</v>
      </c>
      <c r="DE138" s="24">
        <v>13</v>
      </c>
      <c r="DF138" s="24" t="s">
        <v>32</v>
      </c>
      <c r="DG138" s="24">
        <v>109</v>
      </c>
      <c r="DH138" s="24">
        <v>2102</v>
      </c>
      <c r="DJ138" s="24">
        <v>2022</v>
      </c>
      <c r="DK138" s="24">
        <v>12</v>
      </c>
      <c r="DL138" s="24" t="s">
        <v>32</v>
      </c>
      <c r="DM138" s="24">
        <v>16</v>
      </c>
      <c r="DP138" s="24">
        <v>2021</v>
      </c>
      <c r="DQ138" s="24">
        <v>42</v>
      </c>
      <c r="DR138" s="24" t="s">
        <v>33</v>
      </c>
      <c r="DS138" s="24">
        <v>17919</v>
      </c>
      <c r="DT138" s="24">
        <v>33</v>
      </c>
      <c r="DW138" s="24">
        <v>2022</v>
      </c>
      <c r="DX138" s="24">
        <v>29</v>
      </c>
      <c r="DY138" s="24" t="s">
        <v>32</v>
      </c>
      <c r="DZ138" s="24">
        <v>2</v>
      </c>
      <c r="EA138" s="24" t="s">
        <v>149</v>
      </c>
      <c r="EB138" s="24">
        <v>38.5</v>
      </c>
      <c r="EC138" s="24">
        <v>22.7</v>
      </c>
      <c r="ED138" s="24">
        <v>891</v>
      </c>
      <c r="EE138" s="24">
        <v>2378</v>
      </c>
      <c r="EF138" s="24">
        <v>0.5</v>
      </c>
      <c r="EI138" s="24">
        <v>2023</v>
      </c>
      <c r="EJ138" s="24">
        <v>6</v>
      </c>
      <c r="EK138" s="24" t="s">
        <v>208</v>
      </c>
      <c r="EL138" s="24" t="s">
        <v>235</v>
      </c>
      <c r="EM138" s="24" t="s">
        <v>234</v>
      </c>
      <c r="EN138" s="24">
        <v>7</v>
      </c>
      <c r="EO138" s="24"/>
      <c r="EP138" s="24"/>
      <c r="EQ138" s="24"/>
      <c r="ER138" s="24"/>
      <c r="ES138" s="24">
        <v>2022</v>
      </c>
      <c r="ET138" s="24">
        <v>16</v>
      </c>
      <c r="EU138" s="24" t="s">
        <v>32</v>
      </c>
      <c r="EV138" s="24">
        <v>8675</v>
      </c>
      <c r="EY138" s="24">
        <v>2022</v>
      </c>
      <c r="EZ138" s="24">
        <v>16</v>
      </c>
      <c r="FA138" s="24" t="s">
        <v>33</v>
      </c>
      <c r="FB138" s="24">
        <v>1053</v>
      </c>
      <c r="FE138" s="24">
        <v>2022</v>
      </c>
      <c r="FF138" s="24">
        <v>13</v>
      </c>
      <c r="FG138" s="24" t="s">
        <v>32</v>
      </c>
      <c r="FH138" s="24">
        <v>0.85020000000000007</v>
      </c>
      <c r="FI138" s="24">
        <v>579</v>
      </c>
      <c r="FJ138" s="24">
        <v>272</v>
      </c>
      <c r="FK138" s="24">
        <v>318</v>
      </c>
      <c r="FN138" s="24">
        <v>2022</v>
      </c>
      <c r="FO138" s="24">
        <v>14</v>
      </c>
      <c r="FP138" s="24" t="s">
        <v>32</v>
      </c>
      <c r="FQ138" s="24">
        <v>44924</v>
      </c>
      <c r="FR138" s="24">
        <v>878.76666666666699</v>
      </c>
      <c r="FS138" s="24">
        <v>37831</v>
      </c>
      <c r="FT138" s="24">
        <v>521.65</v>
      </c>
      <c r="FW138" s="24">
        <v>2022</v>
      </c>
      <c r="FX138" s="24">
        <v>13</v>
      </c>
      <c r="FY138" s="24" t="s">
        <v>32</v>
      </c>
      <c r="FZ138" s="24">
        <v>2731</v>
      </c>
      <c r="GA138" s="24">
        <v>2423</v>
      </c>
      <c r="GB138" s="24"/>
      <c r="GC138" s="24"/>
      <c r="GD138" s="24">
        <v>2022</v>
      </c>
      <c r="GE138" s="24">
        <v>13</v>
      </c>
      <c r="GF138" s="24" t="s">
        <v>32</v>
      </c>
      <c r="GG138" s="24">
        <v>2799</v>
      </c>
      <c r="GH138" s="24">
        <v>2351</v>
      </c>
      <c r="GK138" s="24"/>
      <c r="GL138" s="24"/>
      <c r="GM138" s="24"/>
      <c r="GN138" s="24"/>
      <c r="GO138" s="24"/>
      <c r="GP138" s="24">
        <v>2022</v>
      </c>
      <c r="GQ138" s="24">
        <v>13</v>
      </c>
      <c r="GR138" s="24">
        <v>2.9142857142857099E-2</v>
      </c>
      <c r="GS138" s="24" t="s">
        <v>32</v>
      </c>
      <c r="GX138">
        <v>2022</v>
      </c>
      <c r="GY138">
        <v>13</v>
      </c>
      <c r="GZ138" t="s">
        <v>32</v>
      </c>
      <c r="HA138">
        <v>19725</v>
      </c>
      <c r="HB138">
        <v>18823</v>
      </c>
      <c r="HC138">
        <v>40</v>
      </c>
      <c r="HD138">
        <v>4</v>
      </c>
      <c r="HE138">
        <v>0</v>
      </c>
      <c r="HF138">
        <v>490</v>
      </c>
      <c r="HG138">
        <v>0</v>
      </c>
      <c r="HH138">
        <v>0</v>
      </c>
      <c r="HI138">
        <v>75</v>
      </c>
      <c r="HL138">
        <v>2022</v>
      </c>
      <c r="HM138">
        <v>13</v>
      </c>
      <c r="HN138" t="s">
        <v>32</v>
      </c>
      <c r="HO138">
        <v>19636</v>
      </c>
      <c r="HP138">
        <v>18899</v>
      </c>
      <c r="HQ138">
        <v>8</v>
      </c>
      <c r="HR138">
        <v>3</v>
      </c>
      <c r="HS138">
        <v>0</v>
      </c>
      <c r="HT138">
        <v>612</v>
      </c>
      <c r="HU138">
        <v>0</v>
      </c>
      <c r="HV138">
        <v>0</v>
      </c>
      <c r="HW138">
        <v>20</v>
      </c>
      <c r="HZ138" s="24">
        <v>2022</v>
      </c>
      <c r="IA138" s="24">
        <v>13</v>
      </c>
      <c r="IB138" s="24" t="s">
        <v>32</v>
      </c>
      <c r="IC138" s="24">
        <v>2844</v>
      </c>
      <c r="ID138" s="24">
        <v>2440</v>
      </c>
      <c r="IG138" s="24">
        <v>2022</v>
      </c>
      <c r="IH138" s="24">
        <v>13</v>
      </c>
      <c r="II138" s="24" t="s">
        <v>32</v>
      </c>
      <c r="IJ138" s="24">
        <v>2760</v>
      </c>
      <c r="IK138" s="24">
        <v>2385</v>
      </c>
    </row>
    <row r="139" spans="9:245" x14ac:dyDescent="0.4">
      <c r="I139" s="305">
        <v>2022</v>
      </c>
      <c r="J139" s="306">
        <v>13</v>
      </c>
      <c r="K139" s="306" t="s">
        <v>32</v>
      </c>
      <c r="L139" s="306">
        <v>19780</v>
      </c>
      <c r="M139" s="306">
        <v>19069</v>
      </c>
      <c r="N139" s="306">
        <v>59</v>
      </c>
      <c r="O139" s="306">
        <v>196</v>
      </c>
      <c r="P139" s="306">
        <v>14</v>
      </c>
      <c r="Q139" s="306">
        <v>4</v>
      </c>
      <c r="R139" s="24"/>
      <c r="S139" s="24"/>
      <c r="T139" s="24"/>
      <c r="W139" s="24">
        <v>2022</v>
      </c>
      <c r="X139" s="24">
        <v>13</v>
      </c>
      <c r="Y139" s="24" t="s">
        <v>33</v>
      </c>
      <c r="Z139" s="24">
        <v>321751</v>
      </c>
      <c r="AA139" s="24">
        <v>235336</v>
      </c>
      <c r="AB139" s="24">
        <v>583</v>
      </c>
      <c r="AC139" s="24">
        <v>55</v>
      </c>
      <c r="AD139" s="297"/>
      <c r="AE139" s="297"/>
      <c r="AF139" s="297"/>
      <c r="AG139" s="297"/>
      <c r="AH139" s="297"/>
      <c r="AI139" s="24"/>
      <c r="AJ139" s="24"/>
      <c r="AK139" s="24">
        <v>2022</v>
      </c>
      <c r="AL139" s="24">
        <v>13</v>
      </c>
      <c r="AM139" s="24">
        <v>18622.52</v>
      </c>
      <c r="AN139" s="24">
        <v>2036.73</v>
      </c>
      <c r="AO139" s="24">
        <v>0</v>
      </c>
      <c r="AP139" s="24">
        <v>449</v>
      </c>
      <c r="AQ139" s="24">
        <v>0</v>
      </c>
      <c r="AR139" s="24">
        <v>3</v>
      </c>
      <c r="AS139" s="24" t="s">
        <v>33</v>
      </c>
      <c r="AT139" s="24"/>
      <c r="AU139" s="24">
        <v>2022</v>
      </c>
      <c r="AV139" s="24">
        <v>13</v>
      </c>
      <c r="AW139" s="24">
        <v>0.06</v>
      </c>
      <c r="AX139" s="24">
        <v>18600</v>
      </c>
      <c r="AY139" s="24">
        <v>324250</v>
      </c>
      <c r="AZ139" s="24" t="s">
        <v>33</v>
      </c>
      <c r="BA139" s="24"/>
      <c r="BB139" s="24"/>
      <c r="BC139" s="24">
        <v>2022</v>
      </c>
      <c r="BD139" s="24">
        <v>13</v>
      </c>
      <c r="BE139" s="24">
        <v>2476.6988571428597</v>
      </c>
      <c r="BF139" s="24" t="s">
        <v>33</v>
      </c>
      <c r="BG139" s="24"/>
      <c r="BI139" s="24">
        <v>2022</v>
      </c>
      <c r="BJ139" s="24">
        <v>37</v>
      </c>
      <c r="BK139" s="24" t="s">
        <v>32</v>
      </c>
      <c r="BL139" s="24" t="s">
        <v>272</v>
      </c>
      <c r="BM139" s="24">
        <v>3047</v>
      </c>
      <c r="BN139" s="24">
        <v>2976</v>
      </c>
      <c r="BO139" s="24">
        <v>10565</v>
      </c>
      <c r="BR139" s="24">
        <v>2022</v>
      </c>
      <c r="BS139" s="24">
        <v>13</v>
      </c>
      <c r="BT139" s="24">
        <v>322114</v>
      </c>
      <c r="BU139" s="24">
        <v>4</v>
      </c>
      <c r="BV139" s="24" t="s">
        <v>33</v>
      </c>
      <c r="BY139" s="24">
        <v>2022</v>
      </c>
      <c r="BZ139" s="24">
        <v>15</v>
      </c>
      <c r="CA139" s="24" t="s">
        <v>33</v>
      </c>
      <c r="CB139" s="24" t="s">
        <v>423</v>
      </c>
      <c r="CC139" s="24">
        <v>26</v>
      </c>
      <c r="CF139" s="24">
        <v>2022</v>
      </c>
      <c r="CG139" s="24">
        <v>13</v>
      </c>
      <c r="CH139" s="24" t="s">
        <v>33</v>
      </c>
      <c r="CI139" s="24">
        <v>143.29389607881012</v>
      </c>
      <c r="CJ139" s="24">
        <v>296733</v>
      </c>
      <c r="CK139" s="24">
        <v>2070.8000000000002</v>
      </c>
      <c r="CL139" s="24">
        <v>120.00205237665216</v>
      </c>
      <c r="CM139" s="24">
        <v>155772</v>
      </c>
      <c r="CN139" s="24">
        <v>292349</v>
      </c>
      <c r="CO139" s="24">
        <v>2436.1999999999998</v>
      </c>
      <c r="CP139" s="24">
        <v>59623</v>
      </c>
      <c r="CQ139" s="24">
        <v>538.4</v>
      </c>
      <c r="CR139" s="24">
        <v>1159.0999999999999</v>
      </c>
      <c r="CS139" s="24">
        <v>187304</v>
      </c>
      <c r="CT139" s="24">
        <v>187304</v>
      </c>
      <c r="CU139" s="24">
        <v>1617</v>
      </c>
      <c r="CV139" s="24">
        <v>54318</v>
      </c>
      <c r="CW139" s="24">
        <v>0</v>
      </c>
      <c r="CX139" s="24">
        <v>176021</v>
      </c>
      <c r="CY139" s="24">
        <v>1121</v>
      </c>
      <c r="CZ139" s="24">
        <v>37315</v>
      </c>
      <c r="DA139" s="24">
        <v>1159.0999999999999</v>
      </c>
      <c r="DD139" s="24">
        <v>2022</v>
      </c>
      <c r="DE139" s="24">
        <v>13</v>
      </c>
      <c r="DF139" s="24" t="s">
        <v>33</v>
      </c>
      <c r="DG139" s="24">
        <v>57273</v>
      </c>
      <c r="DH139" s="24">
        <v>29485</v>
      </c>
      <c r="DJ139" s="24">
        <v>2022</v>
      </c>
      <c r="DK139" s="24">
        <v>12</v>
      </c>
      <c r="DL139" s="24" t="s">
        <v>33</v>
      </c>
      <c r="DM139" s="24">
        <v>669</v>
      </c>
      <c r="DP139" s="24">
        <v>2021</v>
      </c>
      <c r="DQ139" s="24">
        <v>41</v>
      </c>
      <c r="DR139" s="24" t="s">
        <v>33</v>
      </c>
      <c r="DS139" s="24">
        <v>19359</v>
      </c>
      <c r="DT139" s="24">
        <v>38</v>
      </c>
      <c r="DW139" s="24">
        <v>2022</v>
      </c>
      <c r="DX139" s="24">
        <v>29</v>
      </c>
      <c r="DY139" s="24" t="s">
        <v>33</v>
      </c>
      <c r="DZ139" s="24">
        <v>14</v>
      </c>
      <c r="EA139" s="24" t="s">
        <v>562</v>
      </c>
      <c r="EB139" s="24">
        <v>304.7</v>
      </c>
      <c r="EC139" s="24">
        <v>17.3</v>
      </c>
      <c r="ED139" s="24">
        <v>259</v>
      </c>
      <c r="EE139" s="24">
        <v>12138</v>
      </c>
      <c r="EF139" s="24">
        <v>5.3</v>
      </c>
      <c r="EI139" s="24">
        <v>2023</v>
      </c>
      <c r="EJ139" s="24">
        <v>6</v>
      </c>
      <c r="EK139" s="24" t="s">
        <v>208</v>
      </c>
      <c r="EL139" s="24" t="s">
        <v>235</v>
      </c>
      <c r="EM139" s="24" t="s">
        <v>215</v>
      </c>
      <c r="EN139" s="24">
        <v>11</v>
      </c>
      <c r="EO139" s="24"/>
      <c r="EP139" s="24"/>
      <c r="EQ139" s="24"/>
      <c r="ER139" s="24"/>
      <c r="ES139" s="24">
        <v>2022</v>
      </c>
      <c r="ET139" s="24">
        <v>16</v>
      </c>
      <c r="EU139" s="24" t="s">
        <v>33</v>
      </c>
      <c r="EV139" s="24">
        <v>145997</v>
      </c>
      <c r="EY139" s="24">
        <v>2022</v>
      </c>
      <c r="EZ139" s="24">
        <v>15</v>
      </c>
      <c r="FA139" s="24" t="s">
        <v>32</v>
      </c>
      <c r="FB139" s="24">
        <v>897</v>
      </c>
      <c r="FE139" s="24">
        <v>2022</v>
      </c>
      <c r="FF139" s="24">
        <v>13</v>
      </c>
      <c r="FG139" s="24" t="s">
        <v>33</v>
      </c>
      <c r="FH139" s="24">
        <v>0.94700000000000006</v>
      </c>
      <c r="FI139" s="24">
        <v>16398</v>
      </c>
      <c r="FJ139" s="24">
        <v>7494</v>
      </c>
      <c r="FK139" s="24">
        <v>7966</v>
      </c>
      <c r="FN139" s="24">
        <v>2022</v>
      </c>
      <c r="FO139" s="24">
        <v>14</v>
      </c>
      <c r="FP139" s="24" t="s">
        <v>33</v>
      </c>
      <c r="FQ139" s="24">
        <v>927446</v>
      </c>
      <c r="FR139" s="24">
        <v>8266.2000000000007</v>
      </c>
      <c r="FS139" s="24">
        <v>465094</v>
      </c>
      <c r="FT139" s="24">
        <v>3529.4833333333299</v>
      </c>
      <c r="FW139" s="24">
        <v>2022</v>
      </c>
      <c r="FX139" s="24">
        <v>13</v>
      </c>
      <c r="FY139" s="24" t="s">
        <v>33</v>
      </c>
      <c r="FZ139" s="24">
        <v>16711</v>
      </c>
      <c r="GA139" s="24">
        <v>15509</v>
      </c>
      <c r="GB139" s="24"/>
      <c r="GC139" s="24"/>
      <c r="GD139" s="24">
        <v>2022</v>
      </c>
      <c r="GE139" s="24">
        <v>13</v>
      </c>
      <c r="GF139" s="24" t="s">
        <v>33</v>
      </c>
      <c r="GG139" s="24">
        <v>16708</v>
      </c>
      <c r="GH139" s="24">
        <v>15726</v>
      </c>
      <c r="GK139" s="24"/>
      <c r="GL139" s="24"/>
      <c r="GM139" s="24"/>
      <c r="GN139" s="24"/>
      <c r="GO139" s="24"/>
      <c r="GP139" s="24">
        <v>2022</v>
      </c>
      <c r="GQ139" s="24">
        <v>13</v>
      </c>
      <c r="GR139" s="24">
        <v>13.372571428571401</v>
      </c>
      <c r="GS139" s="24" t="s">
        <v>33</v>
      </c>
      <c r="GX139">
        <v>2022</v>
      </c>
      <c r="GY139">
        <v>13</v>
      </c>
      <c r="GZ139" t="s">
        <v>33</v>
      </c>
      <c r="HA139">
        <v>322099</v>
      </c>
      <c r="HB139">
        <v>316733</v>
      </c>
      <c r="HC139">
        <v>703</v>
      </c>
      <c r="HD139">
        <v>214</v>
      </c>
      <c r="HE139">
        <v>0</v>
      </c>
      <c r="HF139">
        <v>1209</v>
      </c>
      <c r="HG139">
        <v>0</v>
      </c>
      <c r="HH139">
        <v>1</v>
      </c>
      <c r="HI139">
        <v>765</v>
      </c>
      <c r="HL139">
        <v>2022</v>
      </c>
      <c r="HM139">
        <v>13</v>
      </c>
      <c r="HN139" t="s">
        <v>33</v>
      </c>
      <c r="HO139">
        <v>321384</v>
      </c>
      <c r="HP139">
        <v>318400</v>
      </c>
      <c r="HQ139">
        <v>727</v>
      </c>
      <c r="HR139">
        <v>73</v>
      </c>
      <c r="HS139">
        <v>1</v>
      </c>
      <c r="HT139">
        <v>1097</v>
      </c>
      <c r="HU139">
        <v>0</v>
      </c>
      <c r="HV139">
        <v>1</v>
      </c>
      <c r="HW139">
        <v>272</v>
      </c>
      <c r="HZ139" s="24">
        <v>2022</v>
      </c>
      <c r="IA139" s="24">
        <v>13</v>
      </c>
      <c r="IB139" s="24" t="s">
        <v>33</v>
      </c>
      <c r="IC139" s="24">
        <v>16604</v>
      </c>
      <c r="ID139" s="24">
        <v>16054</v>
      </c>
      <c r="IG139" s="24">
        <v>2022</v>
      </c>
      <c r="IH139" s="24">
        <v>13</v>
      </c>
      <c r="II139" s="24" t="s">
        <v>33</v>
      </c>
      <c r="IJ139" s="24">
        <v>15601</v>
      </c>
      <c r="IK139" s="24">
        <v>15461</v>
      </c>
    </row>
    <row r="140" spans="9:245" x14ac:dyDescent="0.4">
      <c r="I140" s="305">
        <v>2022</v>
      </c>
      <c r="J140" s="306">
        <v>13</v>
      </c>
      <c r="K140" s="306" t="s">
        <v>33</v>
      </c>
      <c r="L140" s="306">
        <v>323471</v>
      </c>
      <c r="M140" s="306">
        <v>235892</v>
      </c>
      <c r="N140" s="306">
        <v>1074</v>
      </c>
      <c r="O140" s="306">
        <v>7386</v>
      </c>
      <c r="P140" s="306">
        <v>677</v>
      </c>
      <c r="Q140" s="306">
        <v>64</v>
      </c>
      <c r="R140" s="24"/>
      <c r="S140" s="24"/>
      <c r="T140" s="24"/>
      <c r="W140" s="24">
        <v>2022</v>
      </c>
      <c r="X140" s="24">
        <v>12</v>
      </c>
      <c r="Y140" s="24" t="s">
        <v>32</v>
      </c>
      <c r="Z140" s="24">
        <v>19471</v>
      </c>
      <c r="AA140" s="24">
        <v>18970</v>
      </c>
      <c r="AB140" s="24">
        <v>40</v>
      </c>
      <c r="AC140" s="24">
        <v>4</v>
      </c>
      <c r="AD140" s="297"/>
      <c r="AE140" s="297"/>
      <c r="AF140" s="297"/>
      <c r="AG140" s="297"/>
      <c r="AH140" s="297"/>
      <c r="AI140" s="24"/>
      <c r="AJ140" s="24"/>
      <c r="AK140" s="24">
        <v>2022</v>
      </c>
      <c r="AL140" s="24">
        <v>12</v>
      </c>
      <c r="AM140" s="24">
        <v>617.20000000000005</v>
      </c>
      <c r="AN140" s="24">
        <v>87.92</v>
      </c>
      <c r="AO140" s="24">
        <v>0</v>
      </c>
      <c r="AP140" s="24">
        <v>14</v>
      </c>
      <c r="AQ140" s="24">
        <v>0</v>
      </c>
      <c r="AR140" s="24">
        <v>0</v>
      </c>
      <c r="AS140" s="24" t="s">
        <v>32</v>
      </c>
      <c r="AT140" s="24"/>
      <c r="AU140" s="24">
        <v>2022</v>
      </c>
      <c r="AV140" s="24">
        <v>12</v>
      </c>
      <c r="AW140" s="24">
        <v>0.13</v>
      </c>
      <c r="AX140" s="24">
        <v>2500</v>
      </c>
      <c r="AY140" s="24">
        <v>19934</v>
      </c>
      <c r="AZ140" s="24" t="s">
        <v>32</v>
      </c>
      <c r="BA140" s="24"/>
      <c r="BB140" s="24"/>
      <c r="BC140" s="24">
        <v>2022</v>
      </c>
      <c r="BD140" s="24">
        <v>12</v>
      </c>
      <c r="BE140" s="24">
        <v>266.08199999999999</v>
      </c>
      <c r="BF140" s="24" t="s">
        <v>32</v>
      </c>
      <c r="BG140" s="24"/>
      <c r="BI140" s="24">
        <v>2022</v>
      </c>
      <c r="BJ140" s="24">
        <v>37</v>
      </c>
      <c r="BK140" s="24" t="s">
        <v>32</v>
      </c>
      <c r="BL140" s="24" t="s">
        <v>273</v>
      </c>
      <c r="BM140" s="24">
        <v>8449</v>
      </c>
      <c r="BN140" s="24">
        <v>8364</v>
      </c>
      <c r="BO140" s="24">
        <v>10769</v>
      </c>
      <c r="BR140" s="24">
        <v>2022</v>
      </c>
      <c r="BS140" s="24">
        <v>12</v>
      </c>
      <c r="BT140" s="24">
        <v>332923</v>
      </c>
      <c r="BU140" s="24">
        <v>1</v>
      </c>
      <c r="BV140" s="24" t="s">
        <v>33</v>
      </c>
      <c r="BY140" s="24">
        <v>2022</v>
      </c>
      <c r="BZ140" s="24">
        <v>14</v>
      </c>
      <c r="CA140" s="24" t="s">
        <v>32</v>
      </c>
      <c r="CB140" s="24" t="s">
        <v>423</v>
      </c>
      <c r="CC140" s="24">
        <v>1</v>
      </c>
      <c r="CF140" s="24">
        <v>2022</v>
      </c>
      <c r="CG140" s="24">
        <v>12</v>
      </c>
      <c r="CH140" s="24" t="s">
        <v>32</v>
      </c>
      <c r="CI140" s="24">
        <v>83.510362694300511</v>
      </c>
      <c r="CJ140" s="24">
        <v>6447</v>
      </c>
      <c r="CK140" s="24">
        <v>77.2</v>
      </c>
      <c r="CL140" s="24">
        <v>53.179935572940636</v>
      </c>
      <c r="CM140" s="24">
        <v>11923</v>
      </c>
      <c r="CN140" s="24">
        <v>23112</v>
      </c>
      <c r="CO140" s="24">
        <v>434.6</v>
      </c>
      <c r="CP140" s="24">
        <v>9198</v>
      </c>
      <c r="CQ140" s="24">
        <v>33.9</v>
      </c>
      <c r="CR140" s="24">
        <v>251.1</v>
      </c>
      <c r="CS140" s="24">
        <v>14656</v>
      </c>
      <c r="CT140" s="24">
        <v>14656</v>
      </c>
      <c r="CU140" s="24">
        <v>387.7</v>
      </c>
      <c r="CV140" s="24">
        <v>3311</v>
      </c>
      <c r="CW140" s="24">
        <v>0</v>
      </c>
      <c r="CX140" s="24">
        <v>17156</v>
      </c>
      <c r="CY140" s="24">
        <v>51.6</v>
      </c>
      <c r="CZ140" s="24">
        <v>8380</v>
      </c>
      <c r="DA140" s="24">
        <v>251.1</v>
      </c>
      <c r="DD140" s="24">
        <v>2022</v>
      </c>
      <c r="DE140" s="24">
        <v>12</v>
      </c>
      <c r="DF140" s="24" t="s">
        <v>32</v>
      </c>
      <c r="DG140" s="24">
        <v>58</v>
      </c>
      <c r="DH140" s="24">
        <v>2436</v>
      </c>
      <c r="DJ140" s="24">
        <v>2022</v>
      </c>
      <c r="DK140" s="24">
        <v>12</v>
      </c>
      <c r="DL140" s="24" t="s">
        <v>213</v>
      </c>
      <c r="DM140" s="24">
        <v>1</v>
      </c>
      <c r="DP140" s="24">
        <v>2021</v>
      </c>
      <c r="DQ140" s="24">
        <v>40</v>
      </c>
      <c r="DR140" s="24" t="s">
        <v>33</v>
      </c>
      <c r="DS140" s="24">
        <v>24861</v>
      </c>
      <c r="DT140" s="24">
        <v>70</v>
      </c>
      <c r="DW140" s="24">
        <v>2022</v>
      </c>
      <c r="DX140" s="24">
        <v>29</v>
      </c>
      <c r="DY140" s="24" t="s">
        <v>33</v>
      </c>
      <c r="DZ140" s="24">
        <v>73</v>
      </c>
      <c r="EA140" s="24" t="s">
        <v>149</v>
      </c>
      <c r="EB140" s="24">
        <v>228.1</v>
      </c>
      <c r="EC140" s="24">
        <v>1484.2</v>
      </c>
      <c r="ED140" s="24">
        <v>46396</v>
      </c>
      <c r="EE140" s="24">
        <v>53912</v>
      </c>
      <c r="EF140" s="24">
        <v>14.2</v>
      </c>
      <c r="EI140" s="24">
        <v>2023</v>
      </c>
      <c r="EJ140" s="24">
        <v>6</v>
      </c>
      <c r="EK140" s="24" t="s">
        <v>208</v>
      </c>
      <c r="EL140" s="24" t="s">
        <v>209</v>
      </c>
      <c r="EM140" s="24" t="s">
        <v>210</v>
      </c>
      <c r="EN140" s="24">
        <v>3</v>
      </c>
      <c r="EO140" s="24"/>
      <c r="EP140" s="24"/>
      <c r="EQ140" s="24"/>
      <c r="ER140" s="24"/>
      <c r="ES140" s="24">
        <v>2022</v>
      </c>
      <c r="ET140" s="24">
        <v>15</v>
      </c>
      <c r="EU140" s="24" t="s">
        <v>32</v>
      </c>
      <c r="EV140" s="24">
        <v>9152</v>
      </c>
      <c r="EY140" s="24">
        <v>2022</v>
      </c>
      <c r="EZ140" s="24">
        <v>15</v>
      </c>
      <c r="FA140" s="24" t="s">
        <v>33</v>
      </c>
      <c r="FB140" s="24">
        <v>1097</v>
      </c>
      <c r="FE140" s="24">
        <v>2022</v>
      </c>
      <c r="FF140" s="24">
        <v>12</v>
      </c>
      <c r="FG140" s="24" t="s">
        <v>32</v>
      </c>
      <c r="FH140" s="24">
        <v>0.82669999999999999</v>
      </c>
      <c r="FI140" s="24">
        <v>622</v>
      </c>
      <c r="FJ140" s="24">
        <v>293</v>
      </c>
      <c r="FK140" s="24">
        <v>350</v>
      </c>
      <c r="FN140" s="24">
        <v>2022</v>
      </c>
      <c r="FO140" s="24">
        <v>13</v>
      </c>
      <c r="FP140" s="24" t="s">
        <v>32</v>
      </c>
      <c r="FQ140" s="24">
        <v>48502</v>
      </c>
      <c r="FR140" s="24">
        <v>882.53333333333296</v>
      </c>
      <c r="FS140" s="24">
        <v>34622</v>
      </c>
      <c r="FT140" s="24">
        <v>481.11666666666702</v>
      </c>
      <c r="FW140" s="24">
        <v>2022</v>
      </c>
      <c r="FX140" s="24">
        <v>12</v>
      </c>
      <c r="FY140" s="24" t="s">
        <v>32</v>
      </c>
      <c r="FZ140" s="24">
        <v>2829</v>
      </c>
      <c r="GA140" s="24">
        <v>2567</v>
      </c>
      <c r="GB140" s="24"/>
      <c r="GC140" s="24"/>
      <c r="GD140" s="24">
        <v>2022</v>
      </c>
      <c r="GE140" s="24">
        <v>12</v>
      </c>
      <c r="GF140" s="24" t="s">
        <v>32</v>
      </c>
      <c r="GG140" s="24">
        <v>2763</v>
      </c>
      <c r="GH140" s="24">
        <v>2482</v>
      </c>
      <c r="GK140" s="24"/>
      <c r="GL140" s="24"/>
      <c r="GM140" s="24"/>
      <c r="GN140" s="24"/>
      <c r="GO140" s="24"/>
      <c r="GP140" s="24">
        <v>2022</v>
      </c>
      <c r="GQ140" s="24">
        <v>12</v>
      </c>
      <c r="GR140" s="24">
        <v>0.03</v>
      </c>
      <c r="GS140" s="24" t="s">
        <v>32</v>
      </c>
      <c r="GX140">
        <v>2022</v>
      </c>
      <c r="GY140">
        <v>12</v>
      </c>
      <c r="GZ140" t="s">
        <v>32</v>
      </c>
      <c r="HA140">
        <v>19548</v>
      </c>
      <c r="HB140">
        <v>18950</v>
      </c>
      <c r="HC140">
        <v>2</v>
      </c>
      <c r="HD140">
        <v>8</v>
      </c>
      <c r="HE140">
        <v>0</v>
      </c>
      <c r="HF140">
        <v>146</v>
      </c>
      <c r="HG140">
        <v>0</v>
      </c>
      <c r="HH140">
        <v>0</v>
      </c>
      <c r="HI140">
        <v>77</v>
      </c>
      <c r="HL140">
        <v>2022</v>
      </c>
      <c r="HM140">
        <v>12</v>
      </c>
      <c r="HN140" t="s">
        <v>32</v>
      </c>
      <c r="HO140">
        <v>19425</v>
      </c>
      <c r="HP140">
        <v>19057</v>
      </c>
      <c r="HQ140">
        <v>2</v>
      </c>
      <c r="HR140">
        <v>3</v>
      </c>
      <c r="HS140">
        <v>0</v>
      </c>
      <c r="HT140">
        <v>264</v>
      </c>
      <c r="HU140">
        <v>0</v>
      </c>
      <c r="HV140">
        <v>0</v>
      </c>
      <c r="HW140">
        <v>8</v>
      </c>
      <c r="HZ140" s="24">
        <v>2022</v>
      </c>
      <c r="IA140" s="24">
        <v>12</v>
      </c>
      <c r="IB140" s="24" t="s">
        <v>32</v>
      </c>
      <c r="IC140" s="24">
        <v>2770</v>
      </c>
      <c r="ID140" s="24">
        <v>2516</v>
      </c>
      <c r="IG140" s="24">
        <v>2022</v>
      </c>
      <c r="IH140" s="24">
        <v>12</v>
      </c>
      <c r="II140" s="24" t="s">
        <v>32</v>
      </c>
      <c r="IJ140" s="24">
        <v>2725</v>
      </c>
      <c r="IK140" s="24">
        <v>2611</v>
      </c>
    </row>
    <row r="141" spans="9:245" x14ac:dyDescent="0.4">
      <c r="I141" s="305">
        <v>2022</v>
      </c>
      <c r="J141" s="306">
        <v>12</v>
      </c>
      <c r="K141" s="306" t="s">
        <v>32</v>
      </c>
      <c r="L141" s="306">
        <v>19675</v>
      </c>
      <c r="M141" s="306">
        <v>19115</v>
      </c>
      <c r="N141" s="306">
        <v>45</v>
      </c>
      <c r="O141" s="306">
        <v>186</v>
      </c>
      <c r="P141" s="306">
        <v>68</v>
      </c>
      <c r="Q141" s="306">
        <v>3</v>
      </c>
      <c r="R141" s="24"/>
      <c r="S141" s="24"/>
      <c r="T141" s="24"/>
      <c r="W141" s="24">
        <v>2022</v>
      </c>
      <c r="X141" s="24">
        <v>12</v>
      </c>
      <c r="Y141" s="24" t="s">
        <v>33</v>
      </c>
      <c r="Z141" s="24">
        <v>326239</v>
      </c>
      <c r="AA141" s="24">
        <v>224056</v>
      </c>
      <c r="AB141" s="24">
        <v>593</v>
      </c>
      <c r="AC141" s="24">
        <v>82</v>
      </c>
      <c r="AD141" s="297"/>
      <c r="AE141" s="297"/>
      <c r="AF141" s="297"/>
      <c r="AG141" s="297"/>
      <c r="AH141" s="297"/>
      <c r="AI141" s="24"/>
      <c r="AJ141" s="24"/>
      <c r="AK141" s="24">
        <v>2022</v>
      </c>
      <c r="AL141" s="24">
        <v>12</v>
      </c>
      <c r="AM141" s="24">
        <v>18968.850000000002</v>
      </c>
      <c r="AN141" s="24">
        <v>2549.87</v>
      </c>
      <c r="AO141" s="24">
        <v>0</v>
      </c>
      <c r="AP141" s="24">
        <v>455</v>
      </c>
      <c r="AQ141" s="24">
        <v>0</v>
      </c>
      <c r="AR141" s="24">
        <v>7</v>
      </c>
      <c r="AS141" s="24" t="s">
        <v>33</v>
      </c>
      <c r="AT141" s="24"/>
      <c r="AU141" s="24">
        <v>2022</v>
      </c>
      <c r="AV141" s="24">
        <v>12</v>
      </c>
      <c r="AW141" s="24">
        <v>7.0000000000000007E-2</v>
      </c>
      <c r="AX141" s="24">
        <v>22600</v>
      </c>
      <c r="AY141" s="24">
        <v>335264</v>
      </c>
      <c r="AZ141" s="24" t="s">
        <v>33</v>
      </c>
      <c r="BA141" s="24"/>
      <c r="BB141" s="24"/>
      <c r="BC141" s="24">
        <v>2022</v>
      </c>
      <c r="BD141" s="24">
        <v>12</v>
      </c>
      <c r="BE141" s="24">
        <v>2476.0311428571399</v>
      </c>
      <c r="BF141" s="24" t="s">
        <v>33</v>
      </c>
      <c r="BG141" s="24"/>
      <c r="BI141" s="24">
        <v>2022</v>
      </c>
      <c r="BJ141" s="24">
        <v>37</v>
      </c>
      <c r="BK141" s="24" t="s">
        <v>33</v>
      </c>
      <c r="BL141" s="24" t="s">
        <v>273</v>
      </c>
      <c r="BM141" s="24">
        <v>104297</v>
      </c>
      <c r="BN141" s="24">
        <v>103112</v>
      </c>
      <c r="BO141" s="24">
        <v>107557</v>
      </c>
      <c r="BR141" s="24">
        <v>2022</v>
      </c>
      <c r="BS141" s="24">
        <v>12</v>
      </c>
      <c r="BT141" s="24">
        <v>19843</v>
      </c>
      <c r="BU141" s="24">
        <v>0</v>
      </c>
      <c r="BV141" s="24" t="s">
        <v>32</v>
      </c>
      <c r="BY141" s="24">
        <v>2022</v>
      </c>
      <c r="BZ141" s="24">
        <v>14</v>
      </c>
      <c r="CA141" s="24" t="s">
        <v>33</v>
      </c>
      <c r="CB141" s="24" t="s">
        <v>108</v>
      </c>
      <c r="CC141" s="24">
        <v>1</v>
      </c>
      <c r="CF141" s="24">
        <v>2022</v>
      </c>
      <c r="CG141" s="24">
        <v>12</v>
      </c>
      <c r="CH141" s="24" t="s">
        <v>33</v>
      </c>
      <c r="CI141" s="24">
        <v>138.75863678804856</v>
      </c>
      <c r="CJ141" s="24">
        <v>297221</v>
      </c>
      <c r="CK141" s="24">
        <v>2142</v>
      </c>
      <c r="CL141" s="24">
        <v>115.6255853886981</v>
      </c>
      <c r="CM141" s="24">
        <v>155643</v>
      </c>
      <c r="CN141" s="24">
        <v>296279</v>
      </c>
      <c r="CO141" s="24">
        <v>2562.4</v>
      </c>
      <c r="CP141" s="24">
        <v>59737</v>
      </c>
      <c r="CQ141" s="24">
        <v>454.6</v>
      </c>
      <c r="CR141" s="24">
        <v>1299.0999999999999</v>
      </c>
      <c r="CS141" s="24">
        <v>200380</v>
      </c>
      <c r="CT141" s="24">
        <v>200380</v>
      </c>
      <c r="CU141" s="24">
        <v>1662.1</v>
      </c>
      <c r="CV141" s="24">
        <v>53281</v>
      </c>
      <c r="CW141" s="24">
        <v>0</v>
      </c>
      <c r="CX141" s="24">
        <v>178466</v>
      </c>
      <c r="CY141" s="24">
        <v>1156.3</v>
      </c>
      <c r="CZ141" s="24">
        <v>40929</v>
      </c>
      <c r="DA141" s="24">
        <v>1299.0999999999999</v>
      </c>
      <c r="DD141" s="24">
        <v>2022</v>
      </c>
      <c r="DE141" s="24">
        <v>12</v>
      </c>
      <c r="DF141" s="24" t="s">
        <v>33</v>
      </c>
      <c r="DG141" s="24">
        <v>64766</v>
      </c>
      <c r="DH141" s="24">
        <v>30917</v>
      </c>
      <c r="DJ141" s="24">
        <v>2022</v>
      </c>
      <c r="DK141" s="24">
        <v>11</v>
      </c>
      <c r="DL141" s="24" t="s">
        <v>32</v>
      </c>
      <c r="DM141" s="24">
        <v>31</v>
      </c>
      <c r="DP141" s="24">
        <v>2021</v>
      </c>
      <c r="DQ141" s="24">
        <v>39</v>
      </c>
      <c r="DR141" s="24" t="s">
        <v>33</v>
      </c>
      <c r="DS141" s="24">
        <v>27702</v>
      </c>
      <c r="DT141" s="24">
        <v>95</v>
      </c>
      <c r="DW141" s="24">
        <v>2022</v>
      </c>
      <c r="DX141" s="24">
        <v>28</v>
      </c>
      <c r="DY141" s="24" t="s">
        <v>32</v>
      </c>
      <c r="DZ141" s="24">
        <v>2</v>
      </c>
      <c r="EA141" s="24" t="s">
        <v>149</v>
      </c>
      <c r="EB141" s="24">
        <v>40.5</v>
      </c>
      <c r="EC141" s="24">
        <v>8</v>
      </c>
      <c r="ED141" s="24">
        <v>399</v>
      </c>
      <c r="EE141" s="24">
        <v>1975</v>
      </c>
      <c r="EF141" s="24">
        <v>1.5</v>
      </c>
      <c r="EI141" s="24">
        <v>2023</v>
      </c>
      <c r="EJ141" s="24">
        <v>6</v>
      </c>
      <c r="EK141" s="24" t="s">
        <v>208</v>
      </c>
      <c r="EL141" s="24" t="s">
        <v>245</v>
      </c>
      <c r="EM141" s="24" t="s">
        <v>210</v>
      </c>
      <c r="EN141" s="24">
        <v>2</v>
      </c>
      <c r="EO141" s="24"/>
      <c r="EP141" s="24"/>
      <c r="EQ141" s="24"/>
      <c r="ER141" s="24"/>
      <c r="ES141" s="24">
        <v>2022</v>
      </c>
      <c r="ET141" s="24">
        <v>15</v>
      </c>
      <c r="EU141" s="24" t="s">
        <v>33</v>
      </c>
      <c r="EV141" s="24">
        <v>170858</v>
      </c>
      <c r="EY141" s="24">
        <v>2022</v>
      </c>
      <c r="EZ141" s="24">
        <v>14</v>
      </c>
      <c r="FA141" s="24" t="s">
        <v>32</v>
      </c>
      <c r="FB141" s="24">
        <v>598</v>
      </c>
      <c r="FE141" s="24">
        <v>2022</v>
      </c>
      <c r="FF141" s="24">
        <v>12</v>
      </c>
      <c r="FG141" s="24" t="s">
        <v>33</v>
      </c>
      <c r="FH141" s="24">
        <v>0.90629999999999999</v>
      </c>
      <c r="FI141" s="24">
        <v>15766</v>
      </c>
      <c r="FJ141" s="24">
        <v>7220</v>
      </c>
      <c r="FK141" s="24">
        <v>8021</v>
      </c>
      <c r="FN141" s="24">
        <v>2022</v>
      </c>
      <c r="FO141" s="24">
        <v>13</v>
      </c>
      <c r="FP141" s="24" t="s">
        <v>33</v>
      </c>
      <c r="FQ141" s="24">
        <v>914169</v>
      </c>
      <c r="FR141" s="24">
        <v>7988.2666666666692</v>
      </c>
      <c r="FS141" s="24">
        <v>449615</v>
      </c>
      <c r="FT141" s="24">
        <v>3477.3833333333296</v>
      </c>
      <c r="FW141" s="24">
        <v>2022</v>
      </c>
      <c r="FX141" s="24">
        <v>12</v>
      </c>
      <c r="FY141" s="24" t="s">
        <v>33</v>
      </c>
      <c r="FZ141" s="24">
        <v>16206</v>
      </c>
      <c r="GA141" s="24">
        <v>15094</v>
      </c>
      <c r="GB141" s="24"/>
      <c r="GC141" s="24"/>
      <c r="GD141" s="24">
        <v>2022</v>
      </c>
      <c r="GE141" s="24">
        <v>12</v>
      </c>
      <c r="GF141" s="24" t="s">
        <v>33</v>
      </c>
      <c r="GG141" s="24">
        <v>16215</v>
      </c>
      <c r="GH141" s="24">
        <v>15248</v>
      </c>
      <c r="GK141" s="24"/>
      <c r="GL141" s="24"/>
      <c r="GM141" s="24"/>
      <c r="GN141" s="24"/>
      <c r="GO141" s="24"/>
      <c r="GP141" s="24">
        <v>2022</v>
      </c>
      <c r="GQ141" s="24">
        <v>12</v>
      </c>
      <c r="GR141" s="24">
        <v>12.214857142857101</v>
      </c>
      <c r="GS141" s="24" t="s">
        <v>33</v>
      </c>
      <c r="GX141">
        <v>2022</v>
      </c>
      <c r="GY141">
        <v>12</v>
      </c>
      <c r="GZ141" t="s">
        <v>33</v>
      </c>
      <c r="HA141">
        <v>328052</v>
      </c>
      <c r="HB141">
        <v>301478</v>
      </c>
      <c r="HC141">
        <v>1070</v>
      </c>
      <c r="HD141">
        <v>1563</v>
      </c>
      <c r="HE141">
        <v>7</v>
      </c>
      <c r="HF141">
        <v>15391</v>
      </c>
      <c r="HG141">
        <v>0</v>
      </c>
      <c r="HH141">
        <v>0</v>
      </c>
      <c r="HI141">
        <v>1988</v>
      </c>
      <c r="HL141">
        <v>2022</v>
      </c>
      <c r="HM141">
        <v>12</v>
      </c>
      <c r="HN141" t="s">
        <v>33</v>
      </c>
      <c r="HO141">
        <v>325966</v>
      </c>
      <c r="HP141">
        <v>305450</v>
      </c>
      <c r="HQ141">
        <v>1174</v>
      </c>
      <c r="HR141">
        <v>1236</v>
      </c>
      <c r="HS141">
        <v>6</v>
      </c>
      <c r="HT141">
        <v>14933</v>
      </c>
      <c r="HU141">
        <v>0</v>
      </c>
      <c r="HV141">
        <v>0</v>
      </c>
      <c r="HW141">
        <v>1150</v>
      </c>
      <c r="HZ141" s="24">
        <v>2022</v>
      </c>
      <c r="IA141" s="24">
        <v>12</v>
      </c>
      <c r="IB141" s="24" t="s">
        <v>33</v>
      </c>
      <c r="IC141" s="24">
        <v>16222</v>
      </c>
      <c r="ID141" s="24">
        <v>15528</v>
      </c>
      <c r="IG141" s="24">
        <v>2022</v>
      </c>
      <c r="IH141" s="24">
        <v>12</v>
      </c>
      <c r="II141" s="24" t="s">
        <v>33</v>
      </c>
      <c r="IJ141" s="24">
        <v>15288</v>
      </c>
      <c r="IK141" s="24">
        <v>15027</v>
      </c>
    </row>
    <row r="142" spans="9:245" x14ac:dyDescent="0.4">
      <c r="I142" s="305">
        <v>2022</v>
      </c>
      <c r="J142" s="306">
        <v>12</v>
      </c>
      <c r="K142" s="306" t="s">
        <v>33</v>
      </c>
      <c r="L142" s="306">
        <v>328452</v>
      </c>
      <c r="M142" s="306">
        <v>224838</v>
      </c>
      <c r="N142" s="306">
        <v>1475</v>
      </c>
      <c r="O142" s="306">
        <v>8760</v>
      </c>
      <c r="P142" s="306">
        <v>633</v>
      </c>
      <c r="Q142" s="306">
        <v>88</v>
      </c>
      <c r="R142" s="24"/>
      <c r="S142" s="24"/>
      <c r="T142" s="24"/>
      <c r="W142" s="24">
        <v>2022</v>
      </c>
      <c r="X142" s="24">
        <v>11</v>
      </c>
      <c r="Y142" s="24" t="s">
        <v>32</v>
      </c>
      <c r="Z142" s="24">
        <v>16443</v>
      </c>
      <c r="AA142" s="24">
        <v>15832</v>
      </c>
      <c r="AB142" s="24">
        <v>43</v>
      </c>
      <c r="AC142" s="24">
        <v>2</v>
      </c>
      <c r="AD142" s="297"/>
      <c r="AE142" s="297"/>
      <c r="AF142" s="297"/>
      <c r="AG142" s="297"/>
      <c r="AH142" s="297"/>
      <c r="AI142" s="24"/>
      <c r="AJ142" s="24"/>
      <c r="AK142" s="24">
        <v>2022</v>
      </c>
      <c r="AL142" s="24">
        <v>11</v>
      </c>
      <c r="AM142" s="24">
        <v>568.65</v>
      </c>
      <c r="AN142" s="24">
        <v>73.400000000000006</v>
      </c>
      <c r="AO142" s="24">
        <v>0</v>
      </c>
      <c r="AP142" s="24">
        <v>14</v>
      </c>
      <c r="AQ142" s="24">
        <v>0</v>
      </c>
      <c r="AR142" s="24">
        <v>0</v>
      </c>
      <c r="AS142" s="24" t="s">
        <v>32</v>
      </c>
      <c r="AT142" s="24"/>
      <c r="AU142" s="24">
        <v>2022</v>
      </c>
      <c r="AV142" s="24">
        <v>11</v>
      </c>
      <c r="AW142" s="24">
        <v>0.13</v>
      </c>
      <c r="AX142" s="24">
        <v>2300</v>
      </c>
      <c r="AY142" s="24">
        <v>17189</v>
      </c>
      <c r="AZ142" s="24" t="s">
        <v>32</v>
      </c>
      <c r="BA142" s="24"/>
      <c r="BB142" s="24"/>
      <c r="BC142" s="24">
        <v>2022</v>
      </c>
      <c r="BD142" s="24">
        <v>11</v>
      </c>
      <c r="BE142" s="24">
        <v>262.701142857143</v>
      </c>
      <c r="BF142" s="24" t="s">
        <v>32</v>
      </c>
      <c r="BG142" s="24"/>
      <c r="BI142" s="24">
        <v>2022</v>
      </c>
      <c r="BJ142" s="24">
        <v>36</v>
      </c>
      <c r="BK142" s="24" t="s">
        <v>33</v>
      </c>
      <c r="BL142" s="24" t="s">
        <v>273</v>
      </c>
      <c r="BM142" s="24">
        <v>90462</v>
      </c>
      <c r="BN142" s="24">
        <v>89881</v>
      </c>
      <c r="BO142" s="24">
        <v>93331</v>
      </c>
      <c r="BR142" s="24">
        <v>2022</v>
      </c>
      <c r="BS142" s="24">
        <v>11</v>
      </c>
      <c r="BT142" s="24">
        <v>330547</v>
      </c>
      <c r="BU142" s="24">
        <v>1</v>
      </c>
      <c r="BV142" s="24" t="s">
        <v>33</v>
      </c>
      <c r="BY142" s="24">
        <v>2022</v>
      </c>
      <c r="BZ142" s="24">
        <v>14</v>
      </c>
      <c r="CA142" s="24" t="s">
        <v>33</v>
      </c>
      <c r="CB142" s="24" t="s">
        <v>423</v>
      </c>
      <c r="CC142" s="24">
        <v>39</v>
      </c>
      <c r="CF142" s="24">
        <v>2022</v>
      </c>
      <c r="CG142" s="24">
        <v>11</v>
      </c>
      <c r="CH142" s="24" t="s">
        <v>32</v>
      </c>
      <c r="CI142" s="24">
        <v>65.355555555555554</v>
      </c>
      <c r="CJ142" s="24">
        <v>2941</v>
      </c>
      <c r="CK142" s="24">
        <v>45</v>
      </c>
      <c r="CL142" s="24">
        <v>50.251924422673198</v>
      </c>
      <c r="CM142" s="24">
        <v>11266</v>
      </c>
      <c r="CN142" s="24">
        <v>21543</v>
      </c>
      <c r="CO142" s="24">
        <v>428.7</v>
      </c>
      <c r="CP142" s="24">
        <v>10802</v>
      </c>
      <c r="CQ142" s="24">
        <v>34.4</v>
      </c>
      <c r="CR142" s="24">
        <v>317.3</v>
      </c>
      <c r="CS142" s="24">
        <v>13182</v>
      </c>
      <c r="CT142" s="24">
        <v>13182</v>
      </c>
      <c r="CU142" s="24">
        <v>395.7</v>
      </c>
      <c r="CV142" s="24">
        <v>2164</v>
      </c>
      <c r="CW142" s="24">
        <v>0</v>
      </c>
      <c r="CX142" s="24">
        <v>11390</v>
      </c>
      <c r="CY142" s="24">
        <v>49.8</v>
      </c>
      <c r="CZ142" s="24">
        <v>9965</v>
      </c>
      <c r="DA142" s="24">
        <v>317.3</v>
      </c>
      <c r="DD142" s="24">
        <v>2022</v>
      </c>
      <c r="DE142" s="24">
        <v>11</v>
      </c>
      <c r="DF142" s="24" t="s">
        <v>32</v>
      </c>
      <c r="DG142" s="24">
        <v>243</v>
      </c>
      <c r="DH142" s="24">
        <v>3610</v>
      </c>
      <c r="DJ142" s="24">
        <v>2022</v>
      </c>
      <c r="DK142" s="24">
        <v>11</v>
      </c>
      <c r="DL142" s="24" t="s">
        <v>33</v>
      </c>
      <c r="DM142" s="24">
        <v>450</v>
      </c>
      <c r="DP142" s="24">
        <v>2021</v>
      </c>
      <c r="DQ142" s="24">
        <v>38</v>
      </c>
      <c r="DR142" s="24" t="s">
        <v>33</v>
      </c>
      <c r="DS142" s="24">
        <v>29042</v>
      </c>
      <c r="DT142" s="24">
        <v>185</v>
      </c>
      <c r="DW142" s="24">
        <v>2022</v>
      </c>
      <c r="DX142" s="24">
        <v>28</v>
      </c>
      <c r="DY142" s="24" t="s">
        <v>33</v>
      </c>
      <c r="DZ142" s="24">
        <v>13</v>
      </c>
      <c r="EA142" s="24" t="s">
        <v>562</v>
      </c>
      <c r="EB142" s="24">
        <v>285.7</v>
      </c>
      <c r="EC142" s="24">
        <v>0.2</v>
      </c>
      <c r="ED142" s="24">
        <v>726</v>
      </c>
      <c r="EE142" s="24">
        <v>11570</v>
      </c>
      <c r="EF142" s="24">
        <v>5.9</v>
      </c>
      <c r="EI142" s="24">
        <v>2023</v>
      </c>
      <c r="EJ142" s="24">
        <v>6</v>
      </c>
      <c r="EK142" s="24" t="s">
        <v>558</v>
      </c>
      <c r="EL142" s="24" t="s">
        <v>557</v>
      </c>
      <c r="EM142" s="24" t="s">
        <v>210</v>
      </c>
      <c r="EN142" s="24">
        <v>1</v>
      </c>
      <c r="EO142" s="24"/>
      <c r="EP142" s="24"/>
      <c r="EQ142" s="24"/>
      <c r="ER142" s="24"/>
      <c r="ES142" s="24">
        <v>2022</v>
      </c>
      <c r="ET142" s="24">
        <v>15</v>
      </c>
      <c r="EU142" s="24" t="s">
        <v>213</v>
      </c>
      <c r="EV142" s="24">
        <v>1</v>
      </c>
      <c r="EY142" s="24">
        <v>2022</v>
      </c>
      <c r="EZ142" s="24">
        <v>14</v>
      </c>
      <c r="FA142" s="24" t="s">
        <v>33</v>
      </c>
      <c r="FB142" s="24">
        <v>800</v>
      </c>
      <c r="FE142" s="24">
        <v>2022</v>
      </c>
      <c r="FF142" s="24">
        <v>11</v>
      </c>
      <c r="FG142" s="24" t="s">
        <v>32</v>
      </c>
      <c r="FH142" s="24">
        <v>0.85610000000000008</v>
      </c>
      <c r="FI142" s="24">
        <v>497</v>
      </c>
      <c r="FJ142" s="24">
        <v>233</v>
      </c>
      <c r="FK142" s="24">
        <v>271</v>
      </c>
      <c r="FN142" s="24">
        <v>2022</v>
      </c>
      <c r="FO142" s="24">
        <v>12</v>
      </c>
      <c r="FP142" s="24" t="s">
        <v>32</v>
      </c>
      <c r="FQ142" s="24">
        <v>48091</v>
      </c>
      <c r="FR142" s="24">
        <v>885.43333333333294</v>
      </c>
      <c r="FS142" s="24">
        <v>44165</v>
      </c>
      <c r="FT142" s="24">
        <v>469.73333333333301</v>
      </c>
      <c r="FW142" s="24">
        <v>2022</v>
      </c>
      <c r="FX142" s="24">
        <v>11</v>
      </c>
      <c r="FY142" s="24" t="s">
        <v>32</v>
      </c>
      <c r="FZ142" s="24">
        <v>2302</v>
      </c>
      <c r="GA142" s="24">
        <v>2057</v>
      </c>
      <c r="GB142" s="24"/>
      <c r="GC142" s="24"/>
      <c r="GD142" s="24">
        <v>2022</v>
      </c>
      <c r="GE142" s="24">
        <v>11</v>
      </c>
      <c r="GF142" s="24" t="s">
        <v>32</v>
      </c>
      <c r="GG142" s="24">
        <v>2362</v>
      </c>
      <c r="GH142" s="24">
        <v>2037</v>
      </c>
      <c r="GK142" s="24"/>
      <c r="GL142" s="24"/>
      <c r="GM142" s="24"/>
      <c r="GN142" s="24"/>
      <c r="GO142" s="24"/>
      <c r="GP142" s="24">
        <v>2022</v>
      </c>
      <c r="GQ142" s="24">
        <v>11</v>
      </c>
      <c r="GR142" s="24">
        <v>0.03</v>
      </c>
      <c r="GS142" s="24" t="s">
        <v>32</v>
      </c>
      <c r="GX142">
        <v>2022</v>
      </c>
      <c r="GY142">
        <v>11</v>
      </c>
      <c r="GZ142" t="s">
        <v>32</v>
      </c>
      <c r="HA142">
        <v>16682</v>
      </c>
      <c r="HB142">
        <v>16036</v>
      </c>
      <c r="HC142">
        <v>8</v>
      </c>
      <c r="HD142">
        <v>12</v>
      </c>
      <c r="HE142">
        <v>0</v>
      </c>
      <c r="HF142">
        <v>310</v>
      </c>
      <c r="HG142">
        <v>0</v>
      </c>
      <c r="HH142">
        <v>0</v>
      </c>
      <c r="HI142">
        <v>62</v>
      </c>
      <c r="HL142">
        <v>2022</v>
      </c>
      <c r="HM142">
        <v>11</v>
      </c>
      <c r="HN142" t="s">
        <v>32</v>
      </c>
      <c r="HO142">
        <v>16287</v>
      </c>
      <c r="HP142">
        <v>15802</v>
      </c>
      <c r="HQ142">
        <v>10</v>
      </c>
      <c r="HR142">
        <v>3</v>
      </c>
      <c r="HS142">
        <v>0</v>
      </c>
      <c r="HT142">
        <v>339</v>
      </c>
      <c r="HU142">
        <v>0</v>
      </c>
      <c r="HV142">
        <v>0</v>
      </c>
      <c r="HW142">
        <v>18</v>
      </c>
      <c r="HZ142" s="24">
        <v>2022</v>
      </c>
      <c r="IA142" s="24">
        <v>11</v>
      </c>
      <c r="IB142" s="24" t="s">
        <v>32</v>
      </c>
      <c r="IC142" s="24">
        <v>2389</v>
      </c>
      <c r="ID142" s="24">
        <v>2114</v>
      </c>
      <c r="IG142" s="24">
        <v>2022</v>
      </c>
      <c r="IH142" s="24">
        <v>11</v>
      </c>
      <c r="II142" s="24" t="s">
        <v>32</v>
      </c>
      <c r="IJ142" s="24">
        <v>2252</v>
      </c>
      <c r="IK142" s="24">
        <v>2041</v>
      </c>
    </row>
    <row r="143" spans="9:245" x14ac:dyDescent="0.4">
      <c r="I143" s="305">
        <v>2022</v>
      </c>
      <c r="J143" s="306">
        <v>11</v>
      </c>
      <c r="K143" s="306" t="s">
        <v>32</v>
      </c>
      <c r="L143" s="306">
        <v>16382</v>
      </c>
      <c r="M143" s="306">
        <v>15818</v>
      </c>
      <c r="N143" s="306">
        <v>35</v>
      </c>
      <c r="O143" s="306">
        <v>127</v>
      </c>
      <c r="P143" s="306">
        <v>31</v>
      </c>
      <c r="Q143" s="306">
        <v>2</v>
      </c>
      <c r="R143" s="24"/>
      <c r="S143" s="24"/>
      <c r="T143" s="24"/>
      <c r="W143" s="24">
        <v>2022</v>
      </c>
      <c r="X143" s="24">
        <v>11</v>
      </c>
      <c r="Y143" s="24" t="s">
        <v>33</v>
      </c>
      <c r="Z143" s="24">
        <v>334400</v>
      </c>
      <c r="AA143" s="24">
        <v>221482</v>
      </c>
      <c r="AB143" s="24">
        <v>746</v>
      </c>
      <c r="AC143" s="24">
        <v>47</v>
      </c>
      <c r="AD143" s="297"/>
      <c r="AE143" s="297"/>
      <c r="AF143" s="297"/>
      <c r="AG143" s="297"/>
      <c r="AH143" s="297"/>
      <c r="AI143" s="24"/>
      <c r="AJ143" s="24"/>
      <c r="AK143" s="24">
        <v>2022</v>
      </c>
      <c r="AL143" s="24">
        <v>11</v>
      </c>
      <c r="AM143" s="24">
        <v>18409.350000000002</v>
      </c>
      <c r="AN143" s="24">
        <v>2424.7000000000003</v>
      </c>
      <c r="AO143" s="24">
        <v>0</v>
      </c>
      <c r="AP143" s="24">
        <v>453</v>
      </c>
      <c r="AQ143" s="24">
        <v>0</v>
      </c>
      <c r="AR143" s="24">
        <v>4</v>
      </c>
      <c r="AS143" s="24" t="s">
        <v>33</v>
      </c>
      <c r="AT143" s="24"/>
      <c r="AU143" s="24">
        <v>2022</v>
      </c>
      <c r="AV143" s="24">
        <v>11</v>
      </c>
      <c r="AW143" s="24">
        <v>0.09</v>
      </c>
      <c r="AX143" s="24">
        <v>29300</v>
      </c>
      <c r="AY143" s="24">
        <v>332677</v>
      </c>
      <c r="AZ143" s="24" t="s">
        <v>33</v>
      </c>
      <c r="BA143" s="24"/>
      <c r="BB143" s="24"/>
      <c r="BC143" s="24">
        <v>2022</v>
      </c>
      <c r="BD143" s="24">
        <v>11</v>
      </c>
      <c r="BE143" s="24">
        <v>2445.3185714285701</v>
      </c>
      <c r="BF143" s="24" t="s">
        <v>33</v>
      </c>
      <c r="BG143" s="24"/>
      <c r="BI143" s="24">
        <v>2022</v>
      </c>
      <c r="BJ143" s="24">
        <v>36</v>
      </c>
      <c r="BK143" s="24" t="s">
        <v>32</v>
      </c>
      <c r="BL143" s="24" t="s">
        <v>272</v>
      </c>
      <c r="BM143" s="24">
        <v>3051</v>
      </c>
      <c r="BN143" s="24">
        <v>3046</v>
      </c>
      <c r="BO143" s="24">
        <v>10547</v>
      </c>
      <c r="BR143" s="24">
        <v>2022</v>
      </c>
      <c r="BS143" s="24">
        <v>11</v>
      </c>
      <c r="BT143" s="24">
        <v>17085</v>
      </c>
      <c r="BU143" s="24">
        <v>0</v>
      </c>
      <c r="BV143" s="24" t="s">
        <v>32</v>
      </c>
      <c r="BY143" s="24">
        <v>2022</v>
      </c>
      <c r="BZ143" s="24">
        <v>13</v>
      </c>
      <c r="CA143" s="24" t="s">
        <v>33</v>
      </c>
      <c r="CB143" s="24" t="s">
        <v>108</v>
      </c>
      <c r="CC143" s="24">
        <v>1</v>
      </c>
      <c r="CF143" s="24">
        <v>2022</v>
      </c>
      <c r="CG143" s="24">
        <v>11</v>
      </c>
      <c r="CH143" s="24" t="s">
        <v>33</v>
      </c>
      <c r="CI143" s="24">
        <v>135.2704866981048</v>
      </c>
      <c r="CJ143" s="24">
        <v>304061</v>
      </c>
      <c r="CK143" s="24">
        <v>2247.8000000000002</v>
      </c>
      <c r="CL143" s="24">
        <v>115.94280193236715</v>
      </c>
      <c r="CM143" s="24">
        <v>162252</v>
      </c>
      <c r="CN143" s="24">
        <v>300002</v>
      </c>
      <c r="CO143" s="24">
        <v>2587.5</v>
      </c>
      <c r="CP143" s="24">
        <v>62369</v>
      </c>
      <c r="CQ143" s="24">
        <v>471.5</v>
      </c>
      <c r="CR143" s="24">
        <v>1355.4</v>
      </c>
      <c r="CS143" s="24">
        <v>155562</v>
      </c>
      <c r="CT143" s="24">
        <v>155562</v>
      </c>
      <c r="CU143" s="24">
        <v>1625.2</v>
      </c>
      <c r="CV143" s="24">
        <v>56487</v>
      </c>
      <c r="CW143" s="24">
        <v>0</v>
      </c>
      <c r="CX143" s="24">
        <v>155524</v>
      </c>
      <c r="CY143" s="24">
        <v>1139.5999999999999</v>
      </c>
      <c r="CZ143" s="24">
        <v>41815</v>
      </c>
      <c r="DA143" s="24">
        <v>1355.4</v>
      </c>
      <c r="DD143" s="24">
        <v>2022</v>
      </c>
      <c r="DE143" s="24">
        <v>11</v>
      </c>
      <c r="DF143" s="24" t="s">
        <v>33</v>
      </c>
      <c r="DG143" s="24">
        <v>57165</v>
      </c>
      <c r="DH143" s="24">
        <v>24939</v>
      </c>
      <c r="DJ143" s="24">
        <v>2022</v>
      </c>
      <c r="DK143" s="24">
        <v>10</v>
      </c>
      <c r="DL143" s="24" t="s">
        <v>32</v>
      </c>
      <c r="DM143" s="24">
        <v>40</v>
      </c>
      <c r="DP143" s="24">
        <v>2021</v>
      </c>
      <c r="DQ143" s="24">
        <v>37</v>
      </c>
      <c r="DR143" s="24" t="s">
        <v>33</v>
      </c>
      <c r="DS143" s="24">
        <v>22966</v>
      </c>
      <c r="DT143" s="24">
        <v>305</v>
      </c>
      <c r="DW143" s="24">
        <v>2022</v>
      </c>
      <c r="DX143" s="24">
        <v>28</v>
      </c>
      <c r="DY143" s="24" t="s">
        <v>33</v>
      </c>
      <c r="DZ143" s="24">
        <v>71</v>
      </c>
      <c r="EA143" s="24" t="s">
        <v>149</v>
      </c>
      <c r="EB143" s="24">
        <v>55.7</v>
      </c>
      <c r="EC143" s="24">
        <v>1337.6</v>
      </c>
      <c r="ED143" s="24">
        <v>46753</v>
      </c>
      <c r="EE143" s="24">
        <v>47368</v>
      </c>
      <c r="EF143" s="24">
        <v>17.7</v>
      </c>
      <c r="EI143" s="24">
        <v>2023</v>
      </c>
      <c r="EJ143" s="24">
        <v>6</v>
      </c>
      <c r="EK143" s="24" t="s">
        <v>33</v>
      </c>
      <c r="EL143" s="24" t="s">
        <v>233</v>
      </c>
      <c r="EM143" s="24" t="s">
        <v>210</v>
      </c>
      <c r="EN143" s="24">
        <v>3</v>
      </c>
      <c r="EO143" s="24"/>
      <c r="EP143" s="24"/>
      <c r="EQ143" s="24"/>
      <c r="ER143" s="24"/>
      <c r="ES143" s="24">
        <v>2022</v>
      </c>
      <c r="ET143" s="24">
        <v>14</v>
      </c>
      <c r="EU143" s="24" t="s">
        <v>32</v>
      </c>
      <c r="EV143" s="24">
        <v>9001</v>
      </c>
      <c r="EY143" s="24">
        <v>2022</v>
      </c>
      <c r="EZ143" s="24">
        <v>13</v>
      </c>
      <c r="FA143" s="24" t="s">
        <v>32</v>
      </c>
      <c r="FB143" s="24">
        <v>923</v>
      </c>
      <c r="FE143" s="24">
        <v>2022</v>
      </c>
      <c r="FF143" s="24">
        <v>11</v>
      </c>
      <c r="FG143" s="24" t="s">
        <v>33</v>
      </c>
      <c r="FH143" s="24">
        <v>0.78690000000000004</v>
      </c>
      <c r="FI143" s="24">
        <v>18534</v>
      </c>
      <c r="FJ143" s="24">
        <v>8345</v>
      </c>
      <c r="FK143" s="24">
        <v>10516</v>
      </c>
      <c r="FN143" s="24">
        <v>2022</v>
      </c>
      <c r="FO143" s="24">
        <v>12</v>
      </c>
      <c r="FP143" s="24" t="s">
        <v>33</v>
      </c>
      <c r="FQ143" s="24">
        <v>951440</v>
      </c>
      <c r="FR143" s="24">
        <v>8517.25</v>
      </c>
      <c r="FS143" s="24">
        <v>472273</v>
      </c>
      <c r="FT143" s="24">
        <v>3449.4666666666699</v>
      </c>
      <c r="FW143" s="24">
        <v>2022</v>
      </c>
      <c r="FX143" s="24">
        <v>11</v>
      </c>
      <c r="FY143" s="24" t="s">
        <v>33</v>
      </c>
      <c r="FZ143" s="24">
        <v>16295</v>
      </c>
      <c r="GA143" s="24">
        <v>14808</v>
      </c>
      <c r="GB143" s="24"/>
      <c r="GC143" s="24"/>
      <c r="GD143" s="24">
        <v>2022</v>
      </c>
      <c r="GE143" s="24">
        <v>11</v>
      </c>
      <c r="GF143" s="24" t="s">
        <v>33</v>
      </c>
      <c r="GG143" s="24">
        <v>16327</v>
      </c>
      <c r="GH143" s="24">
        <v>15005</v>
      </c>
      <c r="GK143" s="24"/>
      <c r="GL143" s="24"/>
      <c r="GM143" s="24"/>
      <c r="GN143" s="24"/>
      <c r="GO143" s="24"/>
      <c r="GP143" s="24">
        <v>2022</v>
      </c>
      <c r="GQ143" s="24">
        <v>11</v>
      </c>
      <c r="GR143" s="24">
        <v>9.6488571428571408</v>
      </c>
      <c r="GS143" s="24" t="s">
        <v>33</v>
      </c>
      <c r="GX143">
        <v>2022</v>
      </c>
      <c r="GY143">
        <v>11</v>
      </c>
      <c r="GZ143" t="s">
        <v>33</v>
      </c>
      <c r="HA143">
        <v>333093</v>
      </c>
      <c r="HB143">
        <v>304707</v>
      </c>
      <c r="HC143">
        <v>1130</v>
      </c>
      <c r="HD143">
        <v>1402</v>
      </c>
      <c r="HE143">
        <v>1</v>
      </c>
      <c r="HF143">
        <v>14465</v>
      </c>
      <c r="HG143">
        <v>0</v>
      </c>
      <c r="HH143">
        <v>1</v>
      </c>
      <c r="HI143">
        <v>1966</v>
      </c>
      <c r="HL143">
        <v>2022</v>
      </c>
      <c r="HM143">
        <v>11</v>
      </c>
      <c r="HN143" t="s">
        <v>33</v>
      </c>
      <c r="HO143">
        <v>334021</v>
      </c>
      <c r="HP143">
        <v>310792</v>
      </c>
      <c r="HQ143">
        <v>1274</v>
      </c>
      <c r="HR143">
        <v>1188</v>
      </c>
      <c r="HS143">
        <v>1</v>
      </c>
      <c r="HT143">
        <v>14726</v>
      </c>
      <c r="HU143">
        <v>0</v>
      </c>
      <c r="HV143">
        <v>1</v>
      </c>
      <c r="HW143">
        <v>1088</v>
      </c>
      <c r="HZ143" s="24">
        <v>2022</v>
      </c>
      <c r="IA143" s="24">
        <v>11</v>
      </c>
      <c r="IB143" s="24" t="s">
        <v>33</v>
      </c>
      <c r="IC143" s="24">
        <v>16073</v>
      </c>
      <c r="ID143" s="24">
        <v>15109</v>
      </c>
      <c r="IG143" s="24">
        <v>2022</v>
      </c>
      <c r="IH143" s="24">
        <v>11</v>
      </c>
      <c r="II143" s="24" t="s">
        <v>33</v>
      </c>
      <c r="IJ143" s="24">
        <v>15382</v>
      </c>
      <c r="IK143" s="24">
        <v>14988</v>
      </c>
    </row>
    <row r="144" spans="9:245" x14ac:dyDescent="0.4">
      <c r="I144" s="305">
        <v>2022</v>
      </c>
      <c r="J144" s="306">
        <v>11</v>
      </c>
      <c r="K144" s="306" t="s">
        <v>33</v>
      </c>
      <c r="L144" s="306">
        <v>336110</v>
      </c>
      <c r="M144" s="306">
        <v>222242</v>
      </c>
      <c r="N144" s="306">
        <v>1689</v>
      </c>
      <c r="O144" s="306">
        <v>12176</v>
      </c>
      <c r="P144" s="306">
        <v>824</v>
      </c>
      <c r="Q144" s="306">
        <v>46</v>
      </c>
      <c r="R144" s="24"/>
      <c r="S144" s="24"/>
      <c r="T144" s="24"/>
      <c r="W144" s="24">
        <v>2022</v>
      </c>
      <c r="X144" s="24">
        <v>10</v>
      </c>
      <c r="Y144" s="24" t="s">
        <v>32</v>
      </c>
      <c r="Z144" s="24">
        <v>22111</v>
      </c>
      <c r="AA144" s="24">
        <v>20205</v>
      </c>
      <c r="AB144" s="24">
        <v>84</v>
      </c>
      <c r="AC144" s="24">
        <v>1</v>
      </c>
      <c r="AD144" s="297"/>
      <c r="AE144" s="297"/>
      <c r="AF144" s="297"/>
      <c r="AG144" s="297"/>
      <c r="AH144" s="297"/>
      <c r="AI144" s="24"/>
      <c r="AJ144" s="24"/>
      <c r="AK144" s="24">
        <v>2022</v>
      </c>
      <c r="AL144" s="24">
        <v>10</v>
      </c>
      <c r="AM144" s="24">
        <v>654.22</v>
      </c>
      <c r="AN144" s="24">
        <v>94.78</v>
      </c>
      <c r="AO144" s="24">
        <v>0</v>
      </c>
      <c r="AP144" s="24">
        <v>14</v>
      </c>
      <c r="AQ144" s="24">
        <v>0</v>
      </c>
      <c r="AR144" s="24">
        <v>0</v>
      </c>
      <c r="AS144" s="24" t="s">
        <v>32</v>
      </c>
      <c r="AT144" s="24"/>
      <c r="AU144" s="24">
        <v>2022</v>
      </c>
      <c r="AV144" s="24">
        <v>10</v>
      </c>
      <c r="AW144" s="24">
        <v>0.14000000000000001</v>
      </c>
      <c r="AX144" s="24">
        <v>3000</v>
      </c>
      <c r="AY144" s="24">
        <v>22090</v>
      </c>
      <c r="AZ144" s="24" t="s">
        <v>32</v>
      </c>
      <c r="BA144" s="24"/>
      <c r="BB144" s="24"/>
      <c r="BC144" s="24">
        <v>2022</v>
      </c>
      <c r="BD144" s="24">
        <v>10</v>
      </c>
      <c r="BE144" s="24">
        <v>262.87028571428601</v>
      </c>
      <c r="BF144" s="24" t="s">
        <v>32</v>
      </c>
      <c r="BG144" s="24"/>
      <c r="BI144" s="24">
        <v>2022</v>
      </c>
      <c r="BJ144" s="24">
        <v>36</v>
      </c>
      <c r="BK144" s="24" t="s">
        <v>32</v>
      </c>
      <c r="BL144" s="24" t="s">
        <v>273</v>
      </c>
      <c r="BM144" s="24">
        <v>7126</v>
      </c>
      <c r="BN144" s="24">
        <v>7067</v>
      </c>
      <c r="BO144" s="24">
        <v>7291</v>
      </c>
      <c r="BR144" s="24">
        <v>2022</v>
      </c>
      <c r="BS144" s="24">
        <v>10</v>
      </c>
      <c r="BT144" s="24">
        <v>323317</v>
      </c>
      <c r="BU144" s="24">
        <v>1</v>
      </c>
      <c r="BV144" s="24" t="s">
        <v>33</v>
      </c>
      <c r="BY144" s="24">
        <v>2022</v>
      </c>
      <c r="BZ144" s="24">
        <v>13</v>
      </c>
      <c r="CA144" s="24" t="s">
        <v>33</v>
      </c>
      <c r="CB144" s="24" t="s">
        <v>423</v>
      </c>
      <c r="CC144" s="24">
        <v>23</v>
      </c>
      <c r="CF144" s="24">
        <v>2022</v>
      </c>
      <c r="CG144" s="24">
        <v>10</v>
      </c>
      <c r="CH144" s="24" t="s">
        <v>32</v>
      </c>
      <c r="CI144" s="24">
        <v>96.859504132231407</v>
      </c>
      <c r="CJ144" s="24">
        <v>9376</v>
      </c>
      <c r="CK144" s="24">
        <v>96.8</v>
      </c>
      <c r="CL144" s="24">
        <v>54.191040355423915</v>
      </c>
      <c r="CM144" s="24">
        <v>14503</v>
      </c>
      <c r="CN144" s="24">
        <v>29274</v>
      </c>
      <c r="CO144" s="24">
        <v>540.20000000000005</v>
      </c>
      <c r="CP144" s="24">
        <v>9789</v>
      </c>
      <c r="CQ144" s="24">
        <v>49.8</v>
      </c>
      <c r="CR144" s="24">
        <v>277</v>
      </c>
      <c r="CS144" s="24">
        <v>12699</v>
      </c>
      <c r="CT144" s="24">
        <v>12699</v>
      </c>
      <c r="CU144" s="24">
        <v>391.3</v>
      </c>
      <c r="CV144" s="24">
        <v>2588</v>
      </c>
      <c r="CW144" s="24">
        <v>0</v>
      </c>
      <c r="CX144" s="24">
        <v>8754</v>
      </c>
      <c r="CY144" s="24">
        <v>50.1</v>
      </c>
      <c r="CZ144" s="24">
        <v>8392</v>
      </c>
      <c r="DA144" s="24">
        <v>277</v>
      </c>
      <c r="DD144" s="24">
        <v>2022</v>
      </c>
      <c r="DE144" s="24">
        <v>10</v>
      </c>
      <c r="DF144" s="24" t="s">
        <v>32</v>
      </c>
      <c r="DG144" s="24">
        <v>649</v>
      </c>
      <c r="DH144" s="24">
        <v>2605</v>
      </c>
      <c r="DJ144" s="24">
        <v>2022</v>
      </c>
      <c r="DK144" s="24">
        <v>10</v>
      </c>
      <c r="DL144" s="24" t="s">
        <v>33</v>
      </c>
      <c r="DM144" s="24">
        <v>656</v>
      </c>
      <c r="DP144" s="24">
        <v>2021</v>
      </c>
      <c r="DQ144" s="24">
        <v>36</v>
      </c>
      <c r="DR144" s="24" t="s">
        <v>33</v>
      </c>
      <c r="DS144" s="24">
        <v>20448</v>
      </c>
      <c r="DT144" s="24">
        <v>428</v>
      </c>
      <c r="DW144" s="24">
        <v>2022</v>
      </c>
      <c r="DX144" s="24">
        <v>27</v>
      </c>
      <c r="DY144" s="24" t="s">
        <v>32</v>
      </c>
      <c r="DZ144" s="24">
        <v>2</v>
      </c>
      <c r="EA144" s="24" t="s">
        <v>149</v>
      </c>
      <c r="EB144" s="24">
        <v>30.1</v>
      </c>
      <c r="EC144" s="24">
        <v>15.3</v>
      </c>
      <c r="ED144" s="24"/>
      <c r="EE144" s="24">
        <v>1210</v>
      </c>
      <c r="EF144" s="24">
        <v>0</v>
      </c>
      <c r="EI144" s="24">
        <v>2023</v>
      </c>
      <c r="EJ144" s="24">
        <v>6</v>
      </c>
      <c r="EK144" s="24" t="s">
        <v>33</v>
      </c>
      <c r="EL144" s="24" t="s">
        <v>233</v>
      </c>
      <c r="EM144" s="24" t="s">
        <v>234</v>
      </c>
      <c r="EN144" s="24">
        <v>2</v>
      </c>
      <c r="EO144" s="24"/>
      <c r="EP144" s="24"/>
      <c r="EQ144" s="24"/>
      <c r="ER144" s="24"/>
      <c r="ES144" s="24">
        <v>2022</v>
      </c>
      <c r="ET144" s="24">
        <v>14</v>
      </c>
      <c r="EU144" s="24" t="s">
        <v>33</v>
      </c>
      <c r="EV144" s="24">
        <v>164265</v>
      </c>
      <c r="EY144" s="24">
        <v>2022</v>
      </c>
      <c r="EZ144" s="24">
        <v>13</v>
      </c>
      <c r="FA144" s="24" t="s">
        <v>33</v>
      </c>
      <c r="FB144" s="24">
        <v>1040</v>
      </c>
      <c r="FE144" s="24">
        <v>2022</v>
      </c>
      <c r="FF144" s="24">
        <v>10</v>
      </c>
      <c r="FG144" s="24" t="s">
        <v>32</v>
      </c>
      <c r="FH144" s="24">
        <v>0.84589999999999999</v>
      </c>
      <c r="FI144" s="24">
        <v>700</v>
      </c>
      <c r="FJ144" s="24">
        <v>330</v>
      </c>
      <c r="FK144" s="24">
        <v>387</v>
      </c>
      <c r="FN144" s="24">
        <v>2022</v>
      </c>
      <c r="FO144" s="24">
        <v>11</v>
      </c>
      <c r="FP144" s="24" t="s">
        <v>32</v>
      </c>
      <c r="FQ144" s="24">
        <v>42279</v>
      </c>
      <c r="FR144" s="24">
        <v>925.05000000000007</v>
      </c>
      <c r="FS144" s="24">
        <v>47498</v>
      </c>
      <c r="FT144" s="24">
        <v>661.43333333333294</v>
      </c>
      <c r="FW144" s="24">
        <v>2022</v>
      </c>
      <c r="FX144" s="24">
        <v>10</v>
      </c>
      <c r="FY144" s="24" t="s">
        <v>32</v>
      </c>
      <c r="FZ144" s="24">
        <v>2829</v>
      </c>
      <c r="GA144" s="24">
        <v>2160</v>
      </c>
      <c r="GB144" s="24"/>
      <c r="GC144" s="24"/>
      <c r="GD144" s="24">
        <v>2022</v>
      </c>
      <c r="GE144" s="24">
        <v>10</v>
      </c>
      <c r="GF144" s="24" t="s">
        <v>32</v>
      </c>
      <c r="GG144" s="24">
        <v>2849</v>
      </c>
      <c r="GH144" s="24">
        <v>1962</v>
      </c>
      <c r="GK144" s="24"/>
      <c r="GL144" s="24"/>
      <c r="GM144" s="24"/>
      <c r="GN144" s="24"/>
      <c r="GO144" s="24"/>
      <c r="GP144" s="24">
        <v>2022</v>
      </c>
      <c r="GQ144" s="24">
        <v>10</v>
      </c>
      <c r="GR144" s="24">
        <v>0.03</v>
      </c>
      <c r="GS144" s="24" t="s">
        <v>32</v>
      </c>
      <c r="GX144">
        <v>2022</v>
      </c>
      <c r="GY144">
        <v>10</v>
      </c>
      <c r="GZ144" t="s">
        <v>32</v>
      </c>
      <c r="HA144">
        <v>21829</v>
      </c>
      <c r="HB144">
        <v>20212</v>
      </c>
      <c r="HC144">
        <v>1</v>
      </c>
      <c r="HD144">
        <v>7</v>
      </c>
      <c r="HE144">
        <v>0</v>
      </c>
      <c r="HF144">
        <v>1101</v>
      </c>
      <c r="HG144">
        <v>0</v>
      </c>
      <c r="HH144">
        <v>0</v>
      </c>
      <c r="HI144">
        <v>107</v>
      </c>
      <c r="HL144">
        <v>2022</v>
      </c>
      <c r="HM144">
        <v>10</v>
      </c>
      <c r="HN144" t="s">
        <v>32</v>
      </c>
      <c r="HO144">
        <v>22046</v>
      </c>
      <c r="HP144">
        <v>20417</v>
      </c>
      <c r="HQ144">
        <v>1</v>
      </c>
      <c r="HR144">
        <v>5</v>
      </c>
      <c r="HS144">
        <v>0</v>
      </c>
      <c r="HT144">
        <v>1485</v>
      </c>
      <c r="HU144">
        <v>0</v>
      </c>
      <c r="HV144">
        <v>0</v>
      </c>
      <c r="HW144">
        <v>46</v>
      </c>
      <c r="HZ144" s="24">
        <v>2022</v>
      </c>
      <c r="IA144" s="24">
        <v>10</v>
      </c>
      <c r="IB144" s="24" t="s">
        <v>32</v>
      </c>
      <c r="IC144" s="24">
        <v>2872</v>
      </c>
      <c r="ID144" s="24">
        <v>2211</v>
      </c>
      <c r="IG144" s="24">
        <v>2022</v>
      </c>
      <c r="IH144" s="24">
        <v>10</v>
      </c>
      <c r="II144" s="24" t="s">
        <v>32</v>
      </c>
      <c r="IJ144" s="24">
        <v>2796</v>
      </c>
      <c r="IK144" s="24">
        <v>2057</v>
      </c>
    </row>
    <row r="145" spans="9:245" x14ac:dyDescent="0.4">
      <c r="I145" s="305">
        <v>2022</v>
      </c>
      <c r="J145" s="306">
        <v>10</v>
      </c>
      <c r="K145" s="306" t="s">
        <v>32</v>
      </c>
      <c r="L145" s="306">
        <v>21862</v>
      </c>
      <c r="M145" s="306">
        <v>20151</v>
      </c>
      <c r="N145" s="306">
        <v>70</v>
      </c>
      <c r="O145" s="306">
        <v>458</v>
      </c>
      <c r="P145" s="306">
        <v>72</v>
      </c>
      <c r="Q145" s="306">
        <v>2</v>
      </c>
      <c r="R145" s="24"/>
      <c r="S145" s="24"/>
      <c r="T145" s="24"/>
      <c r="W145" s="24">
        <v>2022</v>
      </c>
      <c r="X145" s="24">
        <v>10</v>
      </c>
      <c r="Y145" s="24" t="s">
        <v>33</v>
      </c>
      <c r="Z145" s="24">
        <v>384768</v>
      </c>
      <c r="AA145" s="24">
        <v>230288</v>
      </c>
      <c r="AB145" s="24">
        <v>1373</v>
      </c>
      <c r="AC145" s="24">
        <v>81</v>
      </c>
      <c r="AD145" s="297"/>
      <c r="AE145" s="297"/>
      <c r="AF145" s="297"/>
      <c r="AG145" s="297"/>
      <c r="AH145" s="297"/>
      <c r="AI145" s="24"/>
      <c r="AJ145" s="24"/>
      <c r="AK145" s="24">
        <v>2022</v>
      </c>
      <c r="AL145" s="24">
        <v>10</v>
      </c>
      <c r="AM145" s="24">
        <v>18888.32</v>
      </c>
      <c r="AN145" s="24">
        <v>2740.17</v>
      </c>
      <c r="AO145" s="24">
        <v>0</v>
      </c>
      <c r="AP145" s="24">
        <v>445</v>
      </c>
      <c r="AQ145" s="24">
        <v>0</v>
      </c>
      <c r="AR145" s="24">
        <v>3</v>
      </c>
      <c r="AS145" s="24" t="s">
        <v>33</v>
      </c>
      <c r="AT145" s="24"/>
      <c r="AU145" s="24">
        <v>2022</v>
      </c>
      <c r="AV145" s="24">
        <v>10</v>
      </c>
      <c r="AW145" s="24">
        <v>0.05</v>
      </c>
      <c r="AX145" s="24">
        <v>16800</v>
      </c>
      <c r="AY145" s="24">
        <v>325327</v>
      </c>
      <c r="AZ145" s="24" t="s">
        <v>33</v>
      </c>
      <c r="BA145" s="24"/>
      <c r="BB145" s="24"/>
      <c r="BC145" s="24">
        <v>2022</v>
      </c>
      <c r="BD145" s="24">
        <v>10</v>
      </c>
      <c r="BE145" s="24">
        <v>2426.3897142857099</v>
      </c>
      <c r="BF145" s="24" t="s">
        <v>33</v>
      </c>
      <c r="BG145" s="24"/>
      <c r="BI145" s="24">
        <v>2022</v>
      </c>
      <c r="BJ145" s="24">
        <v>36</v>
      </c>
      <c r="BK145" s="24" t="s">
        <v>33</v>
      </c>
      <c r="BL145" s="24" t="s">
        <v>272</v>
      </c>
      <c r="BM145" s="24">
        <v>50318</v>
      </c>
      <c r="BN145" s="24">
        <v>50277</v>
      </c>
      <c r="BO145" s="24">
        <v>181850</v>
      </c>
      <c r="BR145" s="24">
        <v>2022</v>
      </c>
      <c r="BS145" s="24">
        <v>10</v>
      </c>
      <c r="BT145" s="24">
        <v>21908</v>
      </c>
      <c r="BU145" s="24">
        <v>0</v>
      </c>
      <c r="BV145" s="24" t="s">
        <v>32</v>
      </c>
      <c r="BY145" s="24">
        <v>2022</v>
      </c>
      <c r="BZ145" s="24">
        <v>12</v>
      </c>
      <c r="CA145" s="24" t="s">
        <v>33</v>
      </c>
      <c r="CB145" s="24" t="s">
        <v>108</v>
      </c>
      <c r="CC145" s="24">
        <v>1</v>
      </c>
      <c r="CF145" s="24">
        <v>2022</v>
      </c>
      <c r="CG145" s="24">
        <v>10</v>
      </c>
      <c r="CH145" s="24" t="s">
        <v>33</v>
      </c>
      <c r="CI145" s="24">
        <v>132.22391499667955</v>
      </c>
      <c r="CJ145" s="24">
        <v>338480</v>
      </c>
      <c r="CK145" s="24">
        <v>2559.9</v>
      </c>
      <c r="CL145" s="24">
        <v>110.13566078374642</v>
      </c>
      <c r="CM145" s="24">
        <v>170098</v>
      </c>
      <c r="CN145" s="24">
        <v>342599</v>
      </c>
      <c r="CO145" s="24">
        <v>3110.7</v>
      </c>
      <c r="CP145" s="24">
        <v>56976</v>
      </c>
      <c r="CQ145" s="24">
        <v>473.8</v>
      </c>
      <c r="CR145" s="24">
        <v>1207</v>
      </c>
      <c r="CS145" s="24">
        <v>185572</v>
      </c>
      <c r="CT145" s="24">
        <v>185572</v>
      </c>
      <c r="CU145" s="24">
        <v>1715.3</v>
      </c>
      <c r="CV145" s="24">
        <v>47047</v>
      </c>
      <c r="CW145" s="24">
        <v>0</v>
      </c>
      <c r="CX145" s="24">
        <v>160235</v>
      </c>
      <c r="CY145" s="24">
        <v>945.9</v>
      </c>
      <c r="CZ145" s="24">
        <v>38684</v>
      </c>
      <c r="DA145" s="24">
        <v>1207</v>
      </c>
      <c r="DD145" s="24">
        <v>2022</v>
      </c>
      <c r="DE145" s="24">
        <v>10</v>
      </c>
      <c r="DF145" s="24" t="s">
        <v>33</v>
      </c>
      <c r="DG145" s="24">
        <v>46074</v>
      </c>
      <c r="DH145" s="24">
        <v>28295</v>
      </c>
      <c r="DJ145" s="24">
        <v>2022</v>
      </c>
      <c r="DK145" s="24">
        <v>9</v>
      </c>
      <c r="DL145" s="24" t="s">
        <v>32</v>
      </c>
      <c r="DM145" s="24">
        <v>42</v>
      </c>
      <c r="DP145" s="24">
        <v>2021</v>
      </c>
      <c r="DQ145" s="24">
        <v>35</v>
      </c>
      <c r="DR145" s="24" t="s">
        <v>33</v>
      </c>
      <c r="DS145" s="24">
        <v>25056</v>
      </c>
      <c r="DT145" s="24">
        <v>486</v>
      </c>
      <c r="DW145" s="24">
        <v>2022</v>
      </c>
      <c r="DX145" s="24">
        <v>27</v>
      </c>
      <c r="DY145" s="24" t="s">
        <v>33</v>
      </c>
      <c r="DZ145" s="24">
        <v>14</v>
      </c>
      <c r="EA145" s="24" t="s">
        <v>562</v>
      </c>
      <c r="EB145" s="24">
        <v>185</v>
      </c>
      <c r="EC145" s="24">
        <v>0.4</v>
      </c>
      <c r="ED145" s="24">
        <v>609</v>
      </c>
      <c r="EE145" s="24">
        <v>7573</v>
      </c>
      <c r="EF145" s="24">
        <v>2.2999999999999998</v>
      </c>
      <c r="EI145" s="24">
        <v>2023</v>
      </c>
      <c r="EJ145" s="24">
        <v>6</v>
      </c>
      <c r="EK145" s="24" t="s">
        <v>33</v>
      </c>
      <c r="EL145" s="24" t="s">
        <v>233</v>
      </c>
      <c r="EM145" s="24" t="s">
        <v>215</v>
      </c>
      <c r="EN145" s="24">
        <v>3</v>
      </c>
      <c r="EO145" s="24"/>
      <c r="EP145" s="24"/>
      <c r="EQ145" s="24"/>
      <c r="ER145" s="24"/>
      <c r="ES145" s="24">
        <v>2022</v>
      </c>
      <c r="ET145" s="24">
        <v>13</v>
      </c>
      <c r="EU145" s="24" t="s">
        <v>32</v>
      </c>
      <c r="EV145" s="24">
        <v>8724</v>
      </c>
      <c r="EY145" s="24">
        <v>2022</v>
      </c>
      <c r="EZ145" s="24">
        <v>12</v>
      </c>
      <c r="FA145" s="24" t="s">
        <v>32</v>
      </c>
      <c r="FB145" s="24">
        <v>842</v>
      </c>
      <c r="FE145" s="24">
        <v>2022</v>
      </c>
      <c r="FF145" s="24">
        <v>10</v>
      </c>
      <c r="FG145" s="24" t="s">
        <v>33</v>
      </c>
      <c r="FH145" s="24">
        <v>0.87709999999999999</v>
      </c>
      <c r="FI145" s="24">
        <v>17615</v>
      </c>
      <c r="FJ145" s="24">
        <v>8063</v>
      </c>
      <c r="FK145" s="24">
        <v>9237</v>
      </c>
      <c r="FN145" s="24">
        <v>2022</v>
      </c>
      <c r="FO145" s="24">
        <v>11</v>
      </c>
      <c r="FP145" s="24" t="s">
        <v>33</v>
      </c>
      <c r="FQ145" s="24">
        <v>965154</v>
      </c>
      <c r="FR145" s="24">
        <v>8537.9500000000007</v>
      </c>
      <c r="FS145" s="24">
        <v>390861</v>
      </c>
      <c r="FT145" s="24">
        <v>3211.61666666667</v>
      </c>
      <c r="FW145" s="24">
        <v>2022</v>
      </c>
      <c r="FX145" s="24">
        <v>10</v>
      </c>
      <c r="FY145" s="24" t="s">
        <v>33</v>
      </c>
      <c r="FZ145" s="24">
        <v>18673</v>
      </c>
      <c r="GA145" s="24">
        <v>16304</v>
      </c>
      <c r="GB145" s="24"/>
      <c r="GC145" s="24"/>
      <c r="GD145" s="24">
        <v>2022</v>
      </c>
      <c r="GE145" s="24">
        <v>10</v>
      </c>
      <c r="GF145" s="24" t="s">
        <v>33</v>
      </c>
      <c r="GG145" s="24">
        <v>18888</v>
      </c>
      <c r="GH145" s="24">
        <v>16751</v>
      </c>
      <c r="GK145" s="24"/>
      <c r="GL145" s="24"/>
      <c r="GM145" s="24"/>
      <c r="GN145" s="24"/>
      <c r="GO145" s="24"/>
      <c r="GP145" s="24">
        <v>2022</v>
      </c>
      <c r="GQ145" s="24">
        <v>10</v>
      </c>
      <c r="GR145" s="24">
        <v>7.7134285714285697</v>
      </c>
      <c r="GS145" s="24" t="s">
        <v>33</v>
      </c>
      <c r="GX145">
        <v>2022</v>
      </c>
      <c r="GY145">
        <v>10</v>
      </c>
      <c r="GZ145" t="s">
        <v>33</v>
      </c>
      <c r="HA145">
        <v>319218</v>
      </c>
      <c r="HB145">
        <v>276431</v>
      </c>
      <c r="HC145">
        <v>1470</v>
      </c>
      <c r="HD145">
        <v>1474</v>
      </c>
      <c r="HE145">
        <v>6</v>
      </c>
      <c r="HF145">
        <v>20974</v>
      </c>
      <c r="HG145">
        <v>0</v>
      </c>
      <c r="HH145">
        <v>2</v>
      </c>
      <c r="HI145">
        <v>2842</v>
      </c>
      <c r="HL145">
        <v>2022</v>
      </c>
      <c r="HM145">
        <v>10</v>
      </c>
      <c r="HN145" t="s">
        <v>33</v>
      </c>
      <c r="HO145">
        <v>384533</v>
      </c>
      <c r="HP145">
        <v>322793</v>
      </c>
      <c r="HQ145">
        <v>2113</v>
      </c>
      <c r="HR145">
        <v>1185</v>
      </c>
      <c r="HS145">
        <v>9</v>
      </c>
      <c r="HT145">
        <v>32264</v>
      </c>
      <c r="HU145">
        <v>0</v>
      </c>
      <c r="HV145">
        <v>2</v>
      </c>
      <c r="HW145">
        <v>3022</v>
      </c>
      <c r="HZ145" s="24">
        <v>2022</v>
      </c>
      <c r="IA145" s="24">
        <v>10</v>
      </c>
      <c r="IB145" s="24" t="s">
        <v>33</v>
      </c>
      <c r="IC145" s="24">
        <v>17748</v>
      </c>
      <c r="ID145" s="24">
        <v>16231</v>
      </c>
      <c r="IG145" s="24">
        <v>2022</v>
      </c>
      <c r="IH145" s="24">
        <v>10</v>
      </c>
      <c r="II145" s="24" t="s">
        <v>33</v>
      </c>
      <c r="IJ145" s="24">
        <v>17575</v>
      </c>
      <c r="IK145" s="24">
        <v>16683</v>
      </c>
    </row>
    <row r="146" spans="9:245" x14ac:dyDescent="0.4">
      <c r="I146" s="305">
        <v>2022</v>
      </c>
      <c r="J146" s="306">
        <v>10</v>
      </c>
      <c r="K146" s="306" t="s">
        <v>33</v>
      </c>
      <c r="L146" s="306">
        <v>377361</v>
      </c>
      <c r="M146" s="306">
        <v>223820</v>
      </c>
      <c r="N146" s="306">
        <v>2098</v>
      </c>
      <c r="O146" s="306">
        <v>25848</v>
      </c>
      <c r="P146" s="306">
        <v>1595</v>
      </c>
      <c r="Q146" s="306">
        <v>89</v>
      </c>
      <c r="R146" s="24"/>
      <c r="S146" s="24"/>
      <c r="T146" s="24"/>
      <c r="W146" s="24">
        <v>2022</v>
      </c>
      <c r="X146" s="24">
        <v>9</v>
      </c>
      <c r="Y146" s="24" t="s">
        <v>32</v>
      </c>
      <c r="Z146" s="24">
        <v>23356</v>
      </c>
      <c r="AA146" s="24">
        <v>13299</v>
      </c>
      <c r="AB146" s="24">
        <v>144</v>
      </c>
      <c r="AC146" s="24">
        <v>56</v>
      </c>
      <c r="AD146" s="297"/>
      <c r="AE146" s="297"/>
      <c r="AF146" s="297"/>
      <c r="AG146" s="297"/>
      <c r="AH146" s="297"/>
      <c r="AI146" s="24"/>
      <c r="AJ146" s="24"/>
      <c r="AK146" s="24">
        <v>2022</v>
      </c>
      <c r="AL146" s="24">
        <v>9</v>
      </c>
      <c r="AM146" s="24">
        <v>658.43000000000006</v>
      </c>
      <c r="AN146" s="24">
        <v>108.92</v>
      </c>
      <c r="AO146" s="24">
        <v>0</v>
      </c>
      <c r="AP146" s="24">
        <v>14</v>
      </c>
      <c r="AQ146" s="24">
        <v>0</v>
      </c>
      <c r="AR146" s="24">
        <v>0</v>
      </c>
      <c r="AS146" s="24" t="s">
        <v>32</v>
      </c>
      <c r="AT146" s="24"/>
      <c r="AU146" s="24">
        <v>2022</v>
      </c>
      <c r="AV146" s="24">
        <v>9</v>
      </c>
      <c r="AW146" s="24">
        <v>0.06</v>
      </c>
      <c r="AX146" s="24">
        <v>1600</v>
      </c>
      <c r="AY146" s="24">
        <v>25568</v>
      </c>
      <c r="AZ146" s="24" t="s">
        <v>32</v>
      </c>
      <c r="BA146" s="24"/>
      <c r="BB146" s="24"/>
      <c r="BC146" s="24">
        <v>2022</v>
      </c>
      <c r="BD146" s="24">
        <v>9</v>
      </c>
      <c r="BE146" s="24">
        <v>261.451142857143</v>
      </c>
      <c r="BF146" s="24" t="s">
        <v>32</v>
      </c>
      <c r="BG146" s="24"/>
      <c r="BI146" s="24">
        <v>2022</v>
      </c>
      <c r="BJ146" s="24">
        <v>35</v>
      </c>
      <c r="BK146" s="24" t="s">
        <v>33</v>
      </c>
      <c r="BL146" s="24" t="s">
        <v>273</v>
      </c>
      <c r="BM146" s="24">
        <v>97113</v>
      </c>
      <c r="BN146" s="24">
        <v>96434</v>
      </c>
      <c r="BO146" s="24">
        <v>99986</v>
      </c>
      <c r="BR146" s="24">
        <v>2022</v>
      </c>
      <c r="BS146" s="24">
        <v>9</v>
      </c>
      <c r="BT146" s="24">
        <v>24101</v>
      </c>
      <c r="BU146" s="24">
        <v>1</v>
      </c>
      <c r="BV146" s="24" t="s">
        <v>32</v>
      </c>
      <c r="BY146" s="24">
        <v>2022</v>
      </c>
      <c r="BZ146" s="24">
        <v>12</v>
      </c>
      <c r="CA146" s="24" t="s">
        <v>33</v>
      </c>
      <c r="CB146" s="24" t="s">
        <v>423</v>
      </c>
      <c r="CC146" s="24">
        <v>46</v>
      </c>
      <c r="CF146" s="24">
        <v>2022</v>
      </c>
      <c r="CG146" s="24">
        <v>9</v>
      </c>
      <c r="CH146" s="24" t="s">
        <v>32</v>
      </c>
      <c r="CI146" s="24">
        <v>85.227272727272734</v>
      </c>
      <c r="CJ146" s="24">
        <v>7500</v>
      </c>
      <c r="CK146" s="24">
        <v>88</v>
      </c>
      <c r="CL146" s="24">
        <v>48.533806499813224</v>
      </c>
      <c r="CM146" s="24">
        <v>13887</v>
      </c>
      <c r="CN146" s="24">
        <v>25985</v>
      </c>
      <c r="CO146" s="24">
        <v>535.4</v>
      </c>
      <c r="CP146" s="24">
        <v>10124</v>
      </c>
      <c r="CQ146" s="24">
        <v>52.7</v>
      </c>
      <c r="CR146" s="24">
        <v>275.7</v>
      </c>
      <c r="CS146" s="24">
        <v>13223</v>
      </c>
      <c r="CT146" s="24">
        <v>13223</v>
      </c>
      <c r="CU146" s="24">
        <v>426.8</v>
      </c>
      <c r="CV146" s="24">
        <v>1841</v>
      </c>
      <c r="CW146" s="24">
        <v>0</v>
      </c>
      <c r="CX146" s="24">
        <v>11538</v>
      </c>
      <c r="CY146" s="24">
        <v>42.8</v>
      </c>
      <c r="CZ146" s="24">
        <v>8524</v>
      </c>
      <c r="DA146" s="24">
        <v>275.7</v>
      </c>
      <c r="DD146" s="24">
        <v>2022</v>
      </c>
      <c r="DE146" s="24">
        <v>9</v>
      </c>
      <c r="DF146" s="24" t="s">
        <v>32</v>
      </c>
      <c r="DG146" s="24">
        <v>561</v>
      </c>
      <c r="DH146" s="24">
        <v>3990</v>
      </c>
      <c r="DJ146" s="24">
        <v>2022</v>
      </c>
      <c r="DK146" s="24">
        <v>9</v>
      </c>
      <c r="DL146" s="24" t="s">
        <v>33</v>
      </c>
      <c r="DM146" s="24">
        <v>567</v>
      </c>
      <c r="DP146" s="24">
        <v>2021</v>
      </c>
      <c r="DQ146" s="24">
        <v>34</v>
      </c>
      <c r="DR146" s="24" t="s">
        <v>33</v>
      </c>
      <c r="DS146" s="24">
        <v>23793</v>
      </c>
      <c r="DT146" s="24">
        <v>443</v>
      </c>
      <c r="DW146" s="24">
        <v>2022</v>
      </c>
      <c r="DX146" s="24">
        <v>27</v>
      </c>
      <c r="DY146" s="24" t="s">
        <v>33</v>
      </c>
      <c r="DZ146" s="24">
        <v>73</v>
      </c>
      <c r="EA146" s="24" t="s">
        <v>149</v>
      </c>
      <c r="EB146" s="24">
        <v>32.1</v>
      </c>
      <c r="EC146" s="24">
        <v>1353.1</v>
      </c>
      <c r="ED146" s="24">
        <v>47842</v>
      </c>
      <c r="EE146" s="24">
        <v>48227</v>
      </c>
      <c r="EF146" s="24">
        <v>60.7</v>
      </c>
      <c r="EI146" s="24">
        <v>2023</v>
      </c>
      <c r="EJ146" s="24">
        <v>6</v>
      </c>
      <c r="EK146" s="24" t="s">
        <v>33</v>
      </c>
      <c r="EL146" s="24" t="s">
        <v>244</v>
      </c>
      <c r="EM146" s="24" t="s">
        <v>210</v>
      </c>
      <c r="EN146" s="24">
        <v>1</v>
      </c>
      <c r="EO146" s="24"/>
      <c r="EP146" s="24"/>
      <c r="EQ146" s="24"/>
      <c r="ER146" s="24"/>
      <c r="ES146" s="24">
        <v>2022</v>
      </c>
      <c r="ET146" s="24">
        <v>13</v>
      </c>
      <c r="EU146" s="24" t="s">
        <v>33</v>
      </c>
      <c r="EV146" s="24">
        <v>175566</v>
      </c>
      <c r="EY146" s="24">
        <v>2022</v>
      </c>
      <c r="EZ146" s="24">
        <v>12</v>
      </c>
      <c r="FA146" s="24" t="s">
        <v>33</v>
      </c>
      <c r="FB146" s="24">
        <v>1426</v>
      </c>
      <c r="FE146" s="24">
        <v>2022</v>
      </c>
      <c r="FF146" s="24">
        <v>9</v>
      </c>
      <c r="FG146" s="24" t="s">
        <v>32</v>
      </c>
      <c r="FH146" s="24">
        <v>0.2702</v>
      </c>
      <c r="FI146" s="24">
        <v>471</v>
      </c>
      <c r="FJ146" s="24">
        <v>223</v>
      </c>
      <c r="FK146" s="24">
        <v>404</v>
      </c>
      <c r="FN146" s="24">
        <v>2022</v>
      </c>
      <c r="FO146" s="24">
        <v>10</v>
      </c>
      <c r="FP146" s="24" t="s">
        <v>32</v>
      </c>
      <c r="FQ146" s="24">
        <v>52614</v>
      </c>
      <c r="FR146" s="24">
        <v>1063.86666666667</v>
      </c>
      <c r="FS146" s="24">
        <v>35977</v>
      </c>
      <c r="FT146" s="24">
        <v>472.88333333333298</v>
      </c>
      <c r="FW146" s="24">
        <v>2022</v>
      </c>
      <c r="FX146" s="24">
        <v>9</v>
      </c>
      <c r="FY146" s="24" t="s">
        <v>32</v>
      </c>
      <c r="FZ146" s="24">
        <v>2429</v>
      </c>
      <c r="GA146" s="24">
        <v>1416</v>
      </c>
      <c r="GB146" s="24"/>
      <c r="GC146" s="24"/>
      <c r="GD146" s="24">
        <v>2022</v>
      </c>
      <c r="GE146" s="24">
        <v>9</v>
      </c>
      <c r="GF146" s="24" t="s">
        <v>32</v>
      </c>
      <c r="GG146" s="24">
        <v>2371</v>
      </c>
      <c r="GH146" s="24">
        <v>1245</v>
      </c>
      <c r="GK146" s="24"/>
      <c r="GL146" s="24"/>
      <c r="GM146" s="24"/>
      <c r="GN146" s="24"/>
      <c r="GO146" s="24"/>
      <c r="GP146" s="24">
        <v>2022</v>
      </c>
      <c r="GQ146" s="24">
        <v>9</v>
      </c>
      <c r="GR146" s="24">
        <v>0.03</v>
      </c>
      <c r="GS146" s="24" t="s">
        <v>32</v>
      </c>
      <c r="GX146">
        <v>2022</v>
      </c>
      <c r="GY146">
        <v>9</v>
      </c>
      <c r="GZ146" t="s">
        <v>32</v>
      </c>
      <c r="HA146">
        <v>23764</v>
      </c>
      <c r="HB146">
        <v>13848</v>
      </c>
      <c r="HC146">
        <v>43</v>
      </c>
      <c r="HD146">
        <v>29</v>
      </c>
      <c r="HE146">
        <v>1</v>
      </c>
      <c r="HF146">
        <v>4635</v>
      </c>
      <c r="HG146">
        <v>0</v>
      </c>
      <c r="HH146">
        <v>0</v>
      </c>
      <c r="HI146">
        <v>258</v>
      </c>
      <c r="HL146">
        <v>2022</v>
      </c>
      <c r="HM146">
        <v>9</v>
      </c>
      <c r="HN146" t="s">
        <v>32</v>
      </c>
      <c r="HO146">
        <v>23270</v>
      </c>
      <c r="HP146">
        <v>14418</v>
      </c>
      <c r="HQ146">
        <v>50</v>
      </c>
      <c r="HR146">
        <v>23</v>
      </c>
      <c r="HS146">
        <v>1</v>
      </c>
      <c r="HT146">
        <v>4756</v>
      </c>
      <c r="HU146">
        <v>0</v>
      </c>
      <c r="HV146">
        <v>0</v>
      </c>
      <c r="HW146">
        <v>203</v>
      </c>
      <c r="HZ146" s="24">
        <v>2022</v>
      </c>
      <c r="IA146" s="24">
        <v>9</v>
      </c>
      <c r="IB146" s="24" t="s">
        <v>32</v>
      </c>
      <c r="IC146" s="24">
        <v>2357</v>
      </c>
      <c r="ID146" s="24">
        <v>1335</v>
      </c>
      <c r="IG146" s="24">
        <v>2022</v>
      </c>
      <c r="IH146" s="24">
        <v>9</v>
      </c>
      <c r="II146" s="24" t="s">
        <v>32</v>
      </c>
      <c r="IJ146" s="24">
        <v>2318</v>
      </c>
      <c r="IK146" s="24">
        <v>1331</v>
      </c>
    </row>
    <row r="147" spans="9:245" x14ac:dyDescent="0.4">
      <c r="I147" s="305">
        <v>2022</v>
      </c>
      <c r="J147" s="306">
        <v>9</v>
      </c>
      <c r="K147" s="306" t="s">
        <v>32</v>
      </c>
      <c r="L147" s="306">
        <v>23697</v>
      </c>
      <c r="M147" s="306">
        <v>13940</v>
      </c>
      <c r="N147" s="306">
        <v>132</v>
      </c>
      <c r="O147" s="306">
        <v>1470</v>
      </c>
      <c r="P147" s="306">
        <v>119</v>
      </c>
      <c r="Q147" s="306">
        <v>61</v>
      </c>
      <c r="R147" s="24"/>
      <c r="S147" s="24"/>
      <c r="T147" s="24"/>
      <c r="W147" s="24">
        <v>2022</v>
      </c>
      <c r="X147" s="24">
        <v>9</v>
      </c>
      <c r="Y147" s="24" t="s">
        <v>33</v>
      </c>
      <c r="Z147" s="24">
        <v>344358</v>
      </c>
      <c r="AA147" s="24">
        <v>236489</v>
      </c>
      <c r="AB147" s="24">
        <v>650</v>
      </c>
      <c r="AC147" s="24">
        <v>653</v>
      </c>
      <c r="AD147" s="297"/>
      <c r="AE147" s="297"/>
      <c r="AF147" s="297"/>
      <c r="AG147" s="297"/>
      <c r="AH147" s="297"/>
      <c r="AI147" s="24"/>
      <c r="AJ147" s="24"/>
      <c r="AK147" s="24">
        <v>2022</v>
      </c>
      <c r="AL147" s="24">
        <v>9</v>
      </c>
      <c r="AM147" s="24">
        <v>18916.95</v>
      </c>
      <c r="AN147" s="24">
        <v>2652.63</v>
      </c>
      <c r="AO147" s="24">
        <v>0</v>
      </c>
      <c r="AP147" s="24">
        <v>434</v>
      </c>
      <c r="AQ147" s="24">
        <v>0</v>
      </c>
      <c r="AR147" s="24">
        <v>5</v>
      </c>
      <c r="AS147" s="24" t="s">
        <v>33</v>
      </c>
      <c r="AT147" s="24"/>
      <c r="AU147" s="24">
        <v>2022</v>
      </c>
      <c r="AV147" s="24">
        <v>9</v>
      </c>
      <c r="AW147" s="24">
        <v>7.0000000000000007E-2</v>
      </c>
      <c r="AX147" s="24">
        <v>30700</v>
      </c>
      <c r="AY147" s="24">
        <v>423663</v>
      </c>
      <c r="AZ147" s="24" t="s">
        <v>33</v>
      </c>
      <c r="BA147" s="24"/>
      <c r="BB147" s="24"/>
      <c r="BC147" s="24">
        <v>2022</v>
      </c>
      <c r="BD147" s="24">
        <v>9</v>
      </c>
      <c r="BE147" s="24">
        <v>2490.5242857142898</v>
      </c>
      <c r="BF147" s="24" t="s">
        <v>33</v>
      </c>
      <c r="BG147" s="24"/>
      <c r="BI147" s="24">
        <v>2022</v>
      </c>
      <c r="BJ147" s="24">
        <v>35</v>
      </c>
      <c r="BK147" s="24" t="s">
        <v>33</v>
      </c>
      <c r="BL147" s="24" t="s">
        <v>272</v>
      </c>
      <c r="BM147" s="24">
        <v>59157</v>
      </c>
      <c r="BN147" s="24">
        <v>58998</v>
      </c>
      <c r="BO147" s="24">
        <v>219687</v>
      </c>
      <c r="BR147" s="24">
        <v>2022</v>
      </c>
      <c r="BS147" s="24">
        <v>9</v>
      </c>
      <c r="BT147" s="24">
        <v>422172</v>
      </c>
      <c r="BU147" s="24">
        <v>9</v>
      </c>
      <c r="BV147" s="24" t="s">
        <v>33</v>
      </c>
      <c r="BY147" s="24">
        <v>2022</v>
      </c>
      <c r="BZ147" s="24">
        <v>11</v>
      </c>
      <c r="CA147" s="24" t="s">
        <v>33</v>
      </c>
      <c r="CB147" s="24" t="s">
        <v>423</v>
      </c>
      <c r="CC147" s="24">
        <v>57</v>
      </c>
      <c r="CF147" s="24">
        <v>2022</v>
      </c>
      <c r="CG147" s="24">
        <v>9</v>
      </c>
      <c r="CH147" s="24" t="s">
        <v>33</v>
      </c>
      <c r="CI147" s="24">
        <v>136.88342684867263</v>
      </c>
      <c r="CJ147" s="24">
        <v>326905</v>
      </c>
      <c r="CK147" s="24">
        <v>2388.1999999999998</v>
      </c>
      <c r="CL147" s="24">
        <v>112.9828051726588</v>
      </c>
      <c r="CM147" s="24">
        <v>157998</v>
      </c>
      <c r="CN147" s="24">
        <v>318024</v>
      </c>
      <c r="CO147" s="24">
        <v>2814.8</v>
      </c>
      <c r="CP147" s="24">
        <v>56038</v>
      </c>
      <c r="CQ147" s="24">
        <v>375.8</v>
      </c>
      <c r="CR147" s="24">
        <v>1408</v>
      </c>
      <c r="CS147" s="24">
        <v>180281</v>
      </c>
      <c r="CT147" s="24">
        <v>180281</v>
      </c>
      <c r="CU147" s="24">
        <v>1725.5</v>
      </c>
      <c r="CV147" s="24">
        <v>47231</v>
      </c>
      <c r="CW147" s="24">
        <v>0</v>
      </c>
      <c r="CX147" s="24">
        <v>165705</v>
      </c>
      <c r="CY147" s="24">
        <v>1004.6</v>
      </c>
      <c r="CZ147" s="24">
        <v>42343</v>
      </c>
      <c r="DA147" s="24">
        <v>1408</v>
      </c>
      <c r="DD147" s="24">
        <v>2022</v>
      </c>
      <c r="DE147" s="24">
        <v>9</v>
      </c>
      <c r="DF147" s="24" t="s">
        <v>33</v>
      </c>
      <c r="DG147" s="24">
        <v>46673</v>
      </c>
      <c r="DH147" s="24">
        <v>27182</v>
      </c>
      <c r="DJ147" s="24">
        <v>2022</v>
      </c>
      <c r="DK147" s="24">
        <v>8</v>
      </c>
      <c r="DL147" s="24" t="s">
        <v>32</v>
      </c>
      <c r="DM147" s="24">
        <v>14</v>
      </c>
      <c r="DP147" s="24">
        <v>2021</v>
      </c>
      <c r="DQ147" s="24">
        <v>33</v>
      </c>
      <c r="DR147" s="24" t="s">
        <v>33</v>
      </c>
      <c r="DS147" s="24">
        <v>25919</v>
      </c>
      <c r="DT147" s="24">
        <v>592</v>
      </c>
      <c r="DW147" s="24">
        <v>2022</v>
      </c>
      <c r="DX147" s="24">
        <v>26</v>
      </c>
      <c r="DY147" s="24" t="s">
        <v>32</v>
      </c>
      <c r="DZ147" s="24">
        <v>1</v>
      </c>
      <c r="EA147" s="24" t="s">
        <v>149</v>
      </c>
      <c r="EB147" s="24">
        <v>37.5</v>
      </c>
      <c r="EC147" s="24">
        <v>0</v>
      </c>
      <c r="ED147" s="24"/>
      <c r="EE147" s="24">
        <v>1346</v>
      </c>
      <c r="EF147" s="24">
        <v>0</v>
      </c>
      <c r="EI147" s="24">
        <v>2023</v>
      </c>
      <c r="EJ147" s="24">
        <v>6</v>
      </c>
      <c r="EK147" s="24" t="s">
        <v>237</v>
      </c>
      <c r="EL147" s="24" t="s">
        <v>239</v>
      </c>
      <c r="EM147" s="24" t="s">
        <v>210</v>
      </c>
      <c r="EN147" s="24">
        <v>1</v>
      </c>
      <c r="EO147" s="24"/>
      <c r="EP147" s="24"/>
      <c r="EQ147" s="24"/>
      <c r="ER147" s="24"/>
      <c r="ES147" s="24">
        <v>2022</v>
      </c>
      <c r="ET147" s="24">
        <v>13</v>
      </c>
      <c r="EU147" s="24" t="s">
        <v>213</v>
      </c>
      <c r="EV147" s="24">
        <v>1</v>
      </c>
      <c r="EY147" s="24">
        <v>2022</v>
      </c>
      <c r="EZ147" s="24">
        <v>11</v>
      </c>
      <c r="FA147" s="24" t="s">
        <v>32</v>
      </c>
      <c r="FB147" s="24">
        <v>729</v>
      </c>
      <c r="FE147" s="24">
        <v>2022</v>
      </c>
      <c r="FF147" s="24">
        <v>9</v>
      </c>
      <c r="FG147" s="24" t="s">
        <v>33</v>
      </c>
      <c r="FH147" s="24">
        <v>0.87460000000000004</v>
      </c>
      <c r="FI147" s="24">
        <v>16047</v>
      </c>
      <c r="FJ147" s="24">
        <v>7280</v>
      </c>
      <c r="FK147" s="24">
        <v>8379</v>
      </c>
      <c r="FN147" s="24">
        <v>2022</v>
      </c>
      <c r="FO147" s="24">
        <v>10</v>
      </c>
      <c r="FP147" s="24" t="s">
        <v>33</v>
      </c>
      <c r="FQ147" s="24">
        <v>1108006</v>
      </c>
      <c r="FR147" s="24">
        <v>9834.3000000000011</v>
      </c>
      <c r="FS147" s="24">
        <v>435265</v>
      </c>
      <c r="FT147" s="24">
        <v>3311.0666666666698</v>
      </c>
      <c r="FW147" s="24">
        <v>2022</v>
      </c>
      <c r="FX147" s="24">
        <v>9</v>
      </c>
      <c r="FY147" s="24" t="s">
        <v>33</v>
      </c>
      <c r="FZ147" s="24">
        <v>17673</v>
      </c>
      <c r="GA147" s="24">
        <v>16120</v>
      </c>
      <c r="GB147" s="24"/>
      <c r="GC147" s="24"/>
      <c r="GD147" s="24">
        <v>2022</v>
      </c>
      <c r="GE147" s="24">
        <v>9</v>
      </c>
      <c r="GF147" s="24" t="s">
        <v>33</v>
      </c>
      <c r="GG147" s="24">
        <v>17426</v>
      </c>
      <c r="GH147" s="24">
        <v>16383</v>
      </c>
      <c r="GK147" s="24"/>
      <c r="GL147" s="24"/>
      <c r="GM147" s="24"/>
      <c r="GN147" s="24"/>
      <c r="GO147" s="24"/>
      <c r="GP147" s="24">
        <v>2022</v>
      </c>
      <c r="GQ147" s="24">
        <v>9</v>
      </c>
      <c r="GR147" s="24">
        <v>7.2097142857142904</v>
      </c>
      <c r="GS147" s="24" t="s">
        <v>33</v>
      </c>
      <c r="GX147">
        <v>2022</v>
      </c>
      <c r="GY147">
        <v>9</v>
      </c>
      <c r="GZ147" t="s">
        <v>33</v>
      </c>
      <c r="HA147">
        <v>414373</v>
      </c>
      <c r="HB147">
        <v>351407</v>
      </c>
      <c r="HC147">
        <v>1837</v>
      </c>
      <c r="HD147">
        <v>708</v>
      </c>
      <c r="HE147">
        <v>6</v>
      </c>
      <c r="HF147">
        <v>31616</v>
      </c>
      <c r="HG147">
        <v>0</v>
      </c>
      <c r="HH147">
        <v>2</v>
      </c>
      <c r="HI147">
        <v>2584</v>
      </c>
      <c r="HL147">
        <v>2022</v>
      </c>
      <c r="HM147">
        <v>9</v>
      </c>
      <c r="HN147" t="s">
        <v>33</v>
      </c>
      <c r="HO147">
        <v>344055</v>
      </c>
      <c r="HP147">
        <v>325464</v>
      </c>
      <c r="HQ147">
        <v>1153</v>
      </c>
      <c r="HR147">
        <v>515</v>
      </c>
      <c r="HS147">
        <v>2</v>
      </c>
      <c r="HT147">
        <v>15438</v>
      </c>
      <c r="HU147">
        <v>0</v>
      </c>
      <c r="HV147">
        <v>1</v>
      </c>
      <c r="HW147">
        <v>714</v>
      </c>
      <c r="HZ147" s="24">
        <v>2022</v>
      </c>
      <c r="IA147" s="24">
        <v>9</v>
      </c>
      <c r="IB147" s="24" t="s">
        <v>33</v>
      </c>
      <c r="IC147" s="24">
        <v>18669</v>
      </c>
      <c r="ID147" s="24">
        <v>16946</v>
      </c>
      <c r="IG147" s="24">
        <v>2022</v>
      </c>
      <c r="IH147" s="24">
        <v>9</v>
      </c>
      <c r="II147" s="24" t="s">
        <v>33</v>
      </c>
      <c r="IJ147" s="24">
        <v>16435</v>
      </c>
      <c r="IK147" s="24">
        <v>16144</v>
      </c>
    </row>
    <row r="148" spans="9:245" x14ac:dyDescent="0.4">
      <c r="I148" s="305">
        <v>2022</v>
      </c>
      <c r="J148" s="306">
        <v>9</v>
      </c>
      <c r="K148" s="306" t="s">
        <v>33</v>
      </c>
      <c r="L148" s="306">
        <v>355686</v>
      </c>
      <c r="M148" s="306">
        <v>239045</v>
      </c>
      <c r="N148" s="306">
        <v>1483</v>
      </c>
      <c r="O148" s="306">
        <v>19708</v>
      </c>
      <c r="P148" s="306">
        <v>875</v>
      </c>
      <c r="Q148" s="306">
        <v>663</v>
      </c>
      <c r="R148" s="24"/>
      <c r="S148" s="24"/>
      <c r="T148" s="24"/>
      <c r="W148" s="24">
        <v>2022</v>
      </c>
      <c r="X148" s="24">
        <v>8</v>
      </c>
      <c r="Y148" s="24" t="s">
        <v>32</v>
      </c>
      <c r="Z148" s="24">
        <v>17765</v>
      </c>
      <c r="AA148" s="24">
        <v>17413</v>
      </c>
      <c r="AB148" s="24">
        <v>10</v>
      </c>
      <c r="AC148" s="24"/>
      <c r="AD148" s="297"/>
      <c r="AE148" s="297"/>
      <c r="AF148" s="297"/>
      <c r="AG148" s="297"/>
      <c r="AH148" s="297"/>
      <c r="AI148" s="24"/>
      <c r="AJ148" s="24"/>
      <c r="AK148" s="24">
        <v>2022</v>
      </c>
      <c r="AL148" s="24">
        <v>8</v>
      </c>
      <c r="AM148" s="24">
        <v>584.4</v>
      </c>
      <c r="AN148" s="24">
        <v>76.23</v>
      </c>
      <c r="AO148" s="24">
        <v>0</v>
      </c>
      <c r="AP148" s="24">
        <v>14</v>
      </c>
      <c r="AQ148" s="24">
        <v>0</v>
      </c>
      <c r="AR148" s="24">
        <v>0</v>
      </c>
      <c r="AS148" s="24" t="s">
        <v>32</v>
      </c>
      <c r="AT148" s="24"/>
      <c r="AU148" s="24">
        <v>2022</v>
      </c>
      <c r="AV148" s="24">
        <v>8</v>
      </c>
      <c r="AW148" s="24">
        <v>0.19</v>
      </c>
      <c r="AX148" s="24">
        <v>3400</v>
      </c>
      <c r="AY148" s="24">
        <v>18004</v>
      </c>
      <c r="AZ148" s="24" t="s">
        <v>32</v>
      </c>
      <c r="BA148" s="24"/>
      <c r="BB148" s="24"/>
      <c r="BC148" s="24">
        <v>2022</v>
      </c>
      <c r="BD148" s="24">
        <v>8</v>
      </c>
      <c r="BE148" s="24">
        <v>253.39514285714299</v>
      </c>
      <c r="BF148" s="24" t="s">
        <v>32</v>
      </c>
      <c r="BG148" s="24"/>
      <c r="BI148" s="24">
        <v>2022</v>
      </c>
      <c r="BJ148" s="24">
        <v>35</v>
      </c>
      <c r="BK148" s="24" t="s">
        <v>32</v>
      </c>
      <c r="BL148" s="24" t="s">
        <v>273</v>
      </c>
      <c r="BM148" s="24">
        <v>7669</v>
      </c>
      <c r="BN148" s="24">
        <v>7609</v>
      </c>
      <c r="BO148" s="24">
        <v>7807</v>
      </c>
      <c r="BR148" s="24">
        <v>2022</v>
      </c>
      <c r="BS148" s="24">
        <v>8</v>
      </c>
      <c r="BT148" s="24">
        <v>17907</v>
      </c>
      <c r="BU148" s="24">
        <v>0</v>
      </c>
      <c r="BV148" s="24" t="s">
        <v>32</v>
      </c>
      <c r="BY148" s="24">
        <v>2022</v>
      </c>
      <c r="BZ148" s="24">
        <v>10</v>
      </c>
      <c r="CA148" s="24" t="s">
        <v>32</v>
      </c>
      <c r="CB148" s="24" t="s">
        <v>423</v>
      </c>
      <c r="CC148" s="24">
        <v>1</v>
      </c>
      <c r="CF148" s="24">
        <v>2022</v>
      </c>
      <c r="CG148" s="24">
        <v>8</v>
      </c>
      <c r="CH148" s="24" t="s">
        <v>32</v>
      </c>
      <c r="CI148" s="24">
        <v>106.89747003994674</v>
      </c>
      <c r="CJ148" s="24">
        <v>8028</v>
      </c>
      <c r="CK148" s="24">
        <v>75.099999999999994</v>
      </c>
      <c r="CL148" s="24">
        <v>46.492507886435334</v>
      </c>
      <c r="CM148" s="24">
        <v>11798</v>
      </c>
      <c r="CN148" s="24">
        <v>23581</v>
      </c>
      <c r="CO148" s="24">
        <v>507.2</v>
      </c>
      <c r="CP148" s="24">
        <v>9898</v>
      </c>
      <c r="CQ148" s="24">
        <v>63.8</v>
      </c>
      <c r="CR148" s="24">
        <v>257.2</v>
      </c>
      <c r="CS148" s="24">
        <v>11654</v>
      </c>
      <c r="CT148" s="24">
        <v>11654</v>
      </c>
      <c r="CU148" s="24">
        <v>333.5</v>
      </c>
      <c r="CV148" s="24">
        <v>2234</v>
      </c>
      <c r="CW148" s="24">
        <v>0</v>
      </c>
      <c r="CX148" s="24">
        <v>11512</v>
      </c>
      <c r="CY148" s="24">
        <v>49.2</v>
      </c>
      <c r="CZ148" s="24">
        <v>8034</v>
      </c>
      <c r="DA148" s="24">
        <v>257.2</v>
      </c>
      <c r="DD148" s="24">
        <v>2022</v>
      </c>
      <c r="DE148" s="24">
        <v>8</v>
      </c>
      <c r="DF148" s="24" t="s">
        <v>32</v>
      </c>
      <c r="DG148" s="24">
        <v>2225</v>
      </c>
      <c r="DH148" s="24">
        <v>3059</v>
      </c>
      <c r="DJ148" s="24">
        <v>2022</v>
      </c>
      <c r="DK148" s="24">
        <v>8</v>
      </c>
      <c r="DL148" s="24" t="s">
        <v>33</v>
      </c>
      <c r="DM148" s="24">
        <v>670</v>
      </c>
      <c r="DP148" s="24">
        <v>2021</v>
      </c>
      <c r="DQ148" s="24">
        <v>32</v>
      </c>
      <c r="DR148" s="24" t="s">
        <v>33</v>
      </c>
      <c r="DS148" s="24">
        <v>24417</v>
      </c>
      <c r="DT148" s="24">
        <v>643</v>
      </c>
      <c r="DW148" s="24">
        <v>2022</v>
      </c>
      <c r="DX148" s="24">
        <v>26</v>
      </c>
      <c r="DY148" s="24" t="s">
        <v>33</v>
      </c>
      <c r="DZ148" s="24">
        <v>15</v>
      </c>
      <c r="EA148" s="24" t="s">
        <v>562</v>
      </c>
      <c r="EB148" s="24">
        <v>278.89999999999998</v>
      </c>
      <c r="EC148" s="24">
        <v>6.2</v>
      </c>
      <c r="ED148" s="24">
        <v>15</v>
      </c>
      <c r="EE148" s="24">
        <v>11745</v>
      </c>
      <c r="EF148" s="24">
        <v>6.8</v>
      </c>
      <c r="EI148" s="24">
        <v>2023</v>
      </c>
      <c r="EJ148" s="24">
        <v>6</v>
      </c>
      <c r="EK148" s="24" t="s">
        <v>237</v>
      </c>
      <c r="EL148" s="24" t="s">
        <v>555</v>
      </c>
      <c r="EM148" s="24" t="s">
        <v>210</v>
      </c>
      <c r="EN148" s="24">
        <v>14</v>
      </c>
      <c r="EO148" s="24"/>
      <c r="EP148" s="24"/>
      <c r="EQ148" s="24"/>
      <c r="ER148" s="24"/>
      <c r="ES148" s="24">
        <v>2022</v>
      </c>
      <c r="ET148" s="24">
        <v>12</v>
      </c>
      <c r="EU148" s="24" t="s">
        <v>32</v>
      </c>
      <c r="EV148" s="24">
        <v>8584</v>
      </c>
      <c r="EY148" s="24">
        <v>2022</v>
      </c>
      <c r="EZ148" s="24">
        <v>11</v>
      </c>
      <c r="FA148" s="24" t="s">
        <v>33</v>
      </c>
      <c r="FB148" s="24">
        <v>878</v>
      </c>
      <c r="FE148" s="24">
        <v>2022</v>
      </c>
      <c r="FF148" s="24">
        <v>8</v>
      </c>
      <c r="FG148" s="24" t="s">
        <v>32</v>
      </c>
      <c r="FH148" s="24">
        <v>0.87250000000000005</v>
      </c>
      <c r="FI148" s="24">
        <v>482</v>
      </c>
      <c r="FJ148" s="24">
        <v>231</v>
      </c>
      <c r="FK148" s="24">
        <v>263</v>
      </c>
      <c r="FN148" s="24">
        <v>2022</v>
      </c>
      <c r="FO148" s="24">
        <v>9</v>
      </c>
      <c r="FP148" s="24" t="s">
        <v>32</v>
      </c>
      <c r="FQ148" s="24">
        <v>54303</v>
      </c>
      <c r="FR148" s="24">
        <v>1089.31666666667</v>
      </c>
      <c r="FS148" s="24">
        <v>52244</v>
      </c>
      <c r="FT148" s="24">
        <v>735.45</v>
      </c>
      <c r="FW148" s="24">
        <v>2022</v>
      </c>
      <c r="FX148" s="24">
        <v>8</v>
      </c>
      <c r="FY148" s="24" t="s">
        <v>32</v>
      </c>
      <c r="FZ148" s="24">
        <v>2292</v>
      </c>
      <c r="GA148" s="24">
        <v>2176</v>
      </c>
      <c r="GB148" s="24"/>
      <c r="GC148" s="24"/>
      <c r="GD148" s="24">
        <v>2022</v>
      </c>
      <c r="GE148" s="24">
        <v>8</v>
      </c>
      <c r="GF148" s="24" t="s">
        <v>32</v>
      </c>
      <c r="GG148" s="24">
        <v>2274</v>
      </c>
      <c r="GH148" s="24">
        <v>2124</v>
      </c>
      <c r="GK148" s="24"/>
      <c r="GL148" s="24"/>
      <c r="GM148" s="24"/>
      <c r="GN148" s="24"/>
      <c r="GO148" s="24"/>
      <c r="GP148" s="24">
        <v>2022</v>
      </c>
      <c r="GQ148" s="24">
        <v>8</v>
      </c>
      <c r="GR148" s="24">
        <v>2.9857142857142898E-2</v>
      </c>
      <c r="GS148" s="24" t="s">
        <v>32</v>
      </c>
      <c r="GX148">
        <v>2022</v>
      </c>
      <c r="GY148">
        <v>8</v>
      </c>
      <c r="GZ148" t="s">
        <v>32</v>
      </c>
      <c r="HA148">
        <v>17579</v>
      </c>
      <c r="HB148">
        <v>17179</v>
      </c>
      <c r="HC148">
        <v>1</v>
      </c>
      <c r="HD148">
        <v>2</v>
      </c>
      <c r="HE148">
        <v>0</v>
      </c>
      <c r="HF148">
        <v>55</v>
      </c>
      <c r="HG148">
        <v>0</v>
      </c>
      <c r="HH148">
        <v>0</v>
      </c>
      <c r="HI148">
        <v>76</v>
      </c>
      <c r="HL148">
        <v>2022</v>
      </c>
      <c r="HM148">
        <v>8</v>
      </c>
      <c r="HN148" t="s">
        <v>32</v>
      </c>
      <c r="HO148">
        <v>17723</v>
      </c>
      <c r="HP148">
        <v>17470</v>
      </c>
      <c r="HQ148">
        <v>3</v>
      </c>
      <c r="HR148">
        <v>1</v>
      </c>
      <c r="HS148">
        <v>0</v>
      </c>
      <c r="HT148">
        <v>137</v>
      </c>
      <c r="HU148">
        <v>0</v>
      </c>
      <c r="HV148">
        <v>0</v>
      </c>
      <c r="HW148">
        <v>10</v>
      </c>
      <c r="HZ148" s="24">
        <v>2022</v>
      </c>
      <c r="IA148" s="24">
        <v>8</v>
      </c>
      <c r="IB148" s="24" t="s">
        <v>32</v>
      </c>
      <c r="IC148" s="24">
        <v>2312</v>
      </c>
      <c r="ID148" s="24">
        <v>2193</v>
      </c>
      <c r="IG148" s="24">
        <v>2022</v>
      </c>
      <c r="IH148" s="24">
        <v>8</v>
      </c>
      <c r="II148" s="24" t="s">
        <v>32</v>
      </c>
      <c r="IJ148" s="24">
        <v>2233</v>
      </c>
      <c r="IK148" s="24">
        <v>2142</v>
      </c>
    </row>
    <row r="149" spans="9:245" x14ac:dyDescent="0.4">
      <c r="I149" s="305">
        <v>2022</v>
      </c>
      <c r="J149" s="306">
        <v>8</v>
      </c>
      <c r="K149" s="306" t="s">
        <v>32</v>
      </c>
      <c r="L149" s="306">
        <v>17864</v>
      </c>
      <c r="M149" s="306">
        <v>17480</v>
      </c>
      <c r="N149" s="306">
        <v>51</v>
      </c>
      <c r="O149" s="306">
        <v>157</v>
      </c>
      <c r="P149" s="306">
        <v>19</v>
      </c>
      <c r="Q149" s="306"/>
      <c r="R149" s="24"/>
      <c r="S149" s="24"/>
      <c r="T149" s="24"/>
      <c r="W149" s="24">
        <v>2022</v>
      </c>
      <c r="X149" s="24">
        <v>8</v>
      </c>
      <c r="Y149" s="24" t="s">
        <v>33</v>
      </c>
      <c r="Z149" s="24">
        <v>316093</v>
      </c>
      <c r="AA149" s="24">
        <v>212792</v>
      </c>
      <c r="AB149" s="24">
        <v>521</v>
      </c>
      <c r="AC149" s="24">
        <v>36</v>
      </c>
      <c r="AD149" s="297"/>
      <c r="AE149" s="297"/>
      <c r="AF149" s="297"/>
      <c r="AG149" s="297"/>
      <c r="AH149" s="297"/>
      <c r="AI149" s="24"/>
      <c r="AJ149" s="24"/>
      <c r="AK149" s="24">
        <v>2022</v>
      </c>
      <c r="AL149" s="24">
        <v>8</v>
      </c>
      <c r="AM149" s="24">
        <v>17724.670000000002</v>
      </c>
      <c r="AN149" s="24">
        <v>2040.65</v>
      </c>
      <c r="AO149" s="24">
        <v>0</v>
      </c>
      <c r="AP149" s="24">
        <v>423</v>
      </c>
      <c r="AQ149" s="24">
        <v>0</v>
      </c>
      <c r="AR149" s="24">
        <v>3</v>
      </c>
      <c r="AS149" s="24" t="s">
        <v>33</v>
      </c>
      <c r="AT149" s="24"/>
      <c r="AU149" s="24">
        <v>2022</v>
      </c>
      <c r="AV149" s="24">
        <v>8</v>
      </c>
      <c r="AW149" s="24">
        <v>0.61</v>
      </c>
      <c r="AX149" s="24">
        <v>195500</v>
      </c>
      <c r="AY149" s="24">
        <v>322010</v>
      </c>
      <c r="AZ149" s="24" t="s">
        <v>33</v>
      </c>
      <c r="BA149" s="24"/>
      <c r="BB149" s="24"/>
      <c r="BC149" s="24">
        <v>2022</v>
      </c>
      <c r="BD149" s="24">
        <v>8</v>
      </c>
      <c r="BE149" s="24">
        <v>2505.1224285714297</v>
      </c>
      <c r="BF149" s="24" t="s">
        <v>33</v>
      </c>
      <c r="BG149" s="24"/>
      <c r="BI149" s="24">
        <v>2022</v>
      </c>
      <c r="BJ149" s="24">
        <v>35</v>
      </c>
      <c r="BK149" s="24" t="s">
        <v>32</v>
      </c>
      <c r="BL149" s="24" t="s">
        <v>272</v>
      </c>
      <c r="BM149" s="24">
        <v>3253</v>
      </c>
      <c r="BN149" s="24">
        <v>3251</v>
      </c>
      <c r="BO149" s="24">
        <v>11315</v>
      </c>
      <c r="BR149" s="24">
        <v>2022</v>
      </c>
      <c r="BS149" s="24">
        <v>8</v>
      </c>
      <c r="BT149" s="24">
        <v>316857</v>
      </c>
      <c r="BU149" s="24">
        <v>2</v>
      </c>
      <c r="BV149" s="24" t="s">
        <v>33</v>
      </c>
      <c r="BY149" s="24">
        <v>2022</v>
      </c>
      <c r="BZ149" s="24">
        <v>10</v>
      </c>
      <c r="CA149" s="24" t="s">
        <v>33</v>
      </c>
      <c r="CB149" s="24" t="s">
        <v>108</v>
      </c>
      <c r="CC149" s="24">
        <v>3</v>
      </c>
      <c r="CF149" s="24">
        <v>2022</v>
      </c>
      <c r="CG149" s="24">
        <v>8</v>
      </c>
      <c r="CH149" s="24" t="s">
        <v>33</v>
      </c>
      <c r="CI149" s="24">
        <v>134.48152508603513</v>
      </c>
      <c r="CJ149" s="24">
        <v>296989</v>
      </c>
      <c r="CK149" s="24">
        <v>2208.4</v>
      </c>
      <c r="CL149" s="24">
        <v>118.82775421059263</v>
      </c>
      <c r="CM149" s="24">
        <v>147129</v>
      </c>
      <c r="CN149" s="24">
        <v>282917</v>
      </c>
      <c r="CO149" s="24">
        <v>2380.9</v>
      </c>
      <c r="CP149" s="24">
        <v>56712</v>
      </c>
      <c r="CQ149" s="24">
        <v>345.6</v>
      </c>
      <c r="CR149" s="24">
        <v>1388.5</v>
      </c>
      <c r="CS149" s="24">
        <v>175201</v>
      </c>
      <c r="CT149" s="24">
        <v>175201</v>
      </c>
      <c r="CU149" s="24">
        <v>1601.4</v>
      </c>
      <c r="CV149" s="24">
        <v>51425</v>
      </c>
      <c r="CW149" s="24">
        <v>0</v>
      </c>
      <c r="CX149" s="24">
        <v>169007</v>
      </c>
      <c r="CY149" s="24">
        <v>1011.6</v>
      </c>
      <c r="CZ149" s="24">
        <v>44638</v>
      </c>
      <c r="DA149" s="24">
        <v>1388.5</v>
      </c>
      <c r="DD149" s="24">
        <v>2022</v>
      </c>
      <c r="DE149" s="24">
        <v>8</v>
      </c>
      <c r="DF149" s="24" t="s">
        <v>33</v>
      </c>
      <c r="DG149" s="24">
        <v>56779</v>
      </c>
      <c r="DH149" s="24">
        <v>26697</v>
      </c>
      <c r="DJ149" s="24">
        <v>2022</v>
      </c>
      <c r="DK149" s="24">
        <v>7</v>
      </c>
      <c r="DL149" s="24" t="s">
        <v>32</v>
      </c>
      <c r="DM149" s="24">
        <v>9</v>
      </c>
      <c r="DP149" s="24">
        <v>2021</v>
      </c>
      <c r="DQ149" s="24">
        <v>31</v>
      </c>
      <c r="DR149" s="24" t="s">
        <v>33</v>
      </c>
      <c r="DS149" s="24">
        <v>24192</v>
      </c>
      <c r="DT149" s="24">
        <v>824</v>
      </c>
      <c r="DW149" s="24">
        <v>2022</v>
      </c>
      <c r="DX149" s="24">
        <v>26</v>
      </c>
      <c r="DY149" s="24" t="s">
        <v>33</v>
      </c>
      <c r="DZ149" s="24">
        <v>69</v>
      </c>
      <c r="EA149" s="24" t="s">
        <v>149</v>
      </c>
      <c r="EB149" s="24">
        <v>63.2</v>
      </c>
      <c r="EC149" s="24">
        <v>1487.3</v>
      </c>
      <c r="ED149" s="24">
        <v>50438</v>
      </c>
      <c r="EE149" s="24">
        <v>51491</v>
      </c>
      <c r="EF149" s="24">
        <v>101.9</v>
      </c>
      <c r="EI149" s="24">
        <v>2023</v>
      </c>
      <c r="EJ149" s="24">
        <v>6</v>
      </c>
      <c r="EK149" s="24" t="s">
        <v>237</v>
      </c>
      <c r="EL149" s="24" t="s">
        <v>557</v>
      </c>
      <c r="EM149" s="24" t="s">
        <v>210</v>
      </c>
      <c r="EN149" s="24">
        <v>76</v>
      </c>
      <c r="EO149" s="24"/>
      <c r="EP149" s="24"/>
      <c r="EQ149" s="24"/>
      <c r="ER149" s="24"/>
      <c r="ES149" s="24">
        <v>2022</v>
      </c>
      <c r="ET149" s="24">
        <v>12</v>
      </c>
      <c r="EU149" s="24" t="s">
        <v>33</v>
      </c>
      <c r="EV149" s="24">
        <v>165355</v>
      </c>
      <c r="EY149" s="24">
        <v>2022</v>
      </c>
      <c r="EZ149" s="24">
        <v>11</v>
      </c>
      <c r="FA149" s="24" t="s">
        <v>35</v>
      </c>
      <c r="FB149" s="24">
        <v>1</v>
      </c>
      <c r="FE149" s="24">
        <v>2022</v>
      </c>
      <c r="FF149" s="24">
        <v>8</v>
      </c>
      <c r="FG149" s="24" t="s">
        <v>33</v>
      </c>
      <c r="FH149" s="24">
        <v>0.9497000000000001</v>
      </c>
      <c r="FI149" s="24">
        <v>14343</v>
      </c>
      <c r="FJ149" s="24">
        <v>6555</v>
      </c>
      <c r="FK149" s="24">
        <v>6947</v>
      </c>
      <c r="FN149" s="24">
        <v>2022</v>
      </c>
      <c r="FO149" s="24">
        <v>9</v>
      </c>
      <c r="FP149" s="24" t="s">
        <v>33</v>
      </c>
      <c r="FQ149" s="24">
        <v>1057340</v>
      </c>
      <c r="FR149" s="24">
        <v>9243.0833333333303</v>
      </c>
      <c r="FS149" s="24">
        <v>414348</v>
      </c>
      <c r="FT149" s="24">
        <v>3040.9166666666697</v>
      </c>
      <c r="FW149" s="24">
        <v>2022</v>
      </c>
      <c r="FX149" s="24">
        <v>8</v>
      </c>
      <c r="FY149" s="24" t="s">
        <v>33</v>
      </c>
      <c r="FZ149" s="24">
        <v>16982</v>
      </c>
      <c r="GA149" s="24">
        <v>15061</v>
      </c>
      <c r="GB149" s="24"/>
      <c r="GC149" s="24"/>
      <c r="GD149" s="24">
        <v>2022</v>
      </c>
      <c r="GE149" s="24">
        <v>8</v>
      </c>
      <c r="GF149" s="24" t="s">
        <v>33</v>
      </c>
      <c r="GG149" s="24">
        <v>17212</v>
      </c>
      <c r="GH149" s="24">
        <v>15385</v>
      </c>
      <c r="GK149" s="24"/>
      <c r="GL149" s="24"/>
      <c r="GM149" s="24"/>
      <c r="GN149" s="24"/>
      <c r="GO149" s="24"/>
      <c r="GP149" s="24">
        <v>2022</v>
      </c>
      <c r="GQ149" s="24">
        <v>8</v>
      </c>
      <c r="GR149" s="24">
        <v>7.1994285714285704</v>
      </c>
      <c r="GS149" s="24" t="s">
        <v>33</v>
      </c>
      <c r="GX149">
        <v>2022</v>
      </c>
      <c r="GY149">
        <v>8</v>
      </c>
      <c r="GZ149" t="s">
        <v>33</v>
      </c>
      <c r="HA149">
        <v>317071</v>
      </c>
      <c r="HB149">
        <v>304733</v>
      </c>
      <c r="HC149">
        <v>679</v>
      </c>
      <c r="HD149">
        <v>523</v>
      </c>
      <c r="HE149">
        <v>1</v>
      </c>
      <c r="HF149">
        <v>5120</v>
      </c>
      <c r="HG149">
        <v>0</v>
      </c>
      <c r="HH149">
        <v>0</v>
      </c>
      <c r="HI149">
        <v>1216</v>
      </c>
      <c r="HL149">
        <v>2022</v>
      </c>
      <c r="HM149">
        <v>8</v>
      </c>
      <c r="HN149" t="s">
        <v>33</v>
      </c>
      <c r="HO149">
        <v>315851</v>
      </c>
      <c r="HP149">
        <v>306608</v>
      </c>
      <c r="HQ149">
        <v>1071</v>
      </c>
      <c r="HR149">
        <v>423</v>
      </c>
      <c r="HS149">
        <v>0</v>
      </c>
      <c r="HT149">
        <v>5359</v>
      </c>
      <c r="HU149">
        <v>0</v>
      </c>
      <c r="HV149">
        <v>0</v>
      </c>
      <c r="HW149">
        <v>641</v>
      </c>
      <c r="HZ149" s="24">
        <v>2022</v>
      </c>
      <c r="IA149" s="24">
        <v>8</v>
      </c>
      <c r="IB149" s="24" t="s">
        <v>33</v>
      </c>
      <c r="IC149" s="24">
        <v>16972</v>
      </c>
      <c r="ID149" s="24">
        <v>15568</v>
      </c>
      <c r="IG149" s="24">
        <v>2022</v>
      </c>
      <c r="IH149" s="24">
        <v>8</v>
      </c>
      <c r="II149" s="24" t="s">
        <v>33</v>
      </c>
      <c r="IJ149" s="24">
        <v>16249</v>
      </c>
      <c r="IK149" s="24">
        <v>15222</v>
      </c>
    </row>
    <row r="150" spans="9:245" x14ac:dyDescent="0.4">
      <c r="I150" s="305">
        <v>2022</v>
      </c>
      <c r="J150" s="306">
        <v>8</v>
      </c>
      <c r="K150" s="306" t="s">
        <v>33</v>
      </c>
      <c r="L150" s="306">
        <v>317515</v>
      </c>
      <c r="M150" s="306">
        <v>213330</v>
      </c>
      <c r="N150" s="306">
        <v>1509</v>
      </c>
      <c r="O150" s="306">
        <v>18416</v>
      </c>
      <c r="P150" s="306">
        <v>610</v>
      </c>
      <c r="Q150" s="306">
        <v>57</v>
      </c>
      <c r="R150" s="24"/>
      <c r="S150" s="24"/>
      <c r="T150" s="24"/>
      <c r="W150" s="24">
        <v>2022</v>
      </c>
      <c r="X150" s="24">
        <v>7</v>
      </c>
      <c r="Y150" s="24" t="s">
        <v>32</v>
      </c>
      <c r="Z150" s="24">
        <v>17332</v>
      </c>
      <c r="AA150" s="24">
        <v>16591</v>
      </c>
      <c r="AB150" s="24">
        <v>36</v>
      </c>
      <c r="AC150" s="24">
        <v>12</v>
      </c>
      <c r="AD150" s="297"/>
      <c r="AE150" s="297"/>
      <c r="AF150" s="297"/>
      <c r="AG150" s="297"/>
      <c r="AH150" s="297"/>
      <c r="AI150" s="24"/>
      <c r="AJ150" s="24"/>
      <c r="AK150" s="24">
        <v>2022</v>
      </c>
      <c r="AL150" s="24">
        <v>7</v>
      </c>
      <c r="AM150" s="24">
        <v>641.41999999999996</v>
      </c>
      <c r="AN150" s="24">
        <v>85.62</v>
      </c>
      <c r="AO150" s="24">
        <v>0</v>
      </c>
      <c r="AP150" s="24">
        <v>14</v>
      </c>
      <c r="AQ150" s="24">
        <v>0</v>
      </c>
      <c r="AR150" s="24">
        <v>0</v>
      </c>
      <c r="AS150" s="24" t="s">
        <v>32</v>
      </c>
      <c r="AT150" s="24"/>
      <c r="AU150" s="24">
        <v>2022</v>
      </c>
      <c r="AV150" s="24">
        <v>7</v>
      </c>
      <c r="AW150" s="24">
        <v>0.18</v>
      </c>
      <c r="AX150" s="24">
        <v>3200</v>
      </c>
      <c r="AY150" s="24">
        <v>17730</v>
      </c>
      <c r="AZ150" s="24" t="s">
        <v>32</v>
      </c>
      <c r="BA150" s="24"/>
      <c r="BB150" s="24"/>
      <c r="BC150" s="24">
        <v>2022</v>
      </c>
      <c r="BD150" s="24">
        <v>7</v>
      </c>
      <c r="BE150" s="24">
        <v>247.391285714286</v>
      </c>
      <c r="BF150" s="24" t="s">
        <v>32</v>
      </c>
      <c r="BG150" s="24"/>
      <c r="BI150" s="24">
        <v>2022</v>
      </c>
      <c r="BJ150" s="24">
        <v>34</v>
      </c>
      <c r="BK150" s="24" t="s">
        <v>32</v>
      </c>
      <c r="BL150" s="24" t="s">
        <v>273</v>
      </c>
      <c r="BM150" s="24">
        <v>6597</v>
      </c>
      <c r="BN150" s="24">
        <v>6498</v>
      </c>
      <c r="BO150" s="24">
        <v>6702</v>
      </c>
      <c r="BR150" s="24">
        <v>2022</v>
      </c>
      <c r="BS150" s="24">
        <v>7</v>
      </c>
      <c r="BT150" s="24">
        <v>17610</v>
      </c>
      <c r="BU150" s="24">
        <v>1</v>
      </c>
      <c r="BV150" s="24" t="s">
        <v>32</v>
      </c>
      <c r="BY150" s="24">
        <v>2022</v>
      </c>
      <c r="BZ150" s="24">
        <v>10</v>
      </c>
      <c r="CA150" s="24" t="s">
        <v>33</v>
      </c>
      <c r="CB150" s="24" t="s">
        <v>423</v>
      </c>
      <c r="CC150" s="24">
        <v>86</v>
      </c>
      <c r="CF150" s="24">
        <v>2022</v>
      </c>
      <c r="CG150" s="24">
        <v>7</v>
      </c>
      <c r="CH150" s="24" t="s">
        <v>32</v>
      </c>
      <c r="CI150" s="24">
        <v>118.6771964461994</v>
      </c>
      <c r="CJ150" s="24">
        <v>12022</v>
      </c>
      <c r="CK150" s="24">
        <v>101.3</v>
      </c>
      <c r="CL150" s="24">
        <v>55.074476142388285</v>
      </c>
      <c r="CM150" s="24">
        <v>11137</v>
      </c>
      <c r="CN150" s="24">
        <v>21815</v>
      </c>
      <c r="CO150" s="24">
        <v>396.1</v>
      </c>
      <c r="CP150" s="24">
        <v>8725</v>
      </c>
      <c r="CQ150" s="24">
        <v>62</v>
      </c>
      <c r="CR150" s="24">
        <v>255.7</v>
      </c>
      <c r="CS150" s="24">
        <v>14811</v>
      </c>
      <c r="CT150" s="24">
        <v>14811</v>
      </c>
      <c r="CU150" s="24">
        <v>407.2</v>
      </c>
      <c r="CV150" s="24">
        <v>2801</v>
      </c>
      <c r="CW150" s="24">
        <v>0</v>
      </c>
      <c r="CX150" s="24">
        <v>11542</v>
      </c>
      <c r="CY150" s="24">
        <v>66.2</v>
      </c>
      <c r="CZ150" s="24">
        <v>7278</v>
      </c>
      <c r="DA150" s="24">
        <v>255.7</v>
      </c>
      <c r="DD150" s="24">
        <v>2022</v>
      </c>
      <c r="DE150" s="24">
        <v>7</v>
      </c>
      <c r="DF150" s="24" t="s">
        <v>32</v>
      </c>
      <c r="DG150" s="24">
        <v>924</v>
      </c>
      <c r="DH150" s="24">
        <v>2302</v>
      </c>
      <c r="DJ150" s="24">
        <v>2022</v>
      </c>
      <c r="DK150" s="24">
        <v>7</v>
      </c>
      <c r="DL150" s="24" t="s">
        <v>33</v>
      </c>
      <c r="DM150" s="24">
        <v>552</v>
      </c>
      <c r="DP150" s="24">
        <v>2021</v>
      </c>
      <c r="DQ150" s="24">
        <v>30</v>
      </c>
      <c r="DR150" s="24" t="s">
        <v>33</v>
      </c>
      <c r="DS150" s="24">
        <v>25141</v>
      </c>
      <c r="DT150" s="24">
        <v>782</v>
      </c>
      <c r="DW150" s="24">
        <v>2022</v>
      </c>
      <c r="DX150" s="24">
        <v>25</v>
      </c>
      <c r="DY150" s="24" t="s">
        <v>32</v>
      </c>
      <c r="DZ150" s="24">
        <v>1</v>
      </c>
      <c r="EA150" s="24" t="s">
        <v>149</v>
      </c>
      <c r="EB150" s="24">
        <v>45.6</v>
      </c>
      <c r="EC150" s="24">
        <v>0.1</v>
      </c>
      <c r="ED150" s="24"/>
      <c r="EE150" s="24">
        <v>1767</v>
      </c>
      <c r="EF150" s="24">
        <v>5.6</v>
      </c>
      <c r="EI150" s="24">
        <v>2023</v>
      </c>
      <c r="EJ150" s="24">
        <v>6</v>
      </c>
      <c r="EK150" s="24" t="s">
        <v>237</v>
      </c>
      <c r="EL150" s="24" t="s">
        <v>557</v>
      </c>
      <c r="EM150" s="24" t="s">
        <v>215</v>
      </c>
      <c r="EN150" s="24">
        <v>6</v>
      </c>
      <c r="EO150" s="24"/>
      <c r="EP150" s="24"/>
      <c r="EQ150" s="24"/>
      <c r="ER150" s="24"/>
      <c r="ES150" s="24">
        <v>2022</v>
      </c>
      <c r="ET150" s="24">
        <v>12</v>
      </c>
      <c r="EU150" s="24" t="s">
        <v>213</v>
      </c>
      <c r="EV150" s="24">
        <v>1</v>
      </c>
      <c r="EY150" s="24">
        <v>2022</v>
      </c>
      <c r="EZ150" s="24">
        <v>10</v>
      </c>
      <c r="FA150" s="24" t="s">
        <v>32</v>
      </c>
      <c r="FB150" s="24">
        <v>741</v>
      </c>
      <c r="FE150" s="24">
        <v>2022</v>
      </c>
      <c r="FF150" s="24">
        <v>7</v>
      </c>
      <c r="FG150" s="24" t="s">
        <v>32</v>
      </c>
      <c r="FH150" s="24">
        <v>0.86850000000000005</v>
      </c>
      <c r="FI150" s="24">
        <v>546</v>
      </c>
      <c r="FJ150" s="24">
        <v>257</v>
      </c>
      <c r="FK150" s="24">
        <v>295</v>
      </c>
      <c r="FN150" s="24">
        <v>2022</v>
      </c>
      <c r="FO150" s="24">
        <v>8</v>
      </c>
      <c r="FP150" s="24" t="s">
        <v>32</v>
      </c>
      <c r="FQ150" s="24">
        <v>43300</v>
      </c>
      <c r="FR150" s="24">
        <v>921.03333333333296</v>
      </c>
      <c r="FS150" s="24">
        <v>43519</v>
      </c>
      <c r="FT150" s="24">
        <v>580.63333333333298</v>
      </c>
      <c r="FW150" s="24">
        <v>2022</v>
      </c>
      <c r="FX150" s="24">
        <v>7</v>
      </c>
      <c r="FY150" s="24" t="s">
        <v>32</v>
      </c>
      <c r="FZ150" s="24">
        <v>2561</v>
      </c>
      <c r="GA150" s="24">
        <v>2285</v>
      </c>
      <c r="GB150" s="24"/>
      <c r="GC150" s="24"/>
      <c r="GD150" s="24">
        <v>2022</v>
      </c>
      <c r="GE150" s="24">
        <v>7</v>
      </c>
      <c r="GF150" s="24" t="s">
        <v>32</v>
      </c>
      <c r="GG150" s="24">
        <v>2629</v>
      </c>
      <c r="GH150" s="24">
        <v>2258</v>
      </c>
      <c r="GK150" s="24"/>
      <c r="GL150" s="24"/>
      <c r="GM150" s="24"/>
      <c r="GN150" s="24"/>
      <c r="GO150" s="24"/>
      <c r="GP150" s="24">
        <v>2022</v>
      </c>
      <c r="GQ150" s="24">
        <v>7</v>
      </c>
      <c r="GR150" s="24">
        <v>2.9000000000000001E-2</v>
      </c>
      <c r="GS150" s="24" t="s">
        <v>32</v>
      </c>
      <c r="GX150">
        <v>2022</v>
      </c>
      <c r="GY150">
        <v>7</v>
      </c>
      <c r="GZ150" t="s">
        <v>32</v>
      </c>
      <c r="HA150">
        <v>17276</v>
      </c>
      <c r="HB150">
        <v>16536</v>
      </c>
      <c r="HC150">
        <v>1</v>
      </c>
      <c r="HD150">
        <v>9</v>
      </c>
      <c r="HE150">
        <v>0</v>
      </c>
      <c r="HF150">
        <v>268</v>
      </c>
      <c r="HG150">
        <v>0</v>
      </c>
      <c r="HH150">
        <v>0</v>
      </c>
      <c r="HI150">
        <v>120</v>
      </c>
      <c r="HL150">
        <v>2022</v>
      </c>
      <c r="HM150">
        <v>7</v>
      </c>
      <c r="HN150" t="s">
        <v>32</v>
      </c>
      <c r="HO150">
        <v>17260</v>
      </c>
      <c r="HP150">
        <v>16762</v>
      </c>
      <c r="HQ150">
        <v>7</v>
      </c>
      <c r="HR150">
        <v>4</v>
      </c>
      <c r="HS150">
        <v>0</v>
      </c>
      <c r="HT150">
        <v>357</v>
      </c>
      <c r="HU150">
        <v>0</v>
      </c>
      <c r="HV150">
        <v>0</v>
      </c>
      <c r="HW150">
        <v>29</v>
      </c>
      <c r="HZ150" s="24">
        <v>2022</v>
      </c>
      <c r="IA150" s="24">
        <v>7</v>
      </c>
      <c r="IB150" s="24" t="s">
        <v>32</v>
      </c>
      <c r="IC150" s="24">
        <v>2526</v>
      </c>
      <c r="ID150" s="24">
        <v>2271</v>
      </c>
      <c r="IG150" s="24">
        <v>2022</v>
      </c>
      <c r="IH150" s="24">
        <v>7</v>
      </c>
      <c r="II150" s="24" t="s">
        <v>32</v>
      </c>
      <c r="IJ150" s="24">
        <v>2567</v>
      </c>
      <c r="IK150" s="24">
        <v>2336</v>
      </c>
    </row>
    <row r="151" spans="9:245" x14ac:dyDescent="0.4">
      <c r="I151" s="305">
        <v>2022</v>
      </c>
      <c r="J151" s="306">
        <v>7</v>
      </c>
      <c r="K151" s="306" t="s">
        <v>32</v>
      </c>
      <c r="L151" s="306">
        <v>17198</v>
      </c>
      <c r="M151" s="306">
        <v>16437</v>
      </c>
      <c r="N151" s="306">
        <v>71</v>
      </c>
      <c r="O151" s="306">
        <v>266</v>
      </c>
      <c r="P151" s="306">
        <v>23</v>
      </c>
      <c r="Q151" s="306">
        <v>11</v>
      </c>
      <c r="R151" s="24"/>
      <c r="S151" s="24"/>
      <c r="T151" s="24"/>
      <c r="W151" s="24">
        <v>2022</v>
      </c>
      <c r="X151" s="24">
        <v>7</v>
      </c>
      <c r="Y151" s="24" t="s">
        <v>33</v>
      </c>
      <c r="Z151" s="24">
        <v>317881</v>
      </c>
      <c r="AA151" s="24">
        <v>209741</v>
      </c>
      <c r="AB151" s="24">
        <v>686</v>
      </c>
      <c r="AC151" s="24">
        <v>79</v>
      </c>
      <c r="AD151" s="297"/>
      <c r="AE151" s="297"/>
      <c r="AF151" s="297"/>
      <c r="AG151" s="297"/>
      <c r="AH151" s="297"/>
      <c r="AI151" s="24"/>
      <c r="AJ151" s="24"/>
      <c r="AK151" s="24">
        <v>2022</v>
      </c>
      <c r="AL151" s="24">
        <v>7</v>
      </c>
      <c r="AM151" s="24">
        <v>17436.93</v>
      </c>
      <c r="AN151" s="24">
        <v>2418.85</v>
      </c>
      <c r="AO151" s="24">
        <v>0</v>
      </c>
      <c r="AP151" s="24">
        <v>416</v>
      </c>
      <c r="AQ151" s="24">
        <v>0</v>
      </c>
      <c r="AR151" s="24">
        <v>3</v>
      </c>
      <c r="AS151" s="24" t="s">
        <v>33</v>
      </c>
      <c r="AT151" s="24"/>
      <c r="AU151" s="24">
        <v>2022</v>
      </c>
      <c r="AV151" s="24">
        <v>7</v>
      </c>
      <c r="AW151" s="24">
        <v>0.04</v>
      </c>
      <c r="AX151" s="24">
        <v>13100</v>
      </c>
      <c r="AY151" s="24">
        <v>317917</v>
      </c>
      <c r="AZ151" s="24" t="s">
        <v>33</v>
      </c>
      <c r="BA151" s="24"/>
      <c r="BB151" s="24"/>
      <c r="BC151" s="24">
        <v>2022</v>
      </c>
      <c r="BD151" s="24">
        <v>7</v>
      </c>
      <c r="BE151" s="24">
        <v>2509.4741428571397</v>
      </c>
      <c r="BF151" s="24" t="s">
        <v>33</v>
      </c>
      <c r="BG151" s="24"/>
      <c r="BI151" s="24">
        <v>2022</v>
      </c>
      <c r="BJ151" s="24">
        <v>34</v>
      </c>
      <c r="BK151" s="24" t="s">
        <v>32</v>
      </c>
      <c r="BL151" s="24" t="s">
        <v>272</v>
      </c>
      <c r="BM151" s="24">
        <v>3018</v>
      </c>
      <c r="BN151" s="24">
        <v>3016</v>
      </c>
      <c r="BO151" s="24">
        <v>10517</v>
      </c>
      <c r="BR151" s="24">
        <v>2022</v>
      </c>
      <c r="BS151" s="24">
        <v>7</v>
      </c>
      <c r="BT151" s="24">
        <v>316906</v>
      </c>
      <c r="BU151" s="24">
        <v>3</v>
      </c>
      <c r="BV151" s="24" t="s">
        <v>33</v>
      </c>
      <c r="BY151" s="24">
        <v>2022</v>
      </c>
      <c r="BZ151" s="24">
        <v>9</v>
      </c>
      <c r="CA151" s="24" t="s">
        <v>32</v>
      </c>
      <c r="CB151" s="24" t="s">
        <v>423</v>
      </c>
      <c r="CC151" s="24">
        <v>1</v>
      </c>
      <c r="CF151" s="24">
        <v>2022</v>
      </c>
      <c r="CG151" s="24">
        <v>7</v>
      </c>
      <c r="CH151" s="24" t="s">
        <v>33</v>
      </c>
      <c r="CI151" s="24">
        <v>136.03303547251556</v>
      </c>
      <c r="CJ151" s="24">
        <v>301422</v>
      </c>
      <c r="CK151" s="24">
        <v>2215.8000000000002</v>
      </c>
      <c r="CL151" s="24">
        <v>112.82442748091603</v>
      </c>
      <c r="CM151" s="24">
        <v>155224</v>
      </c>
      <c r="CN151" s="24">
        <v>288210</v>
      </c>
      <c r="CO151" s="24">
        <v>2554.5</v>
      </c>
      <c r="CP151" s="24">
        <v>58311</v>
      </c>
      <c r="CQ151" s="24">
        <v>425</v>
      </c>
      <c r="CR151" s="24">
        <v>1410.6</v>
      </c>
      <c r="CS151" s="24">
        <v>202200</v>
      </c>
      <c r="CT151" s="24">
        <v>202200</v>
      </c>
      <c r="CU151" s="24">
        <v>1680.4</v>
      </c>
      <c r="CV151" s="24">
        <v>51869</v>
      </c>
      <c r="CW151" s="24">
        <v>0</v>
      </c>
      <c r="CX151" s="24">
        <v>206739</v>
      </c>
      <c r="CY151" s="24">
        <v>988.1</v>
      </c>
      <c r="CZ151" s="24">
        <v>44804</v>
      </c>
      <c r="DA151" s="24">
        <v>1410.6</v>
      </c>
      <c r="DD151" s="24">
        <v>2022</v>
      </c>
      <c r="DE151" s="24">
        <v>7</v>
      </c>
      <c r="DF151" s="24" t="s">
        <v>33</v>
      </c>
      <c r="DG151" s="24">
        <v>64940</v>
      </c>
      <c r="DH151" s="24">
        <v>32644</v>
      </c>
      <c r="DJ151" s="24">
        <v>2022</v>
      </c>
      <c r="DK151" s="24">
        <v>6</v>
      </c>
      <c r="DL151" s="24" t="s">
        <v>32</v>
      </c>
      <c r="DM151" s="24">
        <v>18</v>
      </c>
      <c r="DP151" s="24">
        <v>2021</v>
      </c>
      <c r="DQ151" s="24">
        <v>29</v>
      </c>
      <c r="DR151" s="24" t="s">
        <v>33</v>
      </c>
      <c r="DS151" s="24">
        <v>25831</v>
      </c>
      <c r="DT151" s="24">
        <v>877</v>
      </c>
      <c r="DW151" s="24">
        <v>2022</v>
      </c>
      <c r="DX151" s="24">
        <v>25</v>
      </c>
      <c r="DY151" s="24" t="s">
        <v>33</v>
      </c>
      <c r="DZ151" s="24">
        <v>15</v>
      </c>
      <c r="EA151" s="24" t="s">
        <v>562</v>
      </c>
      <c r="EB151" s="24">
        <v>356.4</v>
      </c>
      <c r="EC151" s="24">
        <v>0.2</v>
      </c>
      <c r="ED151" s="24">
        <v>38</v>
      </c>
      <c r="EE151" s="24">
        <v>14536</v>
      </c>
      <c r="EF151" s="24">
        <v>38</v>
      </c>
      <c r="EI151" s="24">
        <v>2023</v>
      </c>
      <c r="EJ151" s="24">
        <v>6</v>
      </c>
      <c r="EK151" s="24" t="s">
        <v>237</v>
      </c>
      <c r="EL151" s="24" t="s">
        <v>240</v>
      </c>
      <c r="EM151" s="24" t="s">
        <v>210</v>
      </c>
      <c r="EN151" s="24">
        <v>23</v>
      </c>
      <c r="EO151" s="24"/>
      <c r="EP151" s="24"/>
      <c r="EQ151" s="24"/>
      <c r="ER151" s="24"/>
      <c r="ES151" s="24">
        <v>2022</v>
      </c>
      <c r="ET151" s="24">
        <v>11</v>
      </c>
      <c r="EU151" s="24" t="s">
        <v>32</v>
      </c>
      <c r="EV151" s="24">
        <v>9331</v>
      </c>
      <c r="EY151" s="24">
        <v>2022</v>
      </c>
      <c r="EZ151" s="24">
        <v>10</v>
      </c>
      <c r="FA151" s="24" t="s">
        <v>33</v>
      </c>
      <c r="FB151" s="24">
        <v>1318</v>
      </c>
      <c r="FE151" s="24">
        <v>2022</v>
      </c>
      <c r="FF151" s="24">
        <v>7</v>
      </c>
      <c r="FG151" s="24" t="s">
        <v>33</v>
      </c>
      <c r="FH151" s="24">
        <v>0.89250000000000007</v>
      </c>
      <c r="FI151" s="24">
        <v>14789</v>
      </c>
      <c r="FJ151" s="24">
        <v>6780</v>
      </c>
      <c r="FK151" s="24">
        <v>7641</v>
      </c>
      <c r="FN151" s="24">
        <v>2022</v>
      </c>
      <c r="FO151" s="24">
        <v>8</v>
      </c>
      <c r="FP151" s="24" t="s">
        <v>33</v>
      </c>
      <c r="FQ151" s="24">
        <v>940315</v>
      </c>
      <c r="FR151" s="24">
        <v>8164.55</v>
      </c>
      <c r="FS151" s="24">
        <v>411364</v>
      </c>
      <c r="FT151" s="24">
        <v>2998.8333333333298</v>
      </c>
      <c r="FW151" s="24">
        <v>2022</v>
      </c>
      <c r="FX151" s="24">
        <v>7</v>
      </c>
      <c r="FY151" s="24" t="s">
        <v>33</v>
      </c>
      <c r="FZ151" s="24">
        <v>16801</v>
      </c>
      <c r="GA151" s="24">
        <v>15209</v>
      </c>
      <c r="GB151" s="24"/>
      <c r="GC151" s="24"/>
      <c r="GD151" s="24">
        <v>2022</v>
      </c>
      <c r="GE151" s="24">
        <v>7</v>
      </c>
      <c r="GF151" s="24" t="s">
        <v>33</v>
      </c>
      <c r="GG151" s="24">
        <v>16615</v>
      </c>
      <c r="GH151" s="24">
        <v>15493</v>
      </c>
      <c r="GK151" s="24"/>
      <c r="GL151" s="24"/>
      <c r="GM151" s="24"/>
      <c r="GN151" s="24"/>
      <c r="GO151" s="24"/>
      <c r="GP151" s="24">
        <v>2022</v>
      </c>
      <c r="GQ151" s="24">
        <v>7</v>
      </c>
      <c r="GR151" s="24">
        <v>7.2762857142857102</v>
      </c>
      <c r="GS151" s="24" t="s">
        <v>33</v>
      </c>
      <c r="GX151">
        <v>2022</v>
      </c>
      <c r="GY151">
        <v>7</v>
      </c>
      <c r="GZ151" t="s">
        <v>33</v>
      </c>
      <c r="HA151">
        <v>316364</v>
      </c>
      <c r="HB151">
        <v>296037</v>
      </c>
      <c r="HC151">
        <v>734</v>
      </c>
      <c r="HD151">
        <v>1539</v>
      </c>
      <c r="HE151">
        <v>1</v>
      </c>
      <c r="HF151">
        <v>7131</v>
      </c>
      <c r="HG151">
        <v>0</v>
      </c>
      <c r="HH151">
        <v>1</v>
      </c>
      <c r="HI151">
        <v>2457</v>
      </c>
      <c r="HL151">
        <v>2022</v>
      </c>
      <c r="HM151">
        <v>7</v>
      </c>
      <c r="HN151" t="s">
        <v>33</v>
      </c>
      <c r="HO151">
        <v>317653</v>
      </c>
      <c r="HP151">
        <v>305292</v>
      </c>
      <c r="HQ151">
        <v>713</v>
      </c>
      <c r="HR151">
        <v>1236</v>
      </c>
      <c r="HS151">
        <v>1</v>
      </c>
      <c r="HT151">
        <v>7643</v>
      </c>
      <c r="HU151">
        <v>0</v>
      </c>
      <c r="HV151">
        <v>1</v>
      </c>
      <c r="HW151">
        <v>686</v>
      </c>
      <c r="HZ151" s="24">
        <v>2022</v>
      </c>
      <c r="IA151" s="24">
        <v>7</v>
      </c>
      <c r="IB151" s="24" t="s">
        <v>33</v>
      </c>
      <c r="IC151" s="24">
        <v>16567</v>
      </c>
      <c r="ID151" s="24">
        <v>15455</v>
      </c>
      <c r="IG151" s="24">
        <v>2022</v>
      </c>
      <c r="IH151" s="24">
        <v>7</v>
      </c>
      <c r="II151" s="24" t="s">
        <v>33</v>
      </c>
      <c r="IJ151" s="24">
        <v>15609</v>
      </c>
      <c r="IK151" s="24">
        <v>15320</v>
      </c>
    </row>
    <row r="152" spans="9:245" x14ac:dyDescent="0.4">
      <c r="I152" s="305">
        <v>2022</v>
      </c>
      <c r="J152" s="306">
        <v>7</v>
      </c>
      <c r="K152" s="306" t="s">
        <v>33</v>
      </c>
      <c r="L152" s="306">
        <v>318589</v>
      </c>
      <c r="M152" s="306">
        <v>208244</v>
      </c>
      <c r="N152" s="306">
        <v>2069</v>
      </c>
      <c r="O152" s="306">
        <v>19061</v>
      </c>
      <c r="P152" s="306">
        <v>995</v>
      </c>
      <c r="Q152" s="306">
        <v>68</v>
      </c>
      <c r="R152" s="24"/>
      <c r="S152" s="24"/>
      <c r="T152" s="24"/>
      <c r="W152" s="24">
        <v>2022</v>
      </c>
      <c r="X152" s="24">
        <v>6</v>
      </c>
      <c r="Y152" s="24" t="s">
        <v>32</v>
      </c>
      <c r="Z152" s="24">
        <v>17507</v>
      </c>
      <c r="AA152" s="24">
        <v>16826</v>
      </c>
      <c r="AB152" s="24">
        <v>20</v>
      </c>
      <c r="AC152" s="24">
        <v>5</v>
      </c>
      <c r="AD152" s="297"/>
      <c r="AE152" s="297"/>
      <c r="AF152" s="297"/>
      <c r="AG152" s="297"/>
      <c r="AH152" s="297"/>
      <c r="AI152" s="24"/>
      <c r="AJ152" s="24"/>
      <c r="AK152" s="24">
        <v>2022</v>
      </c>
      <c r="AL152" s="24">
        <v>6</v>
      </c>
      <c r="AM152" s="24">
        <v>632.63</v>
      </c>
      <c r="AN152" s="24">
        <v>89.87</v>
      </c>
      <c r="AO152" s="24">
        <v>0</v>
      </c>
      <c r="AP152" s="24">
        <v>14</v>
      </c>
      <c r="AQ152" s="24">
        <v>0</v>
      </c>
      <c r="AR152" s="24">
        <v>0</v>
      </c>
      <c r="AS152" s="24" t="s">
        <v>32</v>
      </c>
      <c r="AT152" s="24"/>
      <c r="AU152" s="24">
        <v>2022</v>
      </c>
      <c r="AV152" s="24">
        <v>6</v>
      </c>
      <c r="AW152" s="24">
        <v>0.26</v>
      </c>
      <c r="AX152" s="24">
        <v>4700</v>
      </c>
      <c r="AY152" s="24">
        <v>18182</v>
      </c>
      <c r="AZ152" s="24" t="s">
        <v>32</v>
      </c>
      <c r="BA152" s="24"/>
      <c r="BB152" s="24"/>
      <c r="BC152" s="24">
        <v>2022</v>
      </c>
      <c r="BD152" s="24">
        <v>6</v>
      </c>
      <c r="BE152" s="24">
        <v>237.54314285714298</v>
      </c>
      <c r="BF152" s="24" t="s">
        <v>32</v>
      </c>
      <c r="BG152" s="24"/>
      <c r="BI152" s="24">
        <v>2022</v>
      </c>
      <c r="BJ152" s="24">
        <v>34</v>
      </c>
      <c r="BK152" s="24" t="s">
        <v>33</v>
      </c>
      <c r="BL152" s="24" t="s">
        <v>273</v>
      </c>
      <c r="BM152" s="24">
        <v>95402</v>
      </c>
      <c r="BN152" s="24">
        <v>94694</v>
      </c>
      <c r="BO152" s="24">
        <v>97997</v>
      </c>
      <c r="BR152" s="24">
        <v>2022</v>
      </c>
      <c r="BS152" s="24">
        <v>6</v>
      </c>
      <c r="BT152" s="24">
        <v>18083</v>
      </c>
      <c r="BU152" s="24">
        <v>0</v>
      </c>
      <c r="BV152" s="24" t="s">
        <v>32</v>
      </c>
      <c r="BY152" s="24">
        <v>2022</v>
      </c>
      <c r="BZ152" s="24">
        <v>9</v>
      </c>
      <c r="CA152" s="24" t="s">
        <v>33</v>
      </c>
      <c r="CB152" s="24" t="s">
        <v>108</v>
      </c>
      <c r="CC152" s="24">
        <v>9</v>
      </c>
      <c r="CF152" s="24">
        <v>2022</v>
      </c>
      <c r="CG152" s="24">
        <v>6</v>
      </c>
      <c r="CH152" s="24" t="s">
        <v>32</v>
      </c>
      <c r="CI152" s="24">
        <v>103.92156862745098</v>
      </c>
      <c r="CJ152" s="24">
        <v>13780</v>
      </c>
      <c r="CK152" s="24">
        <v>132.6</v>
      </c>
      <c r="CL152" s="24">
        <v>54.857288481141694</v>
      </c>
      <c r="CM152" s="24">
        <v>10802</v>
      </c>
      <c r="CN152" s="24">
        <v>21526</v>
      </c>
      <c r="CO152" s="24">
        <v>392.4</v>
      </c>
      <c r="CP152" s="24">
        <v>8860</v>
      </c>
      <c r="CQ152" s="24">
        <v>66.900000000000006</v>
      </c>
      <c r="CR152" s="24">
        <v>234.3</v>
      </c>
      <c r="CS152" s="24">
        <v>12452</v>
      </c>
      <c r="CT152" s="24">
        <v>12452</v>
      </c>
      <c r="CU152" s="24">
        <v>410.2</v>
      </c>
      <c r="CV152" s="24">
        <v>3154</v>
      </c>
      <c r="CW152" s="24">
        <v>0</v>
      </c>
      <c r="CX152" s="24">
        <v>8966</v>
      </c>
      <c r="CY152" s="24">
        <v>82.8</v>
      </c>
      <c r="CZ152" s="24">
        <v>7124</v>
      </c>
      <c r="DA152" s="24">
        <v>234.3</v>
      </c>
      <c r="DD152" s="24">
        <v>2022</v>
      </c>
      <c r="DE152" s="24">
        <v>6</v>
      </c>
      <c r="DF152" s="24" t="s">
        <v>32</v>
      </c>
      <c r="DG152" s="24">
        <v>6578</v>
      </c>
      <c r="DH152" s="24">
        <v>3991</v>
      </c>
      <c r="DJ152" s="24">
        <v>2022</v>
      </c>
      <c r="DK152" s="24">
        <v>6</v>
      </c>
      <c r="DL152" s="24" t="s">
        <v>33</v>
      </c>
      <c r="DM152" s="24">
        <v>703</v>
      </c>
      <c r="DP152" s="24">
        <v>2021</v>
      </c>
      <c r="DQ152" s="24">
        <v>28</v>
      </c>
      <c r="DR152" s="24" t="s">
        <v>33</v>
      </c>
      <c r="DS152" s="24">
        <v>21981</v>
      </c>
      <c r="DT152" s="24">
        <v>658</v>
      </c>
      <c r="DW152" s="24">
        <v>2022</v>
      </c>
      <c r="DX152" s="24">
        <v>25</v>
      </c>
      <c r="DY152" s="24" t="s">
        <v>33</v>
      </c>
      <c r="DZ152" s="24">
        <v>67</v>
      </c>
      <c r="EA152" s="24" t="s">
        <v>149</v>
      </c>
      <c r="EB152" s="24">
        <v>125</v>
      </c>
      <c r="EC152" s="24">
        <v>1632.5</v>
      </c>
      <c r="ED152" s="24">
        <v>51783</v>
      </c>
      <c r="EE152" s="24">
        <v>54906</v>
      </c>
      <c r="EF152" s="24">
        <v>104.2</v>
      </c>
      <c r="EI152" s="24">
        <v>2023</v>
      </c>
      <c r="EJ152" s="24">
        <v>6</v>
      </c>
      <c r="EK152" s="24" t="s">
        <v>237</v>
      </c>
      <c r="EL152" s="24" t="s">
        <v>233</v>
      </c>
      <c r="EM152" s="24" t="s">
        <v>210</v>
      </c>
      <c r="EN152" s="24">
        <v>10</v>
      </c>
      <c r="EO152" s="24"/>
      <c r="EP152" s="24"/>
      <c r="EQ152" s="24"/>
      <c r="ER152" s="24"/>
      <c r="ES152" s="24">
        <v>2022</v>
      </c>
      <c r="ET152" s="24">
        <v>11</v>
      </c>
      <c r="EU152" s="24" t="s">
        <v>33</v>
      </c>
      <c r="EV152" s="24">
        <v>172921</v>
      </c>
      <c r="EY152" s="24">
        <v>2022</v>
      </c>
      <c r="EZ152" s="24">
        <v>9</v>
      </c>
      <c r="FA152" s="24" t="s">
        <v>32</v>
      </c>
      <c r="FB152" s="24">
        <v>743</v>
      </c>
      <c r="FE152" s="24">
        <v>2022</v>
      </c>
      <c r="FF152" s="24">
        <v>6</v>
      </c>
      <c r="FG152" s="24" t="s">
        <v>32</v>
      </c>
      <c r="FH152" s="24">
        <v>0.8821</v>
      </c>
      <c r="FI152" s="24">
        <v>470</v>
      </c>
      <c r="FJ152" s="24">
        <v>224</v>
      </c>
      <c r="FK152" s="24">
        <v>253</v>
      </c>
      <c r="FN152" s="24">
        <v>2022</v>
      </c>
      <c r="FO152" s="24">
        <v>7</v>
      </c>
      <c r="FP152" s="24" t="s">
        <v>32</v>
      </c>
      <c r="FQ152" s="24">
        <v>42991</v>
      </c>
      <c r="FR152" s="24">
        <v>850.11666666666599</v>
      </c>
      <c r="FS152" s="24">
        <v>35734</v>
      </c>
      <c r="FT152" s="24">
        <v>513.36666666666702</v>
      </c>
      <c r="FW152" s="24">
        <v>2022</v>
      </c>
      <c r="FX152" s="24">
        <v>6</v>
      </c>
      <c r="FY152" s="24" t="s">
        <v>32</v>
      </c>
      <c r="FZ152" s="24">
        <v>2879</v>
      </c>
      <c r="GA152" s="24">
        <v>2611</v>
      </c>
      <c r="GB152" s="24"/>
      <c r="GC152" s="24"/>
      <c r="GD152" s="24">
        <v>2022</v>
      </c>
      <c r="GE152" s="24">
        <v>6</v>
      </c>
      <c r="GF152" s="24" t="s">
        <v>32</v>
      </c>
      <c r="GG152" s="24">
        <v>2809</v>
      </c>
      <c r="GH152" s="24">
        <v>2474</v>
      </c>
      <c r="GK152" s="24"/>
      <c r="GL152" s="24"/>
      <c r="GM152" s="24"/>
      <c r="GN152" s="24"/>
      <c r="GO152" s="24"/>
      <c r="GP152" s="24">
        <v>2022</v>
      </c>
      <c r="GQ152" s="24">
        <v>6</v>
      </c>
      <c r="GR152" s="24">
        <v>2.9000000000000001E-2</v>
      </c>
      <c r="GS152" s="24" t="s">
        <v>32</v>
      </c>
      <c r="GX152">
        <v>2022</v>
      </c>
      <c r="GY152">
        <v>6</v>
      </c>
      <c r="GZ152" t="s">
        <v>32</v>
      </c>
      <c r="HA152">
        <v>17796</v>
      </c>
      <c r="HB152">
        <v>17093</v>
      </c>
      <c r="HC152">
        <v>3</v>
      </c>
      <c r="HD152">
        <v>14</v>
      </c>
      <c r="HE152">
        <v>2</v>
      </c>
      <c r="HF152">
        <v>224</v>
      </c>
      <c r="HG152">
        <v>0</v>
      </c>
      <c r="HH152">
        <v>0</v>
      </c>
      <c r="HI152">
        <v>97</v>
      </c>
      <c r="HL152">
        <v>2022</v>
      </c>
      <c r="HM152">
        <v>6</v>
      </c>
      <c r="HN152" t="s">
        <v>32</v>
      </c>
      <c r="HO152">
        <v>17410</v>
      </c>
      <c r="HP152">
        <v>17000</v>
      </c>
      <c r="HQ152">
        <v>1</v>
      </c>
      <c r="HR152">
        <v>6</v>
      </c>
      <c r="HS152">
        <v>1</v>
      </c>
      <c r="HT152">
        <v>255</v>
      </c>
      <c r="HU152">
        <v>0</v>
      </c>
      <c r="HV152">
        <v>0</v>
      </c>
      <c r="HW152">
        <v>15</v>
      </c>
      <c r="HZ152" s="24">
        <v>2022</v>
      </c>
      <c r="IA152" s="24">
        <v>6</v>
      </c>
      <c r="IB152" s="24" t="s">
        <v>32</v>
      </c>
      <c r="IC152" s="24">
        <v>2862</v>
      </c>
      <c r="ID152" s="24">
        <v>2567</v>
      </c>
      <c r="IG152" s="24">
        <v>2022</v>
      </c>
      <c r="IH152" s="24">
        <v>6</v>
      </c>
      <c r="II152" s="24" t="s">
        <v>32</v>
      </c>
      <c r="IJ152" s="24">
        <v>2735</v>
      </c>
      <c r="IK152" s="24">
        <v>2580</v>
      </c>
    </row>
    <row r="153" spans="9:245" x14ac:dyDescent="0.4">
      <c r="I153" s="305">
        <v>2022</v>
      </c>
      <c r="J153" s="306">
        <v>6</v>
      </c>
      <c r="K153" s="306" t="s">
        <v>32</v>
      </c>
      <c r="L153" s="306">
        <v>17679</v>
      </c>
      <c r="M153" s="306">
        <v>16990</v>
      </c>
      <c r="N153" s="306">
        <v>70</v>
      </c>
      <c r="O153" s="306">
        <v>278</v>
      </c>
      <c r="P153" s="306">
        <v>76</v>
      </c>
      <c r="Q153" s="306">
        <v>5</v>
      </c>
      <c r="R153" s="24"/>
      <c r="S153" s="24"/>
      <c r="T153" s="24"/>
      <c r="W153" s="24">
        <v>2022</v>
      </c>
      <c r="X153" s="24">
        <v>6</v>
      </c>
      <c r="Y153" s="24" t="s">
        <v>33</v>
      </c>
      <c r="Z153" s="24">
        <v>330999</v>
      </c>
      <c r="AA153" s="24">
        <v>199800</v>
      </c>
      <c r="AB153" s="24">
        <v>931</v>
      </c>
      <c r="AC153" s="24">
        <v>63</v>
      </c>
      <c r="AD153" s="297"/>
      <c r="AE153" s="297"/>
      <c r="AF153" s="297"/>
      <c r="AG153" s="297"/>
      <c r="AH153" s="297"/>
      <c r="AI153" s="24"/>
      <c r="AJ153" s="24"/>
      <c r="AK153" s="24">
        <v>2022</v>
      </c>
      <c r="AL153" s="24">
        <v>6</v>
      </c>
      <c r="AM153" s="24">
        <v>17376.53</v>
      </c>
      <c r="AN153" s="24">
        <v>2579.77</v>
      </c>
      <c r="AO153" s="24">
        <v>0</v>
      </c>
      <c r="AP153" s="24">
        <v>401</v>
      </c>
      <c r="AQ153" s="24">
        <v>0</v>
      </c>
      <c r="AR153" s="24">
        <v>4</v>
      </c>
      <c r="AS153" s="24" t="s">
        <v>33</v>
      </c>
      <c r="AT153" s="24"/>
      <c r="AU153" s="24">
        <v>2022</v>
      </c>
      <c r="AV153" s="24">
        <v>6</v>
      </c>
      <c r="AW153" s="24">
        <v>0.03</v>
      </c>
      <c r="AX153" s="24">
        <v>9900</v>
      </c>
      <c r="AY153" s="24">
        <v>333422</v>
      </c>
      <c r="AZ153" s="24" t="s">
        <v>33</v>
      </c>
      <c r="BA153" s="24"/>
      <c r="BB153" s="24"/>
      <c r="BC153" s="24">
        <v>2022</v>
      </c>
      <c r="BD153" s="24">
        <v>6</v>
      </c>
      <c r="BE153" s="24">
        <v>2518.9531428571399</v>
      </c>
      <c r="BF153" s="24" t="s">
        <v>33</v>
      </c>
      <c r="BG153" s="24"/>
      <c r="BI153" s="24">
        <v>2022</v>
      </c>
      <c r="BJ153" s="24">
        <v>34</v>
      </c>
      <c r="BK153" s="24" t="s">
        <v>33</v>
      </c>
      <c r="BL153" s="24" t="s">
        <v>272</v>
      </c>
      <c r="BM153" s="24">
        <v>58395</v>
      </c>
      <c r="BN153" s="24">
        <v>58346</v>
      </c>
      <c r="BO153" s="24">
        <v>217245</v>
      </c>
      <c r="BR153" s="24">
        <v>2022</v>
      </c>
      <c r="BS153" s="24">
        <v>6</v>
      </c>
      <c r="BT153" s="24">
        <v>332446</v>
      </c>
      <c r="BU153" s="24">
        <v>5</v>
      </c>
      <c r="BV153" s="24" t="s">
        <v>33</v>
      </c>
      <c r="BY153" s="24">
        <v>2022</v>
      </c>
      <c r="BZ153" s="24">
        <v>9</v>
      </c>
      <c r="CA153" s="24" t="s">
        <v>33</v>
      </c>
      <c r="CB153" s="24" t="s">
        <v>423</v>
      </c>
      <c r="CC153" s="24">
        <v>77</v>
      </c>
      <c r="CF153" s="24">
        <v>2022</v>
      </c>
      <c r="CG153" s="24">
        <v>6</v>
      </c>
      <c r="CH153" s="24" t="s">
        <v>33</v>
      </c>
      <c r="CI153" s="24">
        <v>130.73347618262733</v>
      </c>
      <c r="CJ153" s="24">
        <v>317264</v>
      </c>
      <c r="CK153" s="24">
        <v>2426.8000000000002</v>
      </c>
      <c r="CL153" s="24">
        <v>113.69907476496046</v>
      </c>
      <c r="CM153" s="24">
        <v>159591</v>
      </c>
      <c r="CN153" s="24">
        <v>304759</v>
      </c>
      <c r="CO153" s="24">
        <v>2680.4</v>
      </c>
      <c r="CP153" s="24">
        <v>49654</v>
      </c>
      <c r="CQ153" s="24">
        <v>231.5</v>
      </c>
      <c r="CR153" s="24">
        <v>1322.6</v>
      </c>
      <c r="CS153" s="24">
        <v>173921</v>
      </c>
      <c r="CT153" s="24">
        <v>173921</v>
      </c>
      <c r="CU153" s="24">
        <v>1646.4</v>
      </c>
      <c r="CV153" s="24">
        <v>47492</v>
      </c>
      <c r="CW153" s="24">
        <v>0</v>
      </c>
      <c r="CX153" s="24">
        <v>158587</v>
      </c>
      <c r="CY153" s="24">
        <v>908.4</v>
      </c>
      <c r="CZ153" s="24">
        <v>42866</v>
      </c>
      <c r="DA153" s="24">
        <v>1322.6</v>
      </c>
      <c r="DD153" s="24">
        <v>2022</v>
      </c>
      <c r="DE153" s="24">
        <v>6</v>
      </c>
      <c r="DF153" s="24" t="s">
        <v>33</v>
      </c>
      <c r="DG153" s="24">
        <v>87584</v>
      </c>
      <c r="DH153" s="24">
        <v>25704</v>
      </c>
      <c r="DJ153" s="24">
        <v>2022</v>
      </c>
      <c r="DK153" s="24">
        <v>5</v>
      </c>
      <c r="DL153" s="24" t="s">
        <v>32</v>
      </c>
      <c r="DM153" s="24">
        <v>5</v>
      </c>
      <c r="DP153" s="24">
        <v>2021</v>
      </c>
      <c r="DQ153" s="24">
        <v>27</v>
      </c>
      <c r="DR153" s="24" t="s">
        <v>33</v>
      </c>
      <c r="DS153" s="24">
        <v>22570</v>
      </c>
      <c r="DT153" s="24">
        <v>735</v>
      </c>
      <c r="DW153" s="24">
        <v>2022</v>
      </c>
      <c r="DX153" s="24">
        <v>24</v>
      </c>
      <c r="DY153" s="24" t="s">
        <v>32</v>
      </c>
      <c r="DZ153" s="24">
        <v>1</v>
      </c>
      <c r="EA153" s="24" t="s">
        <v>149</v>
      </c>
      <c r="EB153" s="24">
        <v>39.5</v>
      </c>
      <c r="EC153" s="24">
        <v>0.1</v>
      </c>
      <c r="ED153" s="24"/>
      <c r="EE153" s="24">
        <v>1411</v>
      </c>
      <c r="EF153" s="24">
        <v>0</v>
      </c>
      <c r="EI153" s="24">
        <v>2023</v>
      </c>
      <c r="EJ153" s="24">
        <v>6</v>
      </c>
      <c r="EK153" s="24" t="s">
        <v>237</v>
      </c>
      <c r="EL153" s="24" t="s">
        <v>554</v>
      </c>
      <c r="EM153" s="24" t="s">
        <v>210</v>
      </c>
      <c r="EN153" s="24">
        <v>6</v>
      </c>
      <c r="EO153" s="24"/>
      <c r="EP153" s="24"/>
      <c r="EQ153" s="24"/>
      <c r="ER153" s="24"/>
      <c r="ES153" s="24">
        <v>2022</v>
      </c>
      <c r="ET153" s="24">
        <v>11</v>
      </c>
      <c r="EU153" s="24" t="s">
        <v>213</v>
      </c>
      <c r="EV153" s="24">
        <v>1</v>
      </c>
      <c r="EY153" s="24">
        <v>2022</v>
      </c>
      <c r="EZ153" s="24">
        <v>9</v>
      </c>
      <c r="FA153" s="24" t="s">
        <v>33</v>
      </c>
      <c r="FB153" s="24">
        <v>697</v>
      </c>
      <c r="FE153" s="24">
        <v>2022</v>
      </c>
      <c r="FF153" s="24">
        <v>6</v>
      </c>
      <c r="FG153" s="24" t="s">
        <v>33</v>
      </c>
      <c r="FH153" s="24">
        <v>0.9103</v>
      </c>
      <c r="FI153" s="24">
        <v>15703</v>
      </c>
      <c r="FJ153" s="24">
        <v>7165</v>
      </c>
      <c r="FK153" s="24">
        <v>7931</v>
      </c>
      <c r="FN153" s="24">
        <v>2022</v>
      </c>
      <c r="FO153" s="24">
        <v>7</v>
      </c>
      <c r="FP153" s="24" t="s">
        <v>33</v>
      </c>
      <c r="FQ153" s="24">
        <v>940207</v>
      </c>
      <c r="FR153" s="24">
        <v>8234.8000000000011</v>
      </c>
      <c r="FS153" s="24">
        <v>489715</v>
      </c>
      <c r="FT153" s="24">
        <v>3286</v>
      </c>
      <c r="FW153" s="24">
        <v>2022</v>
      </c>
      <c r="FX153" s="24">
        <v>6</v>
      </c>
      <c r="FY153" s="24" t="s">
        <v>33</v>
      </c>
      <c r="FZ153" s="24">
        <v>17775</v>
      </c>
      <c r="GA153" s="24">
        <v>15833</v>
      </c>
      <c r="GB153" s="24"/>
      <c r="GC153" s="24"/>
      <c r="GD153" s="24">
        <v>2022</v>
      </c>
      <c r="GE153" s="24">
        <v>6</v>
      </c>
      <c r="GF153" s="24" t="s">
        <v>33</v>
      </c>
      <c r="GG153" s="24">
        <v>17753</v>
      </c>
      <c r="GH153" s="24">
        <v>16212</v>
      </c>
      <c r="GK153" s="24"/>
      <c r="GL153" s="24"/>
      <c r="GM153" s="24"/>
      <c r="GN153" s="24"/>
      <c r="GO153" s="24"/>
      <c r="GP153" s="24">
        <v>2022</v>
      </c>
      <c r="GQ153" s="24">
        <v>6</v>
      </c>
      <c r="GR153" s="24">
        <v>7.2365714285714304</v>
      </c>
      <c r="GS153" s="24" t="s">
        <v>33</v>
      </c>
      <c r="GX153">
        <v>2022</v>
      </c>
      <c r="GY153">
        <v>6</v>
      </c>
      <c r="GZ153" t="s">
        <v>33</v>
      </c>
      <c r="HA153">
        <v>330083</v>
      </c>
      <c r="HB153">
        <v>298894</v>
      </c>
      <c r="HC153">
        <v>1040</v>
      </c>
      <c r="HD153">
        <v>2073</v>
      </c>
      <c r="HE153">
        <v>0</v>
      </c>
      <c r="HF153">
        <v>18378</v>
      </c>
      <c r="HG153">
        <v>0</v>
      </c>
      <c r="HH153">
        <v>2</v>
      </c>
      <c r="HI153">
        <v>2518</v>
      </c>
      <c r="HL153">
        <v>2022</v>
      </c>
      <c r="HM153">
        <v>6</v>
      </c>
      <c r="HN153" t="s">
        <v>33</v>
      </c>
      <c r="HO153">
        <v>329732</v>
      </c>
      <c r="HP153">
        <v>308169</v>
      </c>
      <c r="HQ153">
        <v>856</v>
      </c>
      <c r="HR153">
        <v>1608</v>
      </c>
      <c r="HS153">
        <v>0</v>
      </c>
      <c r="HT153">
        <v>17077</v>
      </c>
      <c r="HU153">
        <v>0</v>
      </c>
      <c r="HV153">
        <v>2</v>
      </c>
      <c r="HW153">
        <v>1168</v>
      </c>
      <c r="HZ153" s="24">
        <v>2022</v>
      </c>
      <c r="IA153" s="24">
        <v>6</v>
      </c>
      <c r="IB153" s="24" t="s">
        <v>33</v>
      </c>
      <c r="IC153" s="24">
        <v>18168</v>
      </c>
      <c r="ID153" s="24">
        <v>16748</v>
      </c>
      <c r="IG153" s="24">
        <v>2022</v>
      </c>
      <c r="IH153" s="24">
        <v>6</v>
      </c>
      <c r="II153" s="24" t="s">
        <v>33</v>
      </c>
      <c r="IJ153" s="24">
        <v>16470</v>
      </c>
      <c r="IK153" s="24">
        <v>16069</v>
      </c>
    </row>
    <row r="154" spans="9:245" x14ac:dyDescent="0.4">
      <c r="I154" s="305">
        <v>2022</v>
      </c>
      <c r="J154" s="306">
        <v>6</v>
      </c>
      <c r="K154" s="306" t="s">
        <v>33</v>
      </c>
      <c r="L154" s="306">
        <v>332715</v>
      </c>
      <c r="M154" s="306">
        <v>199011</v>
      </c>
      <c r="N154" s="306">
        <v>2162</v>
      </c>
      <c r="O154" s="306">
        <v>23053</v>
      </c>
      <c r="P154" s="306">
        <v>1130</v>
      </c>
      <c r="Q154" s="306">
        <v>84</v>
      </c>
      <c r="R154" s="24"/>
      <c r="S154" s="24"/>
      <c r="T154" s="24"/>
      <c r="W154" s="24">
        <v>2022</v>
      </c>
      <c r="X154" s="24">
        <v>5</v>
      </c>
      <c r="Y154" s="24" t="s">
        <v>32</v>
      </c>
      <c r="Z154" s="24">
        <v>16186</v>
      </c>
      <c r="AA154" s="24">
        <v>15853</v>
      </c>
      <c r="AB154" s="24">
        <v>14</v>
      </c>
      <c r="AC154" s="24">
        <v>13</v>
      </c>
      <c r="AD154" s="297"/>
      <c r="AE154" s="297"/>
      <c r="AF154" s="297"/>
      <c r="AG154" s="297"/>
      <c r="AH154" s="297"/>
      <c r="AI154" s="24"/>
      <c r="AJ154" s="24"/>
      <c r="AK154" s="24">
        <v>2022</v>
      </c>
      <c r="AL154" s="24">
        <v>5</v>
      </c>
      <c r="AM154" s="24">
        <v>594.82000000000005</v>
      </c>
      <c r="AN154" s="24">
        <v>66.849999999999994</v>
      </c>
      <c r="AO154" s="24">
        <v>0</v>
      </c>
      <c r="AP154" s="24">
        <v>14</v>
      </c>
      <c r="AQ154" s="24">
        <v>0</v>
      </c>
      <c r="AR154" s="24">
        <v>0</v>
      </c>
      <c r="AS154" s="24" t="s">
        <v>32</v>
      </c>
      <c r="AT154" s="24"/>
      <c r="AU154" s="24">
        <v>2022</v>
      </c>
      <c r="AV154" s="24">
        <v>5</v>
      </c>
      <c r="AW154" s="24">
        <v>0.14000000000000001</v>
      </c>
      <c r="AX154" s="24">
        <v>2400</v>
      </c>
      <c r="AY154" s="24">
        <v>16585</v>
      </c>
      <c r="AZ154" s="24" t="s">
        <v>32</v>
      </c>
      <c r="BA154" s="24"/>
      <c r="BB154" s="24"/>
      <c r="BC154" s="24">
        <v>2022</v>
      </c>
      <c r="BD154" s="24">
        <v>5</v>
      </c>
      <c r="BE154" s="24">
        <v>231.100142857143</v>
      </c>
      <c r="BF154" s="24" t="s">
        <v>32</v>
      </c>
      <c r="BG154" s="24"/>
      <c r="BI154" s="24">
        <v>2022</v>
      </c>
      <c r="BJ154" s="24">
        <v>33</v>
      </c>
      <c r="BK154" s="24" t="s">
        <v>33</v>
      </c>
      <c r="BL154" s="24" t="s">
        <v>273</v>
      </c>
      <c r="BM154" s="24">
        <v>90473</v>
      </c>
      <c r="BN154" s="24">
        <v>89722</v>
      </c>
      <c r="BO154" s="24">
        <v>92847</v>
      </c>
      <c r="BR154" s="24">
        <v>2022</v>
      </c>
      <c r="BS154" s="24">
        <v>5</v>
      </c>
      <c r="BT154" s="24">
        <v>16523</v>
      </c>
      <c r="BU154" s="24">
        <v>0</v>
      </c>
      <c r="BV154" s="24" t="s">
        <v>32</v>
      </c>
      <c r="BY154" s="24">
        <v>2022</v>
      </c>
      <c r="BZ154" s="24">
        <v>8</v>
      </c>
      <c r="CA154" s="24" t="s">
        <v>33</v>
      </c>
      <c r="CB154" s="24" t="s">
        <v>108</v>
      </c>
      <c r="CC154" s="24">
        <v>4</v>
      </c>
      <c r="CF154" s="24">
        <v>2022</v>
      </c>
      <c r="CG154" s="24">
        <v>5</v>
      </c>
      <c r="CH154" s="24" t="s">
        <v>32</v>
      </c>
      <c r="CI154" s="24">
        <v>101.34597156398104</v>
      </c>
      <c r="CJ154" s="24">
        <v>10692</v>
      </c>
      <c r="CK154" s="24">
        <v>105.5</v>
      </c>
      <c r="CL154" s="24">
        <v>58.373302513724354</v>
      </c>
      <c r="CM154" s="24">
        <v>10543</v>
      </c>
      <c r="CN154" s="24">
        <v>20203</v>
      </c>
      <c r="CO154" s="24">
        <v>346.1</v>
      </c>
      <c r="CP154" s="24">
        <v>8317</v>
      </c>
      <c r="CQ154" s="24">
        <v>54.3</v>
      </c>
      <c r="CR154" s="24">
        <v>222.8</v>
      </c>
      <c r="CS154" s="24">
        <v>10574</v>
      </c>
      <c r="CT154" s="24">
        <v>10574</v>
      </c>
      <c r="CU154" s="24">
        <v>361.1</v>
      </c>
      <c r="CV154" s="24">
        <v>1810</v>
      </c>
      <c r="CW154" s="24">
        <v>0</v>
      </c>
      <c r="CX154" s="24">
        <v>11548</v>
      </c>
      <c r="CY154" s="24">
        <v>101.6</v>
      </c>
      <c r="CZ154" s="24">
        <v>6999</v>
      </c>
      <c r="DA154" s="24">
        <v>222.8</v>
      </c>
      <c r="DD154" s="24">
        <v>2022</v>
      </c>
      <c r="DE154" s="24">
        <v>5</v>
      </c>
      <c r="DF154" s="24" t="s">
        <v>32</v>
      </c>
      <c r="DG154" s="24">
        <v>5369</v>
      </c>
      <c r="DH154" s="24">
        <v>2264</v>
      </c>
      <c r="DJ154" s="24">
        <v>2022</v>
      </c>
      <c r="DK154" s="24">
        <v>5</v>
      </c>
      <c r="DL154" s="24" t="s">
        <v>33</v>
      </c>
      <c r="DM154" s="24">
        <v>359</v>
      </c>
      <c r="DP154" s="24">
        <v>2021</v>
      </c>
      <c r="DQ154" s="24">
        <v>26</v>
      </c>
      <c r="DR154" s="24" t="s">
        <v>33</v>
      </c>
      <c r="DS154" s="24">
        <v>27310</v>
      </c>
      <c r="DT154" s="24">
        <v>602</v>
      </c>
      <c r="DW154" s="24">
        <v>2022</v>
      </c>
      <c r="DX154" s="24">
        <v>24</v>
      </c>
      <c r="DY154" s="24" t="s">
        <v>33</v>
      </c>
      <c r="DZ154" s="24">
        <v>15</v>
      </c>
      <c r="EA154" s="24" t="s">
        <v>562</v>
      </c>
      <c r="EB154" s="24">
        <v>295.60000000000002</v>
      </c>
      <c r="EC154" s="24">
        <v>24.3</v>
      </c>
      <c r="ED154" s="24"/>
      <c r="EE154" s="24">
        <v>11721</v>
      </c>
      <c r="EF154" s="24">
        <v>13.6</v>
      </c>
      <c r="EI154" s="24">
        <v>2023</v>
      </c>
      <c r="EJ154" s="24">
        <v>6</v>
      </c>
      <c r="EK154" s="24" t="s">
        <v>237</v>
      </c>
      <c r="EL154" s="24" t="s">
        <v>572</v>
      </c>
      <c r="EM154" s="24" t="s">
        <v>210</v>
      </c>
      <c r="EN154" s="24">
        <v>12</v>
      </c>
      <c r="EO154" s="24"/>
      <c r="EP154" s="24"/>
      <c r="EQ154" s="24"/>
      <c r="ER154" s="24"/>
      <c r="ES154" s="24">
        <v>2022</v>
      </c>
      <c r="ET154" s="24">
        <v>10</v>
      </c>
      <c r="EU154" s="24" t="s">
        <v>32</v>
      </c>
      <c r="EV154" s="24">
        <v>8387</v>
      </c>
      <c r="EY154" s="24">
        <v>2022</v>
      </c>
      <c r="EZ154" s="24">
        <v>8</v>
      </c>
      <c r="FA154" s="24" t="s">
        <v>32</v>
      </c>
      <c r="FB154" s="24">
        <v>1262</v>
      </c>
      <c r="FE154" s="24">
        <v>2022</v>
      </c>
      <c r="FF154" s="24">
        <v>5</v>
      </c>
      <c r="FG154" s="24" t="s">
        <v>32</v>
      </c>
      <c r="FH154" s="24">
        <v>0.86230000000000007</v>
      </c>
      <c r="FI154" s="24">
        <v>470</v>
      </c>
      <c r="FJ154" s="24">
        <v>223</v>
      </c>
      <c r="FK154" s="24">
        <v>257</v>
      </c>
      <c r="FN154" s="24">
        <v>2022</v>
      </c>
      <c r="FO154" s="24">
        <v>6</v>
      </c>
      <c r="FP154" s="24" t="s">
        <v>32</v>
      </c>
      <c r="FQ154" s="24">
        <v>42912</v>
      </c>
      <c r="FR154" s="24">
        <v>855.36666666666702</v>
      </c>
      <c r="FS154" s="24">
        <v>48695</v>
      </c>
      <c r="FT154" s="24">
        <v>606.15</v>
      </c>
      <c r="FW154" s="24">
        <v>2022</v>
      </c>
      <c r="FX154" s="24">
        <v>5</v>
      </c>
      <c r="FY154" s="24" t="s">
        <v>32</v>
      </c>
      <c r="FZ154" s="24">
        <v>1946</v>
      </c>
      <c r="GA154" s="24">
        <v>1837</v>
      </c>
      <c r="GB154" s="24"/>
      <c r="GC154" s="24"/>
      <c r="GD154" s="24">
        <v>2022</v>
      </c>
      <c r="GE154" s="24">
        <v>5</v>
      </c>
      <c r="GF154" s="24" t="s">
        <v>32</v>
      </c>
      <c r="GG154" s="24">
        <v>2023</v>
      </c>
      <c r="GH154" s="24">
        <v>1905</v>
      </c>
      <c r="GK154" s="24"/>
      <c r="GL154" s="24"/>
      <c r="GM154" s="24"/>
      <c r="GN154" s="24"/>
      <c r="GO154" s="24"/>
      <c r="GP154" s="24">
        <v>2022</v>
      </c>
      <c r="GQ154" s="24">
        <v>5</v>
      </c>
      <c r="GR154" s="24">
        <v>2.9000000000000001E-2</v>
      </c>
      <c r="GS154" s="24" t="s">
        <v>32</v>
      </c>
      <c r="GX154">
        <v>2022</v>
      </c>
      <c r="GY154">
        <v>5</v>
      </c>
      <c r="GZ154" t="s">
        <v>32</v>
      </c>
      <c r="HA154">
        <v>16230</v>
      </c>
      <c r="HB154">
        <v>15626</v>
      </c>
      <c r="HC154">
        <v>0</v>
      </c>
      <c r="HD154">
        <v>7</v>
      </c>
      <c r="HE154">
        <v>0</v>
      </c>
      <c r="HF154">
        <v>144</v>
      </c>
      <c r="HG154">
        <v>0</v>
      </c>
      <c r="HH154">
        <v>0</v>
      </c>
      <c r="HI154">
        <v>48</v>
      </c>
      <c r="HL154">
        <v>2022</v>
      </c>
      <c r="HM154">
        <v>5</v>
      </c>
      <c r="HN154" t="s">
        <v>32</v>
      </c>
      <c r="HO154">
        <v>16109</v>
      </c>
      <c r="HP154">
        <v>15771</v>
      </c>
      <c r="HQ154">
        <v>0</v>
      </c>
      <c r="HR154">
        <v>3</v>
      </c>
      <c r="HS154">
        <v>0</v>
      </c>
      <c r="HT154">
        <v>229</v>
      </c>
      <c r="HU154">
        <v>0</v>
      </c>
      <c r="HV154">
        <v>0</v>
      </c>
      <c r="HW154">
        <v>12</v>
      </c>
      <c r="HZ154" s="24">
        <v>2022</v>
      </c>
      <c r="IA154" s="24">
        <v>5</v>
      </c>
      <c r="IB154" s="24" t="s">
        <v>32</v>
      </c>
      <c r="IC154" s="24">
        <v>2098</v>
      </c>
      <c r="ID154" s="24">
        <v>1962</v>
      </c>
      <c r="IG154" s="24">
        <v>2022</v>
      </c>
      <c r="IH154" s="24">
        <v>5</v>
      </c>
      <c r="II154" s="24" t="s">
        <v>32</v>
      </c>
      <c r="IJ154" s="24">
        <v>1989</v>
      </c>
      <c r="IK154" s="24">
        <v>1857</v>
      </c>
    </row>
    <row r="155" spans="9:245" x14ac:dyDescent="0.4">
      <c r="I155" s="305">
        <v>2022</v>
      </c>
      <c r="J155" s="306">
        <v>5</v>
      </c>
      <c r="K155" s="306" t="s">
        <v>32</v>
      </c>
      <c r="L155" s="306">
        <v>16064</v>
      </c>
      <c r="M155" s="306">
        <v>15489</v>
      </c>
      <c r="N155" s="306">
        <v>25</v>
      </c>
      <c r="O155" s="306">
        <v>156</v>
      </c>
      <c r="P155" s="306">
        <v>26</v>
      </c>
      <c r="Q155" s="306">
        <v>8</v>
      </c>
      <c r="R155" s="24"/>
      <c r="S155" s="24"/>
      <c r="T155" s="24"/>
      <c r="W155" s="24">
        <v>2022</v>
      </c>
      <c r="X155" s="24">
        <v>5</v>
      </c>
      <c r="Y155" s="24" t="s">
        <v>33</v>
      </c>
      <c r="Z155" s="24">
        <v>307228</v>
      </c>
      <c r="AA155" s="24">
        <v>192401</v>
      </c>
      <c r="AB155" s="24">
        <v>725</v>
      </c>
      <c r="AC155" s="24">
        <v>63</v>
      </c>
      <c r="AD155" s="297"/>
      <c r="AE155" s="297"/>
      <c r="AF155" s="297"/>
      <c r="AG155" s="297"/>
      <c r="AH155" s="297"/>
      <c r="AI155" s="24"/>
      <c r="AJ155" s="24"/>
      <c r="AK155" s="24">
        <v>2022</v>
      </c>
      <c r="AL155" s="24">
        <v>5</v>
      </c>
      <c r="AM155" s="24">
        <v>16992.78</v>
      </c>
      <c r="AN155" s="24">
        <v>2304.5500000000002</v>
      </c>
      <c r="AO155" s="24">
        <v>0</v>
      </c>
      <c r="AP155" s="24">
        <v>400</v>
      </c>
      <c r="AQ155" s="24">
        <v>0</v>
      </c>
      <c r="AR155" s="24">
        <v>4</v>
      </c>
      <c r="AS155" s="24" t="s">
        <v>33</v>
      </c>
      <c r="AT155" s="24"/>
      <c r="AU155" s="24">
        <v>2022</v>
      </c>
      <c r="AV155" s="24">
        <v>5</v>
      </c>
      <c r="AW155" s="24">
        <v>0.03</v>
      </c>
      <c r="AX155" s="24">
        <v>9100</v>
      </c>
      <c r="AY155" s="24">
        <v>317375</v>
      </c>
      <c r="AZ155" s="24" t="s">
        <v>33</v>
      </c>
      <c r="BA155" s="24"/>
      <c r="BB155" s="24"/>
      <c r="BC155" s="24">
        <v>2022</v>
      </c>
      <c r="BD155" s="24">
        <v>5</v>
      </c>
      <c r="BE155" s="24">
        <v>2528.8974285714298</v>
      </c>
      <c r="BF155" s="24" t="s">
        <v>33</v>
      </c>
      <c r="BG155" s="24"/>
      <c r="BI155" s="24">
        <v>2022</v>
      </c>
      <c r="BJ155" s="24">
        <v>33</v>
      </c>
      <c r="BK155" s="24" t="s">
        <v>32</v>
      </c>
      <c r="BL155" s="24" t="s">
        <v>272</v>
      </c>
      <c r="BM155" s="24">
        <v>2734</v>
      </c>
      <c r="BN155" s="24">
        <v>2734</v>
      </c>
      <c r="BO155" s="24">
        <v>9256</v>
      </c>
      <c r="BR155" s="24">
        <v>2022</v>
      </c>
      <c r="BS155" s="24">
        <v>5</v>
      </c>
      <c r="BT155" s="24">
        <v>316576</v>
      </c>
      <c r="BU155" s="24">
        <v>0</v>
      </c>
      <c r="BV155" s="24" t="s">
        <v>33</v>
      </c>
      <c r="BY155" s="24">
        <v>2022</v>
      </c>
      <c r="BZ155" s="24">
        <v>8</v>
      </c>
      <c r="CA155" s="24" t="s">
        <v>33</v>
      </c>
      <c r="CB155" s="24" t="s">
        <v>423</v>
      </c>
      <c r="CC155" s="24">
        <v>29</v>
      </c>
      <c r="CF155" s="24">
        <v>2022</v>
      </c>
      <c r="CG155" s="24">
        <v>5</v>
      </c>
      <c r="CH155" s="24" t="s">
        <v>33</v>
      </c>
      <c r="CI155" s="24">
        <v>132.63480716618128</v>
      </c>
      <c r="CJ155" s="24">
        <v>300577</v>
      </c>
      <c r="CK155" s="24">
        <v>2266.1999999999998</v>
      </c>
      <c r="CL155" s="24">
        <v>119.13928736695973</v>
      </c>
      <c r="CM155" s="24">
        <v>148305</v>
      </c>
      <c r="CN155" s="24">
        <v>283206</v>
      </c>
      <c r="CO155" s="24">
        <v>2377.1</v>
      </c>
      <c r="CP155" s="24">
        <v>48529</v>
      </c>
      <c r="CQ155" s="24">
        <v>232.8</v>
      </c>
      <c r="CR155" s="24">
        <v>1227.5999999999999</v>
      </c>
      <c r="CS155" s="24">
        <v>161221</v>
      </c>
      <c r="CT155" s="24">
        <v>161221</v>
      </c>
      <c r="CU155" s="24">
        <v>1656.5</v>
      </c>
      <c r="CV155" s="24">
        <v>41194</v>
      </c>
      <c r="CW155" s="24">
        <v>0</v>
      </c>
      <c r="CX155" s="24">
        <v>139978</v>
      </c>
      <c r="CY155" s="24">
        <v>909.8</v>
      </c>
      <c r="CZ155" s="24">
        <v>40339</v>
      </c>
      <c r="DA155" s="24">
        <v>1227.5999999999999</v>
      </c>
      <c r="DD155" s="24">
        <v>2022</v>
      </c>
      <c r="DE155" s="24">
        <v>5</v>
      </c>
      <c r="DF155" s="24" t="s">
        <v>33</v>
      </c>
      <c r="DG155" s="24">
        <v>69066</v>
      </c>
      <c r="DH155" s="24">
        <v>25460</v>
      </c>
      <c r="DJ155" s="24">
        <v>2022</v>
      </c>
      <c r="DK155" s="24">
        <v>4</v>
      </c>
      <c r="DL155" s="24" t="s">
        <v>32</v>
      </c>
      <c r="DM155" s="24">
        <v>15</v>
      </c>
      <c r="DP155" s="24">
        <v>2021</v>
      </c>
      <c r="DQ155" s="24">
        <v>25</v>
      </c>
      <c r="DR155" s="24" t="s">
        <v>33</v>
      </c>
      <c r="DS155" s="24">
        <v>22885</v>
      </c>
      <c r="DT155" s="24">
        <v>439</v>
      </c>
      <c r="DW155" s="24">
        <v>2022</v>
      </c>
      <c r="DX155" s="24">
        <v>24</v>
      </c>
      <c r="DY155" s="24" t="s">
        <v>33</v>
      </c>
      <c r="DZ155" s="24">
        <v>60</v>
      </c>
      <c r="EA155" s="24" t="s">
        <v>149</v>
      </c>
      <c r="EB155" s="24">
        <v>50.9</v>
      </c>
      <c r="EC155" s="24">
        <v>1831.8</v>
      </c>
      <c r="ED155" s="24">
        <v>59862</v>
      </c>
      <c r="EE155" s="24">
        <v>60208</v>
      </c>
      <c r="EF155" s="24">
        <v>262.39999999999998</v>
      </c>
      <c r="EI155" s="24">
        <v>2023</v>
      </c>
      <c r="EJ155" s="24">
        <v>6</v>
      </c>
      <c r="EK155" s="24" t="s">
        <v>237</v>
      </c>
      <c r="EL155" s="24" t="s">
        <v>235</v>
      </c>
      <c r="EM155" s="24" t="s">
        <v>210</v>
      </c>
      <c r="EN155" s="24">
        <v>251</v>
      </c>
      <c r="EO155" s="24"/>
      <c r="EP155" s="24"/>
      <c r="EQ155" s="24"/>
      <c r="ER155" s="24"/>
      <c r="ES155" s="24">
        <v>2022</v>
      </c>
      <c r="ET155" s="24">
        <v>10</v>
      </c>
      <c r="EU155" s="24" t="s">
        <v>33</v>
      </c>
      <c r="EV155" s="24">
        <v>169356</v>
      </c>
      <c r="EY155" s="24">
        <v>2022</v>
      </c>
      <c r="EZ155" s="24">
        <v>8</v>
      </c>
      <c r="FA155" s="24" t="s">
        <v>33</v>
      </c>
      <c r="FB155" s="24">
        <v>692</v>
      </c>
      <c r="FE155" s="24">
        <v>2022</v>
      </c>
      <c r="FF155" s="24">
        <v>5</v>
      </c>
      <c r="FG155" s="24" t="s">
        <v>33</v>
      </c>
      <c r="FH155" s="24">
        <v>0.92120000000000002</v>
      </c>
      <c r="FI155" s="24">
        <v>13268</v>
      </c>
      <c r="FJ155" s="24">
        <v>6074</v>
      </c>
      <c r="FK155" s="24">
        <v>6641</v>
      </c>
      <c r="FN155" s="24">
        <v>2022</v>
      </c>
      <c r="FO155" s="24">
        <v>6</v>
      </c>
      <c r="FP155" s="24" t="s">
        <v>33</v>
      </c>
      <c r="FQ155" s="24">
        <v>1007451</v>
      </c>
      <c r="FR155" s="24">
        <v>8382.8000000000011</v>
      </c>
      <c r="FS155" s="24">
        <v>396524</v>
      </c>
      <c r="FT155" s="24">
        <v>2902.61666666667</v>
      </c>
      <c r="FW155" s="24">
        <v>2022</v>
      </c>
      <c r="FX155" s="24">
        <v>5</v>
      </c>
      <c r="FY155" s="24" t="s">
        <v>33</v>
      </c>
      <c r="FZ155" s="24">
        <v>14118</v>
      </c>
      <c r="GA155" s="24">
        <v>12460</v>
      </c>
      <c r="GB155" s="24"/>
      <c r="GC155" s="24"/>
      <c r="GD155" s="24">
        <v>2022</v>
      </c>
      <c r="GE155" s="24">
        <v>5</v>
      </c>
      <c r="GF155" s="24" t="s">
        <v>33</v>
      </c>
      <c r="GG155" s="24">
        <v>14154</v>
      </c>
      <c r="GH155" s="24">
        <v>12772</v>
      </c>
      <c r="GK155" s="24"/>
      <c r="GL155" s="24"/>
      <c r="GM155" s="24"/>
      <c r="GN155" s="24"/>
      <c r="GO155" s="24"/>
      <c r="GP155" s="24">
        <v>2022</v>
      </c>
      <c r="GQ155" s="24">
        <v>5</v>
      </c>
      <c r="GR155" s="24">
        <v>7.1348571428571397</v>
      </c>
      <c r="GS155" s="24" t="s">
        <v>33</v>
      </c>
      <c r="GX155">
        <v>2022</v>
      </c>
      <c r="GY155">
        <v>5</v>
      </c>
      <c r="GZ155" t="s">
        <v>33</v>
      </c>
      <c r="HA155">
        <v>311530</v>
      </c>
      <c r="HB155">
        <v>293376</v>
      </c>
      <c r="HC155">
        <v>487</v>
      </c>
      <c r="HD155">
        <v>930</v>
      </c>
      <c r="HE155">
        <v>1</v>
      </c>
      <c r="HF155">
        <v>7151</v>
      </c>
      <c r="HG155">
        <v>0</v>
      </c>
      <c r="HH155">
        <v>2</v>
      </c>
      <c r="HI155">
        <v>2045</v>
      </c>
      <c r="HL155">
        <v>2022</v>
      </c>
      <c r="HM155">
        <v>5</v>
      </c>
      <c r="HN155" t="s">
        <v>33</v>
      </c>
      <c r="HO155">
        <v>306919</v>
      </c>
      <c r="HP155">
        <v>298461</v>
      </c>
      <c r="HQ155">
        <v>429</v>
      </c>
      <c r="HR155">
        <v>492</v>
      </c>
      <c r="HS155">
        <v>0</v>
      </c>
      <c r="HT155">
        <v>6059</v>
      </c>
      <c r="HU155">
        <v>0</v>
      </c>
      <c r="HV155">
        <v>1</v>
      </c>
      <c r="HW155">
        <v>509</v>
      </c>
      <c r="HZ155" s="24">
        <v>2022</v>
      </c>
      <c r="IA155" s="24">
        <v>5</v>
      </c>
      <c r="IB155" s="24" t="s">
        <v>33</v>
      </c>
      <c r="IC155" s="24">
        <v>14135</v>
      </c>
      <c r="ID155" s="24">
        <v>13087</v>
      </c>
      <c r="IG155" s="24">
        <v>2022</v>
      </c>
      <c r="IH155" s="24">
        <v>5</v>
      </c>
      <c r="II155" s="24" t="s">
        <v>33</v>
      </c>
      <c r="IJ155" s="24">
        <v>13092</v>
      </c>
      <c r="IK155" s="24">
        <v>12767</v>
      </c>
    </row>
    <row r="156" spans="9:245" x14ac:dyDescent="0.4">
      <c r="I156" s="305">
        <v>2022</v>
      </c>
      <c r="J156" s="306">
        <v>5</v>
      </c>
      <c r="K156" s="306" t="s">
        <v>33</v>
      </c>
      <c r="L156" s="306">
        <v>307828</v>
      </c>
      <c r="M156" s="306">
        <v>189285</v>
      </c>
      <c r="N156" s="306">
        <v>1982</v>
      </c>
      <c r="O156" s="306">
        <v>18840</v>
      </c>
      <c r="P156" s="306">
        <v>828</v>
      </c>
      <c r="Q156" s="306">
        <v>104</v>
      </c>
      <c r="R156" s="24"/>
      <c r="S156" s="24"/>
      <c r="T156" s="24"/>
      <c r="W156" s="24">
        <v>2022</v>
      </c>
      <c r="X156" s="24">
        <v>4</v>
      </c>
      <c r="Y156" s="24" t="s">
        <v>32</v>
      </c>
      <c r="Z156" s="24">
        <v>18412</v>
      </c>
      <c r="AA156" s="24">
        <v>17644</v>
      </c>
      <c r="AB156" s="24">
        <v>33</v>
      </c>
      <c r="AC156" s="24">
        <v>21</v>
      </c>
      <c r="AD156" s="297"/>
      <c r="AE156" s="297"/>
      <c r="AF156" s="297"/>
      <c r="AG156" s="297"/>
      <c r="AH156" s="297"/>
      <c r="AI156" s="24"/>
      <c r="AJ156" s="24"/>
      <c r="AK156" s="24">
        <v>2022</v>
      </c>
      <c r="AL156" s="24">
        <v>4</v>
      </c>
      <c r="AM156" s="24">
        <v>569</v>
      </c>
      <c r="AN156" s="24">
        <v>73.47</v>
      </c>
      <c r="AO156" s="24">
        <v>0</v>
      </c>
      <c r="AP156" s="24">
        <v>14</v>
      </c>
      <c r="AQ156" s="24">
        <v>0</v>
      </c>
      <c r="AR156" s="24">
        <v>0</v>
      </c>
      <c r="AS156" s="24" t="s">
        <v>32</v>
      </c>
      <c r="AT156" s="24"/>
      <c r="AU156" s="24">
        <v>2022</v>
      </c>
      <c r="AV156" s="24">
        <v>4</v>
      </c>
      <c r="AW156" s="24">
        <v>0.21</v>
      </c>
      <c r="AX156" s="24">
        <v>3800</v>
      </c>
      <c r="AY156" s="24">
        <v>18008</v>
      </c>
      <c r="AZ156" s="24" t="s">
        <v>32</v>
      </c>
      <c r="BA156" s="24"/>
      <c r="BB156" s="24"/>
      <c r="BC156" s="24">
        <v>2022</v>
      </c>
      <c r="BD156" s="24">
        <v>4</v>
      </c>
      <c r="BE156" s="24">
        <v>227.947</v>
      </c>
      <c r="BF156" s="24" t="s">
        <v>32</v>
      </c>
      <c r="BG156" s="24"/>
      <c r="BI156" s="24">
        <v>2022</v>
      </c>
      <c r="BJ156" s="24">
        <v>33</v>
      </c>
      <c r="BK156" s="24" t="s">
        <v>32</v>
      </c>
      <c r="BL156" s="24" t="s">
        <v>273</v>
      </c>
      <c r="BM156" s="24">
        <v>6066</v>
      </c>
      <c r="BN156" s="24">
        <v>6021</v>
      </c>
      <c r="BO156" s="24">
        <v>6149</v>
      </c>
      <c r="BR156" s="24">
        <v>2022</v>
      </c>
      <c r="BS156" s="24">
        <v>4</v>
      </c>
      <c r="BT156" s="24">
        <v>297113</v>
      </c>
      <c r="BU156" s="24">
        <v>1</v>
      </c>
      <c r="BV156" s="24" t="s">
        <v>33</v>
      </c>
      <c r="BY156" s="24">
        <v>2022</v>
      </c>
      <c r="BZ156" s="24">
        <v>7</v>
      </c>
      <c r="CA156" s="24" t="s">
        <v>33</v>
      </c>
      <c r="CB156" s="24" t="s">
        <v>108</v>
      </c>
      <c r="CC156" s="24">
        <v>6</v>
      </c>
      <c r="CF156" s="24">
        <v>2022</v>
      </c>
      <c r="CG156" s="24">
        <v>4</v>
      </c>
      <c r="CH156" s="24" t="s">
        <v>32</v>
      </c>
      <c r="CI156" s="24">
        <v>73.077501881113619</v>
      </c>
      <c r="CJ156" s="24">
        <v>9712</v>
      </c>
      <c r="CK156" s="24">
        <v>132.9</v>
      </c>
      <c r="CL156" s="24">
        <v>60.648030495552732</v>
      </c>
      <c r="CM156" s="24">
        <v>10111</v>
      </c>
      <c r="CN156" s="24">
        <v>19092</v>
      </c>
      <c r="CO156" s="24">
        <v>314.8</v>
      </c>
      <c r="CP156" s="24">
        <v>9537</v>
      </c>
      <c r="CQ156" s="24">
        <v>46.8</v>
      </c>
      <c r="CR156" s="24">
        <v>248.4</v>
      </c>
      <c r="CS156" s="24">
        <v>7673</v>
      </c>
      <c r="CT156" s="24">
        <v>7673</v>
      </c>
      <c r="CU156" s="24">
        <v>222.7</v>
      </c>
      <c r="CV156" s="24">
        <v>2596</v>
      </c>
      <c r="CW156" s="24">
        <v>0</v>
      </c>
      <c r="CX156" s="24">
        <v>8376</v>
      </c>
      <c r="CY156" s="24">
        <v>58</v>
      </c>
      <c r="CZ156" s="24">
        <v>7966</v>
      </c>
      <c r="DA156" s="24">
        <v>248.4</v>
      </c>
      <c r="DD156" s="24">
        <v>2022</v>
      </c>
      <c r="DE156" s="24">
        <v>4</v>
      </c>
      <c r="DF156" s="24" t="s">
        <v>32</v>
      </c>
      <c r="DG156" s="24">
        <v>2636</v>
      </c>
      <c r="DH156" s="24">
        <v>2687</v>
      </c>
      <c r="DJ156" s="24">
        <v>2022</v>
      </c>
      <c r="DK156" s="24">
        <v>4</v>
      </c>
      <c r="DL156" s="24" t="s">
        <v>33</v>
      </c>
      <c r="DM156" s="24">
        <v>562</v>
      </c>
      <c r="DP156" s="24">
        <v>2021</v>
      </c>
      <c r="DQ156" s="24">
        <v>24</v>
      </c>
      <c r="DR156" s="24" t="s">
        <v>33</v>
      </c>
      <c r="DS156" s="24">
        <v>18614</v>
      </c>
      <c r="DT156" s="24">
        <v>473</v>
      </c>
      <c r="DW156" s="24">
        <v>2022</v>
      </c>
      <c r="DX156" s="24">
        <v>23</v>
      </c>
      <c r="DY156" s="24" t="s">
        <v>32</v>
      </c>
      <c r="DZ156" s="24">
        <v>1</v>
      </c>
      <c r="EA156" s="24" t="s">
        <v>149</v>
      </c>
      <c r="EB156" s="24">
        <v>21.8</v>
      </c>
      <c r="EC156" s="24">
        <v>1</v>
      </c>
      <c r="ED156" s="24"/>
      <c r="EE156" s="24">
        <v>1360</v>
      </c>
      <c r="EF156" s="24">
        <v>0.5</v>
      </c>
      <c r="EI156" s="24">
        <v>2023</v>
      </c>
      <c r="EJ156" s="24">
        <v>6</v>
      </c>
      <c r="EK156" s="24" t="s">
        <v>237</v>
      </c>
      <c r="EL156" s="24" t="s">
        <v>247</v>
      </c>
      <c r="EM156" s="24" t="s">
        <v>210</v>
      </c>
      <c r="EN156" s="24">
        <v>9</v>
      </c>
      <c r="EO156" s="24"/>
      <c r="EP156" s="24"/>
      <c r="EQ156" s="24"/>
      <c r="ER156" s="24"/>
      <c r="ES156" s="24">
        <v>2022</v>
      </c>
      <c r="ET156" s="24">
        <v>10</v>
      </c>
      <c r="EU156" s="24" t="s">
        <v>213</v>
      </c>
      <c r="EV156" s="24">
        <v>1</v>
      </c>
      <c r="EY156" s="24">
        <v>2022</v>
      </c>
      <c r="EZ156" s="24">
        <v>7</v>
      </c>
      <c r="FA156" s="24" t="s">
        <v>32</v>
      </c>
      <c r="FB156" s="24">
        <v>421</v>
      </c>
      <c r="FE156" s="24">
        <v>2022</v>
      </c>
      <c r="FF156" s="24">
        <v>4</v>
      </c>
      <c r="FG156" s="24" t="s">
        <v>32</v>
      </c>
      <c r="FH156" s="24">
        <v>0.74099999999999999</v>
      </c>
      <c r="FI156" s="24">
        <v>564</v>
      </c>
      <c r="FJ156" s="24">
        <v>259</v>
      </c>
      <c r="FK156" s="24">
        <v>338</v>
      </c>
      <c r="FN156" s="24">
        <v>2022</v>
      </c>
      <c r="FO156" s="24">
        <v>5</v>
      </c>
      <c r="FP156" s="24" t="s">
        <v>32</v>
      </c>
      <c r="FQ156" s="24">
        <v>38946</v>
      </c>
      <c r="FR156" s="24">
        <v>785.65</v>
      </c>
      <c r="FS156" s="24">
        <v>34123</v>
      </c>
      <c r="FT156" s="24">
        <v>513.08333333333303</v>
      </c>
      <c r="FW156" s="24">
        <v>2022</v>
      </c>
      <c r="FX156" s="24">
        <v>4</v>
      </c>
      <c r="FY156" s="24" t="s">
        <v>32</v>
      </c>
      <c r="FZ156" s="24">
        <v>2373</v>
      </c>
      <c r="GA156" s="24">
        <v>2085</v>
      </c>
      <c r="GB156" s="24"/>
      <c r="GC156" s="24"/>
      <c r="GD156" s="24">
        <v>2022</v>
      </c>
      <c r="GE156" s="24">
        <v>4</v>
      </c>
      <c r="GF156" s="24" t="s">
        <v>32</v>
      </c>
      <c r="GG156" s="24">
        <v>2380</v>
      </c>
      <c r="GH156" s="24">
        <v>1947</v>
      </c>
      <c r="GK156" s="24"/>
      <c r="GL156" s="24"/>
      <c r="GM156" s="24"/>
      <c r="GN156" s="24"/>
      <c r="GO156" s="24"/>
      <c r="GP156" s="24">
        <v>2022</v>
      </c>
      <c r="GQ156" s="24">
        <v>4</v>
      </c>
      <c r="GR156" s="24">
        <v>2.9428571428571398E-2</v>
      </c>
      <c r="GS156" s="24" t="s">
        <v>32</v>
      </c>
      <c r="GX156">
        <v>2022</v>
      </c>
      <c r="GY156">
        <v>4</v>
      </c>
      <c r="GZ156" t="s">
        <v>32</v>
      </c>
      <c r="HA156">
        <v>17754</v>
      </c>
      <c r="HB156">
        <v>17099</v>
      </c>
      <c r="HC156">
        <v>0</v>
      </c>
      <c r="HD156">
        <v>5</v>
      </c>
      <c r="HE156">
        <v>0</v>
      </c>
      <c r="HF156">
        <v>344</v>
      </c>
      <c r="HG156">
        <v>0</v>
      </c>
      <c r="HH156">
        <v>0</v>
      </c>
      <c r="HI156">
        <v>58</v>
      </c>
      <c r="HL156">
        <v>2022</v>
      </c>
      <c r="HM156">
        <v>4</v>
      </c>
      <c r="HN156" t="s">
        <v>32</v>
      </c>
      <c r="HO156">
        <v>18374</v>
      </c>
      <c r="HP156">
        <v>17577</v>
      </c>
      <c r="HQ156">
        <v>0</v>
      </c>
      <c r="HR156">
        <v>3</v>
      </c>
      <c r="HS156">
        <v>0</v>
      </c>
      <c r="HT156">
        <v>673</v>
      </c>
      <c r="HU156">
        <v>0</v>
      </c>
      <c r="HV156">
        <v>0</v>
      </c>
      <c r="HW156">
        <v>22</v>
      </c>
      <c r="HZ156" s="24">
        <v>2022</v>
      </c>
      <c r="IA156" s="24">
        <v>4</v>
      </c>
      <c r="IB156" s="24" t="s">
        <v>32</v>
      </c>
      <c r="IC156" s="24">
        <v>2242</v>
      </c>
      <c r="ID156" s="24">
        <v>1937</v>
      </c>
      <c r="IG156" s="24">
        <v>2022</v>
      </c>
      <c r="IH156" s="24">
        <v>4</v>
      </c>
      <c r="II156" s="24" t="s">
        <v>32</v>
      </c>
      <c r="IJ156" s="24">
        <v>2349</v>
      </c>
      <c r="IK156" s="24">
        <v>1888</v>
      </c>
    </row>
    <row r="157" spans="9:245" x14ac:dyDescent="0.4">
      <c r="I157" s="305">
        <v>2022</v>
      </c>
      <c r="J157" s="306">
        <v>4</v>
      </c>
      <c r="K157" s="306" t="s">
        <v>32</v>
      </c>
      <c r="L157" s="306">
        <v>18421</v>
      </c>
      <c r="M157" s="306">
        <v>17734</v>
      </c>
      <c r="N157" s="306">
        <v>56</v>
      </c>
      <c r="O157" s="306">
        <v>230</v>
      </c>
      <c r="P157" s="306">
        <v>31</v>
      </c>
      <c r="Q157" s="306">
        <v>11</v>
      </c>
      <c r="R157" s="24"/>
      <c r="S157" s="24"/>
      <c r="T157" s="24"/>
      <c r="W157" s="24">
        <v>2022</v>
      </c>
      <c r="X157" s="24">
        <v>4</v>
      </c>
      <c r="Y157" s="24" t="s">
        <v>33</v>
      </c>
      <c r="Z157" s="24">
        <v>297360</v>
      </c>
      <c r="AA157" s="24">
        <v>188748</v>
      </c>
      <c r="AB157" s="24">
        <v>664</v>
      </c>
      <c r="AC157" s="24">
        <v>58</v>
      </c>
      <c r="AD157" s="297"/>
      <c r="AE157" s="297"/>
      <c r="AF157" s="297"/>
      <c r="AG157" s="297"/>
      <c r="AH157" s="297"/>
      <c r="AI157" s="24"/>
      <c r="AJ157" s="24"/>
      <c r="AK157" s="24">
        <v>2022</v>
      </c>
      <c r="AL157" s="24">
        <v>4</v>
      </c>
      <c r="AM157" s="24">
        <v>16057.130000000001</v>
      </c>
      <c r="AN157" s="24">
        <v>2333.48</v>
      </c>
      <c r="AO157" s="24">
        <v>0</v>
      </c>
      <c r="AP157" s="24">
        <v>387</v>
      </c>
      <c r="AQ157" s="24">
        <v>0</v>
      </c>
      <c r="AR157" s="24">
        <v>0</v>
      </c>
      <c r="AS157" s="24" t="s">
        <v>33</v>
      </c>
      <c r="AT157" s="24"/>
      <c r="AU157" s="24">
        <v>2022</v>
      </c>
      <c r="AV157" s="24">
        <v>4</v>
      </c>
      <c r="AW157" s="24">
        <v>0.05</v>
      </c>
      <c r="AX157" s="24">
        <v>15700</v>
      </c>
      <c r="AY157" s="24">
        <v>298099</v>
      </c>
      <c r="AZ157" s="24" t="s">
        <v>33</v>
      </c>
      <c r="BA157" s="24"/>
      <c r="BB157" s="24"/>
      <c r="BC157" s="24">
        <v>2022</v>
      </c>
      <c r="BD157" s="24">
        <v>4</v>
      </c>
      <c r="BE157" s="24">
        <v>2502.2469999999998</v>
      </c>
      <c r="BF157" s="24" t="s">
        <v>33</v>
      </c>
      <c r="BG157" s="24"/>
      <c r="BI157" s="24">
        <v>2022</v>
      </c>
      <c r="BJ157" s="24">
        <v>33</v>
      </c>
      <c r="BK157" s="24" t="s">
        <v>33</v>
      </c>
      <c r="BL157" s="24" t="s">
        <v>272</v>
      </c>
      <c r="BM157" s="24">
        <v>56104</v>
      </c>
      <c r="BN157" s="24">
        <v>56057</v>
      </c>
      <c r="BO157" s="24">
        <v>210835</v>
      </c>
      <c r="BR157" s="24">
        <v>2022</v>
      </c>
      <c r="BS157" s="24">
        <v>4</v>
      </c>
      <c r="BT157" s="24">
        <v>17911</v>
      </c>
      <c r="BU157" s="24">
        <v>0</v>
      </c>
      <c r="BV157" s="24" t="s">
        <v>32</v>
      </c>
      <c r="BY157" s="24">
        <v>2022</v>
      </c>
      <c r="BZ157" s="24">
        <v>7</v>
      </c>
      <c r="CA157" s="24" t="s">
        <v>33</v>
      </c>
      <c r="CB157" s="24" t="s">
        <v>423</v>
      </c>
      <c r="CC157" s="24">
        <v>67</v>
      </c>
      <c r="CF157" s="24">
        <v>2022</v>
      </c>
      <c r="CG157" s="24">
        <v>4</v>
      </c>
      <c r="CH157" s="24" t="s">
        <v>33</v>
      </c>
      <c r="CI157" s="24">
        <v>131.01520998864927</v>
      </c>
      <c r="CJ157" s="24">
        <v>288561</v>
      </c>
      <c r="CK157" s="24">
        <v>2202.5</v>
      </c>
      <c r="CL157" s="24">
        <v>123.08517713829646</v>
      </c>
      <c r="CM157" s="24">
        <v>139062</v>
      </c>
      <c r="CN157" s="24">
        <v>277594</v>
      </c>
      <c r="CO157" s="24">
        <v>2255.3000000000002</v>
      </c>
      <c r="CP157" s="24">
        <v>51937</v>
      </c>
      <c r="CQ157" s="24">
        <v>310.10000000000002</v>
      </c>
      <c r="CR157" s="24">
        <v>1112.4000000000001</v>
      </c>
      <c r="CS157" s="24">
        <v>149049</v>
      </c>
      <c r="CT157" s="24">
        <v>149049</v>
      </c>
      <c r="CU157" s="24">
        <v>1421.8</v>
      </c>
      <c r="CV157" s="24">
        <v>50632</v>
      </c>
      <c r="CW157" s="24">
        <v>0</v>
      </c>
      <c r="CX157" s="24">
        <v>136182</v>
      </c>
      <c r="CY157" s="24">
        <v>803.4</v>
      </c>
      <c r="CZ157" s="24">
        <v>40287</v>
      </c>
      <c r="DA157" s="24">
        <v>1112.4000000000001</v>
      </c>
      <c r="DD157" s="24">
        <v>2022</v>
      </c>
      <c r="DE157" s="24">
        <v>4</v>
      </c>
      <c r="DF157" s="24" t="s">
        <v>33</v>
      </c>
      <c r="DG157" s="24">
        <v>61501</v>
      </c>
      <c r="DH157" s="24">
        <v>22027</v>
      </c>
      <c r="DJ157" s="24">
        <v>2022</v>
      </c>
      <c r="DK157" s="24">
        <v>3</v>
      </c>
      <c r="DL157" s="24" t="s">
        <v>32</v>
      </c>
      <c r="DM157" s="24">
        <v>13</v>
      </c>
      <c r="DP157" s="24">
        <v>2021</v>
      </c>
      <c r="DQ157" s="24">
        <v>23</v>
      </c>
      <c r="DR157" s="24" t="s">
        <v>33</v>
      </c>
      <c r="DS157" s="24">
        <v>22926</v>
      </c>
      <c r="DT157" s="24">
        <v>439</v>
      </c>
      <c r="DW157" s="24">
        <v>2022</v>
      </c>
      <c r="DX157" s="24">
        <v>23</v>
      </c>
      <c r="DY157" s="24" t="s">
        <v>33</v>
      </c>
      <c r="DZ157" s="24">
        <v>15</v>
      </c>
      <c r="EA157" s="24" t="s">
        <v>562</v>
      </c>
      <c r="EB157" s="24">
        <v>273.8</v>
      </c>
      <c r="EC157" s="24">
        <v>77</v>
      </c>
      <c r="ED157" s="24">
        <v>133</v>
      </c>
      <c r="EE157" s="24">
        <v>13539</v>
      </c>
      <c r="EF157" s="24">
        <v>24</v>
      </c>
      <c r="EI157" s="24">
        <v>2023</v>
      </c>
      <c r="EJ157" s="24">
        <v>6</v>
      </c>
      <c r="EK157" s="24" t="s">
        <v>211</v>
      </c>
      <c r="EL157" s="24" t="s">
        <v>212</v>
      </c>
      <c r="EM157" s="24" t="s">
        <v>210</v>
      </c>
      <c r="EN157" s="24">
        <v>5</v>
      </c>
      <c r="EO157" s="24"/>
      <c r="EP157" s="24"/>
      <c r="EQ157" s="24"/>
      <c r="ER157" s="24"/>
      <c r="ES157" s="24">
        <v>2022</v>
      </c>
      <c r="ET157" s="24">
        <v>9</v>
      </c>
      <c r="EU157" s="24" t="s">
        <v>32</v>
      </c>
      <c r="EV157" s="24">
        <v>7630</v>
      </c>
      <c r="EY157" s="24">
        <v>2022</v>
      </c>
      <c r="EZ157" s="24">
        <v>7</v>
      </c>
      <c r="FA157" s="24" t="s">
        <v>33</v>
      </c>
      <c r="FB157" s="24">
        <v>704</v>
      </c>
      <c r="FE157" s="24">
        <v>2022</v>
      </c>
      <c r="FF157" s="24">
        <v>4</v>
      </c>
      <c r="FG157" s="24" t="s">
        <v>33</v>
      </c>
      <c r="FH157" s="24">
        <v>0.91660000000000008</v>
      </c>
      <c r="FI157" s="24">
        <v>11734</v>
      </c>
      <c r="FJ157" s="24">
        <v>5346</v>
      </c>
      <c r="FK157" s="24">
        <v>5879</v>
      </c>
      <c r="FN157" s="24">
        <v>2022</v>
      </c>
      <c r="FO157" s="24">
        <v>5</v>
      </c>
      <c r="FP157" s="24" t="s">
        <v>33</v>
      </c>
      <c r="FQ157" s="24">
        <v>936238</v>
      </c>
      <c r="FR157" s="24">
        <v>7909.1</v>
      </c>
      <c r="FS157" s="24">
        <v>390515</v>
      </c>
      <c r="FT157" s="24">
        <v>2958.3333333333298</v>
      </c>
      <c r="FW157" s="24">
        <v>2022</v>
      </c>
      <c r="FX157" s="24">
        <v>4</v>
      </c>
      <c r="FY157" s="24" t="s">
        <v>33</v>
      </c>
      <c r="FZ157" s="24">
        <v>12850</v>
      </c>
      <c r="GA157" s="24">
        <v>11164</v>
      </c>
      <c r="GB157" s="24"/>
      <c r="GC157" s="24"/>
      <c r="GD157" s="24">
        <v>2022</v>
      </c>
      <c r="GE157" s="24">
        <v>4</v>
      </c>
      <c r="GF157" s="24" t="s">
        <v>33</v>
      </c>
      <c r="GG157" s="24">
        <v>13009</v>
      </c>
      <c r="GH157" s="24">
        <v>11817</v>
      </c>
      <c r="GK157" s="24"/>
      <c r="GL157" s="24"/>
      <c r="GM157" s="24"/>
      <c r="GN157" s="24"/>
      <c r="GO157" s="24"/>
      <c r="GP157" s="24">
        <v>2022</v>
      </c>
      <c r="GQ157" s="24">
        <v>4</v>
      </c>
      <c r="GR157" s="24">
        <v>7.0462857142857098</v>
      </c>
      <c r="GS157" s="24" t="s">
        <v>33</v>
      </c>
      <c r="GX157">
        <v>2022</v>
      </c>
      <c r="GY157">
        <v>4</v>
      </c>
      <c r="GZ157" t="s">
        <v>33</v>
      </c>
      <c r="HA157">
        <v>294712</v>
      </c>
      <c r="HB157">
        <v>278352</v>
      </c>
      <c r="HC157">
        <v>648</v>
      </c>
      <c r="HD157">
        <v>845</v>
      </c>
      <c r="HE157">
        <v>0</v>
      </c>
      <c r="HF157">
        <v>7964</v>
      </c>
      <c r="HG157">
        <v>0</v>
      </c>
      <c r="HH157">
        <v>1</v>
      </c>
      <c r="HI157">
        <v>1506</v>
      </c>
      <c r="HL157">
        <v>2022</v>
      </c>
      <c r="HM157">
        <v>4</v>
      </c>
      <c r="HN157" t="s">
        <v>33</v>
      </c>
      <c r="HO157">
        <v>296912</v>
      </c>
      <c r="HP157">
        <v>284583</v>
      </c>
      <c r="HQ157">
        <v>744</v>
      </c>
      <c r="HR157">
        <v>838</v>
      </c>
      <c r="HS157">
        <v>0</v>
      </c>
      <c r="HT157">
        <v>9343</v>
      </c>
      <c r="HU157">
        <v>0</v>
      </c>
      <c r="HV157">
        <v>1</v>
      </c>
      <c r="HW157">
        <v>750</v>
      </c>
      <c r="HZ157" s="24">
        <v>2022</v>
      </c>
      <c r="IA157" s="24">
        <v>4</v>
      </c>
      <c r="IB157" s="24" t="s">
        <v>33</v>
      </c>
      <c r="IC157" s="24">
        <v>12709</v>
      </c>
      <c r="ID157" s="24">
        <v>11884</v>
      </c>
      <c r="IG157" s="24">
        <v>2022</v>
      </c>
      <c r="IH157" s="24">
        <v>4</v>
      </c>
      <c r="II157" s="24" t="s">
        <v>33</v>
      </c>
      <c r="IJ157" s="24">
        <v>12086</v>
      </c>
      <c r="IK157" s="24">
        <v>11802</v>
      </c>
    </row>
    <row r="158" spans="9:245" x14ac:dyDescent="0.4">
      <c r="I158" s="305">
        <v>2022</v>
      </c>
      <c r="J158" s="306">
        <v>4</v>
      </c>
      <c r="K158" s="306" t="s">
        <v>33</v>
      </c>
      <c r="L158" s="306">
        <v>296913</v>
      </c>
      <c r="M158" s="306">
        <v>185899</v>
      </c>
      <c r="N158" s="306">
        <v>1433</v>
      </c>
      <c r="O158" s="306">
        <v>20526</v>
      </c>
      <c r="P158" s="306">
        <v>921</v>
      </c>
      <c r="Q158" s="306">
        <v>94</v>
      </c>
      <c r="R158" s="24"/>
      <c r="S158" s="24"/>
      <c r="T158" s="24"/>
      <c r="W158" s="24">
        <v>2022</v>
      </c>
      <c r="X158" s="24">
        <v>3</v>
      </c>
      <c r="Y158" s="24" t="s">
        <v>32</v>
      </c>
      <c r="Z158" s="24">
        <v>18476</v>
      </c>
      <c r="AA158" s="24">
        <v>17655</v>
      </c>
      <c r="AB158" s="24">
        <v>27</v>
      </c>
      <c r="AC158" s="24">
        <v>8</v>
      </c>
      <c r="AD158" s="297"/>
      <c r="AE158" s="297"/>
      <c r="AF158" s="297"/>
      <c r="AG158" s="297"/>
      <c r="AH158" s="297"/>
      <c r="AI158" s="24"/>
      <c r="AJ158" s="24"/>
      <c r="AK158" s="24">
        <v>2022</v>
      </c>
      <c r="AL158" s="24">
        <v>3</v>
      </c>
      <c r="AM158" s="24">
        <v>558.23</v>
      </c>
      <c r="AN158" s="24">
        <v>91.4</v>
      </c>
      <c r="AO158" s="24">
        <v>0</v>
      </c>
      <c r="AP158" s="24">
        <v>14</v>
      </c>
      <c r="AQ158" s="24">
        <v>0</v>
      </c>
      <c r="AR158" s="24">
        <v>0</v>
      </c>
      <c r="AS158" s="24" t="s">
        <v>32</v>
      </c>
      <c r="AT158" s="24"/>
      <c r="AU158" s="24">
        <v>2022</v>
      </c>
      <c r="AV158" s="24">
        <v>3</v>
      </c>
      <c r="AW158" s="24">
        <v>0.23</v>
      </c>
      <c r="AX158" s="24">
        <v>4600</v>
      </c>
      <c r="AY158" s="24">
        <v>19765</v>
      </c>
      <c r="AZ158" s="24" t="s">
        <v>32</v>
      </c>
      <c r="BA158" s="24"/>
      <c r="BB158" s="24"/>
      <c r="BC158" s="24">
        <v>2022</v>
      </c>
      <c r="BD158" s="24">
        <v>3</v>
      </c>
      <c r="BE158" s="24">
        <v>232.32942857142899</v>
      </c>
      <c r="BF158" s="24" t="s">
        <v>32</v>
      </c>
      <c r="BG158" s="24"/>
      <c r="BI158" s="24">
        <v>2022</v>
      </c>
      <c r="BJ158" s="24">
        <v>32</v>
      </c>
      <c r="BK158" s="24" t="s">
        <v>32</v>
      </c>
      <c r="BL158" s="24" t="s">
        <v>272</v>
      </c>
      <c r="BM158" s="24">
        <v>2954</v>
      </c>
      <c r="BN158" s="24">
        <v>2951</v>
      </c>
      <c r="BO158" s="24">
        <v>10089</v>
      </c>
      <c r="BR158" s="24">
        <v>2022</v>
      </c>
      <c r="BS158" s="24">
        <v>3</v>
      </c>
      <c r="BT158" s="24">
        <v>19491</v>
      </c>
      <c r="BU158" s="24">
        <v>0</v>
      </c>
      <c r="BV158" s="24" t="s">
        <v>32</v>
      </c>
      <c r="BY158" s="24">
        <v>2022</v>
      </c>
      <c r="BZ158" s="24">
        <v>6</v>
      </c>
      <c r="CA158" s="24" t="s">
        <v>33</v>
      </c>
      <c r="CB158" s="24" t="s">
        <v>108</v>
      </c>
      <c r="CC158" s="24">
        <v>18</v>
      </c>
      <c r="CF158" s="24">
        <v>2022</v>
      </c>
      <c r="CG158" s="24">
        <v>3</v>
      </c>
      <c r="CH158" s="24" t="s">
        <v>32</v>
      </c>
      <c r="CI158" s="24">
        <v>107.32476635514018</v>
      </c>
      <c r="CJ158" s="24">
        <v>9187</v>
      </c>
      <c r="CK158" s="24">
        <v>85.6</v>
      </c>
      <c r="CL158" s="24">
        <v>64.646171693735496</v>
      </c>
      <c r="CM158" s="24">
        <v>11271</v>
      </c>
      <c r="CN158" s="24">
        <v>22290</v>
      </c>
      <c r="CO158" s="24">
        <v>344.8</v>
      </c>
      <c r="CP158" s="24">
        <v>8622</v>
      </c>
      <c r="CQ158" s="24">
        <v>57.2</v>
      </c>
      <c r="CR158" s="24">
        <v>214.5</v>
      </c>
      <c r="CS158" s="24">
        <v>10185</v>
      </c>
      <c r="CT158" s="24">
        <v>10185</v>
      </c>
      <c r="CU158" s="24">
        <v>198.9</v>
      </c>
      <c r="CV158" s="24">
        <v>2534</v>
      </c>
      <c r="CW158" s="24">
        <v>0</v>
      </c>
      <c r="CX158" s="24">
        <v>15584</v>
      </c>
      <c r="CY158" s="24">
        <v>49.4</v>
      </c>
      <c r="CZ158" s="24">
        <v>6604</v>
      </c>
      <c r="DA158" s="24">
        <v>214.5</v>
      </c>
      <c r="DD158" s="24">
        <v>2022</v>
      </c>
      <c r="DE158" s="24">
        <v>3</v>
      </c>
      <c r="DF158" s="24" t="s">
        <v>32</v>
      </c>
      <c r="DG158" s="24">
        <v>1115</v>
      </c>
      <c r="DH158" s="24">
        <v>1826</v>
      </c>
      <c r="DJ158" s="24">
        <v>2022</v>
      </c>
      <c r="DK158" s="24">
        <v>3</v>
      </c>
      <c r="DL158" s="24" t="s">
        <v>33</v>
      </c>
      <c r="DM158" s="24">
        <v>930</v>
      </c>
      <c r="DP158" s="24">
        <v>2021</v>
      </c>
      <c r="DQ158" s="24">
        <v>22</v>
      </c>
      <c r="DR158" s="24" t="s">
        <v>33</v>
      </c>
      <c r="DS158" s="24">
        <v>28339</v>
      </c>
      <c r="DT158" s="24">
        <v>496</v>
      </c>
      <c r="DW158" s="24">
        <v>2022</v>
      </c>
      <c r="DX158" s="24">
        <v>23</v>
      </c>
      <c r="DY158" s="24" t="s">
        <v>33</v>
      </c>
      <c r="DZ158" s="24">
        <v>59</v>
      </c>
      <c r="EA158" s="24" t="s">
        <v>149</v>
      </c>
      <c r="EB158" s="24">
        <v>107.2</v>
      </c>
      <c r="EC158" s="24">
        <v>1506.4</v>
      </c>
      <c r="ED158" s="24">
        <v>47914</v>
      </c>
      <c r="EE158" s="24">
        <v>49991</v>
      </c>
      <c r="EF158" s="24">
        <v>233.3</v>
      </c>
      <c r="EI158" s="24">
        <v>2023</v>
      </c>
      <c r="EJ158" s="24">
        <v>6</v>
      </c>
      <c r="EK158" s="24" t="s">
        <v>211</v>
      </c>
      <c r="EL158" s="24" t="s">
        <v>212</v>
      </c>
      <c r="EM158" s="24" t="s">
        <v>234</v>
      </c>
      <c r="EN158" s="24">
        <v>5</v>
      </c>
      <c r="EO158" s="24"/>
      <c r="EP158" s="24"/>
      <c r="EQ158" s="24"/>
      <c r="ER158" s="24"/>
      <c r="ES158" s="24">
        <v>2022</v>
      </c>
      <c r="ET158" s="24">
        <v>9</v>
      </c>
      <c r="EU158" s="24" t="s">
        <v>33</v>
      </c>
      <c r="EV158" s="24">
        <v>159792</v>
      </c>
      <c r="EY158" s="24">
        <v>2022</v>
      </c>
      <c r="EZ158" s="24">
        <v>6</v>
      </c>
      <c r="FA158" s="24" t="s">
        <v>32</v>
      </c>
      <c r="FB158" s="24">
        <v>787</v>
      </c>
      <c r="FE158" s="24">
        <v>2022</v>
      </c>
      <c r="FF158" s="24">
        <v>3</v>
      </c>
      <c r="FG158" s="24" t="s">
        <v>32</v>
      </c>
      <c r="FH158" s="24">
        <v>0.62070000000000003</v>
      </c>
      <c r="FI158" s="24">
        <v>589</v>
      </c>
      <c r="FJ158" s="24">
        <v>270</v>
      </c>
      <c r="FK158" s="24">
        <v>391</v>
      </c>
      <c r="FN158" s="24">
        <v>2022</v>
      </c>
      <c r="FO158" s="24">
        <v>4</v>
      </c>
      <c r="FP158" s="24" t="s">
        <v>32</v>
      </c>
      <c r="FQ158" s="24">
        <v>42847</v>
      </c>
      <c r="FR158" s="24">
        <v>820.26666666666699</v>
      </c>
      <c r="FS158" s="24">
        <v>36785</v>
      </c>
      <c r="FT158" s="24">
        <v>405.05</v>
      </c>
      <c r="FW158" s="24">
        <v>2022</v>
      </c>
      <c r="FX158" s="24">
        <v>3</v>
      </c>
      <c r="FY158" s="24" t="s">
        <v>32</v>
      </c>
      <c r="FZ158" s="24">
        <v>2041</v>
      </c>
      <c r="GA158" s="24">
        <v>1828</v>
      </c>
      <c r="GB158" s="24"/>
      <c r="GC158" s="24"/>
      <c r="GD158" s="24">
        <v>2022</v>
      </c>
      <c r="GE158" s="24">
        <v>3</v>
      </c>
      <c r="GF158" s="24" t="s">
        <v>32</v>
      </c>
      <c r="GG158" s="24">
        <v>2030</v>
      </c>
      <c r="GH158" s="24">
        <v>1823</v>
      </c>
      <c r="GK158" s="24"/>
      <c r="GL158" s="24"/>
      <c r="GM158" s="24"/>
      <c r="GN158" s="24"/>
      <c r="GO158" s="24"/>
      <c r="GP158" s="24">
        <v>2022</v>
      </c>
      <c r="GQ158" s="24">
        <v>3</v>
      </c>
      <c r="GR158" s="24">
        <v>2.92857142857143E-2</v>
      </c>
      <c r="GS158" s="24" t="s">
        <v>32</v>
      </c>
      <c r="GX158">
        <v>2022</v>
      </c>
      <c r="GY158">
        <v>3</v>
      </c>
      <c r="GZ158" t="s">
        <v>32</v>
      </c>
      <c r="HA158">
        <v>19227</v>
      </c>
      <c r="HB158">
        <v>17612</v>
      </c>
      <c r="HC158">
        <v>1</v>
      </c>
      <c r="HD158">
        <v>19</v>
      </c>
      <c r="HE158">
        <v>0</v>
      </c>
      <c r="HF158">
        <v>818</v>
      </c>
      <c r="HG158">
        <v>0</v>
      </c>
      <c r="HH158">
        <v>0</v>
      </c>
      <c r="HI158">
        <v>192</v>
      </c>
      <c r="HL158">
        <v>2022</v>
      </c>
      <c r="HM158">
        <v>3</v>
      </c>
      <c r="HN158" t="s">
        <v>32</v>
      </c>
      <c r="HO158">
        <v>18407</v>
      </c>
      <c r="HP158">
        <v>17269</v>
      </c>
      <c r="HQ158">
        <v>1</v>
      </c>
      <c r="HR158">
        <v>21</v>
      </c>
      <c r="HS158">
        <v>0</v>
      </c>
      <c r="HT158">
        <v>840</v>
      </c>
      <c r="HU158">
        <v>0</v>
      </c>
      <c r="HV158">
        <v>0</v>
      </c>
      <c r="HW158">
        <v>44</v>
      </c>
      <c r="HZ158" s="24">
        <v>2022</v>
      </c>
      <c r="IA158" s="24">
        <v>3</v>
      </c>
      <c r="IB158" s="24" t="s">
        <v>32</v>
      </c>
      <c r="IC158" s="24">
        <v>2140</v>
      </c>
      <c r="ID158" s="24">
        <v>1702</v>
      </c>
      <c r="IG158" s="24">
        <v>2022</v>
      </c>
      <c r="IH158" s="24">
        <v>3</v>
      </c>
      <c r="II158" s="24" t="s">
        <v>32</v>
      </c>
      <c r="IJ158" s="24">
        <v>1972</v>
      </c>
      <c r="IK158" s="24">
        <v>1662</v>
      </c>
    </row>
    <row r="159" spans="9:245" x14ac:dyDescent="0.4">
      <c r="I159" s="305">
        <v>2022</v>
      </c>
      <c r="J159" s="306">
        <v>3</v>
      </c>
      <c r="K159" s="306" t="s">
        <v>32</v>
      </c>
      <c r="L159" s="306">
        <v>18494</v>
      </c>
      <c r="M159" s="306">
        <v>17449</v>
      </c>
      <c r="N159" s="306">
        <v>130</v>
      </c>
      <c r="O159" s="306">
        <v>465</v>
      </c>
      <c r="P159" s="306">
        <v>49</v>
      </c>
      <c r="Q159" s="306">
        <v>36</v>
      </c>
      <c r="R159" s="24"/>
      <c r="S159" s="24"/>
      <c r="T159" s="24"/>
      <c r="W159" s="24">
        <v>2022</v>
      </c>
      <c r="X159" s="24">
        <v>3</v>
      </c>
      <c r="Y159" s="24" t="s">
        <v>33</v>
      </c>
      <c r="Z159" s="24">
        <v>306159</v>
      </c>
      <c r="AA159" s="24">
        <v>189122</v>
      </c>
      <c r="AB159" s="24">
        <v>721</v>
      </c>
      <c r="AC159" s="24">
        <v>46</v>
      </c>
      <c r="AD159" s="297"/>
      <c r="AE159" s="297"/>
      <c r="AF159" s="297"/>
      <c r="AG159" s="297"/>
      <c r="AH159" s="297"/>
      <c r="AI159" s="24"/>
      <c r="AJ159" s="24"/>
      <c r="AK159" s="24">
        <v>2022</v>
      </c>
      <c r="AL159" s="24">
        <v>3</v>
      </c>
      <c r="AM159" s="24">
        <v>16114.75</v>
      </c>
      <c r="AN159" s="24">
        <v>2165.5700000000002</v>
      </c>
      <c r="AO159" s="24">
        <v>0</v>
      </c>
      <c r="AP159" s="24">
        <v>390</v>
      </c>
      <c r="AQ159" s="24">
        <v>0</v>
      </c>
      <c r="AR159" s="24">
        <v>0</v>
      </c>
      <c r="AS159" s="24" t="s">
        <v>33</v>
      </c>
      <c r="AT159" s="24"/>
      <c r="AU159" s="24">
        <v>2022</v>
      </c>
      <c r="AV159" s="24">
        <v>3</v>
      </c>
      <c r="AW159" s="24">
        <v>0.04</v>
      </c>
      <c r="AX159" s="24">
        <v>12500</v>
      </c>
      <c r="AY159" s="24">
        <v>307810</v>
      </c>
      <c r="AZ159" s="24" t="s">
        <v>33</v>
      </c>
      <c r="BA159" s="24"/>
      <c r="BB159" s="24"/>
      <c r="BC159" s="24">
        <v>2022</v>
      </c>
      <c r="BD159" s="24">
        <v>3</v>
      </c>
      <c r="BE159" s="24">
        <v>2512.4241428571399</v>
      </c>
      <c r="BF159" s="24" t="s">
        <v>33</v>
      </c>
      <c r="BG159" s="24"/>
      <c r="BI159" s="24">
        <v>2022</v>
      </c>
      <c r="BJ159" s="24">
        <v>32</v>
      </c>
      <c r="BK159" s="24" t="s">
        <v>33</v>
      </c>
      <c r="BL159" s="24" t="s">
        <v>272</v>
      </c>
      <c r="BM159" s="24">
        <v>51709</v>
      </c>
      <c r="BN159" s="24">
        <v>51675</v>
      </c>
      <c r="BO159" s="24">
        <v>192642</v>
      </c>
      <c r="BR159" s="24">
        <v>2022</v>
      </c>
      <c r="BS159" s="24">
        <v>3</v>
      </c>
      <c r="BT159" s="24">
        <v>306832</v>
      </c>
      <c r="BU159" s="24">
        <v>4</v>
      </c>
      <c r="BV159" s="24" t="s">
        <v>33</v>
      </c>
      <c r="BY159" s="24">
        <v>2022</v>
      </c>
      <c r="BZ159" s="24">
        <v>6</v>
      </c>
      <c r="CA159" s="24" t="s">
        <v>33</v>
      </c>
      <c r="CB159" s="24" t="s">
        <v>423</v>
      </c>
      <c r="CC159" s="24">
        <v>44</v>
      </c>
      <c r="CF159" s="24">
        <v>2022</v>
      </c>
      <c r="CG159" s="24">
        <v>3</v>
      </c>
      <c r="CH159" s="24" t="s">
        <v>33</v>
      </c>
      <c r="CI159" s="24">
        <v>130.32071249945159</v>
      </c>
      <c r="CJ159" s="24">
        <v>297040</v>
      </c>
      <c r="CK159" s="24">
        <v>2279.3000000000002</v>
      </c>
      <c r="CL159" s="24">
        <v>133.38176953593504</v>
      </c>
      <c r="CM159" s="24">
        <v>144269</v>
      </c>
      <c r="CN159" s="24">
        <v>289145</v>
      </c>
      <c r="CO159" s="24">
        <v>2167.8000000000002</v>
      </c>
      <c r="CP159" s="24">
        <v>48729</v>
      </c>
      <c r="CQ159" s="24">
        <v>255.5</v>
      </c>
      <c r="CR159" s="24">
        <v>1141.8</v>
      </c>
      <c r="CS159" s="24">
        <v>141034</v>
      </c>
      <c r="CT159" s="24">
        <v>141034</v>
      </c>
      <c r="CU159" s="24">
        <v>1442.9</v>
      </c>
      <c r="CV159" s="24">
        <v>44655</v>
      </c>
      <c r="CW159" s="24">
        <v>0</v>
      </c>
      <c r="CX159" s="24">
        <v>128249</v>
      </c>
      <c r="CY159" s="24">
        <v>732.8</v>
      </c>
      <c r="CZ159" s="24">
        <v>39047</v>
      </c>
      <c r="DA159" s="24">
        <v>1141.8</v>
      </c>
      <c r="DD159" s="24">
        <v>2022</v>
      </c>
      <c r="DE159" s="24">
        <v>3</v>
      </c>
      <c r="DF159" s="24" t="s">
        <v>33</v>
      </c>
      <c r="DG159" s="24">
        <v>44991</v>
      </c>
      <c r="DH159" s="24">
        <v>23164</v>
      </c>
      <c r="DJ159" s="24">
        <v>2022</v>
      </c>
      <c r="DK159" s="24">
        <v>2</v>
      </c>
      <c r="DL159" s="24" t="s">
        <v>32</v>
      </c>
      <c r="DM159" s="24">
        <v>21</v>
      </c>
      <c r="DP159" s="24">
        <v>2021</v>
      </c>
      <c r="DQ159" s="24">
        <v>21</v>
      </c>
      <c r="DR159" s="24" t="s">
        <v>33</v>
      </c>
      <c r="DS159" s="24">
        <v>29395</v>
      </c>
      <c r="DT159" s="24">
        <v>463</v>
      </c>
      <c r="DW159" s="24">
        <v>2022</v>
      </c>
      <c r="DX159" s="24">
        <v>22</v>
      </c>
      <c r="DY159" s="24" t="s">
        <v>32</v>
      </c>
      <c r="DZ159" s="24">
        <v>1</v>
      </c>
      <c r="EA159" s="24" t="s">
        <v>149</v>
      </c>
      <c r="EB159" s="24">
        <v>0</v>
      </c>
      <c r="EC159" s="24">
        <v>0.3</v>
      </c>
      <c r="ED159" s="24"/>
      <c r="EE159" s="24">
        <v>1328</v>
      </c>
      <c r="EF159" s="24">
        <v>1.4</v>
      </c>
      <c r="EI159" s="24">
        <v>2023</v>
      </c>
      <c r="EJ159" s="24">
        <v>6</v>
      </c>
      <c r="EK159" s="24" t="s">
        <v>211</v>
      </c>
      <c r="EL159" s="24" t="s">
        <v>247</v>
      </c>
      <c r="EM159" s="24" t="s">
        <v>234</v>
      </c>
      <c r="EN159" s="24">
        <v>2</v>
      </c>
      <c r="EO159" s="24"/>
      <c r="EP159" s="24"/>
      <c r="EQ159" s="24"/>
      <c r="ER159" s="24"/>
      <c r="ES159" s="24">
        <v>2022</v>
      </c>
      <c r="ET159" s="24">
        <v>8</v>
      </c>
      <c r="EU159" s="24" t="s">
        <v>32</v>
      </c>
      <c r="EV159" s="24">
        <v>7674</v>
      </c>
      <c r="EY159" s="24">
        <v>2022</v>
      </c>
      <c r="EZ159" s="24">
        <v>6</v>
      </c>
      <c r="FA159" s="24" t="s">
        <v>33</v>
      </c>
      <c r="FB159" s="24">
        <v>571</v>
      </c>
      <c r="FE159" s="24">
        <v>2022</v>
      </c>
      <c r="FF159" s="24">
        <v>3</v>
      </c>
      <c r="FG159" s="24" t="s">
        <v>33</v>
      </c>
      <c r="FH159" s="24">
        <v>0.92200000000000004</v>
      </c>
      <c r="FI159" s="24">
        <v>12968</v>
      </c>
      <c r="FJ159" s="24">
        <v>5932</v>
      </c>
      <c r="FK159" s="24">
        <v>6481</v>
      </c>
      <c r="FN159" s="24">
        <v>2022</v>
      </c>
      <c r="FO159" s="24">
        <v>4</v>
      </c>
      <c r="FP159" s="24" t="s">
        <v>33</v>
      </c>
      <c r="FQ159" s="24">
        <v>927772</v>
      </c>
      <c r="FR159" s="24">
        <v>7991.4166666666697</v>
      </c>
      <c r="FS159" s="24">
        <v>353602</v>
      </c>
      <c r="FT159" s="24">
        <v>2631.5</v>
      </c>
      <c r="FW159" s="24">
        <v>2022</v>
      </c>
      <c r="FX159" s="24">
        <v>3</v>
      </c>
      <c r="FY159" s="24" t="s">
        <v>33</v>
      </c>
      <c r="FZ159" s="24">
        <v>14048</v>
      </c>
      <c r="GA159" s="24">
        <v>12221</v>
      </c>
      <c r="GB159" s="24"/>
      <c r="GC159" s="24"/>
      <c r="GD159" s="24">
        <v>2022</v>
      </c>
      <c r="GE159" s="24">
        <v>3</v>
      </c>
      <c r="GF159" s="24" t="s">
        <v>33</v>
      </c>
      <c r="GG159" s="24">
        <v>13855</v>
      </c>
      <c r="GH159" s="24">
        <v>12585</v>
      </c>
      <c r="GK159" s="24"/>
      <c r="GL159" s="24"/>
      <c r="GM159" s="24"/>
      <c r="GN159" s="24"/>
      <c r="GO159" s="24"/>
      <c r="GP159" s="24">
        <v>2022</v>
      </c>
      <c r="GQ159" s="24">
        <v>3</v>
      </c>
      <c r="GR159" s="24">
        <v>6.9158571428571403</v>
      </c>
      <c r="GS159" s="24" t="s">
        <v>33</v>
      </c>
      <c r="GX159">
        <v>2022</v>
      </c>
      <c r="GY159">
        <v>3</v>
      </c>
      <c r="GZ159" t="s">
        <v>33</v>
      </c>
      <c r="HA159">
        <v>306071</v>
      </c>
      <c r="HB159">
        <v>260561</v>
      </c>
      <c r="HC159">
        <v>808</v>
      </c>
      <c r="HD159">
        <v>1523</v>
      </c>
      <c r="HE159">
        <v>1</v>
      </c>
      <c r="HF159">
        <v>21407</v>
      </c>
      <c r="HG159">
        <v>0</v>
      </c>
      <c r="HH159">
        <v>0</v>
      </c>
      <c r="HI159">
        <v>2662</v>
      </c>
      <c r="HL159">
        <v>2022</v>
      </c>
      <c r="HM159">
        <v>3</v>
      </c>
      <c r="HN159" t="s">
        <v>33</v>
      </c>
      <c r="HO159">
        <v>305836</v>
      </c>
      <c r="HP159">
        <v>271824</v>
      </c>
      <c r="HQ159">
        <v>831</v>
      </c>
      <c r="HR159">
        <v>1045</v>
      </c>
      <c r="HS159">
        <v>0</v>
      </c>
      <c r="HT159">
        <v>21804</v>
      </c>
      <c r="HU159">
        <v>0</v>
      </c>
      <c r="HV159">
        <v>1</v>
      </c>
      <c r="HW159">
        <v>1324</v>
      </c>
      <c r="HZ159" s="24">
        <v>2022</v>
      </c>
      <c r="IA159" s="24">
        <v>3</v>
      </c>
      <c r="IB159" s="24" t="s">
        <v>33</v>
      </c>
      <c r="IC159" s="24">
        <v>13974</v>
      </c>
      <c r="ID159" s="24">
        <v>12108</v>
      </c>
      <c r="IG159" s="24">
        <v>2022</v>
      </c>
      <c r="IH159" s="24">
        <v>3</v>
      </c>
      <c r="II159" s="24" t="s">
        <v>33</v>
      </c>
      <c r="IJ159" s="24">
        <v>12763</v>
      </c>
      <c r="IK159" s="24">
        <v>11924</v>
      </c>
    </row>
    <row r="160" spans="9:245" x14ac:dyDescent="0.4">
      <c r="I160" s="305">
        <v>2022</v>
      </c>
      <c r="J160" s="306">
        <v>3</v>
      </c>
      <c r="K160" s="306" t="s">
        <v>33</v>
      </c>
      <c r="L160" s="306">
        <v>307638</v>
      </c>
      <c r="M160" s="306">
        <v>187215</v>
      </c>
      <c r="N160" s="306">
        <v>1808</v>
      </c>
      <c r="O160" s="306">
        <v>22127</v>
      </c>
      <c r="P160" s="306">
        <v>955</v>
      </c>
      <c r="Q160" s="306">
        <v>69</v>
      </c>
      <c r="R160" s="24"/>
      <c r="S160" s="24"/>
      <c r="T160" s="24"/>
      <c r="W160" s="24">
        <v>2022</v>
      </c>
      <c r="X160" s="24">
        <v>2</v>
      </c>
      <c r="Y160" s="24" t="s">
        <v>32</v>
      </c>
      <c r="Z160" s="24">
        <v>13553</v>
      </c>
      <c r="AA160" s="24">
        <v>13226</v>
      </c>
      <c r="AB160" s="24">
        <v>10</v>
      </c>
      <c r="AC160" s="24">
        <v>8</v>
      </c>
      <c r="AD160" s="297"/>
      <c r="AE160" s="297"/>
      <c r="AF160" s="297"/>
      <c r="AG160" s="297"/>
      <c r="AH160" s="297"/>
      <c r="AI160" s="24"/>
      <c r="AJ160" s="24"/>
      <c r="AK160" s="24">
        <v>2022</v>
      </c>
      <c r="AL160" s="24">
        <v>2</v>
      </c>
      <c r="AM160" s="24">
        <v>601.52</v>
      </c>
      <c r="AN160" s="24">
        <v>56.93</v>
      </c>
      <c r="AO160" s="24">
        <v>0</v>
      </c>
      <c r="AP160" s="24">
        <v>15</v>
      </c>
      <c r="AQ160" s="24">
        <v>0</v>
      </c>
      <c r="AR160" s="24">
        <v>0</v>
      </c>
      <c r="AS160" s="24" t="s">
        <v>32</v>
      </c>
      <c r="AT160" s="24"/>
      <c r="AU160" s="24">
        <v>2022</v>
      </c>
      <c r="AV160" s="24">
        <v>2</v>
      </c>
      <c r="AW160" s="24">
        <v>0.24</v>
      </c>
      <c r="AX160" s="24">
        <v>3300</v>
      </c>
      <c r="AY160" s="24">
        <v>13886</v>
      </c>
      <c r="AZ160" s="24" t="s">
        <v>32</v>
      </c>
      <c r="BA160" s="24"/>
      <c r="BB160" s="24"/>
      <c r="BC160" s="24">
        <v>2022</v>
      </c>
      <c r="BD160" s="24">
        <v>2</v>
      </c>
      <c r="BE160" s="24">
        <v>232.726</v>
      </c>
      <c r="BF160" s="24" t="s">
        <v>32</v>
      </c>
      <c r="BG160" s="24"/>
      <c r="BI160" s="24">
        <v>2022</v>
      </c>
      <c r="BJ160" s="24">
        <v>32</v>
      </c>
      <c r="BK160" s="24" t="s">
        <v>33</v>
      </c>
      <c r="BL160" s="24" t="s">
        <v>273</v>
      </c>
      <c r="BM160" s="24">
        <v>90102</v>
      </c>
      <c r="BN160" s="24">
        <v>89499</v>
      </c>
      <c r="BO160" s="24">
        <v>92501</v>
      </c>
      <c r="BR160" s="24">
        <v>2022</v>
      </c>
      <c r="BS160" s="24">
        <v>2</v>
      </c>
      <c r="BT160" s="24">
        <v>279385</v>
      </c>
      <c r="BU160" s="24">
        <v>1</v>
      </c>
      <c r="BV160" s="24" t="s">
        <v>33</v>
      </c>
      <c r="BY160" s="24">
        <v>2022</v>
      </c>
      <c r="BZ160" s="24">
        <v>5</v>
      </c>
      <c r="CA160" s="24" t="s">
        <v>33</v>
      </c>
      <c r="CB160" s="24" t="s">
        <v>423</v>
      </c>
      <c r="CC160" s="24">
        <v>42</v>
      </c>
      <c r="CF160" s="24">
        <v>2022</v>
      </c>
      <c r="CG160" s="24">
        <v>2</v>
      </c>
      <c r="CH160" s="24" t="s">
        <v>32</v>
      </c>
      <c r="CI160" s="24">
        <v>107.40223463687151</v>
      </c>
      <c r="CJ160" s="24">
        <v>11535</v>
      </c>
      <c r="CK160" s="24">
        <v>107.4</v>
      </c>
      <c r="CL160" s="24">
        <v>58.189335614485316</v>
      </c>
      <c r="CM160" s="24">
        <v>10193</v>
      </c>
      <c r="CN160" s="24">
        <v>20407</v>
      </c>
      <c r="CO160" s="24">
        <v>350.7</v>
      </c>
      <c r="CP160" s="24">
        <v>7466</v>
      </c>
      <c r="CQ160" s="24">
        <v>64.099999999999994</v>
      </c>
      <c r="CR160" s="24">
        <v>198.2</v>
      </c>
      <c r="CS160" s="24">
        <v>11029</v>
      </c>
      <c r="CT160" s="24">
        <v>11029</v>
      </c>
      <c r="CU160" s="24">
        <v>235.7</v>
      </c>
      <c r="CV160" s="24">
        <v>2267</v>
      </c>
      <c r="CW160" s="24">
        <v>0</v>
      </c>
      <c r="CX160" s="24">
        <v>7645</v>
      </c>
      <c r="CY160" s="24">
        <v>48.8</v>
      </c>
      <c r="CZ160" s="24">
        <v>5731</v>
      </c>
      <c r="DA160" s="24">
        <v>198.2</v>
      </c>
      <c r="DD160" s="24">
        <v>2022</v>
      </c>
      <c r="DE160" s="24">
        <v>2</v>
      </c>
      <c r="DF160" s="24" t="s">
        <v>32</v>
      </c>
      <c r="DG160" s="24">
        <v>7382</v>
      </c>
      <c r="DH160" s="24">
        <v>2348</v>
      </c>
      <c r="DJ160" s="24">
        <v>2022</v>
      </c>
      <c r="DK160" s="24">
        <v>2</v>
      </c>
      <c r="DL160" s="24" t="s">
        <v>33</v>
      </c>
      <c r="DM160" s="24">
        <v>792</v>
      </c>
      <c r="DP160" s="24">
        <v>2021</v>
      </c>
      <c r="DQ160" s="24">
        <v>20</v>
      </c>
      <c r="DR160" s="24" t="s">
        <v>33</v>
      </c>
      <c r="DS160" s="24">
        <v>27661</v>
      </c>
      <c r="DT160" s="24">
        <v>319</v>
      </c>
      <c r="DW160" s="24">
        <v>2022</v>
      </c>
      <c r="DX160" s="24">
        <v>22</v>
      </c>
      <c r="DY160" s="24" t="s">
        <v>33</v>
      </c>
      <c r="DZ160" s="24">
        <v>15</v>
      </c>
      <c r="EA160" s="24" t="s">
        <v>562</v>
      </c>
      <c r="EB160" s="24">
        <v>223.2</v>
      </c>
      <c r="EC160" s="24">
        <v>12.9</v>
      </c>
      <c r="ED160" s="24">
        <v>438</v>
      </c>
      <c r="EE160" s="24">
        <v>11705</v>
      </c>
      <c r="EF160" s="24">
        <v>25.9</v>
      </c>
      <c r="EI160" s="24">
        <v>2023</v>
      </c>
      <c r="EJ160" s="24">
        <v>5</v>
      </c>
      <c r="EK160" s="24" t="s">
        <v>208</v>
      </c>
      <c r="EL160" s="24" t="s">
        <v>352</v>
      </c>
      <c r="EM160" s="24" t="s">
        <v>210</v>
      </c>
      <c r="EN160" s="24">
        <v>1</v>
      </c>
      <c r="EO160" s="24"/>
      <c r="EP160" s="24"/>
      <c r="EQ160" s="24"/>
      <c r="ER160" s="24"/>
      <c r="ES160" s="24">
        <v>2022</v>
      </c>
      <c r="ET160" s="24">
        <v>8</v>
      </c>
      <c r="EU160" s="24" t="s">
        <v>33</v>
      </c>
      <c r="EV160" s="24">
        <v>146864</v>
      </c>
      <c r="EY160" s="24">
        <v>2022</v>
      </c>
      <c r="EZ160" s="24">
        <v>5</v>
      </c>
      <c r="FA160" s="24" t="s">
        <v>32</v>
      </c>
      <c r="FB160" s="24">
        <v>663</v>
      </c>
      <c r="FE160" s="24">
        <v>2022</v>
      </c>
      <c r="FF160" s="24">
        <v>2</v>
      </c>
      <c r="FG160" s="24" t="s">
        <v>32</v>
      </c>
      <c r="FH160" s="24">
        <v>0.84210000000000007</v>
      </c>
      <c r="FI160" s="24">
        <v>397</v>
      </c>
      <c r="FJ160" s="24">
        <v>188</v>
      </c>
      <c r="FK160" s="24">
        <v>221</v>
      </c>
      <c r="FN160" s="24">
        <v>2022</v>
      </c>
      <c r="FO160" s="24">
        <v>3</v>
      </c>
      <c r="FP160" s="24" t="s">
        <v>32</v>
      </c>
      <c r="FQ160" s="24">
        <v>43110</v>
      </c>
      <c r="FR160" s="24">
        <v>803.86666666666702</v>
      </c>
      <c r="FS160" s="24">
        <v>35082</v>
      </c>
      <c r="FT160" s="24">
        <v>307.91666666666697</v>
      </c>
      <c r="FW160" s="24">
        <v>2022</v>
      </c>
      <c r="FX160" s="24">
        <v>2</v>
      </c>
      <c r="FY160" s="24" t="s">
        <v>32</v>
      </c>
      <c r="FZ160" s="24">
        <v>1723</v>
      </c>
      <c r="GA160" s="24">
        <v>1647</v>
      </c>
      <c r="GB160" s="24"/>
      <c r="GC160" s="24"/>
      <c r="GD160" s="24">
        <v>2022</v>
      </c>
      <c r="GE160" s="24">
        <v>2</v>
      </c>
      <c r="GF160" s="24" t="s">
        <v>32</v>
      </c>
      <c r="GG160" s="24">
        <v>1719</v>
      </c>
      <c r="GH160" s="24">
        <v>1648</v>
      </c>
      <c r="GK160" s="24"/>
      <c r="GL160" s="24"/>
      <c r="GM160" s="24"/>
      <c r="GN160" s="24"/>
      <c r="GO160" s="24"/>
      <c r="GP160" s="24">
        <v>2022</v>
      </c>
      <c r="GQ160" s="24">
        <v>2</v>
      </c>
      <c r="GR160" s="24">
        <v>2.9000000000000001E-2</v>
      </c>
      <c r="GS160" s="24" t="s">
        <v>32</v>
      </c>
      <c r="GX160">
        <v>2022</v>
      </c>
      <c r="GY160">
        <v>2</v>
      </c>
      <c r="GZ160" t="s">
        <v>32</v>
      </c>
      <c r="HA160">
        <v>13590</v>
      </c>
      <c r="HB160">
        <v>13151</v>
      </c>
      <c r="HC160">
        <v>0</v>
      </c>
      <c r="HD160">
        <v>0</v>
      </c>
      <c r="HE160">
        <v>0</v>
      </c>
      <c r="HF160">
        <v>98</v>
      </c>
      <c r="HG160">
        <v>0</v>
      </c>
      <c r="HH160">
        <v>0</v>
      </c>
      <c r="HI160">
        <v>74</v>
      </c>
      <c r="HL160">
        <v>2022</v>
      </c>
      <c r="HM160">
        <v>2</v>
      </c>
      <c r="HN160" t="s">
        <v>32</v>
      </c>
      <c r="HO160">
        <v>13455</v>
      </c>
      <c r="HP160">
        <v>13138</v>
      </c>
      <c r="HQ160">
        <v>0</v>
      </c>
      <c r="HR160">
        <v>1</v>
      </c>
      <c r="HS160">
        <v>0</v>
      </c>
      <c r="HT160">
        <v>132</v>
      </c>
      <c r="HU160">
        <v>0</v>
      </c>
      <c r="HV160">
        <v>0</v>
      </c>
      <c r="HW160">
        <v>14</v>
      </c>
      <c r="HZ160" s="24">
        <v>2022</v>
      </c>
      <c r="IA160" s="24">
        <v>2</v>
      </c>
      <c r="IB160" s="24" t="s">
        <v>32</v>
      </c>
      <c r="IC160" s="24">
        <v>1743</v>
      </c>
      <c r="ID160" s="24">
        <v>1631</v>
      </c>
      <c r="IG160" s="24">
        <v>2022</v>
      </c>
      <c r="IH160" s="24">
        <v>2</v>
      </c>
      <c r="II160" s="24" t="s">
        <v>32</v>
      </c>
      <c r="IJ160" s="24">
        <v>1625</v>
      </c>
      <c r="IK160" s="24">
        <v>1532</v>
      </c>
    </row>
    <row r="161" spans="9:245" x14ac:dyDescent="0.4">
      <c r="I161" s="305">
        <v>2022</v>
      </c>
      <c r="J161" s="306">
        <v>2</v>
      </c>
      <c r="K161" s="306" t="s">
        <v>32</v>
      </c>
      <c r="L161" s="306">
        <v>13652</v>
      </c>
      <c r="M161" s="306">
        <v>13277</v>
      </c>
      <c r="N161" s="306">
        <v>46</v>
      </c>
      <c r="O161" s="306">
        <v>125</v>
      </c>
      <c r="P161" s="306">
        <v>9</v>
      </c>
      <c r="Q161" s="306">
        <v>12</v>
      </c>
      <c r="R161" s="24"/>
      <c r="S161" s="24"/>
      <c r="T161" s="24"/>
      <c r="W161" s="24">
        <v>2022</v>
      </c>
      <c r="X161" s="24">
        <v>2</v>
      </c>
      <c r="Y161" s="24" t="s">
        <v>33</v>
      </c>
      <c r="Z161" s="24">
        <v>269616</v>
      </c>
      <c r="AA161" s="24">
        <v>176425</v>
      </c>
      <c r="AB161" s="24">
        <v>672</v>
      </c>
      <c r="AC161" s="24">
        <v>40</v>
      </c>
      <c r="AD161" s="297"/>
      <c r="AE161" s="297"/>
      <c r="AF161" s="297"/>
      <c r="AG161" s="297"/>
      <c r="AH161" s="297"/>
      <c r="AI161" s="24"/>
      <c r="AJ161" s="24"/>
      <c r="AK161" s="24">
        <v>2022</v>
      </c>
      <c r="AL161" s="24">
        <v>2</v>
      </c>
      <c r="AM161" s="24">
        <v>14719.82</v>
      </c>
      <c r="AN161" s="24">
        <v>1611.3500000000001</v>
      </c>
      <c r="AO161" s="24">
        <v>0</v>
      </c>
      <c r="AP161" s="24">
        <v>377</v>
      </c>
      <c r="AQ161" s="24">
        <v>0</v>
      </c>
      <c r="AR161" s="24">
        <v>0</v>
      </c>
      <c r="AS161" s="24" t="s">
        <v>33</v>
      </c>
      <c r="AT161" s="24"/>
      <c r="AU161" s="24">
        <v>2022</v>
      </c>
      <c r="AV161" s="24">
        <v>2</v>
      </c>
      <c r="AW161" s="24">
        <v>7.0000000000000007E-2</v>
      </c>
      <c r="AX161" s="24">
        <v>20700</v>
      </c>
      <c r="AY161" s="24">
        <v>280089</v>
      </c>
      <c r="AZ161" s="24" t="s">
        <v>33</v>
      </c>
      <c r="BA161" s="24"/>
      <c r="BB161" s="24"/>
      <c r="BC161" s="24">
        <v>2022</v>
      </c>
      <c r="BD161" s="24">
        <v>2</v>
      </c>
      <c r="BE161" s="24">
        <v>2529.7474285714297</v>
      </c>
      <c r="BF161" s="24" t="s">
        <v>33</v>
      </c>
      <c r="BG161" s="24"/>
      <c r="BI161" s="24">
        <v>2022</v>
      </c>
      <c r="BJ161" s="24">
        <v>32</v>
      </c>
      <c r="BK161" s="24" t="s">
        <v>32</v>
      </c>
      <c r="BL161" s="24" t="s">
        <v>273</v>
      </c>
      <c r="BM161" s="24">
        <v>6932</v>
      </c>
      <c r="BN161" s="24">
        <v>6863</v>
      </c>
      <c r="BO161" s="24">
        <v>7113</v>
      </c>
      <c r="BR161" s="24">
        <v>2022</v>
      </c>
      <c r="BS161" s="24">
        <v>2</v>
      </c>
      <c r="BT161" s="24">
        <v>13810</v>
      </c>
      <c r="BU161" s="24">
        <v>0</v>
      </c>
      <c r="BV161" s="24" t="s">
        <v>32</v>
      </c>
      <c r="BY161" s="24">
        <v>2022</v>
      </c>
      <c r="BZ161" s="24">
        <v>4</v>
      </c>
      <c r="CA161" s="24" t="s">
        <v>33</v>
      </c>
      <c r="CB161" s="24" t="s">
        <v>108</v>
      </c>
      <c r="CC161" s="24">
        <v>2</v>
      </c>
      <c r="CF161" s="24">
        <v>2022</v>
      </c>
      <c r="CG161" s="24">
        <v>2</v>
      </c>
      <c r="CH161" s="24" t="s">
        <v>33</v>
      </c>
      <c r="CI161" s="24">
        <v>141.61532473309609</v>
      </c>
      <c r="CJ161" s="24">
        <v>254681</v>
      </c>
      <c r="CK161" s="24">
        <v>1798.4</v>
      </c>
      <c r="CL161" s="24">
        <v>141.56584627459776</v>
      </c>
      <c r="CM161" s="24">
        <v>125753</v>
      </c>
      <c r="CN161" s="24">
        <v>252511</v>
      </c>
      <c r="CO161" s="24">
        <v>1783.7</v>
      </c>
      <c r="CP161" s="24">
        <v>45925</v>
      </c>
      <c r="CQ161" s="24">
        <v>271.60000000000002</v>
      </c>
      <c r="CR161" s="24">
        <v>1187.3</v>
      </c>
      <c r="CS161" s="24">
        <v>143285</v>
      </c>
      <c r="CT161" s="24">
        <v>143285</v>
      </c>
      <c r="CU161" s="24">
        <v>1473.2</v>
      </c>
      <c r="CV161" s="24">
        <v>40557</v>
      </c>
      <c r="CW161" s="24">
        <v>0</v>
      </c>
      <c r="CX161" s="24">
        <v>126528</v>
      </c>
      <c r="CY161" s="24">
        <v>702.2</v>
      </c>
      <c r="CZ161" s="24">
        <v>34062</v>
      </c>
      <c r="DA161" s="24">
        <v>1187.3</v>
      </c>
      <c r="DD161" s="24">
        <v>2022</v>
      </c>
      <c r="DE161" s="24">
        <v>2</v>
      </c>
      <c r="DF161" s="24" t="s">
        <v>33</v>
      </c>
      <c r="DG161" s="24">
        <v>32933</v>
      </c>
      <c r="DH161" s="24">
        <v>24448</v>
      </c>
      <c r="DJ161" s="24">
        <v>2022</v>
      </c>
      <c r="DK161" s="24">
        <v>1</v>
      </c>
      <c r="DL161" s="24" t="s">
        <v>32</v>
      </c>
      <c r="DM161" s="24">
        <v>6</v>
      </c>
      <c r="DP161" s="24">
        <v>2021</v>
      </c>
      <c r="DQ161" s="24">
        <v>19</v>
      </c>
      <c r="DR161" s="24" t="s">
        <v>33</v>
      </c>
      <c r="DS161" s="24">
        <v>24668</v>
      </c>
      <c r="DT161" s="24">
        <v>140</v>
      </c>
      <c r="DW161" s="24">
        <v>2022</v>
      </c>
      <c r="DX161" s="24">
        <v>22</v>
      </c>
      <c r="DY161" s="24" t="s">
        <v>33</v>
      </c>
      <c r="DZ161" s="24">
        <v>59</v>
      </c>
      <c r="EA161" s="24" t="s">
        <v>149</v>
      </c>
      <c r="EB161" s="24">
        <v>61</v>
      </c>
      <c r="EC161" s="24">
        <v>1396.2</v>
      </c>
      <c r="ED161" s="24">
        <v>50874</v>
      </c>
      <c r="EE161" s="24">
        <v>51916</v>
      </c>
      <c r="EF161" s="24">
        <v>143</v>
      </c>
      <c r="EI161" s="24">
        <v>2023</v>
      </c>
      <c r="EJ161" s="24">
        <v>5</v>
      </c>
      <c r="EK161" s="24" t="s">
        <v>208</v>
      </c>
      <c r="EL161" s="24" t="s">
        <v>554</v>
      </c>
      <c r="EM161" s="24" t="s">
        <v>210</v>
      </c>
      <c r="EN161" s="24">
        <v>1</v>
      </c>
      <c r="EO161" s="24"/>
      <c r="EP161" s="24"/>
      <c r="EQ161" s="24"/>
      <c r="ER161" s="24"/>
      <c r="ES161" s="24">
        <v>2022</v>
      </c>
      <c r="ET161" s="24">
        <v>8</v>
      </c>
      <c r="EU161" s="24" t="s">
        <v>213</v>
      </c>
      <c r="EV161" s="24">
        <v>2</v>
      </c>
      <c r="EY161" s="24">
        <v>2022</v>
      </c>
      <c r="EZ161" s="24">
        <v>5</v>
      </c>
      <c r="FA161" s="24" t="s">
        <v>33</v>
      </c>
      <c r="FB161" s="24">
        <v>802</v>
      </c>
      <c r="FE161" s="24">
        <v>2022</v>
      </c>
      <c r="FF161" s="24">
        <v>2</v>
      </c>
      <c r="FG161" s="24" t="s">
        <v>33</v>
      </c>
      <c r="FH161" s="24">
        <v>0.96060000000000001</v>
      </c>
      <c r="FI161" s="24">
        <v>11262</v>
      </c>
      <c r="FJ161" s="24">
        <v>5101</v>
      </c>
      <c r="FK161" s="24">
        <v>5344</v>
      </c>
      <c r="FN161" s="24">
        <v>2022</v>
      </c>
      <c r="FO161" s="24">
        <v>3</v>
      </c>
      <c r="FP161" s="24" t="s">
        <v>33</v>
      </c>
      <c r="FQ161" s="24">
        <v>954754</v>
      </c>
      <c r="FR161" s="24">
        <v>7885.5</v>
      </c>
      <c r="FS161" s="24">
        <v>356683</v>
      </c>
      <c r="FT161" s="24">
        <v>2598.63333333333</v>
      </c>
      <c r="FW161" s="24">
        <v>2022</v>
      </c>
      <c r="FX161" s="24">
        <v>2</v>
      </c>
      <c r="FY161" s="24" t="s">
        <v>33</v>
      </c>
      <c r="FZ161" s="24">
        <v>13655</v>
      </c>
      <c r="GA161" s="24">
        <v>12483</v>
      </c>
      <c r="GB161" s="24"/>
      <c r="GC161" s="24"/>
      <c r="GD161" s="24">
        <v>2022</v>
      </c>
      <c r="GE161" s="24">
        <v>2</v>
      </c>
      <c r="GF161" s="24" t="s">
        <v>33</v>
      </c>
      <c r="GG161" s="24">
        <v>13596</v>
      </c>
      <c r="GH161" s="24">
        <v>12598</v>
      </c>
      <c r="GK161" s="24"/>
      <c r="GL161" s="24"/>
      <c r="GM161" s="24"/>
      <c r="GN161" s="24"/>
      <c r="GO161" s="24"/>
      <c r="GP161" s="24">
        <v>2022</v>
      </c>
      <c r="GQ161" s="24">
        <v>2</v>
      </c>
      <c r="GR161" s="24">
        <v>6.9095714285714296</v>
      </c>
      <c r="GS161" s="24" t="s">
        <v>33</v>
      </c>
      <c r="GX161">
        <v>2022</v>
      </c>
      <c r="GY161">
        <v>2</v>
      </c>
      <c r="GZ161" t="s">
        <v>33</v>
      </c>
      <c r="HA161">
        <v>276239</v>
      </c>
      <c r="HB161">
        <v>260169</v>
      </c>
      <c r="HC161">
        <v>530</v>
      </c>
      <c r="HD161">
        <v>525</v>
      </c>
      <c r="HE161">
        <v>0</v>
      </c>
      <c r="HF161">
        <v>9050</v>
      </c>
      <c r="HG161">
        <v>0</v>
      </c>
      <c r="HH161">
        <v>1</v>
      </c>
      <c r="HI161">
        <v>1584</v>
      </c>
      <c r="HL161">
        <v>2022</v>
      </c>
      <c r="HM161">
        <v>2</v>
      </c>
      <c r="HN161" t="s">
        <v>33</v>
      </c>
      <c r="HO161">
        <v>269135</v>
      </c>
      <c r="HP161">
        <v>263201</v>
      </c>
      <c r="HQ161">
        <v>534</v>
      </c>
      <c r="HR161">
        <v>207</v>
      </c>
      <c r="HS161">
        <v>0</v>
      </c>
      <c r="HT161">
        <v>4615</v>
      </c>
      <c r="HU161">
        <v>0</v>
      </c>
      <c r="HV161">
        <v>0</v>
      </c>
      <c r="HW161">
        <v>630</v>
      </c>
      <c r="HZ161" s="24">
        <v>2022</v>
      </c>
      <c r="IA161" s="24">
        <v>2</v>
      </c>
      <c r="IB161" s="24" t="s">
        <v>33</v>
      </c>
      <c r="IC161" s="24">
        <v>13877</v>
      </c>
      <c r="ID161" s="24">
        <v>12890</v>
      </c>
      <c r="IG161" s="24">
        <v>2022</v>
      </c>
      <c r="IH161" s="24">
        <v>2</v>
      </c>
      <c r="II161" s="24" t="s">
        <v>33</v>
      </c>
      <c r="IJ161" s="24">
        <v>12659</v>
      </c>
      <c r="IK161" s="24">
        <v>12563</v>
      </c>
    </row>
    <row r="162" spans="9:245" x14ac:dyDescent="0.4">
      <c r="I162" s="305">
        <v>2022</v>
      </c>
      <c r="J162" s="306">
        <v>2</v>
      </c>
      <c r="K162" s="306" t="s">
        <v>33</v>
      </c>
      <c r="L162" s="306">
        <v>271458</v>
      </c>
      <c r="M162" s="306">
        <v>176424</v>
      </c>
      <c r="N162" s="306">
        <v>981</v>
      </c>
      <c r="O162" s="306">
        <v>17824</v>
      </c>
      <c r="P162" s="306">
        <v>781</v>
      </c>
      <c r="Q162" s="306">
        <v>46</v>
      </c>
      <c r="R162" s="24"/>
      <c r="S162" s="24"/>
      <c r="T162" s="24"/>
      <c r="W162" s="24">
        <v>2022</v>
      </c>
      <c r="X162" s="24">
        <v>1</v>
      </c>
      <c r="Y162" s="24" t="s">
        <v>32</v>
      </c>
      <c r="Z162" s="24">
        <v>14043</v>
      </c>
      <c r="AA162" s="24">
        <v>13624</v>
      </c>
      <c r="AB162" s="24">
        <v>8</v>
      </c>
      <c r="AC162" s="24">
        <v>3</v>
      </c>
      <c r="AD162" s="297"/>
      <c r="AE162" s="297"/>
      <c r="AF162" s="297"/>
      <c r="AG162" s="297"/>
      <c r="AH162" s="297"/>
      <c r="AI162" s="24"/>
      <c r="AJ162" s="24"/>
      <c r="AK162" s="24">
        <v>2022</v>
      </c>
      <c r="AL162" s="24">
        <v>1</v>
      </c>
      <c r="AM162" s="24">
        <v>545.25</v>
      </c>
      <c r="AN162" s="24">
        <v>46.68</v>
      </c>
      <c r="AO162" s="24">
        <v>0</v>
      </c>
      <c r="AP162" s="24">
        <v>16</v>
      </c>
      <c r="AQ162" s="24">
        <v>0</v>
      </c>
      <c r="AR162" s="24">
        <v>0</v>
      </c>
      <c r="AS162" s="24" t="s">
        <v>32</v>
      </c>
      <c r="AT162" s="24"/>
      <c r="AU162" s="24">
        <v>2022</v>
      </c>
      <c r="AV162" s="24">
        <v>1</v>
      </c>
      <c r="AW162" s="24">
        <v>0.22</v>
      </c>
      <c r="AX162" s="24">
        <v>3200</v>
      </c>
      <c r="AY162" s="24">
        <v>14270</v>
      </c>
      <c r="AZ162" s="24" t="s">
        <v>32</v>
      </c>
      <c r="BA162" s="24"/>
      <c r="BB162" s="24"/>
      <c r="BC162" s="24">
        <v>2022</v>
      </c>
      <c r="BD162" s="24">
        <v>1</v>
      </c>
      <c r="BE162" s="24">
        <v>225.90471428571399</v>
      </c>
      <c r="BF162" s="24" t="s">
        <v>32</v>
      </c>
      <c r="BG162" s="24"/>
      <c r="BI162" s="24">
        <v>2022</v>
      </c>
      <c r="BJ162" s="24">
        <v>31</v>
      </c>
      <c r="BK162" s="24" t="s">
        <v>32</v>
      </c>
      <c r="BL162" s="24" t="s">
        <v>272</v>
      </c>
      <c r="BM162" s="24">
        <v>3125</v>
      </c>
      <c r="BN162" s="24">
        <v>3121</v>
      </c>
      <c r="BO162" s="24">
        <v>10698</v>
      </c>
      <c r="BR162" s="24">
        <v>2022</v>
      </c>
      <c r="BS162" s="24">
        <v>1</v>
      </c>
      <c r="BT162" s="24">
        <v>14188</v>
      </c>
      <c r="BU162" s="24">
        <v>0</v>
      </c>
      <c r="BV162" s="24" t="s">
        <v>32</v>
      </c>
      <c r="BY162" s="24">
        <v>2022</v>
      </c>
      <c r="BZ162" s="24">
        <v>4</v>
      </c>
      <c r="CA162" s="24" t="s">
        <v>33</v>
      </c>
      <c r="CB162" s="24" t="s">
        <v>423</v>
      </c>
      <c r="CC162" s="24">
        <v>30</v>
      </c>
      <c r="CF162" s="24">
        <v>2022</v>
      </c>
      <c r="CG162" s="24">
        <v>1</v>
      </c>
      <c r="CH162" s="24" t="s">
        <v>32</v>
      </c>
      <c r="CI162" s="24">
        <v>95.320088300220746</v>
      </c>
      <c r="CJ162" s="24">
        <v>8636</v>
      </c>
      <c r="CK162" s="24">
        <v>90.6</v>
      </c>
      <c r="CL162" s="24">
        <v>73.971363978899774</v>
      </c>
      <c r="CM162" s="24">
        <v>9717</v>
      </c>
      <c r="CN162" s="24">
        <v>19632</v>
      </c>
      <c r="CO162" s="24">
        <v>265.39999999999998</v>
      </c>
      <c r="CP162" s="24">
        <v>6195</v>
      </c>
      <c r="CQ162" s="24">
        <v>54.3</v>
      </c>
      <c r="CR162" s="24">
        <v>165.2</v>
      </c>
      <c r="CS162" s="24">
        <v>8605</v>
      </c>
      <c r="CT162" s="24">
        <v>8605</v>
      </c>
      <c r="CU162" s="24">
        <v>229.4</v>
      </c>
      <c r="CV162" s="24">
        <v>1273</v>
      </c>
      <c r="CW162" s="24">
        <v>0</v>
      </c>
      <c r="CX162" s="24">
        <v>3063</v>
      </c>
      <c r="CY162" s="24">
        <v>42.6</v>
      </c>
      <c r="CZ162" s="24">
        <v>4790</v>
      </c>
      <c r="DA162" s="24">
        <v>165.2</v>
      </c>
      <c r="DD162" s="24">
        <v>2022</v>
      </c>
      <c r="DE162" s="24">
        <v>1</v>
      </c>
      <c r="DF162" s="24" t="s">
        <v>32</v>
      </c>
      <c r="DG162" s="24">
        <v>3358</v>
      </c>
      <c r="DH162" s="24">
        <v>2541</v>
      </c>
      <c r="DJ162" s="24">
        <v>2022</v>
      </c>
      <c r="DK162" s="24">
        <v>1</v>
      </c>
      <c r="DL162" s="24" t="s">
        <v>33</v>
      </c>
      <c r="DM162" s="24">
        <v>139</v>
      </c>
      <c r="DP162" s="24">
        <v>2021</v>
      </c>
      <c r="DQ162" s="24">
        <v>18</v>
      </c>
      <c r="DR162" s="24" t="s">
        <v>33</v>
      </c>
      <c r="DS162" s="24">
        <v>24691</v>
      </c>
      <c r="DT162" s="24">
        <v>74</v>
      </c>
      <c r="DW162" s="24">
        <v>2022</v>
      </c>
      <c r="DX162" s="24">
        <v>21</v>
      </c>
      <c r="DY162" s="24" t="s">
        <v>32</v>
      </c>
      <c r="DZ162" s="24">
        <v>1</v>
      </c>
      <c r="EA162" s="24" t="s">
        <v>149</v>
      </c>
      <c r="EB162" s="24">
        <v>0</v>
      </c>
      <c r="EC162" s="24">
        <v>7.7</v>
      </c>
      <c r="ED162" s="24"/>
      <c r="EE162" s="24">
        <v>442</v>
      </c>
      <c r="EF162" s="24">
        <v>1.1000000000000001</v>
      </c>
      <c r="EI162" s="24">
        <v>2023</v>
      </c>
      <c r="EJ162" s="24">
        <v>5</v>
      </c>
      <c r="EK162" s="24" t="s">
        <v>208</v>
      </c>
      <c r="EL162" s="24" t="s">
        <v>351</v>
      </c>
      <c r="EM162" s="24" t="s">
        <v>210</v>
      </c>
      <c r="EN162" s="24">
        <v>14</v>
      </c>
      <c r="EO162" s="24"/>
      <c r="EP162" s="24"/>
      <c r="EQ162" s="24"/>
      <c r="ER162" s="24"/>
      <c r="ES162" s="24">
        <v>2022</v>
      </c>
      <c r="ET162" s="24">
        <v>7</v>
      </c>
      <c r="EU162" s="24" t="s">
        <v>32</v>
      </c>
      <c r="EV162" s="24">
        <v>8430</v>
      </c>
      <c r="EY162" s="24">
        <v>2022</v>
      </c>
      <c r="EZ162" s="24">
        <v>4</v>
      </c>
      <c r="FA162" s="24" t="s">
        <v>32</v>
      </c>
      <c r="FB162" s="24">
        <v>607</v>
      </c>
      <c r="FE162" s="24">
        <v>2022</v>
      </c>
      <c r="FF162" s="24">
        <v>1</v>
      </c>
      <c r="FG162" s="24" t="s">
        <v>32</v>
      </c>
      <c r="FH162" s="24">
        <v>0.7661</v>
      </c>
      <c r="FI162" s="24">
        <v>468</v>
      </c>
      <c r="FJ162" s="24">
        <v>220</v>
      </c>
      <c r="FK162" s="24">
        <v>278</v>
      </c>
      <c r="FN162" s="24">
        <v>2022</v>
      </c>
      <c r="FO162" s="24">
        <v>2</v>
      </c>
      <c r="FP162" s="24" t="s">
        <v>32</v>
      </c>
      <c r="FQ162" s="24">
        <v>32999</v>
      </c>
      <c r="FR162" s="24">
        <v>718.18333333333294</v>
      </c>
      <c r="FS162" s="24">
        <v>30615</v>
      </c>
      <c r="FT162" s="24">
        <v>379.183333333333</v>
      </c>
      <c r="FW162" s="24">
        <v>2022</v>
      </c>
      <c r="FX162" s="24">
        <v>1</v>
      </c>
      <c r="FY162" s="24" t="s">
        <v>32</v>
      </c>
      <c r="FZ162" s="24">
        <v>1582</v>
      </c>
      <c r="GA162" s="24">
        <v>1437</v>
      </c>
      <c r="GB162" s="24"/>
      <c r="GC162" s="24"/>
      <c r="GD162" s="24">
        <v>2022</v>
      </c>
      <c r="GE162" s="24">
        <v>1</v>
      </c>
      <c r="GF162" s="24" t="s">
        <v>32</v>
      </c>
      <c r="GG162" s="24">
        <v>1524</v>
      </c>
      <c r="GH162" s="24">
        <v>1364</v>
      </c>
      <c r="GK162" s="24"/>
      <c r="GL162" s="24"/>
      <c r="GM162" s="24"/>
      <c r="GN162" s="24"/>
      <c r="GO162" s="24"/>
      <c r="GP162" s="24">
        <v>2022</v>
      </c>
      <c r="GQ162" s="24">
        <v>1</v>
      </c>
      <c r="GR162" s="24">
        <v>2.97142857142857E-2</v>
      </c>
      <c r="GS162" s="24" t="s">
        <v>32</v>
      </c>
      <c r="GX162">
        <v>2022</v>
      </c>
      <c r="GY162">
        <v>1</v>
      </c>
      <c r="GZ162" t="s">
        <v>32</v>
      </c>
      <c r="HA162">
        <v>14029</v>
      </c>
      <c r="HB162">
        <v>13541</v>
      </c>
      <c r="HC162">
        <v>0</v>
      </c>
      <c r="HD162">
        <v>2</v>
      </c>
      <c r="HE162">
        <v>0</v>
      </c>
      <c r="HF162">
        <v>194</v>
      </c>
      <c r="HG162">
        <v>0</v>
      </c>
      <c r="HH162">
        <v>0</v>
      </c>
      <c r="HI162">
        <v>100</v>
      </c>
      <c r="HL162">
        <v>2022</v>
      </c>
      <c r="HM162">
        <v>1</v>
      </c>
      <c r="HN162" t="s">
        <v>32</v>
      </c>
      <c r="HO162">
        <v>13995</v>
      </c>
      <c r="HP162">
        <v>13660</v>
      </c>
      <c r="HQ162">
        <v>0</v>
      </c>
      <c r="HR162">
        <v>2</v>
      </c>
      <c r="HS162">
        <v>0</v>
      </c>
      <c r="HT162">
        <v>224</v>
      </c>
      <c r="HU162">
        <v>0</v>
      </c>
      <c r="HV162">
        <v>0</v>
      </c>
      <c r="HW162">
        <v>56</v>
      </c>
      <c r="HZ162" s="24">
        <v>2022</v>
      </c>
      <c r="IA162" s="24">
        <v>1</v>
      </c>
      <c r="IB162" s="24" t="s">
        <v>32</v>
      </c>
      <c r="IC162" s="24">
        <v>1603</v>
      </c>
      <c r="ID162" s="24">
        <v>1388</v>
      </c>
      <c r="IG162" s="24">
        <v>2022</v>
      </c>
      <c r="IH162" s="24">
        <v>1</v>
      </c>
      <c r="II162" s="24" t="s">
        <v>32</v>
      </c>
      <c r="IJ162" s="24">
        <v>1497</v>
      </c>
      <c r="IK162" s="24">
        <v>1323</v>
      </c>
    </row>
    <row r="163" spans="9:245" x14ac:dyDescent="0.4">
      <c r="I163" s="305">
        <v>2022</v>
      </c>
      <c r="J163" s="306">
        <v>1</v>
      </c>
      <c r="K163" s="306" t="s">
        <v>32</v>
      </c>
      <c r="L163" s="306">
        <v>14032</v>
      </c>
      <c r="M163" s="306">
        <v>13568</v>
      </c>
      <c r="N163" s="306">
        <v>72</v>
      </c>
      <c r="O163" s="306">
        <v>138</v>
      </c>
      <c r="P163" s="306">
        <v>11</v>
      </c>
      <c r="Q163" s="306">
        <v>11</v>
      </c>
      <c r="R163" s="24"/>
      <c r="S163" s="24"/>
      <c r="T163" s="24"/>
      <c r="W163" s="24">
        <v>2022</v>
      </c>
      <c r="X163" s="24">
        <v>1</v>
      </c>
      <c r="Y163" s="24" t="s">
        <v>33</v>
      </c>
      <c r="Z163" s="24">
        <v>222462</v>
      </c>
      <c r="AA163" s="24">
        <v>133565</v>
      </c>
      <c r="AB163" s="24">
        <v>524</v>
      </c>
      <c r="AC163" s="24">
        <v>23</v>
      </c>
      <c r="AD163" s="297"/>
      <c r="AE163" s="297"/>
      <c r="AF163" s="297"/>
      <c r="AG163" s="297"/>
      <c r="AH163" s="297"/>
      <c r="AI163" s="24"/>
      <c r="AJ163" s="24"/>
      <c r="AK163" s="24">
        <v>2022</v>
      </c>
      <c r="AL163" s="24">
        <v>1</v>
      </c>
      <c r="AM163" s="24">
        <v>12625.220000000001</v>
      </c>
      <c r="AN163" s="24">
        <v>1277.22</v>
      </c>
      <c r="AO163" s="24">
        <v>0</v>
      </c>
      <c r="AP163" s="24">
        <v>373</v>
      </c>
      <c r="AQ163" s="24">
        <v>0</v>
      </c>
      <c r="AR163" s="24">
        <v>0</v>
      </c>
      <c r="AS163" s="24" t="s">
        <v>33</v>
      </c>
      <c r="AT163" s="24"/>
      <c r="AU163" s="24">
        <v>2022</v>
      </c>
      <c r="AV163" s="24">
        <v>1</v>
      </c>
      <c r="AW163" s="24">
        <v>0.06</v>
      </c>
      <c r="AX163" s="24">
        <v>13200</v>
      </c>
      <c r="AY163" s="24">
        <v>230579</v>
      </c>
      <c r="AZ163" s="24" t="s">
        <v>33</v>
      </c>
      <c r="BA163" s="24"/>
      <c r="BB163" s="24"/>
      <c r="BC163" s="24">
        <v>2022</v>
      </c>
      <c r="BD163" s="24">
        <v>1</v>
      </c>
      <c r="BE163" s="24">
        <v>2519.6337142857096</v>
      </c>
      <c r="BF163" s="24" t="s">
        <v>33</v>
      </c>
      <c r="BG163" s="24"/>
      <c r="BI163" s="24">
        <v>2022</v>
      </c>
      <c r="BJ163" s="24">
        <v>31</v>
      </c>
      <c r="BK163" s="24" t="s">
        <v>32</v>
      </c>
      <c r="BL163" s="24" t="s">
        <v>273</v>
      </c>
      <c r="BM163" s="24">
        <v>7459</v>
      </c>
      <c r="BN163" s="24">
        <v>7351</v>
      </c>
      <c r="BO163" s="24">
        <v>7605</v>
      </c>
      <c r="BR163" s="24">
        <v>2022</v>
      </c>
      <c r="BS163" s="24">
        <v>1</v>
      </c>
      <c r="BT163" s="24">
        <v>229961</v>
      </c>
      <c r="BU163" s="24">
        <v>1</v>
      </c>
      <c r="BV163" s="24" t="s">
        <v>33</v>
      </c>
      <c r="BY163" s="24">
        <v>2022</v>
      </c>
      <c r="BZ163" s="24">
        <v>3</v>
      </c>
      <c r="CA163" s="24" t="s">
        <v>33</v>
      </c>
      <c r="CB163" s="24" t="s">
        <v>108</v>
      </c>
      <c r="CC163" s="24">
        <v>5</v>
      </c>
      <c r="CF163" s="24">
        <v>2022</v>
      </c>
      <c r="CG163" s="24">
        <v>1</v>
      </c>
      <c r="CH163" s="24" t="s">
        <v>33</v>
      </c>
      <c r="CI163" s="24">
        <v>151.93718001937179</v>
      </c>
      <c r="CJ163" s="24">
        <v>219610</v>
      </c>
      <c r="CK163" s="24">
        <v>1445.4</v>
      </c>
      <c r="CL163" s="24">
        <v>126.5284757118928</v>
      </c>
      <c r="CM163" s="24">
        <v>107180</v>
      </c>
      <c r="CN163" s="24">
        <v>211505</v>
      </c>
      <c r="CO163" s="24">
        <v>1671.6</v>
      </c>
      <c r="CP163" s="24">
        <v>28880</v>
      </c>
      <c r="CQ163" s="24">
        <v>176.9</v>
      </c>
      <c r="CR163" s="24">
        <v>794.9</v>
      </c>
      <c r="CS163" s="24">
        <v>119526</v>
      </c>
      <c r="CT163" s="24">
        <v>119526</v>
      </c>
      <c r="CU163" s="24">
        <v>1189</v>
      </c>
      <c r="CV163" s="24">
        <v>25942</v>
      </c>
      <c r="CW163" s="24">
        <v>0</v>
      </c>
      <c r="CX163" s="24">
        <v>112251</v>
      </c>
      <c r="CY163" s="24">
        <v>643.79999999999995</v>
      </c>
      <c r="CZ163" s="24">
        <v>22730</v>
      </c>
      <c r="DA163" s="24">
        <v>794.9</v>
      </c>
      <c r="DD163" s="24">
        <v>2022</v>
      </c>
      <c r="DE163" s="24">
        <v>1</v>
      </c>
      <c r="DF163" s="24" t="s">
        <v>33</v>
      </c>
      <c r="DG163" s="24">
        <v>29883</v>
      </c>
      <c r="DH163" s="24">
        <v>21230</v>
      </c>
      <c r="DJ163" s="24">
        <v>2021</v>
      </c>
      <c r="DK163" s="24">
        <v>52</v>
      </c>
      <c r="DL163" s="24" t="s">
        <v>32</v>
      </c>
      <c r="DM163" s="24">
        <v>46</v>
      </c>
      <c r="DP163" s="24">
        <v>2021</v>
      </c>
      <c r="DQ163" s="24">
        <v>17</v>
      </c>
      <c r="DR163" s="24" t="s">
        <v>33</v>
      </c>
      <c r="DS163" s="24">
        <v>25006</v>
      </c>
      <c r="DT163" s="24">
        <v>36</v>
      </c>
      <c r="DW163" s="24">
        <v>2022</v>
      </c>
      <c r="DX163" s="24">
        <v>21</v>
      </c>
      <c r="DY163" s="24" t="s">
        <v>33</v>
      </c>
      <c r="DZ163" s="24">
        <v>15</v>
      </c>
      <c r="EA163" s="24" t="s">
        <v>562</v>
      </c>
      <c r="EB163" s="24">
        <v>233.4</v>
      </c>
      <c r="EC163" s="24">
        <v>20.3</v>
      </c>
      <c r="ED163" s="24">
        <v>155</v>
      </c>
      <c r="EE163" s="24">
        <v>11348</v>
      </c>
      <c r="EF163" s="24">
        <v>35.6</v>
      </c>
      <c r="EI163" s="24">
        <v>2023</v>
      </c>
      <c r="EJ163" s="24">
        <v>5</v>
      </c>
      <c r="EK163" s="24" t="s">
        <v>208</v>
      </c>
      <c r="EL163" s="24" t="s">
        <v>351</v>
      </c>
      <c r="EM163" s="24" t="s">
        <v>234</v>
      </c>
      <c r="EN163" s="24">
        <v>3</v>
      </c>
      <c r="EO163" s="24"/>
      <c r="EP163" s="24"/>
      <c r="EQ163" s="24"/>
      <c r="ER163" s="24"/>
      <c r="ES163" s="24">
        <v>2022</v>
      </c>
      <c r="ET163" s="24">
        <v>7</v>
      </c>
      <c r="EU163" s="24" t="s">
        <v>33</v>
      </c>
      <c r="EV163" s="24">
        <v>143516</v>
      </c>
      <c r="EY163" s="24">
        <v>2022</v>
      </c>
      <c r="EZ163" s="24">
        <v>4</v>
      </c>
      <c r="FA163" s="24" t="s">
        <v>33</v>
      </c>
      <c r="FB163" s="24">
        <v>1127</v>
      </c>
      <c r="FE163" s="24">
        <v>2022</v>
      </c>
      <c r="FF163" s="24">
        <v>1</v>
      </c>
      <c r="FG163" s="24" t="s">
        <v>33</v>
      </c>
      <c r="FH163" s="24">
        <v>0.94030000000000002</v>
      </c>
      <c r="FI163" s="24">
        <v>11549</v>
      </c>
      <c r="FJ163" s="24">
        <v>5218</v>
      </c>
      <c r="FK163" s="24">
        <v>5596</v>
      </c>
      <c r="FN163" s="24">
        <v>2022</v>
      </c>
      <c r="FO163" s="24">
        <v>2</v>
      </c>
      <c r="FP163" s="24" t="s">
        <v>33</v>
      </c>
      <c r="FQ163" s="24">
        <v>836352</v>
      </c>
      <c r="FR163" s="24">
        <v>6821.3166666666693</v>
      </c>
      <c r="FS163" s="24">
        <v>342134</v>
      </c>
      <c r="FT163" s="24">
        <v>2577.9166666666697</v>
      </c>
      <c r="FW163" s="24">
        <v>2022</v>
      </c>
      <c r="FX163" s="24">
        <v>1</v>
      </c>
      <c r="FY163" s="24" t="s">
        <v>33</v>
      </c>
      <c r="FZ163" s="24">
        <v>10768</v>
      </c>
      <c r="GA163" s="24">
        <v>9532</v>
      </c>
      <c r="GB163" s="24"/>
      <c r="GC163" s="24"/>
      <c r="GD163" s="24">
        <v>2022</v>
      </c>
      <c r="GE163" s="24">
        <v>1</v>
      </c>
      <c r="GF163" s="24" t="s">
        <v>33</v>
      </c>
      <c r="GG163" s="24">
        <v>10776</v>
      </c>
      <c r="GH163" s="24">
        <v>9646</v>
      </c>
      <c r="GK163" s="24"/>
      <c r="GL163" s="24"/>
      <c r="GM163" s="24"/>
      <c r="GN163" s="24"/>
      <c r="GO163" s="24"/>
      <c r="GP163" s="24">
        <v>2022</v>
      </c>
      <c r="GQ163" s="24">
        <v>1</v>
      </c>
      <c r="GR163" s="24">
        <v>6.9297142857142902</v>
      </c>
      <c r="GS163" s="24" t="s">
        <v>33</v>
      </c>
      <c r="GX163">
        <v>2022</v>
      </c>
      <c r="GY163">
        <v>1</v>
      </c>
      <c r="GZ163" t="s">
        <v>33</v>
      </c>
      <c r="HA163">
        <v>226481</v>
      </c>
      <c r="HB163">
        <v>216330</v>
      </c>
      <c r="HC163">
        <v>363</v>
      </c>
      <c r="HD163">
        <v>236</v>
      </c>
      <c r="HE163">
        <v>1</v>
      </c>
      <c r="HF163">
        <v>6313</v>
      </c>
      <c r="HG163">
        <v>0</v>
      </c>
      <c r="HH163">
        <v>0</v>
      </c>
      <c r="HI163">
        <v>968</v>
      </c>
      <c r="HL163">
        <v>2022</v>
      </c>
      <c r="HM163">
        <v>1</v>
      </c>
      <c r="HN163" t="s">
        <v>33</v>
      </c>
      <c r="HO163">
        <v>222183</v>
      </c>
      <c r="HP163">
        <v>214969</v>
      </c>
      <c r="HQ163">
        <v>461</v>
      </c>
      <c r="HR163">
        <v>186</v>
      </c>
      <c r="HS163">
        <v>1</v>
      </c>
      <c r="HT163">
        <v>6312</v>
      </c>
      <c r="HU163">
        <v>0</v>
      </c>
      <c r="HV163">
        <v>0</v>
      </c>
      <c r="HW163">
        <v>486</v>
      </c>
      <c r="HZ163" s="24">
        <v>2022</v>
      </c>
      <c r="IA163" s="24">
        <v>1</v>
      </c>
      <c r="IB163" s="24" t="s">
        <v>33</v>
      </c>
      <c r="IC163" s="24">
        <v>11172</v>
      </c>
      <c r="ID163" s="24">
        <v>10758</v>
      </c>
      <c r="IG163" s="24">
        <v>2022</v>
      </c>
      <c r="IH163" s="24">
        <v>1</v>
      </c>
      <c r="II163" s="24" t="s">
        <v>33</v>
      </c>
      <c r="IJ163" s="24">
        <v>9972</v>
      </c>
      <c r="IK163" s="24">
        <v>9807</v>
      </c>
    </row>
    <row r="164" spans="9:245" x14ac:dyDescent="0.4">
      <c r="I164" s="305">
        <v>2022</v>
      </c>
      <c r="J164" s="306">
        <v>1</v>
      </c>
      <c r="K164" s="306" t="s">
        <v>33</v>
      </c>
      <c r="L164" s="306">
        <v>223378</v>
      </c>
      <c r="M164" s="306">
        <v>133887</v>
      </c>
      <c r="N164" s="306">
        <v>1156</v>
      </c>
      <c r="O164" s="306">
        <v>12743</v>
      </c>
      <c r="P164" s="306">
        <v>588</v>
      </c>
      <c r="Q164" s="306">
        <v>22</v>
      </c>
      <c r="R164" s="24"/>
      <c r="S164" s="24"/>
      <c r="T164" s="24"/>
      <c r="W164" s="24">
        <v>2021</v>
      </c>
      <c r="X164" s="24">
        <v>52</v>
      </c>
      <c r="Y164" s="24" t="s">
        <v>32</v>
      </c>
      <c r="Z164" s="24">
        <v>15654</v>
      </c>
      <c r="AA164" s="24">
        <v>15120</v>
      </c>
      <c r="AB164" s="24">
        <v>40</v>
      </c>
      <c r="AC164" s="24">
        <v>5</v>
      </c>
      <c r="AD164" s="297"/>
      <c r="AE164" s="297"/>
      <c r="AF164" s="297"/>
      <c r="AG164" s="297"/>
      <c r="AH164" s="297"/>
      <c r="AI164" s="24"/>
      <c r="AJ164" s="24"/>
      <c r="AK164" s="24">
        <v>2021</v>
      </c>
      <c r="AL164" s="24">
        <v>52</v>
      </c>
      <c r="AM164" s="24">
        <v>646.68000000000006</v>
      </c>
      <c r="AN164" s="24">
        <v>79.92</v>
      </c>
      <c r="AO164" s="24">
        <v>0</v>
      </c>
      <c r="AP164" s="24">
        <v>16</v>
      </c>
      <c r="AQ164" s="24">
        <v>0</v>
      </c>
      <c r="AR164" s="24">
        <v>0</v>
      </c>
      <c r="AS164" s="24" t="s">
        <v>32</v>
      </c>
      <c r="AT164" s="24"/>
      <c r="AU164" s="24">
        <v>2021</v>
      </c>
      <c r="AV164" s="24">
        <v>52</v>
      </c>
      <c r="AW164" s="24">
        <v>0.28000000000000003</v>
      </c>
      <c r="AX164" s="24">
        <v>4500</v>
      </c>
      <c r="AY164" s="24">
        <v>16222</v>
      </c>
      <c r="AZ164" s="24" t="s">
        <v>32</v>
      </c>
      <c r="BA164" s="24"/>
      <c r="BB164" s="24"/>
      <c r="BC164" s="24">
        <v>2021</v>
      </c>
      <c r="BD164" s="24">
        <v>52</v>
      </c>
      <c r="BE164" s="24">
        <v>227.99642857142899</v>
      </c>
      <c r="BF164" s="24" t="s">
        <v>32</v>
      </c>
      <c r="BG164" s="24"/>
      <c r="BI164" s="24">
        <v>2022</v>
      </c>
      <c r="BJ164" s="24">
        <v>31</v>
      </c>
      <c r="BK164" s="24" t="s">
        <v>33</v>
      </c>
      <c r="BL164" s="24" t="s">
        <v>273</v>
      </c>
      <c r="BM164" s="24">
        <v>83873</v>
      </c>
      <c r="BN164" s="24">
        <v>83002</v>
      </c>
      <c r="BO164" s="24">
        <v>86299</v>
      </c>
      <c r="BR164" s="24">
        <v>2021</v>
      </c>
      <c r="BS164" s="24">
        <v>52</v>
      </c>
      <c r="BT164" s="24">
        <v>16125</v>
      </c>
      <c r="BU164" s="24">
        <v>0</v>
      </c>
      <c r="BV164" s="24" t="s">
        <v>32</v>
      </c>
      <c r="BY164" s="24">
        <v>2022</v>
      </c>
      <c r="BZ164" s="24">
        <v>3</v>
      </c>
      <c r="CA164" s="24" t="s">
        <v>33</v>
      </c>
      <c r="CB164" s="24" t="s">
        <v>423</v>
      </c>
      <c r="CC164" s="24">
        <v>25</v>
      </c>
      <c r="CF164" s="24">
        <v>2021</v>
      </c>
      <c r="CG164" s="24">
        <v>52</v>
      </c>
      <c r="CH164" s="24" t="s">
        <v>32</v>
      </c>
      <c r="CI164" s="24">
        <v>77.852965747702584</v>
      </c>
      <c r="CJ164" s="24">
        <v>9319</v>
      </c>
      <c r="CK164" s="24">
        <v>119.7</v>
      </c>
      <c r="CL164" s="24">
        <v>59.779141104294482</v>
      </c>
      <c r="CM164" s="24">
        <v>10040</v>
      </c>
      <c r="CN164" s="24">
        <v>19488</v>
      </c>
      <c r="CO164" s="24">
        <v>326</v>
      </c>
      <c r="CP164" s="24">
        <v>7407</v>
      </c>
      <c r="CQ164" s="24">
        <v>53.2</v>
      </c>
      <c r="CR164" s="24">
        <v>157.4</v>
      </c>
      <c r="CS164" s="24">
        <v>9558</v>
      </c>
      <c r="CT164" s="24">
        <v>9558</v>
      </c>
      <c r="CU164" s="24">
        <v>259.8</v>
      </c>
      <c r="CV164" s="24">
        <v>3622</v>
      </c>
      <c r="CW164" s="24">
        <v>0</v>
      </c>
      <c r="CX164" s="24">
        <v>7148</v>
      </c>
      <c r="CY164" s="24">
        <v>43.9</v>
      </c>
      <c r="CZ164" s="24">
        <v>4352</v>
      </c>
      <c r="DA164" s="24">
        <v>157.4</v>
      </c>
      <c r="DD164" s="24">
        <v>2021</v>
      </c>
      <c r="DE164" s="24">
        <v>52</v>
      </c>
      <c r="DF164" s="24" t="s">
        <v>32</v>
      </c>
      <c r="DG164" s="24">
        <v>1956</v>
      </c>
      <c r="DH164" s="24">
        <v>2401</v>
      </c>
      <c r="DJ164" s="24">
        <v>2021</v>
      </c>
      <c r="DK164" s="24">
        <v>52</v>
      </c>
      <c r="DL164" s="24" t="s">
        <v>33</v>
      </c>
      <c r="DM164" s="24">
        <v>576</v>
      </c>
      <c r="DP164" s="24">
        <v>2021</v>
      </c>
      <c r="DQ164" s="24">
        <v>16</v>
      </c>
      <c r="DR164" s="24" t="s">
        <v>33</v>
      </c>
      <c r="DS164" s="24">
        <v>23456</v>
      </c>
      <c r="DT164" s="24">
        <v>23</v>
      </c>
      <c r="DW164" s="24">
        <v>2022</v>
      </c>
      <c r="DX164" s="24">
        <v>21</v>
      </c>
      <c r="DY164" s="24" t="s">
        <v>33</v>
      </c>
      <c r="DZ164" s="24">
        <v>60</v>
      </c>
      <c r="EA164" s="24" t="s">
        <v>149</v>
      </c>
      <c r="EB164" s="24">
        <v>73.099999999999994</v>
      </c>
      <c r="EC164" s="24">
        <v>1470.4</v>
      </c>
      <c r="ED164" s="24">
        <v>50177</v>
      </c>
      <c r="EE164" s="24">
        <v>52790</v>
      </c>
      <c r="EF164" s="24">
        <v>303.89999999999998</v>
      </c>
      <c r="EI164" s="24">
        <v>2023</v>
      </c>
      <c r="EJ164" s="24">
        <v>5</v>
      </c>
      <c r="EK164" s="24" t="s">
        <v>208</v>
      </c>
      <c r="EL164" s="24" t="s">
        <v>235</v>
      </c>
      <c r="EM164" s="24" t="s">
        <v>210</v>
      </c>
      <c r="EN164" s="24">
        <v>26</v>
      </c>
      <c r="EO164" s="24"/>
      <c r="EP164" s="24"/>
      <c r="EQ164" s="24"/>
      <c r="ER164" s="24"/>
      <c r="ES164" s="24">
        <v>2022</v>
      </c>
      <c r="ET164" s="24">
        <v>6</v>
      </c>
      <c r="EU164" s="24" t="s">
        <v>32</v>
      </c>
      <c r="EV164" s="24">
        <v>7928</v>
      </c>
      <c r="EY164" s="24">
        <v>2022</v>
      </c>
      <c r="EZ164" s="24">
        <v>3</v>
      </c>
      <c r="FA164" s="24" t="s">
        <v>32</v>
      </c>
      <c r="FB164" s="24">
        <v>788</v>
      </c>
      <c r="FE164" s="24">
        <v>2021</v>
      </c>
      <c r="FF164" s="24">
        <v>52</v>
      </c>
      <c r="FG164" s="24" t="s">
        <v>32</v>
      </c>
      <c r="FH164" s="24">
        <v>0.75170000000000003</v>
      </c>
      <c r="FI164" s="24">
        <v>575</v>
      </c>
      <c r="FJ164" s="24">
        <v>273</v>
      </c>
      <c r="FK164" s="24">
        <v>348</v>
      </c>
      <c r="FN164" s="24">
        <v>2022</v>
      </c>
      <c r="FO164" s="24">
        <v>1</v>
      </c>
      <c r="FP164" s="24" t="s">
        <v>32</v>
      </c>
      <c r="FQ164" s="24">
        <v>32751</v>
      </c>
      <c r="FR164" s="24">
        <v>581.11666666666702</v>
      </c>
      <c r="FS164" s="24">
        <v>29750</v>
      </c>
      <c r="FT164" s="24">
        <v>362.90000000000003</v>
      </c>
      <c r="FW164" s="24">
        <v>2021</v>
      </c>
      <c r="FX164" s="24">
        <v>52</v>
      </c>
      <c r="FY164" s="24" t="s">
        <v>32</v>
      </c>
      <c r="FZ164" s="24">
        <v>2195</v>
      </c>
      <c r="GA164" s="24">
        <v>2050</v>
      </c>
      <c r="GB164" s="24"/>
      <c r="GC164" s="24"/>
      <c r="GD164" s="24">
        <v>2021</v>
      </c>
      <c r="GE164" s="24">
        <v>52</v>
      </c>
      <c r="GF164" s="24" t="s">
        <v>32</v>
      </c>
      <c r="GG164" s="24">
        <v>2228</v>
      </c>
      <c r="GH164" s="24">
        <v>2061</v>
      </c>
      <c r="GK164" s="24"/>
      <c r="GL164" s="24"/>
      <c r="GM164" s="24"/>
      <c r="GN164" s="24"/>
      <c r="GO164" s="24"/>
      <c r="GP164" s="24">
        <v>2021</v>
      </c>
      <c r="GQ164" s="24">
        <v>52</v>
      </c>
      <c r="GR164" s="24">
        <v>0.25757142857142901</v>
      </c>
      <c r="GS164" s="24" t="s">
        <v>32</v>
      </c>
      <c r="GX164">
        <v>2021</v>
      </c>
      <c r="GY164">
        <v>52</v>
      </c>
      <c r="GZ164" t="s">
        <v>32</v>
      </c>
      <c r="HA164">
        <v>15946</v>
      </c>
      <c r="HB164">
        <v>15199</v>
      </c>
      <c r="HC164">
        <v>0</v>
      </c>
      <c r="HD164">
        <v>6</v>
      </c>
      <c r="HE164">
        <v>0</v>
      </c>
      <c r="HF164">
        <v>312</v>
      </c>
      <c r="HG164">
        <v>0</v>
      </c>
      <c r="HH164">
        <v>0</v>
      </c>
      <c r="HI164">
        <v>113</v>
      </c>
      <c r="HL164">
        <v>2021</v>
      </c>
      <c r="HM164">
        <v>52</v>
      </c>
      <c r="HN164" t="s">
        <v>32</v>
      </c>
      <c r="HO164">
        <v>15600</v>
      </c>
      <c r="HP164">
        <v>14985</v>
      </c>
      <c r="HQ164">
        <v>0</v>
      </c>
      <c r="HR164">
        <v>3</v>
      </c>
      <c r="HS164">
        <v>0</v>
      </c>
      <c r="HT164">
        <v>451</v>
      </c>
      <c r="HU164">
        <v>0</v>
      </c>
      <c r="HV164">
        <v>0</v>
      </c>
      <c r="HW164">
        <v>33</v>
      </c>
      <c r="HZ164" s="24">
        <v>2021</v>
      </c>
      <c r="IA164" s="24">
        <v>52</v>
      </c>
      <c r="IB164" s="24" t="s">
        <v>32</v>
      </c>
      <c r="IC164" s="24">
        <v>2196</v>
      </c>
      <c r="ID164" s="24">
        <v>1970</v>
      </c>
      <c r="IG164" s="24">
        <v>2021</v>
      </c>
      <c r="IH164" s="24">
        <v>52</v>
      </c>
      <c r="II164" s="24" t="s">
        <v>32</v>
      </c>
      <c r="IJ164" s="24">
        <v>2207</v>
      </c>
      <c r="IK164" s="24">
        <v>1956</v>
      </c>
    </row>
    <row r="165" spans="9:245" x14ac:dyDescent="0.4">
      <c r="I165" s="305">
        <v>2021</v>
      </c>
      <c r="J165" s="306">
        <v>52</v>
      </c>
      <c r="K165" s="306" t="s">
        <v>32</v>
      </c>
      <c r="L165" s="306">
        <v>15595</v>
      </c>
      <c r="M165" s="306">
        <v>15017</v>
      </c>
      <c r="N165" s="306">
        <v>64</v>
      </c>
      <c r="O165" s="306">
        <v>226</v>
      </c>
      <c r="P165" s="306">
        <v>35</v>
      </c>
      <c r="Q165" s="306">
        <v>9</v>
      </c>
      <c r="R165" s="24"/>
      <c r="S165" s="24"/>
      <c r="T165" s="24"/>
      <c r="W165" s="24">
        <v>2021</v>
      </c>
      <c r="X165" s="24">
        <v>52</v>
      </c>
      <c r="Y165" s="24" t="s">
        <v>33</v>
      </c>
      <c r="Z165" s="24">
        <v>221810</v>
      </c>
      <c r="AA165" s="24">
        <v>128304</v>
      </c>
      <c r="AB165" s="24">
        <v>611</v>
      </c>
      <c r="AC165" s="24">
        <v>29</v>
      </c>
      <c r="AD165" s="297"/>
      <c r="AE165" s="297"/>
      <c r="AF165" s="297"/>
      <c r="AG165" s="297"/>
      <c r="AH165" s="297"/>
      <c r="AI165" s="24"/>
      <c r="AJ165" s="24"/>
      <c r="AK165" s="24">
        <v>2021</v>
      </c>
      <c r="AL165" s="24">
        <v>52</v>
      </c>
      <c r="AM165" s="24">
        <v>14584.68</v>
      </c>
      <c r="AN165" s="24">
        <v>1569.57</v>
      </c>
      <c r="AO165" s="24">
        <v>0</v>
      </c>
      <c r="AP165" s="24">
        <v>383</v>
      </c>
      <c r="AQ165" s="24">
        <v>0</v>
      </c>
      <c r="AR165" s="24">
        <v>1</v>
      </c>
      <c r="AS165" s="24" t="s">
        <v>33</v>
      </c>
      <c r="AT165" s="24"/>
      <c r="AU165" s="24">
        <v>2021</v>
      </c>
      <c r="AV165" s="24">
        <v>52</v>
      </c>
      <c r="AW165" s="24">
        <v>0.24</v>
      </c>
      <c r="AX165" s="24">
        <v>55200</v>
      </c>
      <c r="AY165" s="24">
        <v>228031</v>
      </c>
      <c r="AZ165" s="24" t="s">
        <v>33</v>
      </c>
      <c r="BA165" s="24"/>
      <c r="BB165" s="24"/>
      <c r="BC165" s="24">
        <v>2021</v>
      </c>
      <c r="BD165" s="24">
        <v>52</v>
      </c>
      <c r="BE165" s="24">
        <v>2542.91685714286</v>
      </c>
      <c r="BF165" s="24" t="s">
        <v>33</v>
      </c>
      <c r="BG165" s="24"/>
      <c r="BI165" s="24">
        <v>2022</v>
      </c>
      <c r="BJ165" s="24">
        <v>31</v>
      </c>
      <c r="BK165" s="24" t="s">
        <v>33</v>
      </c>
      <c r="BL165" s="24" t="s">
        <v>272</v>
      </c>
      <c r="BM165" s="24">
        <v>50591</v>
      </c>
      <c r="BN165" s="24">
        <v>50552</v>
      </c>
      <c r="BO165" s="24">
        <v>189270</v>
      </c>
      <c r="BR165" s="24">
        <v>2021</v>
      </c>
      <c r="BS165" s="24">
        <v>52</v>
      </c>
      <c r="BT165" s="24">
        <v>226969</v>
      </c>
      <c r="BU165" s="24">
        <v>2</v>
      </c>
      <c r="BV165" s="24" t="s">
        <v>33</v>
      </c>
      <c r="BY165" s="24">
        <v>2022</v>
      </c>
      <c r="BZ165" s="24">
        <v>2</v>
      </c>
      <c r="CA165" s="24" t="s">
        <v>32</v>
      </c>
      <c r="CB165" s="24" t="s">
        <v>108</v>
      </c>
      <c r="CC165" s="24">
        <v>8</v>
      </c>
      <c r="CF165" s="24">
        <v>2021</v>
      </c>
      <c r="CG165" s="24">
        <v>52</v>
      </c>
      <c r="CH165" s="24" t="s">
        <v>33</v>
      </c>
      <c r="CI165" s="24">
        <v>127.59844833666392</v>
      </c>
      <c r="CJ165" s="24">
        <v>217096</v>
      </c>
      <c r="CK165" s="24">
        <v>1701.4</v>
      </c>
      <c r="CL165" s="24">
        <v>114.30456354615343</v>
      </c>
      <c r="CM165" s="24">
        <v>106875</v>
      </c>
      <c r="CN165" s="24">
        <v>209646</v>
      </c>
      <c r="CO165" s="24">
        <v>1834.1</v>
      </c>
      <c r="CP165" s="24">
        <v>33450</v>
      </c>
      <c r="CQ165" s="24">
        <v>397</v>
      </c>
      <c r="CR165" s="24">
        <v>750.5</v>
      </c>
      <c r="CS165" s="24">
        <v>139952</v>
      </c>
      <c r="CT165" s="24">
        <v>139952</v>
      </c>
      <c r="CU165" s="24">
        <v>1591</v>
      </c>
      <c r="CV165" s="24">
        <v>30001</v>
      </c>
      <c r="CW165" s="24">
        <v>0</v>
      </c>
      <c r="CX165" s="24">
        <v>131326</v>
      </c>
      <c r="CY165" s="24">
        <v>796.2</v>
      </c>
      <c r="CZ165" s="24">
        <v>20335</v>
      </c>
      <c r="DA165" s="24">
        <v>750.5</v>
      </c>
      <c r="DD165" s="24">
        <v>2021</v>
      </c>
      <c r="DE165" s="24">
        <v>52</v>
      </c>
      <c r="DF165" s="24" t="s">
        <v>33</v>
      </c>
      <c r="DG165" s="24">
        <v>40504</v>
      </c>
      <c r="DH165" s="24">
        <v>25850</v>
      </c>
      <c r="DJ165" s="24">
        <v>2021</v>
      </c>
      <c r="DK165" s="24">
        <v>51</v>
      </c>
      <c r="DL165" s="24" t="s">
        <v>32</v>
      </c>
      <c r="DM165" s="24">
        <v>13</v>
      </c>
      <c r="DP165" s="24">
        <v>2021</v>
      </c>
      <c r="DQ165" s="24">
        <v>15</v>
      </c>
      <c r="DR165" s="24" t="s">
        <v>33</v>
      </c>
      <c r="DS165" s="24">
        <v>20107</v>
      </c>
      <c r="DT165" s="24">
        <v>25</v>
      </c>
      <c r="DW165" s="24">
        <v>2022</v>
      </c>
      <c r="DX165" s="24">
        <v>20</v>
      </c>
      <c r="DY165" s="24" t="s">
        <v>33</v>
      </c>
      <c r="DZ165" s="24">
        <v>14</v>
      </c>
      <c r="EA165" s="24" t="s">
        <v>562</v>
      </c>
      <c r="EB165" s="24">
        <v>203.8</v>
      </c>
      <c r="EC165" s="24">
        <v>32.6</v>
      </c>
      <c r="ED165" s="24">
        <v>10</v>
      </c>
      <c r="EE165" s="24">
        <v>9675</v>
      </c>
      <c r="EF165" s="24">
        <v>30.9</v>
      </c>
      <c r="EI165" s="24">
        <v>2023</v>
      </c>
      <c r="EJ165" s="24">
        <v>5</v>
      </c>
      <c r="EK165" s="24" t="s">
        <v>208</v>
      </c>
      <c r="EL165" s="24" t="s">
        <v>235</v>
      </c>
      <c r="EM165" s="24" t="s">
        <v>234</v>
      </c>
      <c r="EN165" s="24">
        <v>8</v>
      </c>
      <c r="EO165" s="24"/>
      <c r="EP165" s="24"/>
      <c r="EQ165" s="24"/>
      <c r="ER165" s="24"/>
      <c r="ES165" s="24">
        <v>2022</v>
      </c>
      <c r="ET165" s="24">
        <v>6</v>
      </c>
      <c r="EU165" s="24" t="s">
        <v>33</v>
      </c>
      <c r="EV165" s="24">
        <v>137233</v>
      </c>
      <c r="EY165" s="24">
        <v>2022</v>
      </c>
      <c r="EZ165" s="24">
        <v>3</v>
      </c>
      <c r="FA165" s="24" t="s">
        <v>33</v>
      </c>
      <c r="FB165" s="24">
        <v>872</v>
      </c>
      <c r="FE165" s="24">
        <v>2021</v>
      </c>
      <c r="FF165" s="24">
        <v>52</v>
      </c>
      <c r="FG165" s="24" t="s">
        <v>33</v>
      </c>
      <c r="FH165" s="24">
        <v>0.9375</v>
      </c>
      <c r="FI165" s="24">
        <v>11439</v>
      </c>
      <c r="FJ165" s="24">
        <v>5180</v>
      </c>
      <c r="FK165" s="24">
        <v>5571</v>
      </c>
      <c r="FN165" s="24">
        <v>2022</v>
      </c>
      <c r="FO165" s="24">
        <v>1</v>
      </c>
      <c r="FP165" s="24" t="s">
        <v>33</v>
      </c>
      <c r="FQ165" s="24">
        <v>701848</v>
      </c>
      <c r="FR165" s="24">
        <v>5762.05</v>
      </c>
      <c r="FS165" s="24">
        <v>281742</v>
      </c>
      <c r="FT165" s="24">
        <v>2131.7166666666699</v>
      </c>
      <c r="FW165" s="24">
        <v>2021</v>
      </c>
      <c r="FX165" s="24">
        <v>52</v>
      </c>
      <c r="FY165" s="24" t="s">
        <v>33</v>
      </c>
      <c r="FZ165" s="24">
        <v>20785</v>
      </c>
      <c r="GA165" s="24">
        <v>18946</v>
      </c>
      <c r="GB165" s="24"/>
      <c r="GC165" s="24"/>
      <c r="GD165" s="24">
        <v>2021</v>
      </c>
      <c r="GE165" s="24">
        <v>52</v>
      </c>
      <c r="GF165" s="24" t="s">
        <v>33</v>
      </c>
      <c r="GG165" s="24">
        <v>20703</v>
      </c>
      <c r="GH165" s="24">
        <v>19102</v>
      </c>
      <c r="GK165" s="24"/>
      <c r="GL165" s="24"/>
      <c r="GM165" s="24"/>
      <c r="GN165" s="24"/>
      <c r="GO165" s="24"/>
      <c r="GP165" s="24">
        <v>2021</v>
      </c>
      <c r="GQ165" s="24">
        <v>52</v>
      </c>
      <c r="GR165" s="24">
        <v>12.7654285714286</v>
      </c>
      <c r="GS165" s="24" t="s">
        <v>33</v>
      </c>
      <c r="GX165">
        <v>2021</v>
      </c>
      <c r="GY165">
        <v>52</v>
      </c>
      <c r="GZ165" t="s">
        <v>33</v>
      </c>
      <c r="HA165">
        <v>225359</v>
      </c>
      <c r="HB165">
        <v>217218</v>
      </c>
      <c r="HC165">
        <v>793</v>
      </c>
      <c r="HD165">
        <v>210</v>
      </c>
      <c r="HE165">
        <v>0</v>
      </c>
      <c r="HF165">
        <v>3975</v>
      </c>
      <c r="HG165">
        <v>0</v>
      </c>
      <c r="HH165">
        <v>0</v>
      </c>
      <c r="HI165">
        <v>718</v>
      </c>
      <c r="HL165">
        <v>2021</v>
      </c>
      <c r="HM165">
        <v>52</v>
      </c>
      <c r="HN165" t="s">
        <v>33</v>
      </c>
      <c r="HO165">
        <v>221525</v>
      </c>
      <c r="HP165">
        <v>216101</v>
      </c>
      <c r="HQ165">
        <v>1267</v>
      </c>
      <c r="HR165">
        <v>111</v>
      </c>
      <c r="HS165">
        <v>0</v>
      </c>
      <c r="HT165">
        <v>3614</v>
      </c>
      <c r="HU165">
        <v>0</v>
      </c>
      <c r="HV165">
        <v>0</v>
      </c>
      <c r="HW165">
        <v>316</v>
      </c>
      <c r="HZ165" s="24">
        <v>2021</v>
      </c>
      <c r="IA165" s="24">
        <v>52</v>
      </c>
      <c r="IB165" s="24" t="s">
        <v>33</v>
      </c>
      <c r="IC165" s="24">
        <v>20184</v>
      </c>
      <c r="ID165" s="24">
        <v>19325</v>
      </c>
      <c r="IG165" s="24">
        <v>2021</v>
      </c>
      <c r="IH165" s="24">
        <v>52</v>
      </c>
      <c r="II165" s="24" t="s">
        <v>33</v>
      </c>
      <c r="IJ165" s="24">
        <v>19978</v>
      </c>
      <c r="IK165" s="24">
        <v>19530</v>
      </c>
    </row>
    <row r="166" spans="9:245" x14ac:dyDescent="0.4">
      <c r="I166" s="305">
        <v>2021</v>
      </c>
      <c r="J166" s="306">
        <v>52</v>
      </c>
      <c r="K166" s="306" t="s">
        <v>33</v>
      </c>
      <c r="L166" s="306">
        <v>222458</v>
      </c>
      <c r="M166" s="306">
        <v>128292</v>
      </c>
      <c r="N166" s="306">
        <v>1055</v>
      </c>
      <c r="O166" s="306">
        <v>15920</v>
      </c>
      <c r="P166" s="306">
        <v>731</v>
      </c>
      <c r="Q166" s="306">
        <v>34</v>
      </c>
      <c r="R166" s="24"/>
      <c r="S166" s="24"/>
      <c r="T166" s="24"/>
      <c r="W166" s="24">
        <v>2021</v>
      </c>
      <c r="X166" s="24">
        <v>51</v>
      </c>
      <c r="Y166" s="24" t="s">
        <v>32</v>
      </c>
      <c r="Z166" s="24">
        <v>12746</v>
      </c>
      <c r="AA166" s="24">
        <v>12604</v>
      </c>
      <c r="AB166" s="24">
        <v>15</v>
      </c>
      <c r="AC166" s="24">
        <v>7</v>
      </c>
      <c r="AD166" s="297"/>
      <c r="AE166" s="297"/>
      <c r="AF166" s="297"/>
      <c r="AG166" s="297"/>
      <c r="AH166" s="297"/>
      <c r="AI166" s="24"/>
      <c r="AJ166" s="24"/>
      <c r="AK166" s="24">
        <v>2021</v>
      </c>
      <c r="AL166" s="24">
        <v>51</v>
      </c>
      <c r="AM166" s="24">
        <v>705.88</v>
      </c>
      <c r="AN166" s="24">
        <v>58.57</v>
      </c>
      <c r="AO166" s="24">
        <v>0</v>
      </c>
      <c r="AP166" s="24">
        <v>16</v>
      </c>
      <c r="AQ166" s="24">
        <v>0</v>
      </c>
      <c r="AR166" s="24">
        <v>0</v>
      </c>
      <c r="AS166" s="24" t="s">
        <v>32</v>
      </c>
      <c r="AT166" s="24"/>
      <c r="AU166" s="24">
        <v>2021</v>
      </c>
      <c r="AV166" s="24">
        <v>51</v>
      </c>
      <c r="AW166" s="24">
        <v>0.2</v>
      </c>
      <c r="AX166" s="24">
        <v>2600</v>
      </c>
      <c r="AY166" s="24">
        <v>13088</v>
      </c>
      <c r="AZ166" s="24" t="s">
        <v>32</v>
      </c>
      <c r="BA166" s="24"/>
      <c r="BB166" s="24"/>
      <c r="BC166" s="24">
        <v>2021</v>
      </c>
      <c r="BD166" s="24">
        <v>51</v>
      </c>
      <c r="BE166" s="24">
        <v>225.048857142857</v>
      </c>
      <c r="BF166" s="24" t="s">
        <v>32</v>
      </c>
      <c r="BG166" s="24"/>
      <c r="BI166" s="24">
        <v>2022</v>
      </c>
      <c r="BJ166" s="24">
        <v>30</v>
      </c>
      <c r="BK166" s="24" t="s">
        <v>32</v>
      </c>
      <c r="BL166" s="24" t="s">
        <v>273</v>
      </c>
      <c r="BM166" s="24">
        <v>7867</v>
      </c>
      <c r="BN166" s="24">
        <v>7810</v>
      </c>
      <c r="BO166" s="24">
        <v>8005</v>
      </c>
      <c r="BR166" s="24">
        <v>2021</v>
      </c>
      <c r="BS166" s="24">
        <v>51</v>
      </c>
      <c r="BT166" s="24">
        <v>246433</v>
      </c>
      <c r="BU166" s="24">
        <v>3</v>
      </c>
      <c r="BV166" s="24" t="s">
        <v>33</v>
      </c>
      <c r="BY166" s="24">
        <v>2022</v>
      </c>
      <c r="BZ166" s="24">
        <v>2</v>
      </c>
      <c r="CA166" s="24" t="s">
        <v>32</v>
      </c>
      <c r="CB166" s="24" t="s">
        <v>423</v>
      </c>
      <c r="CC166" s="24">
        <v>32</v>
      </c>
      <c r="CF166" s="24">
        <v>2021</v>
      </c>
      <c r="CG166" s="24">
        <v>51</v>
      </c>
      <c r="CH166" s="24" t="s">
        <v>32</v>
      </c>
      <c r="CI166" s="24">
        <v>72.262540021344719</v>
      </c>
      <c r="CJ166" s="24">
        <v>6771</v>
      </c>
      <c r="CK166" s="24">
        <v>93.7</v>
      </c>
      <c r="CL166" s="24">
        <v>50.832090665076052</v>
      </c>
      <c r="CM166" s="24">
        <v>8961</v>
      </c>
      <c r="CN166" s="24">
        <v>17044</v>
      </c>
      <c r="CO166" s="24">
        <v>335.3</v>
      </c>
      <c r="CP166" s="24">
        <v>8124</v>
      </c>
      <c r="CQ166" s="24">
        <v>69.5</v>
      </c>
      <c r="CR166" s="24">
        <v>161.5</v>
      </c>
      <c r="CS166" s="24">
        <v>13000</v>
      </c>
      <c r="CT166" s="24">
        <v>13000</v>
      </c>
      <c r="CU166" s="24">
        <v>325.5</v>
      </c>
      <c r="CV166" s="24">
        <v>858</v>
      </c>
      <c r="CW166" s="24">
        <v>0</v>
      </c>
      <c r="CX166" s="24">
        <v>1093</v>
      </c>
      <c r="CY166" s="24">
        <v>41.2</v>
      </c>
      <c r="CZ166" s="24">
        <v>5306</v>
      </c>
      <c r="DA166" s="24">
        <v>161.5</v>
      </c>
      <c r="DD166" s="24">
        <v>2021</v>
      </c>
      <c r="DE166" s="24">
        <v>51</v>
      </c>
      <c r="DF166" s="24" t="s">
        <v>32</v>
      </c>
      <c r="DG166" s="24">
        <v>2093</v>
      </c>
      <c r="DH166" s="24">
        <v>2991</v>
      </c>
      <c r="DJ166" s="24">
        <v>2021</v>
      </c>
      <c r="DK166" s="24">
        <v>51</v>
      </c>
      <c r="DL166" s="24" t="s">
        <v>33</v>
      </c>
      <c r="DM166" s="24">
        <v>385</v>
      </c>
      <c r="DP166" s="24">
        <v>2021</v>
      </c>
      <c r="DQ166" s="24">
        <v>14</v>
      </c>
      <c r="DR166" s="24" t="s">
        <v>33</v>
      </c>
      <c r="DS166" s="24">
        <v>20181</v>
      </c>
      <c r="DT166" s="24"/>
      <c r="DW166" s="24">
        <v>2022</v>
      </c>
      <c r="DX166" s="24">
        <v>20</v>
      </c>
      <c r="DY166" s="24" t="s">
        <v>33</v>
      </c>
      <c r="DZ166" s="24">
        <v>56</v>
      </c>
      <c r="EA166" s="24" t="s">
        <v>149</v>
      </c>
      <c r="EB166" s="24">
        <v>224</v>
      </c>
      <c r="EC166" s="24">
        <v>1225.9000000000001</v>
      </c>
      <c r="ED166" s="24">
        <v>40610</v>
      </c>
      <c r="EE166" s="24">
        <v>49600</v>
      </c>
      <c r="EF166" s="24">
        <v>113.9</v>
      </c>
      <c r="EI166" s="24">
        <v>2023</v>
      </c>
      <c r="EJ166" s="24">
        <v>5</v>
      </c>
      <c r="EK166" s="24" t="s">
        <v>208</v>
      </c>
      <c r="EL166" s="24" t="s">
        <v>209</v>
      </c>
      <c r="EM166" s="24" t="s">
        <v>210</v>
      </c>
      <c r="EN166" s="24">
        <v>7</v>
      </c>
      <c r="EO166" s="24"/>
      <c r="EP166" s="24"/>
      <c r="EQ166" s="24"/>
      <c r="ER166" s="24"/>
      <c r="ES166" s="24">
        <v>2022</v>
      </c>
      <c r="ET166" s="24">
        <v>6</v>
      </c>
      <c r="EU166" s="24" t="s">
        <v>213</v>
      </c>
      <c r="EV166" s="24">
        <v>3</v>
      </c>
      <c r="EY166" s="24">
        <v>2022</v>
      </c>
      <c r="EZ166" s="24">
        <v>2</v>
      </c>
      <c r="FA166" s="24" t="s">
        <v>32</v>
      </c>
      <c r="FB166" s="24">
        <v>877</v>
      </c>
      <c r="FE166" s="24">
        <v>2021</v>
      </c>
      <c r="FF166" s="24">
        <v>51</v>
      </c>
      <c r="FG166" s="24" t="s">
        <v>32</v>
      </c>
      <c r="FH166" s="24">
        <v>0.88400000000000001</v>
      </c>
      <c r="FI166" s="24">
        <v>348</v>
      </c>
      <c r="FJ166" s="24">
        <v>167</v>
      </c>
      <c r="FK166" s="24">
        <v>188</v>
      </c>
      <c r="FN166" s="24">
        <v>2021</v>
      </c>
      <c r="FO166" s="24">
        <v>52</v>
      </c>
      <c r="FP166" s="24" t="s">
        <v>32</v>
      </c>
      <c r="FQ166" s="24">
        <v>35602</v>
      </c>
      <c r="FR166" s="24">
        <v>681.18333333333294</v>
      </c>
      <c r="FS166" s="24">
        <v>29429</v>
      </c>
      <c r="FT166" s="24">
        <v>376.51666666666699</v>
      </c>
      <c r="FW166" s="24">
        <v>2021</v>
      </c>
      <c r="FX166" s="24">
        <v>51</v>
      </c>
      <c r="FY166" s="24" t="s">
        <v>32</v>
      </c>
      <c r="FZ166" s="24">
        <v>2495</v>
      </c>
      <c r="GA166" s="24">
        <v>2434</v>
      </c>
      <c r="GB166" s="24"/>
      <c r="GC166" s="24"/>
      <c r="GD166" s="24">
        <v>2021</v>
      </c>
      <c r="GE166" s="24">
        <v>51</v>
      </c>
      <c r="GF166" s="24" t="s">
        <v>32</v>
      </c>
      <c r="GG166" s="24">
        <v>2489</v>
      </c>
      <c r="GH166" s="24">
        <v>2446</v>
      </c>
      <c r="GK166" s="24"/>
      <c r="GL166" s="24"/>
      <c r="GM166" s="24"/>
      <c r="GN166" s="24"/>
      <c r="GO166" s="24"/>
      <c r="GP166" s="24">
        <v>2021</v>
      </c>
      <c r="GQ166" s="24">
        <v>51</v>
      </c>
      <c r="GR166" s="24">
        <v>3.0460000000000003</v>
      </c>
      <c r="GS166" s="24" t="s">
        <v>32</v>
      </c>
      <c r="GX166">
        <v>2021</v>
      </c>
      <c r="GY166">
        <v>51</v>
      </c>
      <c r="GZ166" t="s">
        <v>32</v>
      </c>
      <c r="HA166">
        <v>12516</v>
      </c>
      <c r="HB166">
        <v>12229</v>
      </c>
      <c r="HC166">
        <v>0</v>
      </c>
      <c r="HD166">
        <v>2</v>
      </c>
      <c r="HE166">
        <v>0</v>
      </c>
      <c r="HF166">
        <v>55</v>
      </c>
      <c r="HG166">
        <v>0</v>
      </c>
      <c r="HH166">
        <v>0</v>
      </c>
      <c r="HI166">
        <v>34</v>
      </c>
      <c r="HL166">
        <v>2021</v>
      </c>
      <c r="HM166">
        <v>51</v>
      </c>
      <c r="HN166" t="s">
        <v>32</v>
      </c>
      <c r="HO166">
        <v>12706</v>
      </c>
      <c r="HP166">
        <v>12517</v>
      </c>
      <c r="HQ166">
        <v>0</v>
      </c>
      <c r="HR166">
        <v>1</v>
      </c>
      <c r="HS166">
        <v>0</v>
      </c>
      <c r="HT166">
        <v>82</v>
      </c>
      <c r="HU166">
        <v>0</v>
      </c>
      <c r="HV166">
        <v>0</v>
      </c>
      <c r="HW166">
        <v>11</v>
      </c>
      <c r="HZ166" s="24">
        <v>2021</v>
      </c>
      <c r="IA166" s="24">
        <v>51</v>
      </c>
      <c r="IB166" s="24" t="s">
        <v>32</v>
      </c>
      <c r="IC166" s="24">
        <v>2390</v>
      </c>
      <c r="ID166" s="24">
        <v>2263</v>
      </c>
      <c r="IG166" s="24">
        <v>2021</v>
      </c>
      <c r="IH166" s="24">
        <v>51</v>
      </c>
      <c r="II166" s="24" t="s">
        <v>32</v>
      </c>
      <c r="IJ166" s="24">
        <v>2456</v>
      </c>
      <c r="IK166" s="24">
        <v>2378</v>
      </c>
    </row>
    <row r="167" spans="9:245" x14ac:dyDescent="0.4">
      <c r="I167" s="305">
        <v>2021</v>
      </c>
      <c r="J167" s="306">
        <v>51</v>
      </c>
      <c r="K167" s="306" t="s">
        <v>32</v>
      </c>
      <c r="L167" s="306">
        <v>12839</v>
      </c>
      <c r="M167" s="306">
        <v>12635</v>
      </c>
      <c r="N167" s="306">
        <v>18</v>
      </c>
      <c r="O167" s="306">
        <v>78</v>
      </c>
      <c r="P167" s="306">
        <v>21</v>
      </c>
      <c r="Q167" s="306">
        <v>7</v>
      </c>
      <c r="R167" s="24"/>
      <c r="S167" s="24"/>
      <c r="T167" s="24"/>
      <c r="W167" s="24">
        <v>2021</v>
      </c>
      <c r="X167" s="24">
        <v>51</v>
      </c>
      <c r="Y167" s="24" t="s">
        <v>33</v>
      </c>
      <c r="Z167" s="24">
        <v>249028</v>
      </c>
      <c r="AA167" s="24">
        <v>149386</v>
      </c>
      <c r="AB167" s="24">
        <v>584</v>
      </c>
      <c r="AC167" s="24">
        <v>119</v>
      </c>
      <c r="AD167" s="297"/>
      <c r="AE167" s="297"/>
      <c r="AF167" s="297"/>
      <c r="AG167" s="297"/>
      <c r="AH167" s="297"/>
      <c r="AI167" s="24"/>
      <c r="AJ167" s="24"/>
      <c r="AK167" s="24">
        <v>2021</v>
      </c>
      <c r="AL167" s="24">
        <v>51</v>
      </c>
      <c r="AM167" s="24">
        <v>17280.600000000002</v>
      </c>
      <c r="AN167" s="24">
        <v>1602.48</v>
      </c>
      <c r="AO167" s="24">
        <v>0</v>
      </c>
      <c r="AP167" s="24">
        <v>399</v>
      </c>
      <c r="AQ167" s="24">
        <v>0</v>
      </c>
      <c r="AR167" s="24">
        <v>2</v>
      </c>
      <c r="AS167" s="24" t="s">
        <v>33</v>
      </c>
      <c r="AT167" s="24"/>
      <c r="AU167" s="24">
        <v>2021</v>
      </c>
      <c r="AV167" s="24">
        <v>51</v>
      </c>
      <c r="AW167" s="24">
        <v>0.1</v>
      </c>
      <c r="AX167" s="24">
        <v>25600</v>
      </c>
      <c r="AY167" s="24">
        <v>246937</v>
      </c>
      <c r="AZ167" s="24" t="s">
        <v>33</v>
      </c>
      <c r="BA167" s="24"/>
      <c r="BB167" s="24"/>
      <c r="BC167" s="24">
        <v>2021</v>
      </c>
      <c r="BD167" s="24">
        <v>51</v>
      </c>
      <c r="BE167" s="24">
        <v>2515.3725714285697</v>
      </c>
      <c r="BF167" s="24" t="s">
        <v>33</v>
      </c>
      <c r="BG167" s="24"/>
      <c r="BI167" s="24">
        <v>2022</v>
      </c>
      <c r="BJ167" s="24">
        <v>30</v>
      </c>
      <c r="BK167" s="24" t="s">
        <v>32</v>
      </c>
      <c r="BL167" s="24" t="s">
        <v>272</v>
      </c>
      <c r="BM167" s="24">
        <v>3458</v>
      </c>
      <c r="BN167" s="24">
        <v>3454</v>
      </c>
      <c r="BO167" s="24">
        <v>12017</v>
      </c>
      <c r="BR167" s="24">
        <v>2021</v>
      </c>
      <c r="BS167" s="24">
        <v>51</v>
      </c>
      <c r="BT167" s="24">
        <v>13032</v>
      </c>
      <c r="BU167" s="24">
        <v>0</v>
      </c>
      <c r="BV167" s="24" t="s">
        <v>32</v>
      </c>
      <c r="BY167" s="24">
        <v>2022</v>
      </c>
      <c r="BZ167" s="24">
        <v>2</v>
      </c>
      <c r="CA167" s="24" t="s">
        <v>33</v>
      </c>
      <c r="CB167" s="24" t="s">
        <v>108</v>
      </c>
      <c r="CC167" s="24">
        <v>1</v>
      </c>
      <c r="CF167" s="24">
        <v>2021</v>
      </c>
      <c r="CG167" s="24">
        <v>51</v>
      </c>
      <c r="CH167" s="24" t="s">
        <v>33</v>
      </c>
      <c r="CI167" s="24">
        <v>122.12354254527412</v>
      </c>
      <c r="CJ167" s="24">
        <v>246140</v>
      </c>
      <c r="CK167" s="24">
        <v>2015.5</v>
      </c>
      <c r="CL167" s="24">
        <v>110.69401661532717</v>
      </c>
      <c r="CM167" s="24">
        <v>122042</v>
      </c>
      <c r="CN167" s="24">
        <v>237173</v>
      </c>
      <c r="CO167" s="24">
        <v>2142.6</v>
      </c>
      <c r="CP167" s="24">
        <v>40060</v>
      </c>
      <c r="CQ167" s="24">
        <v>385.9</v>
      </c>
      <c r="CR167" s="24">
        <v>1004.4</v>
      </c>
      <c r="CS167" s="24">
        <v>188044</v>
      </c>
      <c r="CT167" s="24">
        <v>188044</v>
      </c>
      <c r="CU167" s="24">
        <v>1974.7</v>
      </c>
      <c r="CV167" s="24">
        <v>36876</v>
      </c>
      <c r="CW167" s="24">
        <v>0</v>
      </c>
      <c r="CX167" s="24">
        <v>177345</v>
      </c>
      <c r="CY167" s="24">
        <v>898.1</v>
      </c>
      <c r="CZ167" s="24">
        <v>29537</v>
      </c>
      <c r="DA167" s="24">
        <v>1004.4</v>
      </c>
      <c r="DD167" s="24">
        <v>2021</v>
      </c>
      <c r="DE167" s="24">
        <v>51</v>
      </c>
      <c r="DF167" s="24" t="s">
        <v>33</v>
      </c>
      <c r="DG167" s="24">
        <v>62321</v>
      </c>
      <c r="DH167" s="24">
        <v>35012</v>
      </c>
      <c r="DJ167" s="24">
        <v>2021</v>
      </c>
      <c r="DK167" s="24">
        <v>50</v>
      </c>
      <c r="DL167" s="24" t="s">
        <v>32</v>
      </c>
      <c r="DM167" s="24">
        <v>3</v>
      </c>
      <c r="DP167" s="24">
        <v>2021</v>
      </c>
      <c r="DQ167" s="24">
        <v>13</v>
      </c>
      <c r="DR167" s="24" t="s">
        <v>33</v>
      </c>
      <c r="DS167" s="24">
        <v>18291</v>
      </c>
      <c r="DT167" s="24"/>
      <c r="DW167" s="24">
        <v>2022</v>
      </c>
      <c r="DX167" s="24">
        <v>19</v>
      </c>
      <c r="DY167" s="24" t="s">
        <v>32</v>
      </c>
      <c r="DZ167" s="24">
        <v>1</v>
      </c>
      <c r="EA167" s="24" t="s">
        <v>149</v>
      </c>
      <c r="EB167" s="24">
        <v>0</v>
      </c>
      <c r="EC167" s="24">
        <v>0</v>
      </c>
      <c r="ED167" s="24">
        <v>39</v>
      </c>
      <c r="EE167" s="24"/>
      <c r="EF167" s="24">
        <v>1.5</v>
      </c>
      <c r="EI167" s="24">
        <v>2023</v>
      </c>
      <c r="EJ167" s="24">
        <v>5</v>
      </c>
      <c r="EK167" s="24" t="s">
        <v>558</v>
      </c>
      <c r="EL167" s="24" t="s">
        <v>555</v>
      </c>
      <c r="EM167" s="24" t="s">
        <v>210</v>
      </c>
      <c r="EN167" s="24">
        <v>2</v>
      </c>
      <c r="EO167" s="24"/>
      <c r="EP167" s="24"/>
      <c r="EQ167" s="24"/>
      <c r="ER167" s="24"/>
      <c r="ES167" s="24">
        <v>2022</v>
      </c>
      <c r="ET167" s="24">
        <v>5</v>
      </c>
      <c r="EU167" s="24" t="s">
        <v>32</v>
      </c>
      <c r="EV167" s="24">
        <v>6710</v>
      </c>
      <c r="EY167" s="24">
        <v>2022</v>
      </c>
      <c r="EZ167" s="24">
        <v>2</v>
      </c>
      <c r="FA167" s="24" t="s">
        <v>33</v>
      </c>
      <c r="FB167" s="24">
        <v>568</v>
      </c>
      <c r="FE167" s="24">
        <v>2021</v>
      </c>
      <c r="FF167" s="24">
        <v>51</v>
      </c>
      <c r="FG167" s="24" t="s">
        <v>33</v>
      </c>
      <c r="FH167" s="24">
        <v>0.95350000000000001</v>
      </c>
      <c r="FI167" s="24">
        <v>11524</v>
      </c>
      <c r="FJ167" s="24">
        <v>5248</v>
      </c>
      <c r="FK167" s="24">
        <v>5540</v>
      </c>
      <c r="FN167" s="24">
        <v>2021</v>
      </c>
      <c r="FO167" s="24">
        <v>52</v>
      </c>
      <c r="FP167" s="24" t="s">
        <v>33</v>
      </c>
      <c r="FQ167" s="24">
        <v>691144</v>
      </c>
      <c r="FR167" s="24">
        <v>6258.4166666666697</v>
      </c>
      <c r="FS167" s="24">
        <v>342564</v>
      </c>
      <c r="FT167" s="24">
        <v>2875.7666666666696</v>
      </c>
      <c r="FW167" s="24">
        <v>2021</v>
      </c>
      <c r="FX167" s="24">
        <v>51</v>
      </c>
      <c r="FY167" s="24" t="s">
        <v>33</v>
      </c>
      <c r="FZ167" s="24">
        <v>18772</v>
      </c>
      <c r="GA167" s="24">
        <v>17234</v>
      </c>
      <c r="GB167" s="24"/>
      <c r="GC167" s="24"/>
      <c r="GD167" s="24">
        <v>2021</v>
      </c>
      <c r="GE167" s="24">
        <v>51</v>
      </c>
      <c r="GF167" s="24" t="s">
        <v>33</v>
      </c>
      <c r="GG167" s="24">
        <v>18955</v>
      </c>
      <c r="GH167" s="24">
        <v>17529</v>
      </c>
      <c r="GK167" s="24"/>
      <c r="GL167" s="24"/>
      <c r="GM167" s="24"/>
      <c r="GN167" s="24"/>
      <c r="GO167" s="24"/>
      <c r="GP167" s="24">
        <v>2021</v>
      </c>
      <c r="GQ167" s="24">
        <v>51</v>
      </c>
      <c r="GR167" s="24">
        <v>14.279</v>
      </c>
      <c r="GS167" s="24" t="s">
        <v>33</v>
      </c>
      <c r="GX167">
        <v>2021</v>
      </c>
      <c r="GY167">
        <v>51</v>
      </c>
      <c r="GZ167" t="s">
        <v>33</v>
      </c>
      <c r="HA167">
        <v>242314</v>
      </c>
      <c r="HB167">
        <v>239096</v>
      </c>
      <c r="HC167">
        <v>418</v>
      </c>
      <c r="HD167">
        <v>55</v>
      </c>
      <c r="HE167">
        <v>0</v>
      </c>
      <c r="HF167">
        <v>695</v>
      </c>
      <c r="HG167">
        <v>0</v>
      </c>
      <c r="HH167">
        <v>0</v>
      </c>
      <c r="HI167">
        <v>655</v>
      </c>
      <c r="HL167">
        <v>2021</v>
      </c>
      <c r="HM167">
        <v>51</v>
      </c>
      <c r="HN167" t="s">
        <v>33</v>
      </c>
      <c r="HO167">
        <v>248733</v>
      </c>
      <c r="HP167">
        <v>246722</v>
      </c>
      <c r="HQ167">
        <v>621</v>
      </c>
      <c r="HR167">
        <v>28</v>
      </c>
      <c r="HS167">
        <v>0</v>
      </c>
      <c r="HT167">
        <v>567</v>
      </c>
      <c r="HU167">
        <v>0</v>
      </c>
      <c r="HV167">
        <v>0</v>
      </c>
      <c r="HW167">
        <v>213</v>
      </c>
      <c r="HZ167" s="24">
        <v>2021</v>
      </c>
      <c r="IA167" s="24">
        <v>51</v>
      </c>
      <c r="IB167" s="24" t="s">
        <v>33</v>
      </c>
      <c r="IC167" s="24">
        <v>18589</v>
      </c>
      <c r="ID167" s="24">
        <v>18189</v>
      </c>
      <c r="IG167" s="24">
        <v>2021</v>
      </c>
      <c r="IH167" s="24">
        <v>51</v>
      </c>
      <c r="II167" s="24" t="s">
        <v>33</v>
      </c>
      <c r="IJ167" s="24">
        <v>17976</v>
      </c>
      <c r="IK167" s="24">
        <v>17854</v>
      </c>
    </row>
    <row r="168" spans="9:245" x14ac:dyDescent="0.4">
      <c r="I168" s="305">
        <v>2021</v>
      </c>
      <c r="J168" s="306">
        <v>51</v>
      </c>
      <c r="K168" s="306" t="s">
        <v>33</v>
      </c>
      <c r="L168" s="306">
        <v>248675</v>
      </c>
      <c r="M168" s="306">
        <v>148843</v>
      </c>
      <c r="N168" s="306">
        <v>1109</v>
      </c>
      <c r="O168" s="306">
        <v>16917</v>
      </c>
      <c r="P168" s="306">
        <v>655</v>
      </c>
      <c r="Q168" s="306">
        <v>119</v>
      </c>
      <c r="R168" s="24"/>
      <c r="S168" s="24"/>
      <c r="T168" s="24"/>
      <c r="W168" s="24">
        <v>2021</v>
      </c>
      <c r="X168" s="24">
        <v>50</v>
      </c>
      <c r="Y168" s="24" t="s">
        <v>32</v>
      </c>
      <c r="Z168" s="24">
        <v>14455</v>
      </c>
      <c r="AA168" s="24">
        <v>13970</v>
      </c>
      <c r="AB168" s="24">
        <v>42</v>
      </c>
      <c r="AC168" s="24">
        <v>47</v>
      </c>
      <c r="AD168" s="297"/>
      <c r="AE168" s="297"/>
      <c r="AF168" s="297"/>
      <c r="AG168" s="297"/>
      <c r="AH168" s="297"/>
      <c r="AI168" s="24"/>
      <c r="AJ168" s="24"/>
      <c r="AK168" s="24">
        <v>2021</v>
      </c>
      <c r="AL168" s="24">
        <v>50</v>
      </c>
      <c r="AM168" s="24">
        <v>681.75</v>
      </c>
      <c r="AN168" s="24">
        <v>73.95</v>
      </c>
      <c r="AO168" s="24">
        <v>0</v>
      </c>
      <c r="AP168" s="24">
        <v>16</v>
      </c>
      <c r="AQ168" s="24">
        <v>0</v>
      </c>
      <c r="AR168" s="24">
        <v>0</v>
      </c>
      <c r="AS168" s="24" t="s">
        <v>32</v>
      </c>
      <c r="AT168" s="24"/>
      <c r="AU168" s="24">
        <v>2021</v>
      </c>
      <c r="AV168" s="24">
        <v>50</v>
      </c>
      <c r="AW168" s="24">
        <v>0.19</v>
      </c>
      <c r="AX168" s="24">
        <v>2900</v>
      </c>
      <c r="AY168" s="24">
        <v>14954</v>
      </c>
      <c r="AZ168" s="24" t="s">
        <v>32</v>
      </c>
      <c r="BA168" s="24"/>
      <c r="BB168" s="24"/>
      <c r="BC168" s="24">
        <v>2021</v>
      </c>
      <c r="BD168" s="24">
        <v>50</v>
      </c>
      <c r="BE168" s="24">
        <v>219.863714285714</v>
      </c>
      <c r="BF168" s="24" t="s">
        <v>32</v>
      </c>
      <c r="BG168" s="24"/>
      <c r="BI168" s="24">
        <v>2022</v>
      </c>
      <c r="BJ168" s="24">
        <v>30</v>
      </c>
      <c r="BK168" s="24" t="s">
        <v>33</v>
      </c>
      <c r="BL168" s="24" t="s">
        <v>273</v>
      </c>
      <c r="BM168" s="24">
        <v>87390</v>
      </c>
      <c r="BN168" s="24">
        <v>86726</v>
      </c>
      <c r="BO168" s="24">
        <v>89739</v>
      </c>
      <c r="BR168" s="24">
        <v>2021</v>
      </c>
      <c r="BS168" s="24">
        <v>50</v>
      </c>
      <c r="BT168" s="24">
        <v>14810</v>
      </c>
      <c r="BU168" s="24">
        <v>1</v>
      </c>
      <c r="BV168" s="24" t="s">
        <v>32</v>
      </c>
      <c r="BY168" s="24">
        <v>2022</v>
      </c>
      <c r="BZ168" s="24">
        <v>2</v>
      </c>
      <c r="CA168" s="24" t="s">
        <v>33</v>
      </c>
      <c r="CB168" s="24" t="s">
        <v>423</v>
      </c>
      <c r="CC168" s="24">
        <v>1</v>
      </c>
      <c r="CF168" s="24">
        <v>2021</v>
      </c>
      <c r="CG168" s="24">
        <v>50</v>
      </c>
      <c r="CH168" s="24" t="s">
        <v>32</v>
      </c>
      <c r="CI168" s="24">
        <v>98.546798029556655</v>
      </c>
      <c r="CJ168" s="24">
        <v>8002</v>
      </c>
      <c r="CK168" s="24">
        <v>81.2</v>
      </c>
      <c r="CL168" s="24">
        <v>57.294955122253171</v>
      </c>
      <c r="CM168" s="24">
        <v>9844</v>
      </c>
      <c r="CN168" s="24">
        <v>18512</v>
      </c>
      <c r="CO168" s="24">
        <v>323.10000000000002</v>
      </c>
      <c r="CP168" s="24">
        <v>6420</v>
      </c>
      <c r="CQ168" s="24">
        <v>64.8</v>
      </c>
      <c r="CR168" s="24">
        <v>121.9</v>
      </c>
      <c r="CS168" s="24">
        <v>15392</v>
      </c>
      <c r="CT168" s="24">
        <v>15392</v>
      </c>
      <c r="CU168" s="24">
        <v>280.7</v>
      </c>
      <c r="CV168" s="24">
        <v>1386</v>
      </c>
      <c r="CW168" s="24">
        <v>0</v>
      </c>
      <c r="CX168" s="24">
        <v>4574</v>
      </c>
      <c r="CY168" s="24">
        <v>43.2</v>
      </c>
      <c r="CZ168" s="24">
        <v>5017</v>
      </c>
      <c r="DA168" s="24">
        <v>121.9</v>
      </c>
      <c r="DD168" s="24">
        <v>2021</v>
      </c>
      <c r="DE168" s="24">
        <v>50</v>
      </c>
      <c r="DF168" s="24" t="s">
        <v>32</v>
      </c>
      <c r="DG168" s="24">
        <v>3316</v>
      </c>
      <c r="DH168" s="24">
        <v>3302</v>
      </c>
      <c r="DJ168" s="24">
        <v>2021</v>
      </c>
      <c r="DK168" s="24">
        <v>50</v>
      </c>
      <c r="DL168" s="24" t="s">
        <v>33</v>
      </c>
      <c r="DM168" s="24">
        <v>432</v>
      </c>
      <c r="DP168" s="24">
        <v>2021</v>
      </c>
      <c r="DQ168" s="24">
        <v>12</v>
      </c>
      <c r="DR168" s="24" t="s">
        <v>33</v>
      </c>
      <c r="DS168" s="24">
        <v>17673</v>
      </c>
      <c r="DT168" s="24"/>
      <c r="DW168" s="24">
        <v>2022</v>
      </c>
      <c r="DX168" s="24">
        <v>19</v>
      </c>
      <c r="DY168" s="24" t="s">
        <v>33</v>
      </c>
      <c r="DZ168" s="24">
        <v>11</v>
      </c>
      <c r="EA168" s="24" t="s">
        <v>562</v>
      </c>
      <c r="EB168" s="24">
        <v>133.6</v>
      </c>
      <c r="EC168" s="24">
        <v>24.3</v>
      </c>
      <c r="ED168" s="24">
        <v>366</v>
      </c>
      <c r="EE168" s="24">
        <v>7080</v>
      </c>
      <c r="EF168" s="24">
        <v>14.9</v>
      </c>
      <c r="EI168" s="24">
        <v>2023</v>
      </c>
      <c r="EJ168" s="24">
        <v>5</v>
      </c>
      <c r="EK168" s="24" t="s">
        <v>558</v>
      </c>
      <c r="EL168" s="24" t="s">
        <v>557</v>
      </c>
      <c r="EM168" s="24" t="s">
        <v>210</v>
      </c>
      <c r="EN168" s="24">
        <v>15</v>
      </c>
      <c r="EO168" s="24"/>
      <c r="EP168" s="24"/>
      <c r="EQ168" s="24"/>
      <c r="ER168" s="24"/>
      <c r="ES168" s="24">
        <v>2022</v>
      </c>
      <c r="ET168" s="24">
        <v>5</v>
      </c>
      <c r="EU168" s="24" t="s">
        <v>33</v>
      </c>
      <c r="EV168" s="24">
        <v>130097</v>
      </c>
      <c r="EY168" s="24">
        <v>2022</v>
      </c>
      <c r="EZ168" s="24">
        <v>1</v>
      </c>
      <c r="FA168" s="24" t="s">
        <v>32</v>
      </c>
      <c r="FB168" s="24">
        <v>193</v>
      </c>
      <c r="FE168" s="24">
        <v>2021</v>
      </c>
      <c r="FF168" s="24">
        <v>50</v>
      </c>
      <c r="FG168" s="24" t="s">
        <v>32</v>
      </c>
      <c r="FH168" s="24">
        <v>0.73710000000000009</v>
      </c>
      <c r="FI168" s="24">
        <v>335</v>
      </c>
      <c r="FJ168" s="24">
        <v>160</v>
      </c>
      <c r="FK168" s="24">
        <v>206</v>
      </c>
      <c r="FN168" s="24">
        <v>2021</v>
      </c>
      <c r="FO168" s="24">
        <v>51</v>
      </c>
      <c r="FP168" s="24" t="s">
        <v>32</v>
      </c>
      <c r="FQ168" s="24">
        <v>33517</v>
      </c>
      <c r="FR168" s="24">
        <v>731.56666666666695</v>
      </c>
      <c r="FS168" s="24">
        <v>41907</v>
      </c>
      <c r="FT168" s="24">
        <v>468.3</v>
      </c>
      <c r="FW168" s="24">
        <v>2021</v>
      </c>
      <c r="FX168" s="24">
        <v>50</v>
      </c>
      <c r="FY168" s="24" t="s">
        <v>32</v>
      </c>
      <c r="FZ168" s="24">
        <v>1769</v>
      </c>
      <c r="GA168" s="24">
        <v>1562</v>
      </c>
      <c r="GB168" s="24"/>
      <c r="GC168" s="24"/>
      <c r="GD168" s="24">
        <v>2021</v>
      </c>
      <c r="GE168" s="24">
        <v>50</v>
      </c>
      <c r="GF168" s="24" t="s">
        <v>32</v>
      </c>
      <c r="GG168" s="24">
        <v>1785</v>
      </c>
      <c r="GH168" s="24">
        <v>1630</v>
      </c>
      <c r="GK168" s="24"/>
      <c r="GL168" s="24"/>
      <c r="GM168" s="24"/>
      <c r="GN168" s="24"/>
      <c r="GO168" s="24"/>
      <c r="GP168" s="24">
        <v>2021</v>
      </c>
      <c r="GQ168" s="24">
        <v>50</v>
      </c>
      <c r="GR168" s="24">
        <v>3.0460000000000003</v>
      </c>
      <c r="GS168" s="24" t="s">
        <v>32</v>
      </c>
      <c r="GX168">
        <v>2021</v>
      </c>
      <c r="GY168">
        <v>50</v>
      </c>
      <c r="GZ168" t="s">
        <v>32</v>
      </c>
      <c r="HA168">
        <v>14153</v>
      </c>
      <c r="HB168">
        <v>13510</v>
      </c>
      <c r="HC168">
        <v>1</v>
      </c>
      <c r="HD168">
        <v>3</v>
      </c>
      <c r="HE168">
        <v>0</v>
      </c>
      <c r="HF168">
        <v>81</v>
      </c>
      <c r="HG168">
        <v>0</v>
      </c>
      <c r="HH168">
        <v>0</v>
      </c>
      <c r="HI168">
        <v>77</v>
      </c>
      <c r="HL168">
        <v>2021</v>
      </c>
      <c r="HM168">
        <v>50</v>
      </c>
      <c r="HN168" t="s">
        <v>32</v>
      </c>
      <c r="HO168">
        <v>14416</v>
      </c>
      <c r="HP168">
        <v>14169</v>
      </c>
      <c r="HQ168">
        <v>1</v>
      </c>
      <c r="HR168">
        <v>0</v>
      </c>
      <c r="HS168">
        <v>0</v>
      </c>
      <c r="HT168">
        <v>111</v>
      </c>
      <c r="HU168">
        <v>0</v>
      </c>
      <c r="HV168">
        <v>0</v>
      </c>
      <c r="HW168">
        <v>13</v>
      </c>
      <c r="HZ168" s="24">
        <v>2021</v>
      </c>
      <c r="IA168" s="24">
        <v>50</v>
      </c>
      <c r="IB168" s="24" t="s">
        <v>32</v>
      </c>
      <c r="IC168" s="24">
        <v>1851</v>
      </c>
      <c r="ID168" s="24">
        <v>1594</v>
      </c>
      <c r="IG168" s="24">
        <v>2021</v>
      </c>
      <c r="IH168" s="24">
        <v>50</v>
      </c>
      <c r="II168" s="24" t="s">
        <v>32</v>
      </c>
      <c r="IJ168" s="24">
        <v>1756</v>
      </c>
      <c r="IK168" s="24">
        <v>1702</v>
      </c>
    </row>
    <row r="169" spans="9:245" x14ac:dyDescent="0.4">
      <c r="I169" s="305">
        <v>2021</v>
      </c>
      <c r="J169" s="306">
        <v>50</v>
      </c>
      <c r="K169" s="306" t="s">
        <v>32</v>
      </c>
      <c r="L169" s="306">
        <v>14336</v>
      </c>
      <c r="M169" s="306">
        <v>13693</v>
      </c>
      <c r="N169" s="306">
        <v>58</v>
      </c>
      <c r="O169" s="306">
        <v>246</v>
      </c>
      <c r="P169" s="306">
        <v>58</v>
      </c>
      <c r="Q169" s="306">
        <v>46</v>
      </c>
      <c r="R169" s="24"/>
      <c r="S169" s="24"/>
      <c r="T169" s="24"/>
      <c r="W169" s="24">
        <v>2021</v>
      </c>
      <c r="X169" s="24">
        <v>50</v>
      </c>
      <c r="Y169" s="24" t="s">
        <v>33</v>
      </c>
      <c r="Z169" s="24">
        <v>258179</v>
      </c>
      <c r="AA169" s="24">
        <v>161416</v>
      </c>
      <c r="AB169" s="24">
        <v>588</v>
      </c>
      <c r="AC169" s="24">
        <v>273</v>
      </c>
      <c r="AD169" s="297"/>
      <c r="AE169" s="297"/>
      <c r="AF169" s="297"/>
      <c r="AG169" s="297"/>
      <c r="AH169" s="297"/>
      <c r="AI169" s="24"/>
      <c r="AJ169" s="24"/>
      <c r="AK169" s="24">
        <v>2021</v>
      </c>
      <c r="AL169" s="24">
        <v>50</v>
      </c>
      <c r="AM169" s="24">
        <v>16853.349999999999</v>
      </c>
      <c r="AN169" s="24">
        <v>2032.03</v>
      </c>
      <c r="AO169" s="24">
        <v>0</v>
      </c>
      <c r="AP169" s="24">
        <v>403</v>
      </c>
      <c r="AQ169" s="24">
        <v>0</v>
      </c>
      <c r="AR169" s="24">
        <v>0</v>
      </c>
      <c r="AS169" s="24" t="s">
        <v>33</v>
      </c>
      <c r="AT169" s="24"/>
      <c r="AU169" s="24">
        <v>2021</v>
      </c>
      <c r="AV169" s="24">
        <v>50</v>
      </c>
      <c r="AW169" s="24">
        <v>0.08</v>
      </c>
      <c r="AX169" s="24">
        <v>20400</v>
      </c>
      <c r="AY169" s="24">
        <v>268579</v>
      </c>
      <c r="AZ169" s="24" t="s">
        <v>33</v>
      </c>
      <c r="BA169" s="24"/>
      <c r="BB169" s="24"/>
      <c r="BC169" s="24">
        <v>2021</v>
      </c>
      <c r="BD169" s="24">
        <v>50</v>
      </c>
      <c r="BE169" s="24">
        <v>2501.8962857142897</v>
      </c>
      <c r="BF169" s="24" t="s">
        <v>33</v>
      </c>
      <c r="BG169" s="24"/>
      <c r="BI169" s="24">
        <v>2022</v>
      </c>
      <c r="BJ169" s="24">
        <v>30</v>
      </c>
      <c r="BK169" s="24" t="s">
        <v>33</v>
      </c>
      <c r="BL169" s="24" t="s">
        <v>272</v>
      </c>
      <c r="BM169" s="24">
        <v>51991</v>
      </c>
      <c r="BN169" s="24">
        <v>51956</v>
      </c>
      <c r="BO169" s="24">
        <v>194811</v>
      </c>
      <c r="BR169" s="24">
        <v>2021</v>
      </c>
      <c r="BS169" s="24">
        <v>50</v>
      </c>
      <c r="BT169" s="24">
        <v>268020</v>
      </c>
      <c r="BU169" s="24">
        <v>5</v>
      </c>
      <c r="BV169" s="24" t="s">
        <v>33</v>
      </c>
      <c r="BY169" s="24">
        <v>2021</v>
      </c>
      <c r="BZ169" s="24">
        <v>52</v>
      </c>
      <c r="CA169" s="24" t="s">
        <v>32</v>
      </c>
      <c r="CB169" s="24" t="s">
        <v>423</v>
      </c>
      <c r="CC169" s="24">
        <v>21</v>
      </c>
      <c r="CF169" s="24">
        <v>2021</v>
      </c>
      <c r="CG169" s="24">
        <v>50</v>
      </c>
      <c r="CH169" s="24" t="s">
        <v>33</v>
      </c>
      <c r="CI169" s="24">
        <v>128.85541860584053</v>
      </c>
      <c r="CJ169" s="24">
        <v>251951</v>
      </c>
      <c r="CK169" s="24">
        <v>1955.3</v>
      </c>
      <c r="CL169" s="24">
        <v>110.65437746681019</v>
      </c>
      <c r="CM169" s="24">
        <v>126838</v>
      </c>
      <c r="CN169" s="24">
        <v>246715</v>
      </c>
      <c r="CO169" s="24">
        <v>2229.6</v>
      </c>
      <c r="CP169" s="24">
        <v>39852</v>
      </c>
      <c r="CQ169" s="24">
        <v>267.10000000000002</v>
      </c>
      <c r="CR169" s="24">
        <v>1113.9000000000001</v>
      </c>
      <c r="CS169" s="24">
        <v>218285</v>
      </c>
      <c r="CT169" s="24">
        <v>218285</v>
      </c>
      <c r="CU169" s="24">
        <v>1997.8</v>
      </c>
      <c r="CV169" s="24">
        <v>36832</v>
      </c>
      <c r="CW169" s="24">
        <v>0</v>
      </c>
      <c r="CX169" s="24">
        <v>198611</v>
      </c>
      <c r="CY169" s="24">
        <v>903.3</v>
      </c>
      <c r="CZ169" s="24">
        <v>32168</v>
      </c>
      <c r="DA169" s="24">
        <v>1113.9000000000001</v>
      </c>
      <c r="DD169" s="24">
        <v>2021</v>
      </c>
      <c r="DE169" s="24">
        <v>50</v>
      </c>
      <c r="DF169" s="24" t="s">
        <v>33</v>
      </c>
      <c r="DG169" s="24">
        <v>85362</v>
      </c>
      <c r="DH169" s="24">
        <v>33916</v>
      </c>
      <c r="DJ169" s="24">
        <v>2021</v>
      </c>
      <c r="DK169" s="24">
        <v>49</v>
      </c>
      <c r="DL169" s="24" t="s">
        <v>32</v>
      </c>
      <c r="DM169" s="24">
        <v>18</v>
      </c>
      <c r="DP169" s="24">
        <v>2021</v>
      </c>
      <c r="DQ169" s="24">
        <v>11</v>
      </c>
      <c r="DR169" s="24" t="s">
        <v>33</v>
      </c>
      <c r="DS169" s="24">
        <v>16071</v>
      </c>
      <c r="DT169" s="24"/>
      <c r="DW169" s="24">
        <v>2022</v>
      </c>
      <c r="DX169" s="24">
        <v>19</v>
      </c>
      <c r="DY169" s="24" t="s">
        <v>33</v>
      </c>
      <c r="DZ169" s="24">
        <v>56</v>
      </c>
      <c r="EA169" s="24" t="s">
        <v>149</v>
      </c>
      <c r="EB169" s="24">
        <v>251</v>
      </c>
      <c r="EC169" s="24">
        <v>1114.7</v>
      </c>
      <c r="ED169" s="24">
        <v>35666</v>
      </c>
      <c r="EE169" s="24">
        <v>44511</v>
      </c>
      <c r="EF169" s="24">
        <v>75.599999999999994</v>
      </c>
      <c r="EI169" s="24">
        <v>2023</v>
      </c>
      <c r="EJ169" s="24">
        <v>5</v>
      </c>
      <c r="EK169" s="24" t="s">
        <v>558</v>
      </c>
      <c r="EL169" s="24" t="s">
        <v>235</v>
      </c>
      <c r="EM169" s="24" t="s">
        <v>210</v>
      </c>
      <c r="EN169" s="24">
        <v>10</v>
      </c>
      <c r="EO169" s="24"/>
      <c r="EP169" s="24"/>
      <c r="EQ169" s="24"/>
      <c r="ER169" s="24"/>
      <c r="ES169" s="24">
        <v>2022</v>
      </c>
      <c r="ET169" s="24">
        <v>5</v>
      </c>
      <c r="EU169" s="24" t="s">
        <v>213</v>
      </c>
      <c r="EV169" s="24">
        <v>1</v>
      </c>
      <c r="EY169" s="24">
        <v>2022</v>
      </c>
      <c r="EZ169" s="24">
        <v>1</v>
      </c>
      <c r="FA169" s="24" t="s">
        <v>33</v>
      </c>
      <c r="FB169" s="24">
        <v>339</v>
      </c>
      <c r="FE169" s="24">
        <v>2021</v>
      </c>
      <c r="FF169" s="24">
        <v>50</v>
      </c>
      <c r="FG169" s="24" t="s">
        <v>33</v>
      </c>
      <c r="FH169" s="24">
        <v>0.9425</v>
      </c>
      <c r="FI169" s="24">
        <v>11779</v>
      </c>
      <c r="FJ169" s="24">
        <v>5359</v>
      </c>
      <c r="FK169" s="24">
        <v>5728</v>
      </c>
      <c r="FN169" s="24">
        <v>2021</v>
      </c>
      <c r="FO169" s="24">
        <v>51</v>
      </c>
      <c r="FP169" s="24" t="s">
        <v>33</v>
      </c>
      <c r="FQ169" s="24">
        <v>760063</v>
      </c>
      <c r="FR169" s="24">
        <v>7322.2166666666699</v>
      </c>
      <c r="FS169" s="24">
        <v>436424</v>
      </c>
      <c r="FT169" s="24">
        <v>3369.86666666667</v>
      </c>
      <c r="FW169" s="24">
        <v>2021</v>
      </c>
      <c r="FX169" s="24">
        <v>50</v>
      </c>
      <c r="FY169" s="24" t="s">
        <v>33</v>
      </c>
      <c r="FZ169" s="24">
        <v>15306</v>
      </c>
      <c r="GA169" s="24">
        <v>13902</v>
      </c>
      <c r="GB169" s="24"/>
      <c r="GC169" s="24"/>
      <c r="GD169" s="24">
        <v>2021</v>
      </c>
      <c r="GE169" s="24">
        <v>50</v>
      </c>
      <c r="GF169" s="24" t="s">
        <v>33</v>
      </c>
      <c r="GG169" s="24">
        <v>15262</v>
      </c>
      <c r="GH169" s="24">
        <v>14159</v>
      </c>
      <c r="GK169" s="24"/>
      <c r="GL169" s="24"/>
      <c r="GM169" s="24"/>
      <c r="GN169" s="24"/>
      <c r="GO169" s="24"/>
      <c r="GP169" s="24">
        <v>2021</v>
      </c>
      <c r="GQ169" s="24">
        <v>50</v>
      </c>
      <c r="GR169" s="24">
        <v>25.5601428571429</v>
      </c>
      <c r="GS169" s="24" t="s">
        <v>33</v>
      </c>
      <c r="GX169">
        <v>2021</v>
      </c>
      <c r="GY169">
        <v>50</v>
      </c>
      <c r="GZ169" t="s">
        <v>33</v>
      </c>
      <c r="HA169">
        <v>263144</v>
      </c>
      <c r="HB169">
        <v>255389</v>
      </c>
      <c r="HC169">
        <v>548</v>
      </c>
      <c r="HD169">
        <v>149</v>
      </c>
      <c r="HE169">
        <v>0</v>
      </c>
      <c r="HF169">
        <v>2100</v>
      </c>
      <c r="HG169">
        <v>0</v>
      </c>
      <c r="HH169">
        <v>0</v>
      </c>
      <c r="HI169">
        <v>1152</v>
      </c>
      <c r="HL169">
        <v>2021</v>
      </c>
      <c r="HM169">
        <v>50</v>
      </c>
      <c r="HN169" t="s">
        <v>33</v>
      </c>
      <c r="HO169">
        <v>257373</v>
      </c>
      <c r="HP169">
        <v>253982</v>
      </c>
      <c r="HQ169">
        <v>663</v>
      </c>
      <c r="HR169">
        <v>94</v>
      </c>
      <c r="HS169">
        <v>0</v>
      </c>
      <c r="HT169">
        <v>1828</v>
      </c>
      <c r="HU169">
        <v>0</v>
      </c>
      <c r="HV169">
        <v>0</v>
      </c>
      <c r="HW169">
        <v>384</v>
      </c>
      <c r="HZ169" s="24">
        <v>2021</v>
      </c>
      <c r="IA169" s="24">
        <v>50</v>
      </c>
      <c r="IB169" s="24" t="s">
        <v>33</v>
      </c>
      <c r="IC169" s="24">
        <v>15811</v>
      </c>
      <c r="ID169" s="24">
        <v>15084</v>
      </c>
      <c r="IG169" s="24">
        <v>2021</v>
      </c>
      <c r="IH169" s="24">
        <v>50</v>
      </c>
      <c r="II169" s="24" t="s">
        <v>33</v>
      </c>
      <c r="IJ169" s="24">
        <v>14338</v>
      </c>
      <c r="IK169" s="24">
        <v>14216</v>
      </c>
    </row>
    <row r="170" spans="9:245" x14ac:dyDescent="0.4">
      <c r="I170" s="305">
        <v>2021</v>
      </c>
      <c r="J170" s="306">
        <v>50</v>
      </c>
      <c r="K170" s="306" t="s">
        <v>33</v>
      </c>
      <c r="L170" s="306">
        <v>259662</v>
      </c>
      <c r="M170" s="306">
        <v>160885</v>
      </c>
      <c r="N170" s="306">
        <v>1272</v>
      </c>
      <c r="O170" s="306">
        <v>17927</v>
      </c>
      <c r="P170" s="306">
        <v>736</v>
      </c>
      <c r="Q170" s="306">
        <v>283</v>
      </c>
      <c r="R170" s="24"/>
      <c r="S170" s="24"/>
      <c r="T170" s="24"/>
      <c r="W170" s="24">
        <v>2021</v>
      </c>
      <c r="X170" s="24">
        <v>49</v>
      </c>
      <c r="Y170" s="24" t="s">
        <v>32</v>
      </c>
      <c r="Z170" s="24">
        <v>16969</v>
      </c>
      <c r="AA170" s="24">
        <v>14703</v>
      </c>
      <c r="AB170" s="24">
        <v>8</v>
      </c>
      <c r="AC170" s="24">
        <v>43</v>
      </c>
      <c r="AD170" s="297"/>
      <c r="AE170" s="297"/>
      <c r="AF170" s="297"/>
      <c r="AG170" s="297"/>
      <c r="AH170" s="297"/>
      <c r="AI170" s="24"/>
      <c r="AJ170" s="24"/>
      <c r="AK170" s="24">
        <v>2021</v>
      </c>
      <c r="AL170" s="24">
        <v>49</v>
      </c>
      <c r="AM170" s="24">
        <v>655.58</v>
      </c>
      <c r="AN170" s="24">
        <v>71.600000000000009</v>
      </c>
      <c r="AO170" s="24">
        <v>0</v>
      </c>
      <c r="AP170" s="24">
        <v>16</v>
      </c>
      <c r="AQ170" s="24">
        <v>0</v>
      </c>
      <c r="AR170" s="24">
        <v>0</v>
      </c>
      <c r="AS170" s="24" t="s">
        <v>32</v>
      </c>
      <c r="AT170" s="24"/>
      <c r="AU170" s="24">
        <v>2021</v>
      </c>
      <c r="AV170" s="24">
        <v>49</v>
      </c>
      <c r="AW170" s="24">
        <v>0.12</v>
      </c>
      <c r="AX170" s="24">
        <v>2100</v>
      </c>
      <c r="AY170" s="24">
        <v>18025</v>
      </c>
      <c r="AZ170" s="24" t="s">
        <v>32</v>
      </c>
      <c r="BA170" s="24"/>
      <c r="BB170" s="24"/>
      <c r="BC170" s="24">
        <v>2021</v>
      </c>
      <c r="BD170" s="24">
        <v>49</v>
      </c>
      <c r="BE170" s="24">
        <v>217.42171428571399</v>
      </c>
      <c r="BF170" s="24" t="s">
        <v>32</v>
      </c>
      <c r="BG170" s="24"/>
      <c r="BI170" s="24">
        <v>2022</v>
      </c>
      <c r="BJ170" s="24">
        <v>29</v>
      </c>
      <c r="BK170" s="24" t="s">
        <v>32</v>
      </c>
      <c r="BL170" s="24" t="s">
        <v>272</v>
      </c>
      <c r="BM170" s="24">
        <v>3085</v>
      </c>
      <c r="BN170" s="24">
        <v>3068</v>
      </c>
      <c r="BO170" s="24">
        <v>10809</v>
      </c>
      <c r="BR170" s="24">
        <v>2021</v>
      </c>
      <c r="BS170" s="24">
        <v>49</v>
      </c>
      <c r="BT170" s="24">
        <v>17702</v>
      </c>
      <c r="BU170" s="24">
        <v>2</v>
      </c>
      <c r="BV170" s="24" t="s">
        <v>32</v>
      </c>
      <c r="BY170" s="24">
        <v>2021</v>
      </c>
      <c r="BZ170" s="24">
        <v>50</v>
      </c>
      <c r="CA170" s="24" t="s">
        <v>33</v>
      </c>
      <c r="CB170" s="24" t="s">
        <v>423</v>
      </c>
      <c r="CC170" s="24">
        <v>1</v>
      </c>
      <c r="CF170" s="24">
        <v>2021</v>
      </c>
      <c r="CG170" s="24">
        <v>49</v>
      </c>
      <c r="CH170" s="24" t="s">
        <v>32</v>
      </c>
      <c r="CI170" s="24">
        <v>79.887133182844238</v>
      </c>
      <c r="CJ170" s="24">
        <v>7078</v>
      </c>
      <c r="CK170" s="24">
        <v>88.6</v>
      </c>
      <c r="CL170" s="24">
        <v>58.496042216358838</v>
      </c>
      <c r="CM170" s="24">
        <v>10338</v>
      </c>
      <c r="CN170" s="24">
        <v>19953</v>
      </c>
      <c r="CO170" s="24">
        <v>341.1</v>
      </c>
      <c r="CP170" s="24">
        <v>7910</v>
      </c>
      <c r="CQ170" s="24">
        <v>85.6</v>
      </c>
      <c r="CR170" s="24">
        <v>124.6</v>
      </c>
      <c r="CS170" s="24">
        <v>11397</v>
      </c>
      <c r="CT170" s="24">
        <v>11397</v>
      </c>
      <c r="CU170" s="24">
        <v>222.3</v>
      </c>
      <c r="CV170" s="24">
        <v>1866</v>
      </c>
      <c r="CW170" s="24">
        <v>0</v>
      </c>
      <c r="CX170" s="24">
        <v>2750</v>
      </c>
      <c r="CY170" s="24">
        <v>50</v>
      </c>
      <c r="CZ170" s="24">
        <v>5662</v>
      </c>
      <c r="DA170" s="24">
        <v>124.6</v>
      </c>
      <c r="DD170" s="24">
        <v>2021</v>
      </c>
      <c r="DE170" s="24">
        <v>49</v>
      </c>
      <c r="DF170" s="24" t="s">
        <v>32</v>
      </c>
      <c r="DG170" s="24">
        <v>4571</v>
      </c>
      <c r="DH170" s="24">
        <v>2242</v>
      </c>
      <c r="DJ170" s="24">
        <v>2021</v>
      </c>
      <c r="DK170" s="24">
        <v>49</v>
      </c>
      <c r="DL170" s="24" t="s">
        <v>33</v>
      </c>
      <c r="DM170" s="24">
        <v>421</v>
      </c>
      <c r="DP170" s="24">
        <v>2021</v>
      </c>
      <c r="DQ170" s="24">
        <v>10</v>
      </c>
      <c r="DR170" s="24" t="s">
        <v>33</v>
      </c>
      <c r="DS170" s="24">
        <v>13996</v>
      </c>
      <c r="DT170" s="24"/>
      <c r="DW170" s="24">
        <v>2022</v>
      </c>
      <c r="DX170" s="24">
        <v>18</v>
      </c>
      <c r="DY170" s="24" t="s">
        <v>32</v>
      </c>
      <c r="DZ170" s="24">
        <v>1</v>
      </c>
      <c r="EA170" s="24" t="s">
        <v>149</v>
      </c>
      <c r="EB170" s="24">
        <v>0</v>
      </c>
      <c r="EC170" s="24">
        <v>0</v>
      </c>
      <c r="ED170" s="24">
        <v>118</v>
      </c>
      <c r="EE170" s="24">
        <v>53</v>
      </c>
      <c r="EF170" s="24">
        <v>1.3</v>
      </c>
      <c r="EI170" s="24">
        <v>2023</v>
      </c>
      <c r="EJ170" s="24">
        <v>5</v>
      </c>
      <c r="EK170" s="24" t="s">
        <v>558</v>
      </c>
      <c r="EL170" s="24" t="s">
        <v>245</v>
      </c>
      <c r="EM170" s="24" t="s">
        <v>210</v>
      </c>
      <c r="EN170" s="24">
        <v>3</v>
      </c>
      <c r="EO170" s="24"/>
      <c r="EP170" s="24"/>
      <c r="EQ170" s="24"/>
      <c r="ER170" s="24"/>
      <c r="ES170" s="24">
        <v>2022</v>
      </c>
      <c r="ET170" s="24">
        <v>4</v>
      </c>
      <c r="EU170" s="24" t="s">
        <v>32</v>
      </c>
      <c r="EV170" s="24">
        <v>6969</v>
      </c>
      <c r="EY170" s="24">
        <v>2021</v>
      </c>
      <c r="EZ170" s="24">
        <v>52</v>
      </c>
      <c r="FA170" s="24" t="s">
        <v>32</v>
      </c>
      <c r="FB170" s="24">
        <v>1036</v>
      </c>
      <c r="FE170" s="24">
        <v>2021</v>
      </c>
      <c r="FF170" s="24">
        <v>49</v>
      </c>
      <c r="FG170" s="24" t="s">
        <v>32</v>
      </c>
      <c r="FH170" s="24">
        <v>0.85580000000000001</v>
      </c>
      <c r="FI170" s="24">
        <v>396</v>
      </c>
      <c r="FJ170" s="24">
        <v>181</v>
      </c>
      <c r="FK170" s="24">
        <v>212</v>
      </c>
      <c r="FN170" s="24">
        <v>2021</v>
      </c>
      <c r="FO170" s="24">
        <v>50</v>
      </c>
      <c r="FP170" s="24" t="s">
        <v>32</v>
      </c>
      <c r="FQ170" s="24">
        <v>35677</v>
      </c>
      <c r="FR170" s="24">
        <v>628.81666666666695</v>
      </c>
      <c r="FS170" s="24">
        <v>43233</v>
      </c>
      <c r="FT170" s="24">
        <v>433.90000000000003</v>
      </c>
      <c r="FW170" s="24">
        <v>2021</v>
      </c>
      <c r="FX170" s="24">
        <v>49</v>
      </c>
      <c r="FY170" s="24" t="s">
        <v>32</v>
      </c>
      <c r="FZ170" s="24">
        <v>1692</v>
      </c>
      <c r="GA170" s="24">
        <v>1528</v>
      </c>
      <c r="GB170" s="24"/>
      <c r="GC170" s="24"/>
      <c r="GD170" s="24">
        <v>2021</v>
      </c>
      <c r="GE170" s="24">
        <v>49</v>
      </c>
      <c r="GF170" s="24" t="s">
        <v>32</v>
      </c>
      <c r="GG170" s="24">
        <v>1703</v>
      </c>
      <c r="GH170" s="24">
        <v>1503</v>
      </c>
      <c r="GK170" s="24"/>
      <c r="GL170" s="24"/>
      <c r="GM170" s="24"/>
      <c r="GN170" s="24"/>
      <c r="GO170" s="24"/>
      <c r="GP170" s="24">
        <v>2021</v>
      </c>
      <c r="GQ170" s="24">
        <v>49</v>
      </c>
      <c r="GR170" s="24">
        <v>3.0467142857142901</v>
      </c>
      <c r="GS170" s="24" t="s">
        <v>32</v>
      </c>
      <c r="GX170">
        <v>2021</v>
      </c>
      <c r="GY170">
        <v>49</v>
      </c>
      <c r="GZ170" t="s">
        <v>32</v>
      </c>
      <c r="HA170">
        <v>17333</v>
      </c>
      <c r="HB170">
        <v>15052</v>
      </c>
      <c r="HC170">
        <v>2</v>
      </c>
      <c r="HD170">
        <v>21</v>
      </c>
      <c r="HE170">
        <v>0</v>
      </c>
      <c r="HF170">
        <v>1651</v>
      </c>
      <c r="HG170">
        <v>0</v>
      </c>
      <c r="HH170">
        <v>0</v>
      </c>
      <c r="HI170">
        <v>133</v>
      </c>
      <c r="HL170">
        <v>2021</v>
      </c>
      <c r="HM170">
        <v>49</v>
      </c>
      <c r="HN170" t="s">
        <v>32</v>
      </c>
      <c r="HO170">
        <v>16900</v>
      </c>
      <c r="HP170">
        <v>14962</v>
      </c>
      <c r="HQ170">
        <v>2</v>
      </c>
      <c r="HR170">
        <v>7</v>
      </c>
      <c r="HS170">
        <v>0</v>
      </c>
      <c r="HT170">
        <v>1811</v>
      </c>
      <c r="HU170">
        <v>0</v>
      </c>
      <c r="HV170">
        <v>0</v>
      </c>
      <c r="HW170">
        <v>23</v>
      </c>
      <c r="HZ170" s="24">
        <v>2021</v>
      </c>
      <c r="IA170" s="24">
        <v>49</v>
      </c>
      <c r="IB170" s="24" t="s">
        <v>32</v>
      </c>
      <c r="IC170" s="24">
        <v>1700</v>
      </c>
      <c r="ID170" s="24">
        <v>1464</v>
      </c>
      <c r="IG170" s="24">
        <v>2021</v>
      </c>
      <c r="IH170" s="24">
        <v>49</v>
      </c>
      <c r="II170" s="24" t="s">
        <v>32</v>
      </c>
      <c r="IJ170" s="24">
        <v>1676</v>
      </c>
      <c r="IK170" s="24">
        <v>1421</v>
      </c>
    </row>
    <row r="171" spans="9:245" x14ac:dyDescent="0.4">
      <c r="I171" s="305">
        <v>2021</v>
      </c>
      <c r="J171" s="306">
        <v>49</v>
      </c>
      <c r="K171" s="306" t="s">
        <v>32</v>
      </c>
      <c r="L171" s="306">
        <v>17061</v>
      </c>
      <c r="M171" s="306">
        <v>14777</v>
      </c>
      <c r="N171" s="306">
        <v>124</v>
      </c>
      <c r="O171" s="306">
        <v>570</v>
      </c>
      <c r="P171" s="306">
        <v>12</v>
      </c>
      <c r="Q171" s="306">
        <v>43</v>
      </c>
      <c r="R171" s="24"/>
      <c r="S171" s="24"/>
      <c r="T171" s="24"/>
      <c r="W171" s="24">
        <v>2021</v>
      </c>
      <c r="X171" s="24">
        <v>49</v>
      </c>
      <c r="Y171" s="24" t="s">
        <v>33</v>
      </c>
      <c r="Z171" s="24">
        <v>276334</v>
      </c>
      <c r="AA171" s="24">
        <v>168393</v>
      </c>
      <c r="AB171" s="24">
        <v>523</v>
      </c>
      <c r="AC171" s="24">
        <v>121</v>
      </c>
      <c r="AD171" s="297"/>
      <c r="AE171" s="297"/>
      <c r="AF171" s="297"/>
      <c r="AG171" s="297"/>
      <c r="AH171" s="297"/>
      <c r="AI171" s="24"/>
      <c r="AJ171" s="24"/>
      <c r="AK171" s="24">
        <v>2021</v>
      </c>
      <c r="AL171" s="24">
        <v>49</v>
      </c>
      <c r="AM171" s="24">
        <v>17473.45</v>
      </c>
      <c r="AN171" s="24">
        <v>2277.58</v>
      </c>
      <c r="AO171" s="24">
        <v>0</v>
      </c>
      <c r="AP171" s="24">
        <v>401</v>
      </c>
      <c r="AQ171" s="24">
        <v>0</v>
      </c>
      <c r="AR171" s="24">
        <v>2</v>
      </c>
      <c r="AS171" s="24" t="s">
        <v>33</v>
      </c>
      <c r="AT171" s="24"/>
      <c r="AU171" s="24">
        <v>2021</v>
      </c>
      <c r="AV171" s="24">
        <v>49</v>
      </c>
      <c r="AW171" s="24">
        <v>7.0000000000000007E-2</v>
      </c>
      <c r="AX171" s="24">
        <v>20400</v>
      </c>
      <c r="AY171" s="24">
        <v>280001</v>
      </c>
      <c r="AZ171" s="24" t="s">
        <v>33</v>
      </c>
      <c r="BA171" s="24"/>
      <c r="BB171" s="24"/>
      <c r="BC171" s="24">
        <v>2021</v>
      </c>
      <c r="BD171" s="24">
        <v>49</v>
      </c>
      <c r="BE171" s="24">
        <v>2411.43857142857</v>
      </c>
      <c r="BF171" s="24" t="s">
        <v>33</v>
      </c>
      <c r="BG171" s="24"/>
      <c r="BI171" s="24">
        <v>2022</v>
      </c>
      <c r="BJ171" s="24">
        <v>29</v>
      </c>
      <c r="BK171" s="24" t="s">
        <v>33</v>
      </c>
      <c r="BL171" s="24" t="s">
        <v>272</v>
      </c>
      <c r="BM171" s="24">
        <v>54996</v>
      </c>
      <c r="BN171" s="24">
        <v>54959</v>
      </c>
      <c r="BO171" s="24">
        <v>205525</v>
      </c>
      <c r="BR171" s="24">
        <v>2021</v>
      </c>
      <c r="BS171" s="24">
        <v>49</v>
      </c>
      <c r="BT171" s="24">
        <v>279246</v>
      </c>
      <c r="BU171" s="24">
        <v>2</v>
      </c>
      <c r="BV171" s="24" t="s">
        <v>33</v>
      </c>
      <c r="BY171" s="24">
        <v>2021</v>
      </c>
      <c r="BZ171" s="24">
        <v>46</v>
      </c>
      <c r="CA171" s="24" t="s">
        <v>33</v>
      </c>
      <c r="CB171" s="24" t="s">
        <v>108</v>
      </c>
      <c r="CC171" s="24">
        <v>1</v>
      </c>
      <c r="CF171" s="24">
        <v>2021</v>
      </c>
      <c r="CG171" s="24">
        <v>49</v>
      </c>
      <c r="CH171" s="24" t="s">
        <v>33</v>
      </c>
      <c r="CI171" s="24">
        <v>128.97785108388314</v>
      </c>
      <c r="CJ171" s="24">
        <v>273691</v>
      </c>
      <c r="CK171" s="24">
        <v>2122</v>
      </c>
      <c r="CL171" s="24">
        <v>107.06261844280472</v>
      </c>
      <c r="CM171" s="24">
        <v>136064</v>
      </c>
      <c r="CN171" s="24">
        <v>265526</v>
      </c>
      <c r="CO171" s="24">
        <v>2480.1</v>
      </c>
      <c r="CP171" s="24">
        <v>49072</v>
      </c>
      <c r="CQ171" s="24">
        <v>437.5</v>
      </c>
      <c r="CR171" s="24">
        <v>1159.0999999999999</v>
      </c>
      <c r="CS171" s="24">
        <v>175225</v>
      </c>
      <c r="CT171" s="24">
        <v>175225</v>
      </c>
      <c r="CU171" s="24">
        <v>1814.1</v>
      </c>
      <c r="CV171" s="24">
        <v>45676</v>
      </c>
      <c r="CW171" s="24">
        <v>0</v>
      </c>
      <c r="CX171" s="24">
        <v>154055</v>
      </c>
      <c r="CY171" s="24">
        <v>897.6</v>
      </c>
      <c r="CZ171" s="24">
        <v>34128</v>
      </c>
      <c r="DA171" s="24">
        <v>1159.0999999999999</v>
      </c>
      <c r="DD171" s="24">
        <v>2021</v>
      </c>
      <c r="DE171" s="24">
        <v>49</v>
      </c>
      <c r="DF171" s="24" t="s">
        <v>33</v>
      </c>
      <c r="DG171" s="24">
        <v>65812</v>
      </c>
      <c r="DH171" s="24">
        <v>25696</v>
      </c>
      <c r="DJ171" s="24">
        <v>2021</v>
      </c>
      <c r="DK171" s="24">
        <v>48</v>
      </c>
      <c r="DL171" s="24" t="s">
        <v>32</v>
      </c>
      <c r="DM171" s="24">
        <v>8</v>
      </c>
      <c r="DP171" s="24">
        <v>2021</v>
      </c>
      <c r="DQ171" s="24">
        <v>9</v>
      </c>
      <c r="DR171" s="24" t="s">
        <v>33</v>
      </c>
      <c r="DS171" s="24">
        <v>13442</v>
      </c>
      <c r="DT171" s="24"/>
      <c r="DW171" s="24">
        <v>2022</v>
      </c>
      <c r="DX171" s="24">
        <v>18</v>
      </c>
      <c r="DY171" s="24" t="s">
        <v>33</v>
      </c>
      <c r="DZ171" s="24">
        <v>10</v>
      </c>
      <c r="EA171" s="24" t="s">
        <v>562</v>
      </c>
      <c r="EB171" s="24">
        <v>131.6</v>
      </c>
      <c r="EC171" s="24">
        <v>41.5</v>
      </c>
      <c r="ED171" s="24">
        <v>768</v>
      </c>
      <c r="EE171" s="24">
        <v>7225</v>
      </c>
      <c r="EF171" s="24">
        <v>16.7</v>
      </c>
      <c r="EI171" s="24">
        <v>2023</v>
      </c>
      <c r="EJ171" s="24">
        <v>5</v>
      </c>
      <c r="EK171" s="24" t="s">
        <v>33</v>
      </c>
      <c r="EL171" s="24" t="s">
        <v>233</v>
      </c>
      <c r="EM171" s="24" t="s">
        <v>215</v>
      </c>
      <c r="EN171" s="24">
        <v>2</v>
      </c>
      <c r="EO171" s="24"/>
      <c r="EP171" s="24"/>
      <c r="EQ171" s="24"/>
      <c r="ER171" s="24"/>
      <c r="ES171" s="24">
        <v>2022</v>
      </c>
      <c r="ET171" s="24">
        <v>4</v>
      </c>
      <c r="EU171" s="24" t="s">
        <v>33</v>
      </c>
      <c r="EV171" s="24">
        <v>152507</v>
      </c>
      <c r="EY171" s="24">
        <v>2021</v>
      </c>
      <c r="EZ171" s="24">
        <v>52</v>
      </c>
      <c r="FA171" s="24" t="s">
        <v>33</v>
      </c>
      <c r="FB171" s="24">
        <v>1316</v>
      </c>
      <c r="FE171" s="24">
        <v>2021</v>
      </c>
      <c r="FF171" s="24">
        <v>49</v>
      </c>
      <c r="FG171" s="24" t="s">
        <v>33</v>
      </c>
      <c r="FH171" s="24">
        <v>0.93890000000000007</v>
      </c>
      <c r="FI171" s="24">
        <v>11982</v>
      </c>
      <c r="FJ171" s="24">
        <v>5450</v>
      </c>
      <c r="FK171" s="24">
        <v>5849</v>
      </c>
      <c r="FN171" s="24">
        <v>2021</v>
      </c>
      <c r="FO171" s="24">
        <v>50</v>
      </c>
      <c r="FP171" s="24" t="s">
        <v>33</v>
      </c>
      <c r="FQ171" s="24">
        <v>786617</v>
      </c>
      <c r="FR171" s="24">
        <v>7398.45</v>
      </c>
      <c r="FS171" s="24">
        <v>492699</v>
      </c>
      <c r="FT171" s="24">
        <v>3284.9666666666699</v>
      </c>
      <c r="FW171" s="24">
        <v>2021</v>
      </c>
      <c r="FX171" s="24">
        <v>49</v>
      </c>
      <c r="FY171" s="24" t="s">
        <v>33</v>
      </c>
      <c r="FZ171" s="24">
        <v>14713</v>
      </c>
      <c r="GA171" s="24">
        <v>13267</v>
      </c>
      <c r="GB171" s="24"/>
      <c r="GC171" s="24"/>
      <c r="GD171" s="24">
        <v>2021</v>
      </c>
      <c r="GE171" s="24">
        <v>49</v>
      </c>
      <c r="GF171" s="24" t="s">
        <v>33</v>
      </c>
      <c r="GG171" s="24">
        <v>14662</v>
      </c>
      <c r="GH171" s="24">
        <v>13509</v>
      </c>
      <c r="GK171" s="24"/>
      <c r="GL171" s="24"/>
      <c r="GM171" s="24"/>
      <c r="GN171" s="24"/>
      <c r="GO171" s="24"/>
      <c r="GP171" s="24">
        <v>2021</v>
      </c>
      <c r="GQ171" s="24">
        <v>49</v>
      </c>
      <c r="GR171" s="24">
        <v>28.083428571428602</v>
      </c>
      <c r="GS171" s="24" t="s">
        <v>33</v>
      </c>
      <c r="GX171">
        <v>2021</v>
      </c>
      <c r="GY171">
        <v>49</v>
      </c>
      <c r="GZ171" t="s">
        <v>33</v>
      </c>
      <c r="HA171">
        <v>276048</v>
      </c>
      <c r="HB171">
        <v>265352</v>
      </c>
      <c r="HC171">
        <v>690</v>
      </c>
      <c r="HD171">
        <v>133</v>
      </c>
      <c r="HE171">
        <v>0</v>
      </c>
      <c r="HF171">
        <v>4717</v>
      </c>
      <c r="HG171">
        <v>0</v>
      </c>
      <c r="HH171">
        <v>0</v>
      </c>
      <c r="HI171">
        <v>935</v>
      </c>
      <c r="HL171">
        <v>2021</v>
      </c>
      <c r="HM171">
        <v>49</v>
      </c>
      <c r="HN171" t="s">
        <v>33</v>
      </c>
      <c r="HO171">
        <v>275949</v>
      </c>
      <c r="HP171">
        <v>270221</v>
      </c>
      <c r="HQ171">
        <v>590</v>
      </c>
      <c r="HR171">
        <v>78</v>
      </c>
      <c r="HS171">
        <v>1</v>
      </c>
      <c r="HT171">
        <v>4425</v>
      </c>
      <c r="HU171">
        <v>0</v>
      </c>
      <c r="HV171">
        <v>0</v>
      </c>
      <c r="HW171">
        <v>254</v>
      </c>
      <c r="HZ171" s="24">
        <v>2021</v>
      </c>
      <c r="IA171" s="24">
        <v>49</v>
      </c>
      <c r="IB171" s="24" t="s">
        <v>33</v>
      </c>
      <c r="IC171" s="24">
        <v>14491</v>
      </c>
      <c r="ID171" s="24">
        <v>13437</v>
      </c>
      <c r="IG171" s="24">
        <v>2021</v>
      </c>
      <c r="IH171" s="24">
        <v>49</v>
      </c>
      <c r="II171" s="24" t="s">
        <v>33</v>
      </c>
      <c r="IJ171" s="24">
        <v>13898</v>
      </c>
      <c r="IK171" s="24">
        <v>13710</v>
      </c>
    </row>
    <row r="172" spans="9:245" x14ac:dyDescent="0.4">
      <c r="I172" s="305">
        <v>2021</v>
      </c>
      <c r="J172" s="306">
        <v>49</v>
      </c>
      <c r="K172" s="306" t="s">
        <v>33</v>
      </c>
      <c r="L172" s="306">
        <v>277042</v>
      </c>
      <c r="M172" s="306">
        <v>167386</v>
      </c>
      <c r="N172" s="306">
        <v>1214</v>
      </c>
      <c r="O172" s="306">
        <v>16380</v>
      </c>
      <c r="P172" s="306">
        <v>666</v>
      </c>
      <c r="Q172" s="306">
        <v>140</v>
      </c>
      <c r="R172" s="24"/>
      <c r="S172" s="24"/>
      <c r="T172" s="24"/>
      <c r="W172" s="24">
        <v>2021</v>
      </c>
      <c r="X172" s="24">
        <v>48</v>
      </c>
      <c r="Y172" s="24" t="s">
        <v>32</v>
      </c>
      <c r="Z172" s="24">
        <v>17283</v>
      </c>
      <c r="AA172" s="24">
        <v>16915</v>
      </c>
      <c r="AB172" s="24">
        <v>11</v>
      </c>
      <c r="AC172" s="24">
        <v>3</v>
      </c>
      <c r="AD172" s="297"/>
      <c r="AE172" s="297"/>
      <c r="AF172" s="297"/>
      <c r="AG172" s="297"/>
      <c r="AH172" s="297"/>
      <c r="AI172" s="24"/>
      <c r="AJ172" s="24"/>
      <c r="AK172" s="24">
        <v>2021</v>
      </c>
      <c r="AL172" s="24">
        <v>48</v>
      </c>
      <c r="AM172" s="24">
        <v>759.97</v>
      </c>
      <c r="AN172" s="24">
        <v>45.82</v>
      </c>
      <c r="AO172" s="24">
        <v>0</v>
      </c>
      <c r="AP172" s="24">
        <v>16</v>
      </c>
      <c r="AQ172" s="24">
        <v>0</v>
      </c>
      <c r="AR172" s="24">
        <v>0</v>
      </c>
      <c r="AS172" s="24" t="s">
        <v>32</v>
      </c>
      <c r="AT172" s="24"/>
      <c r="AU172" s="24">
        <v>2021</v>
      </c>
      <c r="AV172" s="24">
        <v>48</v>
      </c>
      <c r="AW172" s="24">
        <v>0.09</v>
      </c>
      <c r="AX172" s="24">
        <v>1500</v>
      </c>
      <c r="AY172" s="24">
        <v>15810</v>
      </c>
      <c r="AZ172" s="24" t="s">
        <v>32</v>
      </c>
      <c r="BA172" s="24"/>
      <c r="BB172" s="24"/>
      <c r="BC172" s="24">
        <v>2021</v>
      </c>
      <c r="BD172" s="24">
        <v>48</v>
      </c>
      <c r="BE172" s="24">
        <v>208.395571428571</v>
      </c>
      <c r="BF172" s="24" t="s">
        <v>32</v>
      </c>
      <c r="BG172" s="24"/>
      <c r="BI172" s="24">
        <v>2022</v>
      </c>
      <c r="BJ172" s="24">
        <v>29</v>
      </c>
      <c r="BK172" s="24" t="s">
        <v>33</v>
      </c>
      <c r="BL172" s="24" t="s">
        <v>273</v>
      </c>
      <c r="BM172" s="24">
        <v>88642</v>
      </c>
      <c r="BN172" s="24">
        <v>88106</v>
      </c>
      <c r="BO172" s="24">
        <v>90976</v>
      </c>
      <c r="BR172" s="24">
        <v>2021</v>
      </c>
      <c r="BS172" s="24">
        <v>48</v>
      </c>
      <c r="BT172" s="24">
        <v>309606</v>
      </c>
      <c r="BU172" s="24">
        <v>3</v>
      </c>
      <c r="BV172" s="24" t="s">
        <v>33</v>
      </c>
      <c r="BY172" s="24">
        <v>2021</v>
      </c>
      <c r="BZ172" s="24">
        <v>46</v>
      </c>
      <c r="CA172" s="24" t="s">
        <v>33</v>
      </c>
      <c r="CB172" s="24" t="s">
        <v>423</v>
      </c>
      <c r="CC172" s="24">
        <v>5</v>
      </c>
      <c r="CF172" s="24">
        <v>2021</v>
      </c>
      <c r="CG172" s="24">
        <v>48</v>
      </c>
      <c r="CH172" s="24" t="s">
        <v>32</v>
      </c>
      <c r="CI172" s="24">
        <v>94.24936386768448</v>
      </c>
      <c r="CJ172" s="24">
        <v>7408</v>
      </c>
      <c r="CK172" s="24">
        <v>78.599999999999994</v>
      </c>
      <c r="CL172" s="24">
        <v>59.351949420442573</v>
      </c>
      <c r="CM172" s="24">
        <v>11431</v>
      </c>
      <c r="CN172" s="24">
        <v>22530</v>
      </c>
      <c r="CO172" s="24">
        <v>379.6</v>
      </c>
      <c r="CP172" s="24">
        <v>9046</v>
      </c>
      <c r="CQ172" s="24">
        <v>125.2</v>
      </c>
      <c r="CR172" s="24">
        <v>158.69999999999999</v>
      </c>
      <c r="CS172" s="24">
        <v>13601</v>
      </c>
      <c r="CT172" s="24">
        <v>13601</v>
      </c>
      <c r="CU172" s="24">
        <v>246.2</v>
      </c>
      <c r="CV172" s="24">
        <v>1878</v>
      </c>
      <c r="CW172" s="24">
        <v>0</v>
      </c>
      <c r="CX172" s="24">
        <v>3940</v>
      </c>
      <c r="CY172" s="24">
        <v>50.6</v>
      </c>
      <c r="CZ172" s="24">
        <v>5969</v>
      </c>
      <c r="DA172" s="24">
        <v>158.69999999999999</v>
      </c>
      <c r="DD172" s="24">
        <v>2021</v>
      </c>
      <c r="DE172" s="24">
        <v>48</v>
      </c>
      <c r="DF172" s="24" t="s">
        <v>32</v>
      </c>
      <c r="DG172" s="24">
        <v>3819</v>
      </c>
      <c r="DH172" s="24">
        <v>2129</v>
      </c>
      <c r="DJ172" s="24">
        <v>2021</v>
      </c>
      <c r="DK172" s="24">
        <v>48</v>
      </c>
      <c r="DL172" s="24" t="s">
        <v>33</v>
      </c>
      <c r="DM172" s="24">
        <v>513</v>
      </c>
      <c r="DP172" s="24">
        <v>2021</v>
      </c>
      <c r="DQ172" s="24">
        <v>8</v>
      </c>
      <c r="DR172" s="24" t="s">
        <v>33</v>
      </c>
      <c r="DS172" s="24">
        <v>10130</v>
      </c>
      <c r="DT172" s="24"/>
      <c r="DW172" s="24">
        <v>2022</v>
      </c>
      <c r="DX172" s="24">
        <v>18</v>
      </c>
      <c r="DY172" s="24" t="s">
        <v>33</v>
      </c>
      <c r="DZ172" s="24">
        <v>56</v>
      </c>
      <c r="EA172" s="24" t="s">
        <v>149</v>
      </c>
      <c r="EB172" s="24">
        <v>255.5</v>
      </c>
      <c r="EC172" s="24">
        <v>1178.4000000000001</v>
      </c>
      <c r="ED172" s="24">
        <v>36600</v>
      </c>
      <c r="EE172" s="24">
        <v>46837</v>
      </c>
      <c r="EF172" s="24">
        <v>90.5</v>
      </c>
      <c r="EI172" s="24">
        <v>2023</v>
      </c>
      <c r="EJ172" s="24">
        <v>5</v>
      </c>
      <c r="EK172" s="24" t="s">
        <v>237</v>
      </c>
      <c r="EL172" s="24" t="s">
        <v>239</v>
      </c>
      <c r="EM172" s="24" t="s">
        <v>210</v>
      </c>
      <c r="EN172" s="24">
        <v>4</v>
      </c>
      <c r="EO172" s="24"/>
      <c r="EP172" s="24"/>
      <c r="EQ172" s="24"/>
      <c r="ER172" s="24"/>
      <c r="ES172" s="24">
        <v>2022</v>
      </c>
      <c r="ET172" s="24">
        <v>4</v>
      </c>
      <c r="EU172" s="24" t="s">
        <v>213</v>
      </c>
      <c r="EV172" s="24">
        <v>1</v>
      </c>
      <c r="EY172" s="24">
        <v>2021</v>
      </c>
      <c r="EZ172" s="24">
        <v>51</v>
      </c>
      <c r="FA172" s="24" t="s">
        <v>32</v>
      </c>
      <c r="FB172" s="24">
        <v>581</v>
      </c>
      <c r="FE172" s="24">
        <v>2021</v>
      </c>
      <c r="FF172" s="24">
        <v>48</v>
      </c>
      <c r="FG172" s="24" t="s">
        <v>32</v>
      </c>
      <c r="FH172" s="24">
        <v>0.91060000000000008</v>
      </c>
      <c r="FI172" s="24">
        <v>442</v>
      </c>
      <c r="FJ172" s="24">
        <v>207</v>
      </c>
      <c r="FK172" s="24">
        <v>228</v>
      </c>
      <c r="FN172" s="24">
        <v>2021</v>
      </c>
      <c r="FO172" s="24">
        <v>49</v>
      </c>
      <c r="FP172" s="24" t="s">
        <v>32</v>
      </c>
      <c r="FQ172" s="24">
        <v>40803</v>
      </c>
      <c r="FR172" s="24">
        <v>676.91666666666697</v>
      </c>
      <c r="FS172" s="24">
        <v>33600</v>
      </c>
      <c r="FT172" s="24">
        <v>348.28333333333302</v>
      </c>
      <c r="FW172" s="24">
        <v>2021</v>
      </c>
      <c r="FX172" s="24">
        <v>48</v>
      </c>
      <c r="FY172" s="24" t="s">
        <v>32</v>
      </c>
      <c r="FZ172" s="24">
        <v>1931</v>
      </c>
      <c r="GA172" s="24">
        <v>1892</v>
      </c>
      <c r="GB172" s="24"/>
      <c r="GC172" s="24"/>
      <c r="GD172" s="24">
        <v>2021</v>
      </c>
      <c r="GE172" s="24">
        <v>48</v>
      </c>
      <c r="GF172" s="24" t="s">
        <v>32</v>
      </c>
      <c r="GG172" s="24">
        <v>1939</v>
      </c>
      <c r="GH172" s="24">
        <v>1916</v>
      </c>
      <c r="GK172" s="24"/>
      <c r="GL172" s="24"/>
      <c r="GM172" s="24"/>
      <c r="GN172" s="24"/>
      <c r="GO172" s="24"/>
      <c r="GP172" s="24">
        <v>2021</v>
      </c>
      <c r="GQ172" s="24">
        <v>48</v>
      </c>
      <c r="GR172" s="24">
        <v>3.0460000000000003</v>
      </c>
      <c r="GS172" s="24" t="s">
        <v>32</v>
      </c>
      <c r="GX172">
        <v>2021</v>
      </c>
      <c r="GY172">
        <v>48</v>
      </c>
      <c r="GZ172" t="s">
        <v>32</v>
      </c>
      <c r="HA172">
        <v>15488</v>
      </c>
      <c r="HB172">
        <v>15216</v>
      </c>
      <c r="HC172">
        <v>0</v>
      </c>
      <c r="HD172">
        <v>4</v>
      </c>
      <c r="HE172">
        <v>0</v>
      </c>
      <c r="HF172">
        <v>47</v>
      </c>
      <c r="HG172">
        <v>0</v>
      </c>
      <c r="HH172">
        <v>0</v>
      </c>
      <c r="HI172">
        <v>45</v>
      </c>
      <c r="HL172">
        <v>2021</v>
      </c>
      <c r="HM172">
        <v>48</v>
      </c>
      <c r="HN172" t="s">
        <v>32</v>
      </c>
      <c r="HO172">
        <v>17201</v>
      </c>
      <c r="HP172">
        <v>17002</v>
      </c>
      <c r="HQ172">
        <v>0</v>
      </c>
      <c r="HR172">
        <v>1</v>
      </c>
      <c r="HS172">
        <v>0</v>
      </c>
      <c r="HT172">
        <v>104</v>
      </c>
      <c r="HU172">
        <v>0</v>
      </c>
      <c r="HV172">
        <v>0</v>
      </c>
      <c r="HW172">
        <v>13</v>
      </c>
      <c r="HZ172" s="24">
        <v>2021</v>
      </c>
      <c r="IA172" s="24">
        <v>48</v>
      </c>
      <c r="IB172" s="24" t="s">
        <v>32</v>
      </c>
      <c r="IC172" s="24">
        <v>1725</v>
      </c>
      <c r="ID172" s="24">
        <v>1673</v>
      </c>
      <c r="IG172" s="24">
        <v>2021</v>
      </c>
      <c r="IH172" s="24">
        <v>48</v>
      </c>
      <c r="II172" s="24" t="s">
        <v>32</v>
      </c>
      <c r="IJ172" s="24">
        <v>1873</v>
      </c>
      <c r="IK172" s="24">
        <v>1824</v>
      </c>
    </row>
    <row r="173" spans="9:245" x14ac:dyDescent="0.4">
      <c r="I173" s="305">
        <v>2021</v>
      </c>
      <c r="J173" s="306">
        <v>48</v>
      </c>
      <c r="K173" s="306" t="s">
        <v>32</v>
      </c>
      <c r="L173" s="306">
        <v>17311</v>
      </c>
      <c r="M173" s="306">
        <v>16841</v>
      </c>
      <c r="N173" s="306">
        <v>37</v>
      </c>
      <c r="O173" s="306">
        <v>216</v>
      </c>
      <c r="P173" s="306">
        <v>20</v>
      </c>
      <c r="Q173" s="306">
        <v>8</v>
      </c>
      <c r="R173" s="24"/>
      <c r="S173" s="24"/>
      <c r="T173" s="24"/>
      <c r="W173" s="24">
        <v>2021</v>
      </c>
      <c r="X173" s="24">
        <v>48</v>
      </c>
      <c r="Y173" s="24" t="s">
        <v>33</v>
      </c>
      <c r="Z173" s="24">
        <v>332858</v>
      </c>
      <c r="AA173" s="24">
        <v>200362</v>
      </c>
      <c r="AB173" s="24">
        <v>740</v>
      </c>
      <c r="AC173" s="24">
        <v>66</v>
      </c>
      <c r="AD173" s="297"/>
      <c r="AE173" s="297"/>
      <c r="AF173" s="297"/>
      <c r="AG173" s="297"/>
      <c r="AH173" s="297"/>
      <c r="AI173" s="24"/>
      <c r="AJ173" s="24"/>
      <c r="AK173" s="24">
        <v>2021</v>
      </c>
      <c r="AL173" s="24">
        <v>48</v>
      </c>
      <c r="AM173" s="24">
        <v>19126.53</v>
      </c>
      <c r="AN173" s="24">
        <v>1856.22</v>
      </c>
      <c r="AO173" s="24">
        <v>0</v>
      </c>
      <c r="AP173" s="24">
        <v>402</v>
      </c>
      <c r="AQ173" s="24">
        <v>0</v>
      </c>
      <c r="AR173" s="24">
        <v>2</v>
      </c>
      <c r="AS173" s="24" t="s">
        <v>33</v>
      </c>
      <c r="AT173" s="24"/>
      <c r="AU173" s="24">
        <v>2021</v>
      </c>
      <c r="AV173" s="24">
        <v>48</v>
      </c>
      <c r="AW173" s="24">
        <v>7.0000000000000007E-2</v>
      </c>
      <c r="AX173" s="24">
        <v>20400</v>
      </c>
      <c r="AY173" s="24">
        <v>310273</v>
      </c>
      <c r="AZ173" s="24" t="s">
        <v>33</v>
      </c>
      <c r="BA173" s="24"/>
      <c r="BB173" s="24"/>
      <c r="BC173" s="24">
        <v>2021</v>
      </c>
      <c r="BD173" s="24">
        <v>48</v>
      </c>
      <c r="BE173" s="24">
        <v>2433.8105714285698</v>
      </c>
      <c r="BF173" s="24" t="s">
        <v>33</v>
      </c>
      <c r="BG173" s="24"/>
      <c r="BI173" s="24">
        <v>2022</v>
      </c>
      <c r="BJ173" s="24">
        <v>29</v>
      </c>
      <c r="BK173" s="24" t="s">
        <v>32</v>
      </c>
      <c r="BL173" s="24" t="s">
        <v>273</v>
      </c>
      <c r="BM173" s="24">
        <v>6698</v>
      </c>
      <c r="BN173" s="24">
        <v>6624</v>
      </c>
      <c r="BO173" s="24">
        <v>7150</v>
      </c>
      <c r="BR173" s="24">
        <v>2021</v>
      </c>
      <c r="BS173" s="24">
        <v>48</v>
      </c>
      <c r="BT173" s="24">
        <v>15764</v>
      </c>
      <c r="BU173" s="24">
        <v>0</v>
      </c>
      <c r="BV173" s="24" t="s">
        <v>32</v>
      </c>
      <c r="BY173" s="24">
        <v>2021</v>
      </c>
      <c r="BZ173" s="24">
        <v>45</v>
      </c>
      <c r="CA173" s="24" t="s">
        <v>32</v>
      </c>
      <c r="CB173" s="24" t="s">
        <v>108</v>
      </c>
      <c r="CC173" s="24">
        <v>1</v>
      </c>
      <c r="CF173" s="24">
        <v>2021</v>
      </c>
      <c r="CG173" s="24">
        <v>48</v>
      </c>
      <c r="CH173" s="24" t="s">
        <v>33</v>
      </c>
      <c r="CI173" s="24">
        <v>125.38696033227909</v>
      </c>
      <c r="CJ173" s="24">
        <v>329053</v>
      </c>
      <c r="CK173" s="24">
        <v>2624.3</v>
      </c>
      <c r="CL173" s="24">
        <v>111.11286753082517</v>
      </c>
      <c r="CM173" s="24">
        <v>152318</v>
      </c>
      <c r="CN173" s="24">
        <v>316305</v>
      </c>
      <c r="CO173" s="24">
        <v>2846.7</v>
      </c>
      <c r="CP173" s="24">
        <v>46615</v>
      </c>
      <c r="CQ173" s="24">
        <v>305.10000000000002</v>
      </c>
      <c r="CR173" s="24">
        <v>1257.9000000000001</v>
      </c>
      <c r="CS173" s="24">
        <v>145415</v>
      </c>
      <c r="CT173" s="24">
        <v>145415</v>
      </c>
      <c r="CU173" s="24">
        <v>1652.3</v>
      </c>
      <c r="CV173" s="24">
        <v>44239</v>
      </c>
      <c r="CW173" s="24">
        <v>0</v>
      </c>
      <c r="CX173" s="24">
        <v>129444</v>
      </c>
      <c r="CY173" s="24">
        <v>879.2</v>
      </c>
      <c r="CZ173" s="24">
        <v>36071</v>
      </c>
      <c r="DA173" s="24">
        <v>1257.9000000000001</v>
      </c>
      <c r="DD173" s="24">
        <v>2021</v>
      </c>
      <c r="DE173" s="24">
        <v>48</v>
      </c>
      <c r="DF173" s="24" t="s">
        <v>33</v>
      </c>
      <c r="DG173" s="24">
        <v>70478</v>
      </c>
      <c r="DH173" s="24">
        <v>22221</v>
      </c>
      <c r="DJ173" s="24">
        <v>2021</v>
      </c>
      <c r="DK173" s="24">
        <v>47</v>
      </c>
      <c r="DL173" s="24" t="s">
        <v>32</v>
      </c>
      <c r="DM173" s="24">
        <v>8</v>
      </c>
      <c r="DP173" s="24">
        <v>2021</v>
      </c>
      <c r="DQ173" s="24">
        <v>7</v>
      </c>
      <c r="DR173" s="24" t="s">
        <v>33</v>
      </c>
      <c r="DS173" s="24">
        <v>11477</v>
      </c>
      <c r="DT173" s="24"/>
      <c r="DW173" s="24">
        <v>2022</v>
      </c>
      <c r="DX173" s="24">
        <v>17</v>
      </c>
      <c r="DY173" s="24" t="s">
        <v>32</v>
      </c>
      <c r="DZ173" s="24">
        <v>1</v>
      </c>
      <c r="EA173" s="24" t="s">
        <v>149</v>
      </c>
      <c r="EB173" s="24">
        <v>0</v>
      </c>
      <c r="EC173" s="24">
        <v>0</v>
      </c>
      <c r="ED173" s="24">
        <v>69</v>
      </c>
      <c r="EE173" s="24">
        <v>12</v>
      </c>
      <c r="EF173" s="24">
        <v>2.6</v>
      </c>
      <c r="EI173" s="24">
        <v>2023</v>
      </c>
      <c r="EJ173" s="24">
        <v>5</v>
      </c>
      <c r="EK173" s="24" t="s">
        <v>237</v>
      </c>
      <c r="EL173" s="24" t="s">
        <v>555</v>
      </c>
      <c r="EM173" s="24" t="s">
        <v>210</v>
      </c>
      <c r="EN173" s="24">
        <v>5</v>
      </c>
      <c r="EO173" s="24"/>
      <c r="EP173" s="24"/>
      <c r="EQ173" s="24"/>
      <c r="ER173" s="24"/>
      <c r="ES173" s="24">
        <v>2022</v>
      </c>
      <c r="ET173" s="24">
        <v>3</v>
      </c>
      <c r="EU173" s="24" t="s">
        <v>32</v>
      </c>
      <c r="EV173" s="24">
        <v>6661</v>
      </c>
      <c r="EY173" s="24">
        <v>2021</v>
      </c>
      <c r="EZ173" s="24">
        <v>51</v>
      </c>
      <c r="FA173" s="24" t="s">
        <v>33</v>
      </c>
      <c r="FB173" s="24">
        <v>1083</v>
      </c>
      <c r="FE173" s="24">
        <v>2021</v>
      </c>
      <c r="FF173" s="24">
        <v>48</v>
      </c>
      <c r="FG173" s="24" t="s">
        <v>33</v>
      </c>
      <c r="FH173" s="24">
        <v>0.89019999999999999</v>
      </c>
      <c r="FI173" s="24">
        <v>13898</v>
      </c>
      <c r="FJ173" s="24">
        <v>6263</v>
      </c>
      <c r="FK173" s="24">
        <v>7101</v>
      </c>
      <c r="FN173" s="24">
        <v>2021</v>
      </c>
      <c r="FO173" s="24">
        <v>49</v>
      </c>
      <c r="FP173" s="24" t="s">
        <v>33</v>
      </c>
      <c r="FQ173" s="24">
        <v>853342</v>
      </c>
      <c r="FR173" s="24">
        <v>8101.95</v>
      </c>
      <c r="FS173" s="24">
        <v>395012</v>
      </c>
      <c r="FT173" s="24">
        <v>3308.7666666666696</v>
      </c>
      <c r="FW173" s="24">
        <v>2021</v>
      </c>
      <c r="FX173" s="24">
        <v>48</v>
      </c>
      <c r="FY173" s="24" t="s">
        <v>33</v>
      </c>
      <c r="FZ173" s="24">
        <v>16395</v>
      </c>
      <c r="GA173" s="24">
        <v>14578</v>
      </c>
      <c r="GB173" s="24"/>
      <c r="GC173" s="24"/>
      <c r="GD173" s="24">
        <v>2021</v>
      </c>
      <c r="GE173" s="24">
        <v>48</v>
      </c>
      <c r="GF173" s="24" t="s">
        <v>33</v>
      </c>
      <c r="GG173" s="24">
        <v>16331</v>
      </c>
      <c r="GH173" s="24">
        <v>14853</v>
      </c>
      <c r="GK173" s="24"/>
      <c r="GL173" s="24"/>
      <c r="GM173" s="24"/>
      <c r="GN173" s="24"/>
      <c r="GO173" s="24"/>
      <c r="GP173" s="24">
        <v>2021</v>
      </c>
      <c r="GQ173" s="24">
        <v>48</v>
      </c>
      <c r="GR173" s="24">
        <v>27.469571428571403</v>
      </c>
      <c r="GS173" s="24" t="s">
        <v>33</v>
      </c>
      <c r="GX173">
        <v>2021</v>
      </c>
      <c r="GY173">
        <v>48</v>
      </c>
      <c r="GZ173" t="s">
        <v>33</v>
      </c>
      <c r="HA173">
        <v>308105</v>
      </c>
      <c r="HB173">
        <v>291194</v>
      </c>
      <c r="HC173">
        <v>734</v>
      </c>
      <c r="HD173">
        <v>232</v>
      </c>
      <c r="HE173">
        <v>1</v>
      </c>
      <c r="HF173">
        <v>11277</v>
      </c>
      <c r="HG173">
        <v>0</v>
      </c>
      <c r="HH173">
        <v>0</v>
      </c>
      <c r="HI173">
        <v>1115</v>
      </c>
      <c r="HL173">
        <v>2021</v>
      </c>
      <c r="HM173">
        <v>48</v>
      </c>
      <c r="HN173" t="s">
        <v>33</v>
      </c>
      <c r="HO173">
        <v>332576</v>
      </c>
      <c r="HP173">
        <v>317589</v>
      </c>
      <c r="HQ173">
        <v>833</v>
      </c>
      <c r="HR173">
        <v>207</v>
      </c>
      <c r="HS173">
        <v>1</v>
      </c>
      <c r="HT173">
        <v>12671</v>
      </c>
      <c r="HU173">
        <v>0</v>
      </c>
      <c r="HV173">
        <v>0</v>
      </c>
      <c r="HW173">
        <v>597</v>
      </c>
      <c r="HZ173" s="24">
        <v>2021</v>
      </c>
      <c r="IA173" s="24">
        <v>48</v>
      </c>
      <c r="IB173" s="24" t="s">
        <v>33</v>
      </c>
      <c r="IC173" s="24">
        <v>15701</v>
      </c>
      <c r="ID173" s="24">
        <v>14859</v>
      </c>
      <c r="IG173" s="24">
        <v>2021</v>
      </c>
      <c r="IH173" s="24">
        <v>48</v>
      </c>
      <c r="II173" s="24" t="s">
        <v>33</v>
      </c>
      <c r="IJ173" s="24">
        <v>15167</v>
      </c>
      <c r="IK173" s="24">
        <v>14937</v>
      </c>
    </row>
    <row r="174" spans="9:245" x14ac:dyDescent="0.4">
      <c r="I174" s="305">
        <v>2021</v>
      </c>
      <c r="J174" s="306">
        <v>48</v>
      </c>
      <c r="K174" s="306" t="s">
        <v>33</v>
      </c>
      <c r="L174" s="306">
        <v>334069</v>
      </c>
      <c r="M174" s="306">
        <v>200520</v>
      </c>
      <c r="N174" s="306">
        <v>1503</v>
      </c>
      <c r="O174" s="306">
        <v>25204</v>
      </c>
      <c r="P174" s="306">
        <v>965</v>
      </c>
      <c r="Q174" s="306">
        <v>98</v>
      </c>
      <c r="R174" s="24"/>
      <c r="S174" s="24"/>
      <c r="T174" s="24"/>
      <c r="W174" s="24">
        <v>2021</v>
      </c>
      <c r="X174" s="24">
        <v>47</v>
      </c>
      <c r="Y174" s="24" t="s">
        <v>32</v>
      </c>
      <c r="Z174" s="24">
        <v>10450</v>
      </c>
      <c r="AA174" s="24">
        <v>10160</v>
      </c>
      <c r="AB174" s="24">
        <v>4</v>
      </c>
      <c r="AC174" s="24">
        <v>20</v>
      </c>
      <c r="AD174" s="297"/>
      <c r="AE174" s="297"/>
      <c r="AF174" s="297"/>
      <c r="AG174" s="297"/>
      <c r="AH174" s="297"/>
      <c r="AI174" s="24"/>
      <c r="AJ174" s="24"/>
      <c r="AK174" s="24">
        <v>2021</v>
      </c>
      <c r="AL174" s="24">
        <v>47</v>
      </c>
      <c r="AM174" s="24">
        <v>470.52</v>
      </c>
      <c r="AN174" s="24">
        <v>34.65</v>
      </c>
      <c r="AO174" s="24">
        <v>0</v>
      </c>
      <c r="AP174" s="24">
        <v>15</v>
      </c>
      <c r="AQ174" s="24">
        <v>0</v>
      </c>
      <c r="AR174" s="24">
        <v>0</v>
      </c>
      <c r="AS174" s="24" t="s">
        <v>32</v>
      </c>
      <c r="AT174" s="24"/>
      <c r="AU174" s="24">
        <v>2021</v>
      </c>
      <c r="AV174" s="24">
        <v>47</v>
      </c>
      <c r="AW174" s="24">
        <v>0.15</v>
      </c>
      <c r="AX174" s="24">
        <v>1900</v>
      </c>
      <c r="AY174" s="24">
        <v>12753</v>
      </c>
      <c r="AZ174" s="24" t="s">
        <v>32</v>
      </c>
      <c r="BA174" s="24"/>
      <c r="BB174" s="24"/>
      <c r="BC174" s="24">
        <v>2021</v>
      </c>
      <c r="BD174" s="24">
        <v>47</v>
      </c>
      <c r="BE174" s="24">
        <v>206.163571428571</v>
      </c>
      <c r="BF174" s="24" t="s">
        <v>32</v>
      </c>
      <c r="BG174" s="24"/>
      <c r="BI174" s="24">
        <v>2022</v>
      </c>
      <c r="BJ174" s="24">
        <v>28</v>
      </c>
      <c r="BK174" s="24" t="s">
        <v>32</v>
      </c>
      <c r="BL174" s="24" t="s">
        <v>272</v>
      </c>
      <c r="BM174" s="24">
        <v>2987</v>
      </c>
      <c r="BN174" s="24">
        <v>2828</v>
      </c>
      <c r="BO174" s="24">
        <v>12674</v>
      </c>
      <c r="BR174" s="24">
        <v>2021</v>
      </c>
      <c r="BS174" s="24">
        <v>47</v>
      </c>
      <c r="BT174" s="24">
        <v>12694</v>
      </c>
      <c r="BU174" s="24">
        <v>0</v>
      </c>
      <c r="BV174" s="24" t="s">
        <v>32</v>
      </c>
      <c r="BY174" s="24">
        <v>2021</v>
      </c>
      <c r="BZ174" s="24">
        <v>45</v>
      </c>
      <c r="CA174" s="24" t="s">
        <v>32</v>
      </c>
      <c r="CB174" s="24" t="s">
        <v>423</v>
      </c>
      <c r="CC174" s="24">
        <v>22</v>
      </c>
      <c r="CF174" s="24">
        <v>2021</v>
      </c>
      <c r="CG174" s="24">
        <v>47</v>
      </c>
      <c r="CH174" s="24" t="s">
        <v>32</v>
      </c>
      <c r="CI174" s="24">
        <v>69.529914529914535</v>
      </c>
      <c r="CJ174" s="24">
        <v>3254</v>
      </c>
      <c r="CK174" s="24">
        <v>46.8</v>
      </c>
      <c r="CL174" s="24">
        <v>54.544265154819016</v>
      </c>
      <c r="CM174" s="24">
        <v>6574</v>
      </c>
      <c r="CN174" s="24">
        <v>12507</v>
      </c>
      <c r="CO174" s="24">
        <v>229.3</v>
      </c>
      <c r="CP174" s="24">
        <v>7334</v>
      </c>
      <c r="CQ174" s="24">
        <v>89.9</v>
      </c>
      <c r="CR174" s="24">
        <v>136.1</v>
      </c>
      <c r="CS174" s="24">
        <v>10449</v>
      </c>
      <c r="CT174" s="24">
        <v>10449</v>
      </c>
      <c r="CU174" s="24">
        <v>215.5</v>
      </c>
      <c r="CV174" s="24">
        <v>1677</v>
      </c>
      <c r="CW174" s="24">
        <v>0</v>
      </c>
      <c r="CX174" s="24">
        <v>5420</v>
      </c>
      <c r="CY174" s="24">
        <v>32.299999999999997</v>
      </c>
      <c r="CZ174" s="24">
        <v>5306</v>
      </c>
      <c r="DA174" s="24">
        <v>136.1</v>
      </c>
      <c r="DD174" s="24">
        <v>2021</v>
      </c>
      <c r="DE174" s="24">
        <v>47</v>
      </c>
      <c r="DF174" s="24" t="s">
        <v>32</v>
      </c>
      <c r="DG174" s="24">
        <v>1258</v>
      </c>
      <c r="DH174" s="24">
        <v>2114</v>
      </c>
      <c r="DJ174" s="24">
        <v>2021</v>
      </c>
      <c r="DK174" s="24">
        <v>47</v>
      </c>
      <c r="DL174" s="24" t="s">
        <v>33</v>
      </c>
      <c r="DM174" s="24">
        <v>371</v>
      </c>
      <c r="DP174" s="24">
        <v>2021</v>
      </c>
      <c r="DQ174" s="24">
        <v>6</v>
      </c>
      <c r="DR174" s="24" t="s">
        <v>33</v>
      </c>
      <c r="DS174" s="24">
        <v>10933</v>
      </c>
      <c r="DT174" s="24"/>
      <c r="DW174" s="24">
        <v>2022</v>
      </c>
      <c r="DX174" s="24">
        <v>17</v>
      </c>
      <c r="DY174" s="24" t="s">
        <v>33</v>
      </c>
      <c r="DZ174" s="24">
        <v>10</v>
      </c>
      <c r="EA174" s="24" t="s">
        <v>562</v>
      </c>
      <c r="EB174" s="24">
        <v>159</v>
      </c>
      <c r="EC174" s="24">
        <v>43.4</v>
      </c>
      <c r="ED174" s="24">
        <v>685</v>
      </c>
      <c r="EE174" s="24">
        <v>8017</v>
      </c>
      <c r="EF174" s="24">
        <v>33.200000000000003</v>
      </c>
      <c r="EI174" s="24">
        <v>2023</v>
      </c>
      <c r="EJ174" s="24">
        <v>5</v>
      </c>
      <c r="EK174" s="24" t="s">
        <v>237</v>
      </c>
      <c r="EL174" s="24" t="s">
        <v>557</v>
      </c>
      <c r="EM174" s="24" t="s">
        <v>210</v>
      </c>
      <c r="EN174" s="24">
        <v>26</v>
      </c>
      <c r="EO174" s="24"/>
      <c r="EP174" s="24"/>
      <c r="EQ174" s="24"/>
      <c r="ER174" s="24"/>
      <c r="ES174" s="24">
        <v>2022</v>
      </c>
      <c r="ET174" s="24">
        <v>3</v>
      </c>
      <c r="EU174" s="24" t="s">
        <v>33</v>
      </c>
      <c r="EV174" s="24">
        <v>122726</v>
      </c>
      <c r="EY174" s="24">
        <v>2021</v>
      </c>
      <c r="EZ174" s="24">
        <v>50</v>
      </c>
      <c r="FA174" s="24" t="s">
        <v>32</v>
      </c>
      <c r="FB174" s="24">
        <v>554</v>
      </c>
      <c r="FE174" s="24">
        <v>2021</v>
      </c>
      <c r="FF174" s="24">
        <v>47</v>
      </c>
      <c r="FG174" s="24" t="s">
        <v>32</v>
      </c>
      <c r="FH174" s="24">
        <v>0.85520000000000007</v>
      </c>
      <c r="FI174" s="24">
        <v>274</v>
      </c>
      <c r="FJ174" s="24">
        <v>129</v>
      </c>
      <c r="FK174" s="24">
        <v>150</v>
      </c>
      <c r="FN174" s="24">
        <v>2021</v>
      </c>
      <c r="FO174" s="24">
        <v>48</v>
      </c>
      <c r="FP174" s="24" t="s">
        <v>32</v>
      </c>
      <c r="FQ174" s="24">
        <v>40902</v>
      </c>
      <c r="FR174" s="24">
        <v>797.26666666666699</v>
      </c>
      <c r="FS174" s="24">
        <v>35535</v>
      </c>
      <c r="FT174" s="24">
        <v>417.20000000000005</v>
      </c>
      <c r="FW174" s="24">
        <v>2021</v>
      </c>
      <c r="FX174" s="24">
        <v>47</v>
      </c>
      <c r="FY174" s="24" t="s">
        <v>32</v>
      </c>
      <c r="FZ174" s="24">
        <v>1569</v>
      </c>
      <c r="GA174" s="24">
        <v>1530</v>
      </c>
      <c r="GB174" s="24"/>
      <c r="GC174" s="24"/>
      <c r="GD174" s="24">
        <v>2021</v>
      </c>
      <c r="GE174" s="24">
        <v>47</v>
      </c>
      <c r="GF174" s="24" t="s">
        <v>32</v>
      </c>
      <c r="GG174" s="24">
        <v>1591</v>
      </c>
      <c r="GH174" s="24">
        <v>1576</v>
      </c>
      <c r="GK174" s="24"/>
      <c r="GL174" s="24"/>
      <c r="GM174" s="24"/>
      <c r="GN174" s="24"/>
      <c r="GO174" s="24"/>
      <c r="GP174" s="24">
        <v>2021</v>
      </c>
      <c r="GQ174" s="24">
        <v>47</v>
      </c>
      <c r="GR174" s="24">
        <v>2.9031428571428601</v>
      </c>
      <c r="GS174" s="24" t="s">
        <v>32</v>
      </c>
      <c r="GX174">
        <v>2021</v>
      </c>
      <c r="GY174">
        <v>47</v>
      </c>
      <c r="GZ174" t="s">
        <v>32</v>
      </c>
      <c r="HA174">
        <v>12240</v>
      </c>
      <c r="HB174">
        <v>11974</v>
      </c>
      <c r="HC174">
        <v>0</v>
      </c>
      <c r="HD174">
        <v>1</v>
      </c>
      <c r="HE174">
        <v>0</v>
      </c>
      <c r="HF174">
        <v>67</v>
      </c>
      <c r="HG174">
        <v>0</v>
      </c>
      <c r="HH174">
        <v>0</v>
      </c>
      <c r="HI174">
        <v>33</v>
      </c>
      <c r="HL174">
        <v>2021</v>
      </c>
      <c r="HM174">
        <v>47</v>
      </c>
      <c r="HN174" t="s">
        <v>32</v>
      </c>
      <c r="HO174">
        <v>10410</v>
      </c>
      <c r="HP174">
        <v>10313</v>
      </c>
      <c r="HQ174">
        <v>0</v>
      </c>
      <c r="HR174">
        <v>2</v>
      </c>
      <c r="HS174">
        <v>0</v>
      </c>
      <c r="HT174">
        <v>36</v>
      </c>
      <c r="HU174">
        <v>0</v>
      </c>
      <c r="HV174">
        <v>0</v>
      </c>
      <c r="HW174">
        <v>3</v>
      </c>
      <c r="HZ174" s="24">
        <v>2021</v>
      </c>
      <c r="IA174" s="24">
        <v>47</v>
      </c>
      <c r="IB174" s="24" t="s">
        <v>32</v>
      </c>
      <c r="IC174" s="24">
        <v>1782</v>
      </c>
      <c r="ID174" s="24">
        <v>1731</v>
      </c>
      <c r="IG174" s="24">
        <v>2021</v>
      </c>
      <c r="IH174" s="24">
        <v>47</v>
      </c>
      <c r="II174" s="24" t="s">
        <v>32</v>
      </c>
      <c r="IJ174" s="24">
        <v>1570</v>
      </c>
      <c r="IK174" s="24">
        <v>1548</v>
      </c>
    </row>
    <row r="175" spans="9:245" x14ac:dyDescent="0.4">
      <c r="I175" s="305">
        <v>2021</v>
      </c>
      <c r="J175" s="306">
        <v>47</v>
      </c>
      <c r="K175" s="306" t="s">
        <v>32</v>
      </c>
      <c r="L175" s="306">
        <v>10355</v>
      </c>
      <c r="M175" s="306">
        <v>10025</v>
      </c>
      <c r="N175" s="306">
        <v>16</v>
      </c>
      <c r="O175" s="306">
        <v>104</v>
      </c>
      <c r="P175" s="306">
        <v>4</v>
      </c>
      <c r="Q175" s="306">
        <v>19</v>
      </c>
      <c r="R175" s="24"/>
      <c r="S175" s="24"/>
      <c r="T175" s="24"/>
      <c r="W175" s="24">
        <v>2021</v>
      </c>
      <c r="X175" s="24">
        <v>47</v>
      </c>
      <c r="Y175" s="24" t="s">
        <v>33</v>
      </c>
      <c r="Z175" s="24">
        <v>178313</v>
      </c>
      <c r="AA175" s="24">
        <v>115258</v>
      </c>
      <c r="AB175" s="24">
        <v>347</v>
      </c>
      <c r="AC175" s="24">
        <v>42</v>
      </c>
      <c r="AD175" s="297"/>
      <c r="AE175" s="297"/>
      <c r="AF175" s="297"/>
      <c r="AG175" s="297"/>
      <c r="AH175" s="297"/>
      <c r="AI175" s="24"/>
      <c r="AJ175" s="24"/>
      <c r="AK175" s="24">
        <v>2021</v>
      </c>
      <c r="AL175" s="24">
        <v>47</v>
      </c>
      <c r="AM175" s="24">
        <v>13344.48</v>
      </c>
      <c r="AN175" s="24">
        <v>958.25</v>
      </c>
      <c r="AO175" s="24">
        <v>0</v>
      </c>
      <c r="AP175" s="24">
        <v>404</v>
      </c>
      <c r="AQ175" s="24">
        <v>0</v>
      </c>
      <c r="AR175" s="24">
        <v>5</v>
      </c>
      <c r="AS175" s="24" t="s">
        <v>33</v>
      </c>
      <c r="AT175" s="24"/>
      <c r="AU175" s="24">
        <v>2021</v>
      </c>
      <c r="AV175" s="24">
        <v>47</v>
      </c>
      <c r="AW175" s="24">
        <v>0.08</v>
      </c>
      <c r="AX175" s="24">
        <v>17100</v>
      </c>
      <c r="AY175" s="24">
        <v>209517</v>
      </c>
      <c r="AZ175" s="24" t="s">
        <v>33</v>
      </c>
      <c r="BA175" s="24"/>
      <c r="BB175" s="24"/>
      <c r="BC175" s="24">
        <v>2021</v>
      </c>
      <c r="BD175" s="24">
        <v>47</v>
      </c>
      <c r="BE175" s="24">
        <v>2439.7114285714297</v>
      </c>
      <c r="BF175" s="24" t="s">
        <v>33</v>
      </c>
      <c r="BG175" s="24"/>
      <c r="BI175" s="24">
        <v>2022</v>
      </c>
      <c r="BJ175" s="24">
        <v>28</v>
      </c>
      <c r="BK175" s="24" t="s">
        <v>33</v>
      </c>
      <c r="BL175" s="24" t="s">
        <v>272</v>
      </c>
      <c r="BM175" s="24">
        <v>51765</v>
      </c>
      <c r="BN175" s="24">
        <v>51732</v>
      </c>
      <c r="BO175" s="24">
        <v>197020</v>
      </c>
      <c r="BR175" s="24">
        <v>2021</v>
      </c>
      <c r="BS175" s="24">
        <v>47</v>
      </c>
      <c r="BT175" s="24">
        <v>208897</v>
      </c>
      <c r="BU175" s="24">
        <v>2</v>
      </c>
      <c r="BV175" s="24" t="s">
        <v>33</v>
      </c>
      <c r="BY175" s="24">
        <v>2021</v>
      </c>
      <c r="BZ175" s="24">
        <v>45</v>
      </c>
      <c r="CA175" s="24" t="s">
        <v>33</v>
      </c>
      <c r="CB175" s="24" t="s">
        <v>108</v>
      </c>
      <c r="CC175" s="24">
        <v>2</v>
      </c>
      <c r="CF175" s="24">
        <v>2021</v>
      </c>
      <c r="CG175" s="24">
        <v>47</v>
      </c>
      <c r="CH175" s="24" t="s">
        <v>33</v>
      </c>
      <c r="CI175" s="24">
        <v>115.02903975219411</v>
      </c>
      <c r="CJ175" s="24">
        <v>178249</v>
      </c>
      <c r="CK175" s="24">
        <v>1549.6</v>
      </c>
      <c r="CL175" s="24">
        <v>103.46898507830805</v>
      </c>
      <c r="CM175" s="24">
        <v>87707</v>
      </c>
      <c r="CN175" s="24">
        <v>167806</v>
      </c>
      <c r="CO175" s="24">
        <v>1621.8</v>
      </c>
      <c r="CP175" s="24">
        <v>50494</v>
      </c>
      <c r="CQ175" s="24">
        <v>466.8</v>
      </c>
      <c r="CR175" s="24">
        <v>977.1</v>
      </c>
      <c r="CS175" s="24">
        <v>147344</v>
      </c>
      <c r="CT175" s="24">
        <v>147344</v>
      </c>
      <c r="CU175" s="24">
        <v>1548</v>
      </c>
      <c r="CV175" s="24">
        <v>45516</v>
      </c>
      <c r="CW175" s="24">
        <v>0</v>
      </c>
      <c r="CX175" s="24">
        <v>139858</v>
      </c>
      <c r="CY175" s="24">
        <v>697.8</v>
      </c>
      <c r="CZ175" s="24">
        <v>32357</v>
      </c>
      <c r="DA175" s="24">
        <v>977.1</v>
      </c>
      <c r="DD175" s="24">
        <v>2021</v>
      </c>
      <c r="DE175" s="24">
        <v>47</v>
      </c>
      <c r="DF175" s="24" t="s">
        <v>33</v>
      </c>
      <c r="DG175" s="24">
        <v>58814</v>
      </c>
      <c r="DH175" s="24">
        <v>24369</v>
      </c>
      <c r="DJ175" s="24">
        <v>2021</v>
      </c>
      <c r="DK175" s="24">
        <v>46</v>
      </c>
      <c r="DL175" s="24" t="s">
        <v>32</v>
      </c>
      <c r="DM175" s="24">
        <v>3</v>
      </c>
      <c r="DP175" s="24">
        <v>2021</v>
      </c>
      <c r="DQ175" s="24">
        <v>5</v>
      </c>
      <c r="DR175" s="24" t="s">
        <v>33</v>
      </c>
      <c r="DS175" s="24">
        <v>9230</v>
      </c>
      <c r="DT175" s="24"/>
      <c r="DW175" s="24">
        <v>2022</v>
      </c>
      <c r="DX175" s="24">
        <v>17</v>
      </c>
      <c r="DY175" s="24" t="s">
        <v>33</v>
      </c>
      <c r="DZ175" s="24">
        <v>54</v>
      </c>
      <c r="EA175" s="24" t="s">
        <v>149</v>
      </c>
      <c r="EB175" s="24">
        <v>283.5</v>
      </c>
      <c r="EC175" s="24">
        <v>1157.0999999999999</v>
      </c>
      <c r="ED175" s="24">
        <v>38221</v>
      </c>
      <c r="EE175" s="24">
        <v>48428</v>
      </c>
      <c r="EF175" s="24">
        <v>172.6</v>
      </c>
      <c r="EI175" s="24">
        <v>2023</v>
      </c>
      <c r="EJ175" s="24">
        <v>5</v>
      </c>
      <c r="EK175" s="24" t="s">
        <v>237</v>
      </c>
      <c r="EL175" s="24" t="s">
        <v>240</v>
      </c>
      <c r="EM175" s="24" t="s">
        <v>210</v>
      </c>
      <c r="EN175" s="24">
        <v>41</v>
      </c>
      <c r="EO175" s="24"/>
      <c r="EP175" s="24"/>
      <c r="EQ175" s="24"/>
      <c r="ER175" s="24"/>
      <c r="ES175" s="24">
        <v>2022</v>
      </c>
      <c r="ET175" s="24">
        <v>2</v>
      </c>
      <c r="EU175" s="24" t="s">
        <v>32</v>
      </c>
      <c r="EV175" s="24">
        <v>6369</v>
      </c>
      <c r="EY175" s="24">
        <v>2021</v>
      </c>
      <c r="EZ175" s="24">
        <v>50</v>
      </c>
      <c r="FA175" s="24" t="s">
        <v>33</v>
      </c>
      <c r="FB175" s="24">
        <v>583</v>
      </c>
      <c r="FE175" s="24">
        <v>2021</v>
      </c>
      <c r="FF175" s="24">
        <v>47</v>
      </c>
      <c r="FG175" s="24" t="s">
        <v>33</v>
      </c>
      <c r="FH175" s="24">
        <v>0.95760000000000001</v>
      </c>
      <c r="FI175" s="24">
        <v>7921</v>
      </c>
      <c r="FJ175" s="24">
        <v>3553</v>
      </c>
      <c r="FK175" s="24">
        <v>3738</v>
      </c>
      <c r="FN175" s="24">
        <v>2021</v>
      </c>
      <c r="FO175" s="24">
        <v>48</v>
      </c>
      <c r="FP175" s="24" t="s">
        <v>33</v>
      </c>
      <c r="FQ175" s="24">
        <v>1036324</v>
      </c>
      <c r="FR175" s="24">
        <v>8920.4166666666588</v>
      </c>
      <c r="FS175" s="24">
        <v>361328</v>
      </c>
      <c r="FT175" s="24">
        <v>2971</v>
      </c>
      <c r="FW175" s="24">
        <v>2021</v>
      </c>
      <c r="FX175" s="24">
        <v>47</v>
      </c>
      <c r="FY175" s="24" t="s">
        <v>33</v>
      </c>
      <c r="FZ175" s="24">
        <v>12005</v>
      </c>
      <c r="GA175" s="24">
        <v>11151</v>
      </c>
      <c r="GB175" s="24"/>
      <c r="GC175" s="24"/>
      <c r="GD175" s="24">
        <v>2021</v>
      </c>
      <c r="GE175" s="24">
        <v>47</v>
      </c>
      <c r="GF175" s="24" t="s">
        <v>33</v>
      </c>
      <c r="GG175" s="24">
        <v>12016</v>
      </c>
      <c r="GH175" s="24">
        <v>11274</v>
      </c>
      <c r="GK175" s="24"/>
      <c r="GL175" s="24"/>
      <c r="GM175" s="24"/>
      <c r="GN175" s="24"/>
      <c r="GO175" s="24"/>
      <c r="GP175" s="24">
        <v>2021</v>
      </c>
      <c r="GQ175" s="24">
        <v>47</v>
      </c>
      <c r="GR175" s="24">
        <v>27.1898571428571</v>
      </c>
      <c r="GS175" s="24" t="s">
        <v>33</v>
      </c>
      <c r="GX175">
        <v>2021</v>
      </c>
      <c r="GY175">
        <v>47</v>
      </c>
      <c r="GZ175" t="s">
        <v>33</v>
      </c>
      <c r="HA175">
        <v>205087</v>
      </c>
      <c r="HB175">
        <v>200725</v>
      </c>
      <c r="HC175">
        <v>272</v>
      </c>
      <c r="HD175">
        <v>74</v>
      </c>
      <c r="HE175">
        <v>0</v>
      </c>
      <c r="HF175">
        <v>1900</v>
      </c>
      <c r="HG175">
        <v>0</v>
      </c>
      <c r="HH175">
        <v>0</v>
      </c>
      <c r="HI175">
        <v>593</v>
      </c>
      <c r="HL175">
        <v>2021</v>
      </c>
      <c r="HM175">
        <v>47</v>
      </c>
      <c r="HN175" t="s">
        <v>33</v>
      </c>
      <c r="HO175">
        <v>177967</v>
      </c>
      <c r="HP175">
        <v>176923</v>
      </c>
      <c r="HQ175">
        <v>340</v>
      </c>
      <c r="HR175">
        <v>15</v>
      </c>
      <c r="HS175">
        <v>0</v>
      </c>
      <c r="HT175">
        <v>125</v>
      </c>
      <c r="HU175">
        <v>0</v>
      </c>
      <c r="HV175">
        <v>0</v>
      </c>
      <c r="HW175">
        <v>40</v>
      </c>
      <c r="HZ175" s="24">
        <v>2021</v>
      </c>
      <c r="IA175" s="24">
        <v>47</v>
      </c>
      <c r="IB175" s="24" t="s">
        <v>33</v>
      </c>
      <c r="IC175" s="24">
        <v>12553</v>
      </c>
      <c r="ID175" s="24">
        <v>12196</v>
      </c>
      <c r="IG175" s="24">
        <v>2021</v>
      </c>
      <c r="IH175" s="24">
        <v>47</v>
      </c>
      <c r="II175" s="24" t="s">
        <v>33</v>
      </c>
      <c r="IJ175" s="24">
        <v>11380</v>
      </c>
      <c r="IK175" s="24">
        <v>11319</v>
      </c>
    </row>
    <row r="176" spans="9:245" x14ac:dyDescent="0.4">
      <c r="I176" s="305">
        <v>2021</v>
      </c>
      <c r="J176" s="306">
        <v>47</v>
      </c>
      <c r="K176" s="306" t="s">
        <v>33</v>
      </c>
      <c r="L176" s="306">
        <v>178689</v>
      </c>
      <c r="M176" s="306">
        <v>115083</v>
      </c>
      <c r="N176" s="306">
        <v>695</v>
      </c>
      <c r="O176" s="306">
        <v>11090</v>
      </c>
      <c r="P176" s="306">
        <v>394</v>
      </c>
      <c r="Q176" s="306">
        <v>57</v>
      </c>
      <c r="R176" s="24"/>
      <c r="S176" s="24"/>
      <c r="T176" s="24"/>
      <c r="W176" s="24">
        <v>2021</v>
      </c>
      <c r="X176" s="24">
        <v>46</v>
      </c>
      <c r="Y176" s="24" t="s">
        <v>32</v>
      </c>
      <c r="Z176" s="24">
        <v>14592</v>
      </c>
      <c r="AA176" s="24">
        <v>14163</v>
      </c>
      <c r="AB176" s="24">
        <v>8</v>
      </c>
      <c r="AC176" s="24">
        <v>1</v>
      </c>
      <c r="AD176" s="297"/>
      <c r="AE176" s="297"/>
      <c r="AF176" s="297"/>
      <c r="AG176" s="297"/>
      <c r="AH176" s="297"/>
      <c r="AI176" s="24"/>
      <c r="AJ176" s="24"/>
      <c r="AK176" s="24">
        <v>2021</v>
      </c>
      <c r="AL176" s="24">
        <v>46</v>
      </c>
      <c r="AM176" s="24">
        <v>579.95000000000005</v>
      </c>
      <c r="AN176" s="24">
        <v>47.62</v>
      </c>
      <c r="AO176" s="24">
        <v>0</v>
      </c>
      <c r="AP176" s="24">
        <v>15</v>
      </c>
      <c r="AQ176" s="24">
        <v>0</v>
      </c>
      <c r="AR176" s="24">
        <v>0</v>
      </c>
      <c r="AS176" s="24" t="s">
        <v>32</v>
      </c>
      <c r="AT176" s="24"/>
      <c r="AU176" s="24">
        <v>2021</v>
      </c>
      <c r="AV176" s="24">
        <v>46</v>
      </c>
      <c r="AW176" s="24">
        <v>0.1</v>
      </c>
      <c r="AX176" s="24">
        <v>1500</v>
      </c>
      <c r="AY176" s="24">
        <v>14640</v>
      </c>
      <c r="AZ176" s="24" t="s">
        <v>32</v>
      </c>
      <c r="BA176" s="24"/>
      <c r="BB176" s="24"/>
      <c r="BC176" s="24">
        <v>2021</v>
      </c>
      <c r="BD176" s="24">
        <v>46</v>
      </c>
      <c r="BE176" s="24">
        <v>204.470142857143</v>
      </c>
      <c r="BF176" s="24" t="s">
        <v>32</v>
      </c>
      <c r="BG176" s="24"/>
      <c r="BI176" s="24">
        <v>2022</v>
      </c>
      <c r="BJ176" s="24">
        <v>28</v>
      </c>
      <c r="BK176" s="24" t="s">
        <v>33</v>
      </c>
      <c r="BL176" s="24" t="s">
        <v>273</v>
      </c>
      <c r="BM176" s="24">
        <v>87443</v>
      </c>
      <c r="BN176" s="24">
        <v>86924</v>
      </c>
      <c r="BO176" s="24">
        <v>89747</v>
      </c>
      <c r="BR176" s="24">
        <v>2021</v>
      </c>
      <c r="BS176" s="24">
        <v>46</v>
      </c>
      <c r="BT176" s="24">
        <v>245639</v>
      </c>
      <c r="BU176" s="24">
        <v>1</v>
      </c>
      <c r="BV176" s="24" t="s">
        <v>33</v>
      </c>
      <c r="BY176" s="24">
        <v>2021</v>
      </c>
      <c r="BZ176" s="24">
        <v>45</v>
      </c>
      <c r="CA176" s="24" t="s">
        <v>33</v>
      </c>
      <c r="CB176" s="24" t="s">
        <v>423</v>
      </c>
      <c r="CC176" s="24">
        <v>13</v>
      </c>
      <c r="CF176" s="24">
        <v>2021</v>
      </c>
      <c r="CG176" s="24">
        <v>46</v>
      </c>
      <c r="CH176" s="24" t="s">
        <v>32</v>
      </c>
      <c r="CI176" s="24">
        <v>61.699402220324508</v>
      </c>
      <c r="CJ176" s="24">
        <v>7225</v>
      </c>
      <c r="CK176" s="24">
        <v>117.1</v>
      </c>
      <c r="CL176" s="24">
        <v>69.368551382583576</v>
      </c>
      <c r="CM176" s="24">
        <v>8405</v>
      </c>
      <c r="CN176" s="24">
        <v>16808</v>
      </c>
      <c r="CO176" s="24">
        <v>242.3</v>
      </c>
      <c r="CP176" s="24">
        <v>9054</v>
      </c>
      <c r="CQ176" s="24">
        <v>57.9</v>
      </c>
      <c r="CR176" s="24">
        <v>223.4</v>
      </c>
      <c r="CS176" s="24">
        <v>15160</v>
      </c>
      <c r="CT176" s="24">
        <v>15160</v>
      </c>
      <c r="CU176" s="24">
        <v>311.5</v>
      </c>
      <c r="CV176" s="24">
        <v>1651</v>
      </c>
      <c r="CW176" s="24">
        <v>0</v>
      </c>
      <c r="CX176" s="24">
        <v>13659</v>
      </c>
      <c r="CY176" s="24">
        <v>33.700000000000003</v>
      </c>
      <c r="CZ176" s="24">
        <v>7292</v>
      </c>
      <c r="DA176" s="24">
        <v>223.4</v>
      </c>
      <c r="DD176" s="24">
        <v>2021</v>
      </c>
      <c r="DE176" s="24">
        <v>46</v>
      </c>
      <c r="DF176" s="24" t="s">
        <v>32</v>
      </c>
      <c r="DG176" s="24">
        <v>3070</v>
      </c>
      <c r="DH176" s="24">
        <v>2822</v>
      </c>
      <c r="DJ176" s="24">
        <v>2021</v>
      </c>
      <c r="DK176" s="24">
        <v>46</v>
      </c>
      <c r="DL176" s="24" t="s">
        <v>33</v>
      </c>
      <c r="DM176" s="24">
        <v>282</v>
      </c>
      <c r="DP176" s="24">
        <v>2021</v>
      </c>
      <c r="DQ176" s="24">
        <v>4</v>
      </c>
      <c r="DR176" s="24" t="s">
        <v>33</v>
      </c>
      <c r="DS176" s="24">
        <v>10279</v>
      </c>
      <c r="DT176" s="24"/>
      <c r="DW176" s="24">
        <v>2022</v>
      </c>
      <c r="DX176" s="24">
        <v>16</v>
      </c>
      <c r="DY176" s="24" t="s">
        <v>32</v>
      </c>
      <c r="DZ176" s="24">
        <v>1</v>
      </c>
      <c r="EA176" s="24" t="s">
        <v>149</v>
      </c>
      <c r="EB176" s="24">
        <v>0</v>
      </c>
      <c r="EC176" s="24">
        <v>0</v>
      </c>
      <c r="ED176" s="24">
        <v>56</v>
      </c>
      <c r="EE176" s="24">
        <v>12</v>
      </c>
      <c r="EF176" s="24">
        <v>0.9</v>
      </c>
      <c r="EI176" s="24">
        <v>2023</v>
      </c>
      <c r="EJ176" s="24">
        <v>5</v>
      </c>
      <c r="EK176" s="24" t="s">
        <v>237</v>
      </c>
      <c r="EL176" s="24" t="s">
        <v>233</v>
      </c>
      <c r="EM176" s="24" t="s">
        <v>210</v>
      </c>
      <c r="EN176" s="24">
        <v>5</v>
      </c>
      <c r="EO176" s="24"/>
      <c r="EP176" s="24"/>
      <c r="EQ176" s="24"/>
      <c r="ER176" s="24"/>
      <c r="ES176" s="24">
        <v>2022</v>
      </c>
      <c r="ET176" s="24">
        <v>2</v>
      </c>
      <c r="EU176" s="24" t="s">
        <v>33</v>
      </c>
      <c r="EV176" s="24">
        <v>113649</v>
      </c>
      <c r="EY176" s="24">
        <v>2021</v>
      </c>
      <c r="EZ176" s="24">
        <v>49</v>
      </c>
      <c r="FA176" s="24" t="s">
        <v>32</v>
      </c>
      <c r="FB176" s="24">
        <v>601</v>
      </c>
      <c r="FE176" s="24">
        <v>2021</v>
      </c>
      <c r="FF176" s="24">
        <v>46</v>
      </c>
      <c r="FG176" s="24" t="s">
        <v>32</v>
      </c>
      <c r="FH176" s="24">
        <v>0.86920000000000008</v>
      </c>
      <c r="FI176" s="24">
        <v>406</v>
      </c>
      <c r="FJ176" s="24">
        <v>192</v>
      </c>
      <c r="FK176" s="24">
        <v>220</v>
      </c>
      <c r="FN176" s="24">
        <v>2021</v>
      </c>
      <c r="FO176" s="24">
        <v>47</v>
      </c>
      <c r="FP176" s="24" t="s">
        <v>32</v>
      </c>
      <c r="FQ176" s="24">
        <v>25630</v>
      </c>
      <c r="FR176" s="24">
        <v>476.91666666666697</v>
      </c>
      <c r="FS176" s="24">
        <v>25857</v>
      </c>
      <c r="FT176" s="24">
        <v>328.38333333333298</v>
      </c>
      <c r="FW176" s="24">
        <v>2021</v>
      </c>
      <c r="FX176" s="24">
        <v>46</v>
      </c>
      <c r="FY176" s="24" t="s">
        <v>32</v>
      </c>
      <c r="FZ176" s="24">
        <v>1815</v>
      </c>
      <c r="GA176" s="24">
        <v>1751</v>
      </c>
      <c r="GB176" s="24"/>
      <c r="GC176" s="24"/>
      <c r="GD176" s="24">
        <v>2021</v>
      </c>
      <c r="GE176" s="24">
        <v>46</v>
      </c>
      <c r="GF176" s="24" t="s">
        <v>32</v>
      </c>
      <c r="GG176" s="24">
        <v>1764</v>
      </c>
      <c r="GH176" s="24">
        <v>1739</v>
      </c>
      <c r="GK176" s="24"/>
      <c r="GL176" s="24"/>
      <c r="GM176" s="24"/>
      <c r="GN176" s="24"/>
      <c r="GO176" s="24"/>
      <c r="GP176" s="24">
        <v>2021</v>
      </c>
      <c r="GQ176" s="24">
        <v>46</v>
      </c>
      <c r="GR176" s="24">
        <v>2.6888571428571399</v>
      </c>
      <c r="GS176" s="24" t="s">
        <v>32</v>
      </c>
      <c r="GX176">
        <v>2021</v>
      </c>
      <c r="GY176">
        <v>46</v>
      </c>
      <c r="GZ176" t="s">
        <v>32</v>
      </c>
      <c r="HA176">
        <v>14294</v>
      </c>
      <c r="HB176">
        <v>13978</v>
      </c>
      <c r="HC176">
        <v>0</v>
      </c>
      <c r="HD176">
        <v>0</v>
      </c>
      <c r="HE176">
        <v>0</v>
      </c>
      <c r="HF176">
        <v>61</v>
      </c>
      <c r="HG176">
        <v>0</v>
      </c>
      <c r="HH176">
        <v>0</v>
      </c>
      <c r="HI176">
        <v>48</v>
      </c>
      <c r="HL176">
        <v>2021</v>
      </c>
      <c r="HM176">
        <v>46</v>
      </c>
      <c r="HN176" t="s">
        <v>32</v>
      </c>
      <c r="HO176">
        <v>14553</v>
      </c>
      <c r="HP176">
        <v>14390</v>
      </c>
      <c r="HQ176">
        <v>0</v>
      </c>
      <c r="HR176">
        <v>1</v>
      </c>
      <c r="HS176">
        <v>0</v>
      </c>
      <c r="HT176">
        <v>85</v>
      </c>
      <c r="HU176">
        <v>0</v>
      </c>
      <c r="HV176">
        <v>0</v>
      </c>
      <c r="HW176">
        <v>1</v>
      </c>
      <c r="HZ176" s="24">
        <v>2021</v>
      </c>
      <c r="IA176" s="24">
        <v>46</v>
      </c>
      <c r="IB176" s="24" t="s">
        <v>32</v>
      </c>
      <c r="IC176" s="24">
        <v>1778</v>
      </c>
      <c r="ID176" s="24">
        <v>1674</v>
      </c>
      <c r="IG176" s="24">
        <v>2021</v>
      </c>
      <c r="IH176" s="24">
        <v>46</v>
      </c>
      <c r="II176" s="24" t="s">
        <v>32</v>
      </c>
      <c r="IJ176" s="24">
        <v>1745</v>
      </c>
      <c r="IK176" s="24">
        <v>1683</v>
      </c>
    </row>
    <row r="177" spans="9:245" x14ac:dyDescent="0.4">
      <c r="I177" s="305">
        <v>2021</v>
      </c>
      <c r="J177" s="306">
        <v>46</v>
      </c>
      <c r="K177" s="306" t="s">
        <v>32</v>
      </c>
      <c r="L177" s="306">
        <v>14673</v>
      </c>
      <c r="M177" s="306">
        <v>14161</v>
      </c>
      <c r="N177" s="306">
        <v>38</v>
      </c>
      <c r="O177" s="306">
        <v>182</v>
      </c>
      <c r="P177" s="306">
        <v>20</v>
      </c>
      <c r="Q177" s="306">
        <v>8</v>
      </c>
      <c r="R177" s="24"/>
      <c r="S177" s="24"/>
      <c r="T177" s="24"/>
      <c r="W177" s="24">
        <v>2021</v>
      </c>
      <c r="X177" s="24">
        <v>46</v>
      </c>
      <c r="Y177" s="24" t="s">
        <v>33</v>
      </c>
      <c r="Z177" s="24">
        <v>250207</v>
      </c>
      <c r="AA177" s="24">
        <v>164032</v>
      </c>
      <c r="AB177" s="24">
        <v>469</v>
      </c>
      <c r="AC177" s="24">
        <v>35</v>
      </c>
      <c r="AD177" s="297"/>
      <c r="AE177" s="297"/>
      <c r="AF177" s="297"/>
      <c r="AG177" s="297"/>
      <c r="AH177" s="297"/>
      <c r="AI177" s="24"/>
      <c r="AJ177" s="24"/>
      <c r="AK177" s="24">
        <v>2021</v>
      </c>
      <c r="AL177" s="24">
        <v>46</v>
      </c>
      <c r="AM177" s="24">
        <v>16565.02</v>
      </c>
      <c r="AN177" s="24">
        <v>1302.73</v>
      </c>
      <c r="AO177" s="24">
        <v>0</v>
      </c>
      <c r="AP177" s="24">
        <v>404</v>
      </c>
      <c r="AQ177" s="24">
        <v>0</v>
      </c>
      <c r="AR177" s="24">
        <v>3</v>
      </c>
      <c r="AS177" s="24" t="s">
        <v>33</v>
      </c>
      <c r="AT177" s="24"/>
      <c r="AU177" s="24">
        <v>2021</v>
      </c>
      <c r="AV177" s="24">
        <v>46</v>
      </c>
      <c r="AW177" s="24">
        <v>0.11</v>
      </c>
      <c r="AX177" s="24">
        <v>27900</v>
      </c>
      <c r="AY177" s="24">
        <v>246380</v>
      </c>
      <c r="AZ177" s="24" t="s">
        <v>33</v>
      </c>
      <c r="BA177" s="24"/>
      <c r="BB177" s="24"/>
      <c r="BC177" s="24">
        <v>2021</v>
      </c>
      <c r="BD177" s="24">
        <v>46</v>
      </c>
      <c r="BE177" s="24">
        <v>2383.0122857142896</v>
      </c>
      <c r="BF177" s="24" t="s">
        <v>33</v>
      </c>
      <c r="BG177" s="24"/>
      <c r="BI177" s="24">
        <v>2022</v>
      </c>
      <c r="BJ177" s="24">
        <v>28</v>
      </c>
      <c r="BK177" s="24" t="s">
        <v>32</v>
      </c>
      <c r="BL177" s="24" t="s">
        <v>273</v>
      </c>
      <c r="BM177" s="24">
        <v>6813</v>
      </c>
      <c r="BN177" s="24">
        <v>6635</v>
      </c>
      <c r="BO177" s="24">
        <v>7699</v>
      </c>
      <c r="BR177" s="24">
        <v>2021</v>
      </c>
      <c r="BS177" s="24">
        <v>46</v>
      </c>
      <c r="BT177" s="24">
        <v>14420</v>
      </c>
      <c r="BU177" s="24">
        <v>0</v>
      </c>
      <c r="BV177" s="24" t="s">
        <v>32</v>
      </c>
      <c r="BY177" s="24">
        <v>2021</v>
      </c>
      <c r="BZ177" s="24">
        <v>44</v>
      </c>
      <c r="CA177" s="24" t="s">
        <v>32</v>
      </c>
      <c r="CB177" s="24" t="s">
        <v>108</v>
      </c>
      <c r="CC177" s="24">
        <v>1</v>
      </c>
      <c r="CF177" s="24">
        <v>2021</v>
      </c>
      <c r="CG177" s="24">
        <v>46</v>
      </c>
      <c r="CH177" s="24" t="s">
        <v>33</v>
      </c>
      <c r="CI177" s="24">
        <v>119.41454062822592</v>
      </c>
      <c r="CJ177" s="24">
        <v>242925</v>
      </c>
      <c r="CK177" s="24">
        <v>2034.3</v>
      </c>
      <c r="CL177" s="24">
        <v>108.729649163036</v>
      </c>
      <c r="CM177" s="24">
        <v>124140</v>
      </c>
      <c r="CN177" s="24">
        <v>237085</v>
      </c>
      <c r="CO177" s="24">
        <v>2180.5</v>
      </c>
      <c r="CP177" s="24">
        <v>54294</v>
      </c>
      <c r="CQ177" s="24">
        <v>398</v>
      </c>
      <c r="CR177" s="24">
        <v>1146.5</v>
      </c>
      <c r="CS177" s="24">
        <v>155009</v>
      </c>
      <c r="CT177" s="24">
        <v>155009</v>
      </c>
      <c r="CU177" s="24">
        <v>1664.1</v>
      </c>
      <c r="CV177" s="24">
        <v>50371</v>
      </c>
      <c r="CW177" s="24">
        <v>0</v>
      </c>
      <c r="CX177" s="24">
        <v>142907</v>
      </c>
      <c r="CY177" s="24">
        <v>865.9</v>
      </c>
      <c r="CZ177" s="24">
        <v>39482</v>
      </c>
      <c r="DA177" s="24">
        <v>1146.5</v>
      </c>
      <c r="DD177" s="24">
        <v>2021</v>
      </c>
      <c r="DE177" s="24">
        <v>46</v>
      </c>
      <c r="DF177" s="24" t="s">
        <v>33</v>
      </c>
      <c r="DG177" s="24">
        <v>47361</v>
      </c>
      <c r="DH177" s="24">
        <v>27517</v>
      </c>
      <c r="DJ177" s="24">
        <v>2021</v>
      </c>
      <c r="DK177" s="24">
        <v>45</v>
      </c>
      <c r="DL177" s="24" t="s">
        <v>32</v>
      </c>
      <c r="DM177" s="24">
        <v>4</v>
      </c>
      <c r="DP177" s="24">
        <v>2021</v>
      </c>
      <c r="DQ177" s="24">
        <v>3</v>
      </c>
      <c r="DR177" s="24" t="s">
        <v>33</v>
      </c>
      <c r="DS177" s="24">
        <v>11085</v>
      </c>
      <c r="DT177" s="24"/>
      <c r="DW177" s="24">
        <v>2022</v>
      </c>
      <c r="DX177" s="24">
        <v>16</v>
      </c>
      <c r="DY177" s="24" t="s">
        <v>33</v>
      </c>
      <c r="DZ177" s="24">
        <v>10</v>
      </c>
      <c r="EA177" s="24" t="s">
        <v>562</v>
      </c>
      <c r="EB177" s="24">
        <v>127.8</v>
      </c>
      <c r="EC177" s="24">
        <v>30.1</v>
      </c>
      <c r="ED177" s="24">
        <v>605</v>
      </c>
      <c r="EE177" s="24">
        <v>6531</v>
      </c>
      <c r="EF177" s="24">
        <v>16</v>
      </c>
      <c r="EI177" s="24">
        <v>2023</v>
      </c>
      <c r="EJ177" s="24">
        <v>5</v>
      </c>
      <c r="EK177" s="24" t="s">
        <v>237</v>
      </c>
      <c r="EL177" s="24" t="s">
        <v>554</v>
      </c>
      <c r="EM177" s="24" t="s">
        <v>210</v>
      </c>
      <c r="EN177" s="24">
        <v>3</v>
      </c>
      <c r="EO177" s="24"/>
      <c r="EP177" s="24"/>
      <c r="EQ177" s="24"/>
      <c r="ER177" s="24"/>
      <c r="ES177" s="24">
        <v>2022</v>
      </c>
      <c r="ET177" s="24">
        <v>2</v>
      </c>
      <c r="EU177" s="24" t="s">
        <v>213</v>
      </c>
      <c r="EV177" s="24">
        <v>1</v>
      </c>
      <c r="EY177" s="24">
        <v>2021</v>
      </c>
      <c r="EZ177" s="24">
        <v>49</v>
      </c>
      <c r="FA177" s="24" t="s">
        <v>33</v>
      </c>
      <c r="FB177" s="24">
        <v>1015</v>
      </c>
      <c r="FE177" s="24">
        <v>2021</v>
      </c>
      <c r="FF177" s="24">
        <v>46</v>
      </c>
      <c r="FG177" s="24" t="s">
        <v>33</v>
      </c>
      <c r="FH177" s="24">
        <v>0.96350000000000002</v>
      </c>
      <c r="FI177" s="24">
        <v>11661</v>
      </c>
      <c r="FJ177" s="24">
        <v>5310</v>
      </c>
      <c r="FK177" s="24">
        <v>5542</v>
      </c>
      <c r="FN177" s="24">
        <v>2021</v>
      </c>
      <c r="FO177" s="24">
        <v>47</v>
      </c>
      <c r="FP177" s="24" t="s">
        <v>33</v>
      </c>
      <c r="FQ177" s="24">
        <v>561054</v>
      </c>
      <c r="FR177" s="24">
        <v>5365.3666666666695</v>
      </c>
      <c r="FS177" s="24">
        <v>364919</v>
      </c>
      <c r="FT177" s="24">
        <v>2823.9500000000003</v>
      </c>
      <c r="FW177" s="24">
        <v>2021</v>
      </c>
      <c r="FX177" s="24">
        <v>46</v>
      </c>
      <c r="FY177" s="24" t="s">
        <v>33</v>
      </c>
      <c r="FZ177" s="24">
        <v>14193</v>
      </c>
      <c r="GA177" s="24">
        <v>13041</v>
      </c>
      <c r="GB177" s="24"/>
      <c r="GC177" s="24"/>
      <c r="GD177" s="24">
        <v>2021</v>
      </c>
      <c r="GE177" s="24">
        <v>46</v>
      </c>
      <c r="GF177" s="24" t="s">
        <v>33</v>
      </c>
      <c r="GG177" s="24">
        <v>14142</v>
      </c>
      <c r="GH177" s="24">
        <v>13257</v>
      </c>
      <c r="GK177" s="24"/>
      <c r="GL177" s="24"/>
      <c r="GM177" s="24"/>
      <c r="GN177" s="24"/>
      <c r="GO177" s="24"/>
      <c r="GP177" s="24">
        <v>2021</v>
      </c>
      <c r="GQ177" s="24">
        <v>46</v>
      </c>
      <c r="GR177" s="24">
        <v>26.2128571428571</v>
      </c>
      <c r="GS177" s="24" t="s">
        <v>33</v>
      </c>
      <c r="GX177">
        <v>2021</v>
      </c>
      <c r="GY177">
        <v>46</v>
      </c>
      <c r="GZ177" t="s">
        <v>33</v>
      </c>
      <c r="HA177">
        <v>246604</v>
      </c>
      <c r="HB177">
        <v>243578</v>
      </c>
      <c r="HC177">
        <v>337</v>
      </c>
      <c r="HD177">
        <v>69</v>
      </c>
      <c r="HE177">
        <v>0</v>
      </c>
      <c r="HF177">
        <v>183</v>
      </c>
      <c r="HG177">
        <v>0</v>
      </c>
      <c r="HH177">
        <v>0</v>
      </c>
      <c r="HI177">
        <v>633</v>
      </c>
      <c r="HL177">
        <v>2021</v>
      </c>
      <c r="HM177">
        <v>46</v>
      </c>
      <c r="HN177" t="s">
        <v>33</v>
      </c>
      <c r="HO177">
        <v>249891</v>
      </c>
      <c r="HP177">
        <v>248160</v>
      </c>
      <c r="HQ177">
        <v>471</v>
      </c>
      <c r="HR177">
        <v>44</v>
      </c>
      <c r="HS177">
        <v>0</v>
      </c>
      <c r="HT177">
        <v>138</v>
      </c>
      <c r="HU177">
        <v>0</v>
      </c>
      <c r="HV177">
        <v>0</v>
      </c>
      <c r="HW177">
        <v>114</v>
      </c>
      <c r="HZ177" s="24">
        <v>2021</v>
      </c>
      <c r="IA177" s="24">
        <v>46</v>
      </c>
      <c r="IB177" s="24" t="s">
        <v>33</v>
      </c>
      <c r="IC177" s="24">
        <v>14434</v>
      </c>
      <c r="ID177" s="24">
        <v>13992</v>
      </c>
      <c r="IG177" s="24">
        <v>2021</v>
      </c>
      <c r="IH177" s="24">
        <v>46</v>
      </c>
      <c r="II177" s="24" t="s">
        <v>33</v>
      </c>
      <c r="IJ177" s="24">
        <v>13435</v>
      </c>
      <c r="IK177" s="24">
        <v>13325</v>
      </c>
    </row>
    <row r="178" spans="9:245" x14ac:dyDescent="0.4">
      <c r="I178" s="305">
        <v>2021</v>
      </c>
      <c r="J178" s="306">
        <v>46</v>
      </c>
      <c r="K178" s="306" t="s">
        <v>33</v>
      </c>
      <c r="L178" s="306">
        <v>250962</v>
      </c>
      <c r="M178" s="306">
        <v>163984</v>
      </c>
      <c r="N178" s="306">
        <v>1134</v>
      </c>
      <c r="O178" s="306">
        <v>14370</v>
      </c>
      <c r="P178" s="306">
        <v>618</v>
      </c>
      <c r="Q178" s="306">
        <v>31</v>
      </c>
      <c r="R178" s="24"/>
      <c r="S178" s="24"/>
      <c r="T178" s="24"/>
      <c r="W178" s="24">
        <v>2021</v>
      </c>
      <c r="X178" s="24">
        <v>45</v>
      </c>
      <c r="Y178" s="24" t="s">
        <v>32</v>
      </c>
      <c r="Z178" s="24">
        <v>14850</v>
      </c>
      <c r="AA178" s="24">
        <v>14145</v>
      </c>
      <c r="AB178" s="24">
        <v>7</v>
      </c>
      <c r="AC178" s="24">
        <v>10</v>
      </c>
      <c r="AD178" s="297"/>
      <c r="AE178" s="297"/>
      <c r="AF178" s="297"/>
      <c r="AG178" s="297"/>
      <c r="AH178" s="297"/>
      <c r="AI178" s="24"/>
      <c r="AJ178" s="24"/>
      <c r="AK178" s="24">
        <v>2021</v>
      </c>
      <c r="AL178" s="24">
        <v>45</v>
      </c>
      <c r="AM178" s="24">
        <v>695.35</v>
      </c>
      <c r="AN178" s="24">
        <v>74.03</v>
      </c>
      <c r="AO178" s="24">
        <v>0</v>
      </c>
      <c r="AP178" s="24">
        <v>17</v>
      </c>
      <c r="AQ178" s="24">
        <v>0</v>
      </c>
      <c r="AR178" s="24">
        <v>0</v>
      </c>
      <c r="AS178" s="24" t="s">
        <v>32</v>
      </c>
      <c r="AT178" s="24"/>
      <c r="AU178" s="24">
        <v>2021</v>
      </c>
      <c r="AV178" s="24">
        <v>45</v>
      </c>
      <c r="AW178" s="24">
        <v>0.16</v>
      </c>
      <c r="AX178" s="24">
        <v>2500</v>
      </c>
      <c r="AY178" s="24">
        <v>15739</v>
      </c>
      <c r="AZ178" s="24" t="s">
        <v>32</v>
      </c>
      <c r="BA178" s="24"/>
      <c r="BB178" s="24"/>
      <c r="BC178" s="24">
        <v>2021</v>
      </c>
      <c r="BD178" s="24">
        <v>45</v>
      </c>
      <c r="BE178" s="24">
        <v>201.438285714286</v>
      </c>
      <c r="BF178" s="24" t="s">
        <v>32</v>
      </c>
      <c r="BG178" s="24"/>
      <c r="BI178" s="24">
        <v>2022</v>
      </c>
      <c r="BJ178" s="24">
        <v>27</v>
      </c>
      <c r="BK178" s="24" t="s">
        <v>33</v>
      </c>
      <c r="BL178" s="24" t="s">
        <v>272</v>
      </c>
      <c r="BM178" s="24">
        <v>45645</v>
      </c>
      <c r="BN178" s="24">
        <v>45621</v>
      </c>
      <c r="BO178" s="24">
        <v>171123</v>
      </c>
      <c r="BR178" s="24">
        <v>2021</v>
      </c>
      <c r="BS178" s="24">
        <v>45</v>
      </c>
      <c r="BT178" s="24">
        <v>263385</v>
      </c>
      <c r="BU178" s="24">
        <v>0</v>
      </c>
      <c r="BV178" s="24" t="s">
        <v>33</v>
      </c>
      <c r="BY178" s="24">
        <v>2021</v>
      </c>
      <c r="BZ178" s="24">
        <v>44</v>
      </c>
      <c r="CA178" s="24" t="s">
        <v>32</v>
      </c>
      <c r="CB178" s="24" t="s">
        <v>423</v>
      </c>
      <c r="CC178" s="24">
        <v>12</v>
      </c>
      <c r="CF178" s="24">
        <v>2021</v>
      </c>
      <c r="CG178" s="24">
        <v>45</v>
      </c>
      <c r="CH178" s="24" t="s">
        <v>32</v>
      </c>
      <c r="CI178" s="24">
        <v>72.47081712062257</v>
      </c>
      <c r="CJ178" s="24">
        <v>7450</v>
      </c>
      <c r="CK178" s="24">
        <v>102.8</v>
      </c>
      <c r="CL178" s="24">
        <v>52.712623097582814</v>
      </c>
      <c r="CM178" s="24">
        <v>10470</v>
      </c>
      <c r="CN178" s="24">
        <v>17664</v>
      </c>
      <c r="CO178" s="24">
        <v>335.1</v>
      </c>
      <c r="CP178" s="24">
        <v>8029</v>
      </c>
      <c r="CQ178" s="24">
        <v>48.4</v>
      </c>
      <c r="CR178" s="24">
        <v>198.4</v>
      </c>
      <c r="CS178" s="24">
        <v>12240</v>
      </c>
      <c r="CT178" s="24">
        <v>12240</v>
      </c>
      <c r="CU178" s="24">
        <v>316.3</v>
      </c>
      <c r="CV178" s="24">
        <v>2231</v>
      </c>
      <c r="CW178" s="24">
        <v>0</v>
      </c>
      <c r="CX178" s="24">
        <v>8567</v>
      </c>
      <c r="CY178" s="24">
        <v>41</v>
      </c>
      <c r="CZ178" s="24">
        <v>6355</v>
      </c>
      <c r="DA178" s="24">
        <v>198.4</v>
      </c>
      <c r="DD178" s="24">
        <v>2021</v>
      </c>
      <c r="DE178" s="24">
        <v>45</v>
      </c>
      <c r="DF178" s="24" t="s">
        <v>32</v>
      </c>
      <c r="DG178" s="24">
        <v>2546</v>
      </c>
      <c r="DH178" s="24">
        <v>2465</v>
      </c>
      <c r="DJ178" s="24">
        <v>2021</v>
      </c>
      <c r="DK178" s="24">
        <v>45</v>
      </c>
      <c r="DL178" s="24" t="s">
        <v>33</v>
      </c>
      <c r="DM178" s="24">
        <v>602</v>
      </c>
      <c r="DP178" s="24">
        <v>2021</v>
      </c>
      <c r="DQ178" s="24">
        <v>2</v>
      </c>
      <c r="DR178" s="24" t="s">
        <v>33</v>
      </c>
      <c r="DS178" s="24">
        <v>10816</v>
      </c>
      <c r="DT178" s="24"/>
      <c r="DW178" s="24">
        <v>2022</v>
      </c>
      <c r="DX178" s="24">
        <v>16</v>
      </c>
      <c r="DY178" s="24" t="s">
        <v>33</v>
      </c>
      <c r="DZ178" s="24">
        <v>53</v>
      </c>
      <c r="EA178" s="24" t="s">
        <v>149</v>
      </c>
      <c r="EB178" s="24">
        <v>192.3</v>
      </c>
      <c r="EC178" s="24">
        <v>1064.2</v>
      </c>
      <c r="ED178" s="24">
        <v>34339</v>
      </c>
      <c r="EE178" s="24">
        <v>41230</v>
      </c>
      <c r="EF178" s="24">
        <v>40.5</v>
      </c>
      <c r="EI178" s="24">
        <v>2023</v>
      </c>
      <c r="EJ178" s="24">
        <v>5</v>
      </c>
      <c r="EK178" s="24" t="s">
        <v>237</v>
      </c>
      <c r="EL178" s="24" t="s">
        <v>572</v>
      </c>
      <c r="EM178" s="24" t="s">
        <v>210</v>
      </c>
      <c r="EN178" s="24">
        <v>14</v>
      </c>
      <c r="EO178" s="24"/>
      <c r="EP178" s="24"/>
      <c r="EQ178" s="24"/>
      <c r="ER178" s="24"/>
      <c r="ES178" s="24">
        <v>2022</v>
      </c>
      <c r="ET178" s="24">
        <v>1</v>
      </c>
      <c r="EU178" s="24" t="s">
        <v>32</v>
      </c>
      <c r="EV178" s="24">
        <v>4571</v>
      </c>
      <c r="EY178" s="24">
        <v>2021</v>
      </c>
      <c r="EZ178" s="24">
        <v>48</v>
      </c>
      <c r="FA178" s="24" t="s">
        <v>32</v>
      </c>
      <c r="FB178" s="24">
        <v>395</v>
      </c>
      <c r="FE178" s="24">
        <v>2021</v>
      </c>
      <c r="FF178" s="24">
        <v>45</v>
      </c>
      <c r="FG178" s="24" t="s">
        <v>32</v>
      </c>
      <c r="FH178" s="24">
        <v>0.81390000000000007</v>
      </c>
      <c r="FI178" s="24">
        <v>436</v>
      </c>
      <c r="FJ178" s="24">
        <v>205</v>
      </c>
      <c r="FK178" s="24">
        <v>248</v>
      </c>
      <c r="FN178" s="24">
        <v>2021</v>
      </c>
      <c r="FO178" s="24">
        <v>46</v>
      </c>
      <c r="FP178" s="24" t="s">
        <v>32</v>
      </c>
      <c r="FQ178" s="24">
        <v>34626</v>
      </c>
      <c r="FR178" s="24">
        <v>551.71666666666704</v>
      </c>
      <c r="FS178" s="24">
        <v>39132</v>
      </c>
      <c r="FT178" s="24">
        <v>417.23333333333301</v>
      </c>
      <c r="FW178" s="24">
        <v>2021</v>
      </c>
      <c r="FX178" s="24">
        <v>45</v>
      </c>
      <c r="FY178" s="24" t="s">
        <v>32</v>
      </c>
      <c r="FZ178" s="24">
        <v>1567</v>
      </c>
      <c r="GA178" s="24">
        <v>1495</v>
      </c>
      <c r="GB178" s="24"/>
      <c r="GC178" s="24"/>
      <c r="GD178" s="24">
        <v>2021</v>
      </c>
      <c r="GE178" s="24">
        <v>45</v>
      </c>
      <c r="GF178" s="24" t="s">
        <v>32</v>
      </c>
      <c r="GG178" s="24">
        <v>1559</v>
      </c>
      <c r="GH178" s="24">
        <v>1497</v>
      </c>
      <c r="GK178" s="24"/>
      <c r="GL178" s="24"/>
      <c r="GM178" s="24"/>
      <c r="GN178" s="24"/>
      <c r="GO178" s="24"/>
      <c r="GP178" s="24">
        <v>2021</v>
      </c>
      <c r="GQ178" s="24">
        <v>45</v>
      </c>
      <c r="GR178" s="24">
        <v>2.27114285714286</v>
      </c>
      <c r="GS178" s="24" t="s">
        <v>32</v>
      </c>
      <c r="GX178">
        <v>2021</v>
      </c>
      <c r="GY178">
        <v>45</v>
      </c>
      <c r="GZ178" t="s">
        <v>32</v>
      </c>
      <c r="HA178">
        <v>15180</v>
      </c>
      <c r="HB178">
        <v>14629</v>
      </c>
      <c r="HC178">
        <v>0</v>
      </c>
      <c r="HD178">
        <v>2</v>
      </c>
      <c r="HE178">
        <v>0</v>
      </c>
      <c r="HF178">
        <v>151</v>
      </c>
      <c r="HG178">
        <v>0</v>
      </c>
      <c r="HH178">
        <v>0</v>
      </c>
      <c r="HI178">
        <v>162</v>
      </c>
      <c r="HL178">
        <v>2021</v>
      </c>
      <c r="HM178">
        <v>45</v>
      </c>
      <c r="HN178" t="s">
        <v>32</v>
      </c>
      <c r="HO178">
        <v>14773</v>
      </c>
      <c r="HP178">
        <v>14494</v>
      </c>
      <c r="HQ178">
        <v>0</v>
      </c>
      <c r="HR178">
        <v>1</v>
      </c>
      <c r="HS178">
        <v>0</v>
      </c>
      <c r="HT178">
        <v>184</v>
      </c>
      <c r="HU178">
        <v>0</v>
      </c>
      <c r="HV178">
        <v>0</v>
      </c>
      <c r="HW178">
        <v>12</v>
      </c>
      <c r="HZ178" s="24">
        <v>2021</v>
      </c>
      <c r="IA178" s="24">
        <v>45</v>
      </c>
      <c r="IB178" s="24" t="s">
        <v>32</v>
      </c>
      <c r="IC178" s="24">
        <v>1565</v>
      </c>
      <c r="ID178" s="24">
        <v>1488</v>
      </c>
      <c r="IG178" s="24">
        <v>2021</v>
      </c>
      <c r="IH178" s="24">
        <v>45</v>
      </c>
      <c r="II178" s="24" t="s">
        <v>32</v>
      </c>
      <c r="IJ178" s="24">
        <v>1544</v>
      </c>
      <c r="IK178" s="24">
        <v>1483</v>
      </c>
    </row>
    <row r="179" spans="9:245" x14ac:dyDescent="0.4">
      <c r="I179" s="305">
        <v>2021</v>
      </c>
      <c r="J179" s="306">
        <v>45</v>
      </c>
      <c r="K179" s="306" t="s">
        <v>32</v>
      </c>
      <c r="L179" s="306">
        <v>14940</v>
      </c>
      <c r="M179" s="306">
        <v>14083</v>
      </c>
      <c r="N179" s="306">
        <v>139</v>
      </c>
      <c r="O179" s="306">
        <v>276</v>
      </c>
      <c r="P179" s="306">
        <v>13</v>
      </c>
      <c r="Q179" s="306">
        <v>12</v>
      </c>
      <c r="R179" s="24"/>
      <c r="S179" s="24"/>
      <c r="T179" s="24"/>
      <c r="W179" s="24">
        <v>2021</v>
      </c>
      <c r="X179" s="24">
        <v>45</v>
      </c>
      <c r="Y179" s="24" t="s">
        <v>33</v>
      </c>
      <c r="Z179" s="24">
        <v>260239</v>
      </c>
      <c r="AA179" s="24">
        <v>168627</v>
      </c>
      <c r="AB179" s="24">
        <v>742</v>
      </c>
      <c r="AC179" s="24">
        <v>1270</v>
      </c>
      <c r="AD179" s="297"/>
      <c r="AE179" s="297"/>
      <c r="AF179" s="297"/>
      <c r="AG179" s="297"/>
      <c r="AH179" s="297"/>
      <c r="AI179" s="24"/>
      <c r="AJ179" s="24"/>
      <c r="AK179" s="24">
        <v>2021</v>
      </c>
      <c r="AL179" s="24">
        <v>45</v>
      </c>
      <c r="AM179" s="24">
        <v>16324.53</v>
      </c>
      <c r="AN179" s="24">
        <v>1435.32</v>
      </c>
      <c r="AO179" s="24">
        <v>0</v>
      </c>
      <c r="AP179" s="24">
        <v>402</v>
      </c>
      <c r="AQ179" s="24">
        <v>0</v>
      </c>
      <c r="AR179" s="24">
        <v>5</v>
      </c>
      <c r="AS179" s="24" t="s">
        <v>33</v>
      </c>
      <c r="AT179" s="24"/>
      <c r="AU179" s="24">
        <v>2021</v>
      </c>
      <c r="AV179" s="24">
        <v>45</v>
      </c>
      <c r="AW179" s="24">
        <v>0.11</v>
      </c>
      <c r="AX179" s="24">
        <v>28500</v>
      </c>
      <c r="AY179" s="24">
        <v>264032</v>
      </c>
      <c r="AZ179" s="24" t="s">
        <v>33</v>
      </c>
      <c r="BA179" s="24"/>
      <c r="BB179" s="24"/>
      <c r="BC179" s="24">
        <v>2021</v>
      </c>
      <c r="BD179" s="24">
        <v>45</v>
      </c>
      <c r="BE179" s="24">
        <v>2360.7525714285698</v>
      </c>
      <c r="BF179" s="24" t="s">
        <v>33</v>
      </c>
      <c r="BG179" s="24"/>
      <c r="BI179" s="24">
        <v>2022</v>
      </c>
      <c r="BJ179" s="24">
        <v>27</v>
      </c>
      <c r="BK179" s="24" t="s">
        <v>33</v>
      </c>
      <c r="BL179" s="24" t="s">
        <v>273</v>
      </c>
      <c r="BM179" s="24">
        <v>79666</v>
      </c>
      <c r="BN179" s="24">
        <v>79251</v>
      </c>
      <c r="BO179" s="24">
        <v>81662</v>
      </c>
      <c r="BR179" s="24">
        <v>2021</v>
      </c>
      <c r="BS179" s="24">
        <v>45</v>
      </c>
      <c r="BT179" s="24">
        <v>15547</v>
      </c>
      <c r="BU179" s="24">
        <v>0</v>
      </c>
      <c r="BV179" s="24" t="s">
        <v>32</v>
      </c>
      <c r="BY179" s="24">
        <v>2021</v>
      </c>
      <c r="BZ179" s="24">
        <v>44</v>
      </c>
      <c r="CA179" s="24" t="s">
        <v>33</v>
      </c>
      <c r="CB179" s="24" t="s">
        <v>108</v>
      </c>
      <c r="CC179" s="24">
        <v>1</v>
      </c>
      <c r="CF179" s="24">
        <v>2021</v>
      </c>
      <c r="CG179" s="24">
        <v>45</v>
      </c>
      <c r="CH179" s="24" t="s">
        <v>33</v>
      </c>
      <c r="CI179" s="24">
        <v>123.99079649483527</v>
      </c>
      <c r="CJ179" s="24">
        <v>253276</v>
      </c>
      <c r="CK179" s="24">
        <v>2042.7</v>
      </c>
      <c r="CL179" s="24">
        <v>106.00314026517795</v>
      </c>
      <c r="CM179" s="24">
        <v>123555</v>
      </c>
      <c r="CN179" s="24">
        <v>243044</v>
      </c>
      <c r="CO179" s="24">
        <v>2292.8000000000002</v>
      </c>
      <c r="CP179" s="24">
        <v>56072</v>
      </c>
      <c r="CQ179" s="24">
        <v>407.6</v>
      </c>
      <c r="CR179" s="24">
        <v>1378.1</v>
      </c>
      <c r="CS179" s="24">
        <v>142698</v>
      </c>
      <c r="CT179" s="24">
        <v>142698</v>
      </c>
      <c r="CU179" s="24">
        <v>1415.7</v>
      </c>
      <c r="CV179" s="24">
        <v>50349</v>
      </c>
      <c r="CW179" s="24">
        <v>0</v>
      </c>
      <c r="CX179" s="24">
        <v>117462</v>
      </c>
      <c r="CY179" s="24">
        <v>796.8</v>
      </c>
      <c r="CZ179" s="24">
        <v>44038</v>
      </c>
      <c r="DA179" s="24">
        <v>1378.1</v>
      </c>
      <c r="DD179" s="24">
        <v>2021</v>
      </c>
      <c r="DE179" s="24">
        <v>45</v>
      </c>
      <c r="DF179" s="24" t="s">
        <v>33</v>
      </c>
      <c r="DG179" s="24">
        <v>36844</v>
      </c>
      <c r="DH179" s="24">
        <v>22965</v>
      </c>
      <c r="DJ179" s="24">
        <v>2021</v>
      </c>
      <c r="DK179" s="24">
        <v>44</v>
      </c>
      <c r="DL179" s="24" t="s">
        <v>32</v>
      </c>
      <c r="DM179" s="24">
        <v>3</v>
      </c>
      <c r="DP179" s="24">
        <v>2020</v>
      </c>
      <c r="DQ179" s="24">
        <v>52</v>
      </c>
      <c r="DR179" s="24" t="s">
        <v>33</v>
      </c>
      <c r="DS179" s="24">
        <v>6008</v>
      </c>
      <c r="DT179" s="24"/>
      <c r="DW179" s="24">
        <v>2022</v>
      </c>
      <c r="DX179" s="24">
        <v>15</v>
      </c>
      <c r="DY179" s="24" t="s">
        <v>32</v>
      </c>
      <c r="DZ179" s="24">
        <v>1</v>
      </c>
      <c r="EA179" s="24" t="s">
        <v>149</v>
      </c>
      <c r="EB179" s="24">
        <v>0</v>
      </c>
      <c r="EC179" s="24">
        <v>0</v>
      </c>
      <c r="ED179" s="24">
        <v>95</v>
      </c>
      <c r="EE179" s="24">
        <v>19</v>
      </c>
      <c r="EF179" s="24">
        <v>3.9</v>
      </c>
      <c r="EI179" s="24">
        <v>2023</v>
      </c>
      <c r="EJ179" s="24">
        <v>5</v>
      </c>
      <c r="EK179" s="24" t="s">
        <v>237</v>
      </c>
      <c r="EL179" s="24" t="s">
        <v>235</v>
      </c>
      <c r="EM179" s="24" t="s">
        <v>210</v>
      </c>
      <c r="EN179" s="24">
        <v>265</v>
      </c>
      <c r="EO179" s="24"/>
      <c r="EP179" s="24"/>
      <c r="EQ179" s="24"/>
      <c r="ER179" s="24"/>
      <c r="ES179" s="24">
        <v>2022</v>
      </c>
      <c r="ET179" s="24">
        <v>1</v>
      </c>
      <c r="EU179" s="24" t="s">
        <v>33</v>
      </c>
      <c r="EV179" s="24">
        <v>87551</v>
      </c>
      <c r="EY179" s="24">
        <v>2021</v>
      </c>
      <c r="EZ179" s="24">
        <v>48</v>
      </c>
      <c r="FA179" s="24" t="s">
        <v>33</v>
      </c>
      <c r="FB179" s="24">
        <v>621</v>
      </c>
      <c r="FE179" s="24">
        <v>2021</v>
      </c>
      <c r="FF179" s="24">
        <v>45</v>
      </c>
      <c r="FG179" s="24" t="s">
        <v>33</v>
      </c>
      <c r="FH179" s="24">
        <v>0.94800000000000006</v>
      </c>
      <c r="FI179" s="24">
        <v>11794</v>
      </c>
      <c r="FJ179" s="24">
        <v>5331</v>
      </c>
      <c r="FK179" s="24">
        <v>5667</v>
      </c>
      <c r="FN179" s="24">
        <v>2021</v>
      </c>
      <c r="FO179" s="24">
        <v>46</v>
      </c>
      <c r="FP179" s="24" t="s">
        <v>33</v>
      </c>
      <c r="FQ179" s="24">
        <v>797185</v>
      </c>
      <c r="FR179" s="24">
        <v>7044.7833333333292</v>
      </c>
      <c r="FS179" s="24">
        <v>383386</v>
      </c>
      <c r="FT179" s="24">
        <v>3035.86666666667</v>
      </c>
      <c r="FW179" s="24">
        <v>2021</v>
      </c>
      <c r="FX179" s="24">
        <v>45</v>
      </c>
      <c r="FY179" s="24" t="s">
        <v>33</v>
      </c>
      <c r="FZ179" s="24">
        <v>14899</v>
      </c>
      <c r="GA179" s="24">
        <v>13310</v>
      </c>
      <c r="GB179" s="24"/>
      <c r="GC179" s="24"/>
      <c r="GD179" s="24">
        <v>2021</v>
      </c>
      <c r="GE179" s="24">
        <v>45</v>
      </c>
      <c r="GF179" s="24" t="s">
        <v>33</v>
      </c>
      <c r="GG179" s="24">
        <v>14890</v>
      </c>
      <c r="GH179" s="24">
        <v>13668</v>
      </c>
      <c r="GK179" s="24"/>
      <c r="GL179" s="24"/>
      <c r="GM179" s="24"/>
      <c r="GN179" s="24"/>
      <c r="GO179" s="24"/>
      <c r="GP179" s="24">
        <v>2021</v>
      </c>
      <c r="GQ179" s="24">
        <v>45</v>
      </c>
      <c r="GR179" s="24">
        <v>25.944857142857099</v>
      </c>
      <c r="GS179" s="24" t="s">
        <v>33</v>
      </c>
      <c r="GX179">
        <v>2021</v>
      </c>
      <c r="GY179">
        <v>45</v>
      </c>
      <c r="GZ179" t="s">
        <v>33</v>
      </c>
      <c r="HA179">
        <v>260638</v>
      </c>
      <c r="HB179">
        <v>247506</v>
      </c>
      <c r="HC179">
        <v>694</v>
      </c>
      <c r="HD179">
        <v>418</v>
      </c>
      <c r="HE179">
        <v>0</v>
      </c>
      <c r="HF179">
        <v>3448</v>
      </c>
      <c r="HG179">
        <v>0</v>
      </c>
      <c r="HH179">
        <v>0</v>
      </c>
      <c r="HI179">
        <v>1903</v>
      </c>
      <c r="HL179">
        <v>2021</v>
      </c>
      <c r="HM179">
        <v>45</v>
      </c>
      <c r="HN179" t="s">
        <v>33</v>
      </c>
      <c r="HO179">
        <v>258891</v>
      </c>
      <c r="HP179">
        <v>251134</v>
      </c>
      <c r="HQ179">
        <v>815</v>
      </c>
      <c r="HR179">
        <v>244</v>
      </c>
      <c r="HS179">
        <v>0</v>
      </c>
      <c r="HT179">
        <v>3198</v>
      </c>
      <c r="HU179">
        <v>0</v>
      </c>
      <c r="HV179">
        <v>0</v>
      </c>
      <c r="HW179">
        <v>572</v>
      </c>
      <c r="HZ179" s="24">
        <v>2021</v>
      </c>
      <c r="IA179" s="24">
        <v>45</v>
      </c>
      <c r="IB179" s="24" t="s">
        <v>33</v>
      </c>
      <c r="IC179" s="24">
        <v>14755</v>
      </c>
      <c r="ID179" s="24">
        <v>14017</v>
      </c>
      <c r="IG179" s="24">
        <v>2021</v>
      </c>
      <c r="IH179" s="24">
        <v>45</v>
      </c>
      <c r="II179" s="24" t="s">
        <v>33</v>
      </c>
      <c r="IJ179" s="24">
        <v>13981</v>
      </c>
      <c r="IK179" s="24">
        <v>13751</v>
      </c>
    </row>
    <row r="180" spans="9:245" x14ac:dyDescent="0.4">
      <c r="I180" s="305">
        <v>2021</v>
      </c>
      <c r="J180" s="306">
        <v>45</v>
      </c>
      <c r="K180" s="306" t="s">
        <v>33</v>
      </c>
      <c r="L180" s="306">
        <v>260710</v>
      </c>
      <c r="M180" s="306">
        <v>166630</v>
      </c>
      <c r="N180" s="306">
        <v>1316</v>
      </c>
      <c r="O180" s="306">
        <v>17720</v>
      </c>
      <c r="P180" s="306">
        <v>868</v>
      </c>
      <c r="Q180" s="306">
        <v>1322</v>
      </c>
      <c r="R180" s="24"/>
      <c r="S180" s="24"/>
      <c r="T180" s="24"/>
      <c r="W180" s="24">
        <v>2021</v>
      </c>
      <c r="X180" s="24">
        <v>44</v>
      </c>
      <c r="Y180" s="24" t="s">
        <v>32</v>
      </c>
      <c r="Z180" s="24">
        <v>12285</v>
      </c>
      <c r="AA180" s="24">
        <v>12029</v>
      </c>
      <c r="AB180" s="24">
        <v>2</v>
      </c>
      <c r="AC180" s="24">
        <v>4</v>
      </c>
      <c r="AD180" s="297"/>
      <c r="AE180" s="297"/>
      <c r="AF180" s="297"/>
      <c r="AG180" s="297"/>
      <c r="AH180" s="297"/>
      <c r="AI180" s="24"/>
      <c r="AJ180" s="24"/>
      <c r="AK180" s="24">
        <v>2021</v>
      </c>
      <c r="AL180" s="24">
        <v>44</v>
      </c>
      <c r="AM180" s="24">
        <v>695.5</v>
      </c>
      <c r="AN180" s="24">
        <v>51.95</v>
      </c>
      <c r="AO180" s="24">
        <v>0</v>
      </c>
      <c r="AP180" s="24">
        <v>17</v>
      </c>
      <c r="AQ180" s="24">
        <v>0</v>
      </c>
      <c r="AR180" s="24">
        <v>0</v>
      </c>
      <c r="AS180" s="24" t="s">
        <v>32</v>
      </c>
      <c r="AT180" s="24"/>
      <c r="AU180" s="24">
        <v>2021</v>
      </c>
      <c r="AV180" s="24">
        <v>44</v>
      </c>
      <c r="AW180" s="24">
        <v>0.1</v>
      </c>
      <c r="AX180" s="24">
        <v>1300</v>
      </c>
      <c r="AY180" s="24">
        <v>12526</v>
      </c>
      <c r="AZ180" s="24" t="s">
        <v>32</v>
      </c>
      <c r="BA180" s="24"/>
      <c r="BB180" s="24"/>
      <c r="BC180" s="24">
        <v>2021</v>
      </c>
      <c r="BD180" s="24">
        <v>44</v>
      </c>
      <c r="BE180" s="24">
        <v>195.99700000000001</v>
      </c>
      <c r="BF180" s="24" t="s">
        <v>32</v>
      </c>
      <c r="BG180" s="24"/>
      <c r="BI180" s="24">
        <v>2022</v>
      </c>
      <c r="BJ180" s="24">
        <v>27</v>
      </c>
      <c r="BK180" s="24" t="s">
        <v>32</v>
      </c>
      <c r="BL180" s="24" t="s">
        <v>273</v>
      </c>
      <c r="BM180" s="24">
        <v>5690</v>
      </c>
      <c r="BN180" s="24">
        <v>5658</v>
      </c>
      <c r="BO180" s="24">
        <v>5774</v>
      </c>
      <c r="BR180" s="24">
        <v>2021</v>
      </c>
      <c r="BS180" s="24">
        <v>44</v>
      </c>
      <c r="BT180" s="24">
        <v>249790</v>
      </c>
      <c r="BU180" s="24">
        <v>0</v>
      </c>
      <c r="BV180" s="24" t="s">
        <v>33</v>
      </c>
      <c r="BY180" s="24">
        <v>2021</v>
      </c>
      <c r="BZ180" s="24">
        <v>44</v>
      </c>
      <c r="CA180" s="24" t="s">
        <v>33</v>
      </c>
      <c r="CB180" s="24" t="s">
        <v>423</v>
      </c>
      <c r="CC180" s="24">
        <v>2</v>
      </c>
      <c r="CF180" s="24">
        <v>2021</v>
      </c>
      <c r="CG180" s="24">
        <v>44</v>
      </c>
      <c r="CH180" s="24" t="s">
        <v>32</v>
      </c>
      <c r="CI180" s="24">
        <v>66.988742964352724</v>
      </c>
      <c r="CJ180" s="24">
        <v>7141</v>
      </c>
      <c r="CK180" s="24">
        <v>106.6</v>
      </c>
      <c r="CL180" s="24">
        <v>51.738636363636367</v>
      </c>
      <c r="CM180" s="24">
        <v>9825</v>
      </c>
      <c r="CN180" s="24">
        <v>18212</v>
      </c>
      <c r="CO180" s="24">
        <v>352</v>
      </c>
      <c r="CP180" s="24">
        <v>8247</v>
      </c>
      <c r="CQ180" s="24">
        <v>99.9</v>
      </c>
      <c r="CR180" s="24">
        <v>225.9</v>
      </c>
      <c r="CS180" s="24">
        <v>11978</v>
      </c>
      <c r="CT180" s="24">
        <v>11978</v>
      </c>
      <c r="CU180" s="24">
        <v>249.9</v>
      </c>
      <c r="CV180" s="24">
        <v>2286</v>
      </c>
      <c r="CW180" s="24">
        <v>0</v>
      </c>
      <c r="CX180" s="24">
        <v>4099</v>
      </c>
      <c r="CY180" s="24">
        <v>49.6</v>
      </c>
      <c r="CZ180" s="24">
        <v>6849</v>
      </c>
      <c r="DA180" s="24">
        <v>225.9</v>
      </c>
      <c r="DD180" s="24">
        <v>2021</v>
      </c>
      <c r="DE180" s="24">
        <v>44</v>
      </c>
      <c r="DF180" s="24" t="s">
        <v>32</v>
      </c>
      <c r="DG180" s="24">
        <v>1653</v>
      </c>
      <c r="DH180" s="24">
        <v>2376</v>
      </c>
      <c r="DJ180" s="24">
        <v>2021</v>
      </c>
      <c r="DK180" s="24">
        <v>44</v>
      </c>
      <c r="DL180" s="24" t="s">
        <v>33</v>
      </c>
      <c r="DM180" s="24">
        <v>610</v>
      </c>
      <c r="DP180" s="24">
        <v>2020</v>
      </c>
      <c r="DQ180" s="24">
        <v>51</v>
      </c>
      <c r="DR180" s="24" t="s">
        <v>33</v>
      </c>
      <c r="DS180" s="24">
        <v>6898</v>
      </c>
      <c r="DT180" s="24"/>
      <c r="DW180" s="24">
        <v>2022</v>
      </c>
      <c r="DX180" s="24">
        <v>15</v>
      </c>
      <c r="DY180" s="24" t="s">
        <v>33</v>
      </c>
      <c r="DZ180" s="24">
        <v>10</v>
      </c>
      <c r="EA180" s="24" t="s">
        <v>562</v>
      </c>
      <c r="EB180" s="24">
        <v>150.1</v>
      </c>
      <c r="EC180" s="24">
        <v>0.4</v>
      </c>
      <c r="ED180" s="24">
        <v>682</v>
      </c>
      <c r="EE180" s="24">
        <v>7239</v>
      </c>
      <c r="EF180" s="24">
        <v>27.8</v>
      </c>
      <c r="EI180" s="24">
        <v>2023</v>
      </c>
      <c r="EJ180" s="24">
        <v>5</v>
      </c>
      <c r="EK180" s="24" t="s">
        <v>237</v>
      </c>
      <c r="EL180" s="24" t="s">
        <v>235</v>
      </c>
      <c r="EM180" s="24" t="s">
        <v>215</v>
      </c>
      <c r="EN180" s="24">
        <v>6</v>
      </c>
      <c r="EO180" s="24"/>
      <c r="EP180" s="24"/>
      <c r="EQ180" s="24"/>
      <c r="ER180" s="24"/>
      <c r="ES180" s="24">
        <v>2021</v>
      </c>
      <c r="ET180" s="24">
        <v>52</v>
      </c>
      <c r="EU180" s="24" t="s">
        <v>32</v>
      </c>
      <c r="EV180" s="24">
        <v>4660</v>
      </c>
      <c r="EY180" s="24">
        <v>2021</v>
      </c>
      <c r="EZ180" s="24">
        <v>47</v>
      </c>
      <c r="FA180" s="24" t="s">
        <v>32</v>
      </c>
      <c r="FB180" s="24">
        <v>596</v>
      </c>
      <c r="FE180" s="24">
        <v>2021</v>
      </c>
      <c r="FF180" s="24">
        <v>44</v>
      </c>
      <c r="FG180" s="24" t="s">
        <v>32</v>
      </c>
      <c r="FH180" s="24">
        <v>0.83410000000000006</v>
      </c>
      <c r="FI180" s="24">
        <v>399</v>
      </c>
      <c r="FJ180" s="24">
        <v>188</v>
      </c>
      <c r="FK180" s="24">
        <v>223</v>
      </c>
      <c r="FN180" s="24">
        <v>2021</v>
      </c>
      <c r="FO180" s="24">
        <v>45</v>
      </c>
      <c r="FP180" s="24" t="s">
        <v>32</v>
      </c>
      <c r="FQ180" s="24">
        <v>34933</v>
      </c>
      <c r="FR180" s="24">
        <v>627.51666666666699</v>
      </c>
      <c r="FS180" s="24">
        <v>34914</v>
      </c>
      <c r="FT180" s="24">
        <v>435.21666666666698</v>
      </c>
      <c r="FW180" s="24">
        <v>2021</v>
      </c>
      <c r="FX180" s="24">
        <v>44</v>
      </c>
      <c r="FY180" s="24" t="s">
        <v>32</v>
      </c>
      <c r="FZ180" s="24">
        <v>1590</v>
      </c>
      <c r="GA180" s="24">
        <v>1568</v>
      </c>
      <c r="GB180" s="24"/>
      <c r="GC180" s="24"/>
      <c r="GD180" s="24">
        <v>2021</v>
      </c>
      <c r="GE180" s="24">
        <v>44</v>
      </c>
      <c r="GF180" s="24" t="s">
        <v>32</v>
      </c>
      <c r="GG180" s="24">
        <v>1603</v>
      </c>
      <c r="GH180" s="24">
        <v>1593</v>
      </c>
      <c r="GK180" s="24"/>
      <c r="GL180" s="24"/>
      <c r="GM180" s="24"/>
      <c r="GN180" s="24"/>
      <c r="GO180" s="24"/>
      <c r="GP180" s="24">
        <v>2021</v>
      </c>
      <c r="GQ180" s="24">
        <v>44</v>
      </c>
      <c r="GR180" s="24">
        <v>1.39842857142857</v>
      </c>
      <c r="GS180" s="24" t="s">
        <v>32</v>
      </c>
      <c r="GX180">
        <v>2021</v>
      </c>
      <c r="GY180">
        <v>44</v>
      </c>
      <c r="GZ180" t="s">
        <v>32</v>
      </c>
      <c r="HA180">
        <v>12299</v>
      </c>
      <c r="HB180">
        <v>12121</v>
      </c>
      <c r="HC180">
        <v>0</v>
      </c>
      <c r="HD180">
        <v>2</v>
      </c>
      <c r="HE180">
        <v>0</v>
      </c>
      <c r="HF180">
        <v>36</v>
      </c>
      <c r="HG180">
        <v>0</v>
      </c>
      <c r="HH180">
        <v>0</v>
      </c>
      <c r="HI180">
        <v>41</v>
      </c>
      <c r="HL180">
        <v>2021</v>
      </c>
      <c r="HM180">
        <v>44</v>
      </c>
      <c r="HN180" t="s">
        <v>32</v>
      </c>
      <c r="HO180">
        <v>12234</v>
      </c>
      <c r="HP180">
        <v>12149</v>
      </c>
      <c r="HQ180">
        <v>0</v>
      </c>
      <c r="HR180">
        <v>0</v>
      </c>
      <c r="HS180">
        <v>0</v>
      </c>
      <c r="HT180">
        <v>36</v>
      </c>
      <c r="HU180">
        <v>0</v>
      </c>
      <c r="HV180">
        <v>0</v>
      </c>
      <c r="HW180">
        <v>12</v>
      </c>
      <c r="HZ180" s="24">
        <v>2021</v>
      </c>
      <c r="IA180" s="24">
        <v>44</v>
      </c>
      <c r="IB180" s="24" t="s">
        <v>32</v>
      </c>
      <c r="IC180" s="24">
        <v>1628</v>
      </c>
      <c r="ID180" s="24">
        <v>1551</v>
      </c>
      <c r="IG180" s="24">
        <v>2021</v>
      </c>
      <c r="IH180" s="24">
        <v>44</v>
      </c>
      <c r="II180" s="24" t="s">
        <v>32</v>
      </c>
      <c r="IJ180" s="24">
        <v>1588</v>
      </c>
      <c r="IK180" s="24">
        <v>1569</v>
      </c>
    </row>
    <row r="181" spans="9:245" x14ac:dyDescent="0.4">
      <c r="I181" s="305">
        <v>2021</v>
      </c>
      <c r="J181" s="306">
        <v>44</v>
      </c>
      <c r="K181" s="306" t="s">
        <v>32</v>
      </c>
      <c r="L181" s="306">
        <v>12264</v>
      </c>
      <c r="M181" s="306">
        <v>11981</v>
      </c>
      <c r="N181" s="306">
        <v>16</v>
      </c>
      <c r="O181" s="306">
        <v>77</v>
      </c>
      <c r="P181" s="306">
        <v>6</v>
      </c>
      <c r="Q181" s="306">
        <v>1</v>
      </c>
      <c r="R181" s="24"/>
      <c r="S181" s="24"/>
      <c r="T181" s="24"/>
      <c r="W181" s="24">
        <v>2021</v>
      </c>
      <c r="X181" s="24">
        <v>44</v>
      </c>
      <c r="Y181" s="24" t="s">
        <v>33</v>
      </c>
      <c r="Z181" s="24">
        <v>246913</v>
      </c>
      <c r="AA181" s="24">
        <v>164697</v>
      </c>
      <c r="AB181" s="24">
        <v>459</v>
      </c>
      <c r="AC181" s="24">
        <v>87</v>
      </c>
      <c r="AD181" s="297"/>
      <c r="AE181" s="297"/>
      <c r="AF181" s="297"/>
      <c r="AG181" s="297"/>
      <c r="AH181" s="297"/>
      <c r="AI181" s="24"/>
      <c r="AJ181" s="24"/>
      <c r="AK181" s="24">
        <v>2021</v>
      </c>
      <c r="AL181" s="24">
        <v>44</v>
      </c>
      <c r="AM181" s="24">
        <v>15520.95</v>
      </c>
      <c r="AN181" s="24">
        <v>1201.92</v>
      </c>
      <c r="AO181" s="24">
        <v>0</v>
      </c>
      <c r="AP181" s="24">
        <v>406</v>
      </c>
      <c r="AQ181" s="24">
        <v>0</v>
      </c>
      <c r="AR181" s="24">
        <v>0</v>
      </c>
      <c r="AS181" s="24" t="s">
        <v>33</v>
      </c>
      <c r="AT181" s="24"/>
      <c r="AU181" s="24">
        <v>2021</v>
      </c>
      <c r="AV181" s="24">
        <v>44</v>
      </c>
      <c r="AW181" s="24">
        <v>0.06</v>
      </c>
      <c r="AX181" s="24">
        <v>15900</v>
      </c>
      <c r="AY181" s="24">
        <v>250371</v>
      </c>
      <c r="AZ181" s="24" t="s">
        <v>33</v>
      </c>
      <c r="BA181" s="24"/>
      <c r="BB181" s="24"/>
      <c r="BC181" s="24">
        <v>2021</v>
      </c>
      <c r="BD181" s="24">
        <v>44</v>
      </c>
      <c r="BE181" s="24">
        <v>2335.3075714285696</v>
      </c>
      <c r="BF181" s="24" t="s">
        <v>33</v>
      </c>
      <c r="BG181" s="24"/>
      <c r="BI181" s="24">
        <v>2022</v>
      </c>
      <c r="BJ181" s="24">
        <v>27</v>
      </c>
      <c r="BK181" s="24" t="s">
        <v>32</v>
      </c>
      <c r="BL181" s="24" t="s">
        <v>272</v>
      </c>
      <c r="BM181" s="24">
        <v>2577</v>
      </c>
      <c r="BN181" s="24">
        <v>2575</v>
      </c>
      <c r="BO181" s="24">
        <v>9144</v>
      </c>
      <c r="BR181" s="24">
        <v>2021</v>
      </c>
      <c r="BS181" s="24">
        <v>44</v>
      </c>
      <c r="BT181" s="24">
        <v>12482</v>
      </c>
      <c r="BU181" s="24">
        <v>0</v>
      </c>
      <c r="BV181" s="24" t="s">
        <v>32</v>
      </c>
      <c r="BY181" s="24">
        <v>2021</v>
      </c>
      <c r="BZ181" s="24">
        <v>43</v>
      </c>
      <c r="CA181" s="24" t="s">
        <v>32</v>
      </c>
      <c r="CB181" s="24" t="s">
        <v>423</v>
      </c>
      <c r="CC181" s="24">
        <v>1</v>
      </c>
      <c r="CF181" s="24">
        <v>2021</v>
      </c>
      <c r="CG181" s="24">
        <v>44</v>
      </c>
      <c r="CH181" s="24" t="s">
        <v>33</v>
      </c>
      <c r="CI181" s="24">
        <v>119.39156626506023</v>
      </c>
      <c r="CJ181" s="24">
        <v>237828</v>
      </c>
      <c r="CK181" s="24">
        <v>1992</v>
      </c>
      <c r="CL181" s="24">
        <v>107.38468029251828</v>
      </c>
      <c r="CM181" s="24">
        <v>121751</v>
      </c>
      <c r="CN181" s="24">
        <v>229073</v>
      </c>
      <c r="CO181" s="24">
        <v>2133.1999999999998</v>
      </c>
      <c r="CP181" s="24">
        <v>50794</v>
      </c>
      <c r="CQ181" s="24">
        <v>560.70000000000005</v>
      </c>
      <c r="CR181" s="24">
        <v>1302.9000000000001</v>
      </c>
      <c r="CS181" s="24">
        <v>165928</v>
      </c>
      <c r="CT181" s="24">
        <v>165928</v>
      </c>
      <c r="CU181" s="24">
        <v>1490.7</v>
      </c>
      <c r="CV181" s="24">
        <v>45986</v>
      </c>
      <c r="CW181" s="24">
        <v>0</v>
      </c>
      <c r="CX181" s="24">
        <v>138291</v>
      </c>
      <c r="CY181" s="24">
        <v>804</v>
      </c>
      <c r="CZ181" s="24">
        <v>40446</v>
      </c>
      <c r="DA181" s="24">
        <v>1302.9000000000001</v>
      </c>
      <c r="DD181" s="24">
        <v>2021</v>
      </c>
      <c r="DE181" s="24">
        <v>44</v>
      </c>
      <c r="DF181" s="24" t="s">
        <v>33</v>
      </c>
      <c r="DG181" s="24">
        <v>27666</v>
      </c>
      <c r="DH181" s="24">
        <v>31150</v>
      </c>
      <c r="DJ181" s="24">
        <v>2021</v>
      </c>
      <c r="DK181" s="24">
        <v>43</v>
      </c>
      <c r="DL181" s="24" t="s">
        <v>32</v>
      </c>
      <c r="DM181" s="24">
        <v>26</v>
      </c>
      <c r="DP181" s="24">
        <v>2020</v>
      </c>
      <c r="DQ181" s="24">
        <v>50</v>
      </c>
      <c r="DR181" s="24" t="s">
        <v>33</v>
      </c>
      <c r="DS181" s="24">
        <v>7815</v>
      </c>
      <c r="DT181" s="24"/>
      <c r="DW181" s="24">
        <v>2022</v>
      </c>
      <c r="DX181" s="24">
        <v>15</v>
      </c>
      <c r="DY181" s="24" t="s">
        <v>33</v>
      </c>
      <c r="DZ181" s="24">
        <v>52</v>
      </c>
      <c r="EA181" s="24" t="s">
        <v>149</v>
      </c>
      <c r="EB181" s="24">
        <v>311.89999999999998</v>
      </c>
      <c r="EC181" s="24">
        <v>1102.9000000000001</v>
      </c>
      <c r="ED181" s="24">
        <v>35008</v>
      </c>
      <c r="EE181" s="24">
        <v>46369</v>
      </c>
      <c r="EF181" s="24">
        <v>139.1</v>
      </c>
      <c r="EI181" s="24">
        <v>2023</v>
      </c>
      <c r="EJ181" s="24">
        <v>5</v>
      </c>
      <c r="EK181" s="24" t="s">
        <v>237</v>
      </c>
      <c r="EL181" s="24" t="s">
        <v>247</v>
      </c>
      <c r="EM181" s="24" t="s">
        <v>210</v>
      </c>
      <c r="EN181" s="24">
        <v>4</v>
      </c>
      <c r="EO181" s="24"/>
      <c r="EP181" s="24"/>
      <c r="EQ181" s="24"/>
      <c r="ER181" s="24"/>
      <c r="ES181" s="24">
        <v>2021</v>
      </c>
      <c r="ET181" s="24">
        <v>52</v>
      </c>
      <c r="EU181" s="24" t="s">
        <v>33</v>
      </c>
      <c r="EV181" s="24">
        <v>101127</v>
      </c>
      <c r="EY181" s="24">
        <v>2021</v>
      </c>
      <c r="EZ181" s="24">
        <v>47</v>
      </c>
      <c r="FA181" s="24" t="s">
        <v>33</v>
      </c>
      <c r="FB181" s="24">
        <v>1051</v>
      </c>
      <c r="FE181" s="24">
        <v>2021</v>
      </c>
      <c r="FF181" s="24">
        <v>44</v>
      </c>
      <c r="FG181" s="24" t="s">
        <v>33</v>
      </c>
      <c r="FH181" s="24">
        <v>0.94910000000000005</v>
      </c>
      <c r="FI181" s="24">
        <v>11699</v>
      </c>
      <c r="FJ181" s="24">
        <v>5331</v>
      </c>
      <c r="FK181" s="24">
        <v>5655</v>
      </c>
      <c r="FN181" s="24">
        <v>2021</v>
      </c>
      <c r="FO181" s="24">
        <v>45</v>
      </c>
      <c r="FP181" s="24" t="s">
        <v>33</v>
      </c>
      <c r="FQ181" s="24">
        <v>827706</v>
      </c>
      <c r="FR181" s="24">
        <v>7447.45</v>
      </c>
      <c r="FS181" s="24">
        <v>344070</v>
      </c>
      <c r="FT181" s="24">
        <v>2690.7333333333299</v>
      </c>
      <c r="FW181" s="24">
        <v>2021</v>
      </c>
      <c r="FX181" s="24">
        <v>44</v>
      </c>
      <c r="FY181" s="24" t="s">
        <v>33</v>
      </c>
      <c r="FZ181" s="24">
        <v>13256</v>
      </c>
      <c r="GA181" s="24">
        <v>12194</v>
      </c>
      <c r="GB181" s="24"/>
      <c r="GC181" s="24"/>
      <c r="GD181" s="24">
        <v>2021</v>
      </c>
      <c r="GE181" s="24">
        <v>44</v>
      </c>
      <c r="GF181" s="24" t="s">
        <v>33</v>
      </c>
      <c r="GG181" s="24">
        <v>13198</v>
      </c>
      <c r="GH181" s="24">
        <v>12327</v>
      </c>
      <c r="GK181" s="24"/>
      <c r="GL181" s="24"/>
      <c r="GM181" s="24"/>
      <c r="GN181" s="24"/>
      <c r="GO181" s="24"/>
      <c r="GP181" s="24">
        <v>2021</v>
      </c>
      <c r="GQ181" s="24">
        <v>44</v>
      </c>
      <c r="GR181" s="24">
        <v>25.759571428571402</v>
      </c>
      <c r="GS181" s="24" t="s">
        <v>33</v>
      </c>
      <c r="GX181">
        <v>2021</v>
      </c>
      <c r="GY181">
        <v>44</v>
      </c>
      <c r="GZ181" t="s">
        <v>33</v>
      </c>
      <c r="HA181">
        <v>250059</v>
      </c>
      <c r="HB181">
        <v>246560</v>
      </c>
      <c r="HC181">
        <v>305</v>
      </c>
      <c r="HD181">
        <v>150</v>
      </c>
      <c r="HE181">
        <v>0</v>
      </c>
      <c r="HF181">
        <v>269</v>
      </c>
      <c r="HG181">
        <v>0</v>
      </c>
      <c r="HH181">
        <v>1</v>
      </c>
      <c r="HI181">
        <v>813</v>
      </c>
      <c r="HL181">
        <v>2021</v>
      </c>
      <c r="HM181">
        <v>44</v>
      </c>
      <c r="HN181" t="s">
        <v>33</v>
      </c>
      <c r="HO181">
        <v>246724</v>
      </c>
      <c r="HP181">
        <v>245124</v>
      </c>
      <c r="HQ181">
        <v>448</v>
      </c>
      <c r="HR181">
        <v>60</v>
      </c>
      <c r="HS181">
        <v>0</v>
      </c>
      <c r="HT181">
        <v>173</v>
      </c>
      <c r="HU181">
        <v>0</v>
      </c>
      <c r="HV181">
        <v>1</v>
      </c>
      <c r="HW181">
        <v>106</v>
      </c>
      <c r="HZ181" s="24">
        <v>2021</v>
      </c>
      <c r="IA181" s="24">
        <v>44</v>
      </c>
      <c r="IB181" s="24" t="s">
        <v>33</v>
      </c>
      <c r="IC181" s="24">
        <v>13465</v>
      </c>
      <c r="ID181" s="24">
        <v>13140</v>
      </c>
      <c r="IG181" s="24">
        <v>2021</v>
      </c>
      <c r="IH181" s="24">
        <v>44</v>
      </c>
      <c r="II181" s="24" t="s">
        <v>33</v>
      </c>
      <c r="IJ181" s="24">
        <v>12518</v>
      </c>
      <c r="IK181" s="24">
        <v>12423</v>
      </c>
    </row>
    <row r="182" spans="9:245" x14ac:dyDescent="0.4">
      <c r="I182" s="305">
        <v>2021</v>
      </c>
      <c r="J182" s="306">
        <v>44</v>
      </c>
      <c r="K182" s="306" t="s">
        <v>33</v>
      </c>
      <c r="L182" s="306">
        <v>247630</v>
      </c>
      <c r="M182" s="306">
        <v>164566</v>
      </c>
      <c r="N182" s="306">
        <v>1068</v>
      </c>
      <c r="O182" s="306">
        <v>14632</v>
      </c>
      <c r="P182" s="306">
        <v>590</v>
      </c>
      <c r="Q182" s="306">
        <v>92</v>
      </c>
      <c r="R182" s="24"/>
      <c r="S182" s="24"/>
      <c r="T182" s="24"/>
      <c r="W182" s="24">
        <v>2021</v>
      </c>
      <c r="X182" s="24">
        <v>43</v>
      </c>
      <c r="Y182" s="24" t="s">
        <v>32</v>
      </c>
      <c r="Z182" s="24">
        <v>13382</v>
      </c>
      <c r="AA182" s="24">
        <v>13192</v>
      </c>
      <c r="AB182" s="24">
        <v>14</v>
      </c>
      <c r="AC182" s="24">
        <v>4</v>
      </c>
      <c r="AD182" s="297"/>
      <c r="AE182" s="297"/>
      <c r="AF182" s="297"/>
      <c r="AG182" s="297"/>
      <c r="AH182" s="297"/>
      <c r="AI182" s="24"/>
      <c r="AJ182" s="24"/>
      <c r="AK182" s="24">
        <v>2021</v>
      </c>
      <c r="AL182" s="24">
        <v>43</v>
      </c>
      <c r="AM182" s="24">
        <v>708.6</v>
      </c>
      <c r="AN182" s="24">
        <v>57.22</v>
      </c>
      <c r="AO182" s="24">
        <v>0</v>
      </c>
      <c r="AP182" s="24">
        <v>17</v>
      </c>
      <c r="AQ182" s="24">
        <v>0</v>
      </c>
      <c r="AR182" s="24">
        <v>0</v>
      </c>
      <c r="AS182" s="24" t="s">
        <v>32</v>
      </c>
      <c r="AT182" s="24"/>
      <c r="AU182" s="24">
        <v>2021</v>
      </c>
      <c r="AV182" s="24">
        <v>43</v>
      </c>
      <c r="AW182" s="24">
        <v>0.15</v>
      </c>
      <c r="AX182" s="24">
        <v>2000</v>
      </c>
      <c r="AY182" s="24">
        <v>13671</v>
      </c>
      <c r="AZ182" s="24" t="s">
        <v>32</v>
      </c>
      <c r="BA182" s="24"/>
      <c r="BB182" s="24"/>
      <c r="BC182" s="24">
        <v>2021</v>
      </c>
      <c r="BD182" s="24">
        <v>43</v>
      </c>
      <c r="BE182" s="24">
        <v>193.184142857143</v>
      </c>
      <c r="BF182" s="24" t="s">
        <v>32</v>
      </c>
      <c r="BG182" s="24"/>
      <c r="BI182" s="24">
        <v>2022</v>
      </c>
      <c r="BJ182" s="24">
        <v>26</v>
      </c>
      <c r="BK182" s="24" t="s">
        <v>32</v>
      </c>
      <c r="BL182" s="24" t="s">
        <v>273</v>
      </c>
      <c r="BM182" s="24">
        <v>6462</v>
      </c>
      <c r="BN182" s="24">
        <v>6385</v>
      </c>
      <c r="BO182" s="24">
        <v>6604</v>
      </c>
      <c r="BR182" s="24">
        <v>2021</v>
      </c>
      <c r="BS182" s="24">
        <v>43</v>
      </c>
      <c r="BT182" s="24">
        <v>13604</v>
      </c>
      <c r="BU182" s="24">
        <v>0</v>
      </c>
      <c r="BV182" s="24" t="s">
        <v>32</v>
      </c>
      <c r="BY182" s="24">
        <v>2021</v>
      </c>
      <c r="BZ182" s="24">
        <v>43</v>
      </c>
      <c r="CA182" s="24" t="s">
        <v>33</v>
      </c>
      <c r="CB182" s="24" t="s">
        <v>423</v>
      </c>
      <c r="CC182" s="24">
        <v>6</v>
      </c>
      <c r="CF182" s="24">
        <v>2021</v>
      </c>
      <c r="CG182" s="24">
        <v>43</v>
      </c>
      <c r="CH182" s="24" t="s">
        <v>32</v>
      </c>
      <c r="CI182" s="24">
        <v>89.20997920997921</v>
      </c>
      <c r="CJ182" s="24">
        <v>8582</v>
      </c>
      <c r="CK182" s="24">
        <v>96.2</v>
      </c>
      <c r="CL182" s="24">
        <v>59.490932230353167</v>
      </c>
      <c r="CM182" s="24">
        <v>9942</v>
      </c>
      <c r="CN182" s="24">
        <v>18698</v>
      </c>
      <c r="CO182" s="24">
        <v>314.3</v>
      </c>
      <c r="CP182" s="24">
        <v>8015</v>
      </c>
      <c r="CQ182" s="24">
        <v>99.7</v>
      </c>
      <c r="CR182" s="24">
        <v>195.4</v>
      </c>
      <c r="CS182" s="24">
        <v>11311</v>
      </c>
      <c r="CT182" s="24">
        <v>11311</v>
      </c>
      <c r="CU182" s="24">
        <v>280.10000000000002</v>
      </c>
      <c r="CV182" s="24">
        <v>1958</v>
      </c>
      <c r="CW182" s="24">
        <v>0</v>
      </c>
      <c r="CX182" s="24">
        <v>4506</v>
      </c>
      <c r="CY182" s="24">
        <v>49.5</v>
      </c>
      <c r="CZ182" s="24">
        <v>6006</v>
      </c>
      <c r="DA182" s="24">
        <v>195.4</v>
      </c>
      <c r="DD182" s="24">
        <v>2021</v>
      </c>
      <c r="DE182" s="24">
        <v>43</v>
      </c>
      <c r="DF182" s="24" t="s">
        <v>32</v>
      </c>
      <c r="DG182" s="24">
        <v>1276</v>
      </c>
      <c r="DH182" s="24">
        <v>2320</v>
      </c>
      <c r="DJ182" s="24">
        <v>2021</v>
      </c>
      <c r="DK182" s="24">
        <v>43</v>
      </c>
      <c r="DL182" s="24" t="s">
        <v>33</v>
      </c>
      <c r="DM182" s="24">
        <v>394</v>
      </c>
      <c r="DP182" s="24">
        <v>2020</v>
      </c>
      <c r="DQ182" s="24">
        <v>48</v>
      </c>
      <c r="DR182" s="24" t="s">
        <v>33</v>
      </c>
      <c r="DS182" s="24">
        <v>6398</v>
      </c>
      <c r="DT182" s="24"/>
      <c r="DW182" s="24">
        <v>2022</v>
      </c>
      <c r="DX182" s="24">
        <v>14</v>
      </c>
      <c r="DY182" s="24" t="s">
        <v>32</v>
      </c>
      <c r="DZ182" s="24">
        <v>1</v>
      </c>
      <c r="EA182" s="24" t="s">
        <v>149</v>
      </c>
      <c r="EB182" s="24">
        <v>0</v>
      </c>
      <c r="EC182" s="24">
        <v>0</v>
      </c>
      <c r="ED182" s="24">
        <v>133</v>
      </c>
      <c r="EE182" s="24">
        <v>12</v>
      </c>
      <c r="EF182" s="24">
        <v>6.6</v>
      </c>
      <c r="EI182" s="24">
        <v>2023</v>
      </c>
      <c r="EJ182" s="24">
        <v>5</v>
      </c>
      <c r="EK182" s="24" t="s">
        <v>237</v>
      </c>
      <c r="EL182" s="24" t="s">
        <v>241</v>
      </c>
      <c r="EM182" s="24" t="s">
        <v>210</v>
      </c>
      <c r="EN182" s="24">
        <v>816</v>
      </c>
      <c r="EO182" s="24"/>
      <c r="EP182" s="24"/>
      <c r="EQ182" s="24"/>
      <c r="ER182" s="24"/>
      <c r="ES182" s="24">
        <v>2021</v>
      </c>
      <c r="ET182" s="24">
        <v>52</v>
      </c>
      <c r="EU182" s="24" t="s">
        <v>213</v>
      </c>
      <c r="EV182" s="24">
        <v>3</v>
      </c>
      <c r="EY182" s="24">
        <v>2021</v>
      </c>
      <c r="EZ182" s="24">
        <v>46</v>
      </c>
      <c r="FA182" s="24" t="s">
        <v>32</v>
      </c>
      <c r="FB182" s="24">
        <v>658</v>
      </c>
      <c r="FE182" s="24">
        <v>2021</v>
      </c>
      <c r="FF182" s="24">
        <v>43</v>
      </c>
      <c r="FG182" s="24" t="s">
        <v>32</v>
      </c>
      <c r="FH182" s="24">
        <v>0.93270000000000008</v>
      </c>
      <c r="FI182" s="24">
        <v>417</v>
      </c>
      <c r="FJ182" s="24">
        <v>194</v>
      </c>
      <c r="FK182" s="24">
        <v>209</v>
      </c>
      <c r="FN182" s="24">
        <v>2021</v>
      </c>
      <c r="FO182" s="24">
        <v>44</v>
      </c>
      <c r="FP182" s="24" t="s">
        <v>32</v>
      </c>
      <c r="FQ182" s="24">
        <v>30903</v>
      </c>
      <c r="FR182" s="24">
        <v>612.71666666666704</v>
      </c>
      <c r="FS182" s="24">
        <v>31589</v>
      </c>
      <c r="FT182" s="24">
        <v>459.90000000000003</v>
      </c>
      <c r="FW182" s="24">
        <v>2021</v>
      </c>
      <c r="FX182" s="24">
        <v>43</v>
      </c>
      <c r="FY182" s="24" t="s">
        <v>32</v>
      </c>
      <c r="FZ182" s="24">
        <v>1759</v>
      </c>
      <c r="GA182" s="24">
        <v>1728</v>
      </c>
      <c r="GB182" s="24"/>
      <c r="GC182" s="24"/>
      <c r="GD182" s="24">
        <v>2021</v>
      </c>
      <c r="GE182" s="24">
        <v>43</v>
      </c>
      <c r="GF182" s="24" t="s">
        <v>32</v>
      </c>
      <c r="GG182" s="24">
        <v>1752</v>
      </c>
      <c r="GH182" s="24">
        <v>1734</v>
      </c>
      <c r="GK182" s="24"/>
      <c r="GL182" s="24"/>
      <c r="GM182" s="24"/>
      <c r="GN182" s="24"/>
      <c r="GO182" s="24"/>
      <c r="GP182" s="24">
        <v>2021</v>
      </c>
      <c r="GQ182" s="24">
        <v>43</v>
      </c>
      <c r="GR182" s="24">
        <v>0.38214285714285701</v>
      </c>
      <c r="GS182" s="24" t="s">
        <v>32</v>
      </c>
      <c r="GX182">
        <v>2021</v>
      </c>
      <c r="GY182">
        <v>43</v>
      </c>
      <c r="GZ182" t="s">
        <v>32</v>
      </c>
      <c r="HA182">
        <v>13374</v>
      </c>
      <c r="HB182">
        <v>13159</v>
      </c>
      <c r="HC182">
        <v>0</v>
      </c>
      <c r="HD182">
        <v>6</v>
      </c>
      <c r="HE182">
        <v>0</v>
      </c>
      <c r="HF182">
        <v>3</v>
      </c>
      <c r="HG182">
        <v>0</v>
      </c>
      <c r="HH182">
        <v>0</v>
      </c>
      <c r="HI182">
        <v>57</v>
      </c>
      <c r="HL182">
        <v>2021</v>
      </c>
      <c r="HM182">
        <v>43</v>
      </c>
      <c r="HN182" t="s">
        <v>32</v>
      </c>
      <c r="HO182">
        <v>13350</v>
      </c>
      <c r="HP182">
        <v>13282</v>
      </c>
      <c r="HQ182">
        <v>0</v>
      </c>
      <c r="HR182">
        <v>1</v>
      </c>
      <c r="HS182">
        <v>0</v>
      </c>
      <c r="HT182">
        <v>2</v>
      </c>
      <c r="HU182">
        <v>0</v>
      </c>
      <c r="HV182">
        <v>0</v>
      </c>
      <c r="HW182">
        <v>2</v>
      </c>
      <c r="HZ182" s="24">
        <v>2021</v>
      </c>
      <c r="IA182" s="24">
        <v>43</v>
      </c>
      <c r="IB182" s="24" t="s">
        <v>32</v>
      </c>
      <c r="IC182" s="24">
        <v>1745</v>
      </c>
      <c r="ID182" s="24">
        <v>1715</v>
      </c>
      <c r="IG182" s="24">
        <v>2021</v>
      </c>
      <c r="IH182" s="24">
        <v>43</v>
      </c>
      <c r="II182" s="24" t="s">
        <v>32</v>
      </c>
      <c r="IJ182" s="24">
        <v>1743</v>
      </c>
      <c r="IK182" s="24">
        <v>1737</v>
      </c>
    </row>
    <row r="183" spans="9:245" x14ac:dyDescent="0.4">
      <c r="I183" s="305">
        <v>2021</v>
      </c>
      <c r="J183" s="306">
        <v>43</v>
      </c>
      <c r="K183" s="306" t="s">
        <v>32</v>
      </c>
      <c r="L183" s="306">
        <v>13385</v>
      </c>
      <c r="M183" s="306">
        <v>13106</v>
      </c>
      <c r="N183" s="306">
        <v>14</v>
      </c>
      <c r="O183" s="306">
        <v>115</v>
      </c>
      <c r="P183" s="306">
        <v>22</v>
      </c>
      <c r="Q183" s="306">
        <v>5</v>
      </c>
      <c r="R183" s="24"/>
      <c r="S183" s="24"/>
      <c r="T183" s="24"/>
      <c r="W183" s="24">
        <v>2021</v>
      </c>
      <c r="X183" s="24">
        <v>43</v>
      </c>
      <c r="Y183" s="24" t="s">
        <v>33</v>
      </c>
      <c r="Z183" s="24">
        <v>253295</v>
      </c>
      <c r="AA183" s="24">
        <v>167803</v>
      </c>
      <c r="AB183" s="24">
        <v>460</v>
      </c>
      <c r="AC183" s="24">
        <v>74</v>
      </c>
      <c r="AD183" s="297"/>
      <c r="AE183" s="297"/>
      <c r="AF183" s="297"/>
      <c r="AG183" s="297"/>
      <c r="AH183" s="297"/>
      <c r="AI183" s="24"/>
      <c r="AJ183" s="24"/>
      <c r="AK183" s="24">
        <v>2021</v>
      </c>
      <c r="AL183" s="24">
        <v>43</v>
      </c>
      <c r="AM183" s="24">
        <v>15971.15</v>
      </c>
      <c r="AN183" s="24">
        <v>1515.83</v>
      </c>
      <c r="AO183" s="24">
        <v>0</v>
      </c>
      <c r="AP183" s="24">
        <v>396</v>
      </c>
      <c r="AQ183" s="24">
        <v>0</v>
      </c>
      <c r="AR183" s="24">
        <v>2</v>
      </c>
      <c r="AS183" s="24" t="s">
        <v>33</v>
      </c>
      <c r="AT183" s="24"/>
      <c r="AU183" s="24">
        <v>2021</v>
      </c>
      <c r="AV183" s="24">
        <v>43</v>
      </c>
      <c r="AW183" s="24">
        <v>0.09</v>
      </c>
      <c r="AX183" s="24">
        <v>23200</v>
      </c>
      <c r="AY183" s="24">
        <v>250330</v>
      </c>
      <c r="AZ183" s="24" t="s">
        <v>33</v>
      </c>
      <c r="BA183" s="24"/>
      <c r="BB183" s="24"/>
      <c r="BC183" s="24">
        <v>2021</v>
      </c>
      <c r="BD183" s="24">
        <v>43</v>
      </c>
      <c r="BE183" s="24">
        <v>2292.63214285714</v>
      </c>
      <c r="BF183" s="24" t="s">
        <v>33</v>
      </c>
      <c r="BG183" s="24"/>
      <c r="BI183" s="24">
        <v>2022</v>
      </c>
      <c r="BJ183" s="24">
        <v>26</v>
      </c>
      <c r="BK183" s="24" t="s">
        <v>32</v>
      </c>
      <c r="BL183" s="24" t="s">
        <v>272</v>
      </c>
      <c r="BM183" s="24">
        <v>2887</v>
      </c>
      <c r="BN183" s="24">
        <v>2886</v>
      </c>
      <c r="BO183" s="24">
        <v>9999</v>
      </c>
      <c r="BR183" s="24">
        <v>2021</v>
      </c>
      <c r="BS183" s="24">
        <v>43</v>
      </c>
      <c r="BT183" s="24">
        <v>249528</v>
      </c>
      <c r="BU183" s="24">
        <v>2</v>
      </c>
      <c r="BV183" s="24" t="s">
        <v>33</v>
      </c>
      <c r="BY183" s="24">
        <v>2021</v>
      </c>
      <c r="BZ183" s="24">
        <v>42</v>
      </c>
      <c r="CA183" s="24" t="s">
        <v>32</v>
      </c>
      <c r="CB183" s="24" t="s">
        <v>423</v>
      </c>
      <c r="CC183" s="24">
        <v>1</v>
      </c>
      <c r="CF183" s="24">
        <v>2021</v>
      </c>
      <c r="CG183" s="24">
        <v>43</v>
      </c>
      <c r="CH183" s="24" t="s">
        <v>33</v>
      </c>
      <c r="CI183" s="24">
        <v>121.77065179505054</v>
      </c>
      <c r="CJ183" s="24">
        <v>244552</v>
      </c>
      <c r="CK183" s="24">
        <v>2008.3</v>
      </c>
      <c r="CL183" s="24">
        <v>105.00580875781948</v>
      </c>
      <c r="CM183" s="24">
        <v>123127</v>
      </c>
      <c r="CN183" s="24">
        <v>235003</v>
      </c>
      <c r="CO183" s="24">
        <v>2238</v>
      </c>
      <c r="CP183" s="24">
        <v>55475</v>
      </c>
      <c r="CQ183" s="24">
        <v>680.1</v>
      </c>
      <c r="CR183" s="24">
        <v>1195</v>
      </c>
      <c r="CS183" s="24">
        <v>157369</v>
      </c>
      <c r="CT183" s="24">
        <v>157369</v>
      </c>
      <c r="CU183" s="24">
        <v>1430.2</v>
      </c>
      <c r="CV183" s="24">
        <v>50890</v>
      </c>
      <c r="CW183" s="24">
        <v>0</v>
      </c>
      <c r="CX183" s="24">
        <v>144520</v>
      </c>
      <c r="CY183" s="24">
        <v>731.6</v>
      </c>
      <c r="CZ183" s="24">
        <v>36258</v>
      </c>
      <c r="DA183" s="24">
        <v>1195</v>
      </c>
      <c r="DD183" s="24">
        <v>2021</v>
      </c>
      <c r="DE183" s="24">
        <v>43</v>
      </c>
      <c r="DF183" s="24" t="s">
        <v>33</v>
      </c>
      <c r="DG183" s="24">
        <v>43165</v>
      </c>
      <c r="DH183" s="24">
        <v>25356</v>
      </c>
      <c r="DJ183" s="24">
        <v>2021</v>
      </c>
      <c r="DK183" s="24">
        <v>42</v>
      </c>
      <c r="DL183" s="24" t="s">
        <v>32</v>
      </c>
      <c r="DM183" s="24">
        <v>4</v>
      </c>
      <c r="DP183" s="24">
        <v>2020</v>
      </c>
      <c r="DQ183" s="24">
        <v>47</v>
      </c>
      <c r="DR183" s="24" t="s">
        <v>33</v>
      </c>
      <c r="DS183" s="24">
        <v>7617</v>
      </c>
      <c r="DT183" s="24"/>
      <c r="DW183" s="24">
        <v>2022</v>
      </c>
      <c r="DX183" s="24">
        <v>14</v>
      </c>
      <c r="DY183" s="24" t="s">
        <v>33</v>
      </c>
      <c r="DZ183" s="24">
        <v>10</v>
      </c>
      <c r="EA183" s="24" t="s">
        <v>562</v>
      </c>
      <c r="EB183" s="24">
        <v>173.5</v>
      </c>
      <c r="EC183" s="24">
        <v>18.899999999999999</v>
      </c>
      <c r="ED183" s="24">
        <v>272</v>
      </c>
      <c r="EE183" s="24">
        <v>7819</v>
      </c>
      <c r="EF183" s="24">
        <v>49.3</v>
      </c>
      <c r="EI183" s="24">
        <v>2023</v>
      </c>
      <c r="EJ183" s="24">
        <v>5</v>
      </c>
      <c r="EK183" s="24" t="s">
        <v>211</v>
      </c>
      <c r="EL183" s="24" t="s">
        <v>232</v>
      </c>
      <c r="EM183" s="24" t="s">
        <v>210</v>
      </c>
      <c r="EN183" s="24">
        <v>2</v>
      </c>
      <c r="EO183" s="24"/>
      <c r="EP183" s="24"/>
      <c r="EQ183" s="24"/>
      <c r="ER183" s="24"/>
      <c r="ES183" s="24">
        <v>2021</v>
      </c>
      <c r="ET183" s="24">
        <v>51</v>
      </c>
      <c r="EU183" s="24" t="s">
        <v>32</v>
      </c>
      <c r="EV183" s="24">
        <v>7149</v>
      </c>
      <c r="EY183" s="24">
        <v>2021</v>
      </c>
      <c r="EZ183" s="24">
        <v>46</v>
      </c>
      <c r="FA183" s="24" t="s">
        <v>33</v>
      </c>
      <c r="FB183" s="24">
        <v>851</v>
      </c>
      <c r="FE183" s="24">
        <v>2021</v>
      </c>
      <c r="FF183" s="24">
        <v>43</v>
      </c>
      <c r="FG183" s="24" t="s">
        <v>33</v>
      </c>
      <c r="FH183" s="24">
        <v>0.96830000000000005</v>
      </c>
      <c r="FI183" s="24">
        <v>12144</v>
      </c>
      <c r="FJ183" s="24">
        <v>5514</v>
      </c>
      <c r="FK183" s="24">
        <v>5724</v>
      </c>
      <c r="FN183" s="24">
        <v>2021</v>
      </c>
      <c r="FO183" s="24">
        <v>44</v>
      </c>
      <c r="FP183" s="24" t="s">
        <v>33</v>
      </c>
      <c r="FQ183" s="24">
        <v>780325</v>
      </c>
      <c r="FR183" s="24">
        <v>6851.9166666666697</v>
      </c>
      <c r="FS183" s="24">
        <v>383054</v>
      </c>
      <c r="FT183" s="24">
        <v>2945.9333333333298</v>
      </c>
      <c r="FW183" s="24">
        <v>2021</v>
      </c>
      <c r="FX183" s="24">
        <v>43</v>
      </c>
      <c r="FY183" s="24" t="s">
        <v>33</v>
      </c>
      <c r="FZ183" s="24">
        <v>13170</v>
      </c>
      <c r="GA183" s="24">
        <v>11998</v>
      </c>
      <c r="GB183" s="24"/>
      <c r="GC183" s="24"/>
      <c r="GD183" s="24">
        <v>2021</v>
      </c>
      <c r="GE183" s="24">
        <v>43</v>
      </c>
      <c r="GF183" s="24" t="s">
        <v>33</v>
      </c>
      <c r="GG183" s="24">
        <v>13207</v>
      </c>
      <c r="GH183" s="24">
        <v>12219</v>
      </c>
      <c r="GK183" s="24"/>
      <c r="GL183" s="24"/>
      <c r="GM183" s="24"/>
      <c r="GN183" s="24"/>
      <c r="GO183" s="24"/>
      <c r="GP183" s="24">
        <v>2021</v>
      </c>
      <c r="GQ183" s="24">
        <v>43</v>
      </c>
      <c r="GR183" s="24">
        <v>25.481571428571399</v>
      </c>
      <c r="GS183" s="24" t="s">
        <v>33</v>
      </c>
      <c r="GX183">
        <v>2021</v>
      </c>
      <c r="GY183">
        <v>43</v>
      </c>
      <c r="GZ183" t="s">
        <v>33</v>
      </c>
      <c r="HA183">
        <v>248421</v>
      </c>
      <c r="HB183">
        <v>243503</v>
      </c>
      <c r="HC183">
        <v>308</v>
      </c>
      <c r="HD183">
        <v>183</v>
      </c>
      <c r="HE183">
        <v>0</v>
      </c>
      <c r="HF183">
        <v>1280</v>
      </c>
      <c r="HG183">
        <v>0</v>
      </c>
      <c r="HH183">
        <v>0</v>
      </c>
      <c r="HI183">
        <v>798</v>
      </c>
      <c r="HL183">
        <v>2021</v>
      </c>
      <c r="HM183">
        <v>43</v>
      </c>
      <c r="HN183" t="s">
        <v>33</v>
      </c>
      <c r="HO183">
        <v>253082</v>
      </c>
      <c r="HP183">
        <v>250282</v>
      </c>
      <c r="HQ183">
        <v>476</v>
      </c>
      <c r="HR183">
        <v>133</v>
      </c>
      <c r="HS183">
        <v>0</v>
      </c>
      <c r="HT183">
        <v>1336</v>
      </c>
      <c r="HU183">
        <v>0</v>
      </c>
      <c r="HV183">
        <v>0</v>
      </c>
      <c r="HW183">
        <v>217</v>
      </c>
      <c r="HZ183" s="24">
        <v>2021</v>
      </c>
      <c r="IA183" s="24">
        <v>43</v>
      </c>
      <c r="IB183" s="24" t="s">
        <v>33</v>
      </c>
      <c r="IC183" s="24">
        <v>13105</v>
      </c>
      <c r="ID183" s="24">
        <v>12677</v>
      </c>
      <c r="IG183" s="24">
        <v>2021</v>
      </c>
      <c r="IH183" s="24">
        <v>43</v>
      </c>
      <c r="II183" s="24" t="s">
        <v>33</v>
      </c>
      <c r="IJ183" s="24">
        <v>12517</v>
      </c>
      <c r="IK183" s="24">
        <v>12423</v>
      </c>
    </row>
    <row r="184" spans="9:245" x14ac:dyDescent="0.4">
      <c r="I184" s="305">
        <v>2021</v>
      </c>
      <c r="J184" s="306">
        <v>43</v>
      </c>
      <c r="K184" s="306" t="s">
        <v>33</v>
      </c>
      <c r="L184" s="306">
        <v>253509</v>
      </c>
      <c r="M184" s="306">
        <v>167380</v>
      </c>
      <c r="N184" s="306">
        <v>957</v>
      </c>
      <c r="O184" s="306">
        <v>14515</v>
      </c>
      <c r="P184" s="306">
        <v>550</v>
      </c>
      <c r="Q184" s="306">
        <v>129</v>
      </c>
      <c r="R184" s="24"/>
      <c r="S184" s="24"/>
      <c r="T184" s="24"/>
      <c r="W184" s="24">
        <v>2021</v>
      </c>
      <c r="X184" s="24">
        <v>42</v>
      </c>
      <c r="Y184" s="24" t="s">
        <v>32</v>
      </c>
      <c r="Z184" s="24">
        <v>12886</v>
      </c>
      <c r="AA184" s="24">
        <v>12742</v>
      </c>
      <c r="AB184" s="24">
        <v>1</v>
      </c>
      <c r="AC184" s="24">
        <v>2</v>
      </c>
      <c r="AD184" s="297"/>
      <c r="AE184" s="297"/>
      <c r="AF184" s="297"/>
      <c r="AG184" s="297"/>
      <c r="AH184" s="297"/>
      <c r="AI184" s="24"/>
      <c r="AJ184" s="24"/>
      <c r="AK184" s="24">
        <v>2021</v>
      </c>
      <c r="AL184" s="24">
        <v>42</v>
      </c>
      <c r="AM184" s="24">
        <v>697.85</v>
      </c>
      <c r="AN184" s="24">
        <v>46.72</v>
      </c>
      <c r="AO184" s="24">
        <v>0</v>
      </c>
      <c r="AP184" s="24">
        <v>17</v>
      </c>
      <c r="AQ184" s="24">
        <v>0</v>
      </c>
      <c r="AR184" s="24">
        <v>0</v>
      </c>
      <c r="AS184" s="24" t="s">
        <v>32</v>
      </c>
      <c r="AT184" s="24"/>
      <c r="AU184" s="24">
        <v>2021</v>
      </c>
      <c r="AV184" s="24">
        <v>42</v>
      </c>
      <c r="AW184" s="24">
        <v>0.05</v>
      </c>
      <c r="AX184" s="24">
        <v>600</v>
      </c>
      <c r="AY184" s="24">
        <v>13205</v>
      </c>
      <c r="AZ184" s="24" t="s">
        <v>32</v>
      </c>
      <c r="BA184" s="24"/>
      <c r="BB184" s="24"/>
      <c r="BC184" s="24">
        <v>2021</v>
      </c>
      <c r="BD184" s="24">
        <v>42</v>
      </c>
      <c r="BE184" s="24">
        <v>194.61</v>
      </c>
      <c r="BF184" s="24" t="s">
        <v>32</v>
      </c>
      <c r="BG184" s="24"/>
      <c r="BI184" s="24">
        <v>2022</v>
      </c>
      <c r="BJ184" s="24">
        <v>26</v>
      </c>
      <c r="BK184" s="24" t="s">
        <v>33</v>
      </c>
      <c r="BL184" s="24" t="s">
        <v>272</v>
      </c>
      <c r="BM184" s="24">
        <v>54053</v>
      </c>
      <c r="BN184" s="24">
        <v>53955</v>
      </c>
      <c r="BO184" s="24">
        <v>204970</v>
      </c>
      <c r="BR184" s="24">
        <v>2021</v>
      </c>
      <c r="BS184" s="24">
        <v>42</v>
      </c>
      <c r="BT184" s="24">
        <v>259706</v>
      </c>
      <c r="BU184" s="24">
        <v>0</v>
      </c>
      <c r="BV184" s="24" t="s">
        <v>33</v>
      </c>
      <c r="BY184" s="24">
        <v>2021</v>
      </c>
      <c r="BZ184" s="24">
        <v>42</v>
      </c>
      <c r="CA184" s="24" t="s">
        <v>33</v>
      </c>
      <c r="CB184" s="24" t="s">
        <v>108</v>
      </c>
      <c r="CC184" s="24">
        <v>1</v>
      </c>
      <c r="CF184" s="24">
        <v>2021</v>
      </c>
      <c r="CG184" s="24">
        <v>42</v>
      </c>
      <c r="CH184" s="24" t="s">
        <v>32</v>
      </c>
      <c r="CI184" s="24">
        <v>94.610951008645529</v>
      </c>
      <c r="CJ184" s="24">
        <v>9849</v>
      </c>
      <c r="CK184" s="24">
        <v>104.1</v>
      </c>
      <c r="CL184" s="24">
        <v>63.470050162289759</v>
      </c>
      <c r="CM184" s="24">
        <v>11209</v>
      </c>
      <c r="CN184" s="24">
        <v>21510</v>
      </c>
      <c r="CO184" s="24">
        <v>338.9</v>
      </c>
      <c r="CP184" s="24">
        <v>8458</v>
      </c>
      <c r="CQ184" s="24">
        <v>54.2</v>
      </c>
      <c r="CR184" s="24">
        <v>195</v>
      </c>
      <c r="CS184" s="24">
        <v>7216</v>
      </c>
      <c r="CT184" s="24">
        <v>7216</v>
      </c>
      <c r="CU184" s="24">
        <v>249.3</v>
      </c>
      <c r="CV184" s="24">
        <v>2114</v>
      </c>
      <c r="CW184" s="24">
        <v>0</v>
      </c>
      <c r="CX184" s="24">
        <v>3729</v>
      </c>
      <c r="CY184" s="24">
        <v>42.5</v>
      </c>
      <c r="CZ184" s="24">
        <v>6259</v>
      </c>
      <c r="DA184" s="24">
        <v>195</v>
      </c>
      <c r="DD184" s="24">
        <v>2021</v>
      </c>
      <c r="DE184" s="24">
        <v>42</v>
      </c>
      <c r="DF184" s="24" t="s">
        <v>32</v>
      </c>
      <c r="DG184" s="24">
        <v>829</v>
      </c>
      <c r="DH184" s="24">
        <v>1862</v>
      </c>
      <c r="DJ184" s="24">
        <v>2021</v>
      </c>
      <c r="DK184" s="24">
        <v>42</v>
      </c>
      <c r="DL184" s="24" t="s">
        <v>33</v>
      </c>
      <c r="DM184" s="24">
        <v>132</v>
      </c>
      <c r="DP184" s="24">
        <v>2020</v>
      </c>
      <c r="DQ184" s="24">
        <v>44</v>
      </c>
      <c r="DR184" s="24" t="s">
        <v>33</v>
      </c>
      <c r="DS184" s="24">
        <v>8961</v>
      </c>
      <c r="DT184" s="24"/>
      <c r="DW184" s="24">
        <v>2022</v>
      </c>
      <c r="DX184" s="24">
        <v>14</v>
      </c>
      <c r="DY184" s="24" t="s">
        <v>33</v>
      </c>
      <c r="DZ184" s="24">
        <v>50</v>
      </c>
      <c r="EA184" s="24" t="s">
        <v>149</v>
      </c>
      <c r="EB184" s="24">
        <v>322</v>
      </c>
      <c r="EC184" s="24">
        <v>1176.2</v>
      </c>
      <c r="ED184" s="24">
        <v>39542</v>
      </c>
      <c r="EE184" s="24">
        <v>52290</v>
      </c>
      <c r="EF184" s="24">
        <v>293.5</v>
      </c>
      <c r="EI184" s="24">
        <v>2023</v>
      </c>
      <c r="EJ184" s="24">
        <v>5</v>
      </c>
      <c r="EK184" s="24" t="s">
        <v>211</v>
      </c>
      <c r="EL184" s="24" t="s">
        <v>232</v>
      </c>
      <c r="EM184" s="24" t="s">
        <v>234</v>
      </c>
      <c r="EN184" s="24">
        <v>1</v>
      </c>
      <c r="EO184" s="24"/>
      <c r="EP184" s="24"/>
      <c r="EQ184" s="24"/>
      <c r="ER184" s="24"/>
      <c r="ES184" s="24">
        <v>2021</v>
      </c>
      <c r="ET184" s="24">
        <v>51</v>
      </c>
      <c r="EU184" s="24" t="s">
        <v>33</v>
      </c>
      <c r="EV184" s="24">
        <v>124431</v>
      </c>
      <c r="EY184" s="24">
        <v>2021</v>
      </c>
      <c r="EZ184" s="24">
        <v>45</v>
      </c>
      <c r="FA184" s="24" t="s">
        <v>32</v>
      </c>
      <c r="FB184" s="24">
        <v>693</v>
      </c>
      <c r="FE184" s="24">
        <v>2021</v>
      </c>
      <c r="FF184" s="24">
        <v>42</v>
      </c>
      <c r="FG184" s="24" t="s">
        <v>32</v>
      </c>
      <c r="FH184" s="24">
        <v>0.92900000000000005</v>
      </c>
      <c r="FI184" s="24">
        <v>329</v>
      </c>
      <c r="FJ184" s="24">
        <v>146</v>
      </c>
      <c r="FK184" s="24">
        <v>159</v>
      </c>
      <c r="FN184" s="24">
        <v>2021</v>
      </c>
      <c r="FO184" s="24">
        <v>43</v>
      </c>
      <c r="FP184" s="24" t="s">
        <v>32</v>
      </c>
      <c r="FQ184" s="24">
        <v>32423</v>
      </c>
      <c r="FR184" s="24">
        <v>594.20000000000005</v>
      </c>
      <c r="FS184" s="24">
        <v>33394</v>
      </c>
      <c r="FT184" s="24">
        <v>482.75</v>
      </c>
      <c r="FW184" s="24">
        <v>2021</v>
      </c>
      <c r="FX184" s="24">
        <v>42</v>
      </c>
      <c r="FY184" s="24" t="s">
        <v>32</v>
      </c>
      <c r="FZ184" s="24">
        <v>1590</v>
      </c>
      <c r="GA184" s="24">
        <v>1554</v>
      </c>
      <c r="GB184" s="24"/>
      <c r="GC184" s="24"/>
      <c r="GD184" s="24">
        <v>2021</v>
      </c>
      <c r="GE184" s="24">
        <v>42</v>
      </c>
      <c r="GF184" s="24" t="s">
        <v>32</v>
      </c>
      <c r="GG184" s="24">
        <v>1609</v>
      </c>
      <c r="GH184" s="24">
        <v>1590</v>
      </c>
      <c r="GK184" s="24"/>
      <c r="GL184" s="24"/>
      <c r="GM184" s="24"/>
      <c r="GN184" s="24"/>
      <c r="GO184" s="24"/>
      <c r="GP184" s="24">
        <v>2021</v>
      </c>
      <c r="GQ184" s="24">
        <v>42</v>
      </c>
      <c r="GR184" s="24">
        <v>0.28800000000000003</v>
      </c>
      <c r="GS184" s="24" t="s">
        <v>32</v>
      </c>
      <c r="GX184">
        <v>2021</v>
      </c>
      <c r="GY184">
        <v>42</v>
      </c>
      <c r="GZ184" t="s">
        <v>32</v>
      </c>
      <c r="HA184">
        <v>12779</v>
      </c>
      <c r="HB184">
        <v>12651</v>
      </c>
      <c r="HC184">
        <v>0</v>
      </c>
      <c r="HD184">
        <v>2</v>
      </c>
      <c r="HE184">
        <v>0</v>
      </c>
      <c r="HF184">
        <v>7</v>
      </c>
      <c r="HG184">
        <v>0</v>
      </c>
      <c r="HH184">
        <v>0</v>
      </c>
      <c r="HI184">
        <v>24</v>
      </c>
      <c r="HL184">
        <v>2021</v>
      </c>
      <c r="HM184">
        <v>42</v>
      </c>
      <c r="HN184" t="s">
        <v>32</v>
      </c>
      <c r="HO184">
        <v>12853</v>
      </c>
      <c r="HP184">
        <v>12810</v>
      </c>
      <c r="HQ184">
        <v>0</v>
      </c>
      <c r="HR184">
        <v>0</v>
      </c>
      <c r="HS184">
        <v>0</v>
      </c>
      <c r="HT184">
        <v>14</v>
      </c>
      <c r="HU184">
        <v>0</v>
      </c>
      <c r="HV184">
        <v>0</v>
      </c>
      <c r="HW184">
        <v>0</v>
      </c>
      <c r="HZ184" s="24">
        <v>2021</v>
      </c>
      <c r="IA184" s="24">
        <v>42</v>
      </c>
      <c r="IB184" s="24" t="s">
        <v>32</v>
      </c>
      <c r="IC184" s="24">
        <v>1580</v>
      </c>
      <c r="ID184" s="24">
        <v>1550</v>
      </c>
      <c r="IG184" s="24">
        <v>2021</v>
      </c>
      <c r="IH184" s="24">
        <v>42</v>
      </c>
      <c r="II184" s="24" t="s">
        <v>32</v>
      </c>
      <c r="IJ184" s="24">
        <v>1594</v>
      </c>
      <c r="IK184" s="24">
        <v>1588</v>
      </c>
    </row>
    <row r="185" spans="9:245" x14ac:dyDescent="0.4">
      <c r="I185" s="305">
        <v>2021</v>
      </c>
      <c r="J185" s="306">
        <v>42</v>
      </c>
      <c r="K185" s="306" t="s">
        <v>32</v>
      </c>
      <c r="L185" s="306">
        <v>12938</v>
      </c>
      <c r="M185" s="306">
        <v>12716</v>
      </c>
      <c r="N185" s="306">
        <v>19</v>
      </c>
      <c r="O185" s="306">
        <v>99</v>
      </c>
      <c r="P185" s="306">
        <v>12</v>
      </c>
      <c r="Q185" s="306">
        <v>6</v>
      </c>
      <c r="R185" s="24"/>
      <c r="S185" s="24"/>
      <c r="T185" s="24"/>
      <c r="W185" s="24">
        <v>2021</v>
      </c>
      <c r="X185" s="24">
        <v>42</v>
      </c>
      <c r="Y185" s="24" t="s">
        <v>33</v>
      </c>
      <c r="Z185" s="24">
        <v>249562</v>
      </c>
      <c r="AA185" s="24">
        <v>159007</v>
      </c>
      <c r="AB185" s="24">
        <v>543</v>
      </c>
      <c r="AC185" s="24">
        <v>49</v>
      </c>
      <c r="AD185" s="297"/>
      <c r="AE185" s="297"/>
      <c r="AF185" s="297"/>
      <c r="AG185" s="297"/>
      <c r="AH185" s="297"/>
      <c r="AI185" s="24"/>
      <c r="AJ185" s="24"/>
      <c r="AK185" s="24">
        <v>2021</v>
      </c>
      <c r="AL185" s="24">
        <v>42</v>
      </c>
      <c r="AM185" s="24">
        <v>15599.73</v>
      </c>
      <c r="AN185" s="24">
        <v>1268.07</v>
      </c>
      <c r="AO185" s="24">
        <v>0</v>
      </c>
      <c r="AP185" s="24">
        <v>392</v>
      </c>
      <c r="AQ185" s="24">
        <v>0</v>
      </c>
      <c r="AR185" s="24">
        <v>4</v>
      </c>
      <c r="AS185" s="24" t="s">
        <v>33</v>
      </c>
      <c r="AT185" s="24"/>
      <c r="AU185" s="24">
        <v>2021</v>
      </c>
      <c r="AV185" s="24">
        <v>42</v>
      </c>
      <c r="AW185" s="24">
        <v>7.0000000000000007E-2</v>
      </c>
      <c r="AX185" s="24">
        <v>17900</v>
      </c>
      <c r="AY185" s="24">
        <v>260468</v>
      </c>
      <c r="AZ185" s="24" t="s">
        <v>33</v>
      </c>
      <c r="BA185" s="24"/>
      <c r="BB185" s="24"/>
      <c r="BC185" s="24">
        <v>2021</v>
      </c>
      <c r="BD185" s="24">
        <v>42</v>
      </c>
      <c r="BE185" s="24">
        <v>2284.35</v>
      </c>
      <c r="BF185" s="24" t="s">
        <v>33</v>
      </c>
      <c r="BG185" s="24"/>
      <c r="BI185" s="24">
        <v>2022</v>
      </c>
      <c r="BJ185" s="24">
        <v>26</v>
      </c>
      <c r="BK185" s="24" t="s">
        <v>33</v>
      </c>
      <c r="BL185" s="24" t="s">
        <v>273</v>
      </c>
      <c r="BM185" s="24">
        <v>94929</v>
      </c>
      <c r="BN185" s="24">
        <v>94380</v>
      </c>
      <c r="BO185" s="24">
        <v>97550</v>
      </c>
      <c r="BR185" s="24">
        <v>2021</v>
      </c>
      <c r="BS185" s="24">
        <v>42</v>
      </c>
      <c r="BT185" s="24">
        <v>13139</v>
      </c>
      <c r="BU185" s="24">
        <v>0</v>
      </c>
      <c r="BV185" s="24" t="s">
        <v>32</v>
      </c>
      <c r="BY185" s="24">
        <v>2021</v>
      </c>
      <c r="BZ185" s="24">
        <v>42</v>
      </c>
      <c r="CA185" s="24" t="s">
        <v>33</v>
      </c>
      <c r="CB185" s="24" t="s">
        <v>423</v>
      </c>
      <c r="CC185" s="24">
        <v>12</v>
      </c>
      <c r="CF185" s="24">
        <v>2021</v>
      </c>
      <c r="CG185" s="24">
        <v>42</v>
      </c>
      <c r="CH185" s="24" t="s">
        <v>33</v>
      </c>
      <c r="CI185" s="24">
        <v>127.52894511149228</v>
      </c>
      <c r="CJ185" s="24">
        <v>237918</v>
      </c>
      <c r="CK185" s="24">
        <v>1865.6</v>
      </c>
      <c r="CL185" s="24">
        <v>106.60523405823811</v>
      </c>
      <c r="CM185" s="24">
        <v>119293</v>
      </c>
      <c r="CN185" s="24">
        <v>231376</v>
      </c>
      <c r="CO185" s="24">
        <v>2170.4</v>
      </c>
      <c r="CP185" s="24">
        <v>56775</v>
      </c>
      <c r="CQ185" s="24">
        <v>742.3</v>
      </c>
      <c r="CR185" s="24">
        <v>1124.5999999999999</v>
      </c>
      <c r="CS185" s="24">
        <v>145090</v>
      </c>
      <c r="CT185" s="24">
        <v>145090</v>
      </c>
      <c r="CU185" s="24">
        <v>1280.2</v>
      </c>
      <c r="CV185" s="24">
        <v>53355</v>
      </c>
      <c r="CW185" s="24">
        <v>0</v>
      </c>
      <c r="CX185" s="24">
        <v>125955</v>
      </c>
      <c r="CY185" s="24">
        <v>650</v>
      </c>
      <c r="CZ185" s="24">
        <v>34468</v>
      </c>
      <c r="DA185" s="24">
        <v>1124.5999999999999</v>
      </c>
      <c r="DD185" s="24">
        <v>2021</v>
      </c>
      <c r="DE185" s="24">
        <v>42</v>
      </c>
      <c r="DF185" s="24" t="s">
        <v>33</v>
      </c>
      <c r="DG185" s="24">
        <v>37314</v>
      </c>
      <c r="DH185" s="24">
        <v>26583</v>
      </c>
      <c r="DJ185" s="24">
        <v>2021</v>
      </c>
      <c r="DK185" s="24">
        <v>41</v>
      </c>
      <c r="DL185" s="24" t="s">
        <v>32</v>
      </c>
      <c r="DM185" s="24">
        <v>15</v>
      </c>
      <c r="DP185" s="24">
        <v>2020</v>
      </c>
      <c r="DQ185" s="24">
        <v>43</v>
      </c>
      <c r="DR185" s="24" t="s">
        <v>33</v>
      </c>
      <c r="DS185" s="24">
        <v>9487</v>
      </c>
      <c r="DT185" s="24"/>
      <c r="DW185" s="24">
        <v>2022</v>
      </c>
      <c r="DX185" s="24">
        <v>13</v>
      </c>
      <c r="DY185" s="24" t="s">
        <v>32</v>
      </c>
      <c r="DZ185" s="24">
        <v>1</v>
      </c>
      <c r="EA185" s="24" t="s">
        <v>149</v>
      </c>
      <c r="EB185" s="24">
        <v>0</v>
      </c>
      <c r="EC185" s="24">
        <v>0</v>
      </c>
      <c r="ED185" s="24">
        <v>99</v>
      </c>
      <c r="EE185" s="24">
        <v>9</v>
      </c>
      <c r="EF185" s="24">
        <v>6.3</v>
      </c>
      <c r="EI185" s="24">
        <v>2023</v>
      </c>
      <c r="EJ185" s="24">
        <v>5</v>
      </c>
      <c r="EK185" s="24" t="s">
        <v>211</v>
      </c>
      <c r="EL185" s="24" t="s">
        <v>212</v>
      </c>
      <c r="EM185" s="24" t="s">
        <v>210</v>
      </c>
      <c r="EN185" s="24">
        <v>12</v>
      </c>
      <c r="EO185" s="24"/>
      <c r="EP185" s="24"/>
      <c r="EQ185" s="24"/>
      <c r="ER185" s="24"/>
      <c r="ES185" s="24">
        <v>2021</v>
      </c>
      <c r="ET185" s="24">
        <v>51</v>
      </c>
      <c r="EU185" s="24" t="s">
        <v>213</v>
      </c>
      <c r="EV185" s="24">
        <v>2</v>
      </c>
      <c r="EY185" s="24">
        <v>2021</v>
      </c>
      <c r="EZ185" s="24">
        <v>45</v>
      </c>
      <c r="FA185" s="24" t="s">
        <v>33</v>
      </c>
      <c r="FB185" s="24">
        <v>936</v>
      </c>
      <c r="FE185" s="24">
        <v>2021</v>
      </c>
      <c r="FF185" s="24">
        <v>42</v>
      </c>
      <c r="FG185" s="24" t="s">
        <v>33</v>
      </c>
      <c r="FH185" s="24">
        <v>0.96120000000000005</v>
      </c>
      <c r="FI185" s="24">
        <v>11850</v>
      </c>
      <c r="FJ185" s="24">
        <v>5347</v>
      </c>
      <c r="FK185" s="24">
        <v>5599</v>
      </c>
      <c r="FN185" s="24">
        <v>2021</v>
      </c>
      <c r="FO185" s="24">
        <v>43</v>
      </c>
      <c r="FP185" s="24" t="s">
        <v>33</v>
      </c>
      <c r="FQ185" s="24">
        <v>787215</v>
      </c>
      <c r="FR185" s="24">
        <v>7031.7666666666692</v>
      </c>
      <c r="FS185" s="24">
        <v>386114</v>
      </c>
      <c r="FT185" s="24">
        <v>2856.25</v>
      </c>
      <c r="FW185" s="24">
        <v>2021</v>
      </c>
      <c r="FX185" s="24">
        <v>42</v>
      </c>
      <c r="FY185" s="24" t="s">
        <v>33</v>
      </c>
      <c r="FZ185" s="24">
        <v>14490</v>
      </c>
      <c r="GA185" s="24">
        <v>13059</v>
      </c>
      <c r="GB185" s="24"/>
      <c r="GC185" s="24"/>
      <c r="GD185" s="24">
        <v>2021</v>
      </c>
      <c r="GE185" s="24">
        <v>42</v>
      </c>
      <c r="GF185" s="24" t="s">
        <v>33</v>
      </c>
      <c r="GG185" s="24">
        <v>14465</v>
      </c>
      <c r="GH185" s="24">
        <v>13191</v>
      </c>
      <c r="GK185" s="24"/>
      <c r="GL185" s="24"/>
      <c r="GM185" s="24"/>
      <c r="GN185" s="24"/>
      <c r="GO185" s="24"/>
      <c r="GP185" s="24">
        <v>2021</v>
      </c>
      <c r="GQ185" s="24">
        <v>42</v>
      </c>
      <c r="GR185" s="24">
        <v>25.480142857142901</v>
      </c>
      <c r="GS185" s="24" t="s">
        <v>33</v>
      </c>
      <c r="GX185">
        <v>2021</v>
      </c>
      <c r="GY185">
        <v>42</v>
      </c>
      <c r="GZ185" t="s">
        <v>33</v>
      </c>
      <c r="HA185">
        <v>255170</v>
      </c>
      <c r="HB185">
        <v>250926</v>
      </c>
      <c r="HC185">
        <v>220</v>
      </c>
      <c r="HD185">
        <v>100</v>
      </c>
      <c r="HE185">
        <v>0</v>
      </c>
      <c r="HF185">
        <v>1109</v>
      </c>
      <c r="HG185">
        <v>0</v>
      </c>
      <c r="HH185">
        <v>0</v>
      </c>
      <c r="HI185">
        <v>966</v>
      </c>
      <c r="HL185">
        <v>2021</v>
      </c>
      <c r="HM185">
        <v>42</v>
      </c>
      <c r="HN185" t="s">
        <v>33</v>
      </c>
      <c r="HO185">
        <v>249274</v>
      </c>
      <c r="HP185">
        <v>247218</v>
      </c>
      <c r="HQ185">
        <v>346</v>
      </c>
      <c r="HR185">
        <v>56</v>
      </c>
      <c r="HS185">
        <v>0</v>
      </c>
      <c r="HT185">
        <v>865</v>
      </c>
      <c r="HU185">
        <v>0</v>
      </c>
      <c r="HV185">
        <v>0</v>
      </c>
      <c r="HW185">
        <v>138</v>
      </c>
      <c r="HZ185" s="24">
        <v>2021</v>
      </c>
      <c r="IA185" s="24">
        <v>42</v>
      </c>
      <c r="IB185" s="24" t="s">
        <v>33</v>
      </c>
      <c r="IC185" s="24">
        <v>14255</v>
      </c>
      <c r="ID185" s="24">
        <v>13853</v>
      </c>
      <c r="IG185" s="24">
        <v>2021</v>
      </c>
      <c r="IH185" s="24">
        <v>42</v>
      </c>
      <c r="II185" s="24" t="s">
        <v>33</v>
      </c>
      <c r="IJ185" s="24">
        <v>13781</v>
      </c>
      <c r="IK185" s="24">
        <v>13675</v>
      </c>
    </row>
    <row r="186" spans="9:245" x14ac:dyDescent="0.4">
      <c r="I186" s="305">
        <v>2021</v>
      </c>
      <c r="J186" s="306">
        <v>42</v>
      </c>
      <c r="K186" s="306" t="s">
        <v>33</v>
      </c>
      <c r="L186" s="306">
        <v>250279</v>
      </c>
      <c r="M186" s="306">
        <v>158888</v>
      </c>
      <c r="N186" s="306">
        <v>1148</v>
      </c>
      <c r="O186" s="306">
        <v>16349</v>
      </c>
      <c r="P186" s="306">
        <v>628</v>
      </c>
      <c r="Q186" s="306">
        <v>53</v>
      </c>
      <c r="R186" s="24"/>
      <c r="S186" s="24"/>
      <c r="T186" s="24"/>
      <c r="W186" s="24">
        <v>2021</v>
      </c>
      <c r="X186" s="24">
        <v>41</v>
      </c>
      <c r="Y186" s="24" t="s">
        <v>32</v>
      </c>
      <c r="Z186" s="24">
        <v>13148</v>
      </c>
      <c r="AA186" s="24">
        <v>12889</v>
      </c>
      <c r="AB186" s="24">
        <v>9</v>
      </c>
      <c r="AC186" s="24">
        <v>5</v>
      </c>
      <c r="AD186" s="298"/>
      <c r="AE186" s="298"/>
      <c r="AF186" s="298"/>
      <c r="AG186" s="298"/>
      <c r="AH186" s="298"/>
      <c r="AI186" s="24"/>
      <c r="AJ186" s="24"/>
      <c r="AK186" s="24">
        <v>2021</v>
      </c>
      <c r="AL186" s="24">
        <v>41</v>
      </c>
      <c r="AM186" s="24">
        <v>682.08</v>
      </c>
      <c r="AN186" s="24">
        <v>50.93</v>
      </c>
      <c r="AO186" s="24">
        <v>0</v>
      </c>
      <c r="AP186" s="24">
        <v>17</v>
      </c>
      <c r="AQ186" s="24">
        <v>0</v>
      </c>
      <c r="AR186" s="24">
        <v>0</v>
      </c>
      <c r="AS186" s="24" t="s">
        <v>32</v>
      </c>
      <c r="AT186" s="24"/>
      <c r="AU186" s="24">
        <v>2021</v>
      </c>
      <c r="AV186" s="24">
        <v>41</v>
      </c>
      <c r="AW186" s="24">
        <v>0.15</v>
      </c>
      <c r="AX186" s="24">
        <v>2000</v>
      </c>
      <c r="AY186" s="24">
        <v>13642</v>
      </c>
      <c r="AZ186" s="24" t="s">
        <v>32</v>
      </c>
      <c r="BA186" s="24"/>
      <c r="BB186" s="24"/>
      <c r="BC186" s="24">
        <v>2021</v>
      </c>
      <c r="BD186" s="24">
        <v>41</v>
      </c>
      <c r="BE186" s="24">
        <v>189.352857142857</v>
      </c>
      <c r="BF186" s="24" t="s">
        <v>32</v>
      </c>
      <c r="BG186" s="24"/>
      <c r="BI186" s="24">
        <v>2022</v>
      </c>
      <c r="BJ186" s="24">
        <v>25</v>
      </c>
      <c r="BK186" s="24" t="s">
        <v>33</v>
      </c>
      <c r="BL186" s="24" t="s">
        <v>273</v>
      </c>
      <c r="BM186" s="24">
        <v>99198</v>
      </c>
      <c r="BN186" s="24">
        <v>98587</v>
      </c>
      <c r="BO186" s="24">
        <v>101703</v>
      </c>
      <c r="BR186" s="24">
        <v>2021</v>
      </c>
      <c r="BS186" s="24">
        <v>41</v>
      </c>
      <c r="BT186" s="24">
        <v>13563</v>
      </c>
      <c r="BU186" s="24">
        <v>0</v>
      </c>
      <c r="BV186" s="24" t="s">
        <v>32</v>
      </c>
      <c r="BY186" s="24">
        <v>2021</v>
      </c>
      <c r="BZ186" s="24">
        <v>41</v>
      </c>
      <c r="CA186" s="24" t="s">
        <v>33</v>
      </c>
      <c r="CB186" s="24" t="s">
        <v>108</v>
      </c>
      <c r="CC186" s="24">
        <v>1</v>
      </c>
      <c r="CF186" s="24">
        <v>2021</v>
      </c>
      <c r="CG186" s="24">
        <v>41</v>
      </c>
      <c r="CH186" s="24" t="s">
        <v>32</v>
      </c>
      <c r="CI186" s="24">
        <v>99.268292682926827</v>
      </c>
      <c r="CJ186" s="24">
        <v>6919</v>
      </c>
      <c r="CK186" s="24">
        <v>69.7</v>
      </c>
      <c r="CL186" s="24">
        <v>67.315078236130873</v>
      </c>
      <c r="CM186" s="24">
        <v>9645</v>
      </c>
      <c r="CN186" s="24">
        <v>18929</v>
      </c>
      <c r="CO186" s="24">
        <v>281.2</v>
      </c>
      <c r="CP186" s="24">
        <v>9593</v>
      </c>
      <c r="CQ186" s="24">
        <v>52.6</v>
      </c>
      <c r="CR186" s="24">
        <v>241.6</v>
      </c>
      <c r="CS186" s="24">
        <v>10894</v>
      </c>
      <c r="CT186" s="24">
        <v>10894</v>
      </c>
      <c r="CU186" s="24">
        <v>301</v>
      </c>
      <c r="CV186" s="24">
        <v>7631</v>
      </c>
      <c r="CW186" s="24">
        <v>0</v>
      </c>
      <c r="CX186" s="24">
        <v>3829</v>
      </c>
      <c r="CY186" s="24">
        <v>50.3</v>
      </c>
      <c r="CZ186" s="24">
        <v>7858</v>
      </c>
      <c r="DA186" s="24">
        <v>241.6</v>
      </c>
      <c r="DD186" s="24">
        <v>2021</v>
      </c>
      <c r="DE186" s="24">
        <v>41</v>
      </c>
      <c r="DF186" s="24" t="s">
        <v>32</v>
      </c>
      <c r="DG186" s="24">
        <v>3078</v>
      </c>
      <c r="DH186" s="24">
        <v>2631</v>
      </c>
      <c r="DJ186" s="24">
        <v>2021</v>
      </c>
      <c r="DK186" s="24">
        <v>41</v>
      </c>
      <c r="DL186" s="24" t="s">
        <v>33</v>
      </c>
      <c r="DM186" s="24">
        <v>1243</v>
      </c>
      <c r="DP186" s="24">
        <v>2020</v>
      </c>
      <c r="DQ186" s="24">
        <v>41</v>
      </c>
      <c r="DR186" s="24" t="s">
        <v>33</v>
      </c>
      <c r="DS186" s="24">
        <v>8577</v>
      </c>
      <c r="DT186" s="24"/>
      <c r="DW186" s="24">
        <v>2022</v>
      </c>
      <c r="DX186" s="24">
        <v>13</v>
      </c>
      <c r="DY186" s="24" t="s">
        <v>33</v>
      </c>
      <c r="DZ186" s="24">
        <v>10</v>
      </c>
      <c r="EA186" s="24" t="s">
        <v>562</v>
      </c>
      <c r="EB186" s="24">
        <v>175.2</v>
      </c>
      <c r="EC186" s="24">
        <v>16.899999999999999</v>
      </c>
      <c r="ED186" s="24">
        <v>15</v>
      </c>
      <c r="EE186" s="24">
        <v>8112</v>
      </c>
      <c r="EF186" s="24">
        <v>46.3</v>
      </c>
      <c r="EI186" s="24">
        <v>2023</v>
      </c>
      <c r="EJ186" s="24">
        <v>5</v>
      </c>
      <c r="EK186" s="24" t="s">
        <v>211</v>
      </c>
      <c r="EL186" s="24" t="s">
        <v>212</v>
      </c>
      <c r="EM186" s="24" t="s">
        <v>234</v>
      </c>
      <c r="EN186" s="24">
        <v>10</v>
      </c>
      <c r="EO186" s="24"/>
      <c r="EP186" s="24"/>
      <c r="EQ186" s="24"/>
      <c r="ER186" s="24"/>
      <c r="ES186" s="24">
        <v>2021</v>
      </c>
      <c r="ET186" s="24">
        <v>50</v>
      </c>
      <c r="EU186" s="24" t="s">
        <v>32</v>
      </c>
      <c r="EV186" s="24">
        <v>6004</v>
      </c>
      <c r="EY186" s="24">
        <v>2021</v>
      </c>
      <c r="EZ186" s="24">
        <v>44</v>
      </c>
      <c r="FA186" s="24" t="s">
        <v>32</v>
      </c>
      <c r="FB186" s="24">
        <v>957</v>
      </c>
      <c r="FE186" s="24">
        <v>2021</v>
      </c>
      <c r="FF186" s="24">
        <v>41</v>
      </c>
      <c r="FG186" s="24" t="s">
        <v>32</v>
      </c>
      <c r="FH186" s="24">
        <v>0.90870000000000006</v>
      </c>
      <c r="FI186" s="24">
        <v>404</v>
      </c>
      <c r="FJ186" s="24">
        <v>196</v>
      </c>
      <c r="FK186" s="24">
        <v>215</v>
      </c>
      <c r="FN186" s="24">
        <v>2021</v>
      </c>
      <c r="FO186" s="24">
        <v>42</v>
      </c>
      <c r="FP186" s="24" t="s">
        <v>32</v>
      </c>
      <c r="FQ186" s="24">
        <v>31889</v>
      </c>
      <c r="FR186" s="24">
        <v>578.96666666666704</v>
      </c>
      <c r="FS186" s="24">
        <v>24305</v>
      </c>
      <c r="FT186" s="24">
        <v>367.35</v>
      </c>
      <c r="FW186" s="24">
        <v>2021</v>
      </c>
      <c r="FX186" s="24">
        <v>41</v>
      </c>
      <c r="FY186" s="24" t="s">
        <v>32</v>
      </c>
      <c r="FZ186" s="24">
        <v>1785</v>
      </c>
      <c r="GA186" s="24">
        <v>1757</v>
      </c>
      <c r="GB186" s="24"/>
      <c r="GC186" s="24"/>
      <c r="GD186" s="24">
        <v>2021</v>
      </c>
      <c r="GE186" s="24">
        <v>41</v>
      </c>
      <c r="GF186" s="24" t="s">
        <v>32</v>
      </c>
      <c r="GG186" s="24">
        <v>1730</v>
      </c>
      <c r="GH186" s="24">
        <v>1715</v>
      </c>
      <c r="GK186" s="24"/>
      <c r="GL186" s="24"/>
      <c r="GM186" s="24"/>
      <c r="GN186" s="24"/>
      <c r="GO186" s="24"/>
      <c r="GP186" s="24">
        <v>2021</v>
      </c>
      <c r="GQ186" s="24">
        <v>41</v>
      </c>
      <c r="GR186" s="24">
        <v>0.28800000000000003</v>
      </c>
      <c r="GS186" s="24" t="s">
        <v>32</v>
      </c>
      <c r="GX186">
        <v>2021</v>
      </c>
      <c r="GY186">
        <v>41</v>
      </c>
      <c r="GZ186" t="s">
        <v>32</v>
      </c>
      <c r="HA186">
        <v>13259</v>
      </c>
      <c r="HB186">
        <v>13077</v>
      </c>
      <c r="HC186">
        <v>0</v>
      </c>
      <c r="HD186">
        <v>3</v>
      </c>
      <c r="HE186">
        <v>0</v>
      </c>
      <c r="HF186">
        <v>2</v>
      </c>
      <c r="HG186">
        <v>0</v>
      </c>
      <c r="HH186">
        <v>0</v>
      </c>
      <c r="HI186">
        <v>41</v>
      </c>
      <c r="HL186">
        <v>2021</v>
      </c>
      <c r="HM186">
        <v>41</v>
      </c>
      <c r="HN186" t="s">
        <v>32</v>
      </c>
      <c r="HO186">
        <v>13034</v>
      </c>
      <c r="HP186">
        <v>12985</v>
      </c>
      <c r="HQ186">
        <v>0</v>
      </c>
      <c r="HR186">
        <v>0</v>
      </c>
      <c r="HS186">
        <v>0</v>
      </c>
      <c r="HT186">
        <v>3</v>
      </c>
      <c r="HU186">
        <v>0</v>
      </c>
      <c r="HV186">
        <v>0</v>
      </c>
      <c r="HW186">
        <v>1</v>
      </c>
      <c r="HZ186" s="24">
        <v>2021</v>
      </c>
      <c r="IA186" s="24">
        <v>41</v>
      </c>
      <c r="IB186" s="24" t="s">
        <v>32</v>
      </c>
      <c r="IC186" s="24">
        <v>1759</v>
      </c>
      <c r="ID186" s="24">
        <v>1710</v>
      </c>
      <c r="IG186" s="24">
        <v>2021</v>
      </c>
      <c r="IH186" s="24">
        <v>41</v>
      </c>
      <c r="II186" s="24" t="s">
        <v>32</v>
      </c>
      <c r="IJ186" s="24">
        <v>1713</v>
      </c>
      <c r="IK186" s="24">
        <v>1707</v>
      </c>
    </row>
    <row r="187" spans="9:245" x14ac:dyDescent="0.4">
      <c r="I187" s="305">
        <v>2021</v>
      </c>
      <c r="J187" s="306">
        <v>41</v>
      </c>
      <c r="K187" s="306" t="s">
        <v>32</v>
      </c>
      <c r="L187" s="306">
        <v>13133</v>
      </c>
      <c r="M187" s="306">
        <v>12834</v>
      </c>
      <c r="N187" s="306">
        <v>22</v>
      </c>
      <c r="O187" s="306">
        <v>105</v>
      </c>
      <c r="P187" s="306">
        <v>8</v>
      </c>
      <c r="Q187" s="306">
        <v>3</v>
      </c>
      <c r="R187" s="24"/>
      <c r="S187" s="24"/>
      <c r="T187" s="24"/>
      <c r="W187" s="24">
        <v>2021</v>
      </c>
      <c r="X187" s="24">
        <v>41</v>
      </c>
      <c r="Y187" s="24" t="s">
        <v>33</v>
      </c>
      <c r="Z187" s="24">
        <v>242735</v>
      </c>
      <c r="AA187" s="24">
        <v>160952</v>
      </c>
      <c r="AB187" s="24">
        <v>559</v>
      </c>
      <c r="AC187" s="24">
        <v>186</v>
      </c>
      <c r="AD187" s="298"/>
      <c r="AE187" s="298"/>
      <c r="AF187" s="298"/>
      <c r="AG187" s="298"/>
      <c r="AH187" s="298"/>
      <c r="AI187" s="24"/>
      <c r="AJ187" s="24"/>
      <c r="AK187" s="24">
        <v>2021</v>
      </c>
      <c r="AL187" s="24">
        <v>41</v>
      </c>
      <c r="AM187" s="24">
        <v>15601.7</v>
      </c>
      <c r="AN187" s="24">
        <v>1258.7</v>
      </c>
      <c r="AO187" s="24">
        <v>0</v>
      </c>
      <c r="AP187" s="24">
        <v>394</v>
      </c>
      <c r="AQ187" s="24">
        <v>0</v>
      </c>
      <c r="AR187" s="24">
        <v>5</v>
      </c>
      <c r="AS187" s="24" t="s">
        <v>33</v>
      </c>
      <c r="AT187" s="24"/>
      <c r="AU187" s="24">
        <v>2021</v>
      </c>
      <c r="AV187" s="24">
        <v>41</v>
      </c>
      <c r="AW187" s="24">
        <v>0.08</v>
      </c>
      <c r="AX187" s="24">
        <v>18600</v>
      </c>
      <c r="AY187" s="24">
        <v>243768</v>
      </c>
      <c r="AZ187" s="24" t="s">
        <v>33</v>
      </c>
      <c r="BA187" s="24"/>
      <c r="BB187" s="24"/>
      <c r="BC187" s="24">
        <v>2021</v>
      </c>
      <c r="BD187" s="24">
        <v>41</v>
      </c>
      <c r="BE187" s="24">
        <v>2274.0517142857097</v>
      </c>
      <c r="BF187" s="24" t="s">
        <v>33</v>
      </c>
      <c r="BG187" s="24"/>
      <c r="BI187" s="24">
        <v>2022</v>
      </c>
      <c r="BJ187" s="24">
        <v>25</v>
      </c>
      <c r="BK187" s="24" t="s">
        <v>32</v>
      </c>
      <c r="BL187" s="24" t="s">
        <v>272</v>
      </c>
      <c r="BM187" s="24">
        <v>2778</v>
      </c>
      <c r="BN187" s="24">
        <v>2773</v>
      </c>
      <c r="BO187" s="24">
        <v>9949</v>
      </c>
      <c r="BR187" s="24">
        <v>2021</v>
      </c>
      <c r="BS187" s="24">
        <v>41</v>
      </c>
      <c r="BT187" s="24">
        <v>243059</v>
      </c>
      <c r="BU187" s="24">
        <v>0</v>
      </c>
      <c r="BV187" s="24" t="s">
        <v>33</v>
      </c>
      <c r="BY187" s="24">
        <v>2021</v>
      </c>
      <c r="BZ187" s="24">
        <v>41</v>
      </c>
      <c r="CA187" s="24" t="s">
        <v>33</v>
      </c>
      <c r="CB187" s="24" t="s">
        <v>423</v>
      </c>
      <c r="CC187" s="24">
        <v>6</v>
      </c>
      <c r="CF187" s="24">
        <v>2021</v>
      </c>
      <c r="CG187" s="24">
        <v>41</v>
      </c>
      <c r="CH187" s="24" t="s">
        <v>33</v>
      </c>
      <c r="CI187" s="24">
        <v>126.23367624327061</v>
      </c>
      <c r="CJ187" s="24">
        <v>236827</v>
      </c>
      <c r="CK187" s="24">
        <v>1876.1</v>
      </c>
      <c r="CL187" s="24">
        <v>104.84591294875868</v>
      </c>
      <c r="CM187" s="24">
        <v>117021</v>
      </c>
      <c r="CN187" s="24">
        <v>231007</v>
      </c>
      <c r="CO187" s="24">
        <v>2203.3000000000002</v>
      </c>
      <c r="CP187" s="24">
        <v>57162</v>
      </c>
      <c r="CQ187" s="24">
        <v>456.6</v>
      </c>
      <c r="CR187" s="24">
        <v>1357</v>
      </c>
      <c r="CS187" s="24">
        <v>129584</v>
      </c>
      <c r="CT187" s="24">
        <v>129584</v>
      </c>
      <c r="CU187" s="24">
        <v>1160</v>
      </c>
      <c r="CV187" s="24">
        <v>54723</v>
      </c>
      <c r="CW187" s="24">
        <v>0</v>
      </c>
      <c r="CX187" s="24">
        <v>112357</v>
      </c>
      <c r="CY187" s="24">
        <v>657.9</v>
      </c>
      <c r="CZ187" s="24">
        <v>43202</v>
      </c>
      <c r="DA187" s="24">
        <v>1357</v>
      </c>
      <c r="DD187" s="24">
        <v>2021</v>
      </c>
      <c r="DE187" s="24">
        <v>41</v>
      </c>
      <c r="DF187" s="24" t="s">
        <v>33</v>
      </c>
      <c r="DG187" s="24">
        <v>44571</v>
      </c>
      <c r="DH187" s="24">
        <v>27464</v>
      </c>
      <c r="DJ187" s="24">
        <v>2021</v>
      </c>
      <c r="DK187" s="24">
        <v>40</v>
      </c>
      <c r="DL187" s="24" t="s">
        <v>32</v>
      </c>
      <c r="DM187" s="24">
        <v>16</v>
      </c>
      <c r="DP187" s="24">
        <v>2020</v>
      </c>
      <c r="DQ187" s="24">
        <v>40</v>
      </c>
      <c r="DR187" s="24" t="s">
        <v>33</v>
      </c>
      <c r="DS187" s="24">
        <v>8432</v>
      </c>
      <c r="DT187" s="24"/>
      <c r="DW187" s="24">
        <v>2022</v>
      </c>
      <c r="DX187" s="24">
        <v>13</v>
      </c>
      <c r="DY187" s="24" t="s">
        <v>33</v>
      </c>
      <c r="DZ187" s="24">
        <v>49</v>
      </c>
      <c r="EA187" s="24" t="s">
        <v>149</v>
      </c>
      <c r="EB187" s="24">
        <v>327.2</v>
      </c>
      <c r="EC187" s="24">
        <v>1132.5</v>
      </c>
      <c r="ED187" s="24">
        <v>36634</v>
      </c>
      <c r="EE187" s="24">
        <v>49769</v>
      </c>
      <c r="EF187" s="24">
        <v>278.3</v>
      </c>
      <c r="EI187" s="24">
        <v>2023</v>
      </c>
      <c r="EJ187" s="24">
        <v>5</v>
      </c>
      <c r="EK187" s="24" t="s">
        <v>211</v>
      </c>
      <c r="EL187" s="24" t="s">
        <v>247</v>
      </c>
      <c r="EM187" s="24" t="s">
        <v>234</v>
      </c>
      <c r="EN187" s="24">
        <v>14</v>
      </c>
      <c r="EO187" s="24"/>
      <c r="EP187" s="24"/>
      <c r="EQ187" s="24"/>
      <c r="ER187" s="24"/>
      <c r="ES187" s="24">
        <v>2021</v>
      </c>
      <c r="ET187" s="24">
        <v>50</v>
      </c>
      <c r="EU187" s="24" t="s">
        <v>33</v>
      </c>
      <c r="EV187" s="24">
        <v>121622</v>
      </c>
      <c r="EY187" s="24">
        <v>2021</v>
      </c>
      <c r="EZ187" s="24">
        <v>44</v>
      </c>
      <c r="FA187" s="24" t="s">
        <v>33</v>
      </c>
      <c r="FB187" s="24">
        <v>759</v>
      </c>
      <c r="FE187" s="24">
        <v>2021</v>
      </c>
      <c r="FF187" s="24">
        <v>41</v>
      </c>
      <c r="FG187" s="24" t="s">
        <v>33</v>
      </c>
      <c r="FH187" s="24">
        <v>0.98380000000000001</v>
      </c>
      <c r="FI187" s="24">
        <v>11241</v>
      </c>
      <c r="FJ187" s="24">
        <v>5085</v>
      </c>
      <c r="FK187" s="24">
        <v>5185</v>
      </c>
      <c r="FN187" s="24">
        <v>2021</v>
      </c>
      <c r="FO187" s="24">
        <v>42</v>
      </c>
      <c r="FP187" s="24" t="s">
        <v>33</v>
      </c>
      <c r="FQ187" s="24">
        <v>798117</v>
      </c>
      <c r="FR187" s="24">
        <v>6794.0833333333294</v>
      </c>
      <c r="FS187" s="24">
        <v>358732</v>
      </c>
      <c r="FT187" s="24">
        <v>2733.7166666666699</v>
      </c>
      <c r="FW187" s="24">
        <v>2021</v>
      </c>
      <c r="FX187" s="24">
        <v>41</v>
      </c>
      <c r="FY187" s="24" t="s">
        <v>33</v>
      </c>
      <c r="FZ187" s="24">
        <v>14831</v>
      </c>
      <c r="GA187" s="24">
        <v>13789</v>
      </c>
      <c r="GB187" s="24"/>
      <c r="GC187" s="24"/>
      <c r="GD187" s="24">
        <v>2021</v>
      </c>
      <c r="GE187" s="24">
        <v>41</v>
      </c>
      <c r="GF187" s="24" t="s">
        <v>33</v>
      </c>
      <c r="GG187" s="24">
        <v>14824</v>
      </c>
      <c r="GH187" s="24">
        <v>13975</v>
      </c>
      <c r="GK187" s="24"/>
      <c r="GL187" s="24"/>
      <c r="GM187" s="24"/>
      <c r="GN187" s="24"/>
      <c r="GO187" s="24"/>
      <c r="GP187" s="24">
        <v>2021</v>
      </c>
      <c r="GQ187" s="24">
        <v>41</v>
      </c>
      <c r="GR187" s="24">
        <v>23.795999999999999</v>
      </c>
      <c r="GS187" s="24" t="s">
        <v>33</v>
      </c>
      <c r="GX187">
        <v>2021</v>
      </c>
      <c r="GY187">
        <v>41</v>
      </c>
      <c r="GZ187" t="s">
        <v>33</v>
      </c>
      <c r="HA187">
        <v>240931</v>
      </c>
      <c r="HB187">
        <v>234122</v>
      </c>
      <c r="HC187">
        <v>293</v>
      </c>
      <c r="HD187">
        <v>82</v>
      </c>
      <c r="HE187">
        <v>0</v>
      </c>
      <c r="HF187">
        <v>2814</v>
      </c>
      <c r="HG187">
        <v>0</v>
      </c>
      <c r="HH187">
        <v>0</v>
      </c>
      <c r="HI187">
        <v>1179</v>
      </c>
      <c r="HL187">
        <v>2021</v>
      </c>
      <c r="HM187">
        <v>41</v>
      </c>
      <c r="HN187" t="s">
        <v>33</v>
      </c>
      <c r="HO187">
        <v>242514</v>
      </c>
      <c r="HP187">
        <v>238895</v>
      </c>
      <c r="HQ187">
        <v>428</v>
      </c>
      <c r="HR187">
        <v>45</v>
      </c>
      <c r="HS187">
        <v>0</v>
      </c>
      <c r="HT187">
        <v>2415</v>
      </c>
      <c r="HU187">
        <v>0</v>
      </c>
      <c r="HV187">
        <v>0</v>
      </c>
      <c r="HW187">
        <v>94</v>
      </c>
      <c r="HZ187" s="24">
        <v>2021</v>
      </c>
      <c r="IA187" s="24">
        <v>41</v>
      </c>
      <c r="IB187" s="24" t="s">
        <v>33</v>
      </c>
      <c r="IC187" s="24">
        <v>14891</v>
      </c>
      <c r="ID187" s="24">
        <v>14388</v>
      </c>
      <c r="IG187" s="24">
        <v>2021</v>
      </c>
      <c r="IH187" s="24">
        <v>41</v>
      </c>
      <c r="II187" s="24" t="s">
        <v>33</v>
      </c>
      <c r="IJ187" s="24">
        <v>14130</v>
      </c>
      <c r="IK187" s="24">
        <v>14017</v>
      </c>
    </row>
    <row r="188" spans="9:245" x14ac:dyDescent="0.4">
      <c r="I188" s="305">
        <v>2021</v>
      </c>
      <c r="J188" s="306">
        <v>41</v>
      </c>
      <c r="K188" s="306" t="s">
        <v>33</v>
      </c>
      <c r="L188" s="306">
        <v>243162</v>
      </c>
      <c r="M188" s="306">
        <v>160391</v>
      </c>
      <c r="N188" s="306">
        <v>1250</v>
      </c>
      <c r="O188" s="306">
        <v>15027</v>
      </c>
      <c r="P188" s="306">
        <v>703</v>
      </c>
      <c r="Q188" s="306">
        <v>198</v>
      </c>
      <c r="R188" s="24"/>
      <c r="S188" s="24"/>
      <c r="T188" s="24"/>
      <c r="W188" s="24">
        <v>2021</v>
      </c>
      <c r="X188" s="24">
        <v>40</v>
      </c>
      <c r="Y188" s="24" t="s">
        <v>32</v>
      </c>
      <c r="Z188" s="24">
        <v>13139</v>
      </c>
      <c r="AA188" s="24">
        <v>12891</v>
      </c>
      <c r="AB188" s="24">
        <v>42</v>
      </c>
      <c r="AC188" s="24">
        <v>8</v>
      </c>
      <c r="AD188" s="298"/>
      <c r="AE188" s="298"/>
      <c r="AF188" s="298"/>
      <c r="AG188" s="298"/>
      <c r="AH188" s="298"/>
      <c r="AI188" s="24"/>
      <c r="AJ188" s="24"/>
      <c r="AK188" s="24">
        <v>2021</v>
      </c>
      <c r="AL188" s="24">
        <v>40</v>
      </c>
      <c r="AM188" s="24">
        <v>683.08</v>
      </c>
      <c r="AN188" s="24">
        <v>39.22</v>
      </c>
      <c r="AO188" s="24">
        <v>0</v>
      </c>
      <c r="AP188" s="24">
        <v>17</v>
      </c>
      <c r="AQ188" s="24">
        <v>0</v>
      </c>
      <c r="AR188" s="24">
        <v>0</v>
      </c>
      <c r="AS188" s="24" t="s">
        <v>32</v>
      </c>
      <c r="AT188" s="24"/>
      <c r="AU188" s="24">
        <v>2021</v>
      </c>
      <c r="AV188" s="24">
        <v>40</v>
      </c>
      <c r="AW188" s="24">
        <v>0.15</v>
      </c>
      <c r="AX188" s="24">
        <v>2000</v>
      </c>
      <c r="AY188" s="24">
        <v>13379</v>
      </c>
      <c r="AZ188" s="24" t="s">
        <v>32</v>
      </c>
      <c r="BA188" s="24"/>
      <c r="BB188" s="24"/>
      <c r="BC188" s="24">
        <v>2021</v>
      </c>
      <c r="BD188" s="24">
        <v>40</v>
      </c>
      <c r="BE188" s="24">
        <v>184.86500000000001</v>
      </c>
      <c r="BF188" s="24" t="s">
        <v>32</v>
      </c>
      <c r="BG188" s="24"/>
      <c r="BI188" s="24">
        <v>2022</v>
      </c>
      <c r="BJ188" s="24">
        <v>25</v>
      </c>
      <c r="BK188" s="24" t="s">
        <v>33</v>
      </c>
      <c r="BL188" s="24" t="s">
        <v>272</v>
      </c>
      <c r="BM188" s="24">
        <v>55987</v>
      </c>
      <c r="BN188" s="24">
        <v>55937</v>
      </c>
      <c r="BO188" s="24">
        <v>209835</v>
      </c>
      <c r="BR188" s="24">
        <v>2021</v>
      </c>
      <c r="BS188" s="24">
        <v>40</v>
      </c>
      <c r="BT188" s="24">
        <v>276773</v>
      </c>
      <c r="BU188" s="24">
        <v>3</v>
      </c>
      <c r="BV188" s="24" t="s">
        <v>33</v>
      </c>
      <c r="BY188" s="24">
        <v>2021</v>
      </c>
      <c r="BZ188" s="24">
        <v>39</v>
      </c>
      <c r="CA188" s="24" t="s">
        <v>32</v>
      </c>
      <c r="CB188" s="24" t="s">
        <v>108</v>
      </c>
      <c r="CC188" s="24">
        <v>1</v>
      </c>
      <c r="CF188" s="24">
        <v>2021</v>
      </c>
      <c r="CG188" s="24">
        <v>40</v>
      </c>
      <c r="CH188" s="24" t="s">
        <v>32</v>
      </c>
      <c r="CI188" s="24">
        <v>98.739336492890999</v>
      </c>
      <c r="CJ188" s="24">
        <v>10417</v>
      </c>
      <c r="CK188" s="24">
        <v>105.5</v>
      </c>
      <c r="CL188" s="24">
        <v>80.351916376306619</v>
      </c>
      <c r="CM188" s="24">
        <v>10962</v>
      </c>
      <c r="CN188" s="24">
        <v>23061</v>
      </c>
      <c r="CO188" s="24">
        <v>287</v>
      </c>
      <c r="CP188" s="24">
        <v>8721</v>
      </c>
      <c r="CQ188" s="24">
        <v>53.1</v>
      </c>
      <c r="CR188" s="24">
        <v>217.3</v>
      </c>
      <c r="CS188" s="24">
        <v>9816</v>
      </c>
      <c r="CT188" s="24">
        <v>9816</v>
      </c>
      <c r="CU188" s="24">
        <v>269.89999999999998</v>
      </c>
      <c r="CV188" s="24">
        <v>1789</v>
      </c>
      <c r="CW188" s="24">
        <v>0</v>
      </c>
      <c r="CX188" s="24">
        <v>5621</v>
      </c>
      <c r="CY188" s="24">
        <v>49.5</v>
      </c>
      <c r="CZ188" s="24">
        <v>6917</v>
      </c>
      <c r="DA188" s="24">
        <v>217.3</v>
      </c>
      <c r="DD188" s="24">
        <v>2021</v>
      </c>
      <c r="DE188" s="24">
        <v>40</v>
      </c>
      <c r="DF188" s="24" t="s">
        <v>32</v>
      </c>
      <c r="DG188" s="24">
        <v>2216</v>
      </c>
      <c r="DH188" s="24">
        <v>2002</v>
      </c>
      <c r="DJ188" s="24">
        <v>2021</v>
      </c>
      <c r="DK188" s="24">
        <v>40</v>
      </c>
      <c r="DL188" s="24" t="s">
        <v>33</v>
      </c>
      <c r="DM188" s="24">
        <v>289</v>
      </c>
      <c r="DP188" s="24">
        <v>2020</v>
      </c>
      <c r="DQ188" s="24">
        <v>39</v>
      </c>
      <c r="DR188" s="24" t="s">
        <v>33</v>
      </c>
      <c r="DS188" s="24">
        <v>8546</v>
      </c>
      <c r="DT188" s="24"/>
      <c r="DW188" s="24">
        <v>2022</v>
      </c>
      <c r="DX188" s="24">
        <v>12</v>
      </c>
      <c r="DY188" s="24" t="s">
        <v>32</v>
      </c>
      <c r="DZ188" s="24">
        <v>1</v>
      </c>
      <c r="EA188" s="24" t="s">
        <v>149</v>
      </c>
      <c r="EB188" s="24">
        <v>0</v>
      </c>
      <c r="EC188" s="24">
        <v>0</v>
      </c>
      <c r="ED188" s="24">
        <v>219</v>
      </c>
      <c r="EE188" s="24">
        <v>11</v>
      </c>
      <c r="EF188" s="24">
        <v>5.0999999999999996</v>
      </c>
      <c r="EI188" s="24">
        <v>2023</v>
      </c>
      <c r="EJ188" s="24">
        <v>5</v>
      </c>
      <c r="EK188" s="24" t="s">
        <v>213</v>
      </c>
      <c r="EL188" s="24" t="s">
        <v>214</v>
      </c>
      <c r="EM188" s="24" t="s">
        <v>215</v>
      </c>
      <c r="EN188" s="24">
        <v>18</v>
      </c>
      <c r="EO188" s="24"/>
      <c r="EP188" s="24"/>
      <c r="EQ188" s="24"/>
      <c r="ER188" s="24"/>
      <c r="ES188" s="24">
        <v>2021</v>
      </c>
      <c r="ET188" s="24">
        <v>50</v>
      </c>
      <c r="EU188" s="24" t="s">
        <v>213</v>
      </c>
      <c r="EV188" s="24">
        <v>1</v>
      </c>
      <c r="EY188" s="24">
        <v>2021</v>
      </c>
      <c r="EZ188" s="24">
        <v>43</v>
      </c>
      <c r="FA188" s="24" t="s">
        <v>32</v>
      </c>
      <c r="FB188" s="24">
        <v>624</v>
      </c>
      <c r="FE188" s="24">
        <v>2021</v>
      </c>
      <c r="FF188" s="24">
        <v>40</v>
      </c>
      <c r="FG188" s="24" t="s">
        <v>32</v>
      </c>
      <c r="FH188" s="24">
        <v>0.88730000000000009</v>
      </c>
      <c r="FI188" s="24">
        <v>406</v>
      </c>
      <c r="FJ188" s="24">
        <v>193</v>
      </c>
      <c r="FK188" s="24">
        <v>217</v>
      </c>
      <c r="FN188" s="24">
        <v>2021</v>
      </c>
      <c r="FO188" s="24">
        <v>41</v>
      </c>
      <c r="FP188" s="24" t="s">
        <v>32</v>
      </c>
      <c r="FQ188" s="24">
        <v>32477</v>
      </c>
      <c r="FR188" s="24">
        <v>625.56666666666695</v>
      </c>
      <c r="FS188" s="24">
        <v>32430</v>
      </c>
      <c r="FT188" s="24">
        <v>427.11666666666702</v>
      </c>
      <c r="FW188" s="24">
        <v>2021</v>
      </c>
      <c r="FX188" s="24">
        <v>40</v>
      </c>
      <c r="FY188" s="24" t="s">
        <v>32</v>
      </c>
      <c r="FZ188" s="24">
        <v>2030</v>
      </c>
      <c r="GA188" s="24">
        <v>1968</v>
      </c>
      <c r="GB188" s="24"/>
      <c r="GC188" s="24"/>
      <c r="GD188" s="24">
        <v>2021</v>
      </c>
      <c r="GE188" s="24">
        <v>40</v>
      </c>
      <c r="GF188" s="24" t="s">
        <v>32</v>
      </c>
      <c r="GG188" s="24">
        <v>2071</v>
      </c>
      <c r="GH188" s="24">
        <v>2023</v>
      </c>
      <c r="GK188" s="24"/>
      <c r="GL188" s="24"/>
      <c r="GM188" s="24"/>
      <c r="GN188" s="24"/>
      <c r="GO188" s="24"/>
      <c r="GP188" s="24">
        <v>2021</v>
      </c>
      <c r="GQ188" s="24">
        <v>40</v>
      </c>
      <c r="GR188" s="24">
        <v>0.28800000000000003</v>
      </c>
      <c r="GS188" s="24" t="s">
        <v>32</v>
      </c>
      <c r="GX188">
        <v>2021</v>
      </c>
      <c r="GY188">
        <v>40</v>
      </c>
      <c r="GZ188" t="s">
        <v>32</v>
      </c>
      <c r="HA188">
        <v>12974</v>
      </c>
      <c r="HB188">
        <v>12794</v>
      </c>
      <c r="HC188">
        <v>0</v>
      </c>
      <c r="HD188">
        <v>2</v>
      </c>
      <c r="HE188">
        <v>0</v>
      </c>
      <c r="HF188">
        <v>8</v>
      </c>
      <c r="HG188">
        <v>0</v>
      </c>
      <c r="HH188">
        <v>0</v>
      </c>
      <c r="HI188">
        <v>25</v>
      </c>
      <c r="HL188">
        <v>2021</v>
      </c>
      <c r="HM188">
        <v>40</v>
      </c>
      <c r="HN188" t="s">
        <v>32</v>
      </c>
      <c r="HO188">
        <v>13107</v>
      </c>
      <c r="HP188">
        <v>13018</v>
      </c>
      <c r="HQ188">
        <v>0</v>
      </c>
      <c r="HR188">
        <v>0</v>
      </c>
      <c r="HS188">
        <v>0</v>
      </c>
      <c r="HT188">
        <v>37</v>
      </c>
      <c r="HU188">
        <v>0</v>
      </c>
      <c r="HV188">
        <v>0</v>
      </c>
      <c r="HW188">
        <v>5</v>
      </c>
      <c r="HZ188" s="24">
        <v>2021</v>
      </c>
      <c r="IA188" s="24">
        <v>40</v>
      </c>
      <c r="IB188" s="24" t="s">
        <v>32</v>
      </c>
      <c r="IC188" s="24">
        <v>1981</v>
      </c>
      <c r="ID188" s="24">
        <v>1928</v>
      </c>
      <c r="IG188" s="24">
        <v>2021</v>
      </c>
      <c r="IH188" s="24">
        <v>40</v>
      </c>
      <c r="II188" s="24" t="s">
        <v>32</v>
      </c>
      <c r="IJ188" s="24">
        <v>2040</v>
      </c>
      <c r="IK188" s="24">
        <v>2010</v>
      </c>
    </row>
    <row r="189" spans="9:245" x14ac:dyDescent="0.4">
      <c r="I189" s="305">
        <v>2021</v>
      </c>
      <c r="J189" s="306">
        <v>40</v>
      </c>
      <c r="K189" s="306" t="s">
        <v>32</v>
      </c>
      <c r="L189" s="306">
        <v>13152</v>
      </c>
      <c r="M189" s="306">
        <v>12861</v>
      </c>
      <c r="N189" s="306">
        <v>17</v>
      </c>
      <c r="O189" s="306">
        <v>117</v>
      </c>
      <c r="P189" s="306">
        <v>56</v>
      </c>
      <c r="Q189" s="306">
        <v>13</v>
      </c>
      <c r="R189" s="24"/>
      <c r="S189" s="24"/>
      <c r="T189" s="24"/>
      <c r="W189" s="24">
        <v>2021</v>
      </c>
      <c r="X189" s="24">
        <v>40</v>
      </c>
      <c r="Y189" s="24" t="s">
        <v>33</v>
      </c>
      <c r="Z189" s="24">
        <v>277365</v>
      </c>
      <c r="AA189" s="24">
        <v>182594</v>
      </c>
      <c r="AB189" s="24">
        <v>603</v>
      </c>
      <c r="AC189" s="24">
        <v>190</v>
      </c>
      <c r="AD189" s="298"/>
      <c r="AE189" s="298"/>
      <c r="AF189" s="298"/>
      <c r="AG189" s="298"/>
      <c r="AH189" s="298"/>
      <c r="AI189" s="24"/>
      <c r="AJ189" s="24"/>
      <c r="AK189" s="24">
        <v>2021</v>
      </c>
      <c r="AL189" s="24">
        <v>40</v>
      </c>
      <c r="AM189" s="24">
        <v>16033.630000000001</v>
      </c>
      <c r="AN189" s="24">
        <v>1499.07</v>
      </c>
      <c r="AO189" s="24">
        <v>0</v>
      </c>
      <c r="AP189" s="24">
        <v>398</v>
      </c>
      <c r="AQ189" s="24">
        <v>0</v>
      </c>
      <c r="AR189" s="24">
        <v>3</v>
      </c>
      <c r="AS189" s="24" t="s">
        <v>33</v>
      </c>
      <c r="AT189" s="24"/>
      <c r="AU189" s="24">
        <v>2021</v>
      </c>
      <c r="AV189" s="24">
        <v>40</v>
      </c>
      <c r="AW189" s="24">
        <v>0.33</v>
      </c>
      <c r="AX189" s="24">
        <v>93100</v>
      </c>
      <c r="AY189" s="24">
        <v>278648</v>
      </c>
      <c r="AZ189" s="24" t="s">
        <v>33</v>
      </c>
      <c r="BA189" s="24"/>
      <c r="BB189" s="24"/>
      <c r="BC189" s="24">
        <v>2021</v>
      </c>
      <c r="BD189" s="24">
        <v>40</v>
      </c>
      <c r="BE189" s="24">
        <v>2300.3022857142901</v>
      </c>
      <c r="BF189" s="24" t="s">
        <v>33</v>
      </c>
      <c r="BG189" s="24"/>
      <c r="BI189" s="24">
        <v>2022</v>
      </c>
      <c r="BJ189" s="24">
        <v>25</v>
      </c>
      <c r="BK189" s="24" t="s">
        <v>32</v>
      </c>
      <c r="BL189" s="24" t="s">
        <v>273</v>
      </c>
      <c r="BM189" s="24">
        <v>6068</v>
      </c>
      <c r="BN189" s="24">
        <v>5998</v>
      </c>
      <c r="BO189" s="24">
        <v>6199</v>
      </c>
      <c r="BR189" s="24">
        <v>2021</v>
      </c>
      <c r="BS189" s="24">
        <v>40</v>
      </c>
      <c r="BT189" s="24">
        <v>13284</v>
      </c>
      <c r="BU189" s="24">
        <v>0</v>
      </c>
      <c r="BV189" s="24" t="s">
        <v>32</v>
      </c>
      <c r="BY189" s="24">
        <v>2021</v>
      </c>
      <c r="BZ189" s="24">
        <v>39</v>
      </c>
      <c r="CA189" s="24" t="s">
        <v>32</v>
      </c>
      <c r="CB189" s="24" t="s">
        <v>423</v>
      </c>
      <c r="CC189" s="24">
        <v>16</v>
      </c>
      <c r="CF189" s="24">
        <v>2021</v>
      </c>
      <c r="CG189" s="24">
        <v>40</v>
      </c>
      <c r="CH189" s="24" t="s">
        <v>33</v>
      </c>
      <c r="CI189" s="24">
        <v>124.60176991150442</v>
      </c>
      <c r="CJ189" s="24">
        <v>254848</v>
      </c>
      <c r="CK189" s="24">
        <v>2045.3</v>
      </c>
      <c r="CL189" s="24">
        <v>107.27167381974249</v>
      </c>
      <c r="CM189" s="24">
        <v>130846</v>
      </c>
      <c r="CN189" s="24">
        <v>249943</v>
      </c>
      <c r="CO189" s="24">
        <v>2330</v>
      </c>
      <c r="CP189" s="24">
        <v>56607</v>
      </c>
      <c r="CQ189" s="24">
        <v>391.9</v>
      </c>
      <c r="CR189" s="24">
        <v>1301.5</v>
      </c>
      <c r="CS189" s="24">
        <v>141428</v>
      </c>
      <c r="CT189" s="24">
        <v>141428</v>
      </c>
      <c r="CU189" s="24">
        <v>1268.5</v>
      </c>
      <c r="CV189" s="24">
        <v>51967</v>
      </c>
      <c r="CW189" s="24">
        <v>0</v>
      </c>
      <c r="CX189" s="24">
        <v>135850</v>
      </c>
      <c r="CY189" s="24">
        <v>738.2</v>
      </c>
      <c r="CZ189" s="24">
        <v>42118</v>
      </c>
      <c r="DA189" s="24">
        <v>1301.5</v>
      </c>
      <c r="DD189" s="24">
        <v>2021</v>
      </c>
      <c r="DE189" s="24">
        <v>40</v>
      </c>
      <c r="DF189" s="24" t="s">
        <v>33</v>
      </c>
      <c r="DG189" s="24">
        <v>41729</v>
      </c>
      <c r="DH189" s="24">
        <v>27194</v>
      </c>
      <c r="DJ189" s="24">
        <v>2021</v>
      </c>
      <c r="DK189" s="24">
        <v>39</v>
      </c>
      <c r="DL189" s="24" t="s">
        <v>32</v>
      </c>
      <c r="DM189" s="24">
        <v>49</v>
      </c>
      <c r="DP189" s="24">
        <v>2020</v>
      </c>
      <c r="DQ189" s="24">
        <v>38</v>
      </c>
      <c r="DR189" s="24" t="s">
        <v>33</v>
      </c>
      <c r="DS189" s="24">
        <v>7802</v>
      </c>
      <c r="DT189" s="24"/>
      <c r="DW189" s="24">
        <v>2022</v>
      </c>
      <c r="DX189" s="24">
        <v>12</v>
      </c>
      <c r="DY189" s="24" t="s">
        <v>33</v>
      </c>
      <c r="DZ189" s="24">
        <v>9</v>
      </c>
      <c r="EA189" s="24" t="s">
        <v>562</v>
      </c>
      <c r="EB189" s="24">
        <v>138.69999999999999</v>
      </c>
      <c r="EC189" s="24">
        <v>28.8</v>
      </c>
      <c r="ED189" s="24">
        <v>17</v>
      </c>
      <c r="EE189" s="24">
        <v>6756</v>
      </c>
      <c r="EF189" s="24">
        <v>49.4</v>
      </c>
      <c r="EI189" s="24">
        <v>2023</v>
      </c>
      <c r="EJ189" s="24">
        <v>5</v>
      </c>
      <c r="EK189" s="24" t="s">
        <v>213</v>
      </c>
      <c r="EL189" s="24" t="s">
        <v>235</v>
      </c>
      <c r="EM189" s="24" t="s">
        <v>234</v>
      </c>
      <c r="EN189" s="24">
        <v>1</v>
      </c>
      <c r="EO189" s="24"/>
      <c r="EP189" s="24"/>
      <c r="EQ189" s="24"/>
      <c r="ER189" s="24"/>
      <c r="ES189" s="24">
        <v>2021</v>
      </c>
      <c r="ET189" s="24">
        <v>49</v>
      </c>
      <c r="EU189" s="24" t="s">
        <v>32</v>
      </c>
      <c r="EV189" s="24">
        <v>6414</v>
      </c>
      <c r="EY189" s="24">
        <v>2021</v>
      </c>
      <c r="EZ189" s="24">
        <v>43</v>
      </c>
      <c r="FA189" s="24" t="s">
        <v>33</v>
      </c>
      <c r="FB189" s="24">
        <v>799</v>
      </c>
      <c r="FE189" s="24">
        <v>2021</v>
      </c>
      <c r="FF189" s="24">
        <v>40</v>
      </c>
      <c r="FG189" s="24" t="s">
        <v>33</v>
      </c>
      <c r="FH189" s="24">
        <v>0.85620000000000007</v>
      </c>
      <c r="FI189" s="24">
        <v>14142</v>
      </c>
      <c r="FJ189" s="24">
        <v>6147</v>
      </c>
      <c r="FK189" s="24">
        <v>7297</v>
      </c>
      <c r="FN189" s="24">
        <v>2021</v>
      </c>
      <c r="FO189" s="24">
        <v>41</v>
      </c>
      <c r="FP189" s="24" t="s">
        <v>33</v>
      </c>
      <c r="FQ189" s="24">
        <v>785495</v>
      </c>
      <c r="FR189" s="24">
        <v>6789.4166666666697</v>
      </c>
      <c r="FS189" s="24">
        <v>327214</v>
      </c>
      <c r="FT189" s="24">
        <v>2397.1666666666697</v>
      </c>
      <c r="FW189" s="24">
        <v>2021</v>
      </c>
      <c r="FX189" s="24">
        <v>40</v>
      </c>
      <c r="FY189" s="24" t="s">
        <v>33</v>
      </c>
      <c r="FZ189" s="24">
        <v>16092</v>
      </c>
      <c r="GA189" s="24">
        <v>14907</v>
      </c>
      <c r="GB189" s="24"/>
      <c r="GC189" s="24"/>
      <c r="GD189" s="24">
        <v>2021</v>
      </c>
      <c r="GE189" s="24">
        <v>40</v>
      </c>
      <c r="GF189" s="24" t="s">
        <v>33</v>
      </c>
      <c r="GG189" s="24">
        <v>16083</v>
      </c>
      <c r="GH189" s="24">
        <v>15017</v>
      </c>
      <c r="GK189" s="24"/>
      <c r="GL189" s="24"/>
      <c r="GM189" s="24"/>
      <c r="GN189" s="24"/>
      <c r="GO189" s="24"/>
      <c r="GP189" s="24">
        <v>2021</v>
      </c>
      <c r="GQ189" s="24">
        <v>40</v>
      </c>
      <c r="GR189" s="24">
        <v>22.2581428571429</v>
      </c>
      <c r="GS189" s="24" t="s">
        <v>33</v>
      </c>
      <c r="GX189">
        <v>2021</v>
      </c>
      <c r="GY189">
        <v>40</v>
      </c>
      <c r="GZ189" t="s">
        <v>33</v>
      </c>
      <c r="HA189">
        <v>277065</v>
      </c>
      <c r="HB189">
        <v>262033</v>
      </c>
      <c r="HC189">
        <v>1235</v>
      </c>
      <c r="HD189">
        <v>324</v>
      </c>
      <c r="HE189">
        <v>1</v>
      </c>
      <c r="HF189">
        <v>6408</v>
      </c>
      <c r="HG189">
        <v>0</v>
      </c>
      <c r="HH189">
        <v>0</v>
      </c>
      <c r="HI189">
        <v>1276</v>
      </c>
      <c r="HL189">
        <v>2021</v>
      </c>
      <c r="HM189">
        <v>40</v>
      </c>
      <c r="HN189" t="s">
        <v>33</v>
      </c>
      <c r="HO189">
        <v>276838</v>
      </c>
      <c r="HP189">
        <v>266297</v>
      </c>
      <c r="HQ189">
        <v>1425</v>
      </c>
      <c r="HR189">
        <v>235</v>
      </c>
      <c r="HS189">
        <v>0</v>
      </c>
      <c r="HT189">
        <v>6155</v>
      </c>
      <c r="HU189">
        <v>0</v>
      </c>
      <c r="HV189">
        <v>0</v>
      </c>
      <c r="HW189">
        <v>810</v>
      </c>
      <c r="HZ189" s="24">
        <v>2021</v>
      </c>
      <c r="IA189" s="24">
        <v>40</v>
      </c>
      <c r="IB189" s="24" t="s">
        <v>33</v>
      </c>
      <c r="IC189" s="24">
        <v>15912</v>
      </c>
      <c r="ID189" s="24">
        <v>15220</v>
      </c>
      <c r="IG189" s="24">
        <v>2021</v>
      </c>
      <c r="IH189" s="24">
        <v>40</v>
      </c>
      <c r="II189" s="24" t="s">
        <v>33</v>
      </c>
      <c r="IJ189" s="24">
        <v>15164</v>
      </c>
      <c r="IK189" s="24">
        <v>14965</v>
      </c>
    </row>
    <row r="190" spans="9:245" x14ac:dyDescent="0.4">
      <c r="I190" s="305">
        <v>2021</v>
      </c>
      <c r="J190" s="306">
        <v>40</v>
      </c>
      <c r="K190" s="306" t="s">
        <v>33</v>
      </c>
      <c r="L190" s="306">
        <v>277759</v>
      </c>
      <c r="M190" s="306">
        <v>182215</v>
      </c>
      <c r="N190" s="306">
        <v>1247</v>
      </c>
      <c r="O190" s="306">
        <v>17698</v>
      </c>
      <c r="P190" s="306">
        <v>685</v>
      </c>
      <c r="Q190" s="306">
        <v>187</v>
      </c>
      <c r="R190" s="24"/>
      <c r="S190" s="24"/>
      <c r="T190" s="24"/>
      <c r="W190" s="24">
        <v>2021</v>
      </c>
      <c r="X190" s="24">
        <v>39</v>
      </c>
      <c r="Y190" s="24" t="s">
        <v>32</v>
      </c>
      <c r="Z190" s="24">
        <v>13589</v>
      </c>
      <c r="AA190" s="24">
        <v>13360</v>
      </c>
      <c r="AB190" s="24">
        <v>4</v>
      </c>
      <c r="AC190" s="24">
        <v>9</v>
      </c>
      <c r="AD190" s="298"/>
      <c r="AE190" s="298"/>
      <c r="AF190" s="298"/>
      <c r="AG190" s="298"/>
      <c r="AH190" s="298"/>
      <c r="AI190" s="24"/>
      <c r="AJ190" s="24"/>
      <c r="AK190" s="24">
        <v>2021</v>
      </c>
      <c r="AL190" s="24">
        <v>39</v>
      </c>
      <c r="AM190" s="24">
        <v>707.37</v>
      </c>
      <c r="AN190" s="24">
        <v>23.5</v>
      </c>
      <c r="AO190" s="24">
        <v>0</v>
      </c>
      <c r="AP190" s="24">
        <v>18</v>
      </c>
      <c r="AQ190" s="24">
        <v>0</v>
      </c>
      <c r="AR190" s="24">
        <v>0</v>
      </c>
      <c r="AS190" s="24" t="s">
        <v>32</v>
      </c>
      <c r="AT190" s="24"/>
      <c r="AU190" s="24">
        <v>2021</v>
      </c>
      <c r="AV190" s="24">
        <v>39</v>
      </c>
      <c r="AW190" s="24">
        <v>0.11</v>
      </c>
      <c r="AX190" s="24">
        <v>1500</v>
      </c>
      <c r="AY190" s="24">
        <v>14120</v>
      </c>
      <c r="AZ190" s="24" t="s">
        <v>32</v>
      </c>
      <c r="BA190" s="24"/>
      <c r="BB190" s="24"/>
      <c r="BC190" s="24">
        <v>2021</v>
      </c>
      <c r="BD190" s="24">
        <v>39</v>
      </c>
      <c r="BE190" s="24">
        <v>181.13285714285701</v>
      </c>
      <c r="BF190" s="24" t="s">
        <v>32</v>
      </c>
      <c r="BG190" s="24"/>
      <c r="BI190" s="24">
        <v>2022</v>
      </c>
      <c r="BJ190" s="24">
        <v>24</v>
      </c>
      <c r="BK190" s="24" t="s">
        <v>32</v>
      </c>
      <c r="BL190" s="24" t="s">
        <v>272</v>
      </c>
      <c r="BM190" s="24">
        <v>2940</v>
      </c>
      <c r="BN190" s="24">
        <v>2929</v>
      </c>
      <c r="BO190" s="24">
        <v>10061</v>
      </c>
      <c r="BR190" s="24">
        <v>2021</v>
      </c>
      <c r="BS190" s="24">
        <v>39</v>
      </c>
      <c r="BT190" s="24">
        <v>13894</v>
      </c>
      <c r="BU190" s="24">
        <v>3</v>
      </c>
      <c r="BV190" s="24" t="s">
        <v>32</v>
      </c>
      <c r="BY190" s="24">
        <v>2021</v>
      </c>
      <c r="BZ190" s="24">
        <v>38</v>
      </c>
      <c r="CA190" s="24" t="s">
        <v>32</v>
      </c>
      <c r="CB190" s="24" t="s">
        <v>108</v>
      </c>
      <c r="CC190" s="24">
        <v>4</v>
      </c>
      <c r="CF190" s="24">
        <v>2021</v>
      </c>
      <c r="CG190" s="24">
        <v>39</v>
      </c>
      <c r="CH190" s="24" t="s">
        <v>32</v>
      </c>
      <c r="CI190" s="24">
        <v>86.117850953206244</v>
      </c>
      <c r="CJ190" s="24">
        <v>4969</v>
      </c>
      <c r="CK190" s="24">
        <v>57.7</v>
      </c>
      <c r="CL190" s="24">
        <v>58.054312145628174</v>
      </c>
      <c r="CM190" s="24">
        <v>9982</v>
      </c>
      <c r="CN190" s="24">
        <v>19454</v>
      </c>
      <c r="CO190" s="24">
        <v>335.1</v>
      </c>
      <c r="CP190" s="24">
        <v>7230</v>
      </c>
      <c r="CQ190" s="24">
        <v>41.8</v>
      </c>
      <c r="CR190" s="24">
        <v>184</v>
      </c>
      <c r="CS190" s="24">
        <v>9268</v>
      </c>
      <c r="CT190" s="24">
        <v>9268</v>
      </c>
      <c r="CU190" s="24">
        <v>257.2</v>
      </c>
      <c r="CV190" s="24">
        <v>1808</v>
      </c>
      <c r="CW190" s="24">
        <v>0</v>
      </c>
      <c r="CX190" s="24">
        <v>4987</v>
      </c>
      <c r="CY190" s="24">
        <v>42.5</v>
      </c>
      <c r="CZ190" s="24">
        <v>5503</v>
      </c>
      <c r="DA190" s="24">
        <v>184</v>
      </c>
      <c r="DD190" s="24">
        <v>2021</v>
      </c>
      <c r="DE190" s="24">
        <v>39</v>
      </c>
      <c r="DF190" s="24" t="s">
        <v>32</v>
      </c>
      <c r="DG190" s="24">
        <v>1624</v>
      </c>
      <c r="DH190" s="24">
        <v>2055</v>
      </c>
      <c r="DJ190" s="24">
        <v>2021</v>
      </c>
      <c r="DK190" s="24">
        <v>39</v>
      </c>
      <c r="DL190" s="24" t="s">
        <v>33</v>
      </c>
      <c r="DM190" s="24">
        <v>617</v>
      </c>
      <c r="DP190" s="24">
        <v>2020</v>
      </c>
      <c r="DQ190" s="24">
        <v>37</v>
      </c>
      <c r="DR190" s="24" t="s">
        <v>33</v>
      </c>
      <c r="DS190" s="24">
        <v>6939</v>
      </c>
      <c r="DT190" s="24"/>
      <c r="DW190" s="24">
        <v>2022</v>
      </c>
      <c r="DX190" s="24">
        <v>12</v>
      </c>
      <c r="DY190" s="24" t="s">
        <v>33</v>
      </c>
      <c r="DZ190" s="24">
        <v>51</v>
      </c>
      <c r="EA190" s="24" t="s">
        <v>149</v>
      </c>
      <c r="EB190" s="24">
        <v>284.2</v>
      </c>
      <c r="EC190" s="24">
        <v>1248.5</v>
      </c>
      <c r="ED190" s="24">
        <v>39716</v>
      </c>
      <c r="EE190" s="24">
        <v>50741</v>
      </c>
      <c r="EF190" s="24">
        <v>302.60000000000002</v>
      </c>
      <c r="EI190" s="24">
        <v>2023</v>
      </c>
      <c r="EJ190" s="24">
        <v>4</v>
      </c>
      <c r="EK190" s="24" t="s">
        <v>208</v>
      </c>
      <c r="EL190" s="24" t="s">
        <v>352</v>
      </c>
      <c r="EM190" s="24" t="s">
        <v>234</v>
      </c>
      <c r="EN190" s="24">
        <v>1</v>
      </c>
      <c r="EO190" s="24"/>
      <c r="EP190" s="24"/>
      <c r="EQ190" s="24"/>
      <c r="ER190" s="24"/>
      <c r="ES190" s="24">
        <v>2021</v>
      </c>
      <c r="ET190" s="24">
        <v>49</v>
      </c>
      <c r="EU190" s="24" t="s">
        <v>33</v>
      </c>
      <c r="EV190" s="24">
        <v>127312</v>
      </c>
      <c r="EY190" s="24">
        <v>2021</v>
      </c>
      <c r="EZ190" s="24">
        <v>42</v>
      </c>
      <c r="FA190" s="24" t="s">
        <v>32</v>
      </c>
      <c r="FB190" s="24">
        <v>856</v>
      </c>
      <c r="FE190" s="24">
        <v>2021</v>
      </c>
      <c r="FF190" s="24">
        <v>39</v>
      </c>
      <c r="FG190" s="24" t="s">
        <v>32</v>
      </c>
      <c r="FH190" s="24">
        <v>0.94120000000000004</v>
      </c>
      <c r="FI190" s="24">
        <v>422</v>
      </c>
      <c r="FJ190" s="24">
        <v>201</v>
      </c>
      <c r="FK190" s="24">
        <v>214</v>
      </c>
      <c r="FN190" s="24">
        <v>2021</v>
      </c>
      <c r="FO190" s="24">
        <v>40</v>
      </c>
      <c r="FP190" s="24" t="s">
        <v>32</v>
      </c>
      <c r="FQ190" s="24">
        <v>32512</v>
      </c>
      <c r="FR190" s="24">
        <v>598.05000000000007</v>
      </c>
      <c r="FS190" s="24">
        <v>29498</v>
      </c>
      <c r="FT190" s="24">
        <v>418.15000000000003</v>
      </c>
      <c r="FW190" s="24">
        <v>2021</v>
      </c>
      <c r="FX190" s="24">
        <v>39</v>
      </c>
      <c r="FY190" s="24" t="s">
        <v>32</v>
      </c>
      <c r="FZ190" s="24">
        <v>1786</v>
      </c>
      <c r="GA190" s="24">
        <v>1737</v>
      </c>
      <c r="GB190" s="24"/>
      <c r="GC190" s="24"/>
      <c r="GD190" s="24">
        <v>2021</v>
      </c>
      <c r="GE190" s="24">
        <v>39</v>
      </c>
      <c r="GF190" s="24" t="s">
        <v>32</v>
      </c>
      <c r="GG190" s="24">
        <v>1790</v>
      </c>
      <c r="GH190" s="24">
        <v>1775</v>
      </c>
      <c r="GK190" s="24"/>
      <c r="GL190" s="24"/>
      <c r="GM190" s="24"/>
      <c r="GN190" s="24"/>
      <c r="GO190" s="24"/>
      <c r="GP190" s="24">
        <v>2021</v>
      </c>
      <c r="GQ190" s="24">
        <v>39</v>
      </c>
      <c r="GR190" s="24">
        <v>0.28800000000000003</v>
      </c>
      <c r="GS190" s="24" t="s">
        <v>32</v>
      </c>
      <c r="GX190">
        <v>2021</v>
      </c>
      <c r="GY190">
        <v>39</v>
      </c>
      <c r="GZ190" t="s">
        <v>32</v>
      </c>
      <c r="HA190">
        <v>13628</v>
      </c>
      <c r="HB190">
        <v>13413</v>
      </c>
      <c r="HC190">
        <v>3</v>
      </c>
      <c r="HD190">
        <v>2</v>
      </c>
      <c r="HE190">
        <v>0</v>
      </c>
      <c r="HF190">
        <v>18</v>
      </c>
      <c r="HG190">
        <v>0</v>
      </c>
      <c r="HH190">
        <v>0</v>
      </c>
      <c r="HI190">
        <v>23</v>
      </c>
      <c r="HL190">
        <v>2021</v>
      </c>
      <c r="HM190">
        <v>39</v>
      </c>
      <c r="HN190" t="s">
        <v>32</v>
      </c>
      <c r="HO190">
        <v>13560</v>
      </c>
      <c r="HP190">
        <v>13458</v>
      </c>
      <c r="HQ190">
        <v>3</v>
      </c>
      <c r="HR190">
        <v>2</v>
      </c>
      <c r="HS190">
        <v>0</v>
      </c>
      <c r="HT190">
        <v>20</v>
      </c>
      <c r="HU190">
        <v>0</v>
      </c>
      <c r="HV190">
        <v>0</v>
      </c>
      <c r="HW190">
        <v>3</v>
      </c>
      <c r="HZ190" s="24">
        <v>2021</v>
      </c>
      <c r="IA190" s="24">
        <v>39</v>
      </c>
      <c r="IB190" s="24" t="s">
        <v>32</v>
      </c>
      <c r="IC190" s="24">
        <v>1873</v>
      </c>
      <c r="ID190" s="24">
        <v>1809</v>
      </c>
      <c r="IG190" s="24">
        <v>2021</v>
      </c>
      <c r="IH190" s="24">
        <v>39</v>
      </c>
      <c r="II190" s="24" t="s">
        <v>32</v>
      </c>
      <c r="IJ190" s="24">
        <v>1775</v>
      </c>
      <c r="IK190" s="24">
        <v>1755</v>
      </c>
    </row>
    <row r="191" spans="9:245" x14ac:dyDescent="0.4">
      <c r="I191" s="305">
        <v>2021</v>
      </c>
      <c r="J191" s="306">
        <v>39</v>
      </c>
      <c r="K191" s="306" t="s">
        <v>32</v>
      </c>
      <c r="L191" s="306">
        <v>13593</v>
      </c>
      <c r="M191" s="306">
        <v>13311</v>
      </c>
      <c r="N191" s="306">
        <v>16</v>
      </c>
      <c r="O191" s="306">
        <v>103</v>
      </c>
      <c r="P191" s="306">
        <v>22</v>
      </c>
      <c r="Q191" s="306">
        <v>8</v>
      </c>
      <c r="R191" s="24"/>
      <c r="S191" s="24"/>
      <c r="T191" s="24"/>
      <c r="W191" s="24">
        <v>2021</v>
      </c>
      <c r="X191" s="24">
        <v>39</v>
      </c>
      <c r="Y191" s="24" t="s">
        <v>33</v>
      </c>
      <c r="Z191" s="24">
        <v>252982</v>
      </c>
      <c r="AA191" s="24">
        <v>178840</v>
      </c>
      <c r="AB191" s="24">
        <v>380</v>
      </c>
      <c r="AC191" s="24">
        <v>58</v>
      </c>
      <c r="AD191" s="298"/>
      <c r="AE191" s="298"/>
      <c r="AF191" s="298"/>
      <c r="AG191" s="298"/>
      <c r="AH191" s="298"/>
      <c r="AI191" s="24"/>
      <c r="AJ191" s="24"/>
      <c r="AK191" s="24">
        <v>2021</v>
      </c>
      <c r="AL191" s="24">
        <v>39</v>
      </c>
      <c r="AM191" s="24">
        <v>15079.45</v>
      </c>
      <c r="AN191" s="24">
        <v>861.33</v>
      </c>
      <c r="AO191" s="24">
        <v>0</v>
      </c>
      <c r="AP191" s="24">
        <v>401</v>
      </c>
      <c r="AQ191" s="24">
        <v>0</v>
      </c>
      <c r="AR191" s="24">
        <v>4</v>
      </c>
      <c r="AS191" s="24" t="s">
        <v>33</v>
      </c>
      <c r="AT191" s="24"/>
      <c r="AU191" s="24">
        <v>2021</v>
      </c>
      <c r="AV191" s="24">
        <v>39</v>
      </c>
      <c r="AW191" s="24">
        <v>0.1</v>
      </c>
      <c r="AX191" s="24">
        <v>26400</v>
      </c>
      <c r="AY191" s="24">
        <v>253921</v>
      </c>
      <c r="AZ191" s="24" t="s">
        <v>33</v>
      </c>
      <c r="BA191" s="24"/>
      <c r="BB191" s="24"/>
      <c r="BC191" s="24">
        <v>2021</v>
      </c>
      <c r="BD191" s="24">
        <v>39</v>
      </c>
      <c r="BE191" s="24">
        <v>2274.2511428571397</v>
      </c>
      <c r="BF191" s="24" t="s">
        <v>33</v>
      </c>
      <c r="BG191" s="24"/>
      <c r="BI191" s="24">
        <v>2022</v>
      </c>
      <c r="BJ191" s="24">
        <v>24</v>
      </c>
      <c r="BK191" s="24" t="s">
        <v>33</v>
      </c>
      <c r="BL191" s="24" t="s">
        <v>272</v>
      </c>
      <c r="BM191" s="24">
        <v>56046</v>
      </c>
      <c r="BN191" s="24">
        <v>55997</v>
      </c>
      <c r="BO191" s="24">
        <v>208896</v>
      </c>
      <c r="BR191" s="24">
        <v>2021</v>
      </c>
      <c r="BS191" s="24">
        <v>39</v>
      </c>
      <c r="BT191" s="24">
        <v>253102</v>
      </c>
      <c r="BU191" s="24">
        <v>5</v>
      </c>
      <c r="BV191" s="24" t="s">
        <v>33</v>
      </c>
      <c r="BY191" s="24">
        <v>2021</v>
      </c>
      <c r="BZ191" s="24">
        <v>38</v>
      </c>
      <c r="CA191" s="24" t="s">
        <v>32</v>
      </c>
      <c r="CB191" s="24" t="s">
        <v>423</v>
      </c>
      <c r="CC191" s="24">
        <v>35</v>
      </c>
      <c r="CF191" s="24">
        <v>2021</v>
      </c>
      <c r="CG191" s="24">
        <v>39</v>
      </c>
      <c r="CH191" s="24" t="s">
        <v>33</v>
      </c>
      <c r="CI191" s="24">
        <v>119.07310895718669</v>
      </c>
      <c r="CJ191" s="24">
        <v>244469</v>
      </c>
      <c r="CK191" s="24">
        <v>2053.1</v>
      </c>
      <c r="CL191" s="24">
        <v>106.99216971683511</v>
      </c>
      <c r="CM191" s="24">
        <v>117996</v>
      </c>
      <c r="CN191" s="24">
        <v>235019</v>
      </c>
      <c r="CO191" s="24">
        <v>2196.6</v>
      </c>
      <c r="CP191" s="24">
        <v>48185</v>
      </c>
      <c r="CQ191" s="24">
        <v>257.5</v>
      </c>
      <c r="CR191" s="24">
        <v>1238.9000000000001</v>
      </c>
      <c r="CS191" s="24">
        <v>127214</v>
      </c>
      <c r="CT191" s="24">
        <v>127214</v>
      </c>
      <c r="CU191" s="24">
        <v>1406.7</v>
      </c>
      <c r="CV191" s="24">
        <v>40492</v>
      </c>
      <c r="CW191" s="24">
        <v>0</v>
      </c>
      <c r="CX191" s="24">
        <v>104952</v>
      </c>
      <c r="CY191" s="24">
        <v>594.9</v>
      </c>
      <c r="CZ191" s="24">
        <v>38084</v>
      </c>
      <c r="DA191" s="24">
        <v>1238.9000000000001</v>
      </c>
      <c r="DD191" s="24">
        <v>2021</v>
      </c>
      <c r="DE191" s="24">
        <v>39</v>
      </c>
      <c r="DF191" s="24" t="s">
        <v>33</v>
      </c>
      <c r="DG191" s="24">
        <v>37334</v>
      </c>
      <c r="DH191" s="24">
        <v>28565</v>
      </c>
      <c r="DJ191" s="24">
        <v>2021</v>
      </c>
      <c r="DK191" s="24">
        <v>38</v>
      </c>
      <c r="DL191" s="24" t="s">
        <v>32</v>
      </c>
      <c r="DM191" s="24">
        <v>31</v>
      </c>
      <c r="DP191" s="24">
        <v>2020</v>
      </c>
      <c r="DQ191" s="24">
        <v>36</v>
      </c>
      <c r="DR191" s="24" t="s">
        <v>33</v>
      </c>
      <c r="DS191" s="24">
        <v>6481</v>
      </c>
      <c r="DT191" s="24"/>
      <c r="DW191" s="24">
        <v>2022</v>
      </c>
      <c r="DX191" s="24">
        <v>11</v>
      </c>
      <c r="DY191" s="24" t="s">
        <v>32</v>
      </c>
      <c r="DZ191" s="24">
        <v>1</v>
      </c>
      <c r="EA191" s="24" t="s">
        <v>149</v>
      </c>
      <c r="EB191" s="24">
        <v>0</v>
      </c>
      <c r="EC191" s="24">
        <v>0</v>
      </c>
      <c r="ED191" s="24">
        <v>242</v>
      </c>
      <c r="EE191" s="24">
        <v>19</v>
      </c>
      <c r="EF191" s="24">
        <v>6.3</v>
      </c>
      <c r="EI191" s="24">
        <v>2023</v>
      </c>
      <c r="EJ191" s="24">
        <v>4</v>
      </c>
      <c r="EK191" s="24" t="s">
        <v>208</v>
      </c>
      <c r="EL191" s="24" t="s">
        <v>351</v>
      </c>
      <c r="EM191" s="24" t="s">
        <v>210</v>
      </c>
      <c r="EN191" s="24">
        <v>11</v>
      </c>
      <c r="EO191" s="24"/>
      <c r="EP191" s="24"/>
      <c r="EQ191" s="24"/>
      <c r="ER191" s="24"/>
      <c r="ES191" s="24">
        <v>2021</v>
      </c>
      <c r="ET191" s="24">
        <v>49</v>
      </c>
      <c r="EU191" s="24" t="s">
        <v>213</v>
      </c>
      <c r="EV191" s="24">
        <v>1</v>
      </c>
      <c r="EY191" s="24">
        <v>2021</v>
      </c>
      <c r="EZ191" s="24">
        <v>42</v>
      </c>
      <c r="FA191" s="24" t="s">
        <v>33</v>
      </c>
      <c r="FB191" s="24">
        <v>1497</v>
      </c>
      <c r="FE191" s="24">
        <v>2021</v>
      </c>
      <c r="FF191" s="24">
        <v>39</v>
      </c>
      <c r="FG191" s="24" t="s">
        <v>33</v>
      </c>
      <c r="FH191" s="24">
        <v>0.95310000000000006</v>
      </c>
      <c r="FI191" s="24">
        <v>11075</v>
      </c>
      <c r="FJ191" s="24">
        <v>4995</v>
      </c>
      <c r="FK191" s="24">
        <v>5280</v>
      </c>
      <c r="FN191" s="24">
        <v>2021</v>
      </c>
      <c r="FO191" s="24">
        <v>40</v>
      </c>
      <c r="FP191" s="24" t="s">
        <v>33</v>
      </c>
      <c r="FQ191" s="24">
        <v>855329</v>
      </c>
      <c r="FR191" s="24">
        <v>7327.5333333333292</v>
      </c>
      <c r="FS191" s="24">
        <v>355698</v>
      </c>
      <c r="FT191" s="24">
        <v>2512.4833333333299</v>
      </c>
      <c r="FW191" s="24">
        <v>2021</v>
      </c>
      <c r="FX191" s="24">
        <v>39</v>
      </c>
      <c r="FY191" s="24" t="s">
        <v>33</v>
      </c>
      <c r="FZ191" s="24">
        <v>14458</v>
      </c>
      <c r="GA191" s="24">
        <v>13476</v>
      </c>
      <c r="GB191" s="24"/>
      <c r="GC191" s="24"/>
      <c r="GD191" s="24">
        <v>2021</v>
      </c>
      <c r="GE191" s="24">
        <v>39</v>
      </c>
      <c r="GF191" s="24" t="s">
        <v>33</v>
      </c>
      <c r="GG191" s="24">
        <v>14578</v>
      </c>
      <c r="GH191" s="24">
        <v>13763</v>
      </c>
      <c r="GK191" s="24"/>
      <c r="GL191" s="24"/>
      <c r="GM191" s="24"/>
      <c r="GN191" s="24"/>
      <c r="GO191" s="24"/>
      <c r="GP191" s="24">
        <v>2021</v>
      </c>
      <c r="GQ191" s="24">
        <v>39</v>
      </c>
      <c r="GR191" s="24">
        <v>22.2392857142857</v>
      </c>
      <c r="GS191" s="24" t="s">
        <v>33</v>
      </c>
      <c r="GX191">
        <v>2021</v>
      </c>
      <c r="GY191">
        <v>39</v>
      </c>
      <c r="GZ191" t="s">
        <v>33</v>
      </c>
      <c r="HA191">
        <v>251054</v>
      </c>
      <c r="HB191">
        <v>247745</v>
      </c>
      <c r="HC191">
        <v>323</v>
      </c>
      <c r="HD191">
        <v>48</v>
      </c>
      <c r="HE191">
        <v>0</v>
      </c>
      <c r="HF191">
        <v>276</v>
      </c>
      <c r="HG191">
        <v>0</v>
      </c>
      <c r="HH191">
        <v>1</v>
      </c>
      <c r="HI191">
        <v>786</v>
      </c>
      <c r="HL191">
        <v>2021</v>
      </c>
      <c r="HM191">
        <v>39</v>
      </c>
      <c r="HN191" t="s">
        <v>33</v>
      </c>
      <c r="HO191">
        <v>252667</v>
      </c>
      <c r="HP191">
        <v>250948</v>
      </c>
      <c r="HQ191">
        <v>427</v>
      </c>
      <c r="HR191">
        <v>68</v>
      </c>
      <c r="HS191">
        <v>0</v>
      </c>
      <c r="HT191">
        <v>209</v>
      </c>
      <c r="HU191">
        <v>0</v>
      </c>
      <c r="HV191">
        <v>1</v>
      </c>
      <c r="HW191">
        <v>175</v>
      </c>
      <c r="HZ191" s="24">
        <v>2021</v>
      </c>
      <c r="IA191" s="24">
        <v>39</v>
      </c>
      <c r="IB191" s="24" t="s">
        <v>33</v>
      </c>
      <c r="IC191" s="24">
        <v>14431</v>
      </c>
      <c r="ID191" s="24">
        <v>14032</v>
      </c>
      <c r="IG191" s="24">
        <v>2021</v>
      </c>
      <c r="IH191" s="24">
        <v>39</v>
      </c>
      <c r="II191" s="24" t="s">
        <v>33</v>
      </c>
      <c r="IJ191" s="24">
        <v>13788</v>
      </c>
      <c r="IK191" s="24">
        <v>13696</v>
      </c>
    </row>
    <row r="192" spans="9:245" x14ac:dyDescent="0.4">
      <c r="I192" s="305">
        <v>2021</v>
      </c>
      <c r="J192" s="306">
        <v>39</v>
      </c>
      <c r="K192" s="306" t="s">
        <v>33</v>
      </c>
      <c r="L192" s="306">
        <v>253547</v>
      </c>
      <c r="M192" s="306">
        <v>178506</v>
      </c>
      <c r="N192" s="306">
        <v>896</v>
      </c>
      <c r="O192" s="306">
        <v>13397</v>
      </c>
      <c r="P192" s="306">
        <v>449</v>
      </c>
      <c r="Q192" s="306">
        <v>59</v>
      </c>
      <c r="R192" s="24"/>
      <c r="S192" s="24"/>
      <c r="T192" s="24"/>
      <c r="W192" s="24">
        <v>2021</v>
      </c>
      <c r="X192" s="24">
        <v>38</v>
      </c>
      <c r="Y192" s="24" t="s">
        <v>32</v>
      </c>
      <c r="Z192" s="24">
        <v>16321</v>
      </c>
      <c r="AA192" s="24">
        <v>15960</v>
      </c>
      <c r="AB192" s="24">
        <v>17</v>
      </c>
      <c r="AC192" s="24">
        <v>1</v>
      </c>
      <c r="AD192" s="24"/>
      <c r="AE192" s="24"/>
      <c r="AF192" s="24"/>
      <c r="AG192" s="24"/>
      <c r="AH192" s="24"/>
      <c r="AI192" s="24"/>
      <c r="AJ192" s="24"/>
      <c r="AK192" s="24">
        <v>2021</v>
      </c>
      <c r="AL192" s="24">
        <v>38</v>
      </c>
      <c r="AM192" s="24">
        <v>707.95</v>
      </c>
      <c r="AN192" s="24">
        <v>57.17</v>
      </c>
      <c r="AO192" s="24">
        <v>0</v>
      </c>
      <c r="AP192" s="24">
        <v>18</v>
      </c>
      <c r="AQ192" s="24">
        <v>0</v>
      </c>
      <c r="AR192" s="24">
        <v>0</v>
      </c>
      <c r="AS192" s="24" t="s">
        <v>32</v>
      </c>
      <c r="AT192" s="24"/>
      <c r="AU192" s="24">
        <v>2021</v>
      </c>
      <c r="AV192" s="24">
        <v>38</v>
      </c>
      <c r="AW192" s="24">
        <v>0.11</v>
      </c>
      <c r="AX192" s="24">
        <v>1800</v>
      </c>
      <c r="AY192" s="24">
        <v>16277</v>
      </c>
      <c r="AZ192" s="24" t="s">
        <v>32</v>
      </c>
      <c r="BA192" s="24"/>
      <c r="BB192" s="24"/>
      <c r="BC192" s="24">
        <v>2021</v>
      </c>
      <c r="BD192" s="24">
        <v>38</v>
      </c>
      <c r="BE192" s="24">
        <v>182.92571428571401</v>
      </c>
      <c r="BF192" s="24" t="s">
        <v>32</v>
      </c>
      <c r="BG192" s="24"/>
      <c r="BI192" s="24">
        <v>2022</v>
      </c>
      <c r="BJ192" s="24">
        <v>24</v>
      </c>
      <c r="BK192" s="24" t="s">
        <v>33</v>
      </c>
      <c r="BL192" s="24" t="s">
        <v>273</v>
      </c>
      <c r="BM192" s="24">
        <v>108331</v>
      </c>
      <c r="BN192" s="24">
        <v>107802</v>
      </c>
      <c r="BO192" s="24">
        <v>111026</v>
      </c>
      <c r="BR192" s="24">
        <v>2021</v>
      </c>
      <c r="BS192" s="24">
        <v>38</v>
      </c>
      <c r="BT192" s="24">
        <v>284159</v>
      </c>
      <c r="BU192" s="24">
        <v>1</v>
      </c>
      <c r="BV192" s="24" t="s">
        <v>33</v>
      </c>
      <c r="BY192" s="24">
        <v>2021</v>
      </c>
      <c r="BZ192" s="24">
        <v>37</v>
      </c>
      <c r="CA192" s="24" t="s">
        <v>32</v>
      </c>
      <c r="CB192" s="24" t="s">
        <v>423</v>
      </c>
      <c r="CC192" s="24">
        <v>16</v>
      </c>
      <c r="CF192" s="24">
        <v>2021</v>
      </c>
      <c r="CG192" s="24">
        <v>38</v>
      </c>
      <c r="CH192" s="24" t="s">
        <v>32</v>
      </c>
      <c r="CI192" s="24">
        <v>88.176583493282152</v>
      </c>
      <c r="CJ192" s="24">
        <v>9188</v>
      </c>
      <c r="CK192" s="24">
        <v>104.2</v>
      </c>
      <c r="CL192" s="24">
        <v>71.614457831325296</v>
      </c>
      <c r="CM192" s="24">
        <v>10395</v>
      </c>
      <c r="CN192" s="24">
        <v>20804</v>
      </c>
      <c r="CO192" s="24">
        <v>290.5</v>
      </c>
      <c r="CP192" s="24">
        <v>7990</v>
      </c>
      <c r="CQ192" s="24">
        <v>44.1</v>
      </c>
      <c r="CR192" s="24">
        <v>185.7</v>
      </c>
      <c r="CS192" s="24">
        <v>9406</v>
      </c>
      <c r="CT192" s="24">
        <v>9406</v>
      </c>
      <c r="CU192" s="24">
        <v>303.8</v>
      </c>
      <c r="CV192" s="24">
        <v>2002</v>
      </c>
      <c r="CW192" s="24">
        <v>0</v>
      </c>
      <c r="CX192" s="24">
        <v>1908</v>
      </c>
      <c r="CY192" s="24">
        <v>42.5</v>
      </c>
      <c r="CZ192" s="24">
        <v>5849</v>
      </c>
      <c r="DA192" s="24">
        <v>185.7</v>
      </c>
      <c r="DD192" s="24">
        <v>2021</v>
      </c>
      <c r="DE192" s="24">
        <v>38</v>
      </c>
      <c r="DF192" s="24" t="s">
        <v>32</v>
      </c>
      <c r="DG192" s="24">
        <v>1382</v>
      </c>
      <c r="DH192" s="24">
        <v>2156</v>
      </c>
      <c r="DJ192" s="24">
        <v>2021</v>
      </c>
      <c r="DK192" s="24">
        <v>38</v>
      </c>
      <c r="DL192" s="24" t="s">
        <v>33</v>
      </c>
      <c r="DM192" s="24">
        <v>891</v>
      </c>
      <c r="DP192" s="24">
        <v>2020</v>
      </c>
      <c r="DQ192" s="24">
        <v>35</v>
      </c>
      <c r="DR192" s="24" t="s">
        <v>33</v>
      </c>
      <c r="DS192" s="24">
        <v>8172</v>
      </c>
      <c r="DT192" s="24"/>
      <c r="DW192" s="24">
        <v>2022</v>
      </c>
      <c r="DX192" s="24">
        <v>11</v>
      </c>
      <c r="DY192" s="24" t="s">
        <v>33</v>
      </c>
      <c r="DZ192" s="24">
        <v>9</v>
      </c>
      <c r="EA192" s="24" t="s">
        <v>562</v>
      </c>
      <c r="EB192" s="24">
        <v>81.400000000000006</v>
      </c>
      <c r="EC192" s="24">
        <v>2.5</v>
      </c>
      <c r="ED192" s="24"/>
      <c r="EE192" s="24">
        <v>4721</v>
      </c>
      <c r="EF192" s="24">
        <v>34.6</v>
      </c>
      <c r="EI192" s="24">
        <v>2023</v>
      </c>
      <c r="EJ192" s="24">
        <v>4</v>
      </c>
      <c r="EK192" s="24" t="s">
        <v>208</v>
      </c>
      <c r="EL192" s="24" t="s">
        <v>351</v>
      </c>
      <c r="EM192" s="24" t="s">
        <v>234</v>
      </c>
      <c r="EN192" s="24">
        <v>11</v>
      </c>
      <c r="EO192" s="24"/>
      <c r="EP192" s="24"/>
      <c r="EQ192" s="24"/>
      <c r="ER192" s="24"/>
      <c r="ES192" s="24">
        <v>2021</v>
      </c>
      <c r="ET192" s="24">
        <v>48</v>
      </c>
      <c r="EU192" s="24" t="s">
        <v>32</v>
      </c>
      <c r="EV192" s="24">
        <v>5860</v>
      </c>
      <c r="EY192" s="24">
        <v>2021</v>
      </c>
      <c r="EZ192" s="24">
        <v>42</v>
      </c>
      <c r="FA192" s="24" t="s">
        <v>35</v>
      </c>
      <c r="FB192" s="24">
        <v>1</v>
      </c>
      <c r="FE192" s="24">
        <v>2021</v>
      </c>
      <c r="FF192" s="24">
        <v>38</v>
      </c>
      <c r="FG192" s="24" t="s">
        <v>32</v>
      </c>
      <c r="FH192" s="24">
        <v>0.87550000000000006</v>
      </c>
      <c r="FI192" s="24">
        <v>452</v>
      </c>
      <c r="FJ192" s="24">
        <v>211</v>
      </c>
      <c r="FK192" s="24">
        <v>241</v>
      </c>
      <c r="FN192" s="24">
        <v>2021</v>
      </c>
      <c r="FO192" s="24">
        <v>39</v>
      </c>
      <c r="FP192" s="24" t="s">
        <v>32</v>
      </c>
      <c r="FQ192" s="24">
        <v>33225</v>
      </c>
      <c r="FR192" s="24">
        <v>644.5</v>
      </c>
      <c r="FS192" s="24">
        <v>27947</v>
      </c>
      <c r="FT192" s="24">
        <v>355.36666666666702</v>
      </c>
      <c r="FW192" s="24">
        <v>2021</v>
      </c>
      <c r="FX192" s="24">
        <v>38</v>
      </c>
      <c r="FY192" s="24" t="s">
        <v>32</v>
      </c>
      <c r="FZ192" s="24">
        <v>1773</v>
      </c>
      <c r="GA192" s="24">
        <v>1738</v>
      </c>
      <c r="GB192" s="24"/>
      <c r="GC192" s="24"/>
      <c r="GD192" s="24">
        <v>2021</v>
      </c>
      <c r="GE192" s="24">
        <v>38</v>
      </c>
      <c r="GF192" s="24" t="s">
        <v>32</v>
      </c>
      <c r="GG192" s="24">
        <v>1780</v>
      </c>
      <c r="GH192" s="24">
        <v>1758</v>
      </c>
      <c r="GK192" s="24"/>
      <c r="GL192" s="24"/>
      <c r="GM192" s="24"/>
      <c r="GN192" s="24"/>
      <c r="GO192" s="24"/>
      <c r="GP192" s="24">
        <v>2021</v>
      </c>
      <c r="GQ192" s="24">
        <v>38</v>
      </c>
      <c r="GR192" s="24">
        <v>0.28800000000000003</v>
      </c>
      <c r="GS192" s="24" t="s">
        <v>32</v>
      </c>
      <c r="GX192">
        <v>2021</v>
      </c>
      <c r="GY192">
        <v>38</v>
      </c>
      <c r="GZ192" t="s">
        <v>32</v>
      </c>
      <c r="HA192">
        <v>16186</v>
      </c>
      <c r="HB192">
        <v>15855</v>
      </c>
      <c r="HC192">
        <v>1</v>
      </c>
      <c r="HD192">
        <v>4</v>
      </c>
      <c r="HE192">
        <v>0</v>
      </c>
      <c r="HF192">
        <v>88</v>
      </c>
      <c r="HG192">
        <v>0</v>
      </c>
      <c r="HH192">
        <v>0</v>
      </c>
      <c r="HI192">
        <v>46</v>
      </c>
      <c r="HL192">
        <v>2021</v>
      </c>
      <c r="HM192">
        <v>38</v>
      </c>
      <c r="HN192" t="s">
        <v>32</v>
      </c>
      <c r="HO192">
        <v>16264</v>
      </c>
      <c r="HP192">
        <v>16049</v>
      </c>
      <c r="HQ192">
        <v>0</v>
      </c>
      <c r="HR192">
        <v>4</v>
      </c>
      <c r="HS192">
        <v>0</v>
      </c>
      <c r="HT192">
        <v>145</v>
      </c>
      <c r="HU192">
        <v>0</v>
      </c>
      <c r="HV192">
        <v>0</v>
      </c>
      <c r="HW192">
        <v>14</v>
      </c>
      <c r="HZ192" s="24">
        <v>2021</v>
      </c>
      <c r="IA192" s="24">
        <v>38</v>
      </c>
      <c r="IB192" s="24" t="s">
        <v>32</v>
      </c>
      <c r="IC192" s="24">
        <v>1789</v>
      </c>
      <c r="ID192" s="24">
        <v>1666</v>
      </c>
      <c r="IG192" s="24">
        <v>2021</v>
      </c>
      <c r="IH192" s="24">
        <v>38</v>
      </c>
      <c r="II192" s="24" t="s">
        <v>32</v>
      </c>
      <c r="IJ192" s="24">
        <v>1754</v>
      </c>
      <c r="IK192" s="24">
        <v>1674</v>
      </c>
    </row>
    <row r="193" spans="9:245" x14ac:dyDescent="0.4">
      <c r="I193" s="305">
        <v>2021</v>
      </c>
      <c r="J193" s="306">
        <v>38</v>
      </c>
      <c r="K193" s="306" t="s">
        <v>32</v>
      </c>
      <c r="L193" s="306">
        <v>16228</v>
      </c>
      <c r="M193" s="306">
        <v>15808</v>
      </c>
      <c r="N193" s="306">
        <v>40</v>
      </c>
      <c r="O193" s="306">
        <v>187</v>
      </c>
      <c r="P193" s="306">
        <v>24</v>
      </c>
      <c r="Q193" s="306">
        <v>5</v>
      </c>
      <c r="R193" s="24"/>
      <c r="S193" s="24"/>
      <c r="T193" s="24"/>
      <c r="W193" s="24">
        <v>2021</v>
      </c>
      <c r="X193" s="24">
        <v>38</v>
      </c>
      <c r="Y193" s="24" t="s">
        <v>33</v>
      </c>
      <c r="Z193" s="24">
        <v>292801</v>
      </c>
      <c r="AA193" s="24">
        <v>197270</v>
      </c>
      <c r="AB193" s="24">
        <v>476</v>
      </c>
      <c r="AC193" s="24">
        <v>37</v>
      </c>
      <c r="AD193" s="24"/>
      <c r="AE193" s="24"/>
      <c r="AF193" s="24"/>
      <c r="AG193" s="24"/>
      <c r="AH193" s="24"/>
      <c r="AI193" s="24"/>
      <c r="AJ193" s="24"/>
      <c r="AK193" s="24">
        <v>2021</v>
      </c>
      <c r="AL193" s="24">
        <v>38</v>
      </c>
      <c r="AM193" s="24">
        <v>15368.93</v>
      </c>
      <c r="AN193" s="24">
        <v>1359.93</v>
      </c>
      <c r="AO193" s="24">
        <v>0</v>
      </c>
      <c r="AP193" s="24">
        <v>403</v>
      </c>
      <c r="AQ193" s="24">
        <v>0</v>
      </c>
      <c r="AR193" s="24">
        <v>3</v>
      </c>
      <c r="AS193" s="24" t="s">
        <v>33</v>
      </c>
      <c r="AT193" s="24"/>
      <c r="AU193" s="24">
        <v>2021</v>
      </c>
      <c r="AV193" s="24">
        <v>38</v>
      </c>
      <c r="AW193" s="24">
        <v>7.0000000000000007E-2</v>
      </c>
      <c r="AX193" s="24">
        <v>20500</v>
      </c>
      <c r="AY193" s="24">
        <v>284954</v>
      </c>
      <c r="AZ193" s="24" t="s">
        <v>33</v>
      </c>
      <c r="BA193" s="24"/>
      <c r="BB193" s="24"/>
      <c r="BC193" s="24">
        <v>2021</v>
      </c>
      <c r="BD193" s="24">
        <v>38</v>
      </c>
      <c r="BE193" s="24">
        <v>2304.5537142857097</v>
      </c>
      <c r="BF193" s="24" t="s">
        <v>33</v>
      </c>
      <c r="BG193" s="24"/>
      <c r="BI193" s="24">
        <v>2022</v>
      </c>
      <c r="BJ193" s="24">
        <v>24</v>
      </c>
      <c r="BK193" s="24" t="s">
        <v>32</v>
      </c>
      <c r="BL193" s="24" t="s">
        <v>273</v>
      </c>
      <c r="BM193" s="24">
        <v>6679</v>
      </c>
      <c r="BN193" s="24">
        <v>6653</v>
      </c>
      <c r="BO193" s="24">
        <v>6777</v>
      </c>
      <c r="BR193" s="24">
        <v>2021</v>
      </c>
      <c r="BS193" s="24">
        <v>38</v>
      </c>
      <c r="BT193" s="24">
        <v>16146</v>
      </c>
      <c r="BU193" s="24">
        <v>1</v>
      </c>
      <c r="BV193" s="24" t="s">
        <v>32</v>
      </c>
      <c r="BY193" s="24">
        <v>2021</v>
      </c>
      <c r="BZ193" s="24">
        <v>36</v>
      </c>
      <c r="CA193" s="24" t="s">
        <v>32</v>
      </c>
      <c r="CB193" s="24" t="s">
        <v>108</v>
      </c>
      <c r="CC193" s="24">
        <v>4</v>
      </c>
      <c r="CF193" s="24">
        <v>2021</v>
      </c>
      <c r="CG193" s="24">
        <v>38</v>
      </c>
      <c r="CH193" s="24" t="s">
        <v>33</v>
      </c>
      <c r="CI193" s="24">
        <v>128.71479443185498</v>
      </c>
      <c r="CJ193" s="24">
        <v>278320</v>
      </c>
      <c r="CK193" s="24">
        <v>2162.3000000000002</v>
      </c>
      <c r="CL193" s="24">
        <v>104.93980552554406</v>
      </c>
      <c r="CM193" s="24">
        <v>138115</v>
      </c>
      <c r="CN193" s="24">
        <v>271962</v>
      </c>
      <c r="CO193" s="24">
        <v>2591.6</v>
      </c>
      <c r="CP193" s="24">
        <v>51259</v>
      </c>
      <c r="CQ193" s="24">
        <v>212.2</v>
      </c>
      <c r="CR193" s="24">
        <v>1367.9</v>
      </c>
      <c r="CS193" s="24">
        <v>153773</v>
      </c>
      <c r="CT193" s="24">
        <v>153773</v>
      </c>
      <c r="CU193" s="24">
        <v>1544.3</v>
      </c>
      <c r="CV193" s="24">
        <v>44380</v>
      </c>
      <c r="CW193" s="24">
        <v>0</v>
      </c>
      <c r="CX193" s="24">
        <v>140005</v>
      </c>
      <c r="CY193" s="24">
        <v>614.6</v>
      </c>
      <c r="CZ193" s="24">
        <v>43012</v>
      </c>
      <c r="DA193" s="24">
        <v>1367.9</v>
      </c>
      <c r="DD193" s="24">
        <v>2021</v>
      </c>
      <c r="DE193" s="24">
        <v>38</v>
      </c>
      <c r="DF193" s="24" t="s">
        <v>33</v>
      </c>
      <c r="DG193" s="24">
        <v>36044</v>
      </c>
      <c r="DH193" s="24">
        <v>27795</v>
      </c>
      <c r="DJ193" s="24">
        <v>2021</v>
      </c>
      <c r="DK193" s="24">
        <v>37</v>
      </c>
      <c r="DL193" s="24" t="s">
        <v>32</v>
      </c>
      <c r="DM193" s="24">
        <v>21</v>
      </c>
      <c r="DP193" s="24">
        <v>2020</v>
      </c>
      <c r="DQ193" s="24">
        <v>34</v>
      </c>
      <c r="DR193" s="24" t="s">
        <v>33</v>
      </c>
      <c r="DS193" s="24">
        <v>9409</v>
      </c>
      <c r="DT193" s="24"/>
      <c r="DW193" s="24">
        <v>2022</v>
      </c>
      <c r="DX193" s="24">
        <v>11</v>
      </c>
      <c r="DY193" s="24" t="s">
        <v>33</v>
      </c>
      <c r="DZ193" s="24">
        <v>52</v>
      </c>
      <c r="EA193" s="24" t="s">
        <v>149</v>
      </c>
      <c r="EB193" s="24">
        <v>336.3</v>
      </c>
      <c r="EC193" s="24">
        <v>1305.9000000000001</v>
      </c>
      <c r="ED193" s="24">
        <v>39776</v>
      </c>
      <c r="EE193" s="24">
        <v>54313</v>
      </c>
      <c r="EF193" s="24">
        <v>280.10000000000002</v>
      </c>
      <c r="EI193" s="24">
        <v>2023</v>
      </c>
      <c r="EJ193" s="24">
        <v>4</v>
      </c>
      <c r="EK193" s="24" t="s">
        <v>208</v>
      </c>
      <c r="EL193" s="24" t="s">
        <v>235</v>
      </c>
      <c r="EM193" s="24" t="s">
        <v>210</v>
      </c>
      <c r="EN193" s="24">
        <v>20</v>
      </c>
      <c r="EO193" s="24"/>
      <c r="EP193" s="24"/>
      <c r="EQ193" s="24"/>
      <c r="ER193" s="24"/>
      <c r="ES193" s="24">
        <v>2021</v>
      </c>
      <c r="ET193" s="24">
        <v>48</v>
      </c>
      <c r="EU193" s="24" t="s">
        <v>33</v>
      </c>
      <c r="EV193" s="24">
        <v>110575</v>
      </c>
      <c r="EY193" s="24">
        <v>2021</v>
      </c>
      <c r="EZ193" s="24">
        <v>41</v>
      </c>
      <c r="FA193" s="24" t="s">
        <v>32</v>
      </c>
      <c r="FB193" s="24">
        <v>512</v>
      </c>
      <c r="FE193" s="24">
        <v>2021</v>
      </c>
      <c r="FF193" s="24">
        <v>38</v>
      </c>
      <c r="FG193" s="24" t="s">
        <v>33</v>
      </c>
      <c r="FH193" s="24">
        <v>0.9496</v>
      </c>
      <c r="FI193" s="24">
        <v>13438</v>
      </c>
      <c r="FJ193" s="24">
        <v>6055</v>
      </c>
      <c r="FK193" s="24">
        <v>6427</v>
      </c>
      <c r="FN193" s="24">
        <v>2021</v>
      </c>
      <c r="FO193" s="24">
        <v>39</v>
      </c>
      <c r="FP193" s="24" t="s">
        <v>33</v>
      </c>
      <c r="FQ193" s="24">
        <v>797747</v>
      </c>
      <c r="FR193" s="24">
        <v>6858.4333333333298</v>
      </c>
      <c r="FS193" s="24">
        <v>308090</v>
      </c>
      <c r="FT193" s="24">
        <v>2378.2666666666701</v>
      </c>
      <c r="FW193" s="24">
        <v>2021</v>
      </c>
      <c r="FX193" s="24">
        <v>38</v>
      </c>
      <c r="FY193" s="24" t="s">
        <v>33</v>
      </c>
      <c r="FZ193" s="24">
        <v>15111</v>
      </c>
      <c r="GA193" s="24">
        <v>13921</v>
      </c>
      <c r="GB193" s="24"/>
      <c r="GC193" s="24"/>
      <c r="GD193" s="24">
        <v>2021</v>
      </c>
      <c r="GE193" s="24">
        <v>38</v>
      </c>
      <c r="GF193" s="24" t="s">
        <v>33</v>
      </c>
      <c r="GG193" s="24">
        <v>15103</v>
      </c>
      <c r="GH193" s="24">
        <v>14126</v>
      </c>
      <c r="GK193" s="24"/>
      <c r="GL193" s="24"/>
      <c r="GM193" s="24"/>
      <c r="GN193" s="24"/>
      <c r="GO193" s="24"/>
      <c r="GP193" s="24">
        <v>2021</v>
      </c>
      <c r="GQ193" s="24">
        <v>38</v>
      </c>
      <c r="GR193" s="24">
        <v>22.235428571428599</v>
      </c>
      <c r="GS193" s="24" t="s">
        <v>33</v>
      </c>
      <c r="GX193">
        <v>2021</v>
      </c>
      <c r="GY193">
        <v>38</v>
      </c>
      <c r="GZ193" t="s">
        <v>33</v>
      </c>
      <c r="HA193">
        <v>291840</v>
      </c>
      <c r="HB193">
        <v>277739</v>
      </c>
      <c r="HC193">
        <v>581</v>
      </c>
      <c r="HD193">
        <v>684</v>
      </c>
      <c r="HE193">
        <v>0</v>
      </c>
      <c r="HF193">
        <v>4226</v>
      </c>
      <c r="HG193">
        <v>0</v>
      </c>
      <c r="HH193">
        <v>0</v>
      </c>
      <c r="HI193">
        <v>1247</v>
      </c>
      <c r="HL193">
        <v>2021</v>
      </c>
      <c r="HM193">
        <v>38</v>
      </c>
      <c r="HN193" t="s">
        <v>33</v>
      </c>
      <c r="HO193">
        <v>292456</v>
      </c>
      <c r="HP193">
        <v>282366</v>
      </c>
      <c r="HQ193">
        <v>634</v>
      </c>
      <c r="HR193">
        <v>538</v>
      </c>
      <c r="HS193">
        <v>0</v>
      </c>
      <c r="HT193">
        <v>3933</v>
      </c>
      <c r="HU193">
        <v>0</v>
      </c>
      <c r="HV193">
        <v>0</v>
      </c>
      <c r="HW193">
        <v>495</v>
      </c>
      <c r="HZ193" s="24">
        <v>2021</v>
      </c>
      <c r="IA193" s="24">
        <v>38</v>
      </c>
      <c r="IB193" s="24" t="s">
        <v>33</v>
      </c>
      <c r="IC193" s="24">
        <v>15350</v>
      </c>
      <c r="ID193" s="24">
        <v>14572</v>
      </c>
      <c r="IG193" s="24">
        <v>2021</v>
      </c>
      <c r="IH193" s="24">
        <v>38</v>
      </c>
      <c r="II193" s="24" t="s">
        <v>33</v>
      </c>
      <c r="IJ193" s="24">
        <v>14188</v>
      </c>
      <c r="IK193" s="24">
        <v>14011</v>
      </c>
    </row>
    <row r="194" spans="9:245" x14ac:dyDescent="0.4">
      <c r="I194" s="305">
        <v>2021</v>
      </c>
      <c r="J194" s="306">
        <v>38</v>
      </c>
      <c r="K194" s="306" t="s">
        <v>33</v>
      </c>
      <c r="L194" s="306">
        <v>293285</v>
      </c>
      <c r="M194" s="306">
        <v>196730</v>
      </c>
      <c r="N194" s="306">
        <v>1355</v>
      </c>
      <c r="O194" s="306">
        <v>17065</v>
      </c>
      <c r="P194" s="306">
        <v>624</v>
      </c>
      <c r="Q194" s="306">
        <v>41</v>
      </c>
      <c r="R194" s="24"/>
      <c r="S194" s="24"/>
      <c r="T194" s="24"/>
      <c r="W194" s="24">
        <v>2021</v>
      </c>
      <c r="X194" s="24">
        <v>37</v>
      </c>
      <c r="Y194" s="24" t="s">
        <v>32</v>
      </c>
      <c r="Z194" s="24">
        <v>21567</v>
      </c>
      <c r="AA194" s="24">
        <v>16839</v>
      </c>
      <c r="AB194" s="24">
        <v>36</v>
      </c>
      <c r="AC194" s="24">
        <v>4</v>
      </c>
      <c r="AD194" s="298"/>
      <c r="AE194" s="298"/>
      <c r="AF194" s="298"/>
      <c r="AG194" s="298"/>
      <c r="AH194" s="298"/>
      <c r="AI194" s="24"/>
      <c r="AJ194" s="24"/>
      <c r="AK194" s="24">
        <v>2021</v>
      </c>
      <c r="AL194" s="24">
        <v>37</v>
      </c>
      <c r="AM194" s="24">
        <v>761.47</v>
      </c>
      <c r="AN194" s="24">
        <v>52.88</v>
      </c>
      <c r="AO194" s="24">
        <v>0</v>
      </c>
      <c r="AP194" s="24">
        <v>18</v>
      </c>
      <c r="AQ194" s="24">
        <v>0</v>
      </c>
      <c r="AR194" s="24">
        <v>0</v>
      </c>
      <c r="AS194" s="24" t="s">
        <v>32</v>
      </c>
      <c r="AT194" s="24"/>
      <c r="AU194" s="24">
        <v>2021</v>
      </c>
      <c r="AV194" s="24">
        <v>37</v>
      </c>
      <c r="AW194" s="24">
        <v>0.24</v>
      </c>
      <c r="AX194" s="24">
        <v>5500</v>
      </c>
      <c r="AY194" s="24">
        <v>23330</v>
      </c>
      <c r="AZ194" s="24" t="s">
        <v>32</v>
      </c>
      <c r="BA194" s="24"/>
      <c r="BB194" s="24"/>
      <c r="BC194" s="24">
        <v>2021</v>
      </c>
      <c r="BD194" s="24">
        <v>37</v>
      </c>
      <c r="BE194" s="24">
        <v>186.44285714285701</v>
      </c>
      <c r="BF194" s="24" t="s">
        <v>32</v>
      </c>
      <c r="BG194" s="24"/>
      <c r="BI194" s="24">
        <v>2022</v>
      </c>
      <c r="BJ194" s="24">
        <v>23</v>
      </c>
      <c r="BK194" s="24" t="s">
        <v>33</v>
      </c>
      <c r="BL194" s="24" t="s">
        <v>272</v>
      </c>
      <c r="BM194" s="24">
        <v>55872</v>
      </c>
      <c r="BN194" s="24">
        <v>55809</v>
      </c>
      <c r="BO194" s="24">
        <v>205707</v>
      </c>
      <c r="BR194" s="24">
        <v>2021</v>
      </c>
      <c r="BS194" s="24">
        <v>37</v>
      </c>
      <c r="BT194" s="24">
        <v>283396</v>
      </c>
      <c r="BU194" s="24">
        <v>5</v>
      </c>
      <c r="BV194" s="24" t="s">
        <v>33</v>
      </c>
      <c r="BY194" s="24">
        <v>2021</v>
      </c>
      <c r="BZ194" s="24">
        <v>36</v>
      </c>
      <c r="CA194" s="24" t="s">
        <v>32</v>
      </c>
      <c r="CB194" s="24" t="s">
        <v>423</v>
      </c>
      <c r="CC194" s="24">
        <v>43</v>
      </c>
      <c r="CF194" s="24">
        <v>2021</v>
      </c>
      <c r="CG194" s="24">
        <v>37</v>
      </c>
      <c r="CH194" s="24" t="s">
        <v>32</v>
      </c>
      <c r="CI194" s="24">
        <v>62.636815920398007</v>
      </c>
      <c r="CJ194" s="24">
        <v>7554</v>
      </c>
      <c r="CK194" s="24">
        <v>120.6</v>
      </c>
      <c r="CL194" s="24">
        <v>64.838618346545871</v>
      </c>
      <c r="CM194" s="24">
        <v>12707</v>
      </c>
      <c r="CN194" s="24">
        <v>22901</v>
      </c>
      <c r="CO194" s="24">
        <v>353.2</v>
      </c>
      <c r="CP194" s="24">
        <v>7739</v>
      </c>
      <c r="CQ194" s="24">
        <v>42.4</v>
      </c>
      <c r="CR194" s="24">
        <v>196.7</v>
      </c>
      <c r="CS194" s="24">
        <v>8572</v>
      </c>
      <c r="CT194" s="24">
        <v>8572</v>
      </c>
      <c r="CU194" s="24">
        <v>285</v>
      </c>
      <c r="CV194" s="24">
        <v>2039</v>
      </c>
      <c r="CW194" s="24">
        <v>0</v>
      </c>
      <c r="CX194" s="24">
        <v>6236</v>
      </c>
      <c r="CY194" s="24">
        <v>49.4</v>
      </c>
      <c r="CZ194" s="24">
        <v>6192</v>
      </c>
      <c r="DA194" s="24">
        <v>196.7</v>
      </c>
      <c r="DD194" s="24">
        <v>2021</v>
      </c>
      <c r="DE194" s="24">
        <v>37</v>
      </c>
      <c r="DF194" s="24" t="s">
        <v>32</v>
      </c>
      <c r="DG194" s="24">
        <v>1882</v>
      </c>
      <c r="DH194" s="24">
        <v>2526</v>
      </c>
      <c r="DJ194" s="24">
        <v>2021</v>
      </c>
      <c r="DK194" s="24">
        <v>37</v>
      </c>
      <c r="DL194" s="24" t="s">
        <v>33</v>
      </c>
      <c r="DM194" s="24">
        <v>750</v>
      </c>
      <c r="DP194" s="24">
        <v>2020</v>
      </c>
      <c r="DQ194" s="24">
        <v>33</v>
      </c>
      <c r="DR194" s="24" t="s">
        <v>33</v>
      </c>
      <c r="DS194" s="24">
        <v>12055</v>
      </c>
      <c r="DT194" s="24"/>
      <c r="DW194" s="24">
        <v>2022</v>
      </c>
      <c r="DX194" s="24">
        <v>10</v>
      </c>
      <c r="DY194" s="24" t="s">
        <v>32</v>
      </c>
      <c r="DZ194" s="24">
        <v>1</v>
      </c>
      <c r="EA194" s="24" t="s">
        <v>149</v>
      </c>
      <c r="EB194" s="24">
        <v>0</v>
      </c>
      <c r="EC194" s="24">
        <v>0</v>
      </c>
      <c r="ED194" s="24">
        <v>178</v>
      </c>
      <c r="EE194" s="24">
        <v>13</v>
      </c>
      <c r="EF194" s="24">
        <v>6.7</v>
      </c>
      <c r="EI194" s="24">
        <v>2023</v>
      </c>
      <c r="EJ194" s="24">
        <v>4</v>
      </c>
      <c r="EK194" s="24" t="s">
        <v>208</v>
      </c>
      <c r="EL194" s="24" t="s">
        <v>235</v>
      </c>
      <c r="EM194" s="24" t="s">
        <v>234</v>
      </c>
      <c r="EN194" s="24">
        <v>15</v>
      </c>
      <c r="EO194" s="24"/>
      <c r="EP194" s="24"/>
      <c r="EQ194" s="24"/>
      <c r="ER194" s="24"/>
      <c r="ES194" s="24">
        <v>2021</v>
      </c>
      <c r="ET194" s="24">
        <v>47</v>
      </c>
      <c r="EU194" s="24" t="s">
        <v>32</v>
      </c>
      <c r="EV194" s="24">
        <v>4641</v>
      </c>
      <c r="EY194" s="24">
        <v>2021</v>
      </c>
      <c r="EZ194" s="24">
        <v>41</v>
      </c>
      <c r="FA194" s="24" t="s">
        <v>33</v>
      </c>
      <c r="FB194" s="24">
        <v>2241</v>
      </c>
      <c r="FE194" s="24">
        <v>2021</v>
      </c>
      <c r="FF194" s="24">
        <v>37</v>
      </c>
      <c r="FG194" s="24" t="s">
        <v>32</v>
      </c>
      <c r="FH194" s="24">
        <v>0.73080000000000001</v>
      </c>
      <c r="FI194" s="24">
        <v>396</v>
      </c>
      <c r="FJ194" s="24">
        <v>188</v>
      </c>
      <c r="FK194" s="24">
        <v>244</v>
      </c>
      <c r="FN194" s="24">
        <v>2021</v>
      </c>
      <c r="FO194" s="24">
        <v>38</v>
      </c>
      <c r="FP194" s="24" t="s">
        <v>32</v>
      </c>
      <c r="FQ194" s="24">
        <v>39241</v>
      </c>
      <c r="FR194" s="24">
        <v>709.15</v>
      </c>
      <c r="FS194" s="24">
        <v>26858</v>
      </c>
      <c r="FT194" s="24">
        <v>381.88333333333298</v>
      </c>
      <c r="FW194" s="24">
        <v>2021</v>
      </c>
      <c r="FX194" s="24">
        <v>37</v>
      </c>
      <c r="FY194" s="24" t="s">
        <v>32</v>
      </c>
      <c r="FZ194" s="24">
        <v>1702</v>
      </c>
      <c r="GA194" s="24">
        <v>1579</v>
      </c>
      <c r="GB194" s="24"/>
      <c r="GC194" s="24"/>
      <c r="GD194" s="24">
        <v>2021</v>
      </c>
      <c r="GE194" s="24">
        <v>37</v>
      </c>
      <c r="GF194" s="24" t="s">
        <v>32</v>
      </c>
      <c r="GG194" s="24">
        <v>1729</v>
      </c>
      <c r="GH194" s="24">
        <v>1568</v>
      </c>
      <c r="GK194" s="24"/>
      <c r="GL194" s="24"/>
      <c r="GM194" s="24"/>
      <c r="GN194" s="24"/>
      <c r="GO194" s="24"/>
      <c r="GP194" s="24">
        <v>2021</v>
      </c>
      <c r="GQ194" s="24">
        <v>37</v>
      </c>
      <c r="GR194" s="24">
        <v>0.28800000000000003</v>
      </c>
      <c r="GS194" s="24" t="s">
        <v>32</v>
      </c>
      <c r="GX194">
        <v>2021</v>
      </c>
      <c r="GY194">
        <v>37</v>
      </c>
      <c r="GZ194" t="s">
        <v>32</v>
      </c>
      <c r="HA194">
        <v>21699</v>
      </c>
      <c r="HB194">
        <v>17461</v>
      </c>
      <c r="HC194">
        <v>1</v>
      </c>
      <c r="HD194">
        <v>5</v>
      </c>
      <c r="HE194">
        <v>0</v>
      </c>
      <c r="HF194">
        <v>2852</v>
      </c>
      <c r="HG194">
        <v>0</v>
      </c>
      <c r="HH194">
        <v>0</v>
      </c>
      <c r="HI194">
        <v>129</v>
      </c>
      <c r="HL194">
        <v>2021</v>
      </c>
      <c r="HM194">
        <v>37</v>
      </c>
      <c r="HN194" t="s">
        <v>32</v>
      </c>
      <c r="HO194">
        <v>21542</v>
      </c>
      <c r="HP194">
        <v>17469</v>
      </c>
      <c r="HQ194">
        <v>1</v>
      </c>
      <c r="HR194">
        <v>61</v>
      </c>
      <c r="HS194">
        <v>1</v>
      </c>
      <c r="HT194">
        <v>3077</v>
      </c>
      <c r="HU194">
        <v>0</v>
      </c>
      <c r="HV194">
        <v>0</v>
      </c>
      <c r="HW194">
        <v>47</v>
      </c>
      <c r="HZ194" s="24">
        <v>2021</v>
      </c>
      <c r="IA194" s="24">
        <v>37</v>
      </c>
      <c r="IB194" s="24" t="s">
        <v>32</v>
      </c>
      <c r="IC194" s="24">
        <v>1611</v>
      </c>
      <c r="ID194" s="24">
        <v>1384</v>
      </c>
      <c r="IG194" s="24">
        <v>2021</v>
      </c>
      <c r="IH194" s="24">
        <v>37</v>
      </c>
      <c r="II194" s="24" t="s">
        <v>32</v>
      </c>
      <c r="IJ194" s="24">
        <v>1708</v>
      </c>
      <c r="IK194" s="24">
        <v>1489</v>
      </c>
    </row>
    <row r="195" spans="9:245" x14ac:dyDescent="0.4">
      <c r="I195" s="305">
        <v>2021</v>
      </c>
      <c r="J195" s="306">
        <v>37</v>
      </c>
      <c r="K195" s="306" t="s">
        <v>32</v>
      </c>
      <c r="L195" s="306">
        <v>21619</v>
      </c>
      <c r="M195" s="306">
        <v>17154</v>
      </c>
      <c r="N195" s="306">
        <v>107</v>
      </c>
      <c r="O195" s="306">
        <v>932</v>
      </c>
      <c r="P195" s="306">
        <v>34</v>
      </c>
      <c r="Q195" s="306">
        <v>9</v>
      </c>
      <c r="R195" s="24"/>
      <c r="S195" s="24"/>
      <c r="T195" s="24"/>
      <c r="W195" s="24">
        <v>2021</v>
      </c>
      <c r="X195" s="24">
        <v>37</v>
      </c>
      <c r="Y195" s="24" t="s">
        <v>33</v>
      </c>
      <c r="Z195" s="24">
        <v>274464</v>
      </c>
      <c r="AA195" s="24">
        <v>185542</v>
      </c>
      <c r="AB195" s="24">
        <v>539</v>
      </c>
      <c r="AC195" s="24">
        <v>19</v>
      </c>
      <c r="AD195" s="298"/>
      <c r="AE195" s="298"/>
      <c r="AF195" s="298"/>
      <c r="AG195" s="298"/>
      <c r="AH195" s="298"/>
      <c r="AI195" s="24"/>
      <c r="AJ195" s="24"/>
      <c r="AK195" s="24">
        <v>2021</v>
      </c>
      <c r="AL195" s="24">
        <v>37</v>
      </c>
      <c r="AM195" s="24">
        <v>15614.78</v>
      </c>
      <c r="AN195" s="24">
        <v>1106.67</v>
      </c>
      <c r="AO195" s="24">
        <v>0</v>
      </c>
      <c r="AP195" s="24">
        <v>398</v>
      </c>
      <c r="AQ195" s="24">
        <v>0</v>
      </c>
      <c r="AR195" s="24">
        <v>6</v>
      </c>
      <c r="AS195" s="24" t="s">
        <v>33</v>
      </c>
      <c r="AT195" s="24"/>
      <c r="AU195" s="24">
        <v>2021</v>
      </c>
      <c r="AV195" s="24">
        <v>37</v>
      </c>
      <c r="AW195" s="24">
        <v>0.06</v>
      </c>
      <c r="AX195" s="24">
        <v>15900</v>
      </c>
      <c r="AY195" s="24">
        <v>284652</v>
      </c>
      <c r="AZ195" s="24" t="s">
        <v>33</v>
      </c>
      <c r="BA195" s="24"/>
      <c r="BB195" s="24"/>
      <c r="BC195" s="24">
        <v>2021</v>
      </c>
      <c r="BD195" s="24">
        <v>37</v>
      </c>
      <c r="BE195" s="24">
        <v>2299.9028571428598</v>
      </c>
      <c r="BF195" s="24" t="s">
        <v>33</v>
      </c>
      <c r="BG195" s="24"/>
      <c r="BI195" s="24">
        <v>2022</v>
      </c>
      <c r="BJ195" s="24">
        <v>23</v>
      </c>
      <c r="BK195" s="24" t="s">
        <v>32</v>
      </c>
      <c r="BL195" s="24" t="s">
        <v>273</v>
      </c>
      <c r="BM195" s="24">
        <v>6683</v>
      </c>
      <c r="BN195" s="24">
        <v>6653</v>
      </c>
      <c r="BO195" s="24">
        <v>6829</v>
      </c>
      <c r="BR195" s="24">
        <v>2021</v>
      </c>
      <c r="BS195" s="24">
        <v>37</v>
      </c>
      <c r="BT195" s="24">
        <v>21712</v>
      </c>
      <c r="BU195" s="24">
        <v>1</v>
      </c>
      <c r="BV195" s="24" t="s">
        <v>32</v>
      </c>
      <c r="BY195" s="24">
        <v>2021</v>
      </c>
      <c r="BZ195" s="24">
        <v>36</v>
      </c>
      <c r="CA195" s="24" t="s">
        <v>33</v>
      </c>
      <c r="CB195" s="24" t="s">
        <v>423</v>
      </c>
      <c r="CC195" s="24">
        <v>9</v>
      </c>
      <c r="CF195" s="24">
        <v>2021</v>
      </c>
      <c r="CG195" s="24">
        <v>37</v>
      </c>
      <c r="CH195" s="24" t="s">
        <v>33</v>
      </c>
      <c r="CI195" s="24">
        <v>119.74169574477727</v>
      </c>
      <c r="CJ195" s="24">
        <v>264234</v>
      </c>
      <c r="CK195" s="24">
        <v>2206.6999999999998</v>
      </c>
      <c r="CL195" s="24">
        <v>99.409447283223471</v>
      </c>
      <c r="CM195" s="24">
        <v>128958</v>
      </c>
      <c r="CN195" s="24">
        <v>254856</v>
      </c>
      <c r="CO195" s="24">
        <v>2563.6999999999998</v>
      </c>
      <c r="CP195" s="24">
        <v>47368</v>
      </c>
      <c r="CQ195" s="24">
        <v>232.5</v>
      </c>
      <c r="CR195" s="24">
        <v>1150</v>
      </c>
      <c r="CS195" s="24">
        <v>152963</v>
      </c>
      <c r="CT195" s="24">
        <v>152963</v>
      </c>
      <c r="CU195" s="24">
        <v>1445.5</v>
      </c>
      <c r="CV195" s="24">
        <v>38970</v>
      </c>
      <c r="CW195" s="24">
        <v>0</v>
      </c>
      <c r="CX195" s="24">
        <v>124700</v>
      </c>
      <c r="CY195" s="24">
        <v>653</v>
      </c>
      <c r="CZ195" s="24">
        <v>38020</v>
      </c>
      <c r="DA195" s="24">
        <v>1150</v>
      </c>
      <c r="DD195" s="24">
        <v>2021</v>
      </c>
      <c r="DE195" s="24">
        <v>37</v>
      </c>
      <c r="DF195" s="24" t="s">
        <v>33</v>
      </c>
      <c r="DG195" s="24">
        <v>42643</v>
      </c>
      <c r="DH195" s="24">
        <v>24146</v>
      </c>
      <c r="DJ195" s="24">
        <v>2021</v>
      </c>
      <c r="DK195" s="24">
        <v>36</v>
      </c>
      <c r="DL195" s="24" t="s">
        <v>32</v>
      </c>
      <c r="DM195" s="24">
        <v>29</v>
      </c>
      <c r="DP195" s="24">
        <v>2020</v>
      </c>
      <c r="DQ195" s="24">
        <v>32</v>
      </c>
      <c r="DR195" s="24" t="s">
        <v>33</v>
      </c>
      <c r="DS195" s="24">
        <v>8325</v>
      </c>
      <c r="DT195" s="24"/>
      <c r="DW195" s="24">
        <v>2022</v>
      </c>
      <c r="DX195" s="24">
        <v>10</v>
      </c>
      <c r="DY195" s="24" t="s">
        <v>33</v>
      </c>
      <c r="DZ195" s="24">
        <v>8</v>
      </c>
      <c r="EA195" s="24" t="s">
        <v>562</v>
      </c>
      <c r="EB195" s="24">
        <v>116.5</v>
      </c>
      <c r="EC195" s="24">
        <v>2.6</v>
      </c>
      <c r="ED195" s="24">
        <v>1</v>
      </c>
      <c r="EE195" s="24">
        <v>5690</v>
      </c>
      <c r="EF195" s="24">
        <v>52.3</v>
      </c>
      <c r="EI195" s="24">
        <v>2023</v>
      </c>
      <c r="EJ195" s="24">
        <v>4</v>
      </c>
      <c r="EK195" s="24" t="s">
        <v>208</v>
      </c>
      <c r="EL195" s="24" t="s">
        <v>235</v>
      </c>
      <c r="EM195" s="24" t="s">
        <v>215</v>
      </c>
      <c r="EN195" s="24">
        <v>6</v>
      </c>
      <c r="EO195" s="24"/>
      <c r="EP195" s="24"/>
      <c r="EQ195" s="24"/>
      <c r="ER195" s="24"/>
      <c r="ES195" s="24">
        <v>2021</v>
      </c>
      <c r="ET195" s="24">
        <v>47</v>
      </c>
      <c r="EU195" s="24" t="s">
        <v>33</v>
      </c>
      <c r="EV195" s="24">
        <v>100755</v>
      </c>
      <c r="EY195" s="24">
        <v>2021</v>
      </c>
      <c r="EZ195" s="24">
        <v>40</v>
      </c>
      <c r="FA195" s="24" t="s">
        <v>32</v>
      </c>
      <c r="FB195" s="24">
        <v>771</v>
      </c>
      <c r="FE195" s="24">
        <v>2021</v>
      </c>
      <c r="FF195" s="24">
        <v>37</v>
      </c>
      <c r="FG195" s="24" t="s">
        <v>33</v>
      </c>
      <c r="FH195" s="24">
        <v>0.93300000000000005</v>
      </c>
      <c r="FI195" s="24">
        <v>12019</v>
      </c>
      <c r="FJ195" s="24">
        <v>5507</v>
      </c>
      <c r="FK195" s="24">
        <v>5943</v>
      </c>
      <c r="FN195" s="24">
        <v>2021</v>
      </c>
      <c r="FO195" s="24">
        <v>38</v>
      </c>
      <c r="FP195" s="24" t="s">
        <v>33</v>
      </c>
      <c r="FQ195" s="24">
        <v>919354</v>
      </c>
      <c r="FR195" s="24">
        <v>7595.1833333333298</v>
      </c>
      <c r="FS195" s="24">
        <v>364135</v>
      </c>
      <c r="FT195" s="24">
        <v>2472.2166666666699</v>
      </c>
      <c r="FW195" s="24">
        <v>2021</v>
      </c>
      <c r="FX195" s="24">
        <v>37</v>
      </c>
      <c r="FY195" s="24" t="s">
        <v>33</v>
      </c>
      <c r="FZ195" s="24">
        <v>14734</v>
      </c>
      <c r="GA195" s="24">
        <v>13390</v>
      </c>
      <c r="GB195" s="24"/>
      <c r="GC195" s="24"/>
      <c r="GD195" s="24">
        <v>2021</v>
      </c>
      <c r="GE195" s="24">
        <v>37</v>
      </c>
      <c r="GF195" s="24" t="s">
        <v>33</v>
      </c>
      <c r="GG195" s="24">
        <v>14761</v>
      </c>
      <c r="GH195" s="24">
        <v>13658</v>
      </c>
      <c r="GK195" s="24"/>
      <c r="GL195" s="24"/>
      <c r="GM195" s="24"/>
      <c r="GN195" s="24"/>
      <c r="GO195" s="24"/>
      <c r="GP195" s="24">
        <v>2021</v>
      </c>
      <c r="GQ195" s="24">
        <v>37</v>
      </c>
      <c r="GR195" s="24">
        <v>22.129142857142902</v>
      </c>
      <c r="GS195" s="24" t="s">
        <v>33</v>
      </c>
      <c r="GX195">
        <v>2021</v>
      </c>
      <c r="GY195">
        <v>37</v>
      </c>
      <c r="GZ195" t="s">
        <v>33</v>
      </c>
      <c r="HA195">
        <v>276904</v>
      </c>
      <c r="HB195">
        <v>271415</v>
      </c>
      <c r="HC195">
        <v>766</v>
      </c>
      <c r="HD195">
        <v>882</v>
      </c>
      <c r="HE195">
        <v>0</v>
      </c>
      <c r="HF195">
        <v>437</v>
      </c>
      <c r="HG195">
        <v>0</v>
      </c>
      <c r="HH195">
        <v>1</v>
      </c>
      <c r="HI195">
        <v>869</v>
      </c>
      <c r="HL195">
        <v>2021</v>
      </c>
      <c r="HM195">
        <v>37</v>
      </c>
      <c r="HN195" t="s">
        <v>33</v>
      </c>
      <c r="HO195">
        <v>274076</v>
      </c>
      <c r="HP195">
        <v>270530</v>
      </c>
      <c r="HQ195">
        <v>806</v>
      </c>
      <c r="HR195">
        <v>814</v>
      </c>
      <c r="HS195">
        <v>0</v>
      </c>
      <c r="HT195">
        <v>301</v>
      </c>
      <c r="HU195">
        <v>0</v>
      </c>
      <c r="HV195">
        <v>1</v>
      </c>
      <c r="HW195">
        <v>251</v>
      </c>
      <c r="HZ195" s="24">
        <v>2021</v>
      </c>
      <c r="IA195" s="24">
        <v>37</v>
      </c>
      <c r="IB195" s="24" t="s">
        <v>33</v>
      </c>
      <c r="IC195" s="24">
        <v>14695</v>
      </c>
      <c r="ID195" s="24">
        <v>14181</v>
      </c>
      <c r="IG195" s="24">
        <v>2021</v>
      </c>
      <c r="IH195" s="24">
        <v>37</v>
      </c>
      <c r="II195" s="24" t="s">
        <v>33</v>
      </c>
      <c r="IJ195" s="24">
        <v>13802</v>
      </c>
      <c r="IK195" s="24">
        <v>13650</v>
      </c>
    </row>
    <row r="196" spans="9:245" x14ac:dyDescent="0.4">
      <c r="I196" s="305">
        <v>2021</v>
      </c>
      <c r="J196" s="306">
        <v>37</v>
      </c>
      <c r="K196" s="306" t="s">
        <v>33</v>
      </c>
      <c r="L196" s="306">
        <v>275278</v>
      </c>
      <c r="M196" s="306">
        <v>185325</v>
      </c>
      <c r="N196" s="306">
        <v>1152</v>
      </c>
      <c r="O196" s="306">
        <v>16811</v>
      </c>
      <c r="P196" s="306">
        <v>702</v>
      </c>
      <c r="Q196" s="306">
        <v>30</v>
      </c>
      <c r="R196" s="24"/>
      <c r="S196" s="24"/>
      <c r="T196" s="24"/>
      <c r="W196" s="24">
        <v>2021</v>
      </c>
      <c r="X196" s="24">
        <v>36</v>
      </c>
      <c r="Y196" s="24" t="s">
        <v>32</v>
      </c>
      <c r="Z196" s="24">
        <v>14316</v>
      </c>
      <c r="AA196" s="24">
        <v>14140</v>
      </c>
      <c r="AB196" s="24">
        <v>37</v>
      </c>
      <c r="AC196" s="24">
        <v>2</v>
      </c>
      <c r="AD196" s="298"/>
      <c r="AE196" s="298"/>
      <c r="AF196" s="298"/>
      <c r="AG196" s="298"/>
      <c r="AH196" s="298"/>
      <c r="AI196" s="24"/>
      <c r="AJ196" s="24"/>
      <c r="AK196" s="24">
        <v>2021</v>
      </c>
      <c r="AL196" s="24">
        <v>36</v>
      </c>
      <c r="AM196" s="24">
        <v>702.23</v>
      </c>
      <c r="AN196" s="24">
        <v>46.78</v>
      </c>
      <c r="AO196" s="24">
        <v>0</v>
      </c>
      <c r="AP196" s="24">
        <v>18</v>
      </c>
      <c r="AQ196" s="24">
        <v>0</v>
      </c>
      <c r="AR196" s="24">
        <v>0</v>
      </c>
      <c r="AS196" s="24" t="s">
        <v>32</v>
      </c>
      <c r="AT196" s="24"/>
      <c r="AU196" s="24">
        <v>2021</v>
      </c>
      <c r="AV196" s="24">
        <v>36</v>
      </c>
      <c r="AW196" s="24">
        <v>0.09</v>
      </c>
      <c r="AX196" s="24">
        <v>1300</v>
      </c>
      <c r="AY196" s="24">
        <v>14096</v>
      </c>
      <c r="AZ196" s="24" t="s">
        <v>32</v>
      </c>
      <c r="BA196" s="24"/>
      <c r="BB196" s="24"/>
      <c r="BC196" s="24">
        <v>2021</v>
      </c>
      <c r="BD196" s="24">
        <v>36</v>
      </c>
      <c r="BE196" s="24">
        <v>188.406714285714</v>
      </c>
      <c r="BF196" s="24" t="s">
        <v>32</v>
      </c>
      <c r="BG196" s="24"/>
      <c r="BI196" s="24">
        <v>2022</v>
      </c>
      <c r="BJ196" s="24">
        <v>23</v>
      </c>
      <c r="BK196" s="24" t="s">
        <v>33</v>
      </c>
      <c r="BL196" s="24" t="s">
        <v>273</v>
      </c>
      <c r="BM196" s="24">
        <v>108938</v>
      </c>
      <c r="BN196" s="24">
        <v>108335</v>
      </c>
      <c r="BO196" s="24">
        <v>111754</v>
      </c>
      <c r="BR196" s="24">
        <v>2021</v>
      </c>
      <c r="BS196" s="24">
        <v>36</v>
      </c>
      <c r="BT196" s="24">
        <v>14011</v>
      </c>
      <c r="BU196" s="24">
        <v>0</v>
      </c>
      <c r="BV196" s="24" t="s">
        <v>32</v>
      </c>
      <c r="BY196" s="24">
        <v>2021</v>
      </c>
      <c r="BZ196" s="24">
        <v>35</v>
      </c>
      <c r="CA196" s="24" t="s">
        <v>32</v>
      </c>
      <c r="CB196" s="24" t="s">
        <v>423</v>
      </c>
      <c r="CC196" s="24">
        <v>1</v>
      </c>
      <c r="CF196" s="24">
        <v>2021</v>
      </c>
      <c r="CG196" s="24">
        <v>36</v>
      </c>
      <c r="CH196" s="24" t="s">
        <v>32</v>
      </c>
      <c r="CI196" s="24">
        <v>74.957746478873233</v>
      </c>
      <c r="CJ196" s="24">
        <v>7983</v>
      </c>
      <c r="CK196" s="24">
        <v>106.5</v>
      </c>
      <c r="CL196" s="24">
        <v>59.148616125150419</v>
      </c>
      <c r="CM196" s="24">
        <v>11159</v>
      </c>
      <c r="CN196" s="24">
        <v>19661</v>
      </c>
      <c r="CO196" s="24">
        <v>332.4</v>
      </c>
      <c r="CP196" s="24">
        <v>8140</v>
      </c>
      <c r="CQ196" s="24">
        <v>41.5</v>
      </c>
      <c r="CR196" s="24">
        <v>201.3</v>
      </c>
      <c r="CS196" s="24">
        <v>9475</v>
      </c>
      <c r="CT196" s="24">
        <v>9475</v>
      </c>
      <c r="CU196" s="24">
        <v>264.3</v>
      </c>
      <c r="CV196" s="24">
        <v>1239</v>
      </c>
      <c r="CW196" s="24">
        <v>0</v>
      </c>
      <c r="CX196" s="24">
        <v>6598</v>
      </c>
      <c r="CY196" s="24">
        <v>42.1</v>
      </c>
      <c r="CZ196" s="24">
        <v>6637</v>
      </c>
      <c r="DA196" s="24">
        <v>201.3</v>
      </c>
      <c r="DD196" s="24">
        <v>2021</v>
      </c>
      <c r="DE196" s="24">
        <v>36</v>
      </c>
      <c r="DF196" s="24" t="s">
        <v>32</v>
      </c>
      <c r="DG196" s="24">
        <v>2468</v>
      </c>
      <c r="DH196" s="24">
        <v>2635</v>
      </c>
      <c r="DJ196" s="24">
        <v>2021</v>
      </c>
      <c r="DK196" s="24">
        <v>36</v>
      </c>
      <c r="DL196" s="24" t="s">
        <v>33</v>
      </c>
      <c r="DM196" s="24">
        <v>364</v>
      </c>
      <c r="DP196" s="24">
        <v>2020</v>
      </c>
      <c r="DQ196" s="24">
        <v>31</v>
      </c>
      <c r="DR196" s="24" t="s">
        <v>33</v>
      </c>
      <c r="DS196" s="24">
        <v>10226</v>
      </c>
      <c r="DT196" s="24"/>
      <c r="DW196" s="24">
        <v>2022</v>
      </c>
      <c r="DX196" s="24">
        <v>10</v>
      </c>
      <c r="DY196" s="24" t="s">
        <v>33</v>
      </c>
      <c r="DZ196" s="24">
        <v>49</v>
      </c>
      <c r="EA196" s="24" t="s">
        <v>149</v>
      </c>
      <c r="EB196" s="24">
        <v>305</v>
      </c>
      <c r="EC196" s="24">
        <v>1177.2</v>
      </c>
      <c r="ED196" s="24">
        <v>37251</v>
      </c>
      <c r="EE196" s="24">
        <v>48372</v>
      </c>
      <c r="EF196" s="24">
        <v>311.10000000000002</v>
      </c>
      <c r="EI196" s="24">
        <v>2023</v>
      </c>
      <c r="EJ196" s="24">
        <v>4</v>
      </c>
      <c r="EK196" s="24" t="s">
        <v>208</v>
      </c>
      <c r="EL196" s="24" t="s">
        <v>209</v>
      </c>
      <c r="EM196" s="24" t="s">
        <v>210</v>
      </c>
      <c r="EN196" s="24">
        <v>9</v>
      </c>
      <c r="EO196" s="24"/>
      <c r="EP196" s="24"/>
      <c r="EQ196" s="24"/>
      <c r="ER196" s="24"/>
      <c r="ES196" s="24">
        <v>2021</v>
      </c>
      <c r="ET196" s="24">
        <v>47</v>
      </c>
      <c r="EU196" s="24" t="s">
        <v>213</v>
      </c>
      <c r="EV196" s="24">
        <v>2</v>
      </c>
      <c r="EY196" s="24">
        <v>2021</v>
      </c>
      <c r="EZ196" s="24">
        <v>40</v>
      </c>
      <c r="FA196" s="24" t="s">
        <v>33</v>
      </c>
      <c r="FB196" s="24">
        <v>1140</v>
      </c>
      <c r="FE196" s="24">
        <v>2021</v>
      </c>
      <c r="FF196" s="24">
        <v>36</v>
      </c>
      <c r="FG196" s="24" t="s">
        <v>32</v>
      </c>
      <c r="FH196" s="24">
        <v>0.92730000000000001</v>
      </c>
      <c r="FI196" s="24">
        <v>426</v>
      </c>
      <c r="FJ196" s="24">
        <v>206</v>
      </c>
      <c r="FK196" s="24">
        <v>222</v>
      </c>
      <c r="FN196" s="24">
        <v>2021</v>
      </c>
      <c r="FO196" s="24">
        <v>37</v>
      </c>
      <c r="FP196" s="24" t="s">
        <v>32</v>
      </c>
      <c r="FQ196" s="24">
        <v>48017</v>
      </c>
      <c r="FR196" s="24">
        <v>809.26666666666699</v>
      </c>
      <c r="FS196" s="24">
        <v>32631</v>
      </c>
      <c r="FT196" s="24">
        <v>350.08333333333297</v>
      </c>
      <c r="FW196" s="24">
        <v>2021</v>
      </c>
      <c r="FX196" s="24">
        <v>36</v>
      </c>
      <c r="FY196" s="24" t="s">
        <v>32</v>
      </c>
      <c r="FZ196" s="24">
        <v>2040</v>
      </c>
      <c r="GA196" s="24">
        <v>2006</v>
      </c>
      <c r="GB196" s="24"/>
      <c r="GC196" s="24"/>
      <c r="GD196" s="24">
        <v>2021</v>
      </c>
      <c r="GE196" s="24">
        <v>36</v>
      </c>
      <c r="GF196" s="24" t="s">
        <v>32</v>
      </c>
      <c r="GG196" s="24">
        <v>2016</v>
      </c>
      <c r="GH196" s="24">
        <v>1960</v>
      </c>
      <c r="GK196" s="24"/>
      <c r="GL196" s="24"/>
      <c r="GM196" s="24"/>
      <c r="GN196" s="24"/>
      <c r="GO196" s="24"/>
      <c r="GP196" s="24">
        <v>2021</v>
      </c>
      <c r="GQ196" s="24">
        <v>36</v>
      </c>
      <c r="GR196" s="24">
        <v>0.28800000000000003</v>
      </c>
      <c r="GS196" s="24" t="s">
        <v>32</v>
      </c>
      <c r="GX196">
        <v>2021</v>
      </c>
      <c r="GY196">
        <v>36</v>
      </c>
      <c r="GZ196" t="s">
        <v>32</v>
      </c>
      <c r="HA196">
        <v>14377</v>
      </c>
      <c r="HB196">
        <v>14166</v>
      </c>
      <c r="HC196">
        <v>0</v>
      </c>
      <c r="HD196">
        <v>1</v>
      </c>
      <c r="HE196">
        <v>0</v>
      </c>
      <c r="HF196">
        <v>7</v>
      </c>
      <c r="HG196">
        <v>0</v>
      </c>
      <c r="HH196">
        <v>0</v>
      </c>
      <c r="HI196">
        <v>37</v>
      </c>
      <c r="HL196">
        <v>2021</v>
      </c>
      <c r="HM196">
        <v>36</v>
      </c>
      <c r="HN196" t="s">
        <v>32</v>
      </c>
      <c r="HO196">
        <v>14301</v>
      </c>
      <c r="HP196">
        <v>14226</v>
      </c>
      <c r="HQ196">
        <v>0</v>
      </c>
      <c r="HR196">
        <v>2</v>
      </c>
      <c r="HS196">
        <v>0</v>
      </c>
      <c r="HT196">
        <v>8</v>
      </c>
      <c r="HU196">
        <v>0</v>
      </c>
      <c r="HV196">
        <v>0</v>
      </c>
      <c r="HW196">
        <v>0</v>
      </c>
      <c r="HZ196" s="24">
        <v>2021</v>
      </c>
      <c r="IA196" s="24">
        <v>36</v>
      </c>
      <c r="IB196" s="24" t="s">
        <v>32</v>
      </c>
      <c r="IC196" s="24">
        <v>2097</v>
      </c>
      <c r="ID196" s="24">
        <v>2027</v>
      </c>
      <c r="IG196" s="24">
        <v>2021</v>
      </c>
      <c r="IH196" s="24">
        <v>36</v>
      </c>
      <c r="II196" s="24" t="s">
        <v>32</v>
      </c>
      <c r="IJ196" s="24">
        <v>1996</v>
      </c>
      <c r="IK196" s="24">
        <v>1983</v>
      </c>
    </row>
    <row r="197" spans="9:245" x14ac:dyDescent="0.4">
      <c r="I197" s="305">
        <v>2021</v>
      </c>
      <c r="J197" s="306">
        <v>36</v>
      </c>
      <c r="K197" s="306" t="s">
        <v>32</v>
      </c>
      <c r="L197" s="306">
        <v>14365</v>
      </c>
      <c r="M197" s="306">
        <v>14170</v>
      </c>
      <c r="N197" s="306">
        <v>10</v>
      </c>
      <c r="O197" s="306">
        <v>81</v>
      </c>
      <c r="P197" s="306">
        <v>24</v>
      </c>
      <c r="Q197" s="306">
        <v>2</v>
      </c>
      <c r="R197" s="24"/>
      <c r="S197" s="24"/>
      <c r="T197" s="24"/>
      <c r="W197" s="24">
        <v>2021</v>
      </c>
      <c r="X197" s="24">
        <v>36</v>
      </c>
      <c r="Y197" s="24" t="s">
        <v>33</v>
      </c>
      <c r="Z197" s="24">
        <v>227925</v>
      </c>
      <c r="AA197" s="24">
        <v>219758</v>
      </c>
      <c r="AB197" s="24">
        <v>178</v>
      </c>
      <c r="AC197" s="24">
        <v>40</v>
      </c>
      <c r="AD197" s="298"/>
      <c r="AE197" s="298"/>
      <c r="AF197" s="298"/>
      <c r="AG197" s="298"/>
      <c r="AH197" s="298"/>
      <c r="AI197" s="24"/>
      <c r="AJ197" s="24"/>
      <c r="AK197" s="24">
        <v>2021</v>
      </c>
      <c r="AL197" s="24">
        <v>36</v>
      </c>
      <c r="AM197" s="24">
        <v>14786.02</v>
      </c>
      <c r="AN197" s="24">
        <v>785.75</v>
      </c>
      <c r="AO197" s="24">
        <v>0</v>
      </c>
      <c r="AP197" s="24">
        <v>395</v>
      </c>
      <c r="AQ197" s="24">
        <v>0</v>
      </c>
      <c r="AR197" s="24">
        <v>4</v>
      </c>
      <c r="AS197" s="24" t="s">
        <v>33</v>
      </c>
      <c r="AT197" s="24"/>
      <c r="AU197" s="24">
        <v>2021</v>
      </c>
      <c r="AV197" s="24">
        <v>36</v>
      </c>
      <c r="AW197" s="24">
        <v>0.1</v>
      </c>
      <c r="AX197" s="24">
        <v>24200</v>
      </c>
      <c r="AY197" s="24">
        <v>235835</v>
      </c>
      <c r="AZ197" s="24" t="s">
        <v>33</v>
      </c>
      <c r="BA197" s="24"/>
      <c r="BB197" s="24"/>
      <c r="BC197" s="24">
        <v>2021</v>
      </c>
      <c r="BD197" s="24">
        <v>36</v>
      </c>
      <c r="BE197" s="24">
        <v>2276.3138571428599</v>
      </c>
      <c r="BF197" s="24" t="s">
        <v>33</v>
      </c>
      <c r="BG197" s="24"/>
      <c r="BI197" s="24">
        <v>2022</v>
      </c>
      <c r="BJ197" s="24">
        <v>23</v>
      </c>
      <c r="BK197" s="24" t="s">
        <v>32</v>
      </c>
      <c r="BL197" s="24" t="s">
        <v>272</v>
      </c>
      <c r="BM197" s="24">
        <v>3038</v>
      </c>
      <c r="BN197" s="24">
        <v>3036</v>
      </c>
      <c r="BO197" s="24">
        <v>10880</v>
      </c>
      <c r="BR197" s="24">
        <v>2021</v>
      </c>
      <c r="BS197" s="24">
        <v>36</v>
      </c>
      <c r="BT197" s="24">
        <v>234760</v>
      </c>
      <c r="BU197" s="24">
        <v>1</v>
      </c>
      <c r="BV197" s="24" t="s">
        <v>33</v>
      </c>
      <c r="BY197" s="24">
        <v>2021</v>
      </c>
      <c r="BZ197" s="24">
        <v>35</v>
      </c>
      <c r="CA197" s="24" t="s">
        <v>33</v>
      </c>
      <c r="CB197" s="24" t="s">
        <v>423</v>
      </c>
      <c r="CC197" s="24">
        <v>6</v>
      </c>
      <c r="CF197" s="24">
        <v>2021</v>
      </c>
      <c r="CG197" s="24">
        <v>36</v>
      </c>
      <c r="CH197" s="24" t="s">
        <v>33</v>
      </c>
      <c r="CI197" s="24">
        <v>104.73761431994913</v>
      </c>
      <c r="CJ197" s="24">
        <v>214157</v>
      </c>
      <c r="CK197" s="24">
        <v>2044.7</v>
      </c>
      <c r="CL197" s="24">
        <v>95.572063378069032</v>
      </c>
      <c r="CM197" s="24">
        <v>105979</v>
      </c>
      <c r="CN197" s="24">
        <v>212925</v>
      </c>
      <c r="CO197" s="24">
        <v>2227.9</v>
      </c>
      <c r="CP197" s="24">
        <v>50830</v>
      </c>
      <c r="CQ197" s="24">
        <v>273.2</v>
      </c>
      <c r="CR197" s="24">
        <v>1169.4000000000001</v>
      </c>
      <c r="CS197" s="24">
        <v>152199</v>
      </c>
      <c r="CT197" s="24">
        <v>152199</v>
      </c>
      <c r="CU197" s="24">
        <v>1537.6</v>
      </c>
      <c r="CV197" s="24">
        <v>47802</v>
      </c>
      <c r="CW197" s="24">
        <v>0</v>
      </c>
      <c r="CX197" s="24">
        <v>128787</v>
      </c>
      <c r="CY197" s="24">
        <v>556.4</v>
      </c>
      <c r="CZ197" s="24">
        <v>40318</v>
      </c>
      <c r="DA197" s="24">
        <v>1169.4000000000001</v>
      </c>
      <c r="DD197" s="24">
        <v>2021</v>
      </c>
      <c r="DE197" s="24">
        <v>36</v>
      </c>
      <c r="DF197" s="24" t="s">
        <v>33</v>
      </c>
      <c r="DG197" s="24">
        <v>28006</v>
      </c>
      <c r="DH197" s="24">
        <v>24285</v>
      </c>
      <c r="DJ197" s="24">
        <v>2021</v>
      </c>
      <c r="DK197" s="24">
        <v>35</v>
      </c>
      <c r="DL197" s="24" t="s">
        <v>32</v>
      </c>
      <c r="DM197" s="24">
        <v>18</v>
      </c>
      <c r="DP197" s="24">
        <v>2020</v>
      </c>
      <c r="DQ197" s="24">
        <v>30</v>
      </c>
      <c r="DR197" s="24" t="s">
        <v>33</v>
      </c>
      <c r="DS197" s="24">
        <v>9160</v>
      </c>
      <c r="DT197" s="24"/>
      <c r="DW197" s="24">
        <v>2022</v>
      </c>
      <c r="DX197" s="24">
        <v>9</v>
      </c>
      <c r="DY197" s="24" t="s">
        <v>32</v>
      </c>
      <c r="DZ197" s="24">
        <v>1</v>
      </c>
      <c r="EA197" s="24" t="s">
        <v>149</v>
      </c>
      <c r="EB197" s="24">
        <v>0</v>
      </c>
      <c r="EC197" s="24">
        <v>0</v>
      </c>
      <c r="ED197" s="24">
        <v>150</v>
      </c>
      <c r="EE197" s="24">
        <v>27</v>
      </c>
      <c r="EF197" s="24">
        <v>4.3</v>
      </c>
      <c r="EI197" s="24">
        <v>2023</v>
      </c>
      <c r="EJ197" s="24">
        <v>4</v>
      </c>
      <c r="EK197" s="24" t="s">
        <v>208</v>
      </c>
      <c r="EL197" s="24" t="s">
        <v>247</v>
      </c>
      <c r="EM197" s="24" t="s">
        <v>234</v>
      </c>
      <c r="EN197" s="24">
        <v>1</v>
      </c>
      <c r="EO197" s="24"/>
      <c r="EP197" s="24"/>
      <c r="EQ197" s="24"/>
      <c r="ER197" s="24"/>
      <c r="ES197" s="24">
        <v>2021</v>
      </c>
      <c r="ET197" s="24">
        <v>46</v>
      </c>
      <c r="EU197" s="24" t="s">
        <v>32</v>
      </c>
      <c r="EV197" s="24">
        <v>5818</v>
      </c>
      <c r="EY197" s="24">
        <v>2021</v>
      </c>
      <c r="EZ197" s="24">
        <v>39</v>
      </c>
      <c r="FA197" s="24" t="s">
        <v>32</v>
      </c>
      <c r="FB197" s="24">
        <v>550</v>
      </c>
      <c r="FE197" s="24">
        <v>2021</v>
      </c>
      <c r="FF197" s="24">
        <v>36</v>
      </c>
      <c r="FG197" s="24" t="s">
        <v>33</v>
      </c>
      <c r="FH197" s="24">
        <v>0.87550000000000006</v>
      </c>
      <c r="FI197" s="24">
        <v>9301</v>
      </c>
      <c r="FJ197" s="24">
        <v>4208</v>
      </c>
      <c r="FK197" s="24">
        <v>4842</v>
      </c>
      <c r="FN197" s="24">
        <v>2021</v>
      </c>
      <c r="FO197" s="24">
        <v>37</v>
      </c>
      <c r="FP197" s="24" t="s">
        <v>33</v>
      </c>
      <c r="FQ197" s="24">
        <v>869927</v>
      </c>
      <c r="FR197" s="24">
        <v>7224.1333333333396</v>
      </c>
      <c r="FS197" s="24">
        <v>348130</v>
      </c>
      <c r="FT197" s="24">
        <v>2460.9666666666699</v>
      </c>
      <c r="FW197" s="24">
        <v>2021</v>
      </c>
      <c r="FX197" s="24">
        <v>36</v>
      </c>
      <c r="FY197" s="24" t="s">
        <v>33</v>
      </c>
      <c r="FZ197" s="24">
        <v>13830</v>
      </c>
      <c r="GA197" s="24">
        <v>13377</v>
      </c>
      <c r="GB197" s="24"/>
      <c r="GC197" s="24"/>
      <c r="GD197" s="24">
        <v>2021</v>
      </c>
      <c r="GE197" s="24">
        <v>36</v>
      </c>
      <c r="GF197" s="24" t="s">
        <v>33</v>
      </c>
      <c r="GG197" s="24">
        <v>13778</v>
      </c>
      <c r="GH197" s="24">
        <v>13475</v>
      </c>
      <c r="GK197" s="24"/>
      <c r="GL197" s="24"/>
      <c r="GM197" s="24"/>
      <c r="GN197" s="24"/>
      <c r="GO197" s="24"/>
      <c r="GP197" s="24">
        <v>2021</v>
      </c>
      <c r="GQ197" s="24">
        <v>36</v>
      </c>
      <c r="GR197" s="24">
        <v>20.2577142857143</v>
      </c>
      <c r="GS197" s="24" t="s">
        <v>33</v>
      </c>
      <c r="GX197">
        <v>2021</v>
      </c>
      <c r="GY197">
        <v>36</v>
      </c>
      <c r="GZ197" t="s">
        <v>33</v>
      </c>
      <c r="HA197">
        <v>232795</v>
      </c>
      <c r="HB197">
        <v>229985</v>
      </c>
      <c r="HC197">
        <v>445</v>
      </c>
      <c r="HD197">
        <v>95</v>
      </c>
      <c r="HE197">
        <v>0</v>
      </c>
      <c r="HF197">
        <v>211</v>
      </c>
      <c r="HG197">
        <v>0</v>
      </c>
      <c r="HH197">
        <v>0</v>
      </c>
      <c r="HI197">
        <v>582</v>
      </c>
      <c r="HL197">
        <v>2021</v>
      </c>
      <c r="HM197">
        <v>36</v>
      </c>
      <c r="HN197" t="s">
        <v>33</v>
      </c>
      <c r="HO197">
        <v>227587</v>
      </c>
      <c r="HP197">
        <v>225856</v>
      </c>
      <c r="HQ197">
        <v>823</v>
      </c>
      <c r="HR197">
        <v>72</v>
      </c>
      <c r="HS197">
        <v>0</v>
      </c>
      <c r="HT197">
        <v>154</v>
      </c>
      <c r="HU197">
        <v>0</v>
      </c>
      <c r="HV197">
        <v>0</v>
      </c>
      <c r="HW197">
        <v>107</v>
      </c>
      <c r="HZ197" s="24">
        <v>2021</v>
      </c>
      <c r="IA197" s="24">
        <v>36</v>
      </c>
      <c r="IB197" s="24" t="s">
        <v>33</v>
      </c>
      <c r="IC197" s="24">
        <v>13625</v>
      </c>
      <c r="ID197" s="24">
        <v>13323</v>
      </c>
      <c r="IG197" s="24">
        <v>2021</v>
      </c>
      <c r="IH197" s="24">
        <v>36</v>
      </c>
      <c r="II197" s="24" t="s">
        <v>33</v>
      </c>
      <c r="IJ197" s="24">
        <v>12906</v>
      </c>
      <c r="IK197" s="24">
        <v>12813</v>
      </c>
    </row>
    <row r="198" spans="9:245" x14ac:dyDescent="0.4">
      <c r="I198" s="305">
        <v>2021</v>
      </c>
      <c r="J198" s="306">
        <v>36</v>
      </c>
      <c r="K198" s="306" t="s">
        <v>33</v>
      </c>
      <c r="L198" s="306">
        <v>228720</v>
      </c>
      <c r="M198" s="306">
        <v>219664</v>
      </c>
      <c r="N198" s="306">
        <v>436</v>
      </c>
      <c r="O198" s="306">
        <v>2263</v>
      </c>
      <c r="P198" s="306">
        <v>250</v>
      </c>
      <c r="Q198" s="306">
        <v>46</v>
      </c>
      <c r="R198" s="24"/>
      <c r="S198" s="24"/>
      <c r="T198" s="24"/>
      <c r="W198" s="24">
        <v>2021</v>
      </c>
      <c r="X198" s="24">
        <v>35</v>
      </c>
      <c r="Y198" s="24" t="s">
        <v>32</v>
      </c>
      <c r="Z198" s="24">
        <v>14561</v>
      </c>
      <c r="AA198" s="24">
        <v>14301</v>
      </c>
      <c r="AB198" s="24">
        <v>21</v>
      </c>
      <c r="AC198" s="24">
        <v>9</v>
      </c>
      <c r="AD198" s="298"/>
      <c r="AE198" s="298"/>
      <c r="AF198" s="298"/>
      <c r="AG198" s="298"/>
      <c r="AH198" s="298"/>
      <c r="AI198" s="24"/>
      <c r="AJ198" s="24"/>
      <c r="AK198" s="24">
        <v>2021</v>
      </c>
      <c r="AL198" s="24">
        <v>35</v>
      </c>
      <c r="AM198" s="24">
        <v>787.38</v>
      </c>
      <c r="AN198" s="24">
        <v>67.37</v>
      </c>
      <c r="AO198" s="24">
        <v>0</v>
      </c>
      <c r="AP198" s="24">
        <v>18</v>
      </c>
      <c r="AQ198" s="24">
        <v>0</v>
      </c>
      <c r="AR198" s="24">
        <v>0</v>
      </c>
      <c r="AS198" s="24" t="s">
        <v>32</v>
      </c>
      <c r="AT198" s="24"/>
      <c r="AU198" s="24">
        <v>2021</v>
      </c>
      <c r="AV198" s="24">
        <v>35</v>
      </c>
      <c r="AW198" s="24">
        <v>0.08</v>
      </c>
      <c r="AX198" s="24">
        <v>1300</v>
      </c>
      <c r="AY198" s="24">
        <v>15333</v>
      </c>
      <c r="AZ198" s="24" t="s">
        <v>32</v>
      </c>
      <c r="BA198" s="24"/>
      <c r="BB198" s="24"/>
      <c r="BC198" s="24">
        <v>2021</v>
      </c>
      <c r="BD198" s="24">
        <v>35</v>
      </c>
      <c r="BE198" s="24">
        <v>188.182285714286</v>
      </c>
      <c r="BF198" s="24" t="s">
        <v>32</v>
      </c>
      <c r="BG198" s="24"/>
      <c r="BI198" s="24">
        <v>2022</v>
      </c>
      <c r="BJ198" s="24">
        <v>22</v>
      </c>
      <c r="BK198" s="24" t="s">
        <v>32</v>
      </c>
      <c r="BL198" s="24" t="s">
        <v>272</v>
      </c>
      <c r="BM198" s="24">
        <v>2852</v>
      </c>
      <c r="BN198" s="24">
        <v>2848</v>
      </c>
      <c r="BO198" s="24">
        <v>9885</v>
      </c>
      <c r="BR198" s="24">
        <v>2021</v>
      </c>
      <c r="BS198" s="24">
        <v>35</v>
      </c>
      <c r="BT198" s="24">
        <v>280170</v>
      </c>
      <c r="BU198" s="24">
        <v>5</v>
      </c>
      <c r="BV198" s="24" t="s">
        <v>33</v>
      </c>
      <c r="BY198" s="24">
        <v>2021</v>
      </c>
      <c r="BZ198" s="24">
        <v>34</v>
      </c>
      <c r="CA198" s="24" t="s">
        <v>33</v>
      </c>
      <c r="CB198" s="24" t="s">
        <v>423</v>
      </c>
      <c r="CC198" s="24">
        <v>1</v>
      </c>
      <c r="CF198" s="24">
        <v>2021</v>
      </c>
      <c r="CG198" s="24">
        <v>35</v>
      </c>
      <c r="CH198" s="24" t="s">
        <v>32</v>
      </c>
      <c r="CI198" s="24">
        <v>89.813571961222962</v>
      </c>
      <c r="CJ198" s="24">
        <v>12044</v>
      </c>
      <c r="CK198" s="24">
        <v>134.1</v>
      </c>
      <c r="CL198" s="24">
        <v>64.519337016574582</v>
      </c>
      <c r="CM198" s="24">
        <v>12763</v>
      </c>
      <c r="CN198" s="24">
        <v>23356</v>
      </c>
      <c r="CO198" s="24">
        <v>362</v>
      </c>
      <c r="CP198" s="24">
        <v>8340</v>
      </c>
      <c r="CQ198" s="24">
        <v>50.7</v>
      </c>
      <c r="CR198" s="24">
        <v>203.9</v>
      </c>
      <c r="CS198" s="24">
        <v>10745</v>
      </c>
      <c r="CT198" s="24">
        <v>10745</v>
      </c>
      <c r="CU198" s="24">
        <v>335.9</v>
      </c>
      <c r="CV198" s="24">
        <v>2291</v>
      </c>
      <c r="CW198" s="24">
        <v>0</v>
      </c>
      <c r="CX198" s="24">
        <v>10941</v>
      </c>
      <c r="CY198" s="24">
        <v>50.5</v>
      </c>
      <c r="CZ198" s="24">
        <v>6548</v>
      </c>
      <c r="DA198" s="24">
        <v>203.9</v>
      </c>
      <c r="DD198" s="24">
        <v>2021</v>
      </c>
      <c r="DE198" s="24">
        <v>35</v>
      </c>
      <c r="DF198" s="24" t="s">
        <v>32</v>
      </c>
      <c r="DG198" s="24">
        <v>4037</v>
      </c>
      <c r="DH198" s="24">
        <v>2161</v>
      </c>
      <c r="DJ198" s="24">
        <v>2021</v>
      </c>
      <c r="DK198" s="24">
        <v>35</v>
      </c>
      <c r="DL198" s="24" t="s">
        <v>33</v>
      </c>
      <c r="DM198" s="24">
        <v>1009</v>
      </c>
      <c r="DP198" s="24">
        <v>2020</v>
      </c>
      <c r="DQ198" s="24">
        <v>29</v>
      </c>
      <c r="DR198" s="24" t="s">
        <v>33</v>
      </c>
      <c r="DS198" s="24">
        <v>8459</v>
      </c>
      <c r="DT198" s="24"/>
      <c r="DW198" s="24">
        <v>2022</v>
      </c>
      <c r="DX198" s="24">
        <v>9</v>
      </c>
      <c r="DY198" s="24" t="s">
        <v>33</v>
      </c>
      <c r="DZ198" s="24">
        <v>9</v>
      </c>
      <c r="EA198" s="24" t="s">
        <v>562</v>
      </c>
      <c r="EB198" s="24">
        <v>68.900000000000006</v>
      </c>
      <c r="EC198" s="24">
        <v>43.3</v>
      </c>
      <c r="ED198" s="24">
        <v>7</v>
      </c>
      <c r="EE198" s="24">
        <v>3344</v>
      </c>
      <c r="EF198" s="24">
        <v>47.1</v>
      </c>
      <c r="EI198" s="24">
        <v>2023</v>
      </c>
      <c r="EJ198" s="24">
        <v>4</v>
      </c>
      <c r="EK198" s="24" t="s">
        <v>208</v>
      </c>
      <c r="EL198" s="24" t="s">
        <v>245</v>
      </c>
      <c r="EM198" s="24" t="s">
        <v>210</v>
      </c>
      <c r="EN198" s="24">
        <v>1</v>
      </c>
      <c r="EO198" s="24"/>
      <c r="EP198" s="24"/>
      <c r="EQ198" s="24"/>
      <c r="ER198" s="24"/>
      <c r="ES198" s="24">
        <v>2021</v>
      </c>
      <c r="ET198" s="24">
        <v>46</v>
      </c>
      <c r="EU198" s="24" t="s">
        <v>33</v>
      </c>
      <c r="EV198" s="24">
        <v>123463</v>
      </c>
      <c r="EY198" s="24">
        <v>2021</v>
      </c>
      <c r="EZ198" s="24">
        <v>39</v>
      </c>
      <c r="FA198" s="24" t="s">
        <v>33</v>
      </c>
      <c r="FB198" s="24">
        <v>1090</v>
      </c>
      <c r="FE198" s="24">
        <v>2021</v>
      </c>
      <c r="FF198" s="24">
        <v>35</v>
      </c>
      <c r="FG198" s="24" t="s">
        <v>32</v>
      </c>
      <c r="FH198" s="24">
        <v>0.91870000000000007</v>
      </c>
      <c r="FI198" s="24">
        <v>400</v>
      </c>
      <c r="FJ198" s="24">
        <v>191</v>
      </c>
      <c r="FK198" s="24">
        <v>208</v>
      </c>
      <c r="FN198" s="24">
        <v>2021</v>
      </c>
      <c r="FO198" s="24">
        <v>36</v>
      </c>
      <c r="FP198" s="24" t="s">
        <v>32</v>
      </c>
      <c r="FQ198" s="24">
        <v>32611</v>
      </c>
      <c r="FR198" s="24">
        <v>677.75</v>
      </c>
      <c r="FS198" s="24">
        <v>30420</v>
      </c>
      <c r="FT198" s="24">
        <v>333.66666666666697</v>
      </c>
      <c r="FW198" s="24">
        <v>2021</v>
      </c>
      <c r="FX198" s="24">
        <v>35</v>
      </c>
      <c r="FY198" s="24" t="s">
        <v>32</v>
      </c>
      <c r="FZ198" s="24">
        <v>1958</v>
      </c>
      <c r="GA198" s="24">
        <v>1889</v>
      </c>
      <c r="GB198" s="24"/>
      <c r="GC198" s="24"/>
      <c r="GD198" s="24">
        <v>2021</v>
      </c>
      <c r="GE198" s="24">
        <v>35</v>
      </c>
      <c r="GF198" s="24" t="s">
        <v>32</v>
      </c>
      <c r="GG198" s="24">
        <v>1913</v>
      </c>
      <c r="GH198" s="24">
        <v>1866</v>
      </c>
      <c r="GK198" s="24"/>
      <c r="GL198" s="24"/>
      <c r="GM198" s="24"/>
      <c r="GN198" s="24"/>
      <c r="GO198" s="24"/>
      <c r="GP198" s="24">
        <v>2021</v>
      </c>
      <c r="GQ198" s="24">
        <v>35</v>
      </c>
      <c r="GR198" s="24">
        <v>0.28942857142857104</v>
      </c>
      <c r="GS198" s="24" t="s">
        <v>32</v>
      </c>
      <c r="GX198">
        <v>2021</v>
      </c>
      <c r="GY198">
        <v>35</v>
      </c>
      <c r="GZ198" t="s">
        <v>32</v>
      </c>
      <c r="HA198">
        <v>14399</v>
      </c>
      <c r="HB198">
        <v>14143</v>
      </c>
      <c r="HC198">
        <v>0</v>
      </c>
      <c r="HD198">
        <v>5</v>
      </c>
      <c r="HE198">
        <v>0</v>
      </c>
      <c r="HF198">
        <v>8</v>
      </c>
      <c r="HG198">
        <v>0</v>
      </c>
      <c r="HH198">
        <v>0</v>
      </c>
      <c r="HI198">
        <v>70</v>
      </c>
      <c r="HL198">
        <v>2021</v>
      </c>
      <c r="HM198">
        <v>35</v>
      </c>
      <c r="HN198" t="s">
        <v>32</v>
      </c>
      <c r="HO198">
        <v>14540</v>
      </c>
      <c r="HP198">
        <v>14467</v>
      </c>
      <c r="HQ198">
        <v>0</v>
      </c>
      <c r="HR198">
        <v>5</v>
      </c>
      <c r="HS198">
        <v>0</v>
      </c>
      <c r="HT198">
        <v>11</v>
      </c>
      <c r="HU198">
        <v>0</v>
      </c>
      <c r="HV198">
        <v>0</v>
      </c>
      <c r="HW198">
        <v>4</v>
      </c>
      <c r="HZ198" s="24">
        <v>2021</v>
      </c>
      <c r="IA198" s="24">
        <v>35</v>
      </c>
      <c r="IB198" s="24" t="s">
        <v>32</v>
      </c>
      <c r="IC198" s="24">
        <v>1885</v>
      </c>
      <c r="ID198" s="24">
        <v>1809</v>
      </c>
      <c r="IG198" s="24">
        <v>2021</v>
      </c>
      <c r="IH198" s="24">
        <v>35</v>
      </c>
      <c r="II198" s="24" t="s">
        <v>32</v>
      </c>
      <c r="IJ198" s="24">
        <v>1880</v>
      </c>
      <c r="IK198" s="24">
        <v>1865</v>
      </c>
    </row>
    <row r="199" spans="9:245" x14ac:dyDescent="0.4">
      <c r="I199" s="305">
        <v>2021</v>
      </c>
      <c r="J199" s="306">
        <v>35</v>
      </c>
      <c r="K199" s="306" t="s">
        <v>32</v>
      </c>
      <c r="L199" s="306">
        <v>14579</v>
      </c>
      <c r="M199" s="306">
        <v>14245</v>
      </c>
      <c r="N199" s="306">
        <v>61</v>
      </c>
      <c r="O199" s="306">
        <v>151</v>
      </c>
      <c r="P199" s="306">
        <v>42</v>
      </c>
      <c r="Q199" s="306">
        <v>8</v>
      </c>
      <c r="R199" s="24"/>
      <c r="S199" s="24"/>
      <c r="T199" s="24"/>
      <c r="W199" s="24">
        <v>2021</v>
      </c>
      <c r="X199" s="24">
        <v>35</v>
      </c>
      <c r="Y199" s="24" t="s">
        <v>33</v>
      </c>
      <c r="Z199" s="24">
        <v>283535</v>
      </c>
      <c r="AA199" s="24">
        <v>275881</v>
      </c>
      <c r="AB199" s="24">
        <v>227</v>
      </c>
      <c r="AC199" s="24">
        <v>67</v>
      </c>
      <c r="AD199" s="298"/>
      <c r="AE199" s="298"/>
      <c r="AF199" s="298"/>
      <c r="AG199" s="298"/>
      <c r="AH199" s="298"/>
      <c r="AI199" s="24"/>
      <c r="AJ199" s="24"/>
      <c r="AK199" s="24">
        <v>2021</v>
      </c>
      <c r="AL199" s="24">
        <v>35</v>
      </c>
      <c r="AM199" s="24">
        <v>15833.58</v>
      </c>
      <c r="AN199" s="24">
        <v>1599.67</v>
      </c>
      <c r="AO199" s="24">
        <v>0</v>
      </c>
      <c r="AP199" s="24">
        <v>383</v>
      </c>
      <c r="AQ199" s="24">
        <v>0</v>
      </c>
      <c r="AR199" s="24">
        <v>5</v>
      </c>
      <c r="AS199" s="24" t="s">
        <v>33</v>
      </c>
      <c r="AT199" s="24"/>
      <c r="AU199" s="24">
        <v>2021</v>
      </c>
      <c r="AV199" s="24">
        <v>35</v>
      </c>
      <c r="AW199" s="24">
        <v>0.09</v>
      </c>
      <c r="AX199" s="24">
        <v>25000</v>
      </c>
      <c r="AY199" s="24">
        <v>281164</v>
      </c>
      <c r="AZ199" s="24" t="s">
        <v>33</v>
      </c>
      <c r="BA199" s="24"/>
      <c r="BB199" s="24"/>
      <c r="BC199" s="24">
        <v>2021</v>
      </c>
      <c r="BD199" s="24">
        <v>35</v>
      </c>
      <c r="BE199" s="24">
        <v>2277.8852857142897</v>
      </c>
      <c r="BF199" s="24" t="s">
        <v>33</v>
      </c>
      <c r="BG199" s="24"/>
      <c r="BI199" s="24">
        <v>2022</v>
      </c>
      <c r="BJ199" s="24">
        <v>22</v>
      </c>
      <c r="BK199" s="24" t="s">
        <v>33</v>
      </c>
      <c r="BL199" s="24" t="s">
        <v>273</v>
      </c>
      <c r="BM199" s="24">
        <v>103292</v>
      </c>
      <c r="BN199" s="24">
        <v>102635</v>
      </c>
      <c r="BO199" s="24">
        <v>106181</v>
      </c>
      <c r="BR199" s="24">
        <v>2021</v>
      </c>
      <c r="BS199" s="24">
        <v>35</v>
      </c>
      <c r="BT199" s="24">
        <v>15153</v>
      </c>
      <c r="BU199" s="24">
        <v>0</v>
      </c>
      <c r="BV199" s="24" t="s">
        <v>32</v>
      </c>
      <c r="BY199" s="24">
        <v>2021</v>
      </c>
      <c r="BZ199" s="24">
        <v>32</v>
      </c>
      <c r="CA199" s="24" t="s">
        <v>32</v>
      </c>
      <c r="CB199" s="24" t="s">
        <v>108</v>
      </c>
      <c r="CC199" s="24">
        <v>2</v>
      </c>
      <c r="CF199" s="24">
        <v>2021</v>
      </c>
      <c r="CG199" s="24">
        <v>35</v>
      </c>
      <c r="CH199" s="24" t="s">
        <v>33</v>
      </c>
      <c r="CI199" s="24">
        <v>125.45114384502439</v>
      </c>
      <c r="CJ199" s="24">
        <v>264865</v>
      </c>
      <c r="CK199" s="24">
        <v>2111.3000000000002</v>
      </c>
      <c r="CL199" s="24">
        <v>103.46384354546171</v>
      </c>
      <c r="CM199" s="24">
        <v>134642</v>
      </c>
      <c r="CN199" s="24">
        <v>262405</v>
      </c>
      <c r="CO199" s="24">
        <v>2536.1999999999998</v>
      </c>
      <c r="CP199" s="24">
        <v>49680</v>
      </c>
      <c r="CQ199" s="24">
        <v>258.39999999999998</v>
      </c>
      <c r="CR199" s="24">
        <v>1134.5999999999999</v>
      </c>
      <c r="CS199" s="24">
        <v>172947</v>
      </c>
      <c r="CT199" s="24">
        <v>172947</v>
      </c>
      <c r="CU199" s="24">
        <v>1868.1</v>
      </c>
      <c r="CV199" s="24">
        <v>47613</v>
      </c>
      <c r="CW199" s="24">
        <v>0</v>
      </c>
      <c r="CX199" s="24">
        <v>165091</v>
      </c>
      <c r="CY199" s="24">
        <v>773.3</v>
      </c>
      <c r="CZ199" s="24">
        <v>39354</v>
      </c>
      <c r="DA199" s="24">
        <v>1134.5999999999999</v>
      </c>
      <c r="DD199" s="24">
        <v>2021</v>
      </c>
      <c r="DE199" s="24">
        <v>35</v>
      </c>
      <c r="DF199" s="24" t="s">
        <v>33</v>
      </c>
      <c r="DG199" s="24">
        <v>41615</v>
      </c>
      <c r="DH199" s="24">
        <v>29724</v>
      </c>
      <c r="DJ199" s="24">
        <v>2021</v>
      </c>
      <c r="DK199" s="24">
        <v>34</v>
      </c>
      <c r="DL199" s="24" t="s">
        <v>32</v>
      </c>
      <c r="DM199" s="24">
        <v>17</v>
      </c>
      <c r="DP199" s="24">
        <v>2020</v>
      </c>
      <c r="DQ199" s="24">
        <v>28</v>
      </c>
      <c r="DR199" s="24" t="s">
        <v>33</v>
      </c>
      <c r="DS199" s="24">
        <v>7820</v>
      </c>
      <c r="DT199" s="24"/>
      <c r="DW199" s="24">
        <v>2022</v>
      </c>
      <c r="DX199" s="24">
        <v>9</v>
      </c>
      <c r="DY199" s="24" t="s">
        <v>33</v>
      </c>
      <c r="DZ199" s="24">
        <v>48</v>
      </c>
      <c r="EA199" s="24" t="s">
        <v>149</v>
      </c>
      <c r="EB199" s="24">
        <v>254.8</v>
      </c>
      <c r="EC199" s="24">
        <v>1281.2</v>
      </c>
      <c r="ED199" s="24">
        <v>40583</v>
      </c>
      <c r="EE199" s="24">
        <v>49526</v>
      </c>
      <c r="EF199" s="24">
        <v>288.8</v>
      </c>
      <c r="EI199" s="24">
        <v>2023</v>
      </c>
      <c r="EJ199" s="24">
        <v>4</v>
      </c>
      <c r="EK199" s="24" t="s">
        <v>208</v>
      </c>
      <c r="EL199" s="24" t="s">
        <v>410</v>
      </c>
      <c r="EM199" s="24" t="s">
        <v>210</v>
      </c>
      <c r="EN199" s="24">
        <v>1</v>
      </c>
      <c r="EO199" s="24"/>
      <c r="EP199" s="24"/>
      <c r="EQ199" s="24"/>
      <c r="ER199" s="24"/>
      <c r="ES199" s="24">
        <v>2021</v>
      </c>
      <c r="ET199" s="24">
        <v>46</v>
      </c>
      <c r="EU199" s="24" t="s">
        <v>213</v>
      </c>
      <c r="EV199" s="24">
        <v>2</v>
      </c>
      <c r="EY199" s="24">
        <v>2021</v>
      </c>
      <c r="EZ199" s="24">
        <v>38</v>
      </c>
      <c r="FA199" s="24" t="s">
        <v>32</v>
      </c>
      <c r="FB199" s="24">
        <v>594</v>
      </c>
      <c r="FE199" s="24">
        <v>2021</v>
      </c>
      <c r="FF199" s="24">
        <v>35</v>
      </c>
      <c r="FG199" s="24" t="s">
        <v>33</v>
      </c>
      <c r="FH199" s="24">
        <v>0.90450000000000008</v>
      </c>
      <c r="FI199" s="24">
        <v>13649</v>
      </c>
      <c r="FJ199" s="24">
        <v>6213</v>
      </c>
      <c r="FK199" s="24">
        <v>6923</v>
      </c>
      <c r="FN199" s="24">
        <v>2021</v>
      </c>
      <c r="FO199" s="24">
        <v>36</v>
      </c>
      <c r="FP199" s="24" t="s">
        <v>33</v>
      </c>
      <c r="FQ199" s="24">
        <v>729237</v>
      </c>
      <c r="FR199" s="24">
        <v>6721.7666666666692</v>
      </c>
      <c r="FS199" s="24">
        <v>368200</v>
      </c>
      <c r="FT199" s="24">
        <v>2520.9</v>
      </c>
      <c r="FW199" s="24">
        <v>2021</v>
      </c>
      <c r="FX199" s="24">
        <v>35</v>
      </c>
      <c r="FY199" s="24" t="s">
        <v>33</v>
      </c>
      <c r="FZ199" s="24">
        <v>16672</v>
      </c>
      <c r="GA199" s="24">
        <v>15933</v>
      </c>
      <c r="GB199" s="24"/>
      <c r="GC199" s="24"/>
      <c r="GD199" s="24">
        <v>2021</v>
      </c>
      <c r="GE199" s="24">
        <v>35</v>
      </c>
      <c r="GF199" s="24" t="s">
        <v>33</v>
      </c>
      <c r="GG199" s="24">
        <v>16743</v>
      </c>
      <c r="GH199" s="24">
        <v>16299</v>
      </c>
      <c r="GK199" s="24"/>
      <c r="GL199" s="24"/>
      <c r="GM199" s="24"/>
      <c r="GN199" s="24"/>
      <c r="GO199" s="24"/>
      <c r="GP199" s="24">
        <v>2021</v>
      </c>
      <c r="GQ199" s="24">
        <v>35</v>
      </c>
      <c r="GR199" s="24">
        <v>16.675000000000001</v>
      </c>
      <c r="GS199" s="24" t="s">
        <v>33</v>
      </c>
      <c r="GX199">
        <v>2021</v>
      </c>
      <c r="GY199">
        <v>35</v>
      </c>
      <c r="GZ199" t="s">
        <v>33</v>
      </c>
      <c r="HA199">
        <v>280756</v>
      </c>
      <c r="HB199">
        <v>272841</v>
      </c>
      <c r="HC199">
        <v>2010</v>
      </c>
      <c r="HD199">
        <v>370</v>
      </c>
      <c r="HE199">
        <v>0</v>
      </c>
      <c r="HF199">
        <v>1209</v>
      </c>
      <c r="HG199">
        <v>0</v>
      </c>
      <c r="HH199">
        <v>0</v>
      </c>
      <c r="HI199">
        <v>861</v>
      </c>
      <c r="HL199">
        <v>2021</v>
      </c>
      <c r="HM199">
        <v>35</v>
      </c>
      <c r="HN199" t="s">
        <v>33</v>
      </c>
      <c r="HO199">
        <v>283077</v>
      </c>
      <c r="HP199">
        <v>277658</v>
      </c>
      <c r="HQ199">
        <v>1804</v>
      </c>
      <c r="HR199">
        <v>291</v>
      </c>
      <c r="HS199">
        <v>0</v>
      </c>
      <c r="HT199">
        <v>1019</v>
      </c>
      <c r="HU199">
        <v>0</v>
      </c>
      <c r="HV199">
        <v>0</v>
      </c>
      <c r="HW199">
        <v>296</v>
      </c>
      <c r="HZ199" s="24">
        <v>2021</v>
      </c>
      <c r="IA199" s="24">
        <v>35</v>
      </c>
      <c r="IB199" s="24" t="s">
        <v>33</v>
      </c>
      <c r="IC199" s="24">
        <v>16934</v>
      </c>
      <c r="ID199" s="24">
        <v>16171</v>
      </c>
      <c r="IG199" s="24">
        <v>2021</v>
      </c>
      <c r="IH199" s="24">
        <v>35</v>
      </c>
      <c r="II199" s="24" t="s">
        <v>33</v>
      </c>
      <c r="IJ199" s="24">
        <v>15718</v>
      </c>
      <c r="IK199" s="24">
        <v>15459</v>
      </c>
    </row>
    <row r="200" spans="9:245" x14ac:dyDescent="0.4">
      <c r="I200" s="305">
        <v>2021</v>
      </c>
      <c r="J200" s="306">
        <v>35</v>
      </c>
      <c r="K200" s="306" t="s">
        <v>33</v>
      </c>
      <c r="L200" s="306">
        <v>283893</v>
      </c>
      <c r="M200" s="306">
        <v>275070</v>
      </c>
      <c r="N200" s="306">
        <v>529</v>
      </c>
      <c r="O200" s="306">
        <v>2427</v>
      </c>
      <c r="P200" s="306">
        <v>408</v>
      </c>
      <c r="Q200" s="306">
        <v>84</v>
      </c>
      <c r="R200" s="24"/>
      <c r="S200" s="24"/>
      <c r="T200" s="24"/>
      <c r="W200" s="24">
        <v>2021</v>
      </c>
      <c r="X200" s="24">
        <v>34</v>
      </c>
      <c r="Y200" s="24" t="s">
        <v>32</v>
      </c>
      <c r="Z200" s="24">
        <v>15053</v>
      </c>
      <c r="AA200" s="24">
        <v>14843</v>
      </c>
      <c r="AB200" s="24">
        <v>6</v>
      </c>
      <c r="AC200" s="24">
        <v>5</v>
      </c>
      <c r="AD200" s="304"/>
      <c r="AE200" s="304"/>
      <c r="AF200" s="304"/>
      <c r="AG200" s="304"/>
      <c r="AH200" s="304"/>
      <c r="AI200" s="24"/>
      <c r="AJ200" s="24"/>
      <c r="AK200" s="24">
        <v>2021</v>
      </c>
      <c r="AL200" s="24">
        <v>34</v>
      </c>
      <c r="AM200" s="24">
        <v>767.13</v>
      </c>
      <c r="AN200" s="24">
        <v>54.120000000000005</v>
      </c>
      <c r="AO200" s="24">
        <v>0</v>
      </c>
      <c r="AP200" s="24">
        <v>18</v>
      </c>
      <c r="AQ200" s="24">
        <v>0</v>
      </c>
      <c r="AR200" s="24">
        <v>0</v>
      </c>
      <c r="AS200" s="24" t="s">
        <v>32</v>
      </c>
      <c r="AT200" s="24"/>
      <c r="AU200" s="24">
        <v>2021</v>
      </c>
      <c r="AV200" s="24">
        <v>34</v>
      </c>
      <c r="AW200" s="24">
        <v>0.09</v>
      </c>
      <c r="AX200" s="24">
        <v>1400</v>
      </c>
      <c r="AY200" s="24">
        <v>15197</v>
      </c>
      <c r="AZ200" s="24" t="s">
        <v>32</v>
      </c>
      <c r="BA200" s="24"/>
      <c r="BB200" s="24"/>
      <c r="BC200" s="24">
        <v>2021</v>
      </c>
      <c r="BD200" s="24">
        <v>34</v>
      </c>
      <c r="BE200" s="24">
        <v>186.184</v>
      </c>
      <c r="BF200" s="24" t="s">
        <v>32</v>
      </c>
      <c r="BG200" s="24"/>
      <c r="BI200" s="24">
        <v>2022</v>
      </c>
      <c r="BJ200" s="24">
        <v>22</v>
      </c>
      <c r="BK200" s="24" t="s">
        <v>33</v>
      </c>
      <c r="BL200" s="24" t="s">
        <v>272</v>
      </c>
      <c r="BM200" s="24">
        <v>50875</v>
      </c>
      <c r="BN200" s="24">
        <v>50819</v>
      </c>
      <c r="BO200" s="24">
        <v>188516</v>
      </c>
      <c r="BR200" s="24">
        <v>2021</v>
      </c>
      <c r="BS200" s="24">
        <v>34</v>
      </c>
      <c r="BT200" s="24">
        <v>15100</v>
      </c>
      <c r="BU200" s="24">
        <v>0</v>
      </c>
      <c r="BV200" s="24" t="s">
        <v>32</v>
      </c>
      <c r="BY200" s="24">
        <v>2021</v>
      </c>
      <c r="BZ200" s="24">
        <v>32</v>
      </c>
      <c r="CA200" s="24" t="s">
        <v>32</v>
      </c>
      <c r="CB200" s="24" t="s">
        <v>423</v>
      </c>
      <c r="CC200" s="24">
        <v>26</v>
      </c>
      <c r="CF200" s="24">
        <v>2021</v>
      </c>
      <c r="CG200" s="24">
        <v>34</v>
      </c>
      <c r="CH200" s="24" t="s">
        <v>32</v>
      </c>
      <c r="CI200" s="24">
        <v>93.504531722054381</v>
      </c>
      <c r="CJ200" s="24">
        <v>12380</v>
      </c>
      <c r="CK200" s="24">
        <v>132.4</v>
      </c>
      <c r="CL200" s="24">
        <v>69.399003224860749</v>
      </c>
      <c r="CM200" s="24">
        <v>12085</v>
      </c>
      <c r="CN200" s="24">
        <v>23672</v>
      </c>
      <c r="CO200" s="24">
        <v>341.1</v>
      </c>
      <c r="CP200" s="24">
        <v>9342</v>
      </c>
      <c r="CQ200" s="24">
        <v>49.2</v>
      </c>
      <c r="CR200" s="24">
        <v>229.2</v>
      </c>
      <c r="CS200" s="24">
        <v>12457</v>
      </c>
      <c r="CT200" s="24">
        <v>12457</v>
      </c>
      <c r="CU200" s="24">
        <v>349.1</v>
      </c>
      <c r="CV200" s="24">
        <v>1651</v>
      </c>
      <c r="CW200" s="24">
        <v>0</v>
      </c>
      <c r="CX200" s="24">
        <v>9217</v>
      </c>
      <c r="CY200" s="24">
        <v>30.3</v>
      </c>
      <c r="CZ200" s="24">
        <v>7550</v>
      </c>
      <c r="DA200" s="24">
        <v>229.2</v>
      </c>
      <c r="DD200" s="24">
        <v>2021</v>
      </c>
      <c r="DE200" s="24">
        <v>34</v>
      </c>
      <c r="DF200" s="24" t="s">
        <v>32</v>
      </c>
      <c r="DG200" s="24">
        <v>3389</v>
      </c>
      <c r="DH200" s="24">
        <v>2730</v>
      </c>
      <c r="DJ200" s="24">
        <v>2021</v>
      </c>
      <c r="DK200" s="24">
        <v>34</v>
      </c>
      <c r="DL200" s="24" t="s">
        <v>33</v>
      </c>
      <c r="DM200" s="24">
        <v>663</v>
      </c>
      <c r="DP200" s="24">
        <v>2020</v>
      </c>
      <c r="DQ200" s="24">
        <v>27</v>
      </c>
      <c r="DR200" s="24" t="s">
        <v>33</v>
      </c>
      <c r="DS200" s="24">
        <v>12156</v>
      </c>
      <c r="DT200" s="24"/>
      <c r="DW200" s="24">
        <v>2022</v>
      </c>
      <c r="DX200" s="24">
        <v>8</v>
      </c>
      <c r="DY200" s="24" t="s">
        <v>32</v>
      </c>
      <c r="DZ200" s="24">
        <v>1</v>
      </c>
      <c r="EA200" s="24" t="s">
        <v>149</v>
      </c>
      <c r="EB200" s="24">
        <v>0</v>
      </c>
      <c r="EC200" s="24">
        <v>0</v>
      </c>
      <c r="ED200" s="24">
        <v>45</v>
      </c>
      <c r="EE200" s="24">
        <v>12</v>
      </c>
      <c r="EF200" s="24">
        <v>6.5</v>
      </c>
      <c r="EI200" s="24">
        <v>2023</v>
      </c>
      <c r="EJ200" s="24">
        <v>4</v>
      </c>
      <c r="EK200" s="24" t="s">
        <v>558</v>
      </c>
      <c r="EL200" s="24" t="s">
        <v>555</v>
      </c>
      <c r="EM200" s="24" t="s">
        <v>210</v>
      </c>
      <c r="EN200" s="24">
        <v>4</v>
      </c>
      <c r="EO200" s="24"/>
      <c r="EP200" s="24"/>
      <c r="EQ200" s="24"/>
      <c r="ER200" s="24"/>
      <c r="ES200" s="24">
        <v>2021</v>
      </c>
      <c r="ET200" s="24">
        <v>45</v>
      </c>
      <c r="EU200" s="24" t="s">
        <v>32</v>
      </c>
      <c r="EV200" s="24">
        <v>5990</v>
      </c>
      <c r="EY200" s="24">
        <v>2021</v>
      </c>
      <c r="EZ200" s="24">
        <v>38</v>
      </c>
      <c r="FA200" s="24" t="s">
        <v>33</v>
      </c>
      <c r="FB200" s="24">
        <v>1168</v>
      </c>
      <c r="FE200" s="24">
        <v>2021</v>
      </c>
      <c r="FF200" s="24">
        <v>34</v>
      </c>
      <c r="FG200" s="24" t="s">
        <v>32</v>
      </c>
      <c r="FH200" s="24">
        <v>0.86260000000000003</v>
      </c>
      <c r="FI200" s="24">
        <v>402</v>
      </c>
      <c r="FJ200" s="24">
        <v>191</v>
      </c>
      <c r="FK200" s="24">
        <v>220</v>
      </c>
      <c r="FN200" s="24">
        <v>2021</v>
      </c>
      <c r="FO200" s="24">
        <v>35</v>
      </c>
      <c r="FP200" s="24" t="s">
        <v>32</v>
      </c>
      <c r="FQ200" s="24">
        <v>33490</v>
      </c>
      <c r="FR200" s="24">
        <v>680.28333333333296</v>
      </c>
      <c r="FS200" s="24">
        <v>32612</v>
      </c>
      <c r="FT200" s="24">
        <v>389.46666666666698</v>
      </c>
      <c r="FW200" s="24">
        <v>2021</v>
      </c>
      <c r="FX200" s="24">
        <v>34</v>
      </c>
      <c r="FY200" s="24" t="s">
        <v>32</v>
      </c>
      <c r="FZ200" s="24">
        <v>1799</v>
      </c>
      <c r="GA200" s="24">
        <v>1768</v>
      </c>
      <c r="GB200" s="24"/>
      <c r="GC200" s="24"/>
      <c r="GD200" s="24">
        <v>2021</v>
      </c>
      <c r="GE200" s="24">
        <v>34</v>
      </c>
      <c r="GF200" s="24" t="s">
        <v>32</v>
      </c>
      <c r="GG200" s="24">
        <v>1916</v>
      </c>
      <c r="GH200" s="24">
        <v>1898</v>
      </c>
      <c r="GK200" s="24"/>
      <c r="GL200" s="24"/>
      <c r="GM200" s="24"/>
      <c r="GN200" s="24"/>
      <c r="GO200" s="24"/>
      <c r="GP200" s="24">
        <v>2021</v>
      </c>
      <c r="GQ200" s="24">
        <v>34</v>
      </c>
      <c r="GR200" s="24">
        <v>0.29857142857142904</v>
      </c>
      <c r="GS200" s="24" t="s">
        <v>32</v>
      </c>
      <c r="GX200">
        <v>2021</v>
      </c>
      <c r="GY200">
        <v>34</v>
      </c>
      <c r="GZ200" t="s">
        <v>32</v>
      </c>
      <c r="HA200">
        <v>14678</v>
      </c>
      <c r="HB200">
        <v>14442</v>
      </c>
      <c r="HC200">
        <v>0</v>
      </c>
      <c r="HD200">
        <v>4</v>
      </c>
      <c r="HE200">
        <v>0</v>
      </c>
      <c r="HF200">
        <v>7</v>
      </c>
      <c r="HG200">
        <v>0</v>
      </c>
      <c r="HH200">
        <v>0</v>
      </c>
      <c r="HI200">
        <v>73</v>
      </c>
      <c r="HL200">
        <v>2021</v>
      </c>
      <c r="HM200">
        <v>34</v>
      </c>
      <c r="HN200" t="s">
        <v>32</v>
      </c>
      <c r="HO200">
        <v>15002</v>
      </c>
      <c r="HP200">
        <v>14891</v>
      </c>
      <c r="HQ200">
        <v>0</v>
      </c>
      <c r="HR200">
        <v>0</v>
      </c>
      <c r="HS200">
        <v>0</v>
      </c>
      <c r="HT200">
        <v>50</v>
      </c>
      <c r="HU200">
        <v>0</v>
      </c>
      <c r="HV200">
        <v>0</v>
      </c>
      <c r="HW200">
        <v>10</v>
      </c>
      <c r="HZ200" s="24">
        <v>2021</v>
      </c>
      <c r="IA200" s="24">
        <v>34</v>
      </c>
      <c r="IB200" s="24" t="s">
        <v>32</v>
      </c>
      <c r="IC200" s="24">
        <v>1845</v>
      </c>
      <c r="ID200" s="24">
        <v>1813</v>
      </c>
      <c r="IG200" s="24">
        <v>2021</v>
      </c>
      <c r="IH200" s="24">
        <v>34</v>
      </c>
      <c r="II200" s="24" t="s">
        <v>32</v>
      </c>
      <c r="IJ200" s="24">
        <v>1886</v>
      </c>
      <c r="IK200" s="24">
        <v>1836</v>
      </c>
    </row>
    <row r="201" spans="9:245" x14ac:dyDescent="0.4">
      <c r="I201" s="305">
        <v>2021</v>
      </c>
      <c r="J201" s="306">
        <v>34</v>
      </c>
      <c r="K201" s="306" t="s">
        <v>32</v>
      </c>
      <c r="L201" s="306">
        <v>14807</v>
      </c>
      <c r="M201" s="306">
        <v>14512</v>
      </c>
      <c r="N201" s="306">
        <v>70</v>
      </c>
      <c r="O201" s="306">
        <v>155</v>
      </c>
      <c r="P201" s="306">
        <v>14</v>
      </c>
      <c r="Q201" s="306">
        <v>2</v>
      </c>
      <c r="R201" s="24"/>
      <c r="S201" s="24"/>
      <c r="T201" s="24"/>
      <c r="W201" s="24">
        <v>2021</v>
      </c>
      <c r="X201" s="24">
        <v>34</v>
      </c>
      <c r="Y201" s="24" t="s">
        <v>33</v>
      </c>
      <c r="Z201" s="24">
        <v>292060</v>
      </c>
      <c r="AA201" s="24">
        <v>285709</v>
      </c>
      <c r="AB201" s="24">
        <v>144</v>
      </c>
      <c r="AC201" s="24">
        <v>49</v>
      </c>
      <c r="AD201" s="304"/>
      <c r="AE201" s="304"/>
      <c r="AF201" s="304"/>
      <c r="AG201" s="304"/>
      <c r="AH201" s="304"/>
      <c r="AI201" s="24"/>
      <c r="AJ201" s="24"/>
      <c r="AK201" s="24">
        <v>2021</v>
      </c>
      <c r="AL201" s="24">
        <v>34</v>
      </c>
      <c r="AM201" s="24">
        <v>15762.15</v>
      </c>
      <c r="AN201" s="24">
        <v>1491.23</v>
      </c>
      <c r="AO201" s="24">
        <v>0</v>
      </c>
      <c r="AP201" s="24">
        <v>386</v>
      </c>
      <c r="AQ201" s="24">
        <v>0</v>
      </c>
      <c r="AR201" s="24">
        <v>1</v>
      </c>
      <c r="AS201" s="24" t="s">
        <v>33</v>
      </c>
      <c r="AT201" s="24"/>
      <c r="AU201" s="24">
        <v>2021</v>
      </c>
      <c r="AV201" s="24">
        <v>34</v>
      </c>
      <c r="AW201" s="24">
        <v>0.17</v>
      </c>
      <c r="AX201" s="24">
        <v>48100</v>
      </c>
      <c r="AY201" s="24">
        <v>286144</v>
      </c>
      <c r="AZ201" s="24" t="s">
        <v>33</v>
      </c>
      <c r="BA201" s="24"/>
      <c r="BB201" s="24"/>
      <c r="BC201" s="24">
        <v>2021</v>
      </c>
      <c r="BD201" s="24">
        <v>34</v>
      </c>
      <c r="BE201" s="24">
        <v>2266.06714285714</v>
      </c>
      <c r="BF201" s="24" t="s">
        <v>33</v>
      </c>
      <c r="BG201" s="24"/>
      <c r="BI201" s="24">
        <v>2022</v>
      </c>
      <c r="BJ201" s="24">
        <v>22</v>
      </c>
      <c r="BK201" s="24" t="s">
        <v>32</v>
      </c>
      <c r="BL201" s="24" t="s">
        <v>273</v>
      </c>
      <c r="BM201" s="24">
        <v>6918</v>
      </c>
      <c r="BN201" s="24">
        <v>6884</v>
      </c>
      <c r="BO201" s="24">
        <v>7013</v>
      </c>
      <c r="BR201" s="24">
        <v>2021</v>
      </c>
      <c r="BS201" s="24">
        <v>34</v>
      </c>
      <c r="BT201" s="24">
        <v>284619</v>
      </c>
      <c r="BU201" s="24">
        <v>5</v>
      </c>
      <c r="BV201" s="24" t="s">
        <v>33</v>
      </c>
      <c r="BY201" s="24">
        <v>2021</v>
      </c>
      <c r="BZ201" s="24">
        <v>31</v>
      </c>
      <c r="CA201" s="24" t="s">
        <v>32</v>
      </c>
      <c r="CB201" s="24" t="s">
        <v>108</v>
      </c>
      <c r="CC201" s="24">
        <v>4</v>
      </c>
      <c r="CF201" s="24">
        <v>2021</v>
      </c>
      <c r="CG201" s="24">
        <v>34</v>
      </c>
      <c r="CH201" s="24" t="s">
        <v>33</v>
      </c>
      <c r="CI201" s="24">
        <v>125.39857015192136</v>
      </c>
      <c r="CJ201" s="24">
        <v>280642</v>
      </c>
      <c r="CK201" s="24">
        <v>2238</v>
      </c>
      <c r="CL201" s="24">
        <v>106.17505857049584</v>
      </c>
      <c r="CM201" s="24">
        <v>140456</v>
      </c>
      <c r="CN201" s="24">
        <v>276448</v>
      </c>
      <c r="CO201" s="24">
        <v>2603.6999999999998</v>
      </c>
      <c r="CP201" s="24">
        <v>49177</v>
      </c>
      <c r="CQ201" s="24">
        <v>260.5</v>
      </c>
      <c r="CR201" s="24">
        <v>1229.5</v>
      </c>
      <c r="CS201" s="24">
        <v>160197</v>
      </c>
      <c r="CT201" s="24">
        <v>160197</v>
      </c>
      <c r="CU201" s="24">
        <v>1634.7</v>
      </c>
      <c r="CV201" s="24">
        <v>44314</v>
      </c>
      <c r="CW201" s="24">
        <v>1.1000000000000001</v>
      </c>
      <c r="CX201" s="24">
        <v>135925</v>
      </c>
      <c r="CY201" s="24">
        <v>729</v>
      </c>
      <c r="CZ201" s="24">
        <v>39924</v>
      </c>
      <c r="DA201" s="24">
        <v>1229.5</v>
      </c>
      <c r="DD201" s="24">
        <v>2021</v>
      </c>
      <c r="DE201" s="24">
        <v>34</v>
      </c>
      <c r="DF201" s="24" t="s">
        <v>33</v>
      </c>
      <c r="DG201" s="24">
        <v>33451</v>
      </c>
      <c r="DH201" s="24">
        <v>28355</v>
      </c>
      <c r="DJ201" s="24">
        <v>2021</v>
      </c>
      <c r="DK201" s="24">
        <v>33</v>
      </c>
      <c r="DL201" s="24" t="s">
        <v>32</v>
      </c>
      <c r="DM201" s="24">
        <v>40</v>
      </c>
      <c r="DP201" s="24">
        <v>2020</v>
      </c>
      <c r="DQ201" s="24">
        <v>26</v>
      </c>
      <c r="DR201" s="24" t="s">
        <v>33</v>
      </c>
      <c r="DS201" s="24">
        <v>9339</v>
      </c>
      <c r="DT201" s="24"/>
      <c r="DW201" s="24">
        <v>2022</v>
      </c>
      <c r="DX201" s="24">
        <v>8</v>
      </c>
      <c r="DY201" s="24" t="s">
        <v>33</v>
      </c>
      <c r="DZ201" s="24">
        <v>9</v>
      </c>
      <c r="EA201" s="24" t="s">
        <v>562</v>
      </c>
      <c r="EB201" s="24">
        <v>82.5</v>
      </c>
      <c r="EC201" s="24">
        <v>9.3000000000000007</v>
      </c>
      <c r="ED201" s="24">
        <v>1</v>
      </c>
      <c r="EE201" s="24">
        <v>3050</v>
      </c>
      <c r="EF201" s="24">
        <v>42.4</v>
      </c>
      <c r="EI201" s="24">
        <v>2023</v>
      </c>
      <c r="EJ201" s="24">
        <v>4</v>
      </c>
      <c r="EK201" s="24" t="s">
        <v>33</v>
      </c>
      <c r="EL201" s="24" t="s">
        <v>240</v>
      </c>
      <c r="EM201" s="24" t="s">
        <v>210</v>
      </c>
      <c r="EN201" s="24">
        <v>1</v>
      </c>
      <c r="EO201" s="24"/>
      <c r="EP201" s="24"/>
      <c r="EQ201" s="24"/>
      <c r="ER201" s="24"/>
      <c r="ES201" s="24">
        <v>2021</v>
      </c>
      <c r="ET201" s="24">
        <v>45</v>
      </c>
      <c r="EU201" s="24" t="s">
        <v>33</v>
      </c>
      <c r="EV201" s="24">
        <v>123253</v>
      </c>
      <c r="EY201" s="24">
        <v>2021</v>
      </c>
      <c r="EZ201" s="24">
        <v>37</v>
      </c>
      <c r="FA201" s="24" t="s">
        <v>32</v>
      </c>
      <c r="FB201" s="24">
        <v>859</v>
      </c>
      <c r="FE201" s="24">
        <v>2021</v>
      </c>
      <c r="FF201" s="24">
        <v>34</v>
      </c>
      <c r="FG201" s="24" t="s">
        <v>33</v>
      </c>
      <c r="FH201" s="24">
        <v>0.91480000000000006</v>
      </c>
      <c r="FI201" s="24">
        <v>14067</v>
      </c>
      <c r="FJ201" s="24">
        <v>6406</v>
      </c>
      <c r="FK201" s="24">
        <v>7059</v>
      </c>
      <c r="FN201" s="24">
        <v>2021</v>
      </c>
      <c r="FO201" s="24">
        <v>35</v>
      </c>
      <c r="FP201" s="24" t="s">
        <v>33</v>
      </c>
      <c r="FQ201" s="24">
        <v>884087</v>
      </c>
      <c r="FR201" s="24">
        <v>7402.7000000000007</v>
      </c>
      <c r="FS201" s="24">
        <v>417311</v>
      </c>
      <c r="FT201" s="24">
        <v>3106.5666666666698</v>
      </c>
      <c r="FW201" s="24">
        <v>2021</v>
      </c>
      <c r="FX201" s="24">
        <v>34</v>
      </c>
      <c r="FY201" s="24" t="s">
        <v>33</v>
      </c>
      <c r="FZ201" s="24">
        <v>14547</v>
      </c>
      <c r="GA201" s="24">
        <v>14078</v>
      </c>
      <c r="GB201" s="24"/>
      <c r="GC201" s="24"/>
      <c r="GD201" s="24">
        <v>2021</v>
      </c>
      <c r="GE201" s="24">
        <v>34</v>
      </c>
      <c r="GF201" s="24" t="s">
        <v>33</v>
      </c>
      <c r="GG201" s="24">
        <v>14978</v>
      </c>
      <c r="GH201" s="24">
        <v>14659</v>
      </c>
      <c r="GK201" s="24"/>
      <c r="GL201" s="24"/>
      <c r="GM201" s="24"/>
      <c r="GN201" s="24"/>
      <c r="GO201" s="24"/>
      <c r="GP201" s="24">
        <v>2021</v>
      </c>
      <c r="GQ201" s="24">
        <v>34</v>
      </c>
      <c r="GR201" s="24">
        <v>11.5657142857143</v>
      </c>
      <c r="GS201" s="24" t="s">
        <v>33</v>
      </c>
      <c r="GX201">
        <v>2021</v>
      </c>
      <c r="GY201">
        <v>34</v>
      </c>
      <c r="GZ201" t="s">
        <v>33</v>
      </c>
      <c r="HA201">
        <v>285206</v>
      </c>
      <c r="HB201">
        <v>278945</v>
      </c>
      <c r="HC201">
        <v>1191</v>
      </c>
      <c r="HD201">
        <v>107</v>
      </c>
      <c r="HE201">
        <v>0</v>
      </c>
      <c r="HF201">
        <v>2268</v>
      </c>
      <c r="HG201">
        <v>0</v>
      </c>
      <c r="HH201">
        <v>0</v>
      </c>
      <c r="HI201">
        <v>840</v>
      </c>
      <c r="HL201">
        <v>2021</v>
      </c>
      <c r="HM201">
        <v>34</v>
      </c>
      <c r="HN201" t="s">
        <v>33</v>
      </c>
      <c r="HO201">
        <v>291678</v>
      </c>
      <c r="HP201">
        <v>287839</v>
      </c>
      <c r="HQ201">
        <v>1503</v>
      </c>
      <c r="HR201">
        <v>63</v>
      </c>
      <c r="HS201">
        <v>0</v>
      </c>
      <c r="HT201">
        <v>2104</v>
      </c>
      <c r="HU201">
        <v>0</v>
      </c>
      <c r="HV201">
        <v>0</v>
      </c>
      <c r="HW201">
        <v>246</v>
      </c>
      <c r="HZ201" s="24">
        <v>2021</v>
      </c>
      <c r="IA201" s="24">
        <v>34</v>
      </c>
      <c r="IB201" s="24" t="s">
        <v>33</v>
      </c>
      <c r="IC201" s="24">
        <v>14401</v>
      </c>
      <c r="ID201" s="24">
        <v>13866</v>
      </c>
      <c r="IG201" s="24">
        <v>2021</v>
      </c>
      <c r="IH201" s="24">
        <v>34</v>
      </c>
      <c r="II201" s="24" t="s">
        <v>33</v>
      </c>
      <c r="IJ201" s="24">
        <v>13944</v>
      </c>
      <c r="IK201" s="24">
        <v>13797</v>
      </c>
    </row>
    <row r="202" spans="9:245" x14ac:dyDescent="0.4">
      <c r="I202" s="305">
        <v>2021</v>
      </c>
      <c r="J202" s="306">
        <v>34</v>
      </c>
      <c r="K202" s="306" t="s">
        <v>33</v>
      </c>
      <c r="L202" s="306">
        <v>287969</v>
      </c>
      <c r="M202" s="306">
        <v>280851</v>
      </c>
      <c r="N202" s="306">
        <v>581</v>
      </c>
      <c r="O202" s="306">
        <v>1859</v>
      </c>
      <c r="P202" s="306">
        <v>241</v>
      </c>
      <c r="Q202" s="306">
        <v>41</v>
      </c>
      <c r="R202" s="24"/>
      <c r="S202" s="24"/>
      <c r="T202" s="24"/>
      <c r="W202" s="24">
        <v>2021</v>
      </c>
      <c r="X202" s="24">
        <v>33</v>
      </c>
      <c r="Y202" s="24" t="s">
        <v>32</v>
      </c>
      <c r="Z202" s="24">
        <v>13020</v>
      </c>
      <c r="AA202" s="24">
        <v>12619</v>
      </c>
      <c r="AB202" s="24">
        <v>35</v>
      </c>
      <c r="AC202" s="24">
        <v>7</v>
      </c>
      <c r="AD202" s="304"/>
      <c r="AE202" s="304"/>
      <c r="AF202" s="304"/>
      <c r="AG202" s="304"/>
      <c r="AH202" s="304"/>
      <c r="AI202" s="24"/>
      <c r="AJ202" s="24"/>
      <c r="AK202" s="24">
        <v>2021</v>
      </c>
      <c r="AL202" s="24">
        <v>33</v>
      </c>
      <c r="AM202" s="24">
        <v>717.12</v>
      </c>
      <c r="AN202" s="24">
        <v>55.85</v>
      </c>
      <c r="AO202" s="24">
        <v>0</v>
      </c>
      <c r="AP202" s="24">
        <v>17</v>
      </c>
      <c r="AQ202" s="24">
        <v>0</v>
      </c>
      <c r="AR202" s="24">
        <v>0</v>
      </c>
      <c r="AS202" s="24" t="s">
        <v>32</v>
      </c>
      <c r="AT202" s="24"/>
      <c r="AU202" s="24">
        <v>2021</v>
      </c>
      <c r="AV202" s="24">
        <v>33</v>
      </c>
      <c r="AW202" s="24">
        <v>0.09</v>
      </c>
      <c r="AX202" s="24">
        <v>1300</v>
      </c>
      <c r="AY202" s="24">
        <v>13965</v>
      </c>
      <c r="AZ202" s="24" t="s">
        <v>32</v>
      </c>
      <c r="BA202" s="24"/>
      <c r="BB202" s="24"/>
      <c r="BC202" s="24">
        <v>2021</v>
      </c>
      <c r="BD202" s="24">
        <v>33</v>
      </c>
      <c r="BE202" s="24">
        <v>181.30757142857101</v>
      </c>
      <c r="BF202" s="24" t="s">
        <v>32</v>
      </c>
      <c r="BG202" s="24"/>
      <c r="BI202" s="24">
        <v>2022</v>
      </c>
      <c r="BJ202" s="24">
        <v>21</v>
      </c>
      <c r="BK202" s="24" t="s">
        <v>32</v>
      </c>
      <c r="BL202" s="24" t="s">
        <v>272</v>
      </c>
      <c r="BM202" s="24">
        <v>3663</v>
      </c>
      <c r="BN202" s="24">
        <v>3659</v>
      </c>
      <c r="BO202" s="24">
        <v>12593</v>
      </c>
      <c r="BR202" s="24">
        <v>2021</v>
      </c>
      <c r="BS202" s="24">
        <v>33</v>
      </c>
      <c r="BT202" s="24">
        <v>276092</v>
      </c>
      <c r="BU202" s="24">
        <v>3</v>
      </c>
      <c r="BV202" s="24" t="s">
        <v>33</v>
      </c>
      <c r="BY202" s="24">
        <v>2021</v>
      </c>
      <c r="BZ202" s="24">
        <v>31</v>
      </c>
      <c r="CA202" s="24" t="s">
        <v>32</v>
      </c>
      <c r="CB202" s="24" t="s">
        <v>423</v>
      </c>
      <c r="CC202" s="24">
        <v>73</v>
      </c>
      <c r="CF202" s="24">
        <v>2021</v>
      </c>
      <c r="CG202" s="24">
        <v>33</v>
      </c>
      <c r="CH202" s="24" t="s">
        <v>32</v>
      </c>
      <c r="CI202" s="24">
        <v>107.79206859592712</v>
      </c>
      <c r="CJ202" s="24">
        <v>10057</v>
      </c>
      <c r="CK202" s="24">
        <v>93.3</v>
      </c>
      <c r="CL202" s="24">
        <v>65.048859934853425</v>
      </c>
      <c r="CM202" s="24">
        <v>10882</v>
      </c>
      <c r="CN202" s="24">
        <v>21967</v>
      </c>
      <c r="CO202" s="24">
        <v>337.7</v>
      </c>
      <c r="CP202" s="24">
        <v>6683</v>
      </c>
      <c r="CQ202" s="24">
        <v>34</v>
      </c>
      <c r="CR202" s="24">
        <v>180.1</v>
      </c>
      <c r="CS202" s="24">
        <v>14260</v>
      </c>
      <c r="CT202" s="24">
        <v>14260</v>
      </c>
      <c r="CU202" s="24">
        <v>363.1</v>
      </c>
      <c r="CV202" s="24">
        <v>1510</v>
      </c>
      <c r="CW202" s="24">
        <v>0</v>
      </c>
      <c r="CX202" s="24">
        <v>9694</v>
      </c>
      <c r="CY202" s="24">
        <v>51.3</v>
      </c>
      <c r="CZ202" s="24">
        <v>5172</v>
      </c>
      <c r="DA202" s="24">
        <v>180.1</v>
      </c>
      <c r="DD202" s="24">
        <v>2021</v>
      </c>
      <c r="DE202" s="24">
        <v>33</v>
      </c>
      <c r="DF202" s="24" t="s">
        <v>32</v>
      </c>
      <c r="DG202" s="24">
        <v>1735</v>
      </c>
      <c r="DH202" s="24">
        <v>2497</v>
      </c>
      <c r="DJ202" s="24">
        <v>2021</v>
      </c>
      <c r="DK202" s="24">
        <v>33</v>
      </c>
      <c r="DL202" s="24" t="s">
        <v>33</v>
      </c>
      <c r="DM202" s="24">
        <v>808</v>
      </c>
      <c r="DP202" s="24">
        <v>2020</v>
      </c>
      <c r="DQ202" s="24">
        <v>25</v>
      </c>
      <c r="DR202" s="24" t="s">
        <v>33</v>
      </c>
      <c r="DS202" s="24">
        <v>9615</v>
      </c>
      <c r="DT202" s="24"/>
      <c r="DW202" s="24">
        <v>2022</v>
      </c>
      <c r="DX202" s="24">
        <v>8</v>
      </c>
      <c r="DY202" s="24" t="s">
        <v>33</v>
      </c>
      <c r="DZ202" s="24">
        <v>47</v>
      </c>
      <c r="EA202" s="24" t="s">
        <v>149</v>
      </c>
      <c r="EB202" s="24">
        <v>205.2</v>
      </c>
      <c r="EC202" s="24">
        <v>1320.8</v>
      </c>
      <c r="ED202" s="24">
        <v>42967</v>
      </c>
      <c r="EE202" s="24">
        <v>50295</v>
      </c>
      <c r="EF202" s="24">
        <v>271.8</v>
      </c>
      <c r="EI202" s="24">
        <v>2023</v>
      </c>
      <c r="EJ202" s="24">
        <v>4</v>
      </c>
      <c r="EK202" s="24" t="s">
        <v>33</v>
      </c>
      <c r="EL202" s="24" t="s">
        <v>233</v>
      </c>
      <c r="EM202" s="24" t="s">
        <v>210</v>
      </c>
      <c r="EN202" s="24">
        <v>3</v>
      </c>
      <c r="EO202" s="24"/>
      <c r="EP202" s="24"/>
      <c r="EQ202" s="24"/>
      <c r="ER202" s="24"/>
      <c r="ES202" s="24">
        <v>2021</v>
      </c>
      <c r="ET202" s="24">
        <v>45</v>
      </c>
      <c r="EU202" s="24" t="s">
        <v>213</v>
      </c>
      <c r="EV202" s="24">
        <v>3</v>
      </c>
      <c r="EY202" s="24">
        <v>2021</v>
      </c>
      <c r="EZ202" s="24">
        <v>37</v>
      </c>
      <c r="FA202" s="24" t="s">
        <v>33</v>
      </c>
      <c r="FB202" s="24">
        <v>912</v>
      </c>
      <c r="FE202" s="24">
        <v>2021</v>
      </c>
      <c r="FF202" s="24">
        <v>33</v>
      </c>
      <c r="FG202" s="24" t="s">
        <v>32</v>
      </c>
      <c r="FH202" s="24">
        <v>0.83720000000000006</v>
      </c>
      <c r="FI202" s="24">
        <v>409</v>
      </c>
      <c r="FJ202" s="24">
        <v>194</v>
      </c>
      <c r="FK202" s="24">
        <v>229</v>
      </c>
      <c r="FN202" s="24">
        <v>2021</v>
      </c>
      <c r="FO202" s="24">
        <v>34</v>
      </c>
      <c r="FP202" s="24" t="s">
        <v>32</v>
      </c>
      <c r="FQ202" s="24">
        <v>34581</v>
      </c>
      <c r="FR202" s="24">
        <v>724.43333333333294</v>
      </c>
      <c r="FS202" s="24">
        <v>36960</v>
      </c>
      <c r="FT202" s="24">
        <v>348.66666666666697</v>
      </c>
      <c r="FW202" s="24">
        <v>2021</v>
      </c>
      <c r="FX202" s="24">
        <v>33</v>
      </c>
      <c r="FY202" s="24" t="s">
        <v>32</v>
      </c>
      <c r="FZ202" s="24">
        <v>1794</v>
      </c>
      <c r="GA202" s="24">
        <v>1580</v>
      </c>
      <c r="GB202" s="24"/>
      <c r="GC202" s="24"/>
      <c r="GD202" s="24">
        <v>2021</v>
      </c>
      <c r="GE202" s="24">
        <v>33</v>
      </c>
      <c r="GF202" s="24" t="s">
        <v>32</v>
      </c>
      <c r="GG202" s="24">
        <v>1721</v>
      </c>
      <c r="GH202" s="24">
        <v>1612</v>
      </c>
      <c r="GK202" s="24"/>
      <c r="GL202" s="24"/>
      <c r="GM202" s="24"/>
      <c r="GN202" s="24"/>
      <c r="GO202" s="24"/>
      <c r="GP202" s="24">
        <v>2021</v>
      </c>
      <c r="GQ202" s="24">
        <v>33</v>
      </c>
      <c r="GR202" s="24">
        <v>0.29899999999999999</v>
      </c>
      <c r="GS202" s="24" t="s">
        <v>32</v>
      </c>
      <c r="GX202">
        <v>2021</v>
      </c>
      <c r="GY202">
        <v>33</v>
      </c>
      <c r="GZ202" t="s">
        <v>32</v>
      </c>
      <c r="HA202">
        <v>13677</v>
      </c>
      <c r="HB202">
        <v>13135</v>
      </c>
      <c r="HC202">
        <v>0</v>
      </c>
      <c r="HD202">
        <v>26</v>
      </c>
      <c r="HE202">
        <v>0</v>
      </c>
      <c r="HF202">
        <v>102</v>
      </c>
      <c r="HG202">
        <v>0</v>
      </c>
      <c r="HH202">
        <v>0</v>
      </c>
      <c r="HI202">
        <v>68</v>
      </c>
      <c r="HL202">
        <v>2021</v>
      </c>
      <c r="HM202">
        <v>33</v>
      </c>
      <c r="HN202" t="s">
        <v>32</v>
      </c>
      <c r="HO202">
        <v>12983</v>
      </c>
      <c r="HP202">
        <v>12826</v>
      </c>
      <c r="HQ202">
        <v>0</v>
      </c>
      <c r="HR202">
        <v>4</v>
      </c>
      <c r="HS202">
        <v>0</v>
      </c>
      <c r="HT202">
        <v>113</v>
      </c>
      <c r="HU202">
        <v>0</v>
      </c>
      <c r="HV202">
        <v>0</v>
      </c>
      <c r="HW202">
        <v>9</v>
      </c>
      <c r="HZ202" s="24">
        <v>2021</v>
      </c>
      <c r="IA202" s="24">
        <v>33</v>
      </c>
      <c r="IB202" s="24" t="s">
        <v>32</v>
      </c>
      <c r="IC202" s="24">
        <v>1801</v>
      </c>
      <c r="ID202" s="24">
        <v>1608</v>
      </c>
      <c r="IG202" s="24">
        <v>2021</v>
      </c>
      <c r="IH202" s="24">
        <v>33</v>
      </c>
      <c r="II202" s="24" t="s">
        <v>32</v>
      </c>
      <c r="IJ202" s="24">
        <v>1670</v>
      </c>
      <c r="IK202" s="24">
        <v>1619</v>
      </c>
    </row>
    <row r="203" spans="9:245" x14ac:dyDescent="0.4">
      <c r="I203" s="305">
        <v>2021</v>
      </c>
      <c r="J203" s="306">
        <v>33</v>
      </c>
      <c r="K203" s="306" t="s">
        <v>32</v>
      </c>
      <c r="L203" s="306">
        <v>13234</v>
      </c>
      <c r="M203" s="306">
        <v>12508</v>
      </c>
      <c r="N203" s="306">
        <v>25</v>
      </c>
      <c r="O203" s="306">
        <v>180</v>
      </c>
      <c r="P203" s="306">
        <v>72</v>
      </c>
      <c r="Q203" s="306">
        <v>13</v>
      </c>
      <c r="R203" s="24"/>
      <c r="S203" s="24"/>
      <c r="T203" s="24"/>
      <c r="W203" s="24">
        <v>2021</v>
      </c>
      <c r="X203" s="24">
        <v>33</v>
      </c>
      <c r="Y203" s="24" t="s">
        <v>33</v>
      </c>
      <c r="Z203" s="24">
        <v>270910</v>
      </c>
      <c r="AA203" s="24">
        <v>266740</v>
      </c>
      <c r="AB203" s="24">
        <v>91</v>
      </c>
      <c r="AC203" s="24">
        <v>89</v>
      </c>
      <c r="AD203" s="304"/>
      <c r="AE203" s="304"/>
      <c r="AF203" s="304"/>
      <c r="AG203" s="304"/>
      <c r="AH203" s="304"/>
      <c r="AI203" s="24"/>
      <c r="AJ203" s="24"/>
      <c r="AK203" s="24">
        <v>2021</v>
      </c>
      <c r="AL203" s="24">
        <v>33</v>
      </c>
      <c r="AM203" s="24">
        <v>15208.82</v>
      </c>
      <c r="AN203" s="24">
        <v>1180.77</v>
      </c>
      <c r="AO203" s="24">
        <v>0</v>
      </c>
      <c r="AP203" s="24">
        <v>385</v>
      </c>
      <c r="AQ203" s="24">
        <v>0</v>
      </c>
      <c r="AR203" s="24">
        <v>2</v>
      </c>
      <c r="AS203" s="24" t="s">
        <v>33</v>
      </c>
      <c r="AT203" s="24"/>
      <c r="AU203" s="24">
        <v>2021</v>
      </c>
      <c r="AV203" s="24">
        <v>33</v>
      </c>
      <c r="AW203" s="24">
        <v>0.06</v>
      </c>
      <c r="AX203" s="24">
        <v>17900</v>
      </c>
      <c r="AY203" s="24">
        <v>276831</v>
      </c>
      <c r="AZ203" s="24" t="s">
        <v>33</v>
      </c>
      <c r="BA203" s="24"/>
      <c r="BB203" s="24"/>
      <c r="BC203" s="24">
        <v>2021</v>
      </c>
      <c r="BD203" s="24">
        <v>33</v>
      </c>
      <c r="BE203" s="24">
        <v>2284.8892857142901</v>
      </c>
      <c r="BF203" s="24" t="s">
        <v>33</v>
      </c>
      <c r="BG203" s="24"/>
      <c r="BI203" s="24">
        <v>2022</v>
      </c>
      <c r="BJ203" s="24">
        <v>21</v>
      </c>
      <c r="BK203" s="24" t="s">
        <v>32</v>
      </c>
      <c r="BL203" s="24" t="s">
        <v>273</v>
      </c>
      <c r="BM203" s="24">
        <v>8541</v>
      </c>
      <c r="BN203" s="24">
        <v>8492</v>
      </c>
      <c r="BO203" s="24">
        <v>8849</v>
      </c>
      <c r="BR203" s="24">
        <v>2021</v>
      </c>
      <c r="BS203" s="24">
        <v>33</v>
      </c>
      <c r="BT203" s="24">
        <v>13878</v>
      </c>
      <c r="BU203" s="24">
        <v>0</v>
      </c>
      <c r="BV203" s="24" t="s">
        <v>32</v>
      </c>
      <c r="BY203" s="24">
        <v>2021</v>
      </c>
      <c r="BZ203" s="24">
        <v>31</v>
      </c>
      <c r="CA203" s="24" t="s">
        <v>33</v>
      </c>
      <c r="CB203" s="24" t="s">
        <v>423</v>
      </c>
      <c r="CC203" s="24">
        <v>1</v>
      </c>
      <c r="CF203" s="24">
        <v>2021</v>
      </c>
      <c r="CG203" s="24">
        <v>33</v>
      </c>
      <c r="CH203" s="24" t="s">
        <v>33</v>
      </c>
      <c r="CI203" s="24">
        <v>132.21488925553723</v>
      </c>
      <c r="CJ203" s="24">
        <v>264443</v>
      </c>
      <c r="CK203" s="24">
        <v>2000.1</v>
      </c>
      <c r="CL203" s="24">
        <v>102.58569951483338</v>
      </c>
      <c r="CM203" s="24">
        <v>131008</v>
      </c>
      <c r="CN203" s="24">
        <v>257962</v>
      </c>
      <c r="CO203" s="24">
        <v>2514.6</v>
      </c>
      <c r="CP203" s="24">
        <v>45635</v>
      </c>
      <c r="CQ203" s="24">
        <v>187.2</v>
      </c>
      <c r="CR203" s="24">
        <v>1214.0999999999999</v>
      </c>
      <c r="CS203" s="24">
        <v>200942</v>
      </c>
      <c r="CT203" s="24">
        <v>200942</v>
      </c>
      <c r="CU203" s="24">
        <v>1574</v>
      </c>
      <c r="CV203" s="24">
        <v>40890</v>
      </c>
      <c r="CW203" s="24">
        <v>0</v>
      </c>
      <c r="CX203" s="24">
        <v>176478</v>
      </c>
      <c r="CY203" s="24">
        <v>679.4</v>
      </c>
      <c r="CZ203" s="24">
        <v>38953</v>
      </c>
      <c r="DA203" s="24">
        <v>1214.0999999999999</v>
      </c>
      <c r="DD203" s="24">
        <v>2021</v>
      </c>
      <c r="DE203" s="24">
        <v>33</v>
      </c>
      <c r="DF203" s="24" t="s">
        <v>33</v>
      </c>
      <c r="DG203" s="24">
        <v>56929</v>
      </c>
      <c r="DH203" s="24">
        <v>34187</v>
      </c>
      <c r="DJ203" s="24">
        <v>2021</v>
      </c>
      <c r="DK203" s="24">
        <v>32</v>
      </c>
      <c r="DL203" s="24" t="s">
        <v>32</v>
      </c>
      <c r="DM203" s="24">
        <v>9</v>
      </c>
      <c r="DP203" s="24">
        <v>2020</v>
      </c>
      <c r="DQ203" s="24">
        <v>24</v>
      </c>
      <c r="DR203" s="24" t="s">
        <v>33</v>
      </c>
      <c r="DS203" s="24">
        <v>8686</v>
      </c>
      <c r="DT203" s="24"/>
      <c r="DW203" s="24">
        <v>2022</v>
      </c>
      <c r="DX203" s="24">
        <v>7</v>
      </c>
      <c r="DY203" s="24" t="s">
        <v>32</v>
      </c>
      <c r="DZ203" s="24">
        <v>1</v>
      </c>
      <c r="EA203" s="24" t="s">
        <v>149</v>
      </c>
      <c r="EB203" s="24">
        <v>0</v>
      </c>
      <c r="EC203" s="24">
        <v>0</v>
      </c>
      <c r="ED203" s="24">
        <v>206</v>
      </c>
      <c r="EE203" s="24">
        <v>10</v>
      </c>
      <c r="EF203" s="24">
        <v>6.2</v>
      </c>
      <c r="EI203" s="24">
        <v>2023</v>
      </c>
      <c r="EJ203" s="24">
        <v>4</v>
      </c>
      <c r="EK203" s="24" t="s">
        <v>33</v>
      </c>
      <c r="EL203" s="24" t="s">
        <v>233</v>
      </c>
      <c r="EM203" s="24" t="s">
        <v>215</v>
      </c>
      <c r="EN203" s="24">
        <v>1</v>
      </c>
      <c r="EO203" s="24"/>
      <c r="EP203" s="24"/>
      <c r="EQ203" s="24"/>
      <c r="ER203" s="24"/>
      <c r="ES203" s="24">
        <v>2021</v>
      </c>
      <c r="ET203" s="24">
        <v>44</v>
      </c>
      <c r="EU203" s="24" t="s">
        <v>32</v>
      </c>
      <c r="EV203" s="24">
        <v>6224</v>
      </c>
      <c r="EY203" s="24">
        <v>2021</v>
      </c>
      <c r="EZ203" s="24">
        <v>36</v>
      </c>
      <c r="FA203" s="24" t="s">
        <v>32</v>
      </c>
      <c r="FB203" s="24">
        <v>505</v>
      </c>
      <c r="FE203" s="24">
        <v>2021</v>
      </c>
      <c r="FF203" s="24">
        <v>33</v>
      </c>
      <c r="FG203" s="24" t="s">
        <v>33</v>
      </c>
      <c r="FH203" s="24">
        <v>0.94170000000000009</v>
      </c>
      <c r="FI203" s="24">
        <v>13110</v>
      </c>
      <c r="FJ203" s="24">
        <v>5894</v>
      </c>
      <c r="FK203" s="24">
        <v>6315</v>
      </c>
      <c r="FN203" s="24">
        <v>2021</v>
      </c>
      <c r="FO203" s="24">
        <v>34</v>
      </c>
      <c r="FP203" s="24" t="s">
        <v>33</v>
      </c>
      <c r="FQ203" s="24">
        <v>911531</v>
      </c>
      <c r="FR203" s="24">
        <v>7848.2833333333292</v>
      </c>
      <c r="FS203" s="24">
        <v>381748</v>
      </c>
      <c r="FT203" s="24">
        <v>2888.9</v>
      </c>
      <c r="FW203" s="24">
        <v>2021</v>
      </c>
      <c r="FX203" s="24">
        <v>33</v>
      </c>
      <c r="FY203" s="24" t="s">
        <v>33</v>
      </c>
      <c r="FZ203" s="24">
        <v>14303</v>
      </c>
      <c r="GA203" s="24">
        <v>13400</v>
      </c>
      <c r="GB203" s="24"/>
      <c r="GC203" s="24"/>
      <c r="GD203" s="24">
        <v>2021</v>
      </c>
      <c r="GE203" s="24">
        <v>33</v>
      </c>
      <c r="GF203" s="24" t="s">
        <v>33</v>
      </c>
      <c r="GG203" s="24">
        <v>13819</v>
      </c>
      <c r="GH203" s="24">
        <v>13643</v>
      </c>
      <c r="GK203" s="24"/>
      <c r="GL203" s="24"/>
      <c r="GM203" s="24"/>
      <c r="GN203" s="24"/>
      <c r="GO203" s="24"/>
      <c r="GP203" s="24">
        <v>2021</v>
      </c>
      <c r="GQ203" s="24">
        <v>33</v>
      </c>
      <c r="GR203" s="24">
        <v>7.8027142857142904</v>
      </c>
      <c r="GS203" s="24" t="s">
        <v>33</v>
      </c>
      <c r="GX203">
        <v>2021</v>
      </c>
      <c r="GY203">
        <v>33</v>
      </c>
      <c r="GZ203" t="s">
        <v>33</v>
      </c>
      <c r="HA203">
        <v>278227</v>
      </c>
      <c r="HB203">
        <v>269228</v>
      </c>
      <c r="HC203">
        <v>614</v>
      </c>
      <c r="HD203">
        <v>548</v>
      </c>
      <c r="HE203">
        <v>1</v>
      </c>
      <c r="HF203">
        <v>831</v>
      </c>
      <c r="HG203">
        <v>0</v>
      </c>
      <c r="HH203">
        <v>0</v>
      </c>
      <c r="HI203">
        <v>953</v>
      </c>
      <c r="HL203">
        <v>2021</v>
      </c>
      <c r="HM203">
        <v>33</v>
      </c>
      <c r="HN203" t="s">
        <v>33</v>
      </c>
      <c r="HO203">
        <v>270591</v>
      </c>
      <c r="HP203">
        <v>269041</v>
      </c>
      <c r="HQ203">
        <v>653</v>
      </c>
      <c r="HR203">
        <v>23</v>
      </c>
      <c r="HS203">
        <v>0</v>
      </c>
      <c r="HT203">
        <v>634</v>
      </c>
      <c r="HU203">
        <v>0</v>
      </c>
      <c r="HV203">
        <v>0</v>
      </c>
      <c r="HW203">
        <v>89</v>
      </c>
      <c r="HZ203" s="24">
        <v>2021</v>
      </c>
      <c r="IA203" s="24">
        <v>33</v>
      </c>
      <c r="IB203" s="24" t="s">
        <v>33</v>
      </c>
      <c r="IC203" s="24">
        <v>14355</v>
      </c>
      <c r="ID203" s="24">
        <v>13431</v>
      </c>
      <c r="IG203" s="24">
        <v>2021</v>
      </c>
      <c r="IH203" s="24">
        <v>33</v>
      </c>
      <c r="II203" s="24" t="s">
        <v>33</v>
      </c>
      <c r="IJ203" s="24">
        <v>12908</v>
      </c>
      <c r="IK203" s="24">
        <v>12847</v>
      </c>
    </row>
    <row r="204" spans="9:245" x14ac:dyDescent="0.4">
      <c r="I204" s="305">
        <v>2021</v>
      </c>
      <c r="J204" s="306">
        <v>33</v>
      </c>
      <c r="K204" s="306" t="s">
        <v>33</v>
      </c>
      <c r="L204" s="306">
        <v>276362</v>
      </c>
      <c r="M204" s="306">
        <v>265615</v>
      </c>
      <c r="N204" s="306">
        <v>657</v>
      </c>
      <c r="O204" s="306">
        <v>3312</v>
      </c>
      <c r="P204" s="306">
        <v>397</v>
      </c>
      <c r="Q204" s="306">
        <v>108</v>
      </c>
      <c r="R204" s="24"/>
      <c r="S204" s="24"/>
      <c r="T204" s="24"/>
      <c r="W204" s="24">
        <v>2021</v>
      </c>
      <c r="X204" s="24">
        <v>32</v>
      </c>
      <c r="Y204" s="24" t="s">
        <v>32</v>
      </c>
      <c r="Z204" s="24">
        <v>12156</v>
      </c>
      <c r="AA204" s="24">
        <v>11854</v>
      </c>
      <c r="AB204" s="24">
        <v>6</v>
      </c>
      <c r="AC204" s="24">
        <v>6</v>
      </c>
      <c r="AD204" s="304"/>
      <c r="AE204" s="304"/>
      <c r="AF204" s="304"/>
      <c r="AG204" s="304"/>
      <c r="AH204" s="304"/>
      <c r="AI204" s="24"/>
      <c r="AJ204" s="24"/>
      <c r="AK204" s="24">
        <v>2021</v>
      </c>
      <c r="AL204" s="24">
        <v>32</v>
      </c>
      <c r="AM204" s="24">
        <v>708.33</v>
      </c>
      <c r="AN204" s="24">
        <v>56.57</v>
      </c>
      <c r="AO204" s="24">
        <v>0</v>
      </c>
      <c r="AP204" s="24">
        <v>17</v>
      </c>
      <c r="AQ204" s="24">
        <v>0</v>
      </c>
      <c r="AR204" s="24">
        <v>0</v>
      </c>
      <c r="AS204" s="24" t="s">
        <v>32</v>
      </c>
      <c r="AT204" s="24"/>
      <c r="AU204" s="24">
        <v>2021</v>
      </c>
      <c r="AV204" s="24">
        <v>32</v>
      </c>
      <c r="AW204" s="24">
        <v>0.44</v>
      </c>
      <c r="AX204" s="24">
        <v>5600</v>
      </c>
      <c r="AY204" s="24">
        <v>12635</v>
      </c>
      <c r="AZ204" s="24" t="s">
        <v>32</v>
      </c>
      <c r="BA204" s="24"/>
      <c r="BB204" s="24"/>
      <c r="BC204" s="24">
        <v>2021</v>
      </c>
      <c r="BD204" s="24">
        <v>32</v>
      </c>
      <c r="BE204" s="24">
        <v>178.18857142857101</v>
      </c>
      <c r="BF204" s="24" t="s">
        <v>32</v>
      </c>
      <c r="BG204" s="24"/>
      <c r="BI204" s="24">
        <v>2022</v>
      </c>
      <c r="BJ204" s="24">
        <v>21</v>
      </c>
      <c r="BK204" s="24" t="s">
        <v>33</v>
      </c>
      <c r="BL204" s="24" t="s">
        <v>273</v>
      </c>
      <c r="BM204" s="24">
        <v>113053</v>
      </c>
      <c r="BN204" s="24">
        <v>112456</v>
      </c>
      <c r="BO204" s="24">
        <v>115947</v>
      </c>
      <c r="BR204" s="24">
        <v>2021</v>
      </c>
      <c r="BS204" s="24">
        <v>32</v>
      </c>
      <c r="BT204" s="24">
        <v>266245</v>
      </c>
      <c r="BU204" s="24">
        <v>4</v>
      </c>
      <c r="BV204" s="24" t="s">
        <v>33</v>
      </c>
      <c r="BY204" s="24">
        <v>2021</v>
      </c>
      <c r="BZ204" s="24">
        <v>30</v>
      </c>
      <c r="CA204" s="24" t="s">
        <v>32</v>
      </c>
      <c r="CB204" s="24" t="s">
        <v>108</v>
      </c>
      <c r="CC204" s="24">
        <v>2</v>
      </c>
      <c r="CF204" s="24">
        <v>2021</v>
      </c>
      <c r="CG204" s="24">
        <v>32</v>
      </c>
      <c r="CH204" s="24" t="s">
        <v>32</v>
      </c>
      <c r="CI204" s="24">
        <v>103.11787072243347</v>
      </c>
      <c r="CJ204" s="24">
        <v>13560</v>
      </c>
      <c r="CK204" s="24">
        <v>131.5</v>
      </c>
      <c r="CL204" s="24">
        <v>57.140026420079259</v>
      </c>
      <c r="CM204" s="24">
        <v>8706</v>
      </c>
      <c r="CN204" s="24">
        <v>17302</v>
      </c>
      <c r="CO204" s="24">
        <v>302.8</v>
      </c>
      <c r="CP204" s="24">
        <v>6583</v>
      </c>
      <c r="CQ204" s="24">
        <v>50.6</v>
      </c>
      <c r="CR204" s="24">
        <v>149</v>
      </c>
      <c r="CS204" s="24">
        <v>8490</v>
      </c>
      <c r="CT204" s="24">
        <v>8490</v>
      </c>
      <c r="CU204" s="24">
        <v>232.9</v>
      </c>
      <c r="CV204" s="24">
        <v>1894</v>
      </c>
      <c r="CW204" s="24">
        <v>0</v>
      </c>
      <c r="CX204" s="24">
        <v>9330</v>
      </c>
      <c r="CY204" s="24">
        <v>52.4</v>
      </c>
      <c r="CZ204" s="24">
        <v>4567</v>
      </c>
      <c r="DA204" s="24">
        <v>149</v>
      </c>
      <c r="DD204" s="24">
        <v>2021</v>
      </c>
      <c r="DE204" s="24">
        <v>32</v>
      </c>
      <c r="DF204" s="24" t="s">
        <v>32</v>
      </c>
      <c r="DG204" s="24">
        <v>1403</v>
      </c>
      <c r="DH204" s="24">
        <v>1652</v>
      </c>
      <c r="DJ204" s="24">
        <v>2021</v>
      </c>
      <c r="DK204" s="24">
        <v>32</v>
      </c>
      <c r="DL204" s="24" t="s">
        <v>33</v>
      </c>
      <c r="DM204" s="24">
        <v>407</v>
      </c>
      <c r="DP204" s="24">
        <v>2020</v>
      </c>
      <c r="DQ204" s="24">
        <v>23</v>
      </c>
      <c r="DR204" s="24" t="s">
        <v>33</v>
      </c>
      <c r="DS204" s="24">
        <v>8357</v>
      </c>
      <c r="DT204" s="24"/>
      <c r="DW204" s="24">
        <v>2022</v>
      </c>
      <c r="DX204" s="24">
        <v>7</v>
      </c>
      <c r="DY204" s="24" t="s">
        <v>33</v>
      </c>
      <c r="DZ204" s="24">
        <v>9</v>
      </c>
      <c r="EA204" s="24" t="s">
        <v>562</v>
      </c>
      <c r="EB204" s="24">
        <v>150.30000000000001</v>
      </c>
      <c r="EC204" s="24">
        <v>0</v>
      </c>
      <c r="ED204" s="24">
        <v>8</v>
      </c>
      <c r="EE204" s="24">
        <v>5862</v>
      </c>
      <c r="EF204" s="24">
        <v>46.6</v>
      </c>
      <c r="EI204" s="24">
        <v>2023</v>
      </c>
      <c r="EJ204" s="24">
        <v>4</v>
      </c>
      <c r="EK204" s="24" t="s">
        <v>33</v>
      </c>
      <c r="EL204" s="24" t="s">
        <v>238</v>
      </c>
      <c r="EM204" s="24" t="s">
        <v>210</v>
      </c>
      <c r="EN204" s="24">
        <v>2</v>
      </c>
      <c r="EO204" s="24"/>
      <c r="EP204" s="24"/>
      <c r="EQ204" s="24"/>
      <c r="ER204" s="24"/>
      <c r="ES204" s="24">
        <v>2021</v>
      </c>
      <c r="ET204" s="24">
        <v>44</v>
      </c>
      <c r="EU204" s="24" t="s">
        <v>33</v>
      </c>
      <c r="EV204" s="24">
        <v>125480</v>
      </c>
      <c r="EY204" s="24">
        <v>2021</v>
      </c>
      <c r="EZ204" s="24">
        <v>36</v>
      </c>
      <c r="FA204" s="24" t="s">
        <v>33</v>
      </c>
      <c r="FB204" s="24">
        <v>997</v>
      </c>
      <c r="FE204" s="24">
        <v>2021</v>
      </c>
      <c r="FF204" s="24">
        <v>32</v>
      </c>
      <c r="FG204" s="24" t="s">
        <v>32</v>
      </c>
      <c r="FH204" s="24">
        <v>0.86730000000000007</v>
      </c>
      <c r="FI204" s="24">
        <v>405</v>
      </c>
      <c r="FJ204" s="24">
        <v>194</v>
      </c>
      <c r="FK204" s="24">
        <v>222</v>
      </c>
      <c r="FN204" s="24">
        <v>2021</v>
      </c>
      <c r="FO204" s="24">
        <v>33</v>
      </c>
      <c r="FP204" s="24" t="s">
        <v>32</v>
      </c>
      <c r="FQ204" s="24">
        <v>31524</v>
      </c>
      <c r="FR204" s="24">
        <v>667.61666666666702</v>
      </c>
      <c r="FS204" s="24">
        <v>33661</v>
      </c>
      <c r="FT204" s="24">
        <v>379.066666666667</v>
      </c>
      <c r="FW204" s="24">
        <v>2021</v>
      </c>
      <c r="FX204" s="24">
        <v>32</v>
      </c>
      <c r="FY204" s="24" t="s">
        <v>32</v>
      </c>
      <c r="FZ204" s="24">
        <v>1819</v>
      </c>
      <c r="GA204" s="24">
        <v>1764</v>
      </c>
      <c r="GB204" s="24"/>
      <c r="GC204" s="24"/>
      <c r="GD204" s="24">
        <v>2021</v>
      </c>
      <c r="GE204" s="24">
        <v>32</v>
      </c>
      <c r="GF204" s="24" t="s">
        <v>32</v>
      </c>
      <c r="GG204" s="24">
        <v>1787</v>
      </c>
      <c r="GH204" s="24">
        <v>1693</v>
      </c>
      <c r="GK204" s="24"/>
      <c r="GL204" s="24"/>
      <c r="GM204" s="24"/>
      <c r="GN204" s="24"/>
      <c r="GO204" s="24"/>
      <c r="GP204" s="24">
        <v>2021</v>
      </c>
      <c r="GQ204" s="24">
        <v>32</v>
      </c>
      <c r="GR204" s="24">
        <v>0.29899999999999999</v>
      </c>
      <c r="GS204" s="24" t="s">
        <v>32</v>
      </c>
      <c r="GX204">
        <v>2021</v>
      </c>
      <c r="GY204">
        <v>32</v>
      </c>
      <c r="GZ204" t="s">
        <v>32</v>
      </c>
      <c r="HA204">
        <v>12091</v>
      </c>
      <c r="HB204">
        <v>11866</v>
      </c>
      <c r="HC204">
        <v>0</v>
      </c>
      <c r="HD204">
        <v>2</v>
      </c>
      <c r="HE204">
        <v>0</v>
      </c>
      <c r="HF204">
        <v>8</v>
      </c>
      <c r="HG204">
        <v>0</v>
      </c>
      <c r="HH204">
        <v>0</v>
      </c>
      <c r="HI204">
        <v>39</v>
      </c>
      <c r="HL204">
        <v>2021</v>
      </c>
      <c r="HM204">
        <v>32</v>
      </c>
      <c r="HN204" t="s">
        <v>32</v>
      </c>
      <c r="HO204">
        <v>11998</v>
      </c>
      <c r="HP204">
        <v>11858</v>
      </c>
      <c r="HQ204">
        <v>0</v>
      </c>
      <c r="HR204">
        <v>2</v>
      </c>
      <c r="HS204">
        <v>0</v>
      </c>
      <c r="HT204">
        <v>61</v>
      </c>
      <c r="HU204">
        <v>0</v>
      </c>
      <c r="HV204">
        <v>0</v>
      </c>
      <c r="HW204">
        <v>5</v>
      </c>
      <c r="HZ204" s="24">
        <v>2021</v>
      </c>
      <c r="IA204" s="24">
        <v>32</v>
      </c>
      <c r="IB204" s="24" t="s">
        <v>32</v>
      </c>
      <c r="IC204" s="24">
        <v>1827</v>
      </c>
      <c r="ID204" s="24">
        <v>1758</v>
      </c>
      <c r="IG204" s="24">
        <v>2021</v>
      </c>
      <c r="IH204" s="24">
        <v>32</v>
      </c>
      <c r="II204" s="24" t="s">
        <v>32</v>
      </c>
      <c r="IJ204" s="24">
        <v>1722</v>
      </c>
      <c r="IK204" s="24">
        <v>1706</v>
      </c>
    </row>
    <row r="205" spans="9:245" x14ac:dyDescent="0.4">
      <c r="I205" s="305">
        <v>2021</v>
      </c>
      <c r="J205" s="306">
        <v>32</v>
      </c>
      <c r="K205" s="306" t="s">
        <v>32</v>
      </c>
      <c r="L205" s="306">
        <v>12145</v>
      </c>
      <c r="M205" s="306">
        <v>11864</v>
      </c>
      <c r="N205" s="306">
        <v>31</v>
      </c>
      <c r="O205" s="306">
        <v>94</v>
      </c>
      <c r="P205" s="306">
        <v>13</v>
      </c>
      <c r="Q205" s="306">
        <v>6</v>
      </c>
      <c r="R205" s="24"/>
      <c r="S205" s="24"/>
      <c r="T205" s="24"/>
      <c r="W205" s="24">
        <v>2021</v>
      </c>
      <c r="X205" s="24">
        <v>32</v>
      </c>
      <c r="Y205" s="24" t="s">
        <v>33</v>
      </c>
      <c r="Z205" s="24">
        <v>263074</v>
      </c>
      <c r="AA205" s="24">
        <v>257642</v>
      </c>
      <c r="AB205" s="24">
        <v>105</v>
      </c>
      <c r="AC205" s="24">
        <v>42</v>
      </c>
      <c r="AD205" s="304"/>
      <c r="AE205" s="304"/>
      <c r="AF205" s="304"/>
      <c r="AG205" s="304"/>
      <c r="AH205" s="304"/>
      <c r="AI205" s="24"/>
      <c r="AJ205" s="24"/>
      <c r="AK205" s="24">
        <v>2021</v>
      </c>
      <c r="AL205" s="24">
        <v>32</v>
      </c>
      <c r="AM205" s="24">
        <v>14531.17</v>
      </c>
      <c r="AN205" s="24">
        <v>1232.72</v>
      </c>
      <c r="AO205" s="24">
        <v>0</v>
      </c>
      <c r="AP205" s="24">
        <v>368</v>
      </c>
      <c r="AQ205" s="24">
        <v>0</v>
      </c>
      <c r="AR205" s="24">
        <v>4</v>
      </c>
      <c r="AS205" s="24" t="s">
        <v>33</v>
      </c>
      <c r="AT205" s="24"/>
      <c r="AU205" s="24">
        <v>2021</v>
      </c>
      <c r="AV205" s="24">
        <v>32</v>
      </c>
      <c r="AW205" s="24">
        <v>0.06</v>
      </c>
      <c r="AX205" s="24">
        <v>16500</v>
      </c>
      <c r="AY205" s="24">
        <v>267213</v>
      </c>
      <c r="AZ205" s="24" t="s">
        <v>33</v>
      </c>
      <c r="BA205" s="24"/>
      <c r="BB205" s="24"/>
      <c r="BC205" s="24">
        <v>2021</v>
      </c>
      <c r="BD205" s="24">
        <v>32</v>
      </c>
      <c r="BE205" s="24">
        <v>2233.51642857143</v>
      </c>
      <c r="BF205" s="24" t="s">
        <v>33</v>
      </c>
      <c r="BG205" s="24"/>
      <c r="BI205" s="24">
        <v>2022</v>
      </c>
      <c r="BJ205" s="24">
        <v>21</v>
      </c>
      <c r="BK205" s="24" t="s">
        <v>33</v>
      </c>
      <c r="BL205" s="24" t="s">
        <v>272</v>
      </c>
      <c r="BM205" s="24">
        <v>57984</v>
      </c>
      <c r="BN205" s="24">
        <v>57927</v>
      </c>
      <c r="BO205" s="24">
        <v>215596</v>
      </c>
      <c r="BR205" s="24">
        <v>2021</v>
      </c>
      <c r="BS205" s="24">
        <v>32</v>
      </c>
      <c r="BT205" s="24">
        <v>12490</v>
      </c>
      <c r="BU205" s="24">
        <v>0</v>
      </c>
      <c r="BV205" s="24" t="s">
        <v>32</v>
      </c>
      <c r="BY205" s="24">
        <v>2021</v>
      </c>
      <c r="BZ205" s="24">
        <v>30</v>
      </c>
      <c r="CA205" s="24" t="s">
        <v>32</v>
      </c>
      <c r="CB205" s="24" t="s">
        <v>423</v>
      </c>
      <c r="CC205" s="24">
        <v>40</v>
      </c>
      <c r="CF205" s="24">
        <v>2021</v>
      </c>
      <c r="CG205" s="24">
        <v>32</v>
      </c>
      <c r="CH205" s="24" t="s">
        <v>33</v>
      </c>
      <c r="CI205" s="24">
        <v>128.52522503663388</v>
      </c>
      <c r="CJ205" s="24">
        <v>245586</v>
      </c>
      <c r="CK205" s="24">
        <v>1910.8</v>
      </c>
      <c r="CL205" s="24">
        <v>104.62430388163909</v>
      </c>
      <c r="CM205" s="24">
        <v>126703</v>
      </c>
      <c r="CN205" s="24">
        <v>251747</v>
      </c>
      <c r="CO205" s="24">
        <v>2406.1999999999998</v>
      </c>
      <c r="CP205" s="24">
        <v>53447</v>
      </c>
      <c r="CQ205" s="24">
        <v>238.8</v>
      </c>
      <c r="CR205" s="24">
        <v>1324.9</v>
      </c>
      <c r="CS205" s="24">
        <v>169592</v>
      </c>
      <c r="CT205" s="24">
        <v>169592</v>
      </c>
      <c r="CU205" s="24">
        <v>1468</v>
      </c>
      <c r="CV205" s="24">
        <v>46170</v>
      </c>
      <c r="CW205" s="24">
        <v>0</v>
      </c>
      <c r="CX205" s="24">
        <v>158368</v>
      </c>
      <c r="CY205" s="24">
        <v>696.1</v>
      </c>
      <c r="CZ205" s="24">
        <v>45114</v>
      </c>
      <c r="DA205" s="24">
        <v>1324.9</v>
      </c>
      <c r="DD205" s="24">
        <v>2021</v>
      </c>
      <c r="DE205" s="24">
        <v>32</v>
      </c>
      <c r="DF205" s="24" t="s">
        <v>33</v>
      </c>
      <c r="DG205" s="24">
        <v>40380</v>
      </c>
      <c r="DH205" s="24">
        <v>29630</v>
      </c>
      <c r="DJ205" s="24">
        <v>2021</v>
      </c>
      <c r="DK205" s="24">
        <v>31</v>
      </c>
      <c r="DL205" s="24" t="s">
        <v>32</v>
      </c>
      <c r="DM205" s="24">
        <v>16</v>
      </c>
      <c r="DP205" s="24">
        <v>2020</v>
      </c>
      <c r="DQ205" s="24">
        <v>21</v>
      </c>
      <c r="DR205" s="24" t="s">
        <v>33</v>
      </c>
      <c r="DS205" s="24">
        <v>7379</v>
      </c>
      <c r="DT205" s="24"/>
      <c r="DW205" s="24">
        <v>2022</v>
      </c>
      <c r="DX205" s="24">
        <v>7</v>
      </c>
      <c r="DY205" s="24" t="s">
        <v>33</v>
      </c>
      <c r="DZ205" s="24">
        <v>45</v>
      </c>
      <c r="EA205" s="24" t="s">
        <v>149</v>
      </c>
      <c r="EB205" s="24">
        <v>198.5</v>
      </c>
      <c r="EC205" s="24">
        <v>1351.5</v>
      </c>
      <c r="ED205" s="24">
        <v>42780</v>
      </c>
      <c r="EE205" s="24">
        <v>48942</v>
      </c>
      <c r="EF205" s="24">
        <v>279.60000000000002</v>
      </c>
      <c r="EI205" s="24">
        <v>2023</v>
      </c>
      <c r="EJ205" s="24">
        <v>4</v>
      </c>
      <c r="EK205" s="24" t="s">
        <v>237</v>
      </c>
      <c r="EL205" s="24" t="s">
        <v>239</v>
      </c>
      <c r="EM205" s="24" t="s">
        <v>210</v>
      </c>
      <c r="EN205" s="24">
        <v>231</v>
      </c>
      <c r="EO205" s="24"/>
      <c r="EP205" s="24"/>
      <c r="EQ205" s="24"/>
      <c r="ER205" s="24"/>
      <c r="ES205" s="24">
        <v>2021</v>
      </c>
      <c r="ET205" s="24">
        <v>44</v>
      </c>
      <c r="EU205" s="24" t="s">
        <v>213</v>
      </c>
      <c r="EV205" s="24">
        <v>1</v>
      </c>
      <c r="EY205" s="24">
        <v>2021</v>
      </c>
      <c r="EZ205" s="24">
        <v>35</v>
      </c>
      <c r="FA205" s="24" t="s">
        <v>32</v>
      </c>
      <c r="FB205" s="24">
        <v>581</v>
      </c>
      <c r="FE205" s="24">
        <v>2021</v>
      </c>
      <c r="FF205" s="24">
        <v>32</v>
      </c>
      <c r="FG205" s="24" t="s">
        <v>33</v>
      </c>
      <c r="FH205" s="24">
        <v>0.92730000000000001</v>
      </c>
      <c r="FI205" s="24">
        <v>12261</v>
      </c>
      <c r="FJ205" s="24">
        <v>5495</v>
      </c>
      <c r="FK205" s="24">
        <v>5987</v>
      </c>
      <c r="FN205" s="24">
        <v>2021</v>
      </c>
      <c r="FO205" s="24">
        <v>33</v>
      </c>
      <c r="FP205" s="24" t="s">
        <v>33</v>
      </c>
      <c r="FQ205" s="24">
        <v>861234</v>
      </c>
      <c r="FR205" s="24">
        <v>7336.45</v>
      </c>
      <c r="FS205" s="24">
        <v>451647</v>
      </c>
      <c r="FT205" s="24">
        <v>2662.4</v>
      </c>
      <c r="FW205" s="24">
        <v>2021</v>
      </c>
      <c r="FX205" s="24">
        <v>32</v>
      </c>
      <c r="FY205" s="24" t="s">
        <v>33</v>
      </c>
      <c r="FZ205" s="24">
        <v>14539</v>
      </c>
      <c r="GA205" s="24">
        <v>14214</v>
      </c>
      <c r="GB205" s="24"/>
      <c r="GC205" s="24"/>
      <c r="GD205" s="24">
        <v>2021</v>
      </c>
      <c r="GE205" s="24">
        <v>32</v>
      </c>
      <c r="GF205" s="24" t="s">
        <v>33</v>
      </c>
      <c r="GG205" s="24">
        <v>14848</v>
      </c>
      <c r="GH205" s="24">
        <v>14676</v>
      </c>
      <c r="GK205" s="24"/>
      <c r="GL205" s="24"/>
      <c r="GM205" s="24"/>
      <c r="GN205" s="24"/>
      <c r="GO205" s="24"/>
      <c r="GP205" s="24">
        <v>2021</v>
      </c>
      <c r="GQ205" s="24">
        <v>32</v>
      </c>
      <c r="GR205" s="24">
        <v>7.0831428571428603</v>
      </c>
      <c r="GS205" s="24" t="s">
        <v>33</v>
      </c>
      <c r="GX205">
        <v>2021</v>
      </c>
      <c r="GY205">
        <v>32</v>
      </c>
      <c r="GZ205" t="s">
        <v>33</v>
      </c>
      <c r="HA205">
        <v>257658</v>
      </c>
      <c r="HB205">
        <v>252905</v>
      </c>
      <c r="HC205">
        <v>484</v>
      </c>
      <c r="HD205">
        <v>148</v>
      </c>
      <c r="HE205">
        <v>0</v>
      </c>
      <c r="HF205">
        <v>1648</v>
      </c>
      <c r="HG205">
        <v>0</v>
      </c>
      <c r="HH205">
        <v>0</v>
      </c>
      <c r="HI205">
        <v>722</v>
      </c>
      <c r="HL205">
        <v>2021</v>
      </c>
      <c r="HM205">
        <v>32</v>
      </c>
      <c r="HN205" t="s">
        <v>33</v>
      </c>
      <c r="HO205">
        <v>262328</v>
      </c>
      <c r="HP205">
        <v>259928</v>
      </c>
      <c r="HQ205">
        <v>651</v>
      </c>
      <c r="HR205">
        <v>65</v>
      </c>
      <c r="HS205">
        <v>0</v>
      </c>
      <c r="HT205">
        <v>1460</v>
      </c>
      <c r="HU205">
        <v>0</v>
      </c>
      <c r="HV205">
        <v>0</v>
      </c>
      <c r="HW205">
        <v>146</v>
      </c>
      <c r="HZ205" s="24">
        <v>2021</v>
      </c>
      <c r="IA205" s="24">
        <v>32</v>
      </c>
      <c r="IB205" s="24" t="s">
        <v>33</v>
      </c>
      <c r="IC205" s="24">
        <v>14281</v>
      </c>
      <c r="ID205" s="24">
        <v>13902</v>
      </c>
      <c r="IG205" s="24">
        <v>2021</v>
      </c>
      <c r="IH205" s="24">
        <v>32</v>
      </c>
      <c r="II205" s="24" t="s">
        <v>33</v>
      </c>
      <c r="IJ205" s="24">
        <v>13872</v>
      </c>
      <c r="IK205" s="24">
        <v>13815</v>
      </c>
    </row>
    <row r="206" spans="9:245" x14ac:dyDescent="0.4">
      <c r="I206" s="305">
        <v>2021</v>
      </c>
      <c r="J206" s="306">
        <v>32</v>
      </c>
      <c r="K206" s="306" t="s">
        <v>33</v>
      </c>
      <c r="L206" s="306">
        <v>259701</v>
      </c>
      <c r="M206" s="306">
        <v>253203</v>
      </c>
      <c r="N206" s="306">
        <v>363</v>
      </c>
      <c r="O206" s="306">
        <v>1705</v>
      </c>
      <c r="P206" s="306">
        <v>187</v>
      </c>
      <c r="Q206" s="306">
        <v>40</v>
      </c>
      <c r="R206" s="24"/>
      <c r="S206" s="24"/>
      <c r="T206" s="24"/>
      <c r="W206" s="24">
        <v>2021</v>
      </c>
      <c r="X206" s="24">
        <v>31</v>
      </c>
      <c r="Y206" s="24" t="s">
        <v>32</v>
      </c>
      <c r="Z206" s="24">
        <v>12888</v>
      </c>
      <c r="AA206" s="24">
        <v>12514</v>
      </c>
      <c r="AB206" s="24">
        <v>4</v>
      </c>
      <c r="AC206" s="24">
        <v>2</v>
      </c>
      <c r="AD206" s="304"/>
      <c r="AE206" s="304"/>
      <c r="AF206" s="304"/>
      <c r="AG206" s="304"/>
      <c r="AH206" s="304"/>
      <c r="AI206" s="24"/>
      <c r="AJ206" s="24"/>
      <c r="AK206" s="24">
        <v>2021</v>
      </c>
      <c r="AL206" s="24">
        <v>31</v>
      </c>
      <c r="AM206" s="24">
        <v>623.15</v>
      </c>
      <c r="AN206" s="24">
        <v>76.45</v>
      </c>
      <c r="AO206" s="24">
        <v>0</v>
      </c>
      <c r="AP206" s="24">
        <v>17</v>
      </c>
      <c r="AQ206" s="24">
        <v>0</v>
      </c>
      <c r="AR206" s="24">
        <v>0</v>
      </c>
      <c r="AS206" s="24" t="s">
        <v>32</v>
      </c>
      <c r="AT206" s="24"/>
      <c r="AU206" s="24">
        <v>2021</v>
      </c>
      <c r="AV206" s="24">
        <v>31</v>
      </c>
      <c r="AW206" s="24">
        <v>0.14000000000000001</v>
      </c>
      <c r="AX206" s="24">
        <v>1800</v>
      </c>
      <c r="AY206" s="24">
        <v>12768</v>
      </c>
      <c r="AZ206" s="24" t="s">
        <v>32</v>
      </c>
      <c r="BA206" s="24"/>
      <c r="BB206" s="24"/>
      <c r="BC206" s="24">
        <v>2021</v>
      </c>
      <c r="BD206" s="24">
        <v>31</v>
      </c>
      <c r="BE206" s="24">
        <v>176.39942857142898</v>
      </c>
      <c r="BF206" s="24" t="s">
        <v>32</v>
      </c>
      <c r="BG206" s="24"/>
      <c r="BI206" s="24">
        <v>2022</v>
      </c>
      <c r="BJ206" s="24">
        <v>20</v>
      </c>
      <c r="BK206" s="24" t="s">
        <v>32</v>
      </c>
      <c r="BL206" s="24" t="s">
        <v>273</v>
      </c>
      <c r="BM206" s="24">
        <v>10014</v>
      </c>
      <c r="BN206" s="24">
        <v>9961</v>
      </c>
      <c r="BO206" s="24">
        <v>10557</v>
      </c>
      <c r="BR206" s="24">
        <v>2021</v>
      </c>
      <c r="BS206" s="24">
        <v>31</v>
      </c>
      <c r="BT206" s="24">
        <v>12596</v>
      </c>
      <c r="BU206" s="24">
        <v>0</v>
      </c>
      <c r="BV206" s="24" t="s">
        <v>32</v>
      </c>
      <c r="BY206" s="24">
        <v>2021</v>
      </c>
      <c r="BZ206" s="24">
        <v>29</v>
      </c>
      <c r="CA206" s="24" t="s">
        <v>32</v>
      </c>
      <c r="CB206" s="24" t="s">
        <v>108</v>
      </c>
      <c r="CC206" s="24">
        <v>6</v>
      </c>
      <c r="CF206" s="24">
        <v>2021</v>
      </c>
      <c r="CG206" s="24">
        <v>31</v>
      </c>
      <c r="CH206" s="24" t="s">
        <v>32</v>
      </c>
      <c r="CI206" s="24">
        <v>85.903225806451616</v>
      </c>
      <c r="CJ206" s="24">
        <v>10652</v>
      </c>
      <c r="CK206" s="24">
        <v>124</v>
      </c>
      <c r="CL206" s="24">
        <v>54.546042003231015</v>
      </c>
      <c r="CM206" s="24">
        <v>8987</v>
      </c>
      <c r="CN206" s="24">
        <v>16882</v>
      </c>
      <c r="CO206" s="24">
        <v>309.5</v>
      </c>
      <c r="CP206" s="24">
        <v>6599</v>
      </c>
      <c r="CQ206" s="24">
        <v>44.7</v>
      </c>
      <c r="CR206" s="24">
        <v>161.80000000000001</v>
      </c>
      <c r="CS206" s="24">
        <v>11896</v>
      </c>
      <c r="CT206" s="24">
        <v>11896</v>
      </c>
      <c r="CU206" s="24">
        <v>241.1</v>
      </c>
      <c r="CV206" s="24">
        <v>1351</v>
      </c>
      <c r="CW206" s="24">
        <v>0</v>
      </c>
      <c r="CX206" s="24">
        <v>9828</v>
      </c>
      <c r="CY206" s="24">
        <v>52</v>
      </c>
      <c r="CZ206" s="24">
        <v>4826</v>
      </c>
      <c r="DA206" s="24">
        <v>161.80000000000001</v>
      </c>
      <c r="DD206" s="24">
        <v>2021</v>
      </c>
      <c r="DE206" s="24">
        <v>31</v>
      </c>
      <c r="DF206" s="24" t="s">
        <v>32</v>
      </c>
      <c r="DG206" s="24">
        <v>3070</v>
      </c>
      <c r="DH206" s="24">
        <v>2713</v>
      </c>
      <c r="DJ206" s="24">
        <v>2021</v>
      </c>
      <c r="DK206" s="24">
        <v>31</v>
      </c>
      <c r="DL206" s="24" t="s">
        <v>33</v>
      </c>
      <c r="DM206" s="24">
        <v>471</v>
      </c>
      <c r="DP206" s="24">
        <v>2020</v>
      </c>
      <c r="DQ206" s="24">
        <v>20</v>
      </c>
      <c r="DR206" s="24" t="s">
        <v>33</v>
      </c>
      <c r="DS206" s="24">
        <v>6001</v>
      </c>
      <c r="DT206" s="24"/>
      <c r="DW206" s="24">
        <v>2022</v>
      </c>
      <c r="DX206" s="24">
        <v>6</v>
      </c>
      <c r="DY206" s="24" t="s">
        <v>32</v>
      </c>
      <c r="DZ206" s="24">
        <v>1</v>
      </c>
      <c r="EA206" s="24" t="s">
        <v>149</v>
      </c>
      <c r="EB206" s="24">
        <v>0</v>
      </c>
      <c r="EC206" s="24">
        <v>0</v>
      </c>
      <c r="ED206" s="24">
        <v>107</v>
      </c>
      <c r="EE206" s="24">
        <v>7</v>
      </c>
      <c r="EF206" s="24">
        <v>5.4</v>
      </c>
      <c r="EI206" s="24">
        <v>2023</v>
      </c>
      <c r="EJ206" s="24">
        <v>4</v>
      </c>
      <c r="EK206" s="24" t="s">
        <v>237</v>
      </c>
      <c r="EL206" s="24" t="s">
        <v>557</v>
      </c>
      <c r="EM206" s="24" t="s">
        <v>210</v>
      </c>
      <c r="EN206" s="24">
        <v>7</v>
      </c>
      <c r="EO206" s="24"/>
      <c r="EP206" s="24"/>
      <c r="EQ206" s="24"/>
      <c r="ER206" s="24"/>
      <c r="ES206" s="24">
        <v>2021</v>
      </c>
      <c r="ET206" s="24">
        <v>43</v>
      </c>
      <c r="EU206" s="24" t="s">
        <v>32</v>
      </c>
      <c r="EV206" s="24">
        <v>5962</v>
      </c>
      <c r="EY206" s="24">
        <v>2021</v>
      </c>
      <c r="EZ206" s="24">
        <v>35</v>
      </c>
      <c r="FA206" s="24" t="s">
        <v>33</v>
      </c>
      <c r="FB206" s="24">
        <v>722</v>
      </c>
      <c r="FE206" s="24">
        <v>2021</v>
      </c>
      <c r="FF206" s="24">
        <v>31</v>
      </c>
      <c r="FG206" s="24" t="s">
        <v>32</v>
      </c>
      <c r="FH206" s="24">
        <v>0.94330000000000003</v>
      </c>
      <c r="FI206" s="24">
        <v>380</v>
      </c>
      <c r="FJ206" s="24">
        <v>186</v>
      </c>
      <c r="FK206" s="24">
        <v>197</v>
      </c>
      <c r="FN206" s="24">
        <v>2021</v>
      </c>
      <c r="FO206" s="24">
        <v>32</v>
      </c>
      <c r="FP206" s="24" t="s">
        <v>32</v>
      </c>
      <c r="FQ206" s="24">
        <v>29467</v>
      </c>
      <c r="FR206" s="24">
        <v>637.81666666666695</v>
      </c>
      <c r="FS206" s="24">
        <v>24784</v>
      </c>
      <c r="FT206" s="24">
        <v>327.83333333333297</v>
      </c>
      <c r="FW206" s="24">
        <v>2021</v>
      </c>
      <c r="FX206" s="24">
        <v>31</v>
      </c>
      <c r="FY206" s="24" t="s">
        <v>32</v>
      </c>
      <c r="FZ206" s="24">
        <v>1614</v>
      </c>
      <c r="GA206" s="24">
        <v>1551</v>
      </c>
      <c r="GB206" s="24"/>
      <c r="GC206" s="24"/>
      <c r="GD206" s="24">
        <v>2021</v>
      </c>
      <c r="GE206" s="24">
        <v>31</v>
      </c>
      <c r="GF206" s="24" t="s">
        <v>32</v>
      </c>
      <c r="GG206" s="24">
        <v>1641</v>
      </c>
      <c r="GH206" s="24">
        <v>1600</v>
      </c>
      <c r="GK206" s="24"/>
      <c r="GL206" s="24"/>
      <c r="GM206" s="24"/>
      <c r="GN206" s="24"/>
      <c r="GO206" s="24"/>
      <c r="GP206" s="24">
        <v>2021</v>
      </c>
      <c r="GQ206" s="24">
        <v>31</v>
      </c>
      <c r="GR206" s="24">
        <v>0.29899999999999999</v>
      </c>
      <c r="GS206" s="24" t="s">
        <v>32</v>
      </c>
      <c r="GX206">
        <v>2021</v>
      </c>
      <c r="GY206">
        <v>31</v>
      </c>
      <c r="GZ206" t="s">
        <v>32</v>
      </c>
      <c r="HA206">
        <v>12717</v>
      </c>
      <c r="HB206">
        <v>12316</v>
      </c>
      <c r="HC206">
        <v>0</v>
      </c>
      <c r="HD206">
        <v>6</v>
      </c>
      <c r="HE206">
        <v>0</v>
      </c>
      <c r="HF206">
        <v>17</v>
      </c>
      <c r="HG206">
        <v>0</v>
      </c>
      <c r="HH206">
        <v>0</v>
      </c>
      <c r="HI206">
        <v>46</v>
      </c>
      <c r="HL206">
        <v>2021</v>
      </c>
      <c r="HM206">
        <v>31</v>
      </c>
      <c r="HN206" t="s">
        <v>32</v>
      </c>
      <c r="HO206">
        <v>12857</v>
      </c>
      <c r="HP206">
        <v>12555</v>
      </c>
      <c r="HQ206">
        <v>0</v>
      </c>
      <c r="HR206">
        <v>1</v>
      </c>
      <c r="HS206">
        <v>0</v>
      </c>
      <c r="HT206">
        <v>48</v>
      </c>
      <c r="HU206">
        <v>0</v>
      </c>
      <c r="HV206">
        <v>0</v>
      </c>
      <c r="HW206">
        <v>8</v>
      </c>
      <c r="HZ206" s="24">
        <v>2021</v>
      </c>
      <c r="IA206" s="24">
        <v>31</v>
      </c>
      <c r="IB206" s="24" t="s">
        <v>32</v>
      </c>
      <c r="IC206" s="24">
        <v>1572</v>
      </c>
      <c r="ID206" s="24">
        <v>1503</v>
      </c>
      <c r="IG206" s="24">
        <v>2021</v>
      </c>
      <c r="IH206" s="24">
        <v>31</v>
      </c>
      <c r="II206" s="24" t="s">
        <v>32</v>
      </c>
      <c r="IJ206" s="24">
        <v>1628</v>
      </c>
      <c r="IK206" s="24">
        <v>1585</v>
      </c>
    </row>
    <row r="207" spans="9:245" x14ac:dyDescent="0.4">
      <c r="I207" s="305">
        <v>2021</v>
      </c>
      <c r="J207" s="306">
        <v>31</v>
      </c>
      <c r="K207" s="306" t="s">
        <v>32</v>
      </c>
      <c r="L207" s="306">
        <v>12823</v>
      </c>
      <c r="M207" s="306">
        <v>12402</v>
      </c>
      <c r="N207" s="306">
        <v>20</v>
      </c>
      <c r="O207" s="306">
        <v>177</v>
      </c>
      <c r="P207" s="306">
        <v>20</v>
      </c>
      <c r="Q207" s="306">
        <v>6</v>
      </c>
      <c r="R207" s="24"/>
      <c r="S207" s="24"/>
      <c r="T207" s="24"/>
      <c r="W207" s="24">
        <v>2021</v>
      </c>
      <c r="X207" s="24">
        <v>31</v>
      </c>
      <c r="Y207" s="24" t="s">
        <v>33</v>
      </c>
      <c r="Z207" s="24">
        <v>268502</v>
      </c>
      <c r="AA207" s="24">
        <v>261238</v>
      </c>
      <c r="AB207" s="24">
        <v>124</v>
      </c>
      <c r="AC207" s="24">
        <v>43</v>
      </c>
      <c r="AD207" s="304"/>
      <c r="AE207" s="304"/>
      <c r="AF207" s="304"/>
      <c r="AG207" s="304"/>
      <c r="AH207" s="304"/>
      <c r="AI207" s="24"/>
      <c r="AJ207" s="24"/>
      <c r="AK207" s="24">
        <v>2021</v>
      </c>
      <c r="AL207" s="24">
        <v>31</v>
      </c>
      <c r="AM207" s="24">
        <v>15154.43</v>
      </c>
      <c r="AN207" s="24">
        <v>1702.03</v>
      </c>
      <c r="AO207" s="24">
        <v>0</v>
      </c>
      <c r="AP207" s="24">
        <v>362</v>
      </c>
      <c r="AQ207" s="24">
        <v>0</v>
      </c>
      <c r="AR207" s="24">
        <v>5</v>
      </c>
      <c r="AS207" s="24" t="s">
        <v>33</v>
      </c>
      <c r="AT207" s="24"/>
      <c r="AU207" s="24">
        <v>2021</v>
      </c>
      <c r="AV207" s="24">
        <v>31</v>
      </c>
      <c r="AW207" s="24">
        <v>0.06</v>
      </c>
      <c r="AX207" s="24">
        <v>17000</v>
      </c>
      <c r="AY207" s="24">
        <v>272582</v>
      </c>
      <c r="AZ207" s="24" t="s">
        <v>33</v>
      </c>
      <c r="BA207" s="24"/>
      <c r="BB207" s="24"/>
      <c r="BC207" s="24">
        <v>2021</v>
      </c>
      <c r="BD207" s="24">
        <v>31</v>
      </c>
      <c r="BE207" s="24">
        <v>2208.81714285714</v>
      </c>
      <c r="BF207" s="24" t="s">
        <v>33</v>
      </c>
      <c r="BG207" s="24"/>
      <c r="BI207" s="24">
        <v>2022</v>
      </c>
      <c r="BJ207" s="24">
        <v>20</v>
      </c>
      <c r="BK207" s="24" t="s">
        <v>33</v>
      </c>
      <c r="BL207" s="24" t="s">
        <v>272</v>
      </c>
      <c r="BM207" s="24">
        <v>62506</v>
      </c>
      <c r="BN207" s="24">
        <v>62438</v>
      </c>
      <c r="BO207" s="24">
        <v>227997</v>
      </c>
      <c r="BR207" s="24">
        <v>2021</v>
      </c>
      <c r="BS207" s="24">
        <v>31</v>
      </c>
      <c r="BT207" s="24">
        <v>271400</v>
      </c>
      <c r="BU207" s="24">
        <v>2</v>
      </c>
      <c r="BV207" s="24" t="s">
        <v>33</v>
      </c>
      <c r="BY207" s="24">
        <v>2021</v>
      </c>
      <c r="BZ207" s="24">
        <v>29</v>
      </c>
      <c r="CA207" s="24" t="s">
        <v>32</v>
      </c>
      <c r="CB207" s="24" t="s">
        <v>423</v>
      </c>
      <c r="CC207" s="24">
        <v>72</v>
      </c>
      <c r="CF207" s="24">
        <v>2021</v>
      </c>
      <c r="CG207" s="24">
        <v>31</v>
      </c>
      <c r="CH207" s="24" t="s">
        <v>33</v>
      </c>
      <c r="CI207" s="24">
        <v>134.83551078230758</v>
      </c>
      <c r="CJ207" s="24">
        <v>256983</v>
      </c>
      <c r="CK207" s="24">
        <v>1905.9</v>
      </c>
      <c r="CL207" s="24">
        <v>103.84283832861077</v>
      </c>
      <c r="CM207" s="24">
        <v>133832</v>
      </c>
      <c r="CN207" s="24">
        <v>260199</v>
      </c>
      <c r="CO207" s="24">
        <v>2505.6999999999998</v>
      </c>
      <c r="CP207" s="24">
        <v>58545</v>
      </c>
      <c r="CQ207" s="24">
        <v>275.7</v>
      </c>
      <c r="CR207" s="24">
        <v>1329.2</v>
      </c>
      <c r="CS207" s="24">
        <v>176765</v>
      </c>
      <c r="CT207" s="24">
        <v>176765</v>
      </c>
      <c r="CU207" s="24">
        <v>1538.1</v>
      </c>
      <c r="CV207" s="24">
        <v>50899</v>
      </c>
      <c r="CW207" s="24">
        <v>0</v>
      </c>
      <c r="CX207" s="24">
        <v>149837</v>
      </c>
      <c r="CY207" s="24">
        <v>628.79999999999995</v>
      </c>
      <c r="CZ207" s="24">
        <v>47830</v>
      </c>
      <c r="DA207" s="24">
        <v>1329.2</v>
      </c>
      <c r="DD207" s="24">
        <v>2021</v>
      </c>
      <c r="DE207" s="24">
        <v>31</v>
      </c>
      <c r="DF207" s="24" t="s">
        <v>33</v>
      </c>
      <c r="DG207" s="24">
        <v>45392</v>
      </c>
      <c r="DH207" s="24">
        <v>30469</v>
      </c>
      <c r="DJ207" s="24">
        <v>2021</v>
      </c>
      <c r="DK207" s="24">
        <v>30</v>
      </c>
      <c r="DL207" s="24" t="s">
        <v>32</v>
      </c>
      <c r="DM207" s="24">
        <v>16</v>
      </c>
      <c r="DP207" s="24">
        <v>2020</v>
      </c>
      <c r="DQ207" s="24">
        <v>19</v>
      </c>
      <c r="DR207" s="24" t="s">
        <v>33</v>
      </c>
      <c r="DS207" s="24">
        <v>6783</v>
      </c>
      <c r="DT207" s="24"/>
      <c r="DW207" s="24">
        <v>2022</v>
      </c>
      <c r="DX207" s="24">
        <v>6</v>
      </c>
      <c r="DY207" s="24" t="s">
        <v>33</v>
      </c>
      <c r="DZ207" s="24">
        <v>9</v>
      </c>
      <c r="EA207" s="24" t="s">
        <v>562</v>
      </c>
      <c r="EB207" s="24">
        <v>117.1</v>
      </c>
      <c r="EC207" s="24">
        <v>0</v>
      </c>
      <c r="ED207" s="24">
        <v>9</v>
      </c>
      <c r="EE207" s="24">
        <v>4297</v>
      </c>
      <c r="EF207" s="24">
        <v>48.9</v>
      </c>
      <c r="EI207" s="24">
        <v>2023</v>
      </c>
      <c r="EJ207" s="24">
        <v>4</v>
      </c>
      <c r="EK207" s="24" t="s">
        <v>237</v>
      </c>
      <c r="EL207" s="24" t="s">
        <v>240</v>
      </c>
      <c r="EM207" s="24" t="s">
        <v>210</v>
      </c>
      <c r="EN207" s="24">
        <v>521</v>
      </c>
      <c r="EO207" s="24"/>
      <c r="EP207" s="24"/>
      <c r="EQ207" s="24"/>
      <c r="ER207" s="24"/>
      <c r="ES207" s="24">
        <v>2021</v>
      </c>
      <c r="ET207" s="24">
        <v>43</v>
      </c>
      <c r="EU207" s="24" t="s">
        <v>33</v>
      </c>
      <c r="EV207" s="24">
        <v>122536</v>
      </c>
      <c r="EY207" s="24">
        <v>2021</v>
      </c>
      <c r="EZ207" s="24">
        <v>34</v>
      </c>
      <c r="FA207" s="24" t="s">
        <v>32</v>
      </c>
      <c r="FB207" s="24">
        <v>625</v>
      </c>
      <c r="FE207" s="24">
        <v>2021</v>
      </c>
      <c r="FF207" s="24">
        <v>31</v>
      </c>
      <c r="FG207" s="24" t="s">
        <v>33</v>
      </c>
      <c r="FH207" s="24">
        <v>0.87030000000000007</v>
      </c>
      <c r="FI207" s="24">
        <v>14031</v>
      </c>
      <c r="FJ207" s="24">
        <v>6328</v>
      </c>
      <c r="FK207" s="24">
        <v>7327</v>
      </c>
      <c r="FN207" s="24">
        <v>2021</v>
      </c>
      <c r="FO207" s="24">
        <v>32</v>
      </c>
      <c r="FP207" s="24" t="s">
        <v>33</v>
      </c>
      <c r="FQ207" s="24">
        <v>840629</v>
      </c>
      <c r="FR207" s="24">
        <v>7242.4000000000005</v>
      </c>
      <c r="FS207" s="24">
        <v>405571</v>
      </c>
      <c r="FT207" s="24">
        <v>2535.9166666666697</v>
      </c>
      <c r="FW207" s="24">
        <v>2021</v>
      </c>
      <c r="FX207" s="24">
        <v>31</v>
      </c>
      <c r="FY207" s="24" t="s">
        <v>33</v>
      </c>
      <c r="FZ207" s="24">
        <v>14495</v>
      </c>
      <c r="GA207" s="24">
        <v>12999</v>
      </c>
      <c r="GB207" s="24"/>
      <c r="GC207" s="24"/>
      <c r="GD207" s="24">
        <v>2021</v>
      </c>
      <c r="GE207" s="24">
        <v>31</v>
      </c>
      <c r="GF207" s="24" t="s">
        <v>33</v>
      </c>
      <c r="GG207" s="24">
        <v>14360</v>
      </c>
      <c r="GH207" s="24">
        <v>14053</v>
      </c>
      <c r="GK207" s="24"/>
      <c r="GL207" s="24"/>
      <c r="GM207" s="24"/>
      <c r="GN207" s="24"/>
      <c r="GO207" s="24"/>
      <c r="GP207" s="24">
        <v>2021</v>
      </c>
      <c r="GQ207" s="24">
        <v>31</v>
      </c>
      <c r="GR207" s="24">
        <v>6.98</v>
      </c>
      <c r="GS207" s="24" t="s">
        <v>33</v>
      </c>
      <c r="GX207">
        <v>2021</v>
      </c>
      <c r="GY207">
        <v>31</v>
      </c>
      <c r="GZ207" t="s">
        <v>33</v>
      </c>
      <c r="HA207">
        <v>273219</v>
      </c>
      <c r="HB207">
        <v>254251</v>
      </c>
      <c r="HC207">
        <v>888</v>
      </c>
      <c r="HD207">
        <v>609</v>
      </c>
      <c r="HE207">
        <v>0</v>
      </c>
      <c r="HF207">
        <v>2944</v>
      </c>
      <c r="HG207">
        <v>0</v>
      </c>
      <c r="HH207">
        <v>3</v>
      </c>
      <c r="HI207">
        <v>1383</v>
      </c>
      <c r="HL207">
        <v>2021</v>
      </c>
      <c r="HM207">
        <v>31</v>
      </c>
      <c r="HN207" t="s">
        <v>33</v>
      </c>
      <c r="HO207">
        <v>268234</v>
      </c>
      <c r="HP207">
        <v>264869</v>
      </c>
      <c r="HQ207">
        <v>748</v>
      </c>
      <c r="HR207">
        <v>109</v>
      </c>
      <c r="HS207">
        <v>0</v>
      </c>
      <c r="HT207">
        <v>2501</v>
      </c>
      <c r="HU207">
        <v>0</v>
      </c>
      <c r="HV207">
        <v>0</v>
      </c>
      <c r="HW207">
        <v>135</v>
      </c>
      <c r="HZ207" s="24">
        <v>2021</v>
      </c>
      <c r="IA207" s="24">
        <v>31</v>
      </c>
      <c r="IB207" s="24" t="s">
        <v>33</v>
      </c>
      <c r="IC207" s="24">
        <v>14879</v>
      </c>
      <c r="ID207" s="24">
        <v>13356</v>
      </c>
      <c r="IG207" s="24">
        <v>2021</v>
      </c>
      <c r="IH207" s="24">
        <v>31</v>
      </c>
      <c r="II207" s="24" t="s">
        <v>33</v>
      </c>
      <c r="IJ207" s="24">
        <v>13675</v>
      </c>
      <c r="IK207" s="24">
        <v>13579</v>
      </c>
    </row>
    <row r="208" spans="9:245" x14ac:dyDescent="0.4">
      <c r="I208" s="305">
        <v>2021</v>
      </c>
      <c r="J208" s="306">
        <v>31</v>
      </c>
      <c r="K208" s="306" t="s">
        <v>33</v>
      </c>
      <c r="L208" s="306">
        <v>271364</v>
      </c>
      <c r="M208" s="306">
        <v>249923</v>
      </c>
      <c r="N208" s="306">
        <v>579</v>
      </c>
      <c r="O208" s="306">
        <v>7030</v>
      </c>
      <c r="P208" s="306">
        <v>652</v>
      </c>
      <c r="Q208" s="306">
        <v>56</v>
      </c>
      <c r="R208" s="24"/>
      <c r="S208" s="24"/>
      <c r="T208" s="24"/>
      <c r="W208" s="24">
        <v>2021</v>
      </c>
      <c r="X208" s="24">
        <v>30</v>
      </c>
      <c r="Y208" s="24" t="s">
        <v>32</v>
      </c>
      <c r="Z208" s="24">
        <v>13345</v>
      </c>
      <c r="AA208" s="24">
        <v>13078</v>
      </c>
      <c r="AB208" s="24">
        <v>8</v>
      </c>
      <c r="AC208" s="24">
        <v>30</v>
      </c>
      <c r="AD208" s="24"/>
      <c r="AE208" s="24"/>
      <c r="AF208" s="24"/>
      <c r="AG208" s="24"/>
      <c r="AH208" s="24"/>
      <c r="AI208" s="24"/>
      <c r="AJ208" s="24"/>
      <c r="AK208" s="24">
        <v>2021</v>
      </c>
      <c r="AL208" s="24">
        <v>30</v>
      </c>
      <c r="AM208" s="24">
        <v>768.23</v>
      </c>
      <c r="AN208" s="24">
        <v>86.78</v>
      </c>
      <c r="AO208" s="24">
        <v>0</v>
      </c>
      <c r="AP208" s="24">
        <v>19</v>
      </c>
      <c r="AQ208" s="24">
        <v>0</v>
      </c>
      <c r="AR208" s="24">
        <v>0</v>
      </c>
      <c r="AS208" s="24" t="s">
        <v>32</v>
      </c>
      <c r="AT208" s="24"/>
      <c r="AU208" s="24">
        <v>2021</v>
      </c>
      <c r="AV208" s="24">
        <v>30</v>
      </c>
      <c r="AW208" s="24">
        <v>0.15</v>
      </c>
      <c r="AX208" s="24">
        <v>2000</v>
      </c>
      <c r="AY208" s="24">
        <v>13628</v>
      </c>
      <c r="AZ208" s="24" t="s">
        <v>32</v>
      </c>
      <c r="BA208" s="24"/>
      <c r="BB208" s="24"/>
      <c r="BC208" s="24">
        <v>2021</v>
      </c>
      <c r="BD208" s="24">
        <v>30</v>
      </c>
      <c r="BE208" s="24">
        <v>172.22728571428598</v>
      </c>
      <c r="BF208" s="24" t="s">
        <v>32</v>
      </c>
      <c r="BG208" s="24"/>
      <c r="BI208" s="24">
        <v>2022</v>
      </c>
      <c r="BJ208" s="24">
        <v>20</v>
      </c>
      <c r="BK208" s="24" t="s">
        <v>33</v>
      </c>
      <c r="BL208" s="24" t="s">
        <v>273</v>
      </c>
      <c r="BM208" s="24">
        <v>123516</v>
      </c>
      <c r="BN208" s="24">
        <v>122895</v>
      </c>
      <c r="BO208" s="24">
        <v>126748</v>
      </c>
      <c r="BR208" s="24">
        <v>2021</v>
      </c>
      <c r="BS208" s="24">
        <v>30</v>
      </c>
      <c r="BT208" s="24">
        <v>273266</v>
      </c>
      <c r="BU208" s="24">
        <v>2</v>
      </c>
      <c r="BV208" s="24" t="s">
        <v>33</v>
      </c>
      <c r="BY208" s="24">
        <v>2021</v>
      </c>
      <c r="BZ208" s="24">
        <v>28</v>
      </c>
      <c r="CA208" s="24" t="s">
        <v>32</v>
      </c>
      <c r="CB208" s="24" t="s">
        <v>108</v>
      </c>
      <c r="CC208" s="24">
        <v>11</v>
      </c>
      <c r="CF208" s="24">
        <v>2021</v>
      </c>
      <c r="CG208" s="24">
        <v>30</v>
      </c>
      <c r="CH208" s="24" t="s">
        <v>32</v>
      </c>
      <c r="CI208" s="24">
        <v>95.691275167785236</v>
      </c>
      <c r="CJ208" s="24">
        <v>14258</v>
      </c>
      <c r="CK208" s="24">
        <v>149</v>
      </c>
      <c r="CL208" s="24">
        <v>57.52325581395349</v>
      </c>
      <c r="CM208" s="24">
        <v>12625</v>
      </c>
      <c r="CN208" s="24">
        <v>24735</v>
      </c>
      <c r="CO208" s="24">
        <v>430</v>
      </c>
      <c r="CP208" s="24">
        <v>8069</v>
      </c>
      <c r="CQ208" s="24">
        <v>44</v>
      </c>
      <c r="CR208" s="24">
        <v>195.1</v>
      </c>
      <c r="CS208" s="24">
        <v>15034</v>
      </c>
      <c r="CT208" s="24">
        <v>15034</v>
      </c>
      <c r="CU208" s="24">
        <v>276.7</v>
      </c>
      <c r="CV208" s="24">
        <v>1706</v>
      </c>
      <c r="CW208" s="24">
        <v>0</v>
      </c>
      <c r="CX208" s="24">
        <v>13544</v>
      </c>
      <c r="CY208" s="24">
        <v>52.2</v>
      </c>
      <c r="CZ208" s="24">
        <v>6287</v>
      </c>
      <c r="DA208" s="24">
        <v>195.1</v>
      </c>
      <c r="DD208" s="24">
        <v>2021</v>
      </c>
      <c r="DE208" s="24">
        <v>30</v>
      </c>
      <c r="DF208" s="24" t="s">
        <v>32</v>
      </c>
      <c r="DG208" s="24">
        <v>2872</v>
      </c>
      <c r="DH208" s="24">
        <v>2533</v>
      </c>
      <c r="DJ208" s="24">
        <v>2021</v>
      </c>
      <c r="DK208" s="24">
        <v>30</v>
      </c>
      <c r="DL208" s="24" t="s">
        <v>33</v>
      </c>
      <c r="DM208" s="24">
        <v>874</v>
      </c>
      <c r="DP208" s="24">
        <v>2020</v>
      </c>
      <c r="DQ208" s="24">
        <v>18</v>
      </c>
      <c r="DR208" s="24" t="s">
        <v>33</v>
      </c>
      <c r="DS208" s="24">
        <v>7199</v>
      </c>
      <c r="DT208" s="24"/>
      <c r="DW208" s="24">
        <v>2022</v>
      </c>
      <c r="DX208" s="24">
        <v>6</v>
      </c>
      <c r="DY208" s="24" t="s">
        <v>33</v>
      </c>
      <c r="DZ208" s="24">
        <v>46</v>
      </c>
      <c r="EA208" s="24" t="s">
        <v>149</v>
      </c>
      <c r="EB208" s="24">
        <v>83.6</v>
      </c>
      <c r="EC208" s="24">
        <v>1266.0999999999999</v>
      </c>
      <c r="ED208" s="24">
        <v>41002</v>
      </c>
      <c r="EE208" s="24">
        <v>42669</v>
      </c>
      <c r="EF208" s="24">
        <v>267.39999999999998</v>
      </c>
      <c r="EI208" s="24">
        <v>2023</v>
      </c>
      <c r="EJ208" s="24">
        <v>4</v>
      </c>
      <c r="EK208" s="24" t="s">
        <v>237</v>
      </c>
      <c r="EL208" s="24" t="s">
        <v>242</v>
      </c>
      <c r="EM208" s="24" t="s">
        <v>210</v>
      </c>
      <c r="EN208" s="24">
        <v>2</v>
      </c>
      <c r="EO208" s="24"/>
      <c r="EP208" s="24"/>
      <c r="EQ208" s="24"/>
      <c r="ER208" s="24"/>
      <c r="ES208" s="24">
        <v>2021</v>
      </c>
      <c r="ET208" s="24">
        <v>42</v>
      </c>
      <c r="EU208" s="24" t="s">
        <v>32</v>
      </c>
      <c r="EV208" s="24">
        <v>5869</v>
      </c>
      <c r="EY208" s="24">
        <v>2021</v>
      </c>
      <c r="EZ208" s="24">
        <v>34</v>
      </c>
      <c r="FA208" s="24" t="s">
        <v>33</v>
      </c>
      <c r="FB208" s="24">
        <v>837</v>
      </c>
      <c r="FE208" s="24">
        <v>2021</v>
      </c>
      <c r="FF208" s="24">
        <v>30</v>
      </c>
      <c r="FG208" s="24" t="s">
        <v>32</v>
      </c>
      <c r="FH208" s="24">
        <v>0.92960000000000009</v>
      </c>
      <c r="FI208" s="24">
        <v>382</v>
      </c>
      <c r="FJ208" s="24">
        <v>183</v>
      </c>
      <c r="FK208" s="24">
        <v>197</v>
      </c>
      <c r="FN208" s="24">
        <v>2021</v>
      </c>
      <c r="FO208" s="24">
        <v>31</v>
      </c>
      <c r="FP208" s="24" t="s">
        <v>32</v>
      </c>
      <c r="FQ208" s="24">
        <v>30727</v>
      </c>
      <c r="FR208" s="24">
        <v>638.75</v>
      </c>
      <c r="FS208" s="24">
        <v>34837</v>
      </c>
      <c r="FT208" s="24">
        <v>345.53333333333302</v>
      </c>
      <c r="FW208" s="24">
        <v>2021</v>
      </c>
      <c r="FX208" s="24">
        <v>30</v>
      </c>
      <c r="FY208" s="24" t="s">
        <v>32</v>
      </c>
      <c r="FZ208" s="24">
        <v>1648</v>
      </c>
      <c r="GA208" s="24">
        <v>1575</v>
      </c>
      <c r="GB208" s="24"/>
      <c r="GC208" s="24"/>
      <c r="GD208" s="24">
        <v>2021</v>
      </c>
      <c r="GE208" s="24">
        <v>30</v>
      </c>
      <c r="GF208" s="24" t="s">
        <v>32</v>
      </c>
      <c r="GG208" s="24">
        <v>1656</v>
      </c>
      <c r="GH208" s="24">
        <v>1632</v>
      </c>
      <c r="GK208" s="24"/>
      <c r="GL208" s="24"/>
      <c r="GM208" s="24"/>
      <c r="GN208" s="24"/>
      <c r="GO208" s="24"/>
      <c r="GP208" s="24">
        <v>2021</v>
      </c>
      <c r="GQ208" s="24">
        <v>30</v>
      </c>
      <c r="GR208" s="24">
        <v>0.29899999999999999</v>
      </c>
      <c r="GS208" s="24" t="s">
        <v>32</v>
      </c>
      <c r="GX208">
        <v>2021</v>
      </c>
      <c r="GY208">
        <v>30</v>
      </c>
      <c r="GZ208" t="s">
        <v>32</v>
      </c>
      <c r="HA208">
        <v>13007</v>
      </c>
      <c r="HB208">
        <v>12432</v>
      </c>
      <c r="HC208">
        <v>0</v>
      </c>
      <c r="HD208">
        <v>6</v>
      </c>
      <c r="HE208">
        <v>0</v>
      </c>
      <c r="HF208">
        <v>58</v>
      </c>
      <c r="HG208">
        <v>0</v>
      </c>
      <c r="HH208">
        <v>0</v>
      </c>
      <c r="HI208">
        <v>56</v>
      </c>
      <c r="HL208">
        <v>2021</v>
      </c>
      <c r="HM208">
        <v>30</v>
      </c>
      <c r="HN208" t="s">
        <v>32</v>
      </c>
      <c r="HO208">
        <v>13321</v>
      </c>
      <c r="HP208">
        <v>13176</v>
      </c>
      <c r="HQ208">
        <v>0</v>
      </c>
      <c r="HR208">
        <v>0</v>
      </c>
      <c r="HS208">
        <v>0</v>
      </c>
      <c r="HT208">
        <v>80</v>
      </c>
      <c r="HU208">
        <v>0</v>
      </c>
      <c r="HV208">
        <v>0</v>
      </c>
      <c r="HW208">
        <v>5</v>
      </c>
      <c r="HZ208" s="24">
        <v>2021</v>
      </c>
      <c r="IA208" s="24">
        <v>30</v>
      </c>
      <c r="IB208" s="24" t="s">
        <v>32</v>
      </c>
      <c r="IC208" s="24">
        <v>1655</v>
      </c>
      <c r="ID208" s="24">
        <v>1455</v>
      </c>
      <c r="IG208" s="24">
        <v>2021</v>
      </c>
      <c r="IH208" s="24">
        <v>30</v>
      </c>
      <c r="II208" s="24" t="s">
        <v>32</v>
      </c>
      <c r="IJ208" s="24">
        <v>1629</v>
      </c>
      <c r="IK208" s="24">
        <v>1582</v>
      </c>
    </row>
    <row r="209" spans="9:245" x14ac:dyDescent="0.4">
      <c r="I209" s="305">
        <v>2021</v>
      </c>
      <c r="J209" s="306">
        <v>30</v>
      </c>
      <c r="K209" s="306" t="s">
        <v>32</v>
      </c>
      <c r="L209" s="306">
        <v>13426</v>
      </c>
      <c r="M209" s="306">
        <v>13022</v>
      </c>
      <c r="N209" s="306">
        <v>45</v>
      </c>
      <c r="O209" s="306">
        <v>144</v>
      </c>
      <c r="P209" s="306">
        <v>30</v>
      </c>
      <c r="Q209" s="306">
        <v>25</v>
      </c>
      <c r="R209" s="24"/>
      <c r="S209" s="24"/>
      <c r="T209" s="24"/>
      <c r="W209" s="24">
        <v>2021</v>
      </c>
      <c r="X209" s="24">
        <v>30</v>
      </c>
      <c r="Y209" s="24" t="s">
        <v>33</v>
      </c>
      <c r="Z209" s="24">
        <v>275378</v>
      </c>
      <c r="AA209" s="24">
        <v>233707</v>
      </c>
      <c r="AB209" s="24">
        <v>726</v>
      </c>
      <c r="AC209" s="24">
        <v>297</v>
      </c>
      <c r="AD209" s="24"/>
      <c r="AE209" s="24"/>
      <c r="AF209" s="24"/>
      <c r="AG209" s="24"/>
      <c r="AH209" s="24"/>
      <c r="AI209" s="24"/>
      <c r="AJ209" s="24"/>
      <c r="AK209" s="24">
        <v>2021</v>
      </c>
      <c r="AL209" s="24">
        <v>30</v>
      </c>
      <c r="AM209" s="24">
        <v>14858.32</v>
      </c>
      <c r="AN209" s="24">
        <v>1924.07</v>
      </c>
      <c r="AO209" s="24">
        <v>0</v>
      </c>
      <c r="AP209" s="24">
        <v>367</v>
      </c>
      <c r="AQ209" s="24">
        <v>0</v>
      </c>
      <c r="AR209" s="24">
        <v>4</v>
      </c>
      <c r="AS209" s="24" t="s">
        <v>33</v>
      </c>
      <c r="AT209" s="24"/>
      <c r="AU209" s="24">
        <v>2021</v>
      </c>
      <c r="AV209" s="24">
        <v>30</v>
      </c>
      <c r="AW209" s="24">
        <v>7.0000000000000007E-2</v>
      </c>
      <c r="AX209" s="24">
        <v>20400</v>
      </c>
      <c r="AY209" s="24">
        <v>276723</v>
      </c>
      <c r="AZ209" s="24" t="s">
        <v>33</v>
      </c>
      <c r="BA209" s="24"/>
      <c r="BB209" s="24"/>
      <c r="BC209" s="24">
        <v>2021</v>
      </c>
      <c r="BD209" s="24">
        <v>30</v>
      </c>
      <c r="BE209" s="24">
        <v>2193.9934285714298</v>
      </c>
      <c r="BF209" s="24" t="s">
        <v>33</v>
      </c>
      <c r="BG209" s="24"/>
      <c r="BI209" s="24">
        <v>2022</v>
      </c>
      <c r="BJ209" s="24">
        <v>20</v>
      </c>
      <c r="BK209" s="24" t="s">
        <v>32</v>
      </c>
      <c r="BL209" s="24" t="s">
        <v>272</v>
      </c>
      <c r="BM209" s="24">
        <v>4224</v>
      </c>
      <c r="BN209" s="24">
        <v>4219</v>
      </c>
      <c r="BO209" s="24">
        <v>14264</v>
      </c>
      <c r="BR209" s="24">
        <v>2021</v>
      </c>
      <c r="BS209" s="24">
        <v>30</v>
      </c>
      <c r="BT209" s="24">
        <v>13395</v>
      </c>
      <c r="BU209" s="24">
        <v>0</v>
      </c>
      <c r="BV209" s="24" t="s">
        <v>32</v>
      </c>
      <c r="BY209" s="24">
        <v>2021</v>
      </c>
      <c r="BZ209" s="24">
        <v>28</v>
      </c>
      <c r="CA209" s="24" t="s">
        <v>32</v>
      </c>
      <c r="CB209" s="24" t="s">
        <v>423</v>
      </c>
      <c r="CC209" s="24">
        <v>74</v>
      </c>
      <c r="CF209" s="24">
        <v>2021</v>
      </c>
      <c r="CG209" s="24">
        <v>30</v>
      </c>
      <c r="CH209" s="24" t="s">
        <v>33</v>
      </c>
      <c r="CI209" s="24">
        <v>129.2178716331818</v>
      </c>
      <c r="CJ209" s="24">
        <v>264341</v>
      </c>
      <c r="CK209" s="24">
        <v>2045.7</v>
      </c>
      <c r="CL209" s="24">
        <v>103.86476426799007</v>
      </c>
      <c r="CM209" s="24">
        <v>139860</v>
      </c>
      <c r="CN209" s="24">
        <v>267888</v>
      </c>
      <c r="CO209" s="24">
        <v>2579.1999999999998</v>
      </c>
      <c r="CP209" s="24">
        <v>54378</v>
      </c>
      <c r="CQ209" s="24">
        <v>358.7</v>
      </c>
      <c r="CR209" s="24">
        <v>1153.3</v>
      </c>
      <c r="CS209" s="24">
        <v>177960</v>
      </c>
      <c r="CT209" s="24">
        <v>177960</v>
      </c>
      <c r="CU209" s="24">
        <v>1420.4</v>
      </c>
      <c r="CV209" s="24">
        <v>50616</v>
      </c>
      <c r="CW209" s="24">
        <v>0</v>
      </c>
      <c r="CX209" s="24">
        <v>162725</v>
      </c>
      <c r="CY209" s="24">
        <v>557.6</v>
      </c>
      <c r="CZ209" s="24">
        <v>40212</v>
      </c>
      <c r="DA209" s="24">
        <v>1153.3</v>
      </c>
      <c r="DD209" s="24">
        <v>2021</v>
      </c>
      <c r="DE209" s="24">
        <v>30</v>
      </c>
      <c r="DF209" s="24" t="s">
        <v>33</v>
      </c>
      <c r="DG209" s="24">
        <v>40695</v>
      </c>
      <c r="DH209" s="24">
        <v>32352</v>
      </c>
      <c r="DJ209" s="24">
        <v>2021</v>
      </c>
      <c r="DK209" s="24">
        <v>28</v>
      </c>
      <c r="DL209" s="24" t="s">
        <v>32</v>
      </c>
      <c r="DM209" s="24">
        <v>37</v>
      </c>
      <c r="DP209" s="24">
        <v>2020</v>
      </c>
      <c r="DQ209" s="24">
        <v>17</v>
      </c>
      <c r="DR209" s="24" t="s">
        <v>33</v>
      </c>
      <c r="DS209" s="24">
        <v>4993</v>
      </c>
      <c r="DT209" s="24"/>
      <c r="DW209" s="24">
        <v>2022</v>
      </c>
      <c r="DX209" s="24">
        <v>5</v>
      </c>
      <c r="DY209" s="24" t="s">
        <v>32</v>
      </c>
      <c r="DZ209" s="24">
        <v>1</v>
      </c>
      <c r="EA209" s="24" t="s">
        <v>149</v>
      </c>
      <c r="EB209" s="24">
        <v>0</v>
      </c>
      <c r="EC209" s="24">
        <v>0</v>
      </c>
      <c r="ED209" s="24">
        <v>127</v>
      </c>
      <c r="EE209" s="24">
        <v>6</v>
      </c>
      <c r="EF209" s="24">
        <v>5.3</v>
      </c>
      <c r="EI209" s="24">
        <v>2023</v>
      </c>
      <c r="EJ209" s="24">
        <v>4</v>
      </c>
      <c r="EK209" s="24" t="s">
        <v>237</v>
      </c>
      <c r="EL209" s="24" t="s">
        <v>233</v>
      </c>
      <c r="EM209" s="24" t="s">
        <v>210</v>
      </c>
      <c r="EN209" s="24">
        <v>8</v>
      </c>
      <c r="EO209" s="24"/>
      <c r="EP209" s="24"/>
      <c r="EQ209" s="24"/>
      <c r="ER209" s="24"/>
      <c r="ES209" s="24">
        <v>2021</v>
      </c>
      <c r="ET209" s="24">
        <v>42</v>
      </c>
      <c r="EU209" s="24" t="s">
        <v>33</v>
      </c>
      <c r="EV209" s="24">
        <v>114445</v>
      </c>
      <c r="EY209" s="24">
        <v>2021</v>
      </c>
      <c r="EZ209" s="24">
        <v>33</v>
      </c>
      <c r="FA209" s="24" t="s">
        <v>32</v>
      </c>
      <c r="FB209" s="24">
        <v>632</v>
      </c>
      <c r="FE209" s="24">
        <v>2021</v>
      </c>
      <c r="FF209" s="24">
        <v>30</v>
      </c>
      <c r="FG209" s="24" t="s">
        <v>33</v>
      </c>
      <c r="FH209" s="24">
        <v>0.77360000000000007</v>
      </c>
      <c r="FI209" s="24">
        <v>15136</v>
      </c>
      <c r="FJ209" s="24">
        <v>6835</v>
      </c>
      <c r="FK209" s="24">
        <v>8714</v>
      </c>
      <c r="FN209" s="24">
        <v>2021</v>
      </c>
      <c r="FO209" s="24">
        <v>31</v>
      </c>
      <c r="FP209" s="24" t="s">
        <v>33</v>
      </c>
      <c r="FQ209" s="24">
        <v>867692</v>
      </c>
      <c r="FR209" s="24">
        <v>7419.3</v>
      </c>
      <c r="FS209" s="24">
        <v>429560</v>
      </c>
      <c r="FT209" s="24">
        <v>2553.11666666667</v>
      </c>
      <c r="FW209" s="24">
        <v>2021</v>
      </c>
      <c r="FX209" s="24">
        <v>30</v>
      </c>
      <c r="FY209" s="24" t="s">
        <v>33</v>
      </c>
      <c r="FZ209" s="24">
        <v>15452</v>
      </c>
      <c r="GA209" s="24">
        <v>14138</v>
      </c>
      <c r="GB209" s="24"/>
      <c r="GC209" s="24"/>
      <c r="GD209" s="24">
        <v>2021</v>
      </c>
      <c r="GE209" s="24">
        <v>30</v>
      </c>
      <c r="GF209" s="24" t="s">
        <v>33</v>
      </c>
      <c r="GG209" s="24">
        <v>15347</v>
      </c>
      <c r="GH209" s="24">
        <v>14519</v>
      </c>
      <c r="GK209" s="24"/>
      <c r="GL209" s="24"/>
      <c r="GM209" s="24"/>
      <c r="GN209" s="24"/>
      <c r="GO209" s="24"/>
      <c r="GP209" s="24">
        <v>2021</v>
      </c>
      <c r="GQ209" s="24">
        <v>30</v>
      </c>
      <c r="GR209" s="24">
        <v>6.9218571428571396</v>
      </c>
      <c r="GS209" s="24" t="s">
        <v>33</v>
      </c>
      <c r="GX209">
        <v>2021</v>
      </c>
      <c r="GY209">
        <v>30</v>
      </c>
      <c r="GZ209" t="s">
        <v>33</v>
      </c>
      <c r="HA209">
        <v>277632</v>
      </c>
      <c r="HB209">
        <v>237164</v>
      </c>
      <c r="HC209">
        <v>1514</v>
      </c>
      <c r="HD209">
        <v>2032</v>
      </c>
      <c r="HE209">
        <v>1</v>
      </c>
      <c r="HF209">
        <v>17878</v>
      </c>
      <c r="HG209">
        <v>0</v>
      </c>
      <c r="HH209">
        <v>1</v>
      </c>
      <c r="HI209">
        <v>2491</v>
      </c>
      <c r="HL209">
        <v>2021</v>
      </c>
      <c r="HM209">
        <v>30</v>
      </c>
      <c r="HN209" t="s">
        <v>33</v>
      </c>
      <c r="HO209">
        <v>274325</v>
      </c>
      <c r="HP209">
        <v>241072</v>
      </c>
      <c r="HQ209">
        <v>1716</v>
      </c>
      <c r="HR209">
        <v>1531</v>
      </c>
      <c r="HS209">
        <v>1</v>
      </c>
      <c r="HT209">
        <v>18800</v>
      </c>
      <c r="HU209">
        <v>0</v>
      </c>
      <c r="HV209">
        <v>1</v>
      </c>
      <c r="HW209">
        <v>1668</v>
      </c>
      <c r="HZ209" s="24">
        <v>2021</v>
      </c>
      <c r="IA209" s="24">
        <v>30</v>
      </c>
      <c r="IB209" s="24" t="s">
        <v>33</v>
      </c>
      <c r="IC209" s="24">
        <v>14886</v>
      </c>
      <c r="ID209" s="24">
        <v>12776</v>
      </c>
      <c r="IG209" s="24">
        <v>2021</v>
      </c>
      <c r="IH209" s="24">
        <v>30</v>
      </c>
      <c r="II209" s="24" t="s">
        <v>33</v>
      </c>
      <c r="IJ209" s="24">
        <v>14545</v>
      </c>
      <c r="IK209" s="24">
        <v>13931</v>
      </c>
    </row>
    <row r="210" spans="9:245" x14ac:dyDescent="0.4">
      <c r="I210" s="305">
        <v>2021</v>
      </c>
      <c r="J210" s="306">
        <v>30</v>
      </c>
      <c r="K210" s="306" t="s">
        <v>33</v>
      </c>
      <c r="L210" s="306">
        <v>277814</v>
      </c>
      <c r="M210" s="306">
        <v>231890</v>
      </c>
      <c r="N210" s="306">
        <v>1137</v>
      </c>
      <c r="O210" s="306">
        <v>9170</v>
      </c>
      <c r="P210" s="306">
        <v>980</v>
      </c>
      <c r="Q210" s="306">
        <v>312</v>
      </c>
      <c r="R210" s="24"/>
      <c r="S210" s="24"/>
      <c r="T210" s="24"/>
      <c r="W210" s="24">
        <v>2021</v>
      </c>
      <c r="X210" s="24">
        <v>29</v>
      </c>
      <c r="Y210" s="24" t="s">
        <v>32</v>
      </c>
      <c r="Z210" s="24">
        <v>12712</v>
      </c>
      <c r="AA210" s="24">
        <v>11039</v>
      </c>
      <c r="AB210" s="24">
        <v>48</v>
      </c>
      <c r="AC210" s="24">
        <v>9</v>
      </c>
      <c r="AD210" s="24"/>
      <c r="AE210" s="24"/>
      <c r="AF210" s="24"/>
      <c r="AG210" s="24"/>
      <c r="AH210" s="24"/>
      <c r="AI210" s="24"/>
      <c r="AJ210" s="24"/>
      <c r="AK210" s="24">
        <v>2021</v>
      </c>
      <c r="AL210" s="24">
        <v>29</v>
      </c>
      <c r="AM210" s="24">
        <v>829.53</v>
      </c>
      <c r="AN210" s="24">
        <v>106.03</v>
      </c>
      <c r="AO210" s="24">
        <v>0</v>
      </c>
      <c r="AP210" s="24">
        <v>19</v>
      </c>
      <c r="AQ210" s="24">
        <v>0</v>
      </c>
      <c r="AR210" s="24">
        <v>0</v>
      </c>
      <c r="AS210" s="24" t="s">
        <v>32</v>
      </c>
      <c r="AT210" s="24"/>
      <c r="AU210" s="24">
        <v>2021</v>
      </c>
      <c r="AV210" s="24">
        <v>29</v>
      </c>
      <c r="AW210" s="24">
        <v>0.25</v>
      </c>
      <c r="AX210" s="24">
        <v>3500</v>
      </c>
      <c r="AY210" s="24">
        <v>13773</v>
      </c>
      <c r="AZ210" s="24" t="s">
        <v>32</v>
      </c>
      <c r="BA210" s="24"/>
      <c r="BB210" s="24"/>
      <c r="BC210" s="24">
        <v>2021</v>
      </c>
      <c r="BD210" s="24">
        <v>29</v>
      </c>
      <c r="BE210" s="24">
        <v>168.58850000000001</v>
      </c>
      <c r="BF210" s="24" t="s">
        <v>32</v>
      </c>
      <c r="BG210" s="24"/>
      <c r="BI210" s="24">
        <v>2022</v>
      </c>
      <c r="BJ210" s="24">
        <v>19</v>
      </c>
      <c r="BK210" s="24" t="s">
        <v>33</v>
      </c>
      <c r="BL210" s="24" t="s">
        <v>273</v>
      </c>
      <c r="BM210" s="24">
        <v>118205</v>
      </c>
      <c r="BN210" s="24">
        <v>117627</v>
      </c>
      <c r="BO210" s="24">
        <v>121358</v>
      </c>
      <c r="BR210" s="24">
        <v>2021</v>
      </c>
      <c r="BS210" s="24">
        <v>29</v>
      </c>
      <c r="BT210" s="24">
        <v>274413</v>
      </c>
      <c r="BU210" s="24">
        <v>3</v>
      </c>
      <c r="BV210" s="24" t="s">
        <v>33</v>
      </c>
      <c r="BY210" s="24">
        <v>2021</v>
      </c>
      <c r="BZ210" s="24">
        <v>27</v>
      </c>
      <c r="CA210" s="24" t="s">
        <v>32</v>
      </c>
      <c r="CB210" s="24" t="s">
        <v>108</v>
      </c>
      <c r="CC210" s="24">
        <v>1</v>
      </c>
      <c r="CF210" s="24">
        <v>2021</v>
      </c>
      <c r="CG210" s="24">
        <v>29</v>
      </c>
      <c r="CH210" s="24" t="s">
        <v>32</v>
      </c>
      <c r="CI210" s="24">
        <v>81.714285714285708</v>
      </c>
      <c r="CJ210" s="24">
        <v>12584</v>
      </c>
      <c r="CK210" s="24">
        <v>154</v>
      </c>
      <c r="CL210" s="24">
        <v>52.965900079302138</v>
      </c>
      <c r="CM210" s="24">
        <v>10879</v>
      </c>
      <c r="CN210" s="24">
        <v>20037</v>
      </c>
      <c r="CO210" s="24">
        <v>378.3</v>
      </c>
      <c r="CP210" s="24">
        <v>7615</v>
      </c>
      <c r="CQ210" s="24">
        <v>49.7</v>
      </c>
      <c r="CR210" s="24">
        <v>184.5</v>
      </c>
      <c r="CS210" s="24">
        <v>15411</v>
      </c>
      <c r="CT210" s="24">
        <v>15411</v>
      </c>
      <c r="CU210" s="24">
        <v>252.8</v>
      </c>
      <c r="CV210" s="24">
        <v>1879</v>
      </c>
      <c r="CW210" s="24">
        <v>0</v>
      </c>
      <c r="CX210" s="24">
        <v>9276</v>
      </c>
      <c r="CY210" s="24">
        <v>50.3</v>
      </c>
      <c r="CZ210" s="24">
        <v>5393</v>
      </c>
      <c r="DA210" s="24">
        <v>184.5</v>
      </c>
      <c r="DD210" s="24">
        <v>2021</v>
      </c>
      <c r="DE210" s="24">
        <v>29</v>
      </c>
      <c r="DF210" s="24" t="s">
        <v>32</v>
      </c>
      <c r="DG210" s="24">
        <v>3019</v>
      </c>
      <c r="DH210" s="24">
        <v>2196</v>
      </c>
      <c r="DJ210" s="24">
        <v>2021</v>
      </c>
      <c r="DK210" s="24">
        <v>28</v>
      </c>
      <c r="DL210" s="24" t="s">
        <v>33</v>
      </c>
      <c r="DM210" s="24">
        <v>1014</v>
      </c>
      <c r="DP210" s="24">
        <v>2020</v>
      </c>
      <c r="DQ210" s="24">
        <v>16</v>
      </c>
      <c r="DR210" s="24" t="s">
        <v>33</v>
      </c>
      <c r="DS210" s="24">
        <v>4711</v>
      </c>
      <c r="DT210" s="24"/>
      <c r="DW210" s="24">
        <v>2022</v>
      </c>
      <c r="DX210" s="24">
        <v>5</v>
      </c>
      <c r="DY210" s="24" t="s">
        <v>33</v>
      </c>
      <c r="DZ210" s="24">
        <v>9</v>
      </c>
      <c r="EA210" s="24" t="s">
        <v>562</v>
      </c>
      <c r="EB210" s="24">
        <v>136.9</v>
      </c>
      <c r="EC210" s="24">
        <v>0</v>
      </c>
      <c r="ED210" s="24">
        <v>8</v>
      </c>
      <c r="EE210" s="24">
        <v>5216</v>
      </c>
      <c r="EF210" s="24">
        <v>48.3</v>
      </c>
      <c r="EI210" s="24">
        <v>2023</v>
      </c>
      <c r="EJ210" s="24">
        <v>4</v>
      </c>
      <c r="EK210" s="24" t="s">
        <v>237</v>
      </c>
      <c r="EL210" s="24" t="s">
        <v>233</v>
      </c>
      <c r="EM210" s="24" t="s">
        <v>234</v>
      </c>
      <c r="EN210" s="24">
        <v>1</v>
      </c>
      <c r="EO210" s="24"/>
      <c r="EP210" s="24"/>
      <c r="EQ210" s="24"/>
      <c r="ER210" s="24"/>
      <c r="ES210" s="24">
        <v>2021</v>
      </c>
      <c r="ET210" s="24">
        <v>41</v>
      </c>
      <c r="EU210" s="24" t="s">
        <v>32</v>
      </c>
      <c r="EV210" s="24">
        <v>5939</v>
      </c>
      <c r="EY210" s="24">
        <v>2021</v>
      </c>
      <c r="EZ210" s="24">
        <v>33</v>
      </c>
      <c r="FA210" s="24" t="s">
        <v>33</v>
      </c>
      <c r="FB210" s="24">
        <v>816</v>
      </c>
      <c r="FE210" s="24">
        <v>2021</v>
      </c>
      <c r="FF210" s="24">
        <v>29</v>
      </c>
      <c r="FG210" s="24" t="s">
        <v>32</v>
      </c>
      <c r="FH210" s="24">
        <v>0.58430000000000004</v>
      </c>
      <c r="FI210" s="24">
        <v>328</v>
      </c>
      <c r="FJ210" s="24">
        <v>162</v>
      </c>
      <c r="FK210" s="24">
        <v>231</v>
      </c>
      <c r="FN210" s="24">
        <v>2021</v>
      </c>
      <c r="FO210" s="24">
        <v>30</v>
      </c>
      <c r="FP210" s="24" t="s">
        <v>32</v>
      </c>
      <c r="FQ210" s="24">
        <v>31458</v>
      </c>
      <c r="FR210" s="24">
        <v>703.68333333333294</v>
      </c>
      <c r="FS210" s="24">
        <v>36197</v>
      </c>
      <c r="FT210" s="24">
        <v>360.48333333333301</v>
      </c>
      <c r="FW210" s="24">
        <v>2021</v>
      </c>
      <c r="FX210" s="24">
        <v>29</v>
      </c>
      <c r="FY210" s="24" t="s">
        <v>32</v>
      </c>
      <c r="FZ210" s="24">
        <v>1562</v>
      </c>
      <c r="GA210" s="24">
        <v>1388</v>
      </c>
      <c r="GB210" s="24"/>
      <c r="GC210" s="24"/>
      <c r="GD210" s="24">
        <v>2021</v>
      </c>
      <c r="GE210" s="24">
        <v>29</v>
      </c>
      <c r="GF210" s="24" t="s">
        <v>32</v>
      </c>
      <c r="GG210" s="24">
        <v>1572</v>
      </c>
      <c r="GH210" s="24">
        <v>1390</v>
      </c>
      <c r="GK210" s="24"/>
      <c r="GL210" s="24"/>
      <c r="GM210" s="24"/>
      <c r="GN210" s="24"/>
      <c r="GO210" s="24"/>
      <c r="GP210" s="24">
        <v>2021</v>
      </c>
      <c r="GQ210" s="24">
        <v>29</v>
      </c>
      <c r="GR210" s="24">
        <v>0.29899999999999999</v>
      </c>
      <c r="GS210" s="24" t="s">
        <v>32</v>
      </c>
      <c r="GX210">
        <v>2021</v>
      </c>
      <c r="GY210">
        <v>29</v>
      </c>
      <c r="GZ210" t="s">
        <v>32</v>
      </c>
      <c r="HA210">
        <v>13196</v>
      </c>
      <c r="HB210">
        <v>11621</v>
      </c>
      <c r="HC210">
        <v>0</v>
      </c>
      <c r="HD210">
        <v>3</v>
      </c>
      <c r="HE210">
        <v>0</v>
      </c>
      <c r="HF210">
        <v>523</v>
      </c>
      <c r="HG210">
        <v>0</v>
      </c>
      <c r="HH210">
        <v>0</v>
      </c>
      <c r="HI210">
        <v>103</v>
      </c>
      <c r="HL210">
        <v>2021</v>
      </c>
      <c r="HM210">
        <v>29</v>
      </c>
      <c r="HN210" t="s">
        <v>32</v>
      </c>
      <c r="HO210">
        <v>12676</v>
      </c>
      <c r="HP210">
        <v>11402</v>
      </c>
      <c r="HQ210">
        <v>0</v>
      </c>
      <c r="HR210">
        <v>3</v>
      </c>
      <c r="HS210">
        <v>0</v>
      </c>
      <c r="HT210">
        <v>560</v>
      </c>
      <c r="HU210">
        <v>0</v>
      </c>
      <c r="HV210">
        <v>0</v>
      </c>
      <c r="HW210">
        <v>45</v>
      </c>
      <c r="HZ210" s="24">
        <v>2021</v>
      </c>
      <c r="IA210" s="24">
        <v>29</v>
      </c>
      <c r="IB210" s="24" t="s">
        <v>32</v>
      </c>
      <c r="IC210" s="24">
        <v>1612</v>
      </c>
      <c r="ID210" s="24">
        <v>1321</v>
      </c>
      <c r="IG210" s="24">
        <v>2021</v>
      </c>
      <c r="IH210" s="24">
        <v>29</v>
      </c>
      <c r="II210" s="24" t="s">
        <v>32</v>
      </c>
      <c r="IJ210" s="24">
        <v>1556</v>
      </c>
      <c r="IK210" s="24">
        <v>1361</v>
      </c>
    </row>
    <row r="211" spans="9:245" x14ac:dyDescent="0.4">
      <c r="I211" s="305">
        <v>2021</v>
      </c>
      <c r="J211" s="306">
        <v>29</v>
      </c>
      <c r="K211" s="306" t="s">
        <v>32</v>
      </c>
      <c r="L211" s="306">
        <v>12695</v>
      </c>
      <c r="M211" s="306">
        <v>11053</v>
      </c>
      <c r="N211" s="306">
        <v>71</v>
      </c>
      <c r="O211" s="306">
        <v>487</v>
      </c>
      <c r="P211" s="306">
        <v>56</v>
      </c>
      <c r="Q211" s="306">
        <v>18</v>
      </c>
      <c r="R211" s="24"/>
      <c r="S211" s="24"/>
      <c r="T211" s="24"/>
      <c r="W211" s="24">
        <v>2021</v>
      </c>
      <c r="X211" s="24">
        <v>29</v>
      </c>
      <c r="Y211" s="24" t="s">
        <v>33</v>
      </c>
      <c r="Z211" s="24">
        <v>268310</v>
      </c>
      <c r="AA211" s="24">
        <v>160695</v>
      </c>
      <c r="AB211" s="24">
        <v>4945</v>
      </c>
      <c r="AC211" s="24">
        <v>169</v>
      </c>
      <c r="AD211" s="24"/>
      <c r="AE211" s="24"/>
      <c r="AF211" s="24"/>
      <c r="AG211" s="24"/>
      <c r="AH211" s="24"/>
      <c r="AI211" s="24"/>
      <c r="AJ211" s="24"/>
      <c r="AK211" s="24">
        <v>2021</v>
      </c>
      <c r="AL211" s="24">
        <v>29</v>
      </c>
      <c r="AM211" s="24">
        <v>15286.720000000001</v>
      </c>
      <c r="AN211" s="24">
        <v>1881.93</v>
      </c>
      <c r="AO211" s="24">
        <v>0</v>
      </c>
      <c r="AP211" s="24">
        <v>367</v>
      </c>
      <c r="AQ211" s="24">
        <v>0</v>
      </c>
      <c r="AR211" s="24">
        <v>5</v>
      </c>
      <c r="AS211" s="24" t="s">
        <v>33</v>
      </c>
      <c r="AT211" s="24"/>
      <c r="AU211" s="24">
        <v>2021</v>
      </c>
      <c r="AV211" s="24">
        <v>29</v>
      </c>
      <c r="AW211" s="24">
        <v>0.08</v>
      </c>
      <c r="AX211" s="24">
        <v>22000</v>
      </c>
      <c r="AY211" s="24">
        <v>275658</v>
      </c>
      <c r="AZ211" s="24" t="s">
        <v>33</v>
      </c>
      <c r="BA211" s="24"/>
      <c r="BB211" s="24"/>
      <c r="BC211" s="24">
        <v>2021</v>
      </c>
      <c r="BD211" s="24">
        <v>29</v>
      </c>
      <c r="BE211" s="24">
        <v>2158.0801666666698</v>
      </c>
      <c r="BF211" s="24" t="s">
        <v>33</v>
      </c>
      <c r="BG211" s="24"/>
      <c r="BI211" s="24">
        <v>2022</v>
      </c>
      <c r="BJ211" s="24">
        <v>19</v>
      </c>
      <c r="BK211" s="24" t="s">
        <v>32</v>
      </c>
      <c r="BL211" s="24" t="s">
        <v>272</v>
      </c>
      <c r="BM211" s="24">
        <v>3258</v>
      </c>
      <c r="BN211" s="24">
        <v>3258</v>
      </c>
      <c r="BO211" s="24">
        <v>11339</v>
      </c>
      <c r="BR211" s="24">
        <v>2021</v>
      </c>
      <c r="BS211" s="24">
        <v>29</v>
      </c>
      <c r="BT211" s="24">
        <v>13645</v>
      </c>
      <c r="BU211" s="24">
        <v>0</v>
      </c>
      <c r="BV211" s="24" t="s">
        <v>32</v>
      </c>
      <c r="BY211" s="24">
        <v>2021</v>
      </c>
      <c r="BZ211" s="24">
        <v>27</v>
      </c>
      <c r="CA211" s="24" t="s">
        <v>32</v>
      </c>
      <c r="CB211" s="24" t="s">
        <v>423</v>
      </c>
      <c r="CC211" s="24">
        <v>22</v>
      </c>
      <c r="CF211" s="24">
        <v>2021</v>
      </c>
      <c r="CG211" s="24">
        <v>29</v>
      </c>
      <c r="CH211" s="24" t="s">
        <v>33</v>
      </c>
      <c r="CI211" s="24">
        <v>109.46766036731435</v>
      </c>
      <c r="CJ211" s="24">
        <v>246762</v>
      </c>
      <c r="CK211" s="24">
        <v>2254.1999999999998</v>
      </c>
      <c r="CL211" s="24">
        <v>103.84908536585365</v>
      </c>
      <c r="CM211" s="24">
        <v>129475</v>
      </c>
      <c r="CN211" s="24">
        <v>245250</v>
      </c>
      <c r="CO211" s="24">
        <v>2361.6</v>
      </c>
      <c r="CP211" s="24">
        <v>48569</v>
      </c>
      <c r="CQ211" s="24">
        <v>247.2</v>
      </c>
      <c r="CR211" s="24">
        <v>1206.7</v>
      </c>
      <c r="CS211" s="24">
        <v>202977</v>
      </c>
      <c r="CT211" s="24">
        <v>202977</v>
      </c>
      <c r="CU211" s="24">
        <v>1525.5</v>
      </c>
      <c r="CV211" s="24">
        <v>42938</v>
      </c>
      <c r="CW211" s="24">
        <v>0</v>
      </c>
      <c r="CX211" s="24">
        <v>199978</v>
      </c>
      <c r="CY211" s="24">
        <v>660.9</v>
      </c>
      <c r="CZ211" s="24">
        <v>41992</v>
      </c>
      <c r="DA211" s="24">
        <v>1206.7</v>
      </c>
      <c r="DD211" s="24">
        <v>2021</v>
      </c>
      <c r="DE211" s="24">
        <v>29</v>
      </c>
      <c r="DF211" s="24" t="s">
        <v>33</v>
      </c>
      <c r="DG211" s="24">
        <v>38456</v>
      </c>
      <c r="DH211" s="24">
        <v>39949</v>
      </c>
      <c r="DJ211" s="24">
        <v>2021</v>
      </c>
      <c r="DK211" s="24">
        <v>27</v>
      </c>
      <c r="DL211" s="24" t="s">
        <v>32</v>
      </c>
      <c r="DM211" s="24">
        <v>23</v>
      </c>
      <c r="DP211" s="24">
        <v>2020</v>
      </c>
      <c r="DQ211" s="24">
        <v>15</v>
      </c>
      <c r="DR211" s="24" t="s">
        <v>33</v>
      </c>
      <c r="DS211" s="24">
        <v>5230</v>
      </c>
      <c r="DT211" s="24"/>
      <c r="DW211" s="24">
        <v>2022</v>
      </c>
      <c r="DX211" s="24">
        <v>5</v>
      </c>
      <c r="DY211" s="24" t="s">
        <v>33</v>
      </c>
      <c r="DZ211" s="24">
        <v>44</v>
      </c>
      <c r="EA211" s="24" t="s">
        <v>149</v>
      </c>
      <c r="EB211" s="24">
        <v>86.6</v>
      </c>
      <c r="EC211" s="24">
        <v>1154.0999999999999</v>
      </c>
      <c r="ED211" s="24">
        <v>38191</v>
      </c>
      <c r="EE211" s="24">
        <v>40494</v>
      </c>
      <c r="EF211" s="24">
        <v>236</v>
      </c>
      <c r="EI211" s="24">
        <v>2023</v>
      </c>
      <c r="EJ211" s="24">
        <v>4</v>
      </c>
      <c r="EK211" s="24" t="s">
        <v>237</v>
      </c>
      <c r="EL211" s="24" t="s">
        <v>233</v>
      </c>
      <c r="EM211" s="24" t="s">
        <v>215</v>
      </c>
      <c r="EN211" s="24">
        <v>2</v>
      </c>
      <c r="EO211" s="24"/>
      <c r="EP211" s="24"/>
      <c r="EQ211" s="24"/>
      <c r="ER211" s="24"/>
      <c r="ES211" s="24">
        <v>2021</v>
      </c>
      <c r="ET211" s="24">
        <v>41</v>
      </c>
      <c r="EU211" s="24" t="s">
        <v>33</v>
      </c>
      <c r="EV211" s="24">
        <v>125070</v>
      </c>
      <c r="EY211" s="24">
        <v>2021</v>
      </c>
      <c r="EZ211" s="24">
        <v>32</v>
      </c>
      <c r="FA211" s="24" t="s">
        <v>32</v>
      </c>
      <c r="FB211" s="24">
        <v>723</v>
      </c>
      <c r="FE211" s="24">
        <v>2021</v>
      </c>
      <c r="FF211" s="24">
        <v>29</v>
      </c>
      <c r="FG211" s="24" t="s">
        <v>33</v>
      </c>
      <c r="FH211" s="24">
        <v>0.46880000000000005</v>
      </c>
      <c r="FI211" s="24">
        <v>17365</v>
      </c>
      <c r="FJ211" s="24">
        <v>7816</v>
      </c>
      <c r="FK211" s="24">
        <v>12888</v>
      </c>
      <c r="FN211" s="24">
        <v>2021</v>
      </c>
      <c r="FO211" s="24">
        <v>30</v>
      </c>
      <c r="FP211" s="24" t="s">
        <v>33</v>
      </c>
      <c r="FQ211" s="24">
        <v>901161</v>
      </c>
      <c r="FR211" s="24">
        <v>7522.6333333333296</v>
      </c>
      <c r="FS211" s="24">
        <v>446898</v>
      </c>
      <c r="FT211" s="24">
        <v>2468.2166666666699</v>
      </c>
      <c r="FW211" s="24">
        <v>2021</v>
      </c>
      <c r="FX211" s="24">
        <v>29</v>
      </c>
      <c r="FY211" s="24" t="s">
        <v>33</v>
      </c>
      <c r="FZ211" s="24">
        <v>18871</v>
      </c>
      <c r="GA211" s="24">
        <v>11576</v>
      </c>
      <c r="GB211" s="24"/>
      <c r="GC211" s="24"/>
      <c r="GD211" s="24">
        <v>2021</v>
      </c>
      <c r="GE211" s="24">
        <v>29</v>
      </c>
      <c r="GF211" s="24" t="s">
        <v>33</v>
      </c>
      <c r="GG211" s="24">
        <v>18757</v>
      </c>
      <c r="GH211" s="24">
        <v>12001</v>
      </c>
      <c r="GK211" s="24"/>
      <c r="GL211" s="24"/>
      <c r="GM211" s="24"/>
      <c r="GN211" s="24"/>
      <c r="GO211" s="24"/>
      <c r="GP211" s="24">
        <v>2021</v>
      </c>
      <c r="GQ211" s="24">
        <v>29</v>
      </c>
      <c r="GR211" s="24">
        <v>6.7696666666666703</v>
      </c>
      <c r="GS211" s="24" t="s">
        <v>33</v>
      </c>
      <c r="GX211">
        <v>2021</v>
      </c>
      <c r="GY211">
        <v>29</v>
      </c>
      <c r="GZ211" t="s">
        <v>33</v>
      </c>
      <c r="HA211">
        <v>265517</v>
      </c>
      <c r="HB211">
        <v>152629</v>
      </c>
      <c r="HC211">
        <v>2810</v>
      </c>
      <c r="HD211">
        <v>3703</v>
      </c>
      <c r="HE211">
        <v>4</v>
      </c>
      <c r="HF211">
        <v>31274</v>
      </c>
      <c r="HG211">
        <v>0</v>
      </c>
      <c r="HH211">
        <v>1</v>
      </c>
      <c r="HI211">
        <v>5588</v>
      </c>
      <c r="HL211">
        <v>2021</v>
      </c>
      <c r="HM211">
        <v>29</v>
      </c>
      <c r="HN211" t="s">
        <v>33</v>
      </c>
      <c r="HO211">
        <v>267948</v>
      </c>
      <c r="HP211">
        <v>164789</v>
      </c>
      <c r="HQ211">
        <v>2883</v>
      </c>
      <c r="HR211">
        <v>3562</v>
      </c>
      <c r="HS211">
        <v>4</v>
      </c>
      <c r="HT211">
        <v>29067</v>
      </c>
      <c r="HU211">
        <v>0</v>
      </c>
      <c r="HV211">
        <v>1</v>
      </c>
      <c r="HW211">
        <v>4522</v>
      </c>
      <c r="HZ211" s="24">
        <v>2021</v>
      </c>
      <c r="IA211" s="24">
        <v>29</v>
      </c>
      <c r="IB211" s="24" t="s">
        <v>33</v>
      </c>
      <c r="IC211" s="24">
        <v>19158</v>
      </c>
      <c r="ID211" s="24">
        <v>10753</v>
      </c>
      <c r="IG211" s="24">
        <v>2021</v>
      </c>
      <c r="IH211" s="24">
        <v>29</v>
      </c>
      <c r="II211" s="24" t="s">
        <v>33</v>
      </c>
      <c r="IJ211" s="24">
        <v>17879</v>
      </c>
      <c r="IK211" s="24">
        <v>11759</v>
      </c>
    </row>
    <row r="212" spans="9:245" x14ac:dyDescent="0.4">
      <c r="I212" s="305">
        <v>2021</v>
      </c>
      <c r="J212" s="306">
        <v>29</v>
      </c>
      <c r="K212" s="306" t="s">
        <v>33</v>
      </c>
      <c r="L212" s="306">
        <v>269094</v>
      </c>
      <c r="M212" s="306">
        <v>158648</v>
      </c>
      <c r="N212" s="306">
        <v>1897</v>
      </c>
      <c r="O212" s="306">
        <v>22200</v>
      </c>
      <c r="P212" s="306">
        <v>5378</v>
      </c>
      <c r="Q212" s="306">
        <v>188</v>
      </c>
      <c r="R212" s="24"/>
      <c r="S212" s="24"/>
      <c r="T212" s="24"/>
      <c r="W212" s="24">
        <v>2021</v>
      </c>
      <c r="X212" s="24">
        <v>28</v>
      </c>
      <c r="Y212" s="24" t="s">
        <v>32</v>
      </c>
      <c r="Z212" s="24">
        <v>12069</v>
      </c>
      <c r="AA212" s="24">
        <v>11848</v>
      </c>
      <c r="AB212" s="24">
        <v>4</v>
      </c>
      <c r="AC212" s="24">
        <v>3</v>
      </c>
      <c r="AD212" s="24"/>
      <c r="AE212" s="24"/>
      <c r="AF212" s="24"/>
      <c r="AG212" s="24"/>
      <c r="AH212" s="24"/>
      <c r="AI212" s="24"/>
      <c r="AJ212" s="24"/>
      <c r="AK212" s="24">
        <v>2021</v>
      </c>
      <c r="AL212" s="24">
        <v>28</v>
      </c>
      <c r="AM212" s="24">
        <v>696.97</v>
      </c>
      <c r="AN212" s="24">
        <v>64.37</v>
      </c>
      <c r="AO212" s="24">
        <v>0</v>
      </c>
      <c r="AP212" s="24">
        <v>18</v>
      </c>
      <c r="AQ212" s="24">
        <v>0</v>
      </c>
      <c r="AR212" s="24">
        <v>0</v>
      </c>
      <c r="AS212" s="24" t="s">
        <v>32</v>
      </c>
      <c r="AT212" s="24"/>
      <c r="AU212" s="24">
        <v>2021</v>
      </c>
      <c r="AV212" s="24">
        <v>28</v>
      </c>
      <c r="AW212" s="24">
        <v>7.0000000000000007E-2</v>
      </c>
      <c r="AX212" s="24">
        <v>800</v>
      </c>
      <c r="AY212" s="24">
        <v>11983</v>
      </c>
      <c r="AZ212" s="24" t="s">
        <v>32</v>
      </c>
      <c r="BA212" s="24"/>
      <c r="BB212" s="24"/>
      <c r="BC212" s="24">
        <v>2021</v>
      </c>
      <c r="BD212" s="24">
        <v>28</v>
      </c>
      <c r="BE212" s="24">
        <v>165.82642857142901</v>
      </c>
      <c r="BF212" s="24" t="s">
        <v>32</v>
      </c>
      <c r="BG212" s="24"/>
      <c r="BI212" s="24">
        <v>2022</v>
      </c>
      <c r="BJ212" s="24">
        <v>19</v>
      </c>
      <c r="BK212" s="24" t="s">
        <v>33</v>
      </c>
      <c r="BL212" s="24" t="s">
        <v>272</v>
      </c>
      <c r="BM212" s="24">
        <v>59392</v>
      </c>
      <c r="BN212" s="24">
        <v>59337</v>
      </c>
      <c r="BO212" s="24">
        <v>214268</v>
      </c>
      <c r="BR212" s="24">
        <v>2021</v>
      </c>
      <c r="BS212" s="24">
        <v>28</v>
      </c>
      <c r="BT212" s="24">
        <v>11889</v>
      </c>
      <c r="BU212" s="24">
        <v>0</v>
      </c>
      <c r="BV212" s="24" t="s">
        <v>32</v>
      </c>
      <c r="BY212" s="24">
        <v>2021</v>
      </c>
      <c r="BZ212" s="24">
        <v>25</v>
      </c>
      <c r="CA212" s="24" t="s">
        <v>32</v>
      </c>
      <c r="CB212" s="24" t="s">
        <v>108</v>
      </c>
      <c r="CC212" s="24">
        <v>7</v>
      </c>
      <c r="CF212" s="24">
        <v>2021</v>
      </c>
      <c r="CG212" s="24">
        <v>28</v>
      </c>
      <c r="CH212" s="24" t="s">
        <v>32</v>
      </c>
      <c r="CI212" s="24">
        <v>104.80888888888889</v>
      </c>
      <c r="CJ212" s="24">
        <v>11791</v>
      </c>
      <c r="CK212" s="24">
        <v>112.5</v>
      </c>
      <c r="CL212" s="24">
        <v>58.71457200114515</v>
      </c>
      <c r="CM212" s="24">
        <v>9989</v>
      </c>
      <c r="CN212" s="24">
        <v>20509</v>
      </c>
      <c r="CO212" s="24">
        <v>349.3</v>
      </c>
      <c r="CP212" s="24">
        <v>7980</v>
      </c>
      <c r="CQ212" s="24">
        <v>49.5</v>
      </c>
      <c r="CR212" s="24">
        <v>199.7</v>
      </c>
      <c r="CS212" s="24">
        <v>14500</v>
      </c>
      <c r="CT212" s="24">
        <v>14500</v>
      </c>
      <c r="CU212" s="24">
        <v>266.39999999999998</v>
      </c>
      <c r="CV212" s="24">
        <v>2112</v>
      </c>
      <c r="CW212" s="24">
        <v>0</v>
      </c>
      <c r="CX212" s="24">
        <v>9944</v>
      </c>
      <c r="CY212" s="24">
        <v>39.9</v>
      </c>
      <c r="CZ212" s="24">
        <v>6053</v>
      </c>
      <c r="DA212" s="24">
        <v>199.7</v>
      </c>
      <c r="DD212" s="24">
        <v>2021</v>
      </c>
      <c r="DE212" s="24">
        <v>28</v>
      </c>
      <c r="DF212" s="24" t="s">
        <v>32</v>
      </c>
      <c r="DG212" s="24">
        <v>2279</v>
      </c>
      <c r="DH212" s="24">
        <v>1886</v>
      </c>
      <c r="DJ212" s="24">
        <v>2021</v>
      </c>
      <c r="DK212" s="24">
        <v>27</v>
      </c>
      <c r="DL212" s="24" t="s">
        <v>33</v>
      </c>
      <c r="DM212" s="24">
        <v>783</v>
      </c>
      <c r="DP212" s="24">
        <v>2020</v>
      </c>
      <c r="DQ212" s="24">
        <v>14</v>
      </c>
      <c r="DR212" s="24" t="s">
        <v>33</v>
      </c>
      <c r="DS212" s="24">
        <v>5871</v>
      </c>
      <c r="DT212" s="24"/>
      <c r="DW212" s="24">
        <v>2022</v>
      </c>
      <c r="DX212" s="24">
        <v>4</v>
      </c>
      <c r="DY212" s="24" t="s">
        <v>32</v>
      </c>
      <c r="DZ212" s="24">
        <v>1</v>
      </c>
      <c r="EA212" s="24" t="s">
        <v>149</v>
      </c>
      <c r="EB212" s="24">
        <v>0</v>
      </c>
      <c r="EC212" s="24">
        <v>0</v>
      </c>
      <c r="ED212" s="24">
        <v>111</v>
      </c>
      <c r="EE212" s="24">
        <v>16</v>
      </c>
      <c r="EF212" s="24">
        <v>5.2</v>
      </c>
      <c r="EI212" s="24">
        <v>2023</v>
      </c>
      <c r="EJ212" s="24">
        <v>4</v>
      </c>
      <c r="EK212" s="24" t="s">
        <v>237</v>
      </c>
      <c r="EL212" s="24" t="s">
        <v>554</v>
      </c>
      <c r="EM212" s="24" t="s">
        <v>210</v>
      </c>
      <c r="EN212" s="24">
        <v>1</v>
      </c>
      <c r="EO212" s="24"/>
      <c r="EP212" s="24"/>
      <c r="EQ212" s="24"/>
      <c r="ER212" s="24"/>
      <c r="ES212" s="24">
        <v>2021</v>
      </c>
      <c r="ET212" s="24">
        <v>41</v>
      </c>
      <c r="EU212" s="24" t="s">
        <v>213</v>
      </c>
      <c r="EV212" s="24">
        <v>2</v>
      </c>
      <c r="EY212" s="24">
        <v>2021</v>
      </c>
      <c r="EZ212" s="24">
        <v>32</v>
      </c>
      <c r="FA212" s="24" t="s">
        <v>33</v>
      </c>
      <c r="FB212" s="24">
        <v>674</v>
      </c>
      <c r="FE212" s="24">
        <v>2021</v>
      </c>
      <c r="FF212" s="24">
        <v>28</v>
      </c>
      <c r="FG212" s="24" t="s">
        <v>32</v>
      </c>
      <c r="FH212" s="24">
        <v>0.89360000000000006</v>
      </c>
      <c r="FI212" s="24">
        <v>439</v>
      </c>
      <c r="FJ212" s="24">
        <v>204</v>
      </c>
      <c r="FK212" s="24">
        <v>229</v>
      </c>
      <c r="FN212" s="24">
        <v>2021</v>
      </c>
      <c r="FO212" s="24">
        <v>29</v>
      </c>
      <c r="FP212" s="24" t="s">
        <v>32</v>
      </c>
      <c r="FQ212" s="24">
        <v>30355</v>
      </c>
      <c r="FR212" s="24">
        <v>690</v>
      </c>
      <c r="FS212" s="24">
        <v>30265</v>
      </c>
      <c r="FT212" s="24">
        <v>327.46666666666698</v>
      </c>
      <c r="FW212" s="24">
        <v>2021</v>
      </c>
      <c r="FX212" s="24">
        <v>28</v>
      </c>
      <c r="FY212" s="24" t="s">
        <v>32</v>
      </c>
      <c r="FZ212" s="24">
        <v>1719</v>
      </c>
      <c r="GA212" s="24">
        <v>1620</v>
      </c>
      <c r="GB212" s="24"/>
      <c r="GC212" s="24"/>
      <c r="GD212" s="24">
        <v>2021</v>
      </c>
      <c r="GE212" s="24">
        <v>28</v>
      </c>
      <c r="GF212" s="24" t="s">
        <v>32</v>
      </c>
      <c r="GG212" s="24">
        <v>1702</v>
      </c>
      <c r="GH212" s="24">
        <v>1626</v>
      </c>
      <c r="GK212" s="24"/>
      <c r="GL212" s="24"/>
      <c r="GM212" s="24"/>
      <c r="GN212" s="24"/>
      <c r="GO212" s="24"/>
      <c r="GP212" s="24">
        <v>2021</v>
      </c>
      <c r="GQ212" s="24">
        <v>28</v>
      </c>
      <c r="GR212" s="24">
        <v>0.29899999999999999</v>
      </c>
      <c r="GS212" s="24" t="s">
        <v>32</v>
      </c>
      <c r="GX212">
        <v>2021</v>
      </c>
      <c r="GY212">
        <v>28</v>
      </c>
      <c r="GZ212" t="s">
        <v>32</v>
      </c>
      <c r="HA212">
        <v>12037</v>
      </c>
      <c r="HB212">
        <v>11783</v>
      </c>
      <c r="HC212">
        <v>0</v>
      </c>
      <c r="HD212">
        <v>1</v>
      </c>
      <c r="HE212">
        <v>0</v>
      </c>
      <c r="HF212">
        <v>14</v>
      </c>
      <c r="HG212">
        <v>0</v>
      </c>
      <c r="HH212">
        <v>0</v>
      </c>
      <c r="HI212">
        <v>50</v>
      </c>
      <c r="HL212">
        <v>2021</v>
      </c>
      <c r="HM212">
        <v>28</v>
      </c>
      <c r="HN212" t="s">
        <v>32</v>
      </c>
      <c r="HO212">
        <v>12029</v>
      </c>
      <c r="HP212">
        <v>11937</v>
      </c>
      <c r="HQ212">
        <v>0</v>
      </c>
      <c r="HR212">
        <v>1</v>
      </c>
      <c r="HS212">
        <v>0</v>
      </c>
      <c r="HT212">
        <v>12</v>
      </c>
      <c r="HU212">
        <v>0</v>
      </c>
      <c r="HV212">
        <v>0</v>
      </c>
      <c r="HW212">
        <v>7</v>
      </c>
      <c r="HZ212" s="24">
        <v>2021</v>
      </c>
      <c r="IA212" s="24">
        <v>28</v>
      </c>
      <c r="IB212" s="24" t="s">
        <v>32</v>
      </c>
      <c r="IC212" s="24">
        <v>1701</v>
      </c>
      <c r="ID212" s="24">
        <v>1605</v>
      </c>
      <c r="IG212" s="24">
        <v>2021</v>
      </c>
      <c r="IH212" s="24">
        <v>28</v>
      </c>
      <c r="II212" s="24" t="s">
        <v>32</v>
      </c>
      <c r="IJ212" s="24">
        <v>1664</v>
      </c>
      <c r="IK212" s="24">
        <v>1641</v>
      </c>
    </row>
    <row r="213" spans="9:245" x14ac:dyDescent="0.4">
      <c r="I213" s="305">
        <v>2021</v>
      </c>
      <c r="J213" s="306">
        <v>28</v>
      </c>
      <c r="K213" s="306" t="s">
        <v>32</v>
      </c>
      <c r="L213" s="306">
        <v>12076</v>
      </c>
      <c r="M213" s="306">
        <v>11790</v>
      </c>
      <c r="N213" s="306">
        <v>12</v>
      </c>
      <c r="O213" s="306">
        <v>155</v>
      </c>
      <c r="P213" s="306">
        <v>18</v>
      </c>
      <c r="Q213" s="306">
        <v>3</v>
      </c>
      <c r="R213" s="24"/>
      <c r="S213" s="24"/>
      <c r="T213" s="24"/>
      <c r="W213" s="24">
        <v>2021</v>
      </c>
      <c r="X213" s="24">
        <v>28</v>
      </c>
      <c r="Y213" s="24" t="s">
        <v>33</v>
      </c>
      <c r="Z213" s="24">
        <v>275526</v>
      </c>
      <c r="AA213" s="24">
        <v>254943</v>
      </c>
      <c r="AB213" s="24">
        <v>157</v>
      </c>
      <c r="AC213" s="24">
        <v>238</v>
      </c>
      <c r="AD213" s="24"/>
      <c r="AE213" s="24"/>
      <c r="AF213" s="24"/>
      <c r="AG213" s="24"/>
      <c r="AH213" s="24"/>
      <c r="AI213" s="24"/>
      <c r="AJ213" s="24"/>
      <c r="AK213" s="24">
        <v>2021</v>
      </c>
      <c r="AL213" s="24">
        <v>28</v>
      </c>
      <c r="AM213" s="24">
        <v>15574.87</v>
      </c>
      <c r="AN213" s="24">
        <v>1926.8500000000001</v>
      </c>
      <c r="AO213" s="24">
        <v>0</v>
      </c>
      <c r="AP213" s="24">
        <v>375</v>
      </c>
      <c r="AQ213" s="24">
        <v>0</v>
      </c>
      <c r="AR213" s="24">
        <v>5</v>
      </c>
      <c r="AS213" s="24" t="s">
        <v>33</v>
      </c>
      <c r="AT213" s="24"/>
      <c r="AU213" s="24">
        <v>2021</v>
      </c>
      <c r="AV213" s="24">
        <v>28</v>
      </c>
      <c r="AW213" s="24">
        <v>7.0000000000000007E-2</v>
      </c>
      <c r="AX213" s="24">
        <v>18200</v>
      </c>
      <c r="AY213" s="24">
        <v>274051</v>
      </c>
      <c r="AZ213" s="24" t="s">
        <v>33</v>
      </c>
      <c r="BA213" s="24"/>
      <c r="BB213" s="24"/>
      <c r="BC213" s="24">
        <v>2021</v>
      </c>
      <c r="BD213" s="24">
        <v>28</v>
      </c>
      <c r="BE213" s="24">
        <v>2108.9734285714298</v>
      </c>
      <c r="BF213" s="24" t="s">
        <v>33</v>
      </c>
      <c r="BG213" s="24"/>
      <c r="BI213" s="24">
        <v>2022</v>
      </c>
      <c r="BJ213" s="24">
        <v>19</v>
      </c>
      <c r="BK213" s="24" t="s">
        <v>32</v>
      </c>
      <c r="BL213" s="24" t="s">
        <v>273</v>
      </c>
      <c r="BM213" s="24">
        <v>7040</v>
      </c>
      <c r="BN213" s="24">
        <v>7008</v>
      </c>
      <c r="BO213" s="24">
        <v>7138</v>
      </c>
      <c r="BR213" s="24">
        <v>2021</v>
      </c>
      <c r="BS213" s="24">
        <v>28</v>
      </c>
      <c r="BT213" s="24">
        <v>272830</v>
      </c>
      <c r="BU213" s="24">
        <v>1</v>
      </c>
      <c r="BV213" s="24" t="s">
        <v>33</v>
      </c>
      <c r="BY213" s="24">
        <v>2021</v>
      </c>
      <c r="BZ213" s="24">
        <v>25</v>
      </c>
      <c r="CA213" s="24" t="s">
        <v>32</v>
      </c>
      <c r="CB213" s="24" t="s">
        <v>423</v>
      </c>
      <c r="CC213" s="24">
        <v>75</v>
      </c>
      <c r="CF213" s="24">
        <v>2021</v>
      </c>
      <c r="CG213" s="24">
        <v>28</v>
      </c>
      <c r="CH213" s="24" t="s">
        <v>33</v>
      </c>
      <c r="CI213" s="24">
        <v>133.46043899948953</v>
      </c>
      <c r="CJ213" s="24">
        <v>261449</v>
      </c>
      <c r="CK213" s="24">
        <v>1959</v>
      </c>
      <c r="CL213" s="24">
        <v>108.29836051896041</v>
      </c>
      <c r="CM213" s="24">
        <v>138703</v>
      </c>
      <c r="CN213" s="24">
        <v>259602</v>
      </c>
      <c r="CO213" s="24">
        <v>2397.1</v>
      </c>
      <c r="CP213" s="24">
        <v>44468</v>
      </c>
      <c r="CQ213" s="24">
        <v>234.7</v>
      </c>
      <c r="CR213" s="24">
        <v>1072.9000000000001</v>
      </c>
      <c r="CS213" s="24">
        <v>210422</v>
      </c>
      <c r="CT213" s="24">
        <v>210422</v>
      </c>
      <c r="CU213" s="24">
        <v>1537.3</v>
      </c>
      <c r="CV213" s="24">
        <v>39870</v>
      </c>
      <c r="CW213" s="24">
        <v>4.2</v>
      </c>
      <c r="CX213" s="24">
        <v>200860</v>
      </c>
      <c r="CY213" s="24">
        <v>816.1</v>
      </c>
      <c r="CZ213" s="24">
        <v>37312</v>
      </c>
      <c r="DA213" s="24">
        <v>1072.9000000000001</v>
      </c>
      <c r="DD213" s="24">
        <v>2021</v>
      </c>
      <c r="DE213" s="24">
        <v>28</v>
      </c>
      <c r="DF213" s="24" t="s">
        <v>33</v>
      </c>
      <c r="DG213" s="24">
        <v>33862</v>
      </c>
      <c r="DH213" s="24">
        <v>40973</v>
      </c>
      <c r="DJ213" s="24">
        <v>2021</v>
      </c>
      <c r="DK213" s="24">
        <v>26</v>
      </c>
      <c r="DL213" s="24" t="s">
        <v>32</v>
      </c>
      <c r="DM213" s="24">
        <v>6</v>
      </c>
      <c r="DP213" s="24">
        <v>2020</v>
      </c>
      <c r="DQ213" s="24">
        <v>13</v>
      </c>
      <c r="DR213" s="24" t="s">
        <v>33</v>
      </c>
      <c r="DS213" s="24">
        <v>7493</v>
      </c>
      <c r="DT213" s="24"/>
      <c r="DW213" s="24">
        <v>2022</v>
      </c>
      <c r="DX213" s="24">
        <v>4</v>
      </c>
      <c r="DY213" s="24" t="s">
        <v>33</v>
      </c>
      <c r="DZ213" s="24">
        <v>8</v>
      </c>
      <c r="EA213" s="24" t="s">
        <v>562</v>
      </c>
      <c r="EB213" s="24">
        <v>177.5</v>
      </c>
      <c r="EC213" s="24">
        <v>0</v>
      </c>
      <c r="ED213" s="24"/>
      <c r="EE213" s="24">
        <v>6916</v>
      </c>
      <c r="EF213" s="24">
        <v>55.8</v>
      </c>
      <c r="EI213" s="24">
        <v>2023</v>
      </c>
      <c r="EJ213" s="24">
        <v>4</v>
      </c>
      <c r="EK213" s="24" t="s">
        <v>237</v>
      </c>
      <c r="EL213" s="24" t="s">
        <v>556</v>
      </c>
      <c r="EM213" s="24" t="s">
        <v>210</v>
      </c>
      <c r="EN213" s="24">
        <v>3</v>
      </c>
      <c r="EO213" s="24"/>
      <c r="EP213" s="24"/>
      <c r="EQ213" s="24"/>
      <c r="ER213" s="24"/>
      <c r="ES213" s="24">
        <v>2021</v>
      </c>
      <c r="ET213" s="24">
        <v>40</v>
      </c>
      <c r="EU213" s="24" t="s">
        <v>32</v>
      </c>
      <c r="EV213" s="24">
        <v>5749</v>
      </c>
      <c r="EY213" s="24">
        <v>2021</v>
      </c>
      <c r="EZ213" s="24">
        <v>31</v>
      </c>
      <c r="FA213" s="24" t="s">
        <v>32</v>
      </c>
      <c r="FB213" s="24">
        <v>436</v>
      </c>
      <c r="FE213" s="24">
        <v>2021</v>
      </c>
      <c r="FF213" s="24">
        <v>28</v>
      </c>
      <c r="FG213" s="24" t="s">
        <v>33</v>
      </c>
      <c r="FH213" s="24">
        <v>0.92870000000000008</v>
      </c>
      <c r="FI213" s="24">
        <v>15518</v>
      </c>
      <c r="FJ213" s="24">
        <v>6953</v>
      </c>
      <c r="FK213" s="24">
        <v>7564</v>
      </c>
      <c r="FN213" s="24">
        <v>2021</v>
      </c>
      <c r="FO213" s="24">
        <v>29</v>
      </c>
      <c r="FP213" s="24" t="s">
        <v>33</v>
      </c>
      <c r="FQ213" s="24">
        <v>824274</v>
      </c>
      <c r="FR213" s="24">
        <v>7551.2833333333292</v>
      </c>
      <c r="FS213" s="24">
        <v>498954</v>
      </c>
      <c r="FT213" s="24">
        <v>2577.7166666666699</v>
      </c>
      <c r="FW213" s="24">
        <v>2021</v>
      </c>
      <c r="FX213" s="24">
        <v>28</v>
      </c>
      <c r="FY213" s="24" t="s">
        <v>33</v>
      </c>
      <c r="FZ213" s="24">
        <v>13788</v>
      </c>
      <c r="GA213" s="24">
        <v>13192</v>
      </c>
      <c r="GB213" s="24"/>
      <c r="GC213" s="24"/>
      <c r="GD213" s="24">
        <v>2021</v>
      </c>
      <c r="GE213" s="24">
        <v>28</v>
      </c>
      <c r="GF213" s="24" t="s">
        <v>33</v>
      </c>
      <c r="GG213" s="24">
        <v>13761</v>
      </c>
      <c r="GH213" s="24">
        <v>13494</v>
      </c>
      <c r="GK213" s="24"/>
      <c r="GL213" s="24"/>
      <c r="GM213" s="24"/>
      <c r="GN213" s="24"/>
      <c r="GO213" s="24"/>
      <c r="GP213" s="24">
        <v>2021</v>
      </c>
      <c r="GQ213" s="24">
        <v>28</v>
      </c>
      <c r="GR213" s="24">
        <v>5.0082857142857096</v>
      </c>
      <c r="GS213" s="24" t="s">
        <v>33</v>
      </c>
      <c r="GX213">
        <v>2021</v>
      </c>
      <c r="GY213">
        <v>28</v>
      </c>
      <c r="GZ213" t="s">
        <v>33</v>
      </c>
      <c r="HA213">
        <v>275948</v>
      </c>
      <c r="HB213">
        <v>253383</v>
      </c>
      <c r="HC213">
        <v>1245</v>
      </c>
      <c r="HD213">
        <v>1307</v>
      </c>
      <c r="HE213">
        <v>0</v>
      </c>
      <c r="HF213">
        <v>15932</v>
      </c>
      <c r="HG213">
        <v>0</v>
      </c>
      <c r="HH213">
        <v>1</v>
      </c>
      <c r="HI213">
        <v>1655</v>
      </c>
      <c r="HL213">
        <v>2021</v>
      </c>
      <c r="HM213">
        <v>28</v>
      </c>
      <c r="HN213" t="s">
        <v>33</v>
      </c>
      <c r="HO213">
        <v>275076</v>
      </c>
      <c r="HP213">
        <v>259055</v>
      </c>
      <c r="HQ213">
        <v>1270</v>
      </c>
      <c r="HR213">
        <v>1015</v>
      </c>
      <c r="HS213">
        <v>0</v>
      </c>
      <c r="HT213">
        <v>14676</v>
      </c>
      <c r="HU213">
        <v>0</v>
      </c>
      <c r="HV213">
        <v>1</v>
      </c>
      <c r="HW213">
        <v>798</v>
      </c>
      <c r="HZ213" s="24">
        <v>2021</v>
      </c>
      <c r="IA213" s="24">
        <v>28</v>
      </c>
      <c r="IB213" s="24" t="s">
        <v>33</v>
      </c>
      <c r="IC213" s="24">
        <v>13935</v>
      </c>
      <c r="ID213" s="24">
        <v>13223</v>
      </c>
      <c r="IG213" s="24">
        <v>2021</v>
      </c>
      <c r="IH213" s="24">
        <v>28</v>
      </c>
      <c r="II213" s="24" t="s">
        <v>33</v>
      </c>
      <c r="IJ213" s="24">
        <v>13134</v>
      </c>
      <c r="IK213" s="24">
        <v>12964</v>
      </c>
    </row>
    <row r="214" spans="9:245" x14ac:dyDescent="0.4">
      <c r="I214" s="305">
        <v>2021</v>
      </c>
      <c r="J214" s="306">
        <v>28</v>
      </c>
      <c r="K214" s="306" t="s">
        <v>33</v>
      </c>
      <c r="L214" s="306">
        <v>275848</v>
      </c>
      <c r="M214" s="306">
        <v>251760</v>
      </c>
      <c r="N214" s="306">
        <v>732</v>
      </c>
      <c r="O214" s="306">
        <v>5636</v>
      </c>
      <c r="P214" s="306">
        <v>365</v>
      </c>
      <c r="Q214" s="306">
        <v>249</v>
      </c>
      <c r="R214" s="24"/>
      <c r="S214" s="24"/>
      <c r="T214" s="24"/>
      <c r="W214" s="24">
        <v>2021</v>
      </c>
      <c r="X214" s="24">
        <v>27</v>
      </c>
      <c r="Y214" s="24" t="s">
        <v>32</v>
      </c>
      <c r="Z214" s="24">
        <v>10160</v>
      </c>
      <c r="AA214" s="24">
        <v>10102</v>
      </c>
      <c r="AB214" s="24">
        <v>2</v>
      </c>
      <c r="AC214" s="24"/>
      <c r="AD214" s="24"/>
      <c r="AE214" s="24"/>
      <c r="AF214" s="24"/>
      <c r="AG214" s="24"/>
      <c r="AH214" s="24"/>
      <c r="AI214" s="24"/>
      <c r="AJ214" s="24"/>
      <c r="AK214" s="24">
        <v>2021</v>
      </c>
      <c r="AL214" s="24">
        <v>27</v>
      </c>
      <c r="AM214" s="24">
        <v>677.12</v>
      </c>
      <c r="AN214" s="24">
        <v>35.43</v>
      </c>
      <c r="AO214" s="24">
        <v>0</v>
      </c>
      <c r="AP214" s="24">
        <v>20</v>
      </c>
      <c r="AQ214" s="24">
        <v>0</v>
      </c>
      <c r="AR214" s="24">
        <v>0</v>
      </c>
      <c r="AS214" s="24" t="s">
        <v>32</v>
      </c>
      <c r="AT214" s="24"/>
      <c r="AU214" s="24">
        <v>2021</v>
      </c>
      <c r="AV214" s="24">
        <v>27</v>
      </c>
      <c r="AW214" s="24">
        <v>0.1</v>
      </c>
      <c r="AX214" s="24">
        <v>1100</v>
      </c>
      <c r="AY214" s="24">
        <v>10953</v>
      </c>
      <c r="AZ214" s="24" t="s">
        <v>32</v>
      </c>
      <c r="BA214" s="24"/>
      <c r="BB214" s="24"/>
      <c r="BC214" s="24">
        <v>2021</v>
      </c>
      <c r="BD214" s="24">
        <v>27</v>
      </c>
      <c r="BE214" s="24">
        <v>162.83057142857101</v>
      </c>
      <c r="BF214" s="24" t="s">
        <v>32</v>
      </c>
      <c r="BG214" s="24"/>
      <c r="BI214" s="24">
        <v>2022</v>
      </c>
      <c r="BJ214" s="24">
        <v>18</v>
      </c>
      <c r="BK214" s="24" t="s">
        <v>32</v>
      </c>
      <c r="BL214" s="24" t="s">
        <v>272</v>
      </c>
      <c r="BM214" s="24">
        <v>3363</v>
      </c>
      <c r="BN214" s="24">
        <v>3355</v>
      </c>
      <c r="BO214" s="24">
        <v>11254</v>
      </c>
      <c r="BR214" s="24">
        <v>2021</v>
      </c>
      <c r="BS214" s="24">
        <v>27</v>
      </c>
      <c r="BT214" s="24">
        <v>10861</v>
      </c>
      <c r="BU214" s="24">
        <v>0</v>
      </c>
      <c r="BV214" s="24" t="s">
        <v>32</v>
      </c>
      <c r="BY214" s="24">
        <v>2021</v>
      </c>
      <c r="BZ214" s="24">
        <v>24</v>
      </c>
      <c r="CA214" s="24" t="s">
        <v>32</v>
      </c>
      <c r="CB214" s="24" t="s">
        <v>108</v>
      </c>
      <c r="CC214" s="24">
        <v>7</v>
      </c>
      <c r="CF214" s="24">
        <v>2021</v>
      </c>
      <c r="CG214" s="24">
        <v>27</v>
      </c>
      <c r="CH214" s="24" t="s">
        <v>32</v>
      </c>
      <c r="CI214" s="24">
        <v>108.18523153942428</v>
      </c>
      <c r="CJ214" s="24">
        <v>8644</v>
      </c>
      <c r="CK214" s="24">
        <v>79.900000000000006</v>
      </c>
      <c r="CL214" s="24">
        <v>54.468951476077365</v>
      </c>
      <c r="CM214" s="24">
        <v>8162</v>
      </c>
      <c r="CN214" s="24">
        <v>16052</v>
      </c>
      <c r="CO214" s="24">
        <v>294.7</v>
      </c>
      <c r="CP214" s="24">
        <v>7486</v>
      </c>
      <c r="CQ214" s="24">
        <v>41.3</v>
      </c>
      <c r="CR214" s="24">
        <v>200.7</v>
      </c>
      <c r="CS214" s="24">
        <v>14848</v>
      </c>
      <c r="CT214" s="24">
        <v>14848</v>
      </c>
      <c r="CU214" s="24">
        <v>188.6</v>
      </c>
      <c r="CV214" s="24">
        <v>1948</v>
      </c>
      <c r="CW214" s="24">
        <v>0</v>
      </c>
      <c r="CX214" s="24">
        <v>7821</v>
      </c>
      <c r="CY214" s="24">
        <v>34.5</v>
      </c>
      <c r="CZ214" s="24">
        <v>5895</v>
      </c>
      <c r="DA214" s="24">
        <v>200.7</v>
      </c>
      <c r="DD214" s="24">
        <v>2021</v>
      </c>
      <c r="DE214" s="24">
        <v>27</v>
      </c>
      <c r="DF214" s="24" t="s">
        <v>32</v>
      </c>
      <c r="DG214" s="24">
        <v>1017</v>
      </c>
      <c r="DH214" s="24">
        <v>1890</v>
      </c>
      <c r="DJ214" s="24">
        <v>2021</v>
      </c>
      <c r="DK214" s="24">
        <v>26</v>
      </c>
      <c r="DL214" s="24" t="s">
        <v>33</v>
      </c>
      <c r="DM214" s="24">
        <v>657</v>
      </c>
      <c r="DP214" s="24">
        <v>2020</v>
      </c>
      <c r="DQ214" s="24">
        <v>12</v>
      </c>
      <c r="DR214" s="24" t="s">
        <v>33</v>
      </c>
      <c r="DS214" s="24">
        <v>11031</v>
      </c>
      <c r="DT214" s="24"/>
      <c r="DW214" s="24">
        <v>2022</v>
      </c>
      <c r="DX214" s="24">
        <v>4</v>
      </c>
      <c r="DY214" s="24" t="s">
        <v>33</v>
      </c>
      <c r="DZ214" s="24">
        <v>43</v>
      </c>
      <c r="EA214" s="24" t="s">
        <v>149</v>
      </c>
      <c r="EB214" s="24">
        <v>132.6</v>
      </c>
      <c r="EC214" s="24">
        <v>1020.5</v>
      </c>
      <c r="ED214" s="24">
        <v>37932</v>
      </c>
      <c r="EE214" s="24">
        <v>41169</v>
      </c>
      <c r="EF214" s="24">
        <v>245.4</v>
      </c>
      <c r="EI214" s="24">
        <v>2023</v>
      </c>
      <c r="EJ214" s="24">
        <v>4</v>
      </c>
      <c r="EK214" s="24" t="s">
        <v>237</v>
      </c>
      <c r="EL214" s="24" t="s">
        <v>236</v>
      </c>
      <c r="EM214" s="24" t="s">
        <v>210</v>
      </c>
      <c r="EN214" s="24">
        <v>1</v>
      </c>
      <c r="EO214" s="24"/>
      <c r="EP214" s="24"/>
      <c r="EQ214" s="24"/>
      <c r="ER214" s="24"/>
      <c r="ES214" s="24">
        <v>2021</v>
      </c>
      <c r="ET214" s="24">
        <v>40</v>
      </c>
      <c r="EU214" s="24" t="s">
        <v>33</v>
      </c>
      <c r="EV214" s="24">
        <v>124651</v>
      </c>
      <c r="EY214" s="24">
        <v>2021</v>
      </c>
      <c r="EZ214" s="24">
        <v>31</v>
      </c>
      <c r="FA214" s="24" t="s">
        <v>33</v>
      </c>
      <c r="FB214" s="24">
        <v>851</v>
      </c>
      <c r="FE214" s="24">
        <v>2021</v>
      </c>
      <c r="FF214" s="24">
        <v>27</v>
      </c>
      <c r="FG214" s="24" t="s">
        <v>32</v>
      </c>
      <c r="FH214" s="24">
        <v>0.95650000000000002</v>
      </c>
      <c r="FI214" s="24">
        <v>304</v>
      </c>
      <c r="FJ214" s="24">
        <v>143</v>
      </c>
      <c r="FK214" s="24">
        <v>150</v>
      </c>
      <c r="FN214" s="24">
        <v>2021</v>
      </c>
      <c r="FO214" s="24">
        <v>28</v>
      </c>
      <c r="FP214" s="24" t="s">
        <v>32</v>
      </c>
      <c r="FQ214" s="24">
        <v>29746</v>
      </c>
      <c r="FR214" s="24">
        <v>607.25</v>
      </c>
      <c r="FS214" s="24">
        <v>29341</v>
      </c>
      <c r="FT214" s="24">
        <v>317.683333333333</v>
      </c>
      <c r="FW214" s="24">
        <v>2021</v>
      </c>
      <c r="FX214" s="24">
        <v>27</v>
      </c>
      <c r="FY214" s="24" t="s">
        <v>32</v>
      </c>
      <c r="FZ214" s="24">
        <v>1658</v>
      </c>
      <c r="GA214" s="24">
        <v>1598</v>
      </c>
      <c r="GB214" s="24"/>
      <c r="GC214" s="24"/>
      <c r="GD214" s="24">
        <v>2021</v>
      </c>
      <c r="GE214" s="24">
        <v>27</v>
      </c>
      <c r="GF214" s="24" t="s">
        <v>32</v>
      </c>
      <c r="GG214" s="24">
        <v>1588</v>
      </c>
      <c r="GH214" s="24">
        <v>1579</v>
      </c>
      <c r="GK214" s="24"/>
      <c r="GL214" s="24"/>
      <c r="GM214" s="24"/>
      <c r="GN214" s="24"/>
      <c r="GO214" s="24"/>
      <c r="GP214" s="24">
        <v>2021</v>
      </c>
      <c r="GQ214" s="24">
        <v>27</v>
      </c>
      <c r="GR214" s="24">
        <v>0.29899999999999999</v>
      </c>
      <c r="GS214" s="24" t="s">
        <v>32</v>
      </c>
      <c r="GX214">
        <v>2021</v>
      </c>
      <c r="GY214">
        <v>27</v>
      </c>
      <c r="GZ214" t="s">
        <v>32</v>
      </c>
      <c r="HA214">
        <v>10266</v>
      </c>
      <c r="HB214">
        <v>10027</v>
      </c>
      <c r="HC214">
        <v>0</v>
      </c>
      <c r="HD214">
        <v>1</v>
      </c>
      <c r="HE214">
        <v>0</v>
      </c>
      <c r="HF214">
        <v>36</v>
      </c>
      <c r="HG214">
        <v>0</v>
      </c>
      <c r="HH214">
        <v>0</v>
      </c>
      <c r="HI214">
        <v>17</v>
      </c>
      <c r="HL214">
        <v>2021</v>
      </c>
      <c r="HM214">
        <v>27</v>
      </c>
      <c r="HN214" t="s">
        <v>32</v>
      </c>
      <c r="HO214">
        <v>10131</v>
      </c>
      <c r="HP214">
        <v>10072</v>
      </c>
      <c r="HQ214">
        <v>0</v>
      </c>
      <c r="HR214">
        <v>1</v>
      </c>
      <c r="HS214">
        <v>0</v>
      </c>
      <c r="HT214">
        <v>19</v>
      </c>
      <c r="HU214">
        <v>0</v>
      </c>
      <c r="HV214">
        <v>0</v>
      </c>
      <c r="HW214">
        <v>1</v>
      </c>
      <c r="HZ214" s="24">
        <v>2021</v>
      </c>
      <c r="IA214" s="24">
        <v>27</v>
      </c>
      <c r="IB214" s="24" t="s">
        <v>32</v>
      </c>
      <c r="IC214" s="24">
        <v>1589</v>
      </c>
      <c r="ID214" s="24">
        <v>1526</v>
      </c>
      <c r="IG214" s="24">
        <v>2021</v>
      </c>
      <c r="IH214" s="24">
        <v>27</v>
      </c>
      <c r="II214" s="24" t="s">
        <v>32</v>
      </c>
      <c r="IJ214" s="24">
        <v>1575</v>
      </c>
      <c r="IK214" s="24">
        <v>1561</v>
      </c>
    </row>
    <row r="215" spans="9:245" x14ac:dyDescent="0.4">
      <c r="I215" s="305">
        <v>2021</v>
      </c>
      <c r="J215" s="306">
        <v>27</v>
      </c>
      <c r="K215" s="306" t="s">
        <v>32</v>
      </c>
      <c r="L215" s="306">
        <v>10312</v>
      </c>
      <c r="M215" s="306">
        <v>10066</v>
      </c>
      <c r="N215" s="306">
        <v>12</v>
      </c>
      <c r="O215" s="306">
        <v>197</v>
      </c>
      <c r="P215" s="306">
        <v>15</v>
      </c>
      <c r="Q215" s="306">
        <v>2</v>
      </c>
      <c r="R215" s="24"/>
      <c r="S215" s="24"/>
      <c r="T215" s="24"/>
      <c r="W215" s="24">
        <v>2021</v>
      </c>
      <c r="X215" s="24">
        <v>27</v>
      </c>
      <c r="Y215" s="24" t="s">
        <v>33</v>
      </c>
      <c r="Z215" s="24">
        <v>226030</v>
      </c>
      <c r="AA215" s="24">
        <v>222085</v>
      </c>
      <c r="AB215" s="24">
        <v>115</v>
      </c>
      <c r="AC215" s="24">
        <v>181</v>
      </c>
      <c r="AD215" s="24"/>
      <c r="AE215" s="24"/>
      <c r="AF215" s="24"/>
      <c r="AG215" s="24"/>
      <c r="AH215" s="24"/>
      <c r="AI215" s="24"/>
      <c r="AJ215" s="24"/>
      <c r="AK215" s="24">
        <v>2021</v>
      </c>
      <c r="AL215" s="24">
        <v>27</v>
      </c>
      <c r="AM215" s="24">
        <v>14162.03</v>
      </c>
      <c r="AN215" s="24">
        <v>1004.9200000000001</v>
      </c>
      <c r="AO215" s="24">
        <v>0</v>
      </c>
      <c r="AP215" s="24">
        <v>366</v>
      </c>
      <c r="AQ215" s="24">
        <v>0</v>
      </c>
      <c r="AR215" s="24">
        <v>2</v>
      </c>
      <c r="AS215" s="24" t="s">
        <v>33</v>
      </c>
      <c r="AT215" s="24"/>
      <c r="AU215" s="24">
        <v>2021</v>
      </c>
      <c r="AV215" s="24">
        <v>27</v>
      </c>
      <c r="AW215" s="24">
        <v>0.05</v>
      </c>
      <c r="AX215" s="24">
        <v>12100</v>
      </c>
      <c r="AY215" s="24">
        <v>227646</v>
      </c>
      <c r="AZ215" s="24" t="s">
        <v>33</v>
      </c>
      <c r="BA215" s="24"/>
      <c r="BB215" s="24"/>
      <c r="BC215" s="24">
        <v>2021</v>
      </c>
      <c r="BD215" s="24">
        <v>27</v>
      </c>
      <c r="BE215" s="24">
        <v>2070.9001428571401</v>
      </c>
      <c r="BF215" s="24" t="s">
        <v>33</v>
      </c>
      <c r="BG215" s="24"/>
      <c r="BI215" s="24">
        <v>2022</v>
      </c>
      <c r="BJ215" s="24">
        <v>18</v>
      </c>
      <c r="BK215" s="24" t="s">
        <v>32</v>
      </c>
      <c r="BL215" s="24" t="s">
        <v>273</v>
      </c>
      <c r="BM215" s="24">
        <v>7434</v>
      </c>
      <c r="BN215" s="24">
        <v>7373</v>
      </c>
      <c r="BO215" s="24">
        <v>7538</v>
      </c>
      <c r="BR215" s="24">
        <v>2021</v>
      </c>
      <c r="BS215" s="24">
        <v>27</v>
      </c>
      <c r="BT215" s="24">
        <v>226832</v>
      </c>
      <c r="BU215" s="24">
        <v>1</v>
      </c>
      <c r="BV215" s="24" t="s">
        <v>33</v>
      </c>
      <c r="BY215" s="24">
        <v>2021</v>
      </c>
      <c r="BZ215" s="24">
        <v>24</v>
      </c>
      <c r="CA215" s="24" t="s">
        <v>32</v>
      </c>
      <c r="CB215" s="24" t="s">
        <v>423</v>
      </c>
      <c r="CC215" s="24">
        <v>97</v>
      </c>
      <c r="CF215" s="24">
        <v>2021</v>
      </c>
      <c r="CG215" s="24">
        <v>27</v>
      </c>
      <c r="CH215" s="24" t="s">
        <v>33</v>
      </c>
      <c r="CI215" s="24">
        <v>123.51601675417379</v>
      </c>
      <c r="CJ215" s="24">
        <v>209372</v>
      </c>
      <c r="CK215" s="24">
        <v>1695.1</v>
      </c>
      <c r="CL215" s="24">
        <v>90.758275596612776</v>
      </c>
      <c r="CM215" s="24">
        <v>111574</v>
      </c>
      <c r="CN215" s="24">
        <v>212211</v>
      </c>
      <c r="CO215" s="24">
        <v>2338.1999999999998</v>
      </c>
      <c r="CP215" s="24">
        <v>39873</v>
      </c>
      <c r="CQ215" s="24">
        <v>150.30000000000001</v>
      </c>
      <c r="CR215" s="24">
        <v>1071.5999999999999</v>
      </c>
      <c r="CS215" s="24">
        <v>202648</v>
      </c>
      <c r="CT215" s="24">
        <v>202648</v>
      </c>
      <c r="CU215" s="24">
        <v>1382.3</v>
      </c>
      <c r="CV215" s="24">
        <v>36656</v>
      </c>
      <c r="CW215" s="24">
        <v>0</v>
      </c>
      <c r="CX215" s="24">
        <v>183250</v>
      </c>
      <c r="CY215" s="24">
        <v>707</v>
      </c>
      <c r="CZ215" s="24">
        <v>35467</v>
      </c>
      <c r="DA215" s="24">
        <v>1071.5999999999999</v>
      </c>
      <c r="DD215" s="24">
        <v>2021</v>
      </c>
      <c r="DE215" s="24">
        <v>27</v>
      </c>
      <c r="DF215" s="24" t="s">
        <v>33</v>
      </c>
      <c r="DG215" s="24">
        <v>10661</v>
      </c>
      <c r="DH215" s="24">
        <v>37792</v>
      </c>
      <c r="DJ215" s="24">
        <v>2021</v>
      </c>
      <c r="DK215" s="24">
        <v>25</v>
      </c>
      <c r="DL215" s="24" t="s">
        <v>32</v>
      </c>
      <c r="DM215" s="24">
        <v>5</v>
      </c>
      <c r="DP215" s="24">
        <v>2020</v>
      </c>
      <c r="DQ215" s="24">
        <v>11</v>
      </c>
      <c r="DR215" s="24" t="s">
        <v>33</v>
      </c>
      <c r="DS215" s="24">
        <v>10092</v>
      </c>
      <c r="DT215" s="24"/>
      <c r="DW215" s="24">
        <v>2022</v>
      </c>
      <c r="DX215" s="24">
        <v>3</v>
      </c>
      <c r="DY215" s="24" t="s">
        <v>32</v>
      </c>
      <c r="DZ215" s="24">
        <v>1</v>
      </c>
      <c r="EA215" s="24" t="s">
        <v>149</v>
      </c>
      <c r="EB215" s="24">
        <v>0</v>
      </c>
      <c r="EC215" s="24">
        <v>0</v>
      </c>
      <c r="ED215" s="24">
        <v>104</v>
      </c>
      <c r="EE215" s="24">
        <v>31</v>
      </c>
      <c r="EF215" s="24">
        <v>5.4</v>
      </c>
      <c r="EI215" s="24">
        <v>2023</v>
      </c>
      <c r="EJ215" s="24">
        <v>4</v>
      </c>
      <c r="EK215" s="24" t="s">
        <v>237</v>
      </c>
      <c r="EL215" s="24" t="s">
        <v>572</v>
      </c>
      <c r="EM215" s="24" t="s">
        <v>210</v>
      </c>
      <c r="EN215" s="24">
        <v>97</v>
      </c>
      <c r="EO215" s="24"/>
      <c r="EP215" s="24"/>
      <c r="EQ215" s="24"/>
      <c r="ER215" s="24"/>
      <c r="ES215" s="24">
        <v>2021</v>
      </c>
      <c r="ET215" s="24">
        <v>40</v>
      </c>
      <c r="EU215" s="24" t="s">
        <v>213</v>
      </c>
      <c r="EV215" s="24">
        <v>4</v>
      </c>
      <c r="EY215" s="24">
        <v>2021</v>
      </c>
      <c r="EZ215" s="24">
        <v>30</v>
      </c>
      <c r="FA215" s="24" t="s">
        <v>32</v>
      </c>
      <c r="FB215" s="24">
        <v>580</v>
      </c>
      <c r="FE215" s="24">
        <v>2021</v>
      </c>
      <c r="FF215" s="24">
        <v>27</v>
      </c>
      <c r="FG215" s="24" t="s">
        <v>33</v>
      </c>
      <c r="FH215" s="24">
        <v>0.94640000000000002</v>
      </c>
      <c r="FI215" s="24">
        <v>11072</v>
      </c>
      <c r="FJ215" s="24">
        <v>5005</v>
      </c>
      <c r="FK215" s="24">
        <v>5330</v>
      </c>
      <c r="FN215" s="24">
        <v>2021</v>
      </c>
      <c r="FO215" s="24">
        <v>28</v>
      </c>
      <c r="FP215" s="24" t="s">
        <v>33</v>
      </c>
      <c r="FQ215" s="24">
        <v>871958</v>
      </c>
      <c r="FR215" s="24">
        <v>7145.6666666666697</v>
      </c>
      <c r="FS215" s="24">
        <v>539759</v>
      </c>
      <c r="FT215" s="24">
        <v>2748.7000000000003</v>
      </c>
      <c r="FW215" s="24">
        <v>2021</v>
      </c>
      <c r="FX215" s="24">
        <v>27</v>
      </c>
      <c r="FY215" s="24" t="s">
        <v>33</v>
      </c>
      <c r="FZ215" s="24">
        <v>12349</v>
      </c>
      <c r="GA215" s="24">
        <v>11975</v>
      </c>
      <c r="GB215" s="24"/>
      <c r="GC215" s="24"/>
      <c r="GD215" s="24">
        <v>2021</v>
      </c>
      <c r="GE215" s="24">
        <v>27</v>
      </c>
      <c r="GF215" s="24" t="s">
        <v>33</v>
      </c>
      <c r="GG215" s="24">
        <v>12374</v>
      </c>
      <c r="GH215" s="24">
        <v>12246</v>
      </c>
      <c r="GK215" s="24"/>
      <c r="GL215" s="24"/>
      <c r="GM215" s="24"/>
      <c r="GN215" s="24"/>
      <c r="GO215" s="24"/>
      <c r="GP215" s="24">
        <v>2021</v>
      </c>
      <c r="GQ215" s="24">
        <v>27</v>
      </c>
      <c r="GR215" s="24">
        <v>4.7235714285714296</v>
      </c>
      <c r="GS215" s="24" t="s">
        <v>33</v>
      </c>
      <c r="GX215">
        <v>2021</v>
      </c>
      <c r="GY215">
        <v>27</v>
      </c>
      <c r="GZ215" t="s">
        <v>33</v>
      </c>
      <c r="HA215">
        <v>230352</v>
      </c>
      <c r="HB215">
        <v>224898</v>
      </c>
      <c r="HC215">
        <v>415</v>
      </c>
      <c r="HD215">
        <v>433</v>
      </c>
      <c r="HE215">
        <v>0</v>
      </c>
      <c r="HF215">
        <v>1691</v>
      </c>
      <c r="HG215">
        <v>0</v>
      </c>
      <c r="HH215">
        <v>0</v>
      </c>
      <c r="HI215">
        <v>848</v>
      </c>
      <c r="HL215">
        <v>2021</v>
      </c>
      <c r="HM215">
        <v>27</v>
      </c>
      <c r="HN215" t="s">
        <v>33</v>
      </c>
      <c r="HO215">
        <v>225807</v>
      </c>
      <c r="HP215">
        <v>223886</v>
      </c>
      <c r="HQ215">
        <v>392</v>
      </c>
      <c r="HR215">
        <v>91</v>
      </c>
      <c r="HS215">
        <v>0</v>
      </c>
      <c r="HT215">
        <v>1331</v>
      </c>
      <c r="HU215">
        <v>0</v>
      </c>
      <c r="HV215">
        <v>0</v>
      </c>
      <c r="HW215">
        <v>115</v>
      </c>
      <c r="HZ215" s="24">
        <v>2021</v>
      </c>
      <c r="IA215" s="24">
        <v>27</v>
      </c>
      <c r="IB215" s="24" t="s">
        <v>33</v>
      </c>
      <c r="IC215" s="24">
        <v>11909</v>
      </c>
      <c r="ID215" s="24">
        <v>11520</v>
      </c>
      <c r="IG215" s="24">
        <v>2021</v>
      </c>
      <c r="IH215" s="24">
        <v>27</v>
      </c>
      <c r="II215" s="24" t="s">
        <v>33</v>
      </c>
      <c r="IJ215" s="24">
        <v>11800</v>
      </c>
      <c r="IK215" s="24">
        <v>11759</v>
      </c>
    </row>
    <row r="216" spans="9:245" x14ac:dyDescent="0.4">
      <c r="I216" s="305">
        <v>2021</v>
      </c>
      <c r="J216" s="306">
        <v>27</v>
      </c>
      <c r="K216" s="306" t="s">
        <v>33</v>
      </c>
      <c r="L216" s="306">
        <v>226702</v>
      </c>
      <c r="M216" s="306">
        <v>220372</v>
      </c>
      <c r="N216" s="306">
        <v>439</v>
      </c>
      <c r="O216" s="306">
        <v>2486</v>
      </c>
      <c r="P216" s="306">
        <v>276</v>
      </c>
      <c r="Q216" s="306">
        <v>177</v>
      </c>
      <c r="R216" s="24"/>
      <c r="S216" s="24"/>
      <c r="T216" s="24"/>
      <c r="W216" s="24">
        <v>2021</v>
      </c>
      <c r="X216" s="24">
        <v>26</v>
      </c>
      <c r="Y216" s="24" t="s">
        <v>32</v>
      </c>
      <c r="Z216" s="24">
        <v>12474</v>
      </c>
      <c r="AA216" s="24">
        <v>12363</v>
      </c>
      <c r="AB216" s="24">
        <v>2</v>
      </c>
      <c r="AC216" s="24">
        <v>1</v>
      </c>
      <c r="AD216" s="24"/>
      <c r="AE216" s="24"/>
      <c r="AF216" s="24"/>
      <c r="AG216" s="24"/>
      <c r="AH216" s="24"/>
      <c r="AI216" s="24"/>
      <c r="AJ216" s="24"/>
      <c r="AK216" s="24">
        <v>2021</v>
      </c>
      <c r="AL216" s="24">
        <v>26</v>
      </c>
      <c r="AM216" s="24">
        <v>775.83</v>
      </c>
      <c r="AN216" s="24">
        <v>56.980000000000004</v>
      </c>
      <c r="AO216" s="24">
        <v>0</v>
      </c>
      <c r="AP216" s="24">
        <v>19</v>
      </c>
      <c r="AQ216" s="24">
        <v>0</v>
      </c>
      <c r="AR216" s="24">
        <v>0</v>
      </c>
      <c r="AS216" s="24" t="s">
        <v>32</v>
      </c>
      <c r="AT216" s="24"/>
      <c r="AU216" s="24">
        <v>2021</v>
      </c>
      <c r="AV216" s="24">
        <v>26</v>
      </c>
      <c r="AW216" s="24">
        <v>0.09</v>
      </c>
      <c r="AX216" s="24">
        <v>1100</v>
      </c>
      <c r="AY216" s="24">
        <v>12745</v>
      </c>
      <c r="AZ216" s="24" t="s">
        <v>32</v>
      </c>
      <c r="BA216" s="24"/>
      <c r="BB216" s="24"/>
      <c r="BC216" s="24">
        <v>2021</v>
      </c>
      <c r="BD216" s="24">
        <v>26</v>
      </c>
      <c r="BE216" s="24">
        <v>158.564142857143</v>
      </c>
      <c r="BF216" s="24" t="s">
        <v>32</v>
      </c>
      <c r="BG216" s="24"/>
      <c r="BI216" s="24">
        <v>2022</v>
      </c>
      <c r="BJ216" s="24">
        <v>18</v>
      </c>
      <c r="BK216" s="24" t="s">
        <v>33</v>
      </c>
      <c r="BL216" s="24" t="s">
        <v>272</v>
      </c>
      <c r="BM216" s="24">
        <v>58107</v>
      </c>
      <c r="BN216" s="24">
        <v>58034</v>
      </c>
      <c r="BO216" s="24">
        <v>208976</v>
      </c>
      <c r="BR216" s="24">
        <v>2021</v>
      </c>
      <c r="BS216" s="24">
        <v>26</v>
      </c>
      <c r="BT216" s="24">
        <v>12653</v>
      </c>
      <c r="BU216" s="24">
        <v>0</v>
      </c>
      <c r="BV216" s="24" t="s">
        <v>32</v>
      </c>
      <c r="BY216" s="24">
        <v>2021</v>
      </c>
      <c r="BZ216" s="24">
        <v>24</v>
      </c>
      <c r="CA216" s="24" t="s">
        <v>33</v>
      </c>
      <c r="CB216" s="24" t="s">
        <v>108</v>
      </c>
      <c r="CC216" s="24">
        <v>1</v>
      </c>
      <c r="CF216" s="24">
        <v>2021</v>
      </c>
      <c r="CG216" s="24">
        <v>26</v>
      </c>
      <c r="CH216" s="24" t="s">
        <v>32</v>
      </c>
      <c r="CI216" s="24">
        <v>116.68778280542986</v>
      </c>
      <c r="CJ216" s="24">
        <v>12894</v>
      </c>
      <c r="CK216" s="24">
        <v>110.5</v>
      </c>
      <c r="CL216" s="24">
        <v>52.048451395277525</v>
      </c>
      <c r="CM216" s="24">
        <v>8669</v>
      </c>
      <c r="CN216" s="24">
        <v>16973</v>
      </c>
      <c r="CO216" s="24">
        <v>326.10000000000002</v>
      </c>
      <c r="CP216" s="24">
        <v>8139</v>
      </c>
      <c r="CQ216" s="24">
        <v>43.6</v>
      </c>
      <c r="CR216" s="24">
        <v>218.1</v>
      </c>
      <c r="CS216" s="24">
        <v>16288</v>
      </c>
      <c r="CT216" s="24">
        <v>16288</v>
      </c>
      <c r="CU216" s="24">
        <v>281.7</v>
      </c>
      <c r="CV216" s="24">
        <v>1914</v>
      </c>
      <c r="CW216" s="24">
        <v>0</v>
      </c>
      <c r="CX216" s="24">
        <v>6732</v>
      </c>
      <c r="CY216" s="24">
        <v>48.7</v>
      </c>
      <c r="CZ216" s="24">
        <v>6416</v>
      </c>
      <c r="DA216" s="24">
        <v>218.1</v>
      </c>
      <c r="DD216" s="24">
        <v>2021</v>
      </c>
      <c r="DE216" s="24">
        <v>26</v>
      </c>
      <c r="DF216" s="24" t="s">
        <v>32</v>
      </c>
      <c r="DG216" s="24">
        <v>1842</v>
      </c>
      <c r="DH216" s="24">
        <v>1834</v>
      </c>
      <c r="DJ216" s="24">
        <v>2021</v>
      </c>
      <c r="DK216" s="24">
        <v>25</v>
      </c>
      <c r="DL216" s="24" t="s">
        <v>33</v>
      </c>
      <c r="DM216" s="24">
        <v>621</v>
      </c>
      <c r="DP216" s="24">
        <v>2020</v>
      </c>
      <c r="DQ216" s="24">
        <v>10</v>
      </c>
      <c r="DR216" s="24" t="s">
        <v>33</v>
      </c>
      <c r="DS216" s="24">
        <v>10179</v>
      </c>
      <c r="DT216" s="24"/>
      <c r="DW216" s="24">
        <v>2022</v>
      </c>
      <c r="DX216" s="24">
        <v>3</v>
      </c>
      <c r="DY216" s="24" t="s">
        <v>33</v>
      </c>
      <c r="DZ216" s="24">
        <v>8</v>
      </c>
      <c r="EA216" s="24" t="s">
        <v>562</v>
      </c>
      <c r="EB216" s="24">
        <v>124.5</v>
      </c>
      <c r="EC216" s="24">
        <v>0</v>
      </c>
      <c r="ED216" s="24"/>
      <c r="EE216" s="24">
        <v>5256</v>
      </c>
      <c r="EF216" s="24">
        <v>49.4</v>
      </c>
      <c r="EI216" s="24">
        <v>2023</v>
      </c>
      <c r="EJ216" s="24">
        <v>4</v>
      </c>
      <c r="EK216" s="24" t="s">
        <v>237</v>
      </c>
      <c r="EL216" s="24" t="s">
        <v>235</v>
      </c>
      <c r="EM216" s="24" t="s">
        <v>210</v>
      </c>
      <c r="EN216" s="24">
        <v>1284</v>
      </c>
      <c r="EO216" s="24"/>
      <c r="EP216" s="24"/>
      <c r="EQ216" s="24"/>
      <c r="ER216" s="24"/>
      <c r="ES216" s="24">
        <v>2021</v>
      </c>
      <c r="ET216" s="24">
        <v>39</v>
      </c>
      <c r="EU216" s="24" t="s">
        <v>32</v>
      </c>
      <c r="EV216" s="24">
        <v>6137</v>
      </c>
      <c r="EY216" s="24">
        <v>2021</v>
      </c>
      <c r="EZ216" s="24">
        <v>30</v>
      </c>
      <c r="FA216" s="24" t="s">
        <v>33</v>
      </c>
      <c r="FB216" s="24">
        <v>1335</v>
      </c>
      <c r="FE216" s="24">
        <v>2021</v>
      </c>
      <c r="FF216" s="24">
        <v>26</v>
      </c>
      <c r="FG216" s="24" t="s">
        <v>32</v>
      </c>
      <c r="FH216" s="24">
        <v>0.96299999999999997</v>
      </c>
      <c r="FI216" s="24">
        <v>360</v>
      </c>
      <c r="FJ216" s="24">
        <v>171</v>
      </c>
      <c r="FK216" s="24">
        <v>178</v>
      </c>
      <c r="FN216" s="24">
        <v>2021</v>
      </c>
      <c r="FO216" s="24">
        <v>27</v>
      </c>
      <c r="FP216" s="24" t="s">
        <v>32</v>
      </c>
      <c r="FQ216" s="24">
        <v>24366</v>
      </c>
      <c r="FR216" s="24">
        <v>574.48333333333301</v>
      </c>
      <c r="FS216" s="24">
        <v>23669</v>
      </c>
      <c r="FT216" s="24">
        <v>248.38333333333298</v>
      </c>
      <c r="FW216" s="24">
        <v>2021</v>
      </c>
      <c r="FX216" s="24">
        <v>26</v>
      </c>
      <c r="FY216" s="24" t="s">
        <v>32</v>
      </c>
      <c r="FZ216" s="24">
        <v>1856</v>
      </c>
      <c r="GA216" s="24">
        <v>1836</v>
      </c>
      <c r="GB216" s="24"/>
      <c r="GC216" s="24"/>
      <c r="GD216" s="24">
        <v>2021</v>
      </c>
      <c r="GE216" s="24">
        <v>26</v>
      </c>
      <c r="GF216" s="24" t="s">
        <v>32</v>
      </c>
      <c r="GG216" s="24">
        <v>1852</v>
      </c>
      <c r="GH216" s="24">
        <v>1845</v>
      </c>
      <c r="GK216" s="24"/>
      <c r="GL216" s="24"/>
      <c r="GM216" s="24"/>
      <c r="GN216" s="24"/>
      <c r="GO216" s="24"/>
      <c r="GP216" s="24">
        <v>2021</v>
      </c>
      <c r="GQ216" s="24">
        <v>26</v>
      </c>
      <c r="GR216" s="24">
        <v>0.29899999999999999</v>
      </c>
      <c r="GS216" s="24" t="s">
        <v>32</v>
      </c>
      <c r="GX216">
        <v>2021</v>
      </c>
      <c r="GY216">
        <v>26</v>
      </c>
      <c r="GZ216" t="s">
        <v>32</v>
      </c>
      <c r="HA216">
        <v>12363</v>
      </c>
      <c r="HB216">
        <v>12196</v>
      </c>
      <c r="HC216">
        <v>0</v>
      </c>
      <c r="HD216">
        <v>3</v>
      </c>
      <c r="HE216">
        <v>0</v>
      </c>
      <c r="HF216">
        <v>34</v>
      </c>
      <c r="HG216">
        <v>0</v>
      </c>
      <c r="HH216">
        <v>0</v>
      </c>
      <c r="HI216">
        <v>32</v>
      </c>
      <c r="HL216">
        <v>2021</v>
      </c>
      <c r="HM216">
        <v>26</v>
      </c>
      <c r="HN216" t="s">
        <v>32</v>
      </c>
      <c r="HO216">
        <v>12436</v>
      </c>
      <c r="HP216">
        <v>12369</v>
      </c>
      <c r="HQ216">
        <v>0</v>
      </c>
      <c r="HR216">
        <v>5</v>
      </c>
      <c r="HS216">
        <v>0</v>
      </c>
      <c r="HT216">
        <v>21</v>
      </c>
      <c r="HU216">
        <v>0</v>
      </c>
      <c r="HV216">
        <v>0</v>
      </c>
      <c r="HW216">
        <v>4</v>
      </c>
      <c r="HZ216" s="24">
        <v>2021</v>
      </c>
      <c r="IA216" s="24">
        <v>26</v>
      </c>
      <c r="IB216" s="24" t="s">
        <v>32</v>
      </c>
      <c r="IC216" s="24">
        <v>1884</v>
      </c>
      <c r="ID216" s="24">
        <v>1840</v>
      </c>
      <c r="IG216" s="24">
        <v>2021</v>
      </c>
      <c r="IH216" s="24">
        <v>26</v>
      </c>
      <c r="II216" s="24" t="s">
        <v>32</v>
      </c>
      <c r="IJ216" s="24">
        <v>1838</v>
      </c>
      <c r="IK216" s="24">
        <v>1820</v>
      </c>
    </row>
    <row r="217" spans="9:245" x14ac:dyDescent="0.4">
      <c r="I217" s="305">
        <v>2021</v>
      </c>
      <c r="J217" s="306">
        <v>26</v>
      </c>
      <c r="K217" s="306" t="s">
        <v>32</v>
      </c>
      <c r="L217" s="306">
        <v>12510</v>
      </c>
      <c r="M217" s="306">
        <v>12345</v>
      </c>
      <c r="N217" s="306">
        <v>23</v>
      </c>
      <c r="O217" s="306">
        <v>83</v>
      </c>
      <c r="P217" s="306">
        <v>8</v>
      </c>
      <c r="Q217" s="306">
        <v>6</v>
      </c>
      <c r="R217" s="24"/>
      <c r="S217" s="24"/>
      <c r="T217" s="24"/>
      <c r="W217" s="24">
        <v>2021</v>
      </c>
      <c r="X217" s="24">
        <v>26</v>
      </c>
      <c r="Y217" s="24" t="s">
        <v>33</v>
      </c>
      <c r="Z217" s="24">
        <v>273316</v>
      </c>
      <c r="AA217" s="24">
        <v>266169</v>
      </c>
      <c r="AB217" s="24">
        <v>109</v>
      </c>
      <c r="AC217" s="24">
        <v>105</v>
      </c>
      <c r="AD217" s="24"/>
      <c r="AE217" s="24"/>
      <c r="AF217" s="24"/>
      <c r="AG217" s="24"/>
      <c r="AH217" s="24"/>
      <c r="AI217" s="24"/>
      <c r="AJ217" s="24"/>
      <c r="AK217" s="24">
        <v>2021</v>
      </c>
      <c r="AL217" s="24">
        <v>26</v>
      </c>
      <c r="AM217" s="24">
        <v>14512.5</v>
      </c>
      <c r="AN217" s="24">
        <v>1475.05</v>
      </c>
      <c r="AO217" s="24">
        <v>0</v>
      </c>
      <c r="AP217" s="24">
        <v>364</v>
      </c>
      <c r="AQ217" s="24">
        <v>0</v>
      </c>
      <c r="AR217" s="24">
        <v>3</v>
      </c>
      <c r="AS217" s="24" t="s">
        <v>33</v>
      </c>
      <c r="AT217" s="24"/>
      <c r="AU217" s="24">
        <v>2021</v>
      </c>
      <c r="AV217" s="24">
        <v>26</v>
      </c>
      <c r="AW217" s="24">
        <v>0.15</v>
      </c>
      <c r="AX217" s="24">
        <v>40500</v>
      </c>
      <c r="AY217" s="24">
        <v>268969</v>
      </c>
      <c r="AZ217" s="24" t="s">
        <v>33</v>
      </c>
      <c r="BA217" s="24"/>
      <c r="BB217" s="24"/>
      <c r="BC217" s="24">
        <v>2021</v>
      </c>
      <c r="BD217" s="24">
        <v>26</v>
      </c>
      <c r="BE217" s="24">
        <v>2059.5512857142899</v>
      </c>
      <c r="BF217" s="24" t="s">
        <v>33</v>
      </c>
      <c r="BG217" s="24"/>
      <c r="BI217" s="24">
        <v>2022</v>
      </c>
      <c r="BJ217" s="24">
        <v>18</v>
      </c>
      <c r="BK217" s="24" t="s">
        <v>33</v>
      </c>
      <c r="BL217" s="24" t="s">
        <v>273</v>
      </c>
      <c r="BM217" s="24">
        <v>117361</v>
      </c>
      <c r="BN217" s="24">
        <v>116732</v>
      </c>
      <c r="BO217" s="24">
        <v>120515</v>
      </c>
      <c r="BR217" s="24">
        <v>2021</v>
      </c>
      <c r="BS217" s="24">
        <v>26</v>
      </c>
      <c r="BT217" s="24">
        <v>267618</v>
      </c>
      <c r="BU217" s="24">
        <v>3</v>
      </c>
      <c r="BV217" s="24" t="s">
        <v>33</v>
      </c>
      <c r="BY217" s="24">
        <v>2021</v>
      </c>
      <c r="BZ217" s="24">
        <v>24</v>
      </c>
      <c r="CA217" s="24" t="s">
        <v>33</v>
      </c>
      <c r="CB217" s="24" t="s">
        <v>423</v>
      </c>
      <c r="CC217" s="24">
        <v>14</v>
      </c>
      <c r="CF217" s="24">
        <v>2021</v>
      </c>
      <c r="CG217" s="24">
        <v>26</v>
      </c>
      <c r="CH217" s="24" t="s">
        <v>33</v>
      </c>
      <c r="CI217" s="24">
        <v>135.75791374548544</v>
      </c>
      <c r="CJ217" s="24">
        <v>255605</v>
      </c>
      <c r="CK217" s="24">
        <v>1882.8</v>
      </c>
      <c r="CL217" s="24">
        <v>91.481799021183861</v>
      </c>
      <c r="CM217" s="24">
        <v>132593</v>
      </c>
      <c r="CN217" s="24">
        <v>256085</v>
      </c>
      <c r="CO217" s="24">
        <v>2799.3</v>
      </c>
      <c r="CP217" s="24">
        <v>48781</v>
      </c>
      <c r="CQ217" s="24">
        <v>288.10000000000002</v>
      </c>
      <c r="CR217" s="24">
        <v>1145.0999999999999</v>
      </c>
      <c r="CS217" s="24">
        <v>186452</v>
      </c>
      <c r="CT217" s="24">
        <v>186452</v>
      </c>
      <c r="CU217" s="24">
        <v>1413.8</v>
      </c>
      <c r="CV217" s="24">
        <v>43118</v>
      </c>
      <c r="CW217" s="24">
        <v>0</v>
      </c>
      <c r="CX217" s="24">
        <v>178110</v>
      </c>
      <c r="CY217" s="24">
        <v>690.4</v>
      </c>
      <c r="CZ217" s="24">
        <v>39029</v>
      </c>
      <c r="DA217" s="24">
        <v>1145.0999999999999</v>
      </c>
      <c r="DD217" s="24">
        <v>2021</v>
      </c>
      <c r="DE217" s="24">
        <v>26</v>
      </c>
      <c r="DF217" s="24" t="s">
        <v>33</v>
      </c>
      <c r="DG217" s="24">
        <v>14652</v>
      </c>
      <c r="DH217" s="24">
        <v>35506</v>
      </c>
      <c r="DJ217" s="24">
        <v>2021</v>
      </c>
      <c r="DK217" s="24">
        <v>24</v>
      </c>
      <c r="DL217" s="24" t="s">
        <v>32</v>
      </c>
      <c r="DM217" s="24">
        <v>21</v>
      </c>
      <c r="DP217" s="24">
        <v>2020</v>
      </c>
      <c r="DQ217" s="24">
        <v>9</v>
      </c>
      <c r="DR217" s="24" t="s">
        <v>33</v>
      </c>
      <c r="DS217" s="24">
        <v>9665</v>
      </c>
      <c r="DT217" s="24"/>
      <c r="DW217" s="24">
        <v>2022</v>
      </c>
      <c r="DX217" s="24">
        <v>3</v>
      </c>
      <c r="DY217" s="24" t="s">
        <v>33</v>
      </c>
      <c r="DZ217" s="24">
        <v>45</v>
      </c>
      <c r="EA217" s="24" t="s">
        <v>149</v>
      </c>
      <c r="EB217" s="24">
        <v>131</v>
      </c>
      <c r="EC217" s="24">
        <v>1024.2</v>
      </c>
      <c r="ED217" s="24">
        <v>36662</v>
      </c>
      <c r="EE217" s="24">
        <v>39659</v>
      </c>
      <c r="EF217" s="24">
        <v>229.2</v>
      </c>
      <c r="EI217" s="24">
        <v>2023</v>
      </c>
      <c r="EJ217" s="24">
        <v>4</v>
      </c>
      <c r="EK217" s="24" t="s">
        <v>237</v>
      </c>
      <c r="EL217" s="24" t="s">
        <v>235</v>
      </c>
      <c r="EM217" s="24" t="s">
        <v>234</v>
      </c>
      <c r="EN217" s="24">
        <v>1</v>
      </c>
      <c r="EO217" s="24"/>
      <c r="EP217" s="24"/>
      <c r="EQ217" s="24"/>
      <c r="ER217" s="24"/>
      <c r="ES217" s="24">
        <v>2021</v>
      </c>
      <c r="ET217" s="24">
        <v>39</v>
      </c>
      <c r="EU217" s="24" t="s">
        <v>33</v>
      </c>
      <c r="EV217" s="24">
        <v>127663</v>
      </c>
      <c r="EY217" s="24">
        <v>2021</v>
      </c>
      <c r="EZ217" s="24">
        <v>29</v>
      </c>
      <c r="FA217" s="24" t="s">
        <v>32</v>
      </c>
      <c r="FB217" s="24">
        <v>773</v>
      </c>
      <c r="FE217" s="24">
        <v>2021</v>
      </c>
      <c r="FF217" s="24">
        <v>26</v>
      </c>
      <c r="FG217" s="24" t="s">
        <v>33</v>
      </c>
      <c r="FH217" s="24">
        <v>0.95469999999999999</v>
      </c>
      <c r="FI217" s="24">
        <v>14423</v>
      </c>
      <c r="FJ217" s="24">
        <v>6475</v>
      </c>
      <c r="FK217" s="24">
        <v>6835</v>
      </c>
      <c r="FN217" s="24">
        <v>2021</v>
      </c>
      <c r="FO217" s="24">
        <v>27</v>
      </c>
      <c r="FP217" s="24" t="s">
        <v>33</v>
      </c>
      <c r="FQ217" s="24">
        <v>727130</v>
      </c>
      <c r="FR217" s="24">
        <v>6020</v>
      </c>
      <c r="FS217" s="24">
        <v>500083</v>
      </c>
      <c r="FT217" s="24">
        <v>2376.5666666666698</v>
      </c>
      <c r="FW217" s="24">
        <v>2021</v>
      </c>
      <c r="FX217" s="24">
        <v>26</v>
      </c>
      <c r="FY217" s="24" t="s">
        <v>33</v>
      </c>
      <c r="FZ217" s="24">
        <v>16071</v>
      </c>
      <c r="GA217" s="24">
        <v>15530</v>
      </c>
      <c r="GB217" s="24"/>
      <c r="GC217" s="24"/>
      <c r="GD217" s="24">
        <v>2021</v>
      </c>
      <c r="GE217" s="24">
        <v>26</v>
      </c>
      <c r="GF217" s="24" t="s">
        <v>33</v>
      </c>
      <c r="GG217" s="24">
        <v>15976</v>
      </c>
      <c r="GH217" s="24">
        <v>15768</v>
      </c>
      <c r="GK217" s="24"/>
      <c r="GL217" s="24"/>
      <c r="GM217" s="24"/>
      <c r="GN217" s="24"/>
      <c r="GO217" s="24"/>
      <c r="GP217" s="24">
        <v>2021</v>
      </c>
      <c r="GQ217" s="24">
        <v>26</v>
      </c>
      <c r="GR217" s="24">
        <v>4.7861428571428597</v>
      </c>
      <c r="GS217" s="24" t="s">
        <v>33</v>
      </c>
      <c r="GX217">
        <v>2021</v>
      </c>
      <c r="GY217">
        <v>26</v>
      </c>
      <c r="GZ217" t="s">
        <v>33</v>
      </c>
      <c r="HA217">
        <v>271696</v>
      </c>
      <c r="HB217">
        <v>262698</v>
      </c>
      <c r="HC217">
        <v>600</v>
      </c>
      <c r="HD217">
        <v>642</v>
      </c>
      <c r="HE217">
        <v>0</v>
      </c>
      <c r="HF217">
        <v>4833</v>
      </c>
      <c r="HG217">
        <v>0</v>
      </c>
      <c r="HH217">
        <v>0</v>
      </c>
      <c r="HI217">
        <v>821</v>
      </c>
      <c r="HL217">
        <v>2021</v>
      </c>
      <c r="HM217">
        <v>26</v>
      </c>
      <c r="HN217" t="s">
        <v>33</v>
      </c>
      <c r="HO217">
        <v>272826</v>
      </c>
      <c r="HP217">
        <v>267258</v>
      </c>
      <c r="HQ217">
        <v>676</v>
      </c>
      <c r="HR217">
        <v>448</v>
      </c>
      <c r="HS217">
        <v>0</v>
      </c>
      <c r="HT217">
        <v>4646</v>
      </c>
      <c r="HU217">
        <v>0</v>
      </c>
      <c r="HV217">
        <v>0</v>
      </c>
      <c r="HW217">
        <v>385</v>
      </c>
      <c r="HZ217" s="24">
        <v>2021</v>
      </c>
      <c r="IA217" s="24">
        <v>26</v>
      </c>
      <c r="IB217" s="24" t="s">
        <v>33</v>
      </c>
      <c r="IC217" s="24">
        <v>16760</v>
      </c>
      <c r="ID217" s="24">
        <v>15966</v>
      </c>
      <c r="IG217" s="24">
        <v>2021</v>
      </c>
      <c r="IH217" s="24">
        <v>26</v>
      </c>
      <c r="II217" s="24" t="s">
        <v>33</v>
      </c>
      <c r="IJ217" s="24">
        <v>15299</v>
      </c>
      <c r="IK217" s="24">
        <v>15090</v>
      </c>
    </row>
    <row r="218" spans="9:245" x14ac:dyDescent="0.4">
      <c r="I218" s="305">
        <v>2021</v>
      </c>
      <c r="J218" s="306">
        <v>26</v>
      </c>
      <c r="K218" s="306" t="s">
        <v>33</v>
      </c>
      <c r="L218" s="306">
        <v>273370</v>
      </c>
      <c r="M218" s="306">
        <v>264684</v>
      </c>
      <c r="N218" s="306">
        <v>471</v>
      </c>
      <c r="O218" s="306">
        <v>2352</v>
      </c>
      <c r="P218" s="306">
        <v>342</v>
      </c>
      <c r="Q218" s="306">
        <v>129</v>
      </c>
      <c r="R218" s="24"/>
      <c r="S218" s="24"/>
      <c r="T218" s="24"/>
      <c r="W218" s="24">
        <v>2021</v>
      </c>
      <c r="X218" s="24">
        <v>25</v>
      </c>
      <c r="Y218" s="24" t="s">
        <v>32</v>
      </c>
      <c r="Z218" s="24">
        <v>12311</v>
      </c>
      <c r="AA218" s="24">
        <v>11989</v>
      </c>
      <c r="AB218" s="24">
        <v>6</v>
      </c>
      <c r="AC218" s="24">
        <v>5</v>
      </c>
      <c r="AD218" s="24"/>
      <c r="AE218" s="24"/>
      <c r="AF218" s="24"/>
      <c r="AG218" s="24"/>
      <c r="AH218" s="24"/>
      <c r="AI218" s="24"/>
      <c r="AJ218" s="24"/>
      <c r="AK218" s="24">
        <v>2021</v>
      </c>
      <c r="AL218" s="24">
        <v>25</v>
      </c>
      <c r="AM218" s="24">
        <v>747.15</v>
      </c>
      <c r="AN218" s="24">
        <v>58.92</v>
      </c>
      <c r="AO218" s="24">
        <v>0</v>
      </c>
      <c r="AP218" s="24">
        <v>21</v>
      </c>
      <c r="AQ218" s="24">
        <v>0</v>
      </c>
      <c r="AR218" s="24">
        <v>0</v>
      </c>
      <c r="AS218" s="24" t="s">
        <v>32</v>
      </c>
      <c r="AT218" s="24"/>
      <c r="AU218" s="24">
        <v>2021</v>
      </c>
      <c r="AV218" s="24">
        <v>25</v>
      </c>
      <c r="AW218" s="24">
        <v>0.18</v>
      </c>
      <c r="AX218" s="24">
        <v>2200</v>
      </c>
      <c r="AY218" s="24">
        <v>12442</v>
      </c>
      <c r="AZ218" s="24" t="s">
        <v>32</v>
      </c>
      <c r="BA218" s="24"/>
      <c r="BB218" s="24"/>
      <c r="BC218" s="24">
        <v>2021</v>
      </c>
      <c r="BD218" s="24">
        <v>25</v>
      </c>
      <c r="BE218" s="24">
        <v>156.609571428571</v>
      </c>
      <c r="BF218" s="24" t="s">
        <v>32</v>
      </c>
      <c r="BG218" s="24"/>
      <c r="BI218" s="24">
        <v>2022</v>
      </c>
      <c r="BJ218" s="24">
        <v>17</v>
      </c>
      <c r="BK218" s="24" t="s">
        <v>33</v>
      </c>
      <c r="BL218" s="24" t="s">
        <v>272</v>
      </c>
      <c r="BM218" s="24">
        <v>60477</v>
      </c>
      <c r="BN218" s="24">
        <v>60390</v>
      </c>
      <c r="BO218" s="24">
        <v>216637</v>
      </c>
      <c r="BR218" s="24">
        <v>2021</v>
      </c>
      <c r="BS218" s="24">
        <v>25</v>
      </c>
      <c r="BT218" s="24">
        <v>259938</v>
      </c>
      <c r="BU218" s="24">
        <v>2</v>
      </c>
      <c r="BV218" s="24" t="s">
        <v>33</v>
      </c>
      <c r="BY218" s="24">
        <v>2021</v>
      </c>
      <c r="BZ218" s="24">
        <v>23</v>
      </c>
      <c r="CA218" s="24" t="s">
        <v>32</v>
      </c>
      <c r="CB218" s="24" t="s">
        <v>108</v>
      </c>
      <c r="CC218" s="24">
        <v>3</v>
      </c>
      <c r="CF218" s="24">
        <v>2021</v>
      </c>
      <c r="CG218" s="24">
        <v>25</v>
      </c>
      <c r="CH218" s="24" t="s">
        <v>32</v>
      </c>
      <c r="CI218" s="24">
        <v>130.32021957913997</v>
      </c>
      <c r="CJ218" s="24">
        <v>14244</v>
      </c>
      <c r="CK218" s="24">
        <v>109.3</v>
      </c>
      <c r="CL218" s="24">
        <v>41.478260869565219</v>
      </c>
      <c r="CM218" s="24">
        <v>5843</v>
      </c>
      <c r="CN218" s="24">
        <v>10494</v>
      </c>
      <c r="CO218" s="24">
        <v>253</v>
      </c>
      <c r="CP218" s="24">
        <v>6827</v>
      </c>
      <c r="CQ218" s="24">
        <v>44.2</v>
      </c>
      <c r="CR218" s="24">
        <v>161.9</v>
      </c>
      <c r="CS218" s="24">
        <v>17610</v>
      </c>
      <c r="CT218" s="24">
        <v>17610</v>
      </c>
      <c r="CU218" s="24">
        <v>315.5</v>
      </c>
      <c r="CV218" s="24">
        <v>1994</v>
      </c>
      <c r="CW218" s="24">
        <v>0</v>
      </c>
      <c r="CX218" s="24">
        <v>9367</v>
      </c>
      <c r="CY218" s="24">
        <v>47.8</v>
      </c>
      <c r="CZ218" s="24">
        <v>5045</v>
      </c>
      <c r="DA218" s="24">
        <v>161.9</v>
      </c>
      <c r="DD218" s="24">
        <v>2021</v>
      </c>
      <c r="DE218" s="24">
        <v>25</v>
      </c>
      <c r="DF218" s="24" t="s">
        <v>32</v>
      </c>
      <c r="DG218" s="24">
        <v>1486</v>
      </c>
      <c r="DH218" s="24">
        <v>1980</v>
      </c>
      <c r="DJ218" s="24">
        <v>2021</v>
      </c>
      <c r="DK218" s="24">
        <v>24</v>
      </c>
      <c r="DL218" s="24" t="s">
        <v>33</v>
      </c>
      <c r="DM218" s="24">
        <v>1410</v>
      </c>
      <c r="DP218" s="24">
        <v>2020</v>
      </c>
      <c r="DQ218" s="24">
        <v>8</v>
      </c>
      <c r="DR218" s="24" t="s">
        <v>33</v>
      </c>
      <c r="DS218" s="24">
        <v>9781</v>
      </c>
      <c r="DT218" s="24"/>
      <c r="DW218" s="24">
        <v>2022</v>
      </c>
      <c r="DX218" s="24">
        <v>2</v>
      </c>
      <c r="DY218" s="24" t="s">
        <v>32</v>
      </c>
      <c r="DZ218" s="24">
        <v>1</v>
      </c>
      <c r="EA218" s="24" t="s">
        <v>149</v>
      </c>
      <c r="EB218" s="24">
        <v>0</v>
      </c>
      <c r="EC218" s="24">
        <v>0</v>
      </c>
      <c r="ED218" s="24">
        <v>213</v>
      </c>
      <c r="EE218" s="24">
        <v>11</v>
      </c>
      <c r="EF218" s="24">
        <v>1.6</v>
      </c>
      <c r="EI218" s="24">
        <v>2023</v>
      </c>
      <c r="EJ218" s="24">
        <v>4</v>
      </c>
      <c r="EK218" s="24" t="s">
        <v>237</v>
      </c>
      <c r="EL218" s="24" t="s">
        <v>247</v>
      </c>
      <c r="EM218" s="24" t="s">
        <v>210</v>
      </c>
      <c r="EN218" s="24">
        <v>17</v>
      </c>
      <c r="EO218" s="24"/>
      <c r="EP218" s="24"/>
      <c r="EQ218" s="24"/>
      <c r="ER218" s="24"/>
      <c r="ES218" s="24">
        <v>2021</v>
      </c>
      <c r="ET218" s="24">
        <v>38</v>
      </c>
      <c r="EU218" s="24" t="s">
        <v>32</v>
      </c>
      <c r="EV218" s="24">
        <v>6090</v>
      </c>
      <c r="EY218" s="24">
        <v>2021</v>
      </c>
      <c r="EZ218" s="24">
        <v>29</v>
      </c>
      <c r="FA218" s="24" t="s">
        <v>33</v>
      </c>
      <c r="FB218" s="24">
        <v>1091</v>
      </c>
      <c r="FE218" s="24">
        <v>2021</v>
      </c>
      <c r="FF218" s="24">
        <v>25</v>
      </c>
      <c r="FG218" s="24" t="s">
        <v>32</v>
      </c>
      <c r="FH218" s="24">
        <v>0.81300000000000006</v>
      </c>
      <c r="FI218" s="24">
        <v>458</v>
      </c>
      <c r="FJ218" s="24">
        <v>212</v>
      </c>
      <c r="FK218" s="24">
        <v>258</v>
      </c>
      <c r="FN218" s="24">
        <v>2021</v>
      </c>
      <c r="FO218" s="24">
        <v>26</v>
      </c>
      <c r="FP218" s="24" t="s">
        <v>32</v>
      </c>
      <c r="FQ218" s="24">
        <v>30494</v>
      </c>
      <c r="FR218" s="24">
        <v>653.63333333333298</v>
      </c>
      <c r="FS218" s="24">
        <v>28407</v>
      </c>
      <c r="FT218" s="24">
        <v>304.61666666666702</v>
      </c>
      <c r="FW218" s="24">
        <v>2021</v>
      </c>
      <c r="FX218" s="24">
        <v>25</v>
      </c>
      <c r="FY218" s="24" t="s">
        <v>32</v>
      </c>
      <c r="FZ218" s="24">
        <v>1736</v>
      </c>
      <c r="GA218" s="24">
        <v>1620</v>
      </c>
      <c r="GB218" s="24"/>
      <c r="GC218" s="24"/>
      <c r="GD218" s="24">
        <v>2021</v>
      </c>
      <c r="GE218" s="24">
        <v>25</v>
      </c>
      <c r="GF218" s="24" t="s">
        <v>32</v>
      </c>
      <c r="GG218" s="24">
        <v>1803</v>
      </c>
      <c r="GH218" s="24">
        <v>1698</v>
      </c>
      <c r="GK218" s="24"/>
      <c r="GL218" s="24"/>
      <c r="GM218" s="24"/>
      <c r="GN218" s="24"/>
      <c r="GO218" s="24"/>
      <c r="GP218" s="24">
        <v>2021</v>
      </c>
      <c r="GQ218" s="24">
        <v>25</v>
      </c>
      <c r="GR218" s="24">
        <v>0.29899999999999999</v>
      </c>
      <c r="GS218" s="24" t="s">
        <v>32</v>
      </c>
      <c r="GX218">
        <v>2021</v>
      </c>
      <c r="GY218">
        <v>25</v>
      </c>
      <c r="GZ218" t="s">
        <v>32</v>
      </c>
      <c r="HA218">
        <v>12217</v>
      </c>
      <c r="HB218">
        <v>11856</v>
      </c>
      <c r="HC218">
        <v>0</v>
      </c>
      <c r="HD218">
        <v>2</v>
      </c>
      <c r="HE218">
        <v>0</v>
      </c>
      <c r="HF218">
        <v>49</v>
      </c>
      <c r="HG218">
        <v>0</v>
      </c>
      <c r="HH218">
        <v>0</v>
      </c>
      <c r="HI218">
        <v>41</v>
      </c>
      <c r="HL218">
        <v>2021</v>
      </c>
      <c r="HM218">
        <v>25</v>
      </c>
      <c r="HN218" t="s">
        <v>32</v>
      </c>
      <c r="HO218">
        <v>12284</v>
      </c>
      <c r="HP218">
        <v>12118</v>
      </c>
      <c r="HQ218">
        <v>0</v>
      </c>
      <c r="HR218">
        <v>1</v>
      </c>
      <c r="HS218">
        <v>0</v>
      </c>
      <c r="HT218">
        <v>84</v>
      </c>
      <c r="HU218">
        <v>0</v>
      </c>
      <c r="HV218">
        <v>0</v>
      </c>
      <c r="HW218">
        <v>19</v>
      </c>
      <c r="HZ218" s="24">
        <v>2021</v>
      </c>
      <c r="IA218" s="24">
        <v>25</v>
      </c>
      <c r="IB218" s="24" t="s">
        <v>32</v>
      </c>
      <c r="IC218" s="24">
        <v>1723</v>
      </c>
      <c r="ID218" s="24">
        <v>1589</v>
      </c>
      <c r="IG218" s="24">
        <v>2021</v>
      </c>
      <c r="IH218" s="24">
        <v>25</v>
      </c>
      <c r="II218" s="24" t="s">
        <v>32</v>
      </c>
      <c r="IJ218" s="24">
        <v>1781</v>
      </c>
      <c r="IK218" s="24">
        <v>1729</v>
      </c>
    </row>
    <row r="219" spans="9:245" x14ac:dyDescent="0.4">
      <c r="I219" s="305">
        <v>2021</v>
      </c>
      <c r="J219" s="306">
        <v>25</v>
      </c>
      <c r="K219" s="306" t="s">
        <v>32</v>
      </c>
      <c r="L219" s="306">
        <v>12212</v>
      </c>
      <c r="M219" s="306">
        <v>11770</v>
      </c>
      <c r="N219" s="306">
        <v>25</v>
      </c>
      <c r="O219" s="306">
        <v>177</v>
      </c>
      <c r="P219" s="306">
        <v>19</v>
      </c>
      <c r="Q219" s="306">
        <v>3</v>
      </c>
      <c r="R219" s="24"/>
      <c r="S219" s="24"/>
      <c r="T219" s="24"/>
      <c r="W219" s="24">
        <v>2021</v>
      </c>
      <c r="X219" s="24">
        <v>25</v>
      </c>
      <c r="Y219" s="24" t="s">
        <v>33</v>
      </c>
      <c r="Z219" s="24">
        <v>252016</v>
      </c>
      <c r="AA219" s="24">
        <v>233254</v>
      </c>
      <c r="AB219" s="24">
        <v>196</v>
      </c>
      <c r="AC219" s="24">
        <v>33</v>
      </c>
      <c r="AD219" s="24"/>
      <c r="AE219" s="24"/>
      <c r="AF219" s="24"/>
      <c r="AG219" s="24"/>
      <c r="AH219" s="24"/>
      <c r="AI219" s="24"/>
      <c r="AJ219" s="24"/>
      <c r="AK219" s="24">
        <v>2021</v>
      </c>
      <c r="AL219" s="24">
        <v>25</v>
      </c>
      <c r="AM219" s="24">
        <v>13943.65</v>
      </c>
      <c r="AN219" s="24">
        <v>1556.7</v>
      </c>
      <c r="AO219" s="24">
        <v>0</v>
      </c>
      <c r="AP219" s="24">
        <v>357</v>
      </c>
      <c r="AQ219" s="24">
        <v>0</v>
      </c>
      <c r="AR219" s="24">
        <v>1</v>
      </c>
      <c r="AS219" s="24" t="s">
        <v>33</v>
      </c>
      <c r="AT219" s="24"/>
      <c r="AU219" s="24">
        <v>2021</v>
      </c>
      <c r="AV219" s="24">
        <v>25</v>
      </c>
      <c r="AW219" s="24">
        <v>0.06</v>
      </c>
      <c r="AX219" s="24">
        <v>14900</v>
      </c>
      <c r="AY219" s="24">
        <v>260779</v>
      </c>
      <c r="AZ219" s="24" t="s">
        <v>33</v>
      </c>
      <c r="BA219" s="24"/>
      <c r="BB219" s="24"/>
      <c r="BC219" s="24">
        <v>2021</v>
      </c>
      <c r="BD219" s="24">
        <v>25</v>
      </c>
      <c r="BE219" s="24">
        <v>1971.6427142857099</v>
      </c>
      <c r="BF219" s="24" t="s">
        <v>33</v>
      </c>
      <c r="BG219" s="24"/>
      <c r="BI219" s="24">
        <v>2022</v>
      </c>
      <c r="BJ219" s="24">
        <v>17</v>
      </c>
      <c r="BK219" s="24" t="s">
        <v>32</v>
      </c>
      <c r="BL219" s="24" t="s">
        <v>273</v>
      </c>
      <c r="BM219" s="24">
        <v>7607</v>
      </c>
      <c r="BN219" s="24">
        <v>7560</v>
      </c>
      <c r="BO219" s="24">
        <v>7712</v>
      </c>
      <c r="BR219" s="24">
        <v>2021</v>
      </c>
      <c r="BS219" s="24">
        <v>25</v>
      </c>
      <c r="BT219" s="24">
        <v>12354</v>
      </c>
      <c r="BU219" s="24">
        <v>0</v>
      </c>
      <c r="BV219" s="24" t="s">
        <v>32</v>
      </c>
      <c r="BY219" s="24">
        <v>2021</v>
      </c>
      <c r="BZ219" s="24">
        <v>23</v>
      </c>
      <c r="CA219" s="24" t="s">
        <v>32</v>
      </c>
      <c r="CB219" s="24" t="s">
        <v>423</v>
      </c>
      <c r="CC219" s="24">
        <v>35</v>
      </c>
      <c r="CF219" s="24">
        <v>2021</v>
      </c>
      <c r="CG219" s="24">
        <v>25</v>
      </c>
      <c r="CH219" s="24" t="s">
        <v>33</v>
      </c>
      <c r="CI219" s="24">
        <v>136.71871331298428</v>
      </c>
      <c r="CJ219" s="24">
        <v>232914</v>
      </c>
      <c r="CK219" s="24">
        <v>1703.6</v>
      </c>
      <c r="CL219" s="24">
        <v>89.031010606953444</v>
      </c>
      <c r="CM219" s="24">
        <v>126797</v>
      </c>
      <c r="CN219" s="24">
        <v>241737</v>
      </c>
      <c r="CO219" s="24">
        <v>2715.2</v>
      </c>
      <c r="CP219" s="24">
        <v>45719</v>
      </c>
      <c r="CQ219" s="24">
        <v>299.89999999999998</v>
      </c>
      <c r="CR219" s="24">
        <v>1059.4000000000001</v>
      </c>
      <c r="CS219" s="24">
        <v>203425</v>
      </c>
      <c r="CT219" s="24">
        <v>203425</v>
      </c>
      <c r="CU219" s="24">
        <v>1435.7</v>
      </c>
      <c r="CV219" s="24">
        <v>38710</v>
      </c>
      <c r="CW219" s="24">
        <v>0</v>
      </c>
      <c r="CX219" s="24">
        <v>192293</v>
      </c>
      <c r="CY219" s="24">
        <v>575.70000000000005</v>
      </c>
      <c r="CZ219" s="24">
        <v>34281</v>
      </c>
      <c r="DA219" s="24">
        <v>1059.4000000000001</v>
      </c>
      <c r="DD219" s="24">
        <v>2021</v>
      </c>
      <c r="DE219" s="24">
        <v>25</v>
      </c>
      <c r="DF219" s="24" t="s">
        <v>33</v>
      </c>
      <c r="DG219" s="24">
        <v>36587</v>
      </c>
      <c r="DH219" s="24">
        <v>36583</v>
      </c>
      <c r="DJ219" s="24">
        <v>2021</v>
      </c>
      <c r="DK219" s="24">
        <v>24</v>
      </c>
      <c r="DL219" s="24" t="s">
        <v>213</v>
      </c>
      <c r="DM219" s="24">
        <v>4</v>
      </c>
      <c r="DP219" s="24">
        <v>2020</v>
      </c>
      <c r="DQ219" s="24">
        <v>7</v>
      </c>
      <c r="DR219" s="24" t="s">
        <v>33</v>
      </c>
      <c r="DS219" s="24">
        <v>10866</v>
      </c>
      <c r="DT219" s="24"/>
      <c r="DW219" s="24">
        <v>2022</v>
      </c>
      <c r="DX219" s="24">
        <v>2</v>
      </c>
      <c r="DY219" s="24" t="s">
        <v>33</v>
      </c>
      <c r="DZ219" s="24">
        <v>9</v>
      </c>
      <c r="EA219" s="24" t="s">
        <v>562</v>
      </c>
      <c r="EB219" s="24">
        <v>131.19999999999999</v>
      </c>
      <c r="EC219" s="24">
        <v>0</v>
      </c>
      <c r="ED219" s="24">
        <v>7</v>
      </c>
      <c r="EE219" s="24">
        <v>5385</v>
      </c>
      <c r="EF219" s="24">
        <v>24</v>
      </c>
      <c r="EI219" s="24">
        <v>2023</v>
      </c>
      <c r="EJ219" s="24">
        <v>4</v>
      </c>
      <c r="EK219" s="24" t="s">
        <v>237</v>
      </c>
      <c r="EL219" s="24" t="s">
        <v>241</v>
      </c>
      <c r="EM219" s="24" t="s">
        <v>210</v>
      </c>
      <c r="EN219" s="24">
        <v>232</v>
      </c>
      <c r="EO219" s="24"/>
      <c r="EP219" s="24"/>
      <c r="EQ219" s="24"/>
      <c r="ER219" s="24"/>
      <c r="ES219" s="24">
        <v>2021</v>
      </c>
      <c r="ET219" s="24">
        <v>38</v>
      </c>
      <c r="EU219" s="24" t="s">
        <v>33</v>
      </c>
      <c r="EV219" s="24">
        <v>131100</v>
      </c>
      <c r="EY219" s="24">
        <v>2021</v>
      </c>
      <c r="EZ219" s="24">
        <v>28</v>
      </c>
      <c r="FA219" s="24" t="s">
        <v>32</v>
      </c>
      <c r="FB219" s="24">
        <v>642</v>
      </c>
      <c r="FE219" s="24">
        <v>2021</v>
      </c>
      <c r="FF219" s="24">
        <v>25</v>
      </c>
      <c r="FG219" s="24" t="s">
        <v>33</v>
      </c>
      <c r="FH219" s="24">
        <v>0.9294</v>
      </c>
      <c r="FI219" s="24">
        <v>14282</v>
      </c>
      <c r="FJ219" s="24">
        <v>6409</v>
      </c>
      <c r="FK219" s="24">
        <v>6965</v>
      </c>
      <c r="FN219" s="24">
        <v>2021</v>
      </c>
      <c r="FO219" s="24">
        <v>26</v>
      </c>
      <c r="FP219" s="24" t="s">
        <v>33</v>
      </c>
      <c r="FQ219" s="24">
        <v>883672</v>
      </c>
      <c r="FR219" s="24">
        <v>6966.3833333333296</v>
      </c>
      <c r="FS219" s="24">
        <v>475785</v>
      </c>
      <c r="FT219" s="24">
        <v>2480.6000000000004</v>
      </c>
      <c r="FW219" s="24">
        <v>2021</v>
      </c>
      <c r="FX219" s="24">
        <v>25</v>
      </c>
      <c r="FY219" s="24" t="s">
        <v>33</v>
      </c>
      <c r="FZ219" s="24">
        <v>11524</v>
      </c>
      <c r="GA219" s="24">
        <v>11064</v>
      </c>
      <c r="GB219" s="24"/>
      <c r="GC219" s="24"/>
      <c r="GD219" s="24">
        <v>2021</v>
      </c>
      <c r="GE219" s="24">
        <v>25</v>
      </c>
      <c r="GF219" s="24" t="s">
        <v>33</v>
      </c>
      <c r="GG219" s="24">
        <v>11497</v>
      </c>
      <c r="GH219" s="24">
        <v>11258</v>
      </c>
      <c r="GK219" s="24"/>
      <c r="GL219" s="24"/>
      <c r="GM219" s="24"/>
      <c r="GN219" s="24"/>
      <c r="GO219" s="24"/>
      <c r="GP219" s="24">
        <v>2021</v>
      </c>
      <c r="GQ219" s="24">
        <v>25</v>
      </c>
      <c r="GR219" s="24">
        <v>4.8257142857142901</v>
      </c>
      <c r="GS219" s="24" t="s">
        <v>33</v>
      </c>
      <c r="GX219">
        <v>2021</v>
      </c>
      <c r="GY219">
        <v>25</v>
      </c>
      <c r="GZ219" t="s">
        <v>33</v>
      </c>
      <c r="HA219">
        <v>252702</v>
      </c>
      <c r="HB219">
        <v>235891</v>
      </c>
      <c r="HC219">
        <v>866</v>
      </c>
      <c r="HD219">
        <v>1101</v>
      </c>
      <c r="HE219">
        <v>1</v>
      </c>
      <c r="HF219">
        <v>7825</v>
      </c>
      <c r="HG219">
        <v>0</v>
      </c>
      <c r="HH219">
        <v>0</v>
      </c>
      <c r="HI219">
        <v>2259</v>
      </c>
      <c r="HL219">
        <v>2021</v>
      </c>
      <c r="HM219">
        <v>25</v>
      </c>
      <c r="HN219" t="s">
        <v>33</v>
      </c>
      <c r="HO219">
        <v>251621</v>
      </c>
      <c r="HP219">
        <v>239240</v>
      </c>
      <c r="HQ219">
        <v>952</v>
      </c>
      <c r="HR219">
        <v>812</v>
      </c>
      <c r="HS219">
        <v>1</v>
      </c>
      <c r="HT219">
        <v>7671</v>
      </c>
      <c r="HU219">
        <v>0</v>
      </c>
      <c r="HV219">
        <v>0</v>
      </c>
      <c r="HW219">
        <v>1491</v>
      </c>
      <c r="HZ219" s="24">
        <v>2021</v>
      </c>
      <c r="IA219" s="24">
        <v>25</v>
      </c>
      <c r="IB219" s="24" t="s">
        <v>33</v>
      </c>
      <c r="IC219" s="24">
        <v>11316</v>
      </c>
      <c r="ID219" s="24">
        <v>10830</v>
      </c>
      <c r="IG219" s="24">
        <v>2021</v>
      </c>
      <c r="IH219" s="24">
        <v>25</v>
      </c>
      <c r="II219" s="24" t="s">
        <v>33</v>
      </c>
      <c r="IJ219" s="24">
        <v>11001</v>
      </c>
      <c r="IK219" s="24">
        <v>10873</v>
      </c>
    </row>
    <row r="220" spans="9:245" x14ac:dyDescent="0.4">
      <c r="I220" s="305">
        <v>2021</v>
      </c>
      <c r="J220" s="306">
        <v>25</v>
      </c>
      <c r="K220" s="306" t="s">
        <v>33</v>
      </c>
      <c r="L220" s="306">
        <v>252266</v>
      </c>
      <c r="M220" s="306">
        <v>231074</v>
      </c>
      <c r="N220" s="306">
        <v>1136</v>
      </c>
      <c r="O220" s="306">
        <v>4506</v>
      </c>
      <c r="P220" s="306">
        <v>324</v>
      </c>
      <c r="Q220" s="306">
        <v>54</v>
      </c>
      <c r="R220" s="24"/>
      <c r="S220" s="24"/>
      <c r="T220" s="24"/>
      <c r="W220" s="24">
        <v>2021</v>
      </c>
      <c r="X220" s="24">
        <v>24</v>
      </c>
      <c r="Y220" s="24" t="s">
        <v>32</v>
      </c>
      <c r="Z220" s="24">
        <v>12621</v>
      </c>
      <c r="AA220" s="24">
        <v>12481</v>
      </c>
      <c r="AB220" s="24">
        <v>18</v>
      </c>
      <c r="AC220" s="24">
        <v>4</v>
      </c>
      <c r="AD220" s="24"/>
      <c r="AE220" s="24"/>
      <c r="AF220" s="24"/>
      <c r="AG220" s="24"/>
      <c r="AH220" s="24"/>
      <c r="AI220" s="24"/>
      <c r="AJ220" s="24"/>
      <c r="AK220" s="24">
        <v>2021</v>
      </c>
      <c r="AL220" s="24">
        <v>24</v>
      </c>
      <c r="AM220" s="24">
        <v>855.30000000000007</v>
      </c>
      <c r="AN220" s="24">
        <v>63.370000000000005</v>
      </c>
      <c r="AO220" s="24">
        <v>0</v>
      </c>
      <c r="AP220" s="24">
        <v>21</v>
      </c>
      <c r="AQ220" s="24">
        <v>0</v>
      </c>
      <c r="AR220" s="24">
        <v>0</v>
      </c>
      <c r="AS220" s="24" t="s">
        <v>32</v>
      </c>
      <c r="AT220" s="24"/>
      <c r="AU220" s="24">
        <v>2021</v>
      </c>
      <c r="AV220" s="24">
        <v>24</v>
      </c>
      <c r="AW220" s="24">
        <v>0.09</v>
      </c>
      <c r="AX220" s="24">
        <v>1200</v>
      </c>
      <c r="AY220" s="24">
        <v>13017</v>
      </c>
      <c r="AZ220" s="24" t="s">
        <v>32</v>
      </c>
      <c r="BA220" s="24"/>
      <c r="BB220" s="24"/>
      <c r="BC220" s="24">
        <v>2021</v>
      </c>
      <c r="BD220" s="24">
        <v>24</v>
      </c>
      <c r="BE220" s="24">
        <v>155.420285714286</v>
      </c>
      <c r="BF220" s="24" t="s">
        <v>32</v>
      </c>
      <c r="BG220" s="24"/>
      <c r="BI220" s="24">
        <v>2022</v>
      </c>
      <c r="BJ220" s="24">
        <v>17</v>
      </c>
      <c r="BK220" s="24" t="s">
        <v>32</v>
      </c>
      <c r="BL220" s="24" t="s">
        <v>272</v>
      </c>
      <c r="BM220" s="24">
        <v>3308</v>
      </c>
      <c r="BN220" s="24">
        <v>3306</v>
      </c>
      <c r="BO220" s="24">
        <v>11420</v>
      </c>
      <c r="BR220" s="24">
        <v>2021</v>
      </c>
      <c r="BS220" s="24">
        <v>24</v>
      </c>
      <c r="BT220" s="24">
        <v>12940</v>
      </c>
      <c r="BU220" s="24">
        <v>0</v>
      </c>
      <c r="BV220" s="24" t="s">
        <v>32</v>
      </c>
      <c r="BY220" s="24">
        <v>2021</v>
      </c>
      <c r="BZ220" s="24">
        <v>23</v>
      </c>
      <c r="CA220" s="24" t="s">
        <v>33</v>
      </c>
      <c r="CB220" s="24" t="s">
        <v>108</v>
      </c>
      <c r="CC220" s="24">
        <v>2</v>
      </c>
      <c r="CF220" s="24">
        <v>2021</v>
      </c>
      <c r="CG220" s="24">
        <v>24</v>
      </c>
      <c r="CH220" s="24" t="s">
        <v>32</v>
      </c>
      <c r="CI220" s="24">
        <v>135.08302583025829</v>
      </c>
      <c r="CJ220" s="24">
        <v>14643</v>
      </c>
      <c r="CK220" s="24">
        <v>108.4</v>
      </c>
      <c r="CL220" s="24">
        <v>47.99742433998712</v>
      </c>
      <c r="CM220" s="24">
        <v>7802</v>
      </c>
      <c r="CN220" s="24">
        <v>14908</v>
      </c>
      <c r="CO220" s="24">
        <v>310.60000000000002</v>
      </c>
      <c r="CP220" s="24">
        <v>10451</v>
      </c>
      <c r="CQ220" s="24">
        <v>51.7</v>
      </c>
      <c r="CR220" s="24">
        <v>248.5</v>
      </c>
      <c r="CS220" s="24">
        <v>14041</v>
      </c>
      <c r="CT220" s="24">
        <v>14041</v>
      </c>
      <c r="CU220" s="24">
        <v>328.9</v>
      </c>
      <c r="CV220" s="24">
        <v>1807</v>
      </c>
      <c r="CW220" s="24">
        <v>0</v>
      </c>
      <c r="CX220" s="24">
        <v>10521</v>
      </c>
      <c r="CY220" s="24">
        <v>34.299999999999997</v>
      </c>
      <c r="CZ220" s="24">
        <v>8372</v>
      </c>
      <c r="DA220" s="24">
        <v>248.5</v>
      </c>
      <c r="DD220" s="24">
        <v>2021</v>
      </c>
      <c r="DE220" s="24">
        <v>24</v>
      </c>
      <c r="DF220" s="24" t="s">
        <v>32</v>
      </c>
      <c r="DG220" s="24">
        <v>1646</v>
      </c>
      <c r="DH220" s="24">
        <v>2105</v>
      </c>
      <c r="DJ220" s="24">
        <v>2021</v>
      </c>
      <c r="DK220" s="24">
        <v>23</v>
      </c>
      <c r="DL220" s="24" t="s">
        <v>32</v>
      </c>
      <c r="DM220" s="24">
        <v>17</v>
      </c>
      <c r="DP220" s="24">
        <v>2020</v>
      </c>
      <c r="DQ220" s="24">
        <v>6</v>
      </c>
      <c r="DR220" s="24" t="s">
        <v>33</v>
      </c>
      <c r="DS220" s="24">
        <v>9634</v>
      </c>
      <c r="DT220" s="24"/>
      <c r="DW220" s="24">
        <v>2022</v>
      </c>
      <c r="DX220" s="24">
        <v>2</v>
      </c>
      <c r="DY220" s="24" t="s">
        <v>33</v>
      </c>
      <c r="DZ220" s="24">
        <v>42</v>
      </c>
      <c r="EA220" s="24" t="s">
        <v>149</v>
      </c>
      <c r="EB220" s="24">
        <v>140.4</v>
      </c>
      <c r="EC220" s="24">
        <v>1069.8</v>
      </c>
      <c r="ED220" s="24">
        <v>32425</v>
      </c>
      <c r="EE220" s="24">
        <v>36928</v>
      </c>
      <c r="EF220" s="24">
        <v>90.4</v>
      </c>
      <c r="EI220" s="24">
        <v>2023</v>
      </c>
      <c r="EJ220" s="24">
        <v>4</v>
      </c>
      <c r="EK220" s="24" t="s">
        <v>211</v>
      </c>
      <c r="EL220" s="24" t="s">
        <v>555</v>
      </c>
      <c r="EM220" s="24" t="s">
        <v>210</v>
      </c>
      <c r="EN220" s="24">
        <v>2</v>
      </c>
      <c r="EO220" s="24"/>
      <c r="EP220" s="24"/>
      <c r="EQ220" s="24"/>
      <c r="ER220" s="24"/>
      <c r="ES220" s="24">
        <v>2021</v>
      </c>
      <c r="ET220" s="24">
        <v>38</v>
      </c>
      <c r="EU220" s="24" t="s">
        <v>213</v>
      </c>
      <c r="EV220" s="24">
        <v>3</v>
      </c>
      <c r="EY220" s="24">
        <v>2021</v>
      </c>
      <c r="EZ220" s="24">
        <v>28</v>
      </c>
      <c r="FA220" s="24" t="s">
        <v>33</v>
      </c>
      <c r="FB220" s="24">
        <v>741</v>
      </c>
      <c r="FE220" s="24">
        <v>2021</v>
      </c>
      <c r="FF220" s="24">
        <v>24</v>
      </c>
      <c r="FG220" s="24" t="s">
        <v>32</v>
      </c>
      <c r="FH220" s="24">
        <v>0.9205000000000001</v>
      </c>
      <c r="FI220" s="24">
        <v>445</v>
      </c>
      <c r="FJ220" s="24">
        <v>206</v>
      </c>
      <c r="FK220" s="24">
        <v>225</v>
      </c>
      <c r="FN220" s="24">
        <v>2021</v>
      </c>
      <c r="FO220" s="24">
        <v>25</v>
      </c>
      <c r="FP220" s="24" t="s">
        <v>32</v>
      </c>
      <c r="FQ220" s="24">
        <v>30476</v>
      </c>
      <c r="FR220" s="24">
        <v>612.66666666666697</v>
      </c>
      <c r="FS220" s="24">
        <v>29812</v>
      </c>
      <c r="FT220" s="24">
        <v>338.26666666666699</v>
      </c>
      <c r="FW220" s="24">
        <v>2021</v>
      </c>
      <c r="FX220" s="24">
        <v>24</v>
      </c>
      <c r="FY220" s="24" t="s">
        <v>32</v>
      </c>
      <c r="FZ220" s="24">
        <v>1710</v>
      </c>
      <c r="GA220" s="24">
        <v>1659</v>
      </c>
      <c r="GB220" s="24"/>
      <c r="GC220" s="24"/>
      <c r="GD220" s="24">
        <v>2021</v>
      </c>
      <c r="GE220" s="24">
        <v>24</v>
      </c>
      <c r="GF220" s="24" t="s">
        <v>32</v>
      </c>
      <c r="GG220" s="24">
        <v>1682</v>
      </c>
      <c r="GH220" s="24">
        <v>1645</v>
      </c>
      <c r="GK220" s="24"/>
      <c r="GL220" s="24"/>
      <c r="GM220" s="24"/>
      <c r="GN220" s="24"/>
      <c r="GO220" s="24"/>
      <c r="GP220" s="24">
        <v>2021</v>
      </c>
      <c r="GQ220" s="24">
        <v>24</v>
      </c>
      <c r="GR220" s="24">
        <v>1.6990000000000001</v>
      </c>
      <c r="GS220" s="24" t="s">
        <v>32</v>
      </c>
      <c r="GX220">
        <v>2021</v>
      </c>
      <c r="GY220">
        <v>24</v>
      </c>
      <c r="GZ220" t="s">
        <v>32</v>
      </c>
      <c r="HA220">
        <v>12734</v>
      </c>
      <c r="HB220">
        <v>12411</v>
      </c>
      <c r="HC220">
        <v>0</v>
      </c>
      <c r="HD220">
        <v>4</v>
      </c>
      <c r="HE220">
        <v>0</v>
      </c>
      <c r="HF220">
        <v>51</v>
      </c>
      <c r="HG220">
        <v>0</v>
      </c>
      <c r="HH220">
        <v>0</v>
      </c>
      <c r="HI220">
        <v>37</v>
      </c>
      <c r="HL220">
        <v>2021</v>
      </c>
      <c r="HM220">
        <v>24</v>
      </c>
      <c r="HN220" t="s">
        <v>32</v>
      </c>
      <c r="HO220">
        <v>12601</v>
      </c>
      <c r="HP220">
        <v>12472</v>
      </c>
      <c r="HQ220">
        <v>1</v>
      </c>
      <c r="HR220">
        <v>2</v>
      </c>
      <c r="HS220">
        <v>1</v>
      </c>
      <c r="HT220">
        <v>68</v>
      </c>
      <c r="HU220">
        <v>0</v>
      </c>
      <c r="HV220">
        <v>0</v>
      </c>
      <c r="HW220">
        <v>4</v>
      </c>
      <c r="HZ220" s="24">
        <v>2021</v>
      </c>
      <c r="IA220" s="24">
        <v>24</v>
      </c>
      <c r="IB220" s="24" t="s">
        <v>32</v>
      </c>
      <c r="IC220" s="24">
        <v>1717</v>
      </c>
      <c r="ID220" s="24">
        <v>1592</v>
      </c>
      <c r="IG220" s="24">
        <v>2021</v>
      </c>
      <c r="IH220" s="24">
        <v>24</v>
      </c>
      <c r="II220" s="24" t="s">
        <v>32</v>
      </c>
      <c r="IJ220" s="24">
        <v>1660</v>
      </c>
      <c r="IK220" s="24">
        <v>1615</v>
      </c>
    </row>
    <row r="221" spans="9:245" x14ac:dyDescent="0.4">
      <c r="I221" s="305">
        <v>2021</v>
      </c>
      <c r="J221" s="306">
        <v>24</v>
      </c>
      <c r="K221" s="306" t="s">
        <v>32</v>
      </c>
      <c r="L221" s="306">
        <v>12673</v>
      </c>
      <c r="M221" s="306">
        <v>12468</v>
      </c>
      <c r="N221" s="306">
        <v>18</v>
      </c>
      <c r="O221" s="306">
        <v>95</v>
      </c>
      <c r="P221" s="306">
        <v>21</v>
      </c>
      <c r="Q221" s="306">
        <v>5</v>
      </c>
      <c r="R221" s="24"/>
      <c r="S221" s="24"/>
      <c r="T221" s="24"/>
      <c r="W221" s="24">
        <v>2021</v>
      </c>
      <c r="X221" s="24">
        <v>24</v>
      </c>
      <c r="Y221" s="24" t="s">
        <v>33</v>
      </c>
      <c r="Z221" s="24">
        <v>245243</v>
      </c>
      <c r="AA221" s="24">
        <v>236879</v>
      </c>
      <c r="AB221" s="24">
        <v>189</v>
      </c>
      <c r="AC221" s="24">
        <v>33</v>
      </c>
      <c r="AD221" s="24"/>
      <c r="AE221" s="24"/>
      <c r="AF221" s="24"/>
      <c r="AG221" s="24"/>
      <c r="AH221" s="24"/>
      <c r="AI221" s="24"/>
      <c r="AJ221" s="24"/>
      <c r="AK221" s="24">
        <v>2021</v>
      </c>
      <c r="AL221" s="24">
        <v>24</v>
      </c>
      <c r="AM221" s="24">
        <v>14206.83</v>
      </c>
      <c r="AN221" s="24">
        <v>1431.03</v>
      </c>
      <c r="AO221" s="24">
        <v>0</v>
      </c>
      <c r="AP221" s="24">
        <v>360</v>
      </c>
      <c r="AQ221" s="24">
        <v>0</v>
      </c>
      <c r="AR221" s="24">
        <v>5</v>
      </c>
      <c r="AS221" s="24" t="s">
        <v>33</v>
      </c>
      <c r="AT221" s="24"/>
      <c r="AU221" s="24">
        <v>2021</v>
      </c>
      <c r="AV221" s="24">
        <v>24</v>
      </c>
      <c r="AW221" s="24">
        <v>7.0000000000000007E-2</v>
      </c>
      <c r="AX221" s="24">
        <v>17200</v>
      </c>
      <c r="AY221" s="24">
        <v>246608</v>
      </c>
      <c r="AZ221" s="24" t="s">
        <v>33</v>
      </c>
      <c r="BA221" s="24"/>
      <c r="BB221" s="24"/>
      <c r="BC221" s="24">
        <v>2021</v>
      </c>
      <c r="BD221" s="24">
        <v>24</v>
      </c>
      <c r="BE221" s="24">
        <v>1909.3951428571399</v>
      </c>
      <c r="BF221" s="24" t="s">
        <v>33</v>
      </c>
      <c r="BG221" s="24"/>
      <c r="BI221" s="24">
        <v>2022</v>
      </c>
      <c r="BJ221" s="24">
        <v>17</v>
      </c>
      <c r="BK221" s="24" t="s">
        <v>33</v>
      </c>
      <c r="BL221" s="24" t="s">
        <v>273</v>
      </c>
      <c r="BM221" s="24">
        <v>122772</v>
      </c>
      <c r="BN221" s="24">
        <v>122021</v>
      </c>
      <c r="BO221" s="24">
        <v>125961</v>
      </c>
      <c r="BR221" s="24">
        <v>2021</v>
      </c>
      <c r="BS221" s="24">
        <v>24</v>
      </c>
      <c r="BT221" s="24">
        <v>245708</v>
      </c>
      <c r="BU221" s="24">
        <v>4</v>
      </c>
      <c r="BV221" s="24" t="s">
        <v>33</v>
      </c>
      <c r="BY221" s="24">
        <v>2021</v>
      </c>
      <c r="BZ221" s="24">
        <v>23</v>
      </c>
      <c r="CA221" s="24" t="s">
        <v>33</v>
      </c>
      <c r="CB221" s="24" t="s">
        <v>423</v>
      </c>
      <c r="CC221" s="24">
        <v>48</v>
      </c>
      <c r="CF221" s="24">
        <v>2021</v>
      </c>
      <c r="CG221" s="24">
        <v>24</v>
      </c>
      <c r="CH221" s="24" t="s">
        <v>33</v>
      </c>
      <c r="CI221" s="24">
        <v>139.33574052169581</v>
      </c>
      <c r="CJ221" s="24">
        <v>223815</v>
      </c>
      <c r="CK221" s="24">
        <v>1606.3</v>
      </c>
      <c r="CL221" s="24">
        <v>86.702472042377863</v>
      </c>
      <c r="CM221" s="24">
        <v>126349</v>
      </c>
      <c r="CN221" s="24">
        <v>235692</v>
      </c>
      <c r="CO221" s="24">
        <v>2718.4</v>
      </c>
      <c r="CP221" s="24">
        <v>53618</v>
      </c>
      <c r="CQ221" s="24">
        <v>298.10000000000002</v>
      </c>
      <c r="CR221" s="24">
        <v>1307.8</v>
      </c>
      <c r="CS221" s="24">
        <v>178950</v>
      </c>
      <c r="CT221" s="24">
        <v>178950</v>
      </c>
      <c r="CU221" s="24">
        <v>1495.7</v>
      </c>
      <c r="CV221" s="24">
        <v>46419</v>
      </c>
      <c r="CW221" s="24">
        <v>0</v>
      </c>
      <c r="CX221" s="24">
        <v>153867</v>
      </c>
      <c r="CY221" s="24">
        <v>610.6</v>
      </c>
      <c r="CZ221" s="24">
        <v>44629</v>
      </c>
      <c r="DA221" s="24">
        <v>1307.8</v>
      </c>
      <c r="DD221" s="24">
        <v>2021</v>
      </c>
      <c r="DE221" s="24">
        <v>24</v>
      </c>
      <c r="DF221" s="24" t="s">
        <v>33</v>
      </c>
      <c r="DG221" s="24">
        <v>28113</v>
      </c>
      <c r="DH221" s="24">
        <v>32847</v>
      </c>
      <c r="DJ221" s="24">
        <v>2021</v>
      </c>
      <c r="DK221" s="24">
        <v>23</v>
      </c>
      <c r="DL221" s="24" t="s">
        <v>33</v>
      </c>
      <c r="DM221" s="24">
        <v>923</v>
      </c>
      <c r="DP221" s="24">
        <v>2020</v>
      </c>
      <c r="DQ221" s="24">
        <v>5</v>
      </c>
      <c r="DR221" s="24" t="s">
        <v>33</v>
      </c>
      <c r="DS221" s="24">
        <v>7435</v>
      </c>
      <c r="DT221" s="24"/>
      <c r="DW221" s="24">
        <v>2022</v>
      </c>
      <c r="DX221" s="24">
        <v>1</v>
      </c>
      <c r="DY221" s="24" t="s">
        <v>32</v>
      </c>
      <c r="DZ221" s="24">
        <v>1</v>
      </c>
      <c r="EA221" s="24" t="s">
        <v>149</v>
      </c>
      <c r="EB221" s="24">
        <v>0</v>
      </c>
      <c r="EC221" s="24">
        <v>0</v>
      </c>
      <c r="ED221" s="24">
        <v>114</v>
      </c>
      <c r="EE221" s="24">
        <v>25</v>
      </c>
      <c r="EF221" s="24">
        <v>2.6</v>
      </c>
      <c r="EI221" s="24">
        <v>2023</v>
      </c>
      <c r="EJ221" s="24">
        <v>4</v>
      </c>
      <c r="EK221" s="24" t="s">
        <v>211</v>
      </c>
      <c r="EL221" s="24" t="s">
        <v>232</v>
      </c>
      <c r="EM221" s="24" t="s">
        <v>234</v>
      </c>
      <c r="EN221" s="24">
        <v>1</v>
      </c>
      <c r="EO221" s="24"/>
      <c r="EP221" s="24"/>
      <c r="EQ221" s="24"/>
      <c r="ER221" s="24"/>
      <c r="ES221" s="24">
        <v>2021</v>
      </c>
      <c r="ET221" s="24">
        <v>37</v>
      </c>
      <c r="EU221" s="24" t="s">
        <v>32</v>
      </c>
      <c r="EV221" s="24">
        <v>5956</v>
      </c>
      <c r="EY221" s="24">
        <v>2021</v>
      </c>
      <c r="EZ221" s="24">
        <v>27</v>
      </c>
      <c r="FA221" s="24" t="s">
        <v>32</v>
      </c>
      <c r="FB221" s="24">
        <v>521</v>
      </c>
      <c r="FE221" s="24">
        <v>2021</v>
      </c>
      <c r="FF221" s="24">
        <v>24</v>
      </c>
      <c r="FG221" s="24" t="s">
        <v>33</v>
      </c>
      <c r="FH221" s="24">
        <v>0.95369999999999999</v>
      </c>
      <c r="FI221" s="24">
        <v>12976</v>
      </c>
      <c r="FJ221" s="24">
        <v>5849</v>
      </c>
      <c r="FK221" s="24">
        <v>6179</v>
      </c>
      <c r="FN221" s="24">
        <v>2021</v>
      </c>
      <c r="FO221" s="24">
        <v>25</v>
      </c>
      <c r="FP221" s="24" t="s">
        <v>33</v>
      </c>
      <c r="FQ221" s="24">
        <v>814893</v>
      </c>
      <c r="FR221" s="24">
        <v>6442.1500000000005</v>
      </c>
      <c r="FS221" s="24">
        <v>485288</v>
      </c>
      <c r="FT221" s="24">
        <v>2371.4166666666697</v>
      </c>
      <c r="FW221" s="24">
        <v>2021</v>
      </c>
      <c r="FX221" s="24">
        <v>24</v>
      </c>
      <c r="FY221" s="24" t="s">
        <v>33</v>
      </c>
      <c r="FZ221" s="24">
        <v>10389</v>
      </c>
      <c r="GA221" s="24">
        <v>9820</v>
      </c>
      <c r="GB221" s="24"/>
      <c r="GC221" s="24"/>
      <c r="GD221" s="24">
        <v>2021</v>
      </c>
      <c r="GE221" s="24">
        <v>24</v>
      </c>
      <c r="GF221" s="24" t="s">
        <v>33</v>
      </c>
      <c r="GG221" s="24">
        <v>10486</v>
      </c>
      <c r="GH221" s="24">
        <v>10072</v>
      </c>
      <c r="GK221" s="24"/>
      <c r="GL221" s="24"/>
      <c r="GM221" s="24"/>
      <c r="GN221" s="24"/>
      <c r="GO221" s="24"/>
      <c r="GP221" s="24">
        <v>2021</v>
      </c>
      <c r="GQ221" s="24">
        <v>24</v>
      </c>
      <c r="GR221" s="24">
        <v>5.476</v>
      </c>
      <c r="GS221" s="24" t="s">
        <v>33</v>
      </c>
      <c r="GX221">
        <v>2021</v>
      </c>
      <c r="GY221">
        <v>24</v>
      </c>
      <c r="GZ221" t="s">
        <v>33</v>
      </c>
      <c r="HA221">
        <v>241981</v>
      </c>
      <c r="HB221">
        <v>231529</v>
      </c>
      <c r="HC221">
        <v>715</v>
      </c>
      <c r="HD221">
        <v>575</v>
      </c>
      <c r="HE221">
        <v>0</v>
      </c>
      <c r="HF221">
        <v>5400</v>
      </c>
      <c r="HG221">
        <v>0</v>
      </c>
      <c r="HH221">
        <v>0</v>
      </c>
      <c r="HI221">
        <v>1353</v>
      </c>
      <c r="HL221">
        <v>2021</v>
      </c>
      <c r="HM221">
        <v>24</v>
      </c>
      <c r="HN221" t="s">
        <v>33</v>
      </c>
      <c r="HO221">
        <v>244851</v>
      </c>
      <c r="HP221">
        <v>238667</v>
      </c>
      <c r="HQ221">
        <v>818</v>
      </c>
      <c r="HR221">
        <v>395</v>
      </c>
      <c r="HS221">
        <v>0</v>
      </c>
      <c r="HT221">
        <v>5406</v>
      </c>
      <c r="HU221">
        <v>0</v>
      </c>
      <c r="HV221">
        <v>0</v>
      </c>
      <c r="HW221">
        <v>502</v>
      </c>
      <c r="HZ221" s="24">
        <v>2021</v>
      </c>
      <c r="IA221" s="24">
        <v>24</v>
      </c>
      <c r="IB221" s="24" t="s">
        <v>33</v>
      </c>
      <c r="IC221" s="24">
        <v>10344</v>
      </c>
      <c r="ID221" s="24">
        <v>9677</v>
      </c>
      <c r="IG221" s="24">
        <v>2021</v>
      </c>
      <c r="IH221" s="24">
        <v>24</v>
      </c>
      <c r="II221" s="24" t="s">
        <v>33</v>
      </c>
      <c r="IJ221" s="24">
        <v>9938</v>
      </c>
      <c r="IK221" s="24">
        <v>9675</v>
      </c>
    </row>
    <row r="222" spans="9:245" x14ac:dyDescent="0.4">
      <c r="I222" s="305">
        <v>2021</v>
      </c>
      <c r="J222" s="306">
        <v>24</v>
      </c>
      <c r="K222" s="306" t="s">
        <v>33</v>
      </c>
      <c r="L222" s="306">
        <v>244723</v>
      </c>
      <c r="M222" s="306">
        <v>234775</v>
      </c>
      <c r="N222" s="306">
        <v>532</v>
      </c>
      <c r="O222" s="306">
        <v>2841</v>
      </c>
      <c r="P222" s="306">
        <v>274</v>
      </c>
      <c r="Q222" s="306">
        <v>44</v>
      </c>
      <c r="R222" s="24"/>
      <c r="S222" s="24"/>
      <c r="T222" s="24"/>
      <c r="W222" s="24">
        <v>2021</v>
      </c>
      <c r="X222" s="24">
        <v>23</v>
      </c>
      <c r="Y222" s="24" t="s">
        <v>32</v>
      </c>
      <c r="Z222" s="24">
        <v>12451</v>
      </c>
      <c r="AA222" s="24">
        <v>12069</v>
      </c>
      <c r="AB222" s="24">
        <v>11</v>
      </c>
      <c r="AC222" s="24">
        <v>2</v>
      </c>
      <c r="AD222" s="24"/>
      <c r="AE222" s="24"/>
      <c r="AF222" s="24"/>
      <c r="AG222" s="24"/>
      <c r="AH222" s="24"/>
      <c r="AI222" s="24"/>
      <c r="AJ222" s="24"/>
      <c r="AK222" s="24">
        <v>2021</v>
      </c>
      <c r="AL222" s="24">
        <v>23</v>
      </c>
      <c r="AM222" s="24">
        <v>810.03</v>
      </c>
      <c r="AN222" s="24">
        <v>67.680000000000007</v>
      </c>
      <c r="AO222" s="24">
        <v>0</v>
      </c>
      <c r="AP222" s="24">
        <v>21</v>
      </c>
      <c r="AQ222" s="24">
        <v>0</v>
      </c>
      <c r="AR222" s="24">
        <v>0</v>
      </c>
      <c r="AS222" s="24" t="s">
        <v>32</v>
      </c>
      <c r="AT222" s="24"/>
      <c r="AU222" s="24">
        <v>2021</v>
      </c>
      <c r="AV222" s="24">
        <v>23</v>
      </c>
      <c r="AW222" s="24">
        <v>0.12</v>
      </c>
      <c r="AX222" s="24">
        <v>1500</v>
      </c>
      <c r="AY222" s="24">
        <v>12588</v>
      </c>
      <c r="AZ222" s="24" t="s">
        <v>32</v>
      </c>
      <c r="BA222" s="24"/>
      <c r="BB222" s="24"/>
      <c r="BC222" s="24">
        <v>2021</v>
      </c>
      <c r="BD222" s="24">
        <v>23</v>
      </c>
      <c r="BE222" s="24">
        <v>151.11257142857099</v>
      </c>
      <c r="BF222" s="24" t="s">
        <v>32</v>
      </c>
      <c r="BG222" s="24"/>
      <c r="BI222" s="24">
        <v>2022</v>
      </c>
      <c r="BJ222" s="24">
        <v>16</v>
      </c>
      <c r="BK222" s="24" t="s">
        <v>32</v>
      </c>
      <c r="BL222" s="24" t="s">
        <v>272</v>
      </c>
      <c r="BM222" s="24">
        <v>3112</v>
      </c>
      <c r="BN222" s="24">
        <v>3110</v>
      </c>
      <c r="BO222" s="24">
        <v>10939</v>
      </c>
      <c r="BR222" s="24">
        <v>2021</v>
      </c>
      <c r="BS222" s="24">
        <v>23</v>
      </c>
      <c r="BT222" s="24">
        <v>269442</v>
      </c>
      <c r="BU222" s="24">
        <v>3</v>
      </c>
      <c r="BV222" s="24" t="s">
        <v>33</v>
      </c>
      <c r="BY222" s="24">
        <v>2021</v>
      </c>
      <c r="BZ222" s="24">
        <v>22</v>
      </c>
      <c r="CA222" s="24" t="s">
        <v>32</v>
      </c>
      <c r="CB222" s="24" t="s">
        <v>108</v>
      </c>
      <c r="CC222" s="24">
        <v>4</v>
      </c>
      <c r="CF222" s="24">
        <v>2021</v>
      </c>
      <c r="CG222" s="24">
        <v>23</v>
      </c>
      <c r="CH222" s="24" t="s">
        <v>32</v>
      </c>
      <c r="CI222" s="24">
        <v>133.78125</v>
      </c>
      <c r="CJ222" s="24">
        <v>17124</v>
      </c>
      <c r="CK222" s="24">
        <v>128</v>
      </c>
      <c r="CL222" s="24">
        <v>42.850342160071406</v>
      </c>
      <c r="CM222" s="24">
        <v>7412</v>
      </c>
      <c r="CN222" s="24">
        <v>14402</v>
      </c>
      <c r="CO222" s="24">
        <v>336.1</v>
      </c>
      <c r="CP222" s="24">
        <v>9718</v>
      </c>
      <c r="CQ222" s="24">
        <v>49.5</v>
      </c>
      <c r="CR222" s="24">
        <v>248.5</v>
      </c>
      <c r="CS222" s="24">
        <v>15274</v>
      </c>
      <c r="CT222" s="24">
        <v>15274</v>
      </c>
      <c r="CU222" s="24">
        <v>265.7</v>
      </c>
      <c r="CV222" s="24">
        <v>2058</v>
      </c>
      <c r="CW222" s="24">
        <v>0</v>
      </c>
      <c r="CX222" s="24">
        <v>8900</v>
      </c>
      <c r="CY222" s="24">
        <v>44.1</v>
      </c>
      <c r="CZ222" s="24">
        <v>7761</v>
      </c>
      <c r="DA222" s="24">
        <v>248.5</v>
      </c>
      <c r="DD222" s="24">
        <v>2021</v>
      </c>
      <c r="DE222" s="24">
        <v>23</v>
      </c>
      <c r="DF222" s="24" t="s">
        <v>32</v>
      </c>
      <c r="DG222" s="24">
        <v>1678</v>
      </c>
      <c r="DH222" s="24">
        <v>2159</v>
      </c>
      <c r="DJ222" s="24">
        <v>2021</v>
      </c>
      <c r="DK222" s="24">
        <v>22</v>
      </c>
      <c r="DL222" s="24" t="s">
        <v>32</v>
      </c>
      <c r="DM222" s="24">
        <v>17</v>
      </c>
      <c r="DP222" s="24">
        <v>2020</v>
      </c>
      <c r="DQ222" s="24">
        <v>4</v>
      </c>
      <c r="DR222" s="24" t="s">
        <v>33</v>
      </c>
      <c r="DS222" s="24">
        <v>8573</v>
      </c>
      <c r="DT222" s="24"/>
      <c r="DW222" s="24">
        <v>2022</v>
      </c>
      <c r="DX222" s="24">
        <v>1</v>
      </c>
      <c r="DY222" s="24" t="s">
        <v>33</v>
      </c>
      <c r="DZ222" s="24">
        <v>9</v>
      </c>
      <c r="EA222" s="24" t="s">
        <v>562</v>
      </c>
      <c r="EB222" s="24">
        <v>81.3</v>
      </c>
      <c r="EC222" s="24">
        <v>0</v>
      </c>
      <c r="ED222" s="24">
        <v>2</v>
      </c>
      <c r="EE222" s="24">
        <v>3162</v>
      </c>
      <c r="EF222" s="24">
        <v>38.200000000000003</v>
      </c>
      <c r="EI222" s="24">
        <v>2023</v>
      </c>
      <c r="EJ222" s="24">
        <v>4</v>
      </c>
      <c r="EK222" s="24" t="s">
        <v>211</v>
      </c>
      <c r="EL222" s="24" t="s">
        <v>232</v>
      </c>
      <c r="EM222" s="24" t="s">
        <v>215</v>
      </c>
      <c r="EN222" s="24">
        <v>2</v>
      </c>
      <c r="EO222" s="24"/>
      <c r="EP222" s="24"/>
      <c r="EQ222" s="24"/>
      <c r="ER222" s="24"/>
      <c r="ES222" s="24">
        <v>2021</v>
      </c>
      <c r="ET222" s="24">
        <v>37</v>
      </c>
      <c r="EU222" s="24" t="s">
        <v>33</v>
      </c>
      <c r="EV222" s="24">
        <v>127027</v>
      </c>
      <c r="EY222" s="24">
        <v>2021</v>
      </c>
      <c r="EZ222" s="24">
        <v>27</v>
      </c>
      <c r="FA222" s="24" t="s">
        <v>33</v>
      </c>
      <c r="FB222" s="24">
        <v>512</v>
      </c>
      <c r="FE222" s="24">
        <v>2021</v>
      </c>
      <c r="FF222" s="24">
        <v>23</v>
      </c>
      <c r="FG222" s="24" t="s">
        <v>32</v>
      </c>
      <c r="FH222" s="24">
        <v>0.9264</v>
      </c>
      <c r="FI222" s="24">
        <v>438</v>
      </c>
      <c r="FJ222" s="24">
        <v>207</v>
      </c>
      <c r="FK222" s="24">
        <v>224</v>
      </c>
      <c r="FN222" s="24">
        <v>2021</v>
      </c>
      <c r="FO222" s="24">
        <v>24</v>
      </c>
      <c r="FP222" s="24" t="s">
        <v>32</v>
      </c>
      <c r="FQ222" s="24">
        <v>30476</v>
      </c>
      <c r="FR222" s="24">
        <v>669.91666666666697</v>
      </c>
      <c r="FS222" s="24">
        <v>31414</v>
      </c>
      <c r="FT222" s="24">
        <v>385.98333333333301</v>
      </c>
      <c r="FW222" s="24">
        <v>2021</v>
      </c>
      <c r="FX222" s="24">
        <v>23</v>
      </c>
      <c r="FY222" s="24" t="s">
        <v>32</v>
      </c>
      <c r="FZ222" s="24">
        <v>1713</v>
      </c>
      <c r="GA222" s="24">
        <v>1654</v>
      </c>
      <c r="GB222" s="24"/>
      <c r="GC222" s="24"/>
      <c r="GD222" s="24">
        <v>2021</v>
      </c>
      <c r="GE222" s="24">
        <v>23</v>
      </c>
      <c r="GF222" s="24" t="s">
        <v>32</v>
      </c>
      <c r="GG222" s="24">
        <v>1717</v>
      </c>
      <c r="GH222" s="24">
        <v>1640</v>
      </c>
      <c r="GK222" s="24"/>
      <c r="GL222" s="24"/>
      <c r="GM222" s="24"/>
      <c r="GN222" s="24"/>
      <c r="GO222" s="24"/>
      <c r="GP222" s="24">
        <v>2021</v>
      </c>
      <c r="GQ222" s="24">
        <v>23</v>
      </c>
      <c r="GR222" s="24">
        <v>1.5549999999999999</v>
      </c>
      <c r="GS222" s="24" t="s">
        <v>32</v>
      </c>
      <c r="GX222">
        <v>2021</v>
      </c>
      <c r="GY222">
        <v>23</v>
      </c>
      <c r="GZ222" t="s">
        <v>32</v>
      </c>
      <c r="HA222">
        <v>12265</v>
      </c>
      <c r="HB222">
        <v>11952</v>
      </c>
      <c r="HC222">
        <v>1</v>
      </c>
      <c r="HD222">
        <v>3</v>
      </c>
      <c r="HE222">
        <v>1</v>
      </c>
      <c r="HF222">
        <v>106</v>
      </c>
      <c r="HG222">
        <v>0</v>
      </c>
      <c r="HH222">
        <v>0</v>
      </c>
      <c r="HI222">
        <v>30</v>
      </c>
      <c r="HL222">
        <v>2021</v>
      </c>
      <c r="HM222">
        <v>23</v>
      </c>
      <c r="HN222" t="s">
        <v>32</v>
      </c>
      <c r="HO222">
        <v>12392</v>
      </c>
      <c r="HP222">
        <v>12167</v>
      </c>
      <c r="HQ222">
        <v>0</v>
      </c>
      <c r="HR222">
        <v>0</v>
      </c>
      <c r="HS222">
        <v>0</v>
      </c>
      <c r="HT222">
        <v>148</v>
      </c>
      <c r="HU222">
        <v>0</v>
      </c>
      <c r="HV222">
        <v>0</v>
      </c>
      <c r="HW222">
        <v>12</v>
      </c>
      <c r="HZ222" s="24">
        <v>2021</v>
      </c>
      <c r="IA222" s="24">
        <v>23</v>
      </c>
      <c r="IB222" s="24" t="s">
        <v>32</v>
      </c>
      <c r="IC222" s="24">
        <v>1667</v>
      </c>
      <c r="ID222" s="24">
        <v>1559</v>
      </c>
      <c r="IG222" s="24">
        <v>2021</v>
      </c>
      <c r="IH222" s="24">
        <v>23</v>
      </c>
      <c r="II222" s="24" t="s">
        <v>32</v>
      </c>
      <c r="IJ222" s="24">
        <v>1694</v>
      </c>
      <c r="IK222" s="24">
        <v>1601</v>
      </c>
    </row>
    <row r="223" spans="9:245" x14ac:dyDescent="0.4">
      <c r="I223" s="305">
        <v>2021</v>
      </c>
      <c r="J223" s="306">
        <v>23</v>
      </c>
      <c r="K223" s="306" t="s">
        <v>32</v>
      </c>
      <c r="L223" s="306">
        <v>12445</v>
      </c>
      <c r="M223" s="306">
        <v>12027</v>
      </c>
      <c r="N223" s="306">
        <v>27</v>
      </c>
      <c r="O223" s="306">
        <v>152</v>
      </c>
      <c r="P223" s="306">
        <v>10</v>
      </c>
      <c r="Q223" s="306">
        <v>5</v>
      </c>
      <c r="R223" s="24"/>
      <c r="S223" s="24"/>
      <c r="T223" s="24"/>
      <c r="W223" s="24">
        <v>2021</v>
      </c>
      <c r="X223" s="24">
        <v>23</v>
      </c>
      <c r="Y223" s="24" t="s">
        <v>33</v>
      </c>
      <c r="Z223" s="24">
        <v>257282</v>
      </c>
      <c r="AA223" s="24">
        <v>236374</v>
      </c>
      <c r="AB223" s="24">
        <v>174</v>
      </c>
      <c r="AC223" s="24">
        <v>72</v>
      </c>
      <c r="AD223" s="24"/>
      <c r="AE223" s="24"/>
      <c r="AF223" s="24"/>
      <c r="AG223" s="24"/>
      <c r="AH223" s="24"/>
      <c r="AI223" s="24"/>
      <c r="AJ223" s="24"/>
      <c r="AK223" s="24">
        <v>2021</v>
      </c>
      <c r="AL223" s="24">
        <v>23</v>
      </c>
      <c r="AM223" s="24">
        <v>14332.050000000001</v>
      </c>
      <c r="AN223" s="24">
        <v>1645.6000000000001</v>
      </c>
      <c r="AO223" s="24">
        <v>0</v>
      </c>
      <c r="AP223" s="24">
        <v>351</v>
      </c>
      <c r="AQ223" s="24">
        <v>0</v>
      </c>
      <c r="AR223" s="24">
        <v>1</v>
      </c>
      <c r="AS223" s="24" t="s">
        <v>33</v>
      </c>
      <c r="AT223" s="24"/>
      <c r="AU223" s="24">
        <v>2021</v>
      </c>
      <c r="AV223" s="24">
        <v>23</v>
      </c>
      <c r="AW223" s="24">
        <v>0.06</v>
      </c>
      <c r="AX223" s="24">
        <v>16200</v>
      </c>
      <c r="AY223" s="24">
        <v>270612</v>
      </c>
      <c r="AZ223" s="24" t="s">
        <v>33</v>
      </c>
      <c r="BA223" s="24"/>
      <c r="BB223" s="24"/>
      <c r="BC223" s="24">
        <v>2021</v>
      </c>
      <c r="BD223" s="24">
        <v>23</v>
      </c>
      <c r="BE223" s="24">
        <v>1846.66671428571</v>
      </c>
      <c r="BF223" s="24" t="s">
        <v>33</v>
      </c>
      <c r="BG223" s="24"/>
      <c r="BI223" s="24">
        <v>2022</v>
      </c>
      <c r="BJ223" s="24">
        <v>16</v>
      </c>
      <c r="BK223" s="24" t="s">
        <v>33</v>
      </c>
      <c r="BL223" s="24" t="s">
        <v>272</v>
      </c>
      <c r="BM223" s="24">
        <v>59460</v>
      </c>
      <c r="BN223" s="24">
        <v>58977</v>
      </c>
      <c r="BO223" s="24">
        <v>212744</v>
      </c>
      <c r="BR223" s="24">
        <v>2021</v>
      </c>
      <c r="BS223" s="24">
        <v>23</v>
      </c>
      <c r="BT223" s="24">
        <v>12496</v>
      </c>
      <c r="BU223" s="24">
        <v>1</v>
      </c>
      <c r="BV223" s="24" t="s">
        <v>32</v>
      </c>
      <c r="BY223" s="24">
        <v>2021</v>
      </c>
      <c r="BZ223" s="24">
        <v>22</v>
      </c>
      <c r="CA223" s="24" t="s">
        <v>32</v>
      </c>
      <c r="CB223" s="24" t="s">
        <v>423</v>
      </c>
      <c r="CC223" s="24">
        <v>74</v>
      </c>
      <c r="CF223" s="24">
        <v>2021</v>
      </c>
      <c r="CG223" s="24">
        <v>23</v>
      </c>
      <c r="CH223" s="24" t="s">
        <v>33</v>
      </c>
      <c r="CI223" s="24">
        <v>140.65026258334808</v>
      </c>
      <c r="CJ223" s="24">
        <v>238360</v>
      </c>
      <c r="CK223" s="24">
        <v>1694.7</v>
      </c>
      <c r="CL223" s="24">
        <v>90.557484986614568</v>
      </c>
      <c r="CM223" s="24">
        <v>129873</v>
      </c>
      <c r="CN223" s="24">
        <v>250319</v>
      </c>
      <c r="CO223" s="24">
        <v>2764.2</v>
      </c>
      <c r="CP223" s="24">
        <v>49358</v>
      </c>
      <c r="CQ223" s="24">
        <v>211.2</v>
      </c>
      <c r="CR223" s="24">
        <v>1281.9000000000001</v>
      </c>
      <c r="CS223" s="24">
        <v>141415</v>
      </c>
      <c r="CT223" s="24">
        <v>144166</v>
      </c>
      <c r="CU223" s="24">
        <v>1063.5</v>
      </c>
      <c r="CV223" s="24">
        <v>44682</v>
      </c>
      <c r="CW223" s="24">
        <v>0</v>
      </c>
      <c r="CX223" s="24">
        <v>109657</v>
      </c>
      <c r="CY223" s="24">
        <v>540.20000000000005</v>
      </c>
      <c r="CZ223" s="24">
        <v>43542</v>
      </c>
      <c r="DA223" s="24">
        <v>1281.9000000000001</v>
      </c>
      <c r="DD223" s="24">
        <v>2021</v>
      </c>
      <c r="DE223" s="24">
        <v>23</v>
      </c>
      <c r="DF223" s="24" t="s">
        <v>33</v>
      </c>
      <c r="DG223" s="24">
        <v>57054</v>
      </c>
      <c r="DH223" s="24">
        <v>31346</v>
      </c>
      <c r="DJ223" s="24">
        <v>2021</v>
      </c>
      <c r="DK223" s="24">
        <v>22</v>
      </c>
      <c r="DL223" s="24" t="s">
        <v>33</v>
      </c>
      <c r="DM223" s="24">
        <v>1172</v>
      </c>
      <c r="DP223" s="24">
        <v>2020</v>
      </c>
      <c r="DQ223" s="24">
        <v>3</v>
      </c>
      <c r="DR223" s="24" t="s">
        <v>33</v>
      </c>
      <c r="DS223" s="24">
        <v>8631</v>
      </c>
      <c r="DT223" s="24"/>
      <c r="DW223" s="24">
        <v>2022</v>
      </c>
      <c r="DX223" s="24">
        <v>1</v>
      </c>
      <c r="DY223" s="24" t="s">
        <v>33</v>
      </c>
      <c r="DZ223" s="24">
        <v>39</v>
      </c>
      <c r="EA223" s="24" t="s">
        <v>149</v>
      </c>
      <c r="EB223" s="24">
        <v>66.400000000000006</v>
      </c>
      <c r="EC223" s="24">
        <v>747.4</v>
      </c>
      <c r="ED223" s="24">
        <v>22083</v>
      </c>
      <c r="EE223" s="24">
        <v>23851</v>
      </c>
      <c r="EF223" s="24">
        <v>116.4</v>
      </c>
      <c r="EI223" s="24">
        <v>2023</v>
      </c>
      <c r="EJ223" s="24">
        <v>4</v>
      </c>
      <c r="EK223" s="24" t="s">
        <v>211</v>
      </c>
      <c r="EL223" s="24" t="s">
        <v>212</v>
      </c>
      <c r="EM223" s="24" t="s">
        <v>210</v>
      </c>
      <c r="EN223" s="24">
        <v>4</v>
      </c>
      <c r="EO223" s="24"/>
      <c r="EP223" s="24"/>
      <c r="EQ223" s="24"/>
      <c r="ER223" s="24"/>
      <c r="ES223" s="24">
        <v>2021</v>
      </c>
      <c r="ET223" s="24">
        <v>37</v>
      </c>
      <c r="EU223" s="24" t="s">
        <v>213</v>
      </c>
      <c r="EV223" s="24">
        <v>2</v>
      </c>
      <c r="EY223" s="24">
        <v>2021</v>
      </c>
      <c r="EZ223" s="24">
        <v>26</v>
      </c>
      <c r="FA223" s="24" t="s">
        <v>32</v>
      </c>
      <c r="FB223" s="24">
        <v>685</v>
      </c>
      <c r="FE223" s="24">
        <v>2021</v>
      </c>
      <c r="FF223" s="24">
        <v>23</v>
      </c>
      <c r="FG223" s="24" t="s">
        <v>33</v>
      </c>
      <c r="FH223" s="24">
        <v>0.9456</v>
      </c>
      <c r="FI223" s="24">
        <v>14034</v>
      </c>
      <c r="FJ223" s="24">
        <v>6253</v>
      </c>
      <c r="FK223" s="24">
        <v>6676</v>
      </c>
      <c r="FN223" s="24">
        <v>2021</v>
      </c>
      <c r="FO223" s="24">
        <v>24</v>
      </c>
      <c r="FP223" s="24" t="s">
        <v>33</v>
      </c>
      <c r="FQ223" s="24">
        <v>808197</v>
      </c>
      <c r="FR223" s="24">
        <v>6613.7333333333299</v>
      </c>
      <c r="FS223" s="24">
        <v>444042</v>
      </c>
      <c r="FT223" s="24">
        <v>2476.36666666667</v>
      </c>
      <c r="FW223" s="24">
        <v>2021</v>
      </c>
      <c r="FX223" s="24">
        <v>23</v>
      </c>
      <c r="FY223" s="24" t="s">
        <v>33</v>
      </c>
      <c r="FZ223" s="24">
        <v>11947</v>
      </c>
      <c r="GA223" s="24">
        <v>11232</v>
      </c>
      <c r="GB223" s="24"/>
      <c r="GC223" s="24"/>
      <c r="GD223" s="24">
        <v>2021</v>
      </c>
      <c r="GE223" s="24">
        <v>23</v>
      </c>
      <c r="GF223" s="24" t="s">
        <v>33</v>
      </c>
      <c r="GG223" s="24">
        <v>11891</v>
      </c>
      <c r="GH223" s="24">
        <v>11337</v>
      </c>
      <c r="GK223" s="24"/>
      <c r="GL223" s="24"/>
      <c r="GM223" s="24"/>
      <c r="GN223" s="24"/>
      <c r="GO223" s="24"/>
      <c r="GP223" s="24">
        <v>2021</v>
      </c>
      <c r="GQ223" s="24">
        <v>23</v>
      </c>
      <c r="GR223" s="24">
        <v>5.0714285714285703</v>
      </c>
      <c r="GS223" s="24" t="s">
        <v>33</v>
      </c>
      <c r="GX223">
        <v>2021</v>
      </c>
      <c r="GY223">
        <v>23</v>
      </c>
      <c r="GZ223" t="s">
        <v>33</v>
      </c>
      <c r="HA223">
        <v>258358</v>
      </c>
      <c r="HB223">
        <v>237147</v>
      </c>
      <c r="HC223">
        <v>1429</v>
      </c>
      <c r="HD223">
        <v>1094</v>
      </c>
      <c r="HE223">
        <v>0</v>
      </c>
      <c r="HF223">
        <v>14690</v>
      </c>
      <c r="HG223">
        <v>0</v>
      </c>
      <c r="HH223">
        <v>0</v>
      </c>
      <c r="HI223">
        <v>1552</v>
      </c>
      <c r="HL223">
        <v>2021</v>
      </c>
      <c r="HM223">
        <v>23</v>
      </c>
      <c r="HN223" t="s">
        <v>33</v>
      </c>
      <c r="HO223">
        <v>256882</v>
      </c>
      <c r="HP223">
        <v>242196</v>
      </c>
      <c r="HQ223">
        <v>1312</v>
      </c>
      <c r="HR223">
        <v>845</v>
      </c>
      <c r="HS223">
        <v>0</v>
      </c>
      <c r="HT223">
        <v>13851</v>
      </c>
      <c r="HU223">
        <v>0</v>
      </c>
      <c r="HV223">
        <v>0</v>
      </c>
      <c r="HW223">
        <v>871</v>
      </c>
      <c r="HZ223" s="24">
        <v>2021</v>
      </c>
      <c r="IA223" s="24">
        <v>23</v>
      </c>
      <c r="IB223" s="24" t="s">
        <v>33</v>
      </c>
      <c r="IC223" s="24">
        <v>12067</v>
      </c>
      <c r="ID223" s="24">
        <v>11291</v>
      </c>
      <c r="IG223" s="24">
        <v>2021</v>
      </c>
      <c r="IH223" s="24">
        <v>23</v>
      </c>
      <c r="II223" s="24" t="s">
        <v>33</v>
      </c>
      <c r="IJ223" s="24">
        <v>11279</v>
      </c>
      <c r="IK223" s="24">
        <v>10897</v>
      </c>
    </row>
    <row r="224" spans="9:245" x14ac:dyDescent="0.4">
      <c r="I224" s="305">
        <v>2021</v>
      </c>
      <c r="J224" s="306">
        <v>23</v>
      </c>
      <c r="K224" s="306" t="s">
        <v>33</v>
      </c>
      <c r="L224" s="306">
        <v>257858</v>
      </c>
      <c r="M224" s="306">
        <v>235237</v>
      </c>
      <c r="N224" s="306">
        <v>660</v>
      </c>
      <c r="O224" s="306">
        <v>4810</v>
      </c>
      <c r="P224" s="306">
        <v>219</v>
      </c>
      <c r="Q224" s="306">
        <v>80</v>
      </c>
      <c r="R224" s="24"/>
      <c r="S224" s="24"/>
      <c r="T224" s="24"/>
      <c r="W224" s="24">
        <v>2021</v>
      </c>
      <c r="X224" s="24">
        <v>22</v>
      </c>
      <c r="Y224" s="24" t="s">
        <v>32</v>
      </c>
      <c r="Z224" s="24">
        <v>13338</v>
      </c>
      <c r="AA224" s="24">
        <v>13133</v>
      </c>
      <c r="AB224" s="24">
        <v>13</v>
      </c>
      <c r="AC224" s="24">
        <v>9</v>
      </c>
      <c r="AD224" s="24"/>
      <c r="AE224" s="24"/>
      <c r="AF224" s="24"/>
      <c r="AG224" s="24"/>
      <c r="AH224" s="24"/>
      <c r="AI224" s="24"/>
      <c r="AJ224" s="24"/>
      <c r="AK224" s="24">
        <v>2021</v>
      </c>
      <c r="AL224" s="24">
        <v>22</v>
      </c>
      <c r="AM224" s="24">
        <v>766.43000000000006</v>
      </c>
      <c r="AN224" s="24">
        <v>63.15</v>
      </c>
      <c r="AO224" s="24">
        <v>0</v>
      </c>
      <c r="AP224" s="24">
        <v>21</v>
      </c>
      <c r="AQ224" s="24">
        <v>0</v>
      </c>
      <c r="AR224" s="24">
        <v>0</v>
      </c>
      <c r="AS224" s="24" t="s">
        <v>32</v>
      </c>
      <c r="AT224" s="24"/>
      <c r="AU224" s="24">
        <v>2021</v>
      </c>
      <c r="AV224" s="24">
        <v>22</v>
      </c>
      <c r="AW224" s="24">
        <v>0.14000000000000001</v>
      </c>
      <c r="AX224" s="24">
        <v>1900</v>
      </c>
      <c r="AY224" s="24">
        <v>13834</v>
      </c>
      <c r="AZ224" s="24" t="s">
        <v>32</v>
      </c>
      <c r="BA224" s="24"/>
      <c r="BB224" s="24"/>
      <c r="BC224" s="24">
        <v>2021</v>
      </c>
      <c r="BD224" s="24">
        <v>22</v>
      </c>
      <c r="BE224" s="24">
        <v>149.815</v>
      </c>
      <c r="BF224" s="24" t="s">
        <v>32</v>
      </c>
      <c r="BG224" s="24"/>
      <c r="BI224" s="24">
        <v>2022</v>
      </c>
      <c r="BJ224" s="24">
        <v>16</v>
      </c>
      <c r="BK224" s="24" t="s">
        <v>33</v>
      </c>
      <c r="BL224" s="24" t="s">
        <v>273</v>
      </c>
      <c r="BM224" s="24">
        <v>125065</v>
      </c>
      <c r="BN224" s="24">
        <v>120340</v>
      </c>
      <c r="BO224" s="24">
        <v>128529</v>
      </c>
      <c r="BR224" s="24">
        <v>2021</v>
      </c>
      <c r="BS224" s="24">
        <v>22</v>
      </c>
      <c r="BT224" s="24">
        <v>235620</v>
      </c>
      <c r="BU224" s="24">
        <v>2</v>
      </c>
      <c r="BV224" s="24" t="s">
        <v>33</v>
      </c>
      <c r="BY224" s="24">
        <v>2021</v>
      </c>
      <c r="BZ224" s="24">
        <v>22</v>
      </c>
      <c r="CA224" s="24" t="s">
        <v>33</v>
      </c>
      <c r="CB224" s="24" t="s">
        <v>423</v>
      </c>
      <c r="CC224" s="24">
        <v>8</v>
      </c>
      <c r="CF224" s="24">
        <v>2021</v>
      </c>
      <c r="CG224" s="24">
        <v>22</v>
      </c>
      <c r="CH224" s="24" t="s">
        <v>32</v>
      </c>
      <c r="CI224" s="24">
        <v>87.6031656302996</v>
      </c>
      <c r="CJ224" s="24">
        <v>15497</v>
      </c>
      <c r="CK224" s="24">
        <v>176.9</v>
      </c>
      <c r="CL224" s="24">
        <v>40.229551451187334</v>
      </c>
      <c r="CM224" s="24">
        <v>7997</v>
      </c>
      <c r="CN224" s="24">
        <v>15247</v>
      </c>
      <c r="CO224" s="24">
        <v>379</v>
      </c>
      <c r="CP224" s="24">
        <v>11879</v>
      </c>
      <c r="CQ224" s="24">
        <v>50.9</v>
      </c>
      <c r="CR224" s="24">
        <v>292.3</v>
      </c>
      <c r="CS224" s="24">
        <v>19078</v>
      </c>
      <c r="CT224" s="24">
        <v>19078</v>
      </c>
      <c r="CU224" s="24">
        <v>209</v>
      </c>
      <c r="CV224" s="24">
        <v>1826</v>
      </c>
      <c r="CW224" s="24">
        <v>0</v>
      </c>
      <c r="CX224" s="24">
        <v>7671</v>
      </c>
      <c r="CY224" s="24">
        <v>41.6</v>
      </c>
      <c r="CZ224" s="24">
        <v>9664</v>
      </c>
      <c r="DA224" s="24">
        <v>292.3</v>
      </c>
      <c r="DD224" s="24">
        <v>2021</v>
      </c>
      <c r="DE224" s="24">
        <v>22</v>
      </c>
      <c r="DF224" s="24" t="s">
        <v>32</v>
      </c>
      <c r="DG224" s="24">
        <v>1235</v>
      </c>
      <c r="DH224" s="24">
        <v>2057</v>
      </c>
      <c r="DJ224" s="24">
        <v>2021</v>
      </c>
      <c r="DK224" s="24">
        <v>21</v>
      </c>
      <c r="DL224" s="24" t="s">
        <v>32</v>
      </c>
      <c r="DM224" s="24">
        <v>26</v>
      </c>
      <c r="DP224" s="24">
        <v>2020</v>
      </c>
      <c r="DQ224" s="24">
        <v>2</v>
      </c>
      <c r="DR224" s="24" t="s">
        <v>33</v>
      </c>
      <c r="DS224" s="24">
        <v>7132</v>
      </c>
      <c r="DT224" s="24"/>
      <c r="DW224" s="24">
        <v>2021</v>
      </c>
      <c r="DX224" s="24">
        <v>52</v>
      </c>
      <c r="DY224" s="24" t="s">
        <v>32</v>
      </c>
      <c r="DZ224" s="24">
        <v>1</v>
      </c>
      <c r="EA224" s="24" t="s">
        <v>149</v>
      </c>
      <c r="EB224" s="24">
        <v>0</v>
      </c>
      <c r="EC224" s="24">
        <v>0</v>
      </c>
      <c r="ED224" s="24">
        <v>155</v>
      </c>
      <c r="EE224" s="24">
        <v>158</v>
      </c>
      <c r="EF224" s="24">
        <v>4.5999999999999996</v>
      </c>
      <c r="EI224" s="24">
        <v>2023</v>
      </c>
      <c r="EJ224" s="24">
        <v>4</v>
      </c>
      <c r="EK224" s="24" t="s">
        <v>211</v>
      </c>
      <c r="EL224" s="24" t="s">
        <v>212</v>
      </c>
      <c r="EM224" s="24" t="s">
        <v>234</v>
      </c>
      <c r="EN224" s="24">
        <v>13</v>
      </c>
      <c r="EO224" s="24"/>
      <c r="EP224" s="24"/>
      <c r="EQ224" s="24"/>
      <c r="ER224" s="24"/>
      <c r="ES224" s="24">
        <v>2021</v>
      </c>
      <c r="ET224" s="24">
        <v>36</v>
      </c>
      <c r="EU224" s="24" t="s">
        <v>32</v>
      </c>
      <c r="EV224" s="24">
        <v>4894</v>
      </c>
      <c r="EY224" s="24">
        <v>2021</v>
      </c>
      <c r="EZ224" s="24">
        <v>26</v>
      </c>
      <c r="FA224" s="24" t="s">
        <v>33</v>
      </c>
      <c r="FB224" s="24">
        <v>843</v>
      </c>
      <c r="FE224" s="24">
        <v>2021</v>
      </c>
      <c r="FF224" s="24">
        <v>22</v>
      </c>
      <c r="FG224" s="24" t="s">
        <v>32</v>
      </c>
      <c r="FH224" s="24">
        <v>0.80820000000000003</v>
      </c>
      <c r="FI224" s="24">
        <v>418</v>
      </c>
      <c r="FJ224" s="24">
        <v>199</v>
      </c>
      <c r="FK224" s="24">
        <v>241</v>
      </c>
      <c r="FN224" s="24">
        <v>2021</v>
      </c>
      <c r="FO224" s="24">
        <v>23</v>
      </c>
      <c r="FP224" s="24" t="s">
        <v>32</v>
      </c>
      <c r="FQ224" s="24">
        <v>30856</v>
      </c>
      <c r="FR224" s="24">
        <v>642.41666666666697</v>
      </c>
      <c r="FS224" s="24">
        <v>27491</v>
      </c>
      <c r="FT224" s="24">
        <v>306.566666666667</v>
      </c>
      <c r="FW224" s="24">
        <v>2021</v>
      </c>
      <c r="FX224" s="24">
        <v>22</v>
      </c>
      <c r="FY224" s="24" t="s">
        <v>32</v>
      </c>
      <c r="FZ224" s="24">
        <v>1709</v>
      </c>
      <c r="GA224" s="24">
        <v>1659</v>
      </c>
      <c r="GB224" s="24"/>
      <c r="GC224" s="24"/>
      <c r="GD224" s="24">
        <v>2021</v>
      </c>
      <c r="GE224" s="24">
        <v>22</v>
      </c>
      <c r="GF224" s="24" t="s">
        <v>32</v>
      </c>
      <c r="GG224" s="24">
        <v>1675</v>
      </c>
      <c r="GH224" s="24">
        <v>1622</v>
      </c>
      <c r="GK224" s="24"/>
      <c r="GL224" s="24"/>
      <c r="GM224" s="24"/>
      <c r="GN224" s="24"/>
      <c r="GO224" s="24"/>
      <c r="GP224" s="24">
        <v>2021</v>
      </c>
      <c r="GQ224" s="24">
        <v>22</v>
      </c>
      <c r="GR224" s="24">
        <v>1.32042857142857</v>
      </c>
      <c r="GS224" s="24" t="s">
        <v>32</v>
      </c>
      <c r="GX224">
        <v>2021</v>
      </c>
      <c r="GY224">
        <v>22</v>
      </c>
      <c r="GZ224" t="s">
        <v>32</v>
      </c>
      <c r="HA224">
        <v>13249</v>
      </c>
      <c r="HB224">
        <v>12979</v>
      </c>
      <c r="HC224">
        <v>0</v>
      </c>
      <c r="HD224">
        <v>2</v>
      </c>
      <c r="HE224">
        <v>0</v>
      </c>
      <c r="HF224">
        <v>45</v>
      </c>
      <c r="HG224">
        <v>0</v>
      </c>
      <c r="HH224">
        <v>0</v>
      </c>
      <c r="HI224">
        <v>41</v>
      </c>
      <c r="HL224">
        <v>2021</v>
      </c>
      <c r="HM224">
        <v>22</v>
      </c>
      <c r="HN224" t="s">
        <v>32</v>
      </c>
      <c r="HO224">
        <v>13305</v>
      </c>
      <c r="HP224">
        <v>13114</v>
      </c>
      <c r="HQ224">
        <v>0</v>
      </c>
      <c r="HR224">
        <v>1</v>
      </c>
      <c r="HS224">
        <v>0</v>
      </c>
      <c r="HT224">
        <v>107</v>
      </c>
      <c r="HU224">
        <v>0</v>
      </c>
      <c r="HV224">
        <v>0</v>
      </c>
      <c r="HW224">
        <v>13</v>
      </c>
      <c r="HZ224" s="24">
        <v>2021</v>
      </c>
      <c r="IA224" s="24">
        <v>22</v>
      </c>
      <c r="IB224" s="24" t="s">
        <v>32</v>
      </c>
      <c r="IC224" s="24">
        <v>1716</v>
      </c>
      <c r="ID224" s="24">
        <v>1650</v>
      </c>
      <c r="IG224" s="24">
        <v>2021</v>
      </c>
      <c r="IH224" s="24">
        <v>22</v>
      </c>
      <c r="II224" s="24" t="s">
        <v>32</v>
      </c>
      <c r="IJ224" s="24">
        <v>1666</v>
      </c>
      <c r="IK224" s="24">
        <v>1605</v>
      </c>
    </row>
    <row r="225" spans="9:245" x14ac:dyDescent="0.4">
      <c r="I225" s="305">
        <v>2021</v>
      </c>
      <c r="J225" s="306">
        <v>22</v>
      </c>
      <c r="K225" s="306" t="s">
        <v>32</v>
      </c>
      <c r="L225" s="306">
        <v>13363</v>
      </c>
      <c r="M225" s="306">
        <v>13111</v>
      </c>
      <c r="N225" s="306">
        <v>20</v>
      </c>
      <c r="O225" s="306">
        <v>99</v>
      </c>
      <c r="P225" s="306">
        <v>13</v>
      </c>
      <c r="Q225" s="306">
        <v>10</v>
      </c>
      <c r="R225" s="24"/>
      <c r="S225" s="24"/>
      <c r="T225" s="24"/>
      <c r="W225" s="24">
        <v>2021</v>
      </c>
      <c r="X225" s="24">
        <v>22</v>
      </c>
      <c r="Y225" s="24" t="s">
        <v>33</v>
      </c>
      <c r="Z225" s="24">
        <v>233868</v>
      </c>
      <c r="AA225" s="24">
        <v>226766</v>
      </c>
      <c r="AB225" s="24">
        <v>54</v>
      </c>
      <c r="AC225" s="24">
        <v>75</v>
      </c>
      <c r="AD225" s="24"/>
      <c r="AE225" s="24"/>
      <c r="AF225" s="24"/>
      <c r="AG225" s="24"/>
      <c r="AH225" s="24"/>
      <c r="AI225" s="24"/>
      <c r="AJ225" s="24"/>
      <c r="AK225" s="24">
        <v>2021</v>
      </c>
      <c r="AL225" s="24">
        <v>22</v>
      </c>
      <c r="AM225" s="24">
        <v>14378.53</v>
      </c>
      <c r="AN225" s="24">
        <v>1486.43</v>
      </c>
      <c r="AO225" s="24">
        <v>0</v>
      </c>
      <c r="AP225" s="24">
        <v>356</v>
      </c>
      <c r="AQ225" s="24">
        <v>0</v>
      </c>
      <c r="AR225" s="24">
        <v>2</v>
      </c>
      <c r="AS225" s="24" t="s">
        <v>33</v>
      </c>
      <c r="AT225" s="24"/>
      <c r="AU225" s="24">
        <v>2021</v>
      </c>
      <c r="AV225" s="24">
        <v>22</v>
      </c>
      <c r="AW225" s="24">
        <v>0.06</v>
      </c>
      <c r="AX225" s="24">
        <v>14600</v>
      </c>
      <c r="AY225" s="24">
        <v>236568</v>
      </c>
      <c r="AZ225" s="24" t="s">
        <v>33</v>
      </c>
      <c r="BA225" s="24"/>
      <c r="BB225" s="24"/>
      <c r="BC225" s="24">
        <v>2021</v>
      </c>
      <c r="BD225" s="24">
        <v>22</v>
      </c>
      <c r="BE225" s="24">
        <v>1817.61414285714</v>
      </c>
      <c r="BF225" s="24" t="s">
        <v>33</v>
      </c>
      <c r="BG225" s="24"/>
      <c r="BI225" s="24">
        <v>2022</v>
      </c>
      <c r="BJ225" s="24">
        <v>16</v>
      </c>
      <c r="BK225" s="24" t="s">
        <v>32</v>
      </c>
      <c r="BL225" s="24" t="s">
        <v>273</v>
      </c>
      <c r="BM225" s="24">
        <v>6963</v>
      </c>
      <c r="BN225" s="24">
        <v>6912</v>
      </c>
      <c r="BO225" s="24">
        <v>7071</v>
      </c>
      <c r="BR225" s="24">
        <v>2021</v>
      </c>
      <c r="BS225" s="24">
        <v>22</v>
      </c>
      <c r="BT225" s="24">
        <v>13702</v>
      </c>
      <c r="BU225" s="24">
        <v>0</v>
      </c>
      <c r="BV225" s="24" t="s">
        <v>32</v>
      </c>
      <c r="BY225" s="24">
        <v>2021</v>
      </c>
      <c r="BZ225" s="24">
        <v>21</v>
      </c>
      <c r="CA225" s="24" t="s">
        <v>32</v>
      </c>
      <c r="CB225" s="24" t="s">
        <v>108</v>
      </c>
      <c r="CC225" s="24">
        <v>3</v>
      </c>
      <c r="CF225" s="24">
        <v>2021</v>
      </c>
      <c r="CG225" s="24">
        <v>22</v>
      </c>
      <c r="CH225" s="24" t="s">
        <v>33</v>
      </c>
      <c r="CI225" s="24">
        <v>120.42900403768506</v>
      </c>
      <c r="CJ225" s="24">
        <v>214749</v>
      </c>
      <c r="CK225" s="24">
        <v>1783.2</v>
      </c>
      <c r="CL225" s="24">
        <v>92.042132596222302</v>
      </c>
      <c r="CM225" s="24">
        <v>116202</v>
      </c>
      <c r="CN225" s="24">
        <v>219769</v>
      </c>
      <c r="CO225" s="24">
        <v>2387.6999999999998</v>
      </c>
      <c r="CP225" s="24">
        <v>53569</v>
      </c>
      <c r="CQ225" s="24">
        <v>247.4</v>
      </c>
      <c r="CR225" s="24">
        <v>1317.5</v>
      </c>
      <c r="CS225" s="24">
        <v>170685</v>
      </c>
      <c r="CT225" s="24">
        <v>176154</v>
      </c>
      <c r="CU225" s="24">
        <v>1311.6</v>
      </c>
      <c r="CV225" s="24">
        <v>50708</v>
      </c>
      <c r="CW225" s="24">
        <v>0</v>
      </c>
      <c r="CX225" s="24">
        <v>175457</v>
      </c>
      <c r="CY225" s="24">
        <v>527.70000000000005</v>
      </c>
      <c r="CZ225" s="24">
        <v>44607</v>
      </c>
      <c r="DA225" s="24">
        <v>1317.5</v>
      </c>
      <c r="DD225" s="24">
        <v>2021</v>
      </c>
      <c r="DE225" s="24">
        <v>22</v>
      </c>
      <c r="DF225" s="24" t="s">
        <v>33</v>
      </c>
      <c r="DG225" s="24">
        <v>32602</v>
      </c>
      <c r="DH225" s="24">
        <v>35525</v>
      </c>
      <c r="DJ225" s="24">
        <v>2021</v>
      </c>
      <c r="DK225" s="24">
        <v>21</v>
      </c>
      <c r="DL225" s="24" t="s">
        <v>33</v>
      </c>
      <c r="DM225" s="24">
        <v>897</v>
      </c>
      <c r="DP225" s="24">
        <v>2020</v>
      </c>
      <c r="DQ225" s="24">
        <v>1</v>
      </c>
      <c r="DR225" s="24" t="s">
        <v>33</v>
      </c>
      <c r="DS225" s="24">
        <v>7184</v>
      </c>
      <c r="DT225" s="24"/>
      <c r="DW225" s="24">
        <v>2021</v>
      </c>
      <c r="DX225" s="24">
        <v>52</v>
      </c>
      <c r="DY225" s="24" t="s">
        <v>33</v>
      </c>
      <c r="DZ225" s="24">
        <v>9</v>
      </c>
      <c r="EA225" s="24" t="s">
        <v>562</v>
      </c>
      <c r="EB225" s="24">
        <v>82.2</v>
      </c>
      <c r="EC225" s="24">
        <v>0</v>
      </c>
      <c r="ED225" s="24">
        <v>15</v>
      </c>
      <c r="EE225" s="24">
        <v>2860</v>
      </c>
      <c r="EF225" s="24">
        <v>32.799999999999997</v>
      </c>
      <c r="EI225" s="24">
        <v>2023</v>
      </c>
      <c r="EJ225" s="24">
        <v>4</v>
      </c>
      <c r="EK225" s="24" t="s">
        <v>211</v>
      </c>
      <c r="EL225" s="24" t="s">
        <v>212</v>
      </c>
      <c r="EM225" s="24" t="s">
        <v>215</v>
      </c>
      <c r="EN225" s="24">
        <v>1</v>
      </c>
      <c r="EO225" s="24"/>
      <c r="EP225" s="24"/>
      <c r="EQ225" s="24"/>
      <c r="ER225" s="24"/>
      <c r="ES225" s="24">
        <v>2021</v>
      </c>
      <c r="ET225" s="24">
        <v>36</v>
      </c>
      <c r="EU225" s="24" t="s">
        <v>33</v>
      </c>
      <c r="EV225" s="24">
        <v>107516</v>
      </c>
      <c r="EY225" s="24">
        <v>2021</v>
      </c>
      <c r="EZ225" s="24">
        <v>25</v>
      </c>
      <c r="FA225" s="24" t="s">
        <v>32</v>
      </c>
      <c r="FB225" s="24">
        <v>667</v>
      </c>
      <c r="FE225" s="24">
        <v>2021</v>
      </c>
      <c r="FF225" s="24">
        <v>22</v>
      </c>
      <c r="FG225" s="24" t="s">
        <v>33</v>
      </c>
      <c r="FH225" s="24">
        <v>0.95150000000000001</v>
      </c>
      <c r="FI225" s="24">
        <v>13194</v>
      </c>
      <c r="FJ225" s="24">
        <v>5991</v>
      </c>
      <c r="FK225" s="24">
        <v>6340</v>
      </c>
      <c r="FN225" s="24">
        <v>2021</v>
      </c>
      <c r="FO225" s="24">
        <v>23</v>
      </c>
      <c r="FP225" s="24" t="s">
        <v>33</v>
      </c>
      <c r="FQ225" s="24">
        <v>853143</v>
      </c>
      <c r="FR225" s="24">
        <v>7050.2333333333299</v>
      </c>
      <c r="FS225" s="24">
        <v>358330</v>
      </c>
      <c r="FT225" s="24">
        <v>1885.15</v>
      </c>
      <c r="FW225" s="24">
        <v>2021</v>
      </c>
      <c r="FX225" s="24">
        <v>22</v>
      </c>
      <c r="FY225" s="24" t="s">
        <v>33</v>
      </c>
      <c r="FZ225" s="24">
        <v>10757</v>
      </c>
      <c r="GA225" s="24">
        <v>10591</v>
      </c>
      <c r="GB225" s="24"/>
      <c r="GC225" s="24"/>
      <c r="GD225" s="24">
        <v>2021</v>
      </c>
      <c r="GE225" s="24">
        <v>22</v>
      </c>
      <c r="GF225" s="24" t="s">
        <v>33</v>
      </c>
      <c r="GG225" s="24">
        <v>10819</v>
      </c>
      <c r="GH225" s="24">
        <v>10750</v>
      </c>
      <c r="GK225" s="24"/>
      <c r="GL225" s="24"/>
      <c r="GM225" s="24"/>
      <c r="GN225" s="24"/>
      <c r="GO225" s="24"/>
      <c r="GP225" s="24">
        <v>2021</v>
      </c>
      <c r="GQ225" s="24">
        <v>22</v>
      </c>
      <c r="GR225" s="24">
        <v>4.8922857142857099</v>
      </c>
      <c r="GS225" s="24" t="s">
        <v>33</v>
      </c>
      <c r="GX225">
        <v>2021</v>
      </c>
      <c r="GY225">
        <v>22</v>
      </c>
      <c r="GZ225" t="s">
        <v>33</v>
      </c>
      <c r="HA225">
        <v>236369</v>
      </c>
      <c r="HB225">
        <v>228835</v>
      </c>
      <c r="HC225">
        <v>614</v>
      </c>
      <c r="HD225">
        <v>665</v>
      </c>
      <c r="HE225">
        <v>0</v>
      </c>
      <c r="HF225">
        <v>4501</v>
      </c>
      <c r="HG225">
        <v>0</v>
      </c>
      <c r="HH225">
        <v>0</v>
      </c>
      <c r="HI225">
        <v>663</v>
      </c>
      <c r="HL225">
        <v>2021</v>
      </c>
      <c r="HM225">
        <v>22</v>
      </c>
      <c r="HN225" t="s">
        <v>33</v>
      </c>
      <c r="HO225">
        <v>233492</v>
      </c>
      <c r="HP225">
        <v>228400</v>
      </c>
      <c r="HQ225">
        <v>663</v>
      </c>
      <c r="HR225">
        <v>508</v>
      </c>
      <c r="HS225">
        <v>0</v>
      </c>
      <c r="HT225">
        <v>4460</v>
      </c>
      <c r="HU225">
        <v>0</v>
      </c>
      <c r="HV225">
        <v>0</v>
      </c>
      <c r="HW225">
        <v>263</v>
      </c>
      <c r="HZ225" s="24">
        <v>2021</v>
      </c>
      <c r="IA225" s="24">
        <v>22</v>
      </c>
      <c r="IB225" s="24" t="s">
        <v>33</v>
      </c>
      <c r="IC225" s="24">
        <v>10660</v>
      </c>
      <c r="ID225" s="24">
        <v>10425</v>
      </c>
      <c r="IG225" s="24">
        <v>2021</v>
      </c>
      <c r="IH225" s="24">
        <v>22</v>
      </c>
      <c r="II225" s="24" t="s">
        <v>33</v>
      </c>
      <c r="IJ225" s="24">
        <v>10425</v>
      </c>
      <c r="IK225" s="24">
        <v>10388</v>
      </c>
    </row>
    <row r="226" spans="9:245" x14ac:dyDescent="0.4">
      <c r="I226" s="305">
        <v>2021</v>
      </c>
      <c r="J226" s="306">
        <v>22</v>
      </c>
      <c r="K226" s="306" t="s">
        <v>33</v>
      </c>
      <c r="L226" s="306">
        <v>232690</v>
      </c>
      <c r="M226" s="306">
        <v>225041</v>
      </c>
      <c r="N226" s="306">
        <v>330</v>
      </c>
      <c r="O226" s="306">
        <v>1588</v>
      </c>
      <c r="P226" s="306">
        <v>127</v>
      </c>
      <c r="Q226" s="306">
        <v>96</v>
      </c>
      <c r="R226" s="24"/>
      <c r="S226" s="24"/>
      <c r="T226" s="24"/>
      <c r="W226" s="24">
        <v>2021</v>
      </c>
      <c r="X226" s="24">
        <v>21</v>
      </c>
      <c r="Y226" s="24" t="s">
        <v>32</v>
      </c>
      <c r="Z226" s="24">
        <v>19817</v>
      </c>
      <c r="AA226" s="24">
        <v>13003</v>
      </c>
      <c r="AB226" s="24">
        <v>55</v>
      </c>
      <c r="AC226" s="24">
        <v>11</v>
      </c>
      <c r="AD226" s="24"/>
      <c r="AE226" s="24"/>
      <c r="AF226" s="24"/>
      <c r="AG226" s="24"/>
      <c r="AH226" s="24"/>
      <c r="AI226" s="24"/>
      <c r="AJ226" s="24"/>
      <c r="AK226" s="24">
        <v>2021</v>
      </c>
      <c r="AL226" s="24">
        <v>21</v>
      </c>
      <c r="AM226" s="24">
        <v>922.28</v>
      </c>
      <c r="AN226" s="24">
        <v>135.5</v>
      </c>
      <c r="AO226" s="24">
        <v>0</v>
      </c>
      <c r="AP226" s="24">
        <v>21</v>
      </c>
      <c r="AQ226" s="24">
        <v>0</v>
      </c>
      <c r="AR226" s="24">
        <v>0</v>
      </c>
      <c r="AS226" s="24" t="s">
        <v>32</v>
      </c>
      <c r="AT226" s="24"/>
      <c r="AU226" s="24">
        <v>2021</v>
      </c>
      <c r="AV226" s="24">
        <v>21</v>
      </c>
      <c r="AW226" s="24">
        <v>0.16</v>
      </c>
      <c r="AX226" s="24">
        <v>3300</v>
      </c>
      <c r="AY226" s="24">
        <v>21111</v>
      </c>
      <c r="AZ226" s="24" t="s">
        <v>32</v>
      </c>
      <c r="BA226" s="24"/>
      <c r="BB226" s="24"/>
      <c r="BC226" s="24">
        <v>2021</v>
      </c>
      <c r="BD226" s="24">
        <v>21</v>
      </c>
      <c r="BE226" s="24">
        <v>155.47800000000001</v>
      </c>
      <c r="BF226" s="24" t="s">
        <v>32</v>
      </c>
      <c r="BG226" s="24"/>
      <c r="BI226" s="24">
        <v>2022</v>
      </c>
      <c r="BJ226" s="24">
        <v>15</v>
      </c>
      <c r="BK226" s="24" t="s">
        <v>33</v>
      </c>
      <c r="BL226" s="24" t="s">
        <v>273</v>
      </c>
      <c r="BM226" s="24">
        <v>118188</v>
      </c>
      <c r="BN226" s="24">
        <v>117320</v>
      </c>
      <c r="BO226" s="24">
        <v>121101</v>
      </c>
      <c r="BR226" s="24">
        <v>2021</v>
      </c>
      <c r="BS226" s="24">
        <v>21</v>
      </c>
      <c r="BT226" s="24">
        <v>20229</v>
      </c>
      <c r="BU226" s="24">
        <v>0</v>
      </c>
      <c r="BV226" s="24" t="s">
        <v>32</v>
      </c>
      <c r="BY226" s="24">
        <v>2021</v>
      </c>
      <c r="BZ226" s="24">
        <v>21</v>
      </c>
      <c r="CA226" s="24" t="s">
        <v>32</v>
      </c>
      <c r="CB226" s="24" t="s">
        <v>423</v>
      </c>
      <c r="CC226" s="24">
        <v>61</v>
      </c>
      <c r="CF226" s="24">
        <v>2021</v>
      </c>
      <c r="CG226" s="24">
        <v>21</v>
      </c>
      <c r="CH226" s="24" t="s">
        <v>32</v>
      </c>
      <c r="CI226" s="24">
        <v>89.879518072289159</v>
      </c>
      <c r="CJ226" s="24">
        <v>15666</v>
      </c>
      <c r="CK226" s="24">
        <v>174.3</v>
      </c>
      <c r="CL226" s="24">
        <v>36.859167024474026</v>
      </c>
      <c r="CM226" s="24">
        <v>8993</v>
      </c>
      <c r="CN226" s="24">
        <v>17169</v>
      </c>
      <c r="CO226" s="24">
        <v>465.8</v>
      </c>
      <c r="CP226" s="24">
        <v>10786</v>
      </c>
      <c r="CQ226" s="24">
        <v>44.3</v>
      </c>
      <c r="CR226" s="24">
        <v>263.39999999999998</v>
      </c>
      <c r="CS226" s="24">
        <v>20566</v>
      </c>
      <c r="CT226" s="24">
        <v>20566</v>
      </c>
      <c r="CU226" s="24">
        <v>276.60000000000002</v>
      </c>
      <c r="CV226" s="24">
        <v>2111</v>
      </c>
      <c r="CW226" s="24">
        <v>0</v>
      </c>
      <c r="CX226" s="24">
        <v>6057</v>
      </c>
      <c r="CY226" s="24">
        <v>32</v>
      </c>
      <c r="CZ226" s="24">
        <v>8983</v>
      </c>
      <c r="DA226" s="24">
        <v>263.39999999999998</v>
      </c>
      <c r="DD226" s="24">
        <v>2021</v>
      </c>
      <c r="DE226" s="24">
        <v>21</v>
      </c>
      <c r="DF226" s="24" t="s">
        <v>32</v>
      </c>
      <c r="DG226" s="24">
        <v>1150</v>
      </c>
      <c r="DH226" s="24">
        <v>1828</v>
      </c>
      <c r="DJ226" s="24">
        <v>2021</v>
      </c>
      <c r="DK226" s="24">
        <v>20</v>
      </c>
      <c r="DL226" s="24" t="s">
        <v>32</v>
      </c>
      <c r="DM226" s="24">
        <v>8</v>
      </c>
      <c r="DP226" s="24">
        <v>2019</v>
      </c>
      <c r="DQ226" s="24">
        <v>52</v>
      </c>
      <c r="DR226" s="24" t="s">
        <v>33</v>
      </c>
      <c r="DS226" s="24">
        <v>6081</v>
      </c>
      <c r="DT226" s="24"/>
      <c r="DW226" s="24">
        <v>2021</v>
      </c>
      <c r="DX226" s="24">
        <v>52</v>
      </c>
      <c r="DY226" s="24" t="s">
        <v>33</v>
      </c>
      <c r="DZ226" s="24">
        <v>40</v>
      </c>
      <c r="EA226" s="24" t="s">
        <v>149</v>
      </c>
      <c r="EB226" s="24">
        <v>283.7</v>
      </c>
      <c r="EC226" s="24">
        <v>685.9</v>
      </c>
      <c r="ED226" s="24">
        <v>19234</v>
      </c>
      <c r="EE226" s="24">
        <v>28192</v>
      </c>
      <c r="EF226" s="24">
        <v>158</v>
      </c>
      <c r="EI226" s="24">
        <v>2023</v>
      </c>
      <c r="EJ226" s="24">
        <v>4</v>
      </c>
      <c r="EK226" s="24" t="s">
        <v>211</v>
      </c>
      <c r="EL226" s="24" t="s">
        <v>247</v>
      </c>
      <c r="EM226" s="24" t="s">
        <v>210</v>
      </c>
      <c r="EN226" s="24">
        <v>4</v>
      </c>
      <c r="EO226" s="24"/>
      <c r="EP226" s="24"/>
      <c r="EQ226" s="24"/>
      <c r="ER226" s="24"/>
      <c r="ES226" s="24">
        <v>2021</v>
      </c>
      <c r="ET226" s="24">
        <v>36</v>
      </c>
      <c r="EU226" s="24" t="s">
        <v>213</v>
      </c>
      <c r="EV226" s="24">
        <v>1</v>
      </c>
      <c r="EY226" s="24">
        <v>2021</v>
      </c>
      <c r="EZ226" s="24">
        <v>25</v>
      </c>
      <c r="FA226" s="24" t="s">
        <v>33</v>
      </c>
      <c r="FB226" s="24">
        <v>1340</v>
      </c>
      <c r="FE226" s="24">
        <v>2021</v>
      </c>
      <c r="FF226" s="24">
        <v>21</v>
      </c>
      <c r="FG226" s="24" t="s">
        <v>32</v>
      </c>
      <c r="FH226" s="24">
        <v>0.5766</v>
      </c>
      <c r="FI226" s="24">
        <v>512</v>
      </c>
      <c r="FJ226" s="24">
        <v>238</v>
      </c>
      <c r="FK226" s="24">
        <v>354</v>
      </c>
      <c r="FN226" s="24">
        <v>2021</v>
      </c>
      <c r="FO226" s="24">
        <v>22</v>
      </c>
      <c r="FP226" s="24" t="s">
        <v>32</v>
      </c>
      <c r="FQ226" s="24">
        <v>31603</v>
      </c>
      <c r="FR226" s="24">
        <v>683.21666666666704</v>
      </c>
      <c r="FS226" s="24">
        <v>24529</v>
      </c>
      <c r="FT226" s="24">
        <v>306.5</v>
      </c>
      <c r="FW226" s="24">
        <v>2021</v>
      </c>
      <c r="FX226" s="24">
        <v>21</v>
      </c>
      <c r="FY226" s="24" t="s">
        <v>32</v>
      </c>
      <c r="FZ226" s="24">
        <v>2105</v>
      </c>
      <c r="GA226" s="24">
        <v>1616</v>
      </c>
      <c r="GB226" s="24"/>
      <c r="GC226" s="24"/>
      <c r="GD226" s="24">
        <v>2021</v>
      </c>
      <c r="GE226" s="24">
        <v>21</v>
      </c>
      <c r="GF226" s="24" t="s">
        <v>32</v>
      </c>
      <c r="GG226" s="24">
        <v>2119</v>
      </c>
      <c r="GH226" s="24">
        <v>1496</v>
      </c>
      <c r="GK226" s="24"/>
      <c r="GL226" s="24"/>
      <c r="GM226" s="24"/>
      <c r="GN226" s="24"/>
      <c r="GO226" s="24"/>
      <c r="GP226" s="24">
        <v>2021</v>
      </c>
      <c r="GQ226" s="24">
        <v>21</v>
      </c>
      <c r="GR226" s="24">
        <v>1.2632857142857099</v>
      </c>
      <c r="GS226" s="24" t="s">
        <v>32</v>
      </c>
      <c r="GX226">
        <v>2021</v>
      </c>
      <c r="GY226">
        <v>21</v>
      </c>
      <c r="GZ226" t="s">
        <v>32</v>
      </c>
      <c r="HA226">
        <v>20027</v>
      </c>
      <c r="HB226">
        <v>14300</v>
      </c>
      <c r="HC226">
        <v>0</v>
      </c>
      <c r="HD226">
        <v>5</v>
      </c>
      <c r="HE226">
        <v>0</v>
      </c>
      <c r="HF226">
        <v>2909</v>
      </c>
      <c r="HG226">
        <v>0</v>
      </c>
      <c r="HH226">
        <v>0</v>
      </c>
      <c r="HI226">
        <v>173</v>
      </c>
      <c r="HL226">
        <v>2021</v>
      </c>
      <c r="HM226">
        <v>21</v>
      </c>
      <c r="HN226" t="s">
        <v>32</v>
      </c>
      <c r="HO226">
        <v>19776</v>
      </c>
      <c r="HP226">
        <v>14076</v>
      </c>
      <c r="HQ226">
        <v>0</v>
      </c>
      <c r="HR226">
        <v>3</v>
      </c>
      <c r="HS226">
        <v>0</v>
      </c>
      <c r="HT226">
        <v>3141</v>
      </c>
      <c r="HU226">
        <v>0</v>
      </c>
      <c r="HV226">
        <v>0</v>
      </c>
      <c r="HW226">
        <v>116</v>
      </c>
      <c r="HZ226" s="24">
        <v>2021</v>
      </c>
      <c r="IA226" s="24">
        <v>21</v>
      </c>
      <c r="IB226" s="24" t="s">
        <v>32</v>
      </c>
      <c r="IC226" s="24">
        <v>2136</v>
      </c>
      <c r="ID226" s="24">
        <v>1708</v>
      </c>
      <c r="IG226" s="24">
        <v>2021</v>
      </c>
      <c r="IH226" s="24">
        <v>21</v>
      </c>
      <c r="II226" s="24" t="s">
        <v>32</v>
      </c>
      <c r="IJ226" s="24">
        <v>2083</v>
      </c>
      <c r="IK226" s="24">
        <v>1555</v>
      </c>
    </row>
    <row r="227" spans="9:245" x14ac:dyDescent="0.4">
      <c r="I227" s="305">
        <v>2021</v>
      </c>
      <c r="J227" s="306">
        <v>21</v>
      </c>
      <c r="K227" s="306" t="s">
        <v>32</v>
      </c>
      <c r="L227" s="306">
        <v>19864</v>
      </c>
      <c r="M227" s="306">
        <v>13335</v>
      </c>
      <c r="N227" s="306">
        <v>139</v>
      </c>
      <c r="O227" s="306">
        <v>1167</v>
      </c>
      <c r="P227" s="306">
        <v>54</v>
      </c>
      <c r="Q227" s="306">
        <v>16</v>
      </c>
      <c r="R227" s="24"/>
      <c r="S227" s="24"/>
      <c r="T227" s="24"/>
      <c r="W227" s="24">
        <v>2021</v>
      </c>
      <c r="X227" s="24">
        <v>21</v>
      </c>
      <c r="Y227" s="24" t="s">
        <v>33</v>
      </c>
      <c r="Z227" s="24">
        <v>241571</v>
      </c>
      <c r="AA227" s="24">
        <v>227509</v>
      </c>
      <c r="AB227" s="24">
        <v>114</v>
      </c>
      <c r="AC227" s="24">
        <v>47</v>
      </c>
      <c r="AD227" s="24"/>
      <c r="AE227" s="24"/>
      <c r="AF227" s="24"/>
      <c r="AG227" s="24"/>
      <c r="AH227" s="24"/>
      <c r="AI227" s="24"/>
      <c r="AJ227" s="24"/>
      <c r="AK227" s="24">
        <v>2021</v>
      </c>
      <c r="AL227" s="24">
        <v>21</v>
      </c>
      <c r="AM227" s="24">
        <v>13842.93</v>
      </c>
      <c r="AN227" s="24">
        <v>1544.02</v>
      </c>
      <c r="AO227" s="24">
        <v>0</v>
      </c>
      <c r="AP227" s="24">
        <v>360</v>
      </c>
      <c r="AQ227" s="24">
        <v>0</v>
      </c>
      <c r="AR227" s="24">
        <v>2</v>
      </c>
      <c r="AS227" s="24" t="s">
        <v>33</v>
      </c>
      <c r="AT227" s="24"/>
      <c r="AU227" s="24">
        <v>2021</v>
      </c>
      <c r="AV227" s="24">
        <v>21</v>
      </c>
      <c r="AW227" s="24">
        <v>0.06</v>
      </c>
      <c r="AX227" s="24">
        <v>13400</v>
      </c>
      <c r="AY227" s="24">
        <v>239696</v>
      </c>
      <c r="AZ227" s="24" t="s">
        <v>33</v>
      </c>
      <c r="BA227" s="24"/>
      <c r="BB227" s="24"/>
      <c r="BC227" s="24">
        <v>2021</v>
      </c>
      <c r="BD227" s="24">
        <v>21</v>
      </c>
      <c r="BE227" s="24">
        <v>1797.1754285714298</v>
      </c>
      <c r="BF227" s="24" t="s">
        <v>33</v>
      </c>
      <c r="BG227" s="24"/>
      <c r="BI227" s="24">
        <v>2022</v>
      </c>
      <c r="BJ227" s="24">
        <v>15</v>
      </c>
      <c r="BK227" s="24" t="s">
        <v>32</v>
      </c>
      <c r="BL227" s="24" t="s">
        <v>273</v>
      </c>
      <c r="BM227" s="24">
        <v>6660</v>
      </c>
      <c r="BN227" s="24">
        <v>6617</v>
      </c>
      <c r="BO227" s="24">
        <v>6745</v>
      </c>
      <c r="BR227" s="24">
        <v>2021</v>
      </c>
      <c r="BS227" s="24">
        <v>21</v>
      </c>
      <c r="BT227" s="24">
        <v>238237</v>
      </c>
      <c r="BU227" s="24">
        <v>2</v>
      </c>
      <c r="BV227" s="24" t="s">
        <v>33</v>
      </c>
      <c r="BY227" s="24">
        <v>2021</v>
      </c>
      <c r="BZ227" s="24">
        <v>21</v>
      </c>
      <c r="CA227" s="24" t="s">
        <v>33</v>
      </c>
      <c r="CB227" s="24" t="s">
        <v>108</v>
      </c>
      <c r="CC227" s="24">
        <v>2</v>
      </c>
      <c r="CF227" s="24">
        <v>2021</v>
      </c>
      <c r="CG227" s="24">
        <v>21</v>
      </c>
      <c r="CH227" s="24" t="s">
        <v>33</v>
      </c>
      <c r="CI227" s="24">
        <v>123.98742797276061</v>
      </c>
      <c r="CJ227" s="24">
        <v>236692</v>
      </c>
      <c r="CK227" s="24">
        <v>1909</v>
      </c>
      <c r="CL227" s="24">
        <v>88.049952696310314</v>
      </c>
      <c r="CM227" s="24">
        <v>121608</v>
      </c>
      <c r="CN227" s="24">
        <v>232672</v>
      </c>
      <c r="CO227" s="24">
        <v>2642.5</v>
      </c>
      <c r="CP227" s="24">
        <v>48243</v>
      </c>
      <c r="CQ227" s="24">
        <v>240.2</v>
      </c>
      <c r="CR227" s="24">
        <v>1209</v>
      </c>
      <c r="CS227" s="24">
        <v>140531</v>
      </c>
      <c r="CT227" s="24">
        <v>140531</v>
      </c>
      <c r="CU227" s="24">
        <v>1232.5999999999999</v>
      </c>
      <c r="CV227" s="24">
        <v>43398</v>
      </c>
      <c r="CW227" s="24">
        <v>0</v>
      </c>
      <c r="CX227" s="24">
        <v>132619</v>
      </c>
      <c r="CY227" s="24">
        <v>346.3</v>
      </c>
      <c r="CZ227" s="24">
        <v>41587</v>
      </c>
      <c r="DA227" s="24">
        <v>1209</v>
      </c>
      <c r="DD227" s="24">
        <v>2021</v>
      </c>
      <c r="DE227" s="24">
        <v>21</v>
      </c>
      <c r="DF227" s="24" t="s">
        <v>33</v>
      </c>
      <c r="DG227" s="24">
        <v>26897</v>
      </c>
      <c r="DH227" s="24">
        <v>28216</v>
      </c>
      <c r="DJ227" s="24">
        <v>2021</v>
      </c>
      <c r="DK227" s="24">
        <v>20</v>
      </c>
      <c r="DL227" s="24" t="s">
        <v>33</v>
      </c>
      <c r="DM227" s="24">
        <v>699</v>
      </c>
      <c r="DP227" s="24">
        <v>2019</v>
      </c>
      <c r="DQ227" s="24">
        <v>51</v>
      </c>
      <c r="DR227" s="24" t="s">
        <v>33</v>
      </c>
      <c r="DS227" s="24">
        <v>9214</v>
      </c>
      <c r="DT227" s="24"/>
      <c r="DW227" s="24">
        <v>2021</v>
      </c>
      <c r="DX227" s="24">
        <v>51</v>
      </c>
      <c r="DY227" s="24" t="s">
        <v>32</v>
      </c>
      <c r="DZ227" s="24">
        <v>1</v>
      </c>
      <c r="EA227" s="24" t="s">
        <v>149</v>
      </c>
      <c r="EB227" s="24">
        <v>0</v>
      </c>
      <c r="EC227" s="24">
        <v>0</v>
      </c>
      <c r="ED227" s="24">
        <v>51</v>
      </c>
      <c r="EE227" s="24">
        <v>20</v>
      </c>
      <c r="EF227" s="24">
        <v>3.9</v>
      </c>
      <c r="EI227" s="24">
        <v>2023</v>
      </c>
      <c r="EJ227" s="24">
        <v>4</v>
      </c>
      <c r="EK227" s="24" t="s">
        <v>211</v>
      </c>
      <c r="EL227" s="24" t="s">
        <v>247</v>
      </c>
      <c r="EM227" s="24" t="s">
        <v>234</v>
      </c>
      <c r="EN227" s="24">
        <v>10</v>
      </c>
      <c r="EO227" s="24"/>
      <c r="EP227" s="24"/>
      <c r="EQ227" s="24"/>
      <c r="ER227" s="24"/>
      <c r="ES227" s="24">
        <v>2021</v>
      </c>
      <c r="ET227" s="24">
        <v>35</v>
      </c>
      <c r="EU227" s="24" t="s">
        <v>32</v>
      </c>
      <c r="EV227" s="24">
        <v>5338</v>
      </c>
      <c r="EY227" s="24">
        <v>2021</v>
      </c>
      <c r="EZ227" s="24">
        <v>25</v>
      </c>
      <c r="FA227" s="24" t="s">
        <v>213</v>
      </c>
      <c r="FB227" s="24">
        <v>2</v>
      </c>
      <c r="FE227" s="24">
        <v>2021</v>
      </c>
      <c r="FF227" s="24">
        <v>21</v>
      </c>
      <c r="FG227" s="24" t="s">
        <v>33</v>
      </c>
      <c r="FH227" s="24">
        <v>0.94630000000000003</v>
      </c>
      <c r="FI227" s="24">
        <v>13197</v>
      </c>
      <c r="FJ227" s="24">
        <v>6032</v>
      </c>
      <c r="FK227" s="24">
        <v>6417</v>
      </c>
      <c r="FN227" s="24">
        <v>2021</v>
      </c>
      <c r="FO227" s="24">
        <v>22</v>
      </c>
      <c r="FP227" s="24" t="s">
        <v>33</v>
      </c>
      <c r="FQ227" s="24">
        <v>781002</v>
      </c>
      <c r="FR227" s="24">
        <v>6938.0166666666692</v>
      </c>
      <c r="FS227" s="24">
        <v>466402</v>
      </c>
      <c r="FT227" s="24">
        <v>2217.9333333333298</v>
      </c>
      <c r="FW227" s="24">
        <v>2021</v>
      </c>
      <c r="FX227" s="24">
        <v>21</v>
      </c>
      <c r="FY227" s="24" t="s">
        <v>33</v>
      </c>
      <c r="FZ227" s="24">
        <v>11071</v>
      </c>
      <c r="GA227" s="24">
        <v>10426</v>
      </c>
      <c r="GB227" s="24"/>
      <c r="GC227" s="24"/>
      <c r="GD227" s="24">
        <v>2021</v>
      </c>
      <c r="GE227" s="24">
        <v>21</v>
      </c>
      <c r="GF227" s="24" t="s">
        <v>33</v>
      </c>
      <c r="GG227" s="24">
        <v>10960</v>
      </c>
      <c r="GH227" s="24">
        <v>10638</v>
      </c>
      <c r="GK227" s="24"/>
      <c r="GL227" s="24"/>
      <c r="GM227" s="24"/>
      <c r="GN227" s="24"/>
      <c r="GO227" s="24"/>
      <c r="GP227" s="24">
        <v>2021</v>
      </c>
      <c r="GQ227" s="24">
        <v>21</v>
      </c>
      <c r="GR227" s="24">
        <v>4.9152857142857096</v>
      </c>
      <c r="GS227" s="24" t="s">
        <v>33</v>
      </c>
      <c r="GX227">
        <v>2021</v>
      </c>
      <c r="GY227">
        <v>21</v>
      </c>
      <c r="GZ227" t="s">
        <v>33</v>
      </c>
      <c r="HA227">
        <v>239881</v>
      </c>
      <c r="HB227">
        <v>225936</v>
      </c>
      <c r="HC227">
        <v>984</v>
      </c>
      <c r="HD227">
        <v>857</v>
      </c>
      <c r="HE227">
        <v>0</v>
      </c>
      <c r="HF227">
        <v>6408</v>
      </c>
      <c r="HG227">
        <v>0</v>
      </c>
      <c r="HH227">
        <v>0</v>
      </c>
      <c r="HI227">
        <v>1221</v>
      </c>
      <c r="HL227">
        <v>2021</v>
      </c>
      <c r="HM227">
        <v>21</v>
      </c>
      <c r="HN227" t="s">
        <v>33</v>
      </c>
      <c r="HO227">
        <v>241308</v>
      </c>
      <c r="HP227">
        <v>234426</v>
      </c>
      <c r="HQ227">
        <v>1043</v>
      </c>
      <c r="HR227">
        <v>451</v>
      </c>
      <c r="HS227">
        <v>0</v>
      </c>
      <c r="HT227">
        <v>6008</v>
      </c>
      <c r="HU227">
        <v>0</v>
      </c>
      <c r="HV227">
        <v>0</v>
      </c>
      <c r="HW227">
        <v>396</v>
      </c>
      <c r="HZ227" s="24">
        <v>2021</v>
      </c>
      <c r="IA227" s="24">
        <v>21</v>
      </c>
      <c r="IB227" s="24" t="s">
        <v>33</v>
      </c>
      <c r="IC227" s="24">
        <v>11278</v>
      </c>
      <c r="ID227" s="24">
        <v>10784</v>
      </c>
      <c r="IG227" s="24">
        <v>2021</v>
      </c>
      <c r="IH227" s="24">
        <v>21</v>
      </c>
      <c r="II227" s="24" t="s">
        <v>33</v>
      </c>
      <c r="IJ227" s="24">
        <v>10685</v>
      </c>
      <c r="IK227" s="24">
        <v>10604</v>
      </c>
    </row>
    <row r="228" spans="9:245" x14ac:dyDescent="0.4">
      <c r="I228" s="305">
        <v>2021</v>
      </c>
      <c r="J228" s="306">
        <v>21</v>
      </c>
      <c r="K228" s="306" t="s">
        <v>33</v>
      </c>
      <c r="L228" s="306">
        <v>242436</v>
      </c>
      <c r="M228" s="306">
        <v>224467</v>
      </c>
      <c r="N228" s="306">
        <v>679</v>
      </c>
      <c r="O228" s="306">
        <v>5197</v>
      </c>
      <c r="P228" s="306">
        <v>256</v>
      </c>
      <c r="Q228" s="306">
        <v>61</v>
      </c>
      <c r="R228" s="24"/>
      <c r="S228" s="24"/>
      <c r="T228" s="24"/>
      <c r="W228" s="24">
        <v>2021</v>
      </c>
      <c r="X228" s="24">
        <v>20</v>
      </c>
      <c r="Y228" s="24" t="s">
        <v>32</v>
      </c>
      <c r="Z228" s="24">
        <v>13640</v>
      </c>
      <c r="AA228" s="24">
        <v>13196</v>
      </c>
      <c r="AB228" s="24">
        <v>4</v>
      </c>
      <c r="AC228" s="24">
        <v>6</v>
      </c>
      <c r="AD228" s="24"/>
      <c r="AE228" s="24"/>
      <c r="AF228" s="24"/>
      <c r="AG228" s="24"/>
      <c r="AH228" s="24"/>
      <c r="AI228" s="24"/>
      <c r="AJ228" s="24"/>
      <c r="AK228" s="24">
        <v>2021</v>
      </c>
      <c r="AL228" s="24">
        <v>20</v>
      </c>
      <c r="AM228" s="24">
        <v>925.35</v>
      </c>
      <c r="AN228" s="24">
        <v>115.07000000000001</v>
      </c>
      <c r="AO228" s="24">
        <v>0</v>
      </c>
      <c r="AP228" s="24">
        <v>21</v>
      </c>
      <c r="AQ228" s="24">
        <v>0</v>
      </c>
      <c r="AR228" s="24">
        <v>0</v>
      </c>
      <c r="AS228" s="24" t="s">
        <v>32</v>
      </c>
      <c r="AT228" s="24"/>
      <c r="AU228" s="24">
        <v>2021</v>
      </c>
      <c r="AV228" s="24">
        <v>20</v>
      </c>
      <c r="AW228" s="24">
        <v>0.09</v>
      </c>
      <c r="AX228" s="24">
        <v>1200</v>
      </c>
      <c r="AY228" s="24">
        <v>13883</v>
      </c>
      <c r="AZ228" s="24" t="s">
        <v>32</v>
      </c>
      <c r="BA228" s="24"/>
      <c r="BB228" s="24"/>
      <c r="BC228" s="24">
        <v>2021</v>
      </c>
      <c r="BD228" s="24">
        <v>20</v>
      </c>
      <c r="BE228" s="24">
        <v>156.04171428571399</v>
      </c>
      <c r="BF228" s="24" t="s">
        <v>32</v>
      </c>
      <c r="BG228" s="24"/>
      <c r="BI228" s="24">
        <v>2022</v>
      </c>
      <c r="BJ228" s="24">
        <v>15</v>
      </c>
      <c r="BK228" s="24" t="s">
        <v>32</v>
      </c>
      <c r="BL228" s="24" t="s">
        <v>272</v>
      </c>
      <c r="BM228" s="24">
        <v>3024</v>
      </c>
      <c r="BN228" s="24">
        <v>3019</v>
      </c>
      <c r="BO228" s="24">
        <v>10577</v>
      </c>
      <c r="BR228" s="24">
        <v>2021</v>
      </c>
      <c r="BS228" s="24">
        <v>20</v>
      </c>
      <c r="BT228" s="24">
        <v>13801</v>
      </c>
      <c r="BU228" s="24">
        <v>0</v>
      </c>
      <c r="BV228" s="24" t="s">
        <v>32</v>
      </c>
      <c r="BY228" s="24">
        <v>2021</v>
      </c>
      <c r="BZ228" s="24">
        <v>21</v>
      </c>
      <c r="CA228" s="24" t="s">
        <v>33</v>
      </c>
      <c r="CB228" s="24" t="s">
        <v>423</v>
      </c>
      <c r="CC228" s="24">
        <v>18</v>
      </c>
      <c r="CF228" s="24">
        <v>2021</v>
      </c>
      <c r="CG228" s="24">
        <v>20</v>
      </c>
      <c r="CH228" s="24" t="s">
        <v>32</v>
      </c>
      <c r="CI228" s="24">
        <v>59.327146171693734</v>
      </c>
      <c r="CJ228" s="24">
        <v>7671</v>
      </c>
      <c r="CK228" s="24">
        <v>129.30000000000001</v>
      </c>
      <c r="CL228" s="24">
        <v>44.240274039637875</v>
      </c>
      <c r="CM228" s="24">
        <v>9276</v>
      </c>
      <c r="CN228" s="24">
        <v>18081</v>
      </c>
      <c r="CO228" s="24">
        <v>408.7</v>
      </c>
      <c r="CP228" s="24">
        <v>11282</v>
      </c>
      <c r="CQ228" s="24">
        <v>47.3</v>
      </c>
      <c r="CR228" s="24">
        <v>276.3</v>
      </c>
      <c r="CS228" s="24">
        <v>24229</v>
      </c>
      <c r="CT228" s="24">
        <v>24229</v>
      </c>
      <c r="CU228" s="24">
        <v>340.1</v>
      </c>
      <c r="CV228" s="24">
        <v>2127</v>
      </c>
      <c r="CW228" s="24">
        <v>0</v>
      </c>
      <c r="CX228" s="24">
        <v>11009</v>
      </c>
      <c r="CY228" s="24">
        <v>47.3</v>
      </c>
      <c r="CZ228" s="24">
        <v>9268</v>
      </c>
      <c r="DA228" s="24">
        <v>276.3</v>
      </c>
      <c r="DD228" s="24">
        <v>2021</v>
      </c>
      <c r="DE228" s="24">
        <v>20</v>
      </c>
      <c r="DF228" s="24" t="s">
        <v>32</v>
      </c>
      <c r="DG228" s="24">
        <v>837</v>
      </c>
      <c r="DH228" s="24">
        <v>2120</v>
      </c>
      <c r="DJ228" s="24">
        <v>2021</v>
      </c>
      <c r="DK228" s="24">
        <v>19</v>
      </c>
      <c r="DL228" s="24" t="s">
        <v>32</v>
      </c>
      <c r="DM228" s="24">
        <v>21</v>
      </c>
      <c r="DP228" s="24">
        <v>2019</v>
      </c>
      <c r="DQ228" s="24">
        <v>50</v>
      </c>
      <c r="DR228" s="24" t="s">
        <v>33</v>
      </c>
      <c r="DS228" s="24">
        <v>7936</v>
      </c>
      <c r="DT228" s="24"/>
      <c r="DW228" s="24">
        <v>2021</v>
      </c>
      <c r="DX228" s="24">
        <v>51</v>
      </c>
      <c r="DY228" s="24" t="s">
        <v>33</v>
      </c>
      <c r="DZ228" s="24">
        <v>8</v>
      </c>
      <c r="EA228" s="24" t="s">
        <v>562</v>
      </c>
      <c r="EB228" s="24">
        <v>79.599999999999994</v>
      </c>
      <c r="EC228" s="24">
        <v>0</v>
      </c>
      <c r="ED228" s="24">
        <v>10</v>
      </c>
      <c r="EE228" s="24">
        <v>3032</v>
      </c>
      <c r="EF228" s="24">
        <v>32.4</v>
      </c>
      <c r="EI228" s="24">
        <v>2023</v>
      </c>
      <c r="EJ228" s="24">
        <v>4</v>
      </c>
      <c r="EK228" s="24" t="s">
        <v>213</v>
      </c>
      <c r="EL228" s="24" t="s">
        <v>214</v>
      </c>
      <c r="EM228" s="24" t="s">
        <v>215</v>
      </c>
      <c r="EN228" s="24">
        <v>29</v>
      </c>
      <c r="EO228" s="24"/>
      <c r="EP228" s="24"/>
      <c r="EQ228" s="24"/>
      <c r="ER228" s="24"/>
      <c r="ES228" s="24">
        <v>2021</v>
      </c>
      <c r="ET228" s="24">
        <v>35</v>
      </c>
      <c r="EU228" s="24" t="s">
        <v>33</v>
      </c>
      <c r="EV228" s="24">
        <v>120259</v>
      </c>
      <c r="EY228" s="24">
        <v>2021</v>
      </c>
      <c r="EZ228" s="24">
        <v>24</v>
      </c>
      <c r="FA228" s="24" t="s">
        <v>32</v>
      </c>
      <c r="FB228" s="24">
        <v>604</v>
      </c>
      <c r="FE228" s="24">
        <v>2021</v>
      </c>
      <c r="FF228" s="24">
        <v>20</v>
      </c>
      <c r="FG228" s="24" t="s">
        <v>32</v>
      </c>
      <c r="FH228" s="24">
        <v>0.91860000000000008</v>
      </c>
      <c r="FI228" s="24">
        <v>422</v>
      </c>
      <c r="FJ228" s="24">
        <v>201</v>
      </c>
      <c r="FK228" s="24">
        <v>219</v>
      </c>
      <c r="FN228" s="24">
        <v>2021</v>
      </c>
      <c r="FO228" s="24">
        <v>21</v>
      </c>
      <c r="FP228" s="24" t="s">
        <v>32</v>
      </c>
      <c r="FQ228" s="24">
        <v>44012</v>
      </c>
      <c r="FR228" s="24">
        <v>872.58333333333303</v>
      </c>
      <c r="FS228" s="24">
        <v>22435</v>
      </c>
      <c r="FT228" s="24">
        <v>286.2</v>
      </c>
      <c r="FW228" s="24">
        <v>2021</v>
      </c>
      <c r="FX228" s="24">
        <v>20</v>
      </c>
      <c r="FY228" s="24" t="s">
        <v>32</v>
      </c>
      <c r="FZ228" s="24">
        <v>1743</v>
      </c>
      <c r="GA228" s="24">
        <v>1683</v>
      </c>
      <c r="GB228" s="24"/>
      <c r="GC228" s="24"/>
      <c r="GD228" s="24">
        <v>2021</v>
      </c>
      <c r="GE228" s="24">
        <v>20</v>
      </c>
      <c r="GF228" s="24" t="s">
        <v>32</v>
      </c>
      <c r="GG228" s="24">
        <v>1782</v>
      </c>
      <c r="GH228" s="24">
        <v>1692</v>
      </c>
      <c r="GK228" s="24"/>
      <c r="GL228" s="24"/>
      <c r="GM228" s="24"/>
      <c r="GN228" s="24"/>
      <c r="GO228" s="24"/>
      <c r="GP228" s="24">
        <v>2021</v>
      </c>
      <c r="GQ228" s="24">
        <v>20</v>
      </c>
      <c r="GR228" s="24">
        <v>0.33471428571428602</v>
      </c>
      <c r="GS228" s="24" t="s">
        <v>32</v>
      </c>
      <c r="GX228">
        <v>2021</v>
      </c>
      <c r="GY228">
        <v>20</v>
      </c>
      <c r="GZ228" t="s">
        <v>32</v>
      </c>
      <c r="HA228">
        <v>13628</v>
      </c>
      <c r="HB228">
        <v>13494</v>
      </c>
      <c r="HC228">
        <v>0</v>
      </c>
      <c r="HD228">
        <v>2</v>
      </c>
      <c r="HE228">
        <v>0</v>
      </c>
      <c r="HF228">
        <v>3</v>
      </c>
      <c r="HG228">
        <v>0</v>
      </c>
      <c r="HH228">
        <v>0</v>
      </c>
      <c r="HI228">
        <v>23</v>
      </c>
      <c r="HL228">
        <v>2021</v>
      </c>
      <c r="HM228">
        <v>20</v>
      </c>
      <c r="HN228" t="s">
        <v>32</v>
      </c>
      <c r="HO228">
        <v>13620</v>
      </c>
      <c r="HP228">
        <v>13565</v>
      </c>
      <c r="HQ228">
        <v>0</v>
      </c>
      <c r="HR228">
        <v>1</v>
      </c>
      <c r="HS228">
        <v>0</v>
      </c>
      <c r="HT228">
        <v>4</v>
      </c>
      <c r="HU228">
        <v>0</v>
      </c>
      <c r="HV228">
        <v>0</v>
      </c>
      <c r="HW228">
        <v>2</v>
      </c>
      <c r="HZ228" s="24">
        <v>2021</v>
      </c>
      <c r="IA228" s="24">
        <v>20</v>
      </c>
      <c r="IB228" s="24" t="s">
        <v>32</v>
      </c>
      <c r="IC228" s="24">
        <v>1791</v>
      </c>
      <c r="ID228" s="24">
        <v>1749</v>
      </c>
      <c r="IG228" s="24">
        <v>2021</v>
      </c>
      <c r="IH228" s="24">
        <v>20</v>
      </c>
      <c r="II228" s="24" t="s">
        <v>32</v>
      </c>
      <c r="IJ228" s="24">
        <v>1763</v>
      </c>
      <c r="IK228" s="24">
        <v>1747</v>
      </c>
    </row>
    <row r="229" spans="9:245" x14ac:dyDescent="0.4">
      <c r="I229" s="305">
        <v>2021</v>
      </c>
      <c r="J229" s="306">
        <v>20</v>
      </c>
      <c r="K229" s="306" t="s">
        <v>32</v>
      </c>
      <c r="L229" s="306">
        <v>13571</v>
      </c>
      <c r="M229" s="306">
        <v>13172</v>
      </c>
      <c r="N229" s="306">
        <v>37</v>
      </c>
      <c r="O229" s="306">
        <v>100</v>
      </c>
      <c r="P229" s="306">
        <v>9</v>
      </c>
      <c r="Q229" s="306">
        <v>3</v>
      </c>
      <c r="R229" s="24"/>
      <c r="S229" s="24"/>
      <c r="T229" s="24"/>
      <c r="W229" s="24">
        <v>2021</v>
      </c>
      <c r="X229" s="24">
        <v>20</v>
      </c>
      <c r="Y229" s="24" t="s">
        <v>33</v>
      </c>
      <c r="Z229" s="24">
        <v>247503</v>
      </c>
      <c r="AA229" s="24">
        <v>225709</v>
      </c>
      <c r="AB229" s="24">
        <v>174</v>
      </c>
      <c r="AC229" s="24">
        <v>118</v>
      </c>
      <c r="AD229" s="24"/>
      <c r="AE229" s="24"/>
      <c r="AF229" s="24"/>
      <c r="AG229" s="24"/>
      <c r="AH229" s="24"/>
      <c r="AI229" s="24"/>
      <c r="AJ229" s="24"/>
      <c r="AK229" s="24">
        <v>2021</v>
      </c>
      <c r="AL229" s="24">
        <v>20</v>
      </c>
      <c r="AM229" s="24">
        <v>13625.95</v>
      </c>
      <c r="AN229" s="24">
        <v>1415.9</v>
      </c>
      <c r="AO229" s="24">
        <v>0</v>
      </c>
      <c r="AP229" s="24">
        <v>346</v>
      </c>
      <c r="AQ229" s="24">
        <v>0</v>
      </c>
      <c r="AR229" s="24">
        <v>3</v>
      </c>
      <c r="AS229" s="24" t="s">
        <v>33</v>
      </c>
      <c r="AT229" s="24"/>
      <c r="AU229" s="24">
        <v>2021</v>
      </c>
      <c r="AV229" s="24">
        <v>20</v>
      </c>
      <c r="AW229" s="24">
        <v>0.1</v>
      </c>
      <c r="AX229" s="24">
        <v>24500</v>
      </c>
      <c r="AY229" s="24">
        <v>252510</v>
      </c>
      <c r="AZ229" s="24" t="s">
        <v>33</v>
      </c>
      <c r="BA229" s="24"/>
      <c r="BB229" s="24"/>
      <c r="BC229" s="24">
        <v>2021</v>
      </c>
      <c r="BD229" s="24">
        <v>20</v>
      </c>
      <c r="BE229" s="24">
        <v>1793.297</v>
      </c>
      <c r="BF229" s="24" t="s">
        <v>33</v>
      </c>
      <c r="BG229" s="24"/>
      <c r="BI229" s="24">
        <v>2022</v>
      </c>
      <c r="BJ229" s="24">
        <v>15</v>
      </c>
      <c r="BK229" s="24" t="s">
        <v>33</v>
      </c>
      <c r="BL229" s="24" t="s">
        <v>272</v>
      </c>
      <c r="BM229" s="24">
        <v>57155</v>
      </c>
      <c r="BN229" s="24">
        <v>56937</v>
      </c>
      <c r="BO229" s="24">
        <v>204622</v>
      </c>
      <c r="BR229" s="24">
        <v>2021</v>
      </c>
      <c r="BS229" s="24">
        <v>20</v>
      </c>
      <c r="BT229" s="24">
        <v>251389</v>
      </c>
      <c r="BU229" s="24">
        <v>5</v>
      </c>
      <c r="BV229" s="24" t="s">
        <v>33</v>
      </c>
      <c r="BY229" s="24">
        <v>2021</v>
      </c>
      <c r="BZ229" s="24">
        <v>20</v>
      </c>
      <c r="CA229" s="24" t="s">
        <v>32</v>
      </c>
      <c r="CB229" s="24" t="s">
        <v>108</v>
      </c>
      <c r="CC229" s="24">
        <v>4</v>
      </c>
      <c r="CF229" s="24">
        <v>2021</v>
      </c>
      <c r="CG229" s="24">
        <v>20</v>
      </c>
      <c r="CH229" s="24" t="s">
        <v>33</v>
      </c>
      <c r="CI229" s="24">
        <v>123.31823495032145</v>
      </c>
      <c r="CJ229" s="24">
        <v>253197</v>
      </c>
      <c r="CK229" s="24">
        <v>2053.1999999999998</v>
      </c>
      <c r="CL229" s="24">
        <v>90.114891409087534</v>
      </c>
      <c r="CM229" s="24">
        <v>125842</v>
      </c>
      <c r="CN229" s="24">
        <v>243148</v>
      </c>
      <c r="CO229" s="24">
        <v>2698.2</v>
      </c>
      <c r="CP229" s="24">
        <v>53213</v>
      </c>
      <c r="CQ229" s="24">
        <v>260.8</v>
      </c>
      <c r="CR229" s="24">
        <v>1179.3</v>
      </c>
      <c r="CS229" s="24">
        <v>132365</v>
      </c>
      <c r="CT229" s="24">
        <v>132365</v>
      </c>
      <c r="CU229" s="24">
        <v>1182.8</v>
      </c>
      <c r="CV229" s="24">
        <v>50827</v>
      </c>
      <c r="CW229" s="24">
        <v>0</v>
      </c>
      <c r="CX229" s="24">
        <v>133424</v>
      </c>
      <c r="CY229" s="24">
        <v>454.4</v>
      </c>
      <c r="CZ229" s="24">
        <v>41991</v>
      </c>
      <c r="DA229" s="24">
        <v>1179.3</v>
      </c>
      <c r="DD229" s="24">
        <v>2021</v>
      </c>
      <c r="DE229" s="24">
        <v>20</v>
      </c>
      <c r="DF229" s="24" t="s">
        <v>33</v>
      </c>
      <c r="DG229" s="24">
        <v>72311</v>
      </c>
      <c r="DH229" s="24">
        <v>26406</v>
      </c>
      <c r="DJ229" s="24">
        <v>2021</v>
      </c>
      <c r="DK229" s="24">
        <v>19</v>
      </c>
      <c r="DL229" s="24" t="s">
        <v>33</v>
      </c>
      <c r="DM229" s="24">
        <v>622</v>
      </c>
      <c r="DP229" s="24">
        <v>2019</v>
      </c>
      <c r="DQ229" s="24">
        <v>49</v>
      </c>
      <c r="DR229" s="24" t="s">
        <v>33</v>
      </c>
      <c r="DS229" s="24">
        <v>5317</v>
      </c>
      <c r="DT229" s="24"/>
      <c r="DW229" s="24">
        <v>2021</v>
      </c>
      <c r="DX229" s="24">
        <v>51</v>
      </c>
      <c r="DY229" s="24" t="s">
        <v>33</v>
      </c>
      <c r="DZ229" s="24">
        <v>42</v>
      </c>
      <c r="EA229" s="24" t="s">
        <v>149</v>
      </c>
      <c r="EB229" s="24">
        <v>257.60000000000002</v>
      </c>
      <c r="EC229" s="24">
        <v>895.8</v>
      </c>
      <c r="ED229" s="24">
        <v>26529</v>
      </c>
      <c r="EE229" s="24">
        <v>33741</v>
      </c>
      <c r="EF229" s="24">
        <v>122.8</v>
      </c>
      <c r="EI229" s="24">
        <v>2023</v>
      </c>
      <c r="EJ229" s="24">
        <v>3</v>
      </c>
      <c r="EK229" s="24" t="s">
        <v>208</v>
      </c>
      <c r="EL229" s="24" t="s">
        <v>351</v>
      </c>
      <c r="EM229" s="24" t="s">
        <v>210</v>
      </c>
      <c r="EN229" s="24">
        <v>10</v>
      </c>
      <c r="EO229" s="24"/>
      <c r="EP229" s="24"/>
      <c r="EQ229" s="24"/>
      <c r="ER229" s="24"/>
      <c r="ES229" s="24">
        <v>2021</v>
      </c>
      <c r="ET229" s="24">
        <v>35</v>
      </c>
      <c r="EU229" s="24" t="s">
        <v>213</v>
      </c>
      <c r="EV229" s="24">
        <v>3</v>
      </c>
      <c r="EY229" s="24">
        <v>2021</v>
      </c>
      <c r="EZ229" s="24">
        <v>24</v>
      </c>
      <c r="FA229" s="24" t="s">
        <v>33</v>
      </c>
      <c r="FB229" s="24">
        <v>853</v>
      </c>
      <c r="FE229" s="24">
        <v>2021</v>
      </c>
      <c r="FF229" s="24">
        <v>20</v>
      </c>
      <c r="FG229" s="24" t="s">
        <v>33</v>
      </c>
      <c r="FH229" s="24">
        <v>0.91020000000000001</v>
      </c>
      <c r="FI229" s="24">
        <v>14450</v>
      </c>
      <c r="FJ229" s="24">
        <v>6559</v>
      </c>
      <c r="FK229" s="24">
        <v>7268</v>
      </c>
      <c r="FN229" s="24">
        <v>2021</v>
      </c>
      <c r="FO229" s="24">
        <v>21</v>
      </c>
      <c r="FP229" s="24" t="s">
        <v>33</v>
      </c>
      <c r="FQ229" s="24">
        <v>810412</v>
      </c>
      <c r="FR229" s="24">
        <v>7012.95</v>
      </c>
      <c r="FS229" s="24">
        <v>387493</v>
      </c>
      <c r="FT229" s="24">
        <v>1943.8000000000002</v>
      </c>
      <c r="FW229" s="24">
        <v>2021</v>
      </c>
      <c r="FX229" s="24">
        <v>20</v>
      </c>
      <c r="FY229" s="24" t="s">
        <v>33</v>
      </c>
      <c r="FZ229" s="24">
        <v>10084</v>
      </c>
      <c r="GA229" s="24">
        <v>9833</v>
      </c>
      <c r="GB229" s="24"/>
      <c r="GC229" s="24"/>
      <c r="GD229" s="24">
        <v>2021</v>
      </c>
      <c r="GE229" s="24">
        <v>20</v>
      </c>
      <c r="GF229" s="24" t="s">
        <v>33</v>
      </c>
      <c r="GG229" s="24">
        <v>10057</v>
      </c>
      <c r="GH229" s="24">
        <v>9877</v>
      </c>
      <c r="GK229" s="24"/>
      <c r="GL229" s="24"/>
      <c r="GM229" s="24"/>
      <c r="GN229" s="24"/>
      <c r="GO229" s="24"/>
      <c r="GP229" s="24">
        <v>2021</v>
      </c>
      <c r="GQ229" s="24">
        <v>20</v>
      </c>
      <c r="GR229" s="24">
        <v>3.92157142857143</v>
      </c>
      <c r="GS229" s="24" t="s">
        <v>33</v>
      </c>
      <c r="GX229">
        <v>2021</v>
      </c>
      <c r="GY229">
        <v>20</v>
      </c>
      <c r="GZ229" t="s">
        <v>33</v>
      </c>
      <c r="HA229">
        <v>246305</v>
      </c>
      <c r="HB229">
        <v>227622</v>
      </c>
      <c r="HC229">
        <v>1096</v>
      </c>
      <c r="HD229">
        <v>806</v>
      </c>
      <c r="HE229">
        <v>0</v>
      </c>
      <c r="HF229">
        <v>8292</v>
      </c>
      <c r="HG229">
        <v>0</v>
      </c>
      <c r="HH229">
        <v>1</v>
      </c>
      <c r="HI229">
        <v>1465</v>
      </c>
      <c r="HL229">
        <v>2021</v>
      </c>
      <c r="HM229">
        <v>20</v>
      </c>
      <c r="HN229" t="s">
        <v>33</v>
      </c>
      <c r="HO229">
        <v>247232</v>
      </c>
      <c r="HP229">
        <v>232621</v>
      </c>
      <c r="HQ229">
        <v>1362</v>
      </c>
      <c r="HR229">
        <v>597</v>
      </c>
      <c r="HS229">
        <v>0</v>
      </c>
      <c r="HT229">
        <v>8435</v>
      </c>
      <c r="HU229">
        <v>0</v>
      </c>
      <c r="HV229">
        <v>1</v>
      </c>
      <c r="HW229">
        <v>810</v>
      </c>
      <c r="HZ229" s="24">
        <v>2021</v>
      </c>
      <c r="IA229" s="24">
        <v>20</v>
      </c>
      <c r="IB229" s="24" t="s">
        <v>33</v>
      </c>
      <c r="IC229" s="24">
        <v>9849</v>
      </c>
      <c r="ID229" s="24">
        <v>9530</v>
      </c>
      <c r="IG229" s="24">
        <v>2021</v>
      </c>
      <c r="IH229" s="24">
        <v>20</v>
      </c>
      <c r="II229" s="24" t="s">
        <v>33</v>
      </c>
      <c r="IJ229" s="24">
        <v>9747</v>
      </c>
      <c r="IK229" s="24">
        <v>9617</v>
      </c>
    </row>
    <row r="230" spans="9:245" x14ac:dyDescent="0.4">
      <c r="I230" s="305">
        <v>2021</v>
      </c>
      <c r="J230" s="306">
        <v>20</v>
      </c>
      <c r="K230" s="306" t="s">
        <v>33</v>
      </c>
      <c r="L230" s="306">
        <v>248009</v>
      </c>
      <c r="M230" s="306">
        <v>225113</v>
      </c>
      <c r="N230" s="306">
        <v>776</v>
      </c>
      <c r="O230" s="306">
        <v>4431</v>
      </c>
      <c r="P230" s="306">
        <v>207</v>
      </c>
      <c r="Q230" s="306">
        <v>144</v>
      </c>
      <c r="R230" s="24"/>
      <c r="S230" s="24"/>
      <c r="T230" s="24"/>
      <c r="W230" s="24">
        <v>2021</v>
      </c>
      <c r="X230" s="24">
        <v>19</v>
      </c>
      <c r="Y230" s="24" t="s">
        <v>32</v>
      </c>
      <c r="Z230" s="24">
        <v>12779</v>
      </c>
      <c r="AA230" s="24">
        <v>11909</v>
      </c>
      <c r="AB230" s="24">
        <v>17</v>
      </c>
      <c r="AC230" s="24">
        <v>22</v>
      </c>
      <c r="AD230" s="24"/>
      <c r="AE230" s="24"/>
      <c r="AF230" s="24"/>
      <c r="AG230" s="24"/>
      <c r="AH230" s="24"/>
      <c r="AI230" s="24"/>
      <c r="AJ230" s="24"/>
      <c r="AK230" s="24">
        <v>2021</v>
      </c>
      <c r="AL230" s="24">
        <v>19</v>
      </c>
      <c r="AM230" s="24">
        <v>883.48</v>
      </c>
      <c r="AN230" s="24">
        <v>127.35000000000001</v>
      </c>
      <c r="AO230" s="24">
        <v>0</v>
      </c>
      <c r="AP230" s="24">
        <v>21</v>
      </c>
      <c r="AQ230" s="24">
        <v>0</v>
      </c>
      <c r="AR230" s="24">
        <v>0</v>
      </c>
      <c r="AS230" s="24" t="s">
        <v>32</v>
      </c>
      <c r="AT230" s="24"/>
      <c r="AU230" s="24">
        <v>2021</v>
      </c>
      <c r="AV230" s="24">
        <v>19</v>
      </c>
      <c r="AW230" s="24">
        <v>0.12</v>
      </c>
      <c r="AX230" s="24">
        <v>1600</v>
      </c>
      <c r="AY230" s="24">
        <v>13176</v>
      </c>
      <c r="AZ230" s="24" t="s">
        <v>32</v>
      </c>
      <c r="BA230" s="24"/>
      <c r="BB230" s="24"/>
      <c r="BC230" s="24">
        <v>2021</v>
      </c>
      <c r="BD230" s="24">
        <v>19</v>
      </c>
      <c r="BE230" s="24">
        <v>155.303857142857</v>
      </c>
      <c r="BF230" s="24" t="s">
        <v>32</v>
      </c>
      <c r="BG230" s="24"/>
      <c r="BI230" s="24">
        <v>2022</v>
      </c>
      <c r="BJ230" s="24">
        <v>14</v>
      </c>
      <c r="BK230" s="24" t="s">
        <v>32</v>
      </c>
      <c r="BL230" s="24" t="s">
        <v>273</v>
      </c>
      <c r="BM230" s="24">
        <v>6623</v>
      </c>
      <c r="BN230" s="24">
        <v>6577</v>
      </c>
      <c r="BO230" s="24">
        <v>6739</v>
      </c>
      <c r="BR230" s="24">
        <v>2021</v>
      </c>
      <c r="BS230" s="24">
        <v>19</v>
      </c>
      <c r="BT230" s="24">
        <v>248798</v>
      </c>
      <c r="BU230" s="24">
        <v>3</v>
      </c>
      <c r="BV230" s="24" t="s">
        <v>33</v>
      </c>
      <c r="BY230" s="24">
        <v>2021</v>
      </c>
      <c r="BZ230" s="24">
        <v>20</v>
      </c>
      <c r="CA230" s="24" t="s">
        <v>32</v>
      </c>
      <c r="CB230" s="24" t="s">
        <v>423</v>
      </c>
      <c r="CC230" s="24">
        <v>54</v>
      </c>
      <c r="CF230" s="24">
        <v>2021</v>
      </c>
      <c r="CG230" s="24">
        <v>19</v>
      </c>
      <c r="CH230" s="24" t="s">
        <v>32</v>
      </c>
      <c r="CI230" s="24">
        <v>33.226366001734604</v>
      </c>
      <c r="CJ230" s="24">
        <v>3831</v>
      </c>
      <c r="CK230" s="24">
        <v>115.3</v>
      </c>
      <c r="CL230" s="24">
        <v>59.11392405063291</v>
      </c>
      <c r="CM230" s="24">
        <v>10603</v>
      </c>
      <c r="CN230" s="24">
        <v>20081</v>
      </c>
      <c r="CO230" s="24">
        <v>339.7</v>
      </c>
      <c r="CP230" s="24">
        <v>11678</v>
      </c>
      <c r="CQ230" s="24">
        <v>48.6</v>
      </c>
      <c r="CR230" s="24">
        <v>290.2</v>
      </c>
      <c r="CS230" s="24">
        <v>20778</v>
      </c>
      <c r="CT230" s="24">
        <v>20778</v>
      </c>
      <c r="CU230" s="24">
        <v>328.9</v>
      </c>
      <c r="CV230" s="24">
        <v>1978</v>
      </c>
      <c r="CW230" s="24">
        <v>0</v>
      </c>
      <c r="CX230" s="24">
        <v>4009</v>
      </c>
      <c r="CY230" s="24">
        <v>51.6</v>
      </c>
      <c r="CZ230" s="24">
        <v>9710</v>
      </c>
      <c r="DA230" s="24">
        <v>290.2</v>
      </c>
      <c r="DD230" s="24">
        <v>2021</v>
      </c>
      <c r="DE230" s="24">
        <v>19</v>
      </c>
      <c r="DF230" s="24" t="s">
        <v>32</v>
      </c>
      <c r="DG230" s="24">
        <v>1435</v>
      </c>
      <c r="DH230" s="24">
        <v>1596</v>
      </c>
      <c r="DJ230" s="24">
        <v>2021</v>
      </c>
      <c r="DK230" s="24">
        <v>18</v>
      </c>
      <c r="DL230" s="24" t="s">
        <v>32</v>
      </c>
      <c r="DM230" s="24">
        <v>11</v>
      </c>
      <c r="DP230" s="24">
        <v>2019</v>
      </c>
      <c r="DQ230" s="24">
        <v>48</v>
      </c>
      <c r="DR230" s="24" t="s">
        <v>33</v>
      </c>
      <c r="DS230" s="24">
        <v>6794</v>
      </c>
      <c r="DT230" s="24"/>
      <c r="DW230" s="24">
        <v>2021</v>
      </c>
      <c r="DX230" s="24">
        <v>50</v>
      </c>
      <c r="DY230" s="24" t="s">
        <v>32</v>
      </c>
      <c r="DZ230" s="24">
        <v>1</v>
      </c>
      <c r="EA230" s="24" t="s">
        <v>149</v>
      </c>
      <c r="EB230" s="24">
        <v>0</v>
      </c>
      <c r="EC230" s="24">
        <v>0</v>
      </c>
      <c r="ED230" s="24">
        <v>47</v>
      </c>
      <c r="EE230" s="24">
        <v>11</v>
      </c>
      <c r="EF230" s="24">
        <v>2.5</v>
      </c>
      <c r="EI230" s="24">
        <v>2023</v>
      </c>
      <c r="EJ230" s="24">
        <v>3</v>
      </c>
      <c r="EK230" s="24" t="s">
        <v>208</v>
      </c>
      <c r="EL230" s="24" t="s">
        <v>351</v>
      </c>
      <c r="EM230" s="24" t="s">
        <v>234</v>
      </c>
      <c r="EN230" s="24">
        <v>2</v>
      </c>
      <c r="EO230" s="24"/>
      <c r="EP230" s="24"/>
      <c r="EQ230" s="24"/>
      <c r="ER230" s="24"/>
      <c r="ES230" s="24">
        <v>2021</v>
      </c>
      <c r="ET230" s="24">
        <v>34</v>
      </c>
      <c r="EU230" s="24" t="s">
        <v>32</v>
      </c>
      <c r="EV230" s="24">
        <v>4989</v>
      </c>
      <c r="EY230" s="24">
        <v>2021</v>
      </c>
      <c r="EZ230" s="24">
        <v>24</v>
      </c>
      <c r="FA230" s="24" t="s">
        <v>213</v>
      </c>
      <c r="FB230" s="24">
        <v>2</v>
      </c>
      <c r="FE230" s="24">
        <v>2021</v>
      </c>
      <c r="FF230" s="24">
        <v>19</v>
      </c>
      <c r="FG230" s="24" t="s">
        <v>32</v>
      </c>
      <c r="FH230" s="24">
        <v>0.85020000000000007</v>
      </c>
      <c r="FI230" s="24">
        <v>393</v>
      </c>
      <c r="FJ230" s="24">
        <v>186</v>
      </c>
      <c r="FK230" s="24">
        <v>217</v>
      </c>
      <c r="FN230" s="24">
        <v>2021</v>
      </c>
      <c r="FO230" s="24">
        <v>20</v>
      </c>
      <c r="FP230" s="24" t="s">
        <v>32</v>
      </c>
      <c r="FQ230" s="24">
        <v>32581</v>
      </c>
      <c r="FR230" s="24">
        <v>783.1</v>
      </c>
      <c r="FS230" s="24">
        <v>30509</v>
      </c>
      <c r="FT230" s="24">
        <v>262.96666666666698</v>
      </c>
      <c r="FW230" s="24">
        <v>2021</v>
      </c>
      <c r="FX230" s="24">
        <v>19</v>
      </c>
      <c r="FY230" s="24" t="s">
        <v>32</v>
      </c>
      <c r="FZ230" s="24">
        <v>1566</v>
      </c>
      <c r="GA230" s="24">
        <v>1465</v>
      </c>
      <c r="GB230" s="24"/>
      <c r="GC230" s="24"/>
      <c r="GD230" s="24">
        <v>2021</v>
      </c>
      <c r="GE230" s="24">
        <v>19</v>
      </c>
      <c r="GF230" s="24" t="s">
        <v>32</v>
      </c>
      <c r="GG230" s="24">
        <v>1579</v>
      </c>
      <c r="GH230" s="24">
        <v>1402</v>
      </c>
      <c r="GK230" s="24"/>
      <c r="GL230" s="24"/>
      <c r="GM230" s="24"/>
      <c r="GN230" s="24"/>
      <c r="GO230" s="24"/>
      <c r="GP230" s="24">
        <v>2021</v>
      </c>
      <c r="GQ230" s="24">
        <v>19</v>
      </c>
      <c r="GR230" s="24">
        <v>0.29899999999999999</v>
      </c>
      <c r="GS230" s="24" t="s">
        <v>32</v>
      </c>
      <c r="GX230">
        <v>2021</v>
      </c>
      <c r="GY230">
        <v>19</v>
      </c>
      <c r="GZ230" t="s">
        <v>32</v>
      </c>
      <c r="HA230">
        <v>12724</v>
      </c>
      <c r="HB230">
        <v>12380</v>
      </c>
      <c r="HC230">
        <v>0</v>
      </c>
      <c r="HD230">
        <v>7</v>
      </c>
      <c r="HE230">
        <v>0</v>
      </c>
      <c r="HF230">
        <v>31</v>
      </c>
      <c r="HG230">
        <v>0</v>
      </c>
      <c r="HH230">
        <v>0</v>
      </c>
      <c r="HI230">
        <v>57</v>
      </c>
      <c r="HL230">
        <v>2021</v>
      </c>
      <c r="HM230">
        <v>19</v>
      </c>
      <c r="HN230" t="s">
        <v>32</v>
      </c>
      <c r="HO230">
        <v>12744</v>
      </c>
      <c r="HP230">
        <v>12267</v>
      </c>
      <c r="HQ230">
        <v>0</v>
      </c>
      <c r="HR230">
        <v>25</v>
      </c>
      <c r="HS230">
        <v>0</v>
      </c>
      <c r="HT230">
        <v>42</v>
      </c>
      <c r="HU230">
        <v>0</v>
      </c>
      <c r="HV230">
        <v>0</v>
      </c>
      <c r="HW230">
        <v>25</v>
      </c>
      <c r="HZ230" s="24">
        <v>2021</v>
      </c>
      <c r="IA230" s="24">
        <v>19</v>
      </c>
      <c r="IB230" s="24" t="s">
        <v>32</v>
      </c>
      <c r="IC230" s="24">
        <v>1545</v>
      </c>
      <c r="ID230" s="24">
        <v>1457</v>
      </c>
      <c r="IG230" s="24">
        <v>2021</v>
      </c>
      <c r="IH230" s="24">
        <v>19</v>
      </c>
      <c r="II230" s="24" t="s">
        <v>32</v>
      </c>
      <c r="IJ230" s="24">
        <v>1555</v>
      </c>
      <c r="IK230" s="24">
        <v>1479</v>
      </c>
    </row>
    <row r="231" spans="9:245" x14ac:dyDescent="0.4">
      <c r="I231" s="305">
        <v>2021</v>
      </c>
      <c r="J231" s="306">
        <v>19</v>
      </c>
      <c r="K231" s="306" t="s">
        <v>32</v>
      </c>
      <c r="L231" s="306">
        <v>12786</v>
      </c>
      <c r="M231" s="306">
        <v>12214</v>
      </c>
      <c r="N231" s="306">
        <v>39</v>
      </c>
      <c r="O231" s="306">
        <v>159</v>
      </c>
      <c r="P231" s="306">
        <v>14</v>
      </c>
      <c r="Q231" s="306">
        <v>10</v>
      </c>
      <c r="R231" s="24"/>
      <c r="S231" s="24"/>
      <c r="T231" s="24"/>
      <c r="W231" s="24">
        <v>2021</v>
      </c>
      <c r="X231" s="24">
        <v>19</v>
      </c>
      <c r="Y231" s="24" t="s">
        <v>33</v>
      </c>
      <c r="Z231" s="24">
        <v>243060</v>
      </c>
      <c r="AA231" s="24">
        <v>191882</v>
      </c>
      <c r="AB231" s="24">
        <v>428</v>
      </c>
      <c r="AC231" s="24">
        <v>60</v>
      </c>
      <c r="AD231" s="24"/>
      <c r="AE231" s="24"/>
      <c r="AF231" s="24"/>
      <c r="AG231" s="24"/>
      <c r="AH231" s="24"/>
      <c r="AI231" s="24"/>
      <c r="AJ231" s="24"/>
      <c r="AK231" s="24">
        <v>2021</v>
      </c>
      <c r="AL231" s="24">
        <v>19</v>
      </c>
      <c r="AM231" s="24">
        <v>13964.23</v>
      </c>
      <c r="AN231" s="24">
        <v>1668.75</v>
      </c>
      <c r="AO231" s="24">
        <v>0</v>
      </c>
      <c r="AP231" s="24">
        <v>341</v>
      </c>
      <c r="AQ231" s="24">
        <v>0</v>
      </c>
      <c r="AR231" s="24">
        <v>4</v>
      </c>
      <c r="AS231" s="24" t="s">
        <v>33</v>
      </c>
      <c r="AT231" s="24"/>
      <c r="AU231" s="24">
        <v>2021</v>
      </c>
      <c r="AV231" s="24">
        <v>19</v>
      </c>
      <c r="AW231" s="24">
        <v>0.09</v>
      </c>
      <c r="AX231" s="24">
        <v>23300</v>
      </c>
      <c r="AY231" s="24">
        <v>250068</v>
      </c>
      <c r="AZ231" s="24" t="s">
        <v>33</v>
      </c>
      <c r="BA231" s="24"/>
      <c r="BB231" s="24"/>
      <c r="BC231" s="24">
        <v>2021</v>
      </c>
      <c r="BD231" s="24">
        <v>19</v>
      </c>
      <c r="BE231" s="24">
        <v>1786.683</v>
      </c>
      <c r="BF231" s="24" t="s">
        <v>33</v>
      </c>
      <c r="BG231" s="24"/>
      <c r="BI231" s="24">
        <v>2022</v>
      </c>
      <c r="BJ231" s="24">
        <v>14</v>
      </c>
      <c r="BK231" s="24" t="s">
        <v>33</v>
      </c>
      <c r="BL231" s="24" t="s">
        <v>273</v>
      </c>
      <c r="BM231" s="24">
        <v>128696</v>
      </c>
      <c r="BN231" s="24">
        <v>126844</v>
      </c>
      <c r="BO231" s="24">
        <v>132125</v>
      </c>
      <c r="BR231" s="24">
        <v>2021</v>
      </c>
      <c r="BS231" s="24">
        <v>19</v>
      </c>
      <c r="BT231" s="24">
        <v>13076</v>
      </c>
      <c r="BU231" s="24">
        <v>0</v>
      </c>
      <c r="BV231" s="24" t="s">
        <v>32</v>
      </c>
      <c r="BY231" s="24">
        <v>2021</v>
      </c>
      <c r="BZ231" s="24">
        <v>20</v>
      </c>
      <c r="CA231" s="24" t="s">
        <v>33</v>
      </c>
      <c r="CB231" s="24" t="s">
        <v>423</v>
      </c>
      <c r="CC231" s="24">
        <v>20</v>
      </c>
      <c r="CF231" s="24">
        <v>2021</v>
      </c>
      <c r="CG231" s="24">
        <v>19</v>
      </c>
      <c r="CH231" s="24" t="s">
        <v>33</v>
      </c>
      <c r="CI231" s="24">
        <v>111.94010294805803</v>
      </c>
      <c r="CJ231" s="24">
        <v>239216</v>
      </c>
      <c r="CK231" s="24">
        <v>2137</v>
      </c>
      <c r="CL231" s="24">
        <v>92.148992401717877</v>
      </c>
      <c r="CM231" s="24">
        <v>121556</v>
      </c>
      <c r="CN231" s="24">
        <v>223148</v>
      </c>
      <c r="CO231" s="24">
        <v>2421.6</v>
      </c>
      <c r="CP231" s="24">
        <v>53949</v>
      </c>
      <c r="CQ231" s="24">
        <v>264.60000000000002</v>
      </c>
      <c r="CR231" s="24">
        <v>1224.2</v>
      </c>
      <c r="CS231" s="24">
        <v>166018</v>
      </c>
      <c r="CT231" s="24">
        <v>169093</v>
      </c>
      <c r="CU231" s="24">
        <v>1278.9000000000001</v>
      </c>
      <c r="CV231" s="24">
        <v>49725</v>
      </c>
      <c r="CW231" s="24">
        <v>0</v>
      </c>
      <c r="CX231" s="24">
        <v>136920</v>
      </c>
      <c r="CY231" s="24">
        <v>452.2</v>
      </c>
      <c r="CZ231" s="24">
        <v>43201</v>
      </c>
      <c r="DA231" s="24">
        <v>1224.2</v>
      </c>
      <c r="DD231" s="24">
        <v>2021</v>
      </c>
      <c r="DE231" s="24">
        <v>19</v>
      </c>
      <c r="DF231" s="24" t="s">
        <v>33</v>
      </c>
      <c r="DG231" s="24">
        <v>47230</v>
      </c>
      <c r="DH231" s="24">
        <v>33019</v>
      </c>
      <c r="DJ231" s="24">
        <v>2021</v>
      </c>
      <c r="DK231" s="24">
        <v>18</v>
      </c>
      <c r="DL231" s="24" t="s">
        <v>33</v>
      </c>
      <c r="DM231" s="24">
        <v>1221</v>
      </c>
      <c r="DP231" s="24">
        <v>2019</v>
      </c>
      <c r="DQ231" s="24">
        <v>47</v>
      </c>
      <c r="DR231" s="24" t="s">
        <v>33</v>
      </c>
      <c r="DS231" s="24">
        <v>7699</v>
      </c>
      <c r="DT231" s="24">
        <v>26</v>
      </c>
      <c r="DW231" s="24">
        <v>2021</v>
      </c>
      <c r="DX231" s="24">
        <v>50</v>
      </c>
      <c r="DY231" s="24" t="s">
        <v>33</v>
      </c>
      <c r="DZ231" s="24">
        <v>9</v>
      </c>
      <c r="EA231" s="24" t="s">
        <v>562</v>
      </c>
      <c r="EB231" s="24">
        <v>79.2</v>
      </c>
      <c r="EC231" s="24">
        <v>0</v>
      </c>
      <c r="ED231" s="24">
        <v>10</v>
      </c>
      <c r="EE231" s="24">
        <v>2844</v>
      </c>
      <c r="EF231" s="24">
        <v>36</v>
      </c>
      <c r="EI231" s="24">
        <v>2023</v>
      </c>
      <c r="EJ231" s="24">
        <v>3</v>
      </c>
      <c r="EK231" s="24" t="s">
        <v>208</v>
      </c>
      <c r="EL231" s="24" t="s">
        <v>351</v>
      </c>
      <c r="EM231" s="24" t="s">
        <v>215</v>
      </c>
      <c r="EN231" s="24">
        <v>1</v>
      </c>
      <c r="EO231" s="24"/>
      <c r="EP231" s="24"/>
      <c r="EQ231" s="24"/>
      <c r="ER231" s="24"/>
      <c r="ES231" s="24">
        <v>2021</v>
      </c>
      <c r="ET231" s="24">
        <v>34</v>
      </c>
      <c r="EU231" s="24" t="s">
        <v>33</v>
      </c>
      <c r="EV231" s="24">
        <v>123548</v>
      </c>
      <c r="EY231" s="24">
        <v>2021</v>
      </c>
      <c r="EZ231" s="24">
        <v>23</v>
      </c>
      <c r="FA231" s="24" t="s">
        <v>32</v>
      </c>
      <c r="FB231" s="24">
        <v>721</v>
      </c>
      <c r="FE231" s="24">
        <v>2021</v>
      </c>
      <c r="FF231" s="24">
        <v>19</v>
      </c>
      <c r="FG231" s="24" t="s">
        <v>33</v>
      </c>
      <c r="FH231" s="24">
        <v>0.79</v>
      </c>
      <c r="FI231" s="24">
        <v>15011</v>
      </c>
      <c r="FJ231" s="24">
        <v>6874</v>
      </c>
      <c r="FK231" s="24">
        <v>8583</v>
      </c>
      <c r="FN231" s="24">
        <v>2021</v>
      </c>
      <c r="FO231" s="24">
        <v>20</v>
      </c>
      <c r="FP231" s="24" t="s">
        <v>33</v>
      </c>
      <c r="FQ231" s="24">
        <v>887272</v>
      </c>
      <c r="FR231" s="24">
        <v>7518.1</v>
      </c>
      <c r="FS231" s="24">
        <v>370601</v>
      </c>
      <c r="FT231" s="24">
        <v>2125.5</v>
      </c>
      <c r="FW231" s="24">
        <v>2021</v>
      </c>
      <c r="FX231" s="24">
        <v>19</v>
      </c>
      <c r="FY231" s="24" t="s">
        <v>33</v>
      </c>
      <c r="FZ231" s="24">
        <v>10207</v>
      </c>
      <c r="GA231" s="24">
        <v>9332</v>
      </c>
      <c r="GB231" s="24"/>
      <c r="GC231" s="24"/>
      <c r="GD231" s="24">
        <v>2021</v>
      </c>
      <c r="GE231" s="24">
        <v>19</v>
      </c>
      <c r="GF231" s="24" t="s">
        <v>33</v>
      </c>
      <c r="GG231" s="24">
        <v>10225</v>
      </c>
      <c r="GH231" s="24">
        <v>9446</v>
      </c>
      <c r="GK231" s="24"/>
      <c r="GL231" s="24"/>
      <c r="GM231" s="24"/>
      <c r="GN231" s="24"/>
      <c r="GO231" s="24"/>
      <c r="GP231" s="24">
        <v>2021</v>
      </c>
      <c r="GQ231" s="24">
        <v>19</v>
      </c>
      <c r="GR231" s="24">
        <v>3.49885714285714</v>
      </c>
      <c r="GS231" s="24" t="s">
        <v>33</v>
      </c>
      <c r="GX231">
        <v>2021</v>
      </c>
      <c r="GY231">
        <v>19</v>
      </c>
      <c r="GZ231" t="s">
        <v>33</v>
      </c>
      <c r="HA231">
        <v>245744</v>
      </c>
      <c r="HB231">
        <v>203984</v>
      </c>
      <c r="HC231">
        <v>1046</v>
      </c>
      <c r="HD231">
        <v>1704</v>
      </c>
      <c r="HE231">
        <v>1</v>
      </c>
      <c r="HF231">
        <v>19911</v>
      </c>
      <c r="HG231">
        <v>0</v>
      </c>
      <c r="HH231">
        <v>0</v>
      </c>
      <c r="HI231">
        <v>2407</v>
      </c>
      <c r="HL231">
        <v>2021</v>
      </c>
      <c r="HM231">
        <v>19</v>
      </c>
      <c r="HN231" t="s">
        <v>33</v>
      </c>
      <c r="HO231">
        <v>242667</v>
      </c>
      <c r="HP231">
        <v>206960</v>
      </c>
      <c r="HQ231">
        <v>1079</v>
      </c>
      <c r="HR231">
        <v>1484</v>
      </c>
      <c r="HS231">
        <v>1</v>
      </c>
      <c r="HT231">
        <v>19175</v>
      </c>
      <c r="HU231">
        <v>0</v>
      </c>
      <c r="HV231">
        <v>0</v>
      </c>
      <c r="HW231">
        <v>1663</v>
      </c>
      <c r="HZ231" s="24">
        <v>2021</v>
      </c>
      <c r="IA231" s="24">
        <v>19</v>
      </c>
      <c r="IB231" s="24" t="s">
        <v>33</v>
      </c>
      <c r="IC231" s="24">
        <v>10445</v>
      </c>
      <c r="ID231" s="24">
        <v>9480</v>
      </c>
      <c r="IG231" s="24">
        <v>2021</v>
      </c>
      <c r="IH231" s="24">
        <v>19</v>
      </c>
      <c r="II231" s="24" t="s">
        <v>33</v>
      </c>
      <c r="IJ231" s="24">
        <v>9827</v>
      </c>
      <c r="IK231" s="24">
        <v>9193</v>
      </c>
    </row>
    <row r="232" spans="9:245" x14ac:dyDescent="0.4">
      <c r="I232" s="305">
        <v>2021</v>
      </c>
      <c r="J232" s="306">
        <v>19</v>
      </c>
      <c r="K232" s="306" t="s">
        <v>33</v>
      </c>
      <c r="L232" s="306">
        <v>243151</v>
      </c>
      <c r="M232" s="306">
        <v>190748</v>
      </c>
      <c r="N232" s="306">
        <v>1077</v>
      </c>
      <c r="O232" s="306">
        <v>9678</v>
      </c>
      <c r="P232" s="306">
        <v>492</v>
      </c>
      <c r="Q232" s="306">
        <v>70</v>
      </c>
      <c r="R232" s="24"/>
      <c r="S232" s="24"/>
      <c r="T232" s="24"/>
      <c r="W232" s="24">
        <v>2021</v>
      </c>
      <c r="X232" s="24">
        <v>18</v>
      </c>
      <c r="Y232" s="24" t="s">
        <v>32</v>
      </c>
      <c r="Z232" s="24">
        <v>13738</v>
      </c>
      <c r="AA232" s="24">
        <v>12921</v>
      </c>
      <c r="AB232" s="24">
        <v>11</v>
      </c>
      <c r="AC232" s="24">
        <v>2</v>
      </c>
      <c r="AD232" s="24"/>
      <c r="AE232" s="24"/>
      <c r="AF232" s="24"/>
      <c r="AG232" s="24"/>
      <c r="AH232" s="24"/>
      <c r="AI232" s="24"/>
      <c r="AJ232" s="24"/>
      <c r="AK232" s="24">
        <v>2021</v>
      </c>
      <c r="AL232" s="24">
        <v>18</v>
      </c>
      <c r="AM232" s="24">
        <v>812.23</v>
      </c>
      <c r="AN232" s="24">
        <v>112.15</v>
      </c>
      <c r="AO232" s="24">
        <v>0</v>
      </c>
      <c r="AP232" s="24">
        <v>18</v>
      </c>
      <c r="AQ232" s="24">
        <v>0</v>
      </c>
      <c r="AR232" s="24">
        <v>0</v>
      </c>
      <c r="AS232" s="24" t="s">
        <v>32</v>
      </c>
      <c r="AT232" s="24"/>
      <c r="AU232" s="24">
        <v>2021</v>
      </c>
      <c r="AV232" s="24">
        <v>18</v>
      </c>
      <c r="AW232" s="24">
        <v>7.0000000000000007E-2</v>
      </c>
      <c r="AX232" s="24">
        <v>900</v>
      </c>
      <c r="AY232" s="24">
        <v>13759</v>
      </c>
      <c r="AZ232" s="24" t="s">
        <v>32</v>
      </c>
      <c r="BA232" s="24"/>
      <c r="BB232" s="24"/>
      <c r="BC232" s="24">
        <v>2021</v>
      </c>
      <c r="BD232" s="24">
        <v>18</v>
      </c>
      <c r="BE232" s="24">
        <v>155.99071428571401</v>
      </c>
      <c r="BF232" s="24" t="s">
        <v>32</v>
      </c>
      <c r="BG232" s="24"/>
      <c r="BI232" s="24">
        <v>2022</v>
      </c>
      <c r="BJ232" s="24">
        <v>14</v>
      </c>
      <c r="BK232" s="24" t="s">
        <v>32</v>
      </c>
      <c r="BL232" s="24" t="s">
        <v>272</v>
      </c>
      <c r="BM232" s="24">
        <v>3319</v>
      </c>
      <c r="BN232" s="24">
        <v>3316</v>
      </c>
      <c r="BO232" s="24">
        <v>11549</v>
      </c>
      <c r="BR232" s="24">
        <v>2021</v>
      </c>
      <c r="BS232" s="24">
        <v>18</v>
      </c>
      <c r="BT232" s="24">
        <v>13677</v>
      </c>
      <c r="BU232" s="24">
        <v>0</v>
      </c>
      <c r="BV232" s="24" t="s">
        <v>32</v>
      </c>
      <c r="BY232" s="24">
        <v>2021</v>
      </c>
      <c r="BZ232" s="24">
        <v>19</v>
      </c>
      <c r="CA232" s="24" t="s">
        <v>32</v>
      </c>
      <c r="CB232" s="24" t="s">
        <v>108</v>
      </c>
      <c r="CC232" s="24">
        <v>4</v>
      </c>
      <c r="CF232" s="24">
        <v>2021</v>
      </c>
      <c r="CG232" s="24">
        <v>18</v>
      </c>
      <c r="CH232" s="24" t="s">
        <v>32</v>
      </c>
      <c r="CI232" s="24">
        <v>87.078787878787878</v>
      </c>
      <c r="CJ232" s="24">
        <v>14368</v>
      </c>
      <c r="CK232" s="24">
        <v>165</v>
      </c>
      <c r="CL232" s="24">
        <v>57.439817826935588</v>
      </c>
      <c r="CM232" s="24">
        <v>9791</v>
      </c>
      <c r="CN232" s="24">
        <v>17657</v>
      </c>
      <c r="CO232" s="24">
        <v>307.39999999999998</v>
      </c>
      <c r="CP232" s="24">
        <v>12020</v>
      </c>
      <c r="CQ232" s="24">
        <v>52.5</v>
      </c>
      <c r="CR232" s="24">
        <v>291.60000000000002</v>
      </c>
      <c r="CS232" s="24">
        <v>25727</v>
      </c>
      <c r="CT232" s="24">
        <v>25727</v>
      </c>
      <c r="CU232" s="24">
        <v>383.9</v>
      </c>
      <c r="CV232" s="24">
        <v>1438</v>
      </c>
      <c r="CW232" s="24">
        <v>0</v>
      </c>
      <c r="CX232" s="24">
        <v>13441</v>
      </c>
      <c r="CY232" s="24">
        <v>54</v>
      </c>
      <c r="CZ232" s="24">
        <v>9836</v>
      </c>
      <c r="DA232" s="24">
        <v>291.60000000000002</v>
      </c>
      <c r="DD232" s="24">
        <v>2021</v>
      </c>
      <c r="DE232" s="24">
        <v>18</v>
      </c>
      <c r="DF232" s="24" t="s">
        <v>32</v>
      </c>
      <c r="DG232" s="24">
        <v>1993</v>
      </c>
      <c r="DH232" s="24">
        <v>2965</v>
      </c>
      <c r="DJ232" s="24">
        <v>2021</v>
      </c>
      <c r="DK232" s="24">
        <v>18</v>
      </c>
      <c r="DL232" s="24" t="s">
        <v>213</v>
      </c>
      <c r="DM232" s="24">
        <v>1</v>
      </c>
      <c r="DP232" s="24">
        <v>2019</v>
      </c>
      <c r="DQ232" s="24">
        <v>46</v>
      </c>
      <c r="DR232" s="24" t="s">
        <v>33</v>
      </c>
      <c r="DS232" s="24">
        <v>6870</v>
      </c>
      <c r="DT232" s="24">
        <v>35</v>
      </c>
      <c r="DW232" s="24">
        <v>2021</v>
      </c>
      <c r="DX232" s="24">
        <v>50</v>
      </c>
      <c r="DY232" s="24" t="s">
        <v>33</v>
      </c>
      <c r="DZ232" s="24">
        <v>43</v>
      </c>
      <c r="EA232" s="24" t="s">
        <v>149</v>
      </c>
      <c r="EB232" s="24">
        <v>140.30000000000001</v>
      </c>
      <c r="EC232" s="24">
        <v>1034.0999999999999</v>
      </c>
      <c r="ED232" s="24">
        <v>30039</v>
      </c>
      <c r="EE232" s="24">
        <v>32656</v>
      </c>
      <c r="EF232" s="24">
        <v>135.19999999999999</v>
      </c>
      <c r="EI232" s="24">
        <v>2023</v>
      </c>
      <c r="EJ232" s="24">
        <v>3</v>
      </c>
      <c r="EK232" s="24" t="s">
        <v>208</v>
      </c>
      <c r="EL232" s="24" t="s">
        <v>235</v>
      </c>
      <c r="EM232" s="24" t="s">
        <v>210</v>
      </c>
      <c r="EN232" s="24">
        <v>23</v>
      </c>
      <c r="EO232" s="24"/>
      <c r="EP232" s="24"/>
      <c r="EQ232" s="24"/>
      <c r="ER232" s="24"/>
      <c r="ES232" s="24">
        <v>2021</v>
      </c>
      <c r="ET232" s="24">
        <v>34</v>
      </c>
      <c r="EU232" s="24" t="s">
        <v>213</v>
      </c>
      <c r="EV232" s="24">
        <v>1</v>
      </c>
      <c r="EY232" s="24">
        <v>2021</v>
      </c>
      <c r="EZ232" s="24">
        <v>23</v>
      </c>
      <c r="FA232" s="24" t="s">
        <v>33</v>
      </c>
      <c r="FB232" s="24">
        <v>745</v>
      </c>
      <c r="FE232" s="24">
        <v>2021</v>
      </c>
      <c r="FF232" s="24">
        <v>18</v>
      </c>
      <c r="FG232" s="24" t="s">
        <v>32</v>
      </c>
      <c r="FH232" s="24">
        <v>0.92270000000000008</v>
      </c>
      <c r="FI232" s="24">
        <v>440</v>
      </c>
      <c r="FJ232" s="24">
        <v>207</v>
      </c>
      <c r="FK232" s="24">
        <v>225</v>
      </c>
      <c r="FN232" s="24">
        <v>2021</v>
      </c>
      <c r="FO232" s="24">
        <v>19</v>
      </c>
      <c r="FP232" s="24" t="s">
        <v>32</v>
      </c>
      <c r="FQ232" s="24">
        <v>31075</v>
      </c>
      <c r="FR232" s="24">
        <v>723.65</v>
      </c>
      <c r="FS232" s="24">
        <v>21279</v>
      </c>
      <c r="FT232" s="24">
        <v>276.25</v>
      </c>
      <c r="FW232" s="24">
        <v>2021</v>
      </c>
      <c r="FX232" s="24">
        <v>18</v>
      </c>
      <c r="FY232" s="24" t="s">
        <v>32</v>
      </c>
      <c r="FZ232" s="24">
        <v>1276</v>
      </c>
      <c r="GA232" s="24">
        <v>1205</v>
      </c>
      <c r="GB232" s="24"/>
      <c r="GC232" s="24"/>
      <c r="GD232" s="24">
        <v>2021</v>
      </c>
      <c r="GE232" s="24">
        <v>18</v>
      </c>
      <c r="GF232" s="24" t="s">
        <v>32</v>
      </c>
      <c r="GG232" s="24">
        <v>1244</v>
      </c>
      <c r="GH232" s="24">
        <v>1182</v>
      </c>
      <c r="GK232" s="24"/>
      <c r="GL232" s="24"/>
      <c r="GM232" s="24"/>
      <c r="GN232" s="24"/>
      <c r="GO232" s="24"/>
      <c r="GP232" s="24">
        <v>2021</v>
      </c>
      <c r="GQ232" s="24">
        <v>18</v>
      </c>
      <c r="GR232" s="24">
        <v>0.29899999999999999</v>
      </c>
      <c r="GS232" s="24" t="s">
        <v>32</v>
      </c>
      <c r="GX232">
        <v>2021</v>
      </c>
      <c r="GY232">
        <v>18</v>
      </c>
      <c r="GZ232" t="s">
        <v>32</v>
      </c>
      <c r="HA232">
        <v>13664</v>
      </c>
      <c r="HB232">
        <v>13136</v>
      </c>
      <c r="HC232">
        <v>0</v>
      </c>
      <c r="HD232">
        <v>39</v>
      </c>
      <c r="HE232">
        <v>0</v>
      </c>
      <c r="HF232">
        <v>236</v>
      </c>
      <c r="HG232">
        <v>0</v>
      </c>
      <c r="HH232">
        <v>0</v>
      </c>
      <c r="HI232">
        <v>71</v>
      </c>
      <c r="HL232">
        <v>2021</v>
      </c>
      <c r="HM232">
        <v>18</v>
      </c>
      <c r="HN232" t="s">
        <v>32</v>
      </c>
      <c r="HO232">
        <v>13702</v>
      </c>
      <c r="HP232">
        <v>13321</v>
      </c>
      <c r="HQ232">
        <v>0</v>
      </c>
      <c r="HR232">
        <v>34</v>
      </c>
      <c r="HS232">
        <v>0</v>
      </c>
      <c r="HT232">
        <v>278</v>
      </c>
      <c r="HU232">
        <v>0</v>
      </c>
      <c r="HV232">
        <v>0</v>
      </c>
      <c r="HW232">
        <v>33</v>
      </c>
      <c r="HZ232" s="24">
        <v>2021</v>
      </c>
      <c r="IA232" s="24">
        <v>18</v>
      </c>
      <c r="IB232" s="24" t="s">
        <v>32</v>
      </c>
      <c r="IC232" s="24">
        <v>1335</v>
      </c>
      <c r="ID232" s="24">
        <v>1179</v>
      </c>
      <c r="IG232" s="24">
        <v>2021</v>
      </c>
      <c r="IH232" s="24">
        <v>18</v>
      </c>
      <c r="II232" s="24" t="s">
        <v>32</v>
      </c>
      <c r="IJ232" s="24">
        <v>1227</v>
      </c>
      <c r="IK232" s="24">
        <v>1128</v>
      </c>
    </row>
    <row r="233" spans="9:245" x14ac:dyDescent="0.4">
      <c r="I233" s="305">
        <v>2021</v>
      </c>
      <c r="J233" s="306">
        <v>18</v>
      </c>
      <c r="K233" s="306" t="s">
        <v>32</v>
      </c>
      <c r="L233" s="306">
        <v>13857</v>
      </c>
      <c r="M233" s="306">
        <v>13070</v>
      </c>
      <c r="N233" s="306">
        <v>41</v>
      </c>
      <c r="O233" s="306">
        <v>261</v>
      </c>
      <c r="P233" s="306">
        <v>20</v>
      </c>
      <c r="Q233" s="306">
        <v>22</v>
      </c>
      <c r="R233" s="24"/>
      <c r="S233" s="24"/>
      <c r="T233" s="24"/>
      <c r="W233" s="24">
        <v>2021</v>
      </c>
      <c r="X233" s="24">
        <v>18</v>
      </c>
      <c r="Y233" s="24" t="s">
        <v>33</v>
      </c>
      <c r="Z233" s="24">
        <v>250192</v>
      </c>
      <c r="AA233" s="24">
        <v>228334</v>
      </c>
      <c r="AB233" s="24">
        <v>167</v>
      </c>
      <c r="AC233" s="24">
        <v>56</v>
      </c>
      <c r="AD233" s="24"/>
      <c r="AE233" s="24"/>
      <c r="AF233" s="24"/>
      <c r="AG233" s="24"/>
      <c r="AH233" s="24"/>
      <c r="AI233" s="24"/>
      <c r="AJ233" s="24"/>
      <c r="AK233" s="24">
        <v>2021</v>
      </c>
      <c r="AL233" s="24">
        <v>18</v>
      </c>
      <c r="AM233" s="24">
        <v>13937.550000000001</v>
      </c>
      <c r="AN233" s="24">
        <v>1645.88</v>
      </c>
      <c r="AO233" s="24">
        <v>0</v>
      </c>
      <c r="AP233" s="24">
        <v>331</v>
      </c>
      <c r="AQ233" s="24">
        <v>0</v>
      </c>
      <c r="AR233" s="24">
        <v>4</v>
      </c>
      <c r="AS233" s="24" t="s">
        <v>33</v>
      </c>
      <c r="AT233" s="24"/>
      <c r="AU233" s="24">
        <v>2021</v>
      </c>
      <c r="AV233" s="24">
        <v>18</v>
      </c>
      <c r="AW233" s="24">
        <v>7.0000000000000007E-2</v>
      </c>
      <c r="AX233" s="24">
        <v>18300</v>
      </c>
      <c r="AY233" s="24">
        <v>254612</v>
      </c>
      <c r="AZ233" s="24" t="s">
        <v>33</v>
      </c>
      <c r="BA233" s="24"/>
      <c r="BB233" s="24"/>
      <c r="BC233" s="24">
        <v>2021</v>
      </c>
      <c r="BD233" s="24">
        <v>18</v>
      </c>
      <c r="BE233" s="24">
        <v>1762.7287142857099</v>
      </c>
      <c r="BF233" s="24" t="s">
        <v>33</v>
      </c>
      <c r="BG233" s="24"/>
      <c r="BI233" s="24">
        <v>2022</v>
      </c>
      <c r="BJ233" s="24">
        <v>14</v>
      </c>
      <c r="BK233" s="24" t="s">
        <v>33</v>
      </c>
      <c r="BL233" s="24" t="s">
        <v>272</v>
      </c>
      <c r="BM233" s="24">
        <v>57593</v>
      </c>
      <c r="BN233" s="24">
        <v>57205</v>
      </c>
      <c r="BO233" s="24">
        <v>206873</v>
      </c>
      <c r="BR233" s="24">
        <v>2021</v>
      </c>
      <c r="BS233" s="24">
        <v>18</v>
      </c>
      <c r="BT233" s="24">
        <v>253279</v>
      </c>
      <c r="BU233" s="24">
        <v>4</v>
      </c>
      <c r="BV233" s="24" t="s">
        <v>33</v>
      </c>
      <c r="BY233" s="24">
        <v>2021</v>
      </c>
      <c r="BZ233" s="24">
        <v>19</v>
      </c>
      <c r="CA233" s="24" t="s">
        <v>32</v>
      </c>
      <c r="CB233" s="24" t="s">
        <v>423</v>
      </c>
      <c r="CC233" s="24">
        <v>65</v>
      </c>
      <c r="CF233" s="24">
        <v>2021</v>
      </c>
      <c r="CG233" s="24">
        <v>18</v>
      </c>
      <c r="CH233" s="24" t="s">
        <v>33</v>
      </c>
      <c r="CI233" s="24">
        <v>123.90429854040227</v>
      </c>
      <c r="CJ233" s="24">
        <v>247028</v>
      </c>
      <c r="CK233" s="24">
        <v>1993.7</v>
      </c>
      <c r="CL233" s="24">
        <v>100.44601134846462</v>
      </c>
      <c r="CM233" s="24">
        <v>128442</v>
      </c>
      <c r="CN233" s="24">
        <v>240749</v>
      </c>
      <c r="CO233" s="24">
        <v>2396.8000000000002</v>
      </c>
      <c r="CP233" s="24">
        <v>63422</v>
      </c>
      <c r="CQ233" s="24">
        <v>230.6</v>
      </c>
      <c r="CR233" s="24">
        <v>1518.7</v>
      </c>
      <c r="CS233" s="24">
        <v>125749</v>
      </c>
      <c r="CT233" s="24">
        <v>132437</v>
      </c>
      <c r="CU233" s="24">
        <v>1136.9000000000001</v>
      </c>
      <c r="CV233" s="24">
        <v>60032</v>
      </c>
      <c r="CW233" s="24">
        <v>0</v>
      </c>
      <c r="CX233" s="24">
        <v>127529</v>
      </c>
      <c r="CY233" s="24">
        <v>521.5</v>
      </c>
      <c r="CZ233" s="24">
        <v>55551</v>
      </c>
      <c r="DA233" s="24">
        <v>1518.7</v>
      </c>
      <c r="DD233" s="24">
        <v>2021</v>
      </c>
      <c r="DE233" s="24">
        <v>18</v>
      </c>
      <c r="DF233" s="24" t="s">
        <v>33</v>
      </c>
      <c r="DG233" s="24">
        <v>49882</v>
      </c>
      <c r="DH233" s="24">
        <v>31141</v>
      </c>
      <c r="DJ233" s="24">
        <v>2021</v>
      </c>
      <c r="DK233" s="24">
        <v>17</v>
      </c>
      <c r="DL233" s="24" t="s">
        <v>32</v>
      </c>
      <c r="DM233" s="24">
        <v>11</v>
      </c>
      <c r="DP233" s="24">
        <v>2019</v>
      </c>
      <c r="DQ233" s="24">
        <v>45</v>
      </c>
      <c r="DR233" s="24" t="s">
        <v>33</v>
      </c>
      <c r="DS233" s="24">
        <v>7486</v>
      </c>
      <c r="DT233" s="24">
        <v>57</v>
      </c>
      <c r="DW233" s="24">
        <v>2021</v>
      </c>
      <c r="DX233" s="24">
        <v>49</v>
      </c>
      <c r="DY233" s="24" t="s">
        <v>32</v>
      </c>
      <c r="DZ233" s="24">
        <v>1</v>
      </c>
      <c r="EA233" s="24" t="s">
        <v>149</v>
      </c>
      <c r="EB233" s="24">
        <v>0</v>
      </c>
      <c r="EC233" s="24">
        <v>0</v>
      </c>
      <c r="ED233" s="24">
        <v>70</v>
      </c>
      <c r="EE233" s="24">
        <v>113</v>
      </c>
      <c r="EF233" s="24">
        <v>1.7</v>
      </c>
      <c r="EI233" s="24">
        <v>2023</v>
      </c>
      <c r="EJ233" s="24">
        <v>3</v>
      </c>
      <c r="EK233" s="24" t="s">
        <v>208</v>
      </c>
      <c r="EL233" s="24" t="s">
        <v>235</v>
      </c>
      <c r="EM233" s="24" t="s">
        <v>234</v>
      </c>
      <c r="EN233" s="24">
        <v>9</v>
      </c>
      <c r="EO233" s="24"/>
      <c r="EP233" s="24"/>
      <c r="EQ233" s="24"/>
      <c r="ER233" s="24"/>
      <c r="ES233" s="24">
        <v>2021</v>
      </c>
      <c r="ET233" s="24">
        <v>33</v>
      </c>
      <c r="EU233" s="24" t="s">
        <v>32</v>
      </c>
      <c r="EV233" s="24">
        <v>4969</v>
      </c>
      <c r="EY233" s="24">
        <v>2021</v>
      </c>
      <c r="EZ233" s="24">
        <v>22</v>
      </c>
      <c r="FA233" s="24" t="s">
        <v>32</v>
      </c>
      <c r="FB233" s="24">
        <v>538</v>
      </c>
      <c r="FE233" s="24">
        <v>2021</v>
      </c>
      <c r="FF233" s="24">
        <v>18</v>
      </c>
      <c r="FG233" s="24" t="s">
        <v>33</v>
      </c>
      <c r="FH233" s="24">
        <v>0.92920000000000003</v>
      </c>
      <c r="FI233" s="24">
        <v>13120</v>
      </c>
      <c r="FJ233" s="24">
        <v>6004</v>
      </c>
      <c r="FK233" s="24">
        <v>6508</v>
      </c>
      <c r="FN233" s="24">
        <v>2021</v>
      </c>
      <c r="FO233" s="24">
        <v>19</v>
      </c>
      <c r="FP233" s="24" t="s">
        <v>33</v>
      </c>
      <c r="FQ233" s="24">
        <v>812048</v>
      </c>
      <c r="FR233" s="24">
        <v>7505.1833333333298</v>
      </c>
      <c r="FS233" s="24">
        <v>424971</v>
      </c>
      <c r="FT233" s="24">
        <v>2227.85</v>
      </c>
      <c r="FW233" s="24">
        <v>2021</v>
      </c>
      <c r="FX233" s="24">
        <v>18</v>
      </c>
      <c r="FY233" s="24" t="s">
        <v>33</v>
      </c>
      <c r="FZ233" s="24">
        <v>9049</v>
      </c>
      <c r="GA233" s="24">
        <v>8742</v>
      </c>
      <c r="GB233" s="24"/>
      <c r="GC233" s="24"/>
      <c r="GD233" s="24">
        <v>2021</v>
      </c>
      <c r="GE233" s="24">
        <v>18</v>
      </c>
      <c r="GF233" s="24" t="s">
        <v>33</v>
      </c>
      <c r="GG233" s="24">
        <v>9019</v>
      </c>
      <c r="GH233" s="24">
        <v>8802</v>
      </c>
      <c r="GK233" s="24"/>
      <c r="GL233" s="24"/>
      <c r="GM233" s="24"/>
      <c r="GN233" s="24"/>
      <c r="GO233" s="24"/>
      <c r="GP233" s="24">
        <v>2021</v>
      </c>
      <c r="GQ233" s="24">
        <v>18</v>
      </c>
      <c r="GR233" s="24">
        <v>3.7241428571428599</v>
      </c>
      <c r="GS233" s="24" t="s">
        <v>33</v>
      </c>
      <c r="GX233">
        <v>2021</v>
      </c>
      <c r="GY233">
        <v>18</v>
      </c>
      <c r="GZ233" t="s">
        <v>33</v>
      </c>
      <c r="HA233">
        <v>247809</v>
      </c>
      <c r="HB233">
        <v>231107</v>
      </c>
      <c r="HC233">
        <v>622</v>
      </c>
      <c r="HD233">
        <v>867</v>
      </c>
      <c r="HE233">
        <v>1</v>
      </c>
      <c r="HF233">
        <v>10854</v>
      </c>
      <c r="HG233">
        <v>0</v>
      </c>
      <c r="HH233">
        <v>0</v>
      </c>
      <c r="HI233">
        <v>1493</v>
      </c>
      <c r="HL233">
        <v>2021</v>
      </c>
      <c r="HM233">
        <v>18</v>
      </c>
      <c r="HN233" t="s">
        <v>33</v>
      </c>
      <c r="HO233">
        <v>249558</v>
      </c>
      <c r="HP233">
        <v>236676</v>
      </c>
      <c r="HQ233">
        <v>700</v>
      </c>
      <c r="HR233">
        <v>668</v>
      </c>
      <c r="HS233">
        <v>1</v>
      </c>
      <c r="HT233">
        <v>10678</v>
      </c>
      <c r="HU233">
        <v>0</v>
      </c>
      <c r="HV233">
        <v>0</v>
      </c>
      <c r="HW233">
        <v>791</v>
      </c>
      <c r="HZ233" s="24">
        <v>2021</v>
      </c>
      <c r="IA233" s="24">
        <v>18</v>
      </c>
      <c r="IB233" s="24" t="s">
        <v>33</v>
      </c>
      <c r="IC233" s="24">
        <v>9227</v>
      </c>
      <c r="ID233" s="24">
        <v>8833</v>
      </c>
      <c r="IG233" s="24">
        <v>2021</v>
      </c>
      <c r="IH233" s="24">
        <v>18</v>
      </c>
      <c r="II233" s="24" t="s">
        <v>33</v>
      </c>
      <c r="IJ233" s="24">
        <v>8597</v>
      </c>
      <c r="IK233" s="24">
        <v>8473</v>
      </c>
    </row>
    <row r="234" spans="9:245" x14ac:dyDescent="0.4">
      <c r="I234" s="305">
        <v>2021</v>
      </c>
      <c r="J234" s="306">
        <v>18</v>
      </c>
      <c r="K234" s="306" t="s">
        <v>33</v>
      </c>
      <c r="L234" s="306">
        <v>250145</v>
      </c>
      <c r="M234" s="306">
        <v>227405</v>
      </c>
      <c r="N234" s="306">
        <v>832</v>
      </c>
      <c r="O234" s="306">
        <v>4060</v>
      </c>
      <c r="P234" s="306">
        <v>221</v>
      </c>
      <c r="Q234" s="306">
        <v>57</v>
      </c>
      <c r="R234" s="24"/>
      <c r="S234" s="24"/>
      <c r="T234" s="24"/>
      <c r="W234" s="24">
        <v>2021</v>
      </c>
      <c r="X234" s="24">
        <v>17</v>
      </c>
      <c r="Y234" s="24" t="s">
        <v>32</v>
      </c>
      <c r="Z234" s="24">
        <v>13528</v>
      </c>
      <c r="AA234" s="24">
        <v>13251</v>
      </c>
      <c r="AB234" s="24">
        <v>5</v>
      </c>
      <c r="AC234" s="24">
        <v>6</v>
      </c>
      <c r="AI234" s="24"/>
      <c r="AJ234" s="24"/>
      <c r="AK234" s="24">
        <v>2021</v>
      </c>
      <c r="AL234" s="24">
        <v>17</v>
      </c>
      <c r="AM234" s="24">
        <v>752.25</v>
      </c>
      <c r="AN234" s="24">
        <v>92.08</v>
      </c>
      <c r="AO234" s="24">
        <v>0</v>
      </c>
      <c r="AP234" s="24">
        <v>18</v>
      </c>
      <c r="AQ234" s="24">
        <v>0</v>
      </c>
      <c r="AR234" s="24">
        <v>0</v>
      </c>
      <c r="AS234" s="24" t="s">
        <v>32</v>
      </c>
      <c r="AT234" s="24"/>
      <c r="AU234" s="24">
        <v>2021</v>
      </c>
      <c r="AV234" s="24">
        <v>17</v>
      </c>
      <c r="AW234" s="24">
        <v>0.22</v>
      </c>
      <c r="AX234" s="24">
        <v>3100</v>
      </c>
      <c r="AY234" s="24">
        <v>14399</v>
      </c>
      <c r="AZ234" s="24" t="s">
        <v>32</v>
      </c>
      <c r="BA234" s="24"/>
      <c r="BB234" s="24"/>
      <c r="BC234" s="24">
        <v>2021</v>
      </c>
      <c r="BD234" s="24">
        <v>17</v>
      </c>
      <c r="BE234" s="24">
        <v>153.31957142857101</v>
      </c>
      <c r="BF234" s="24" t="s">
        <v>32</v>
      </c>
      <c r="BG234" s="24"/>
      <c r="BI234" s="24">
        <v>2022</v>
      </c>
      <c r="BJ234" s="24">
        <v>13</v>
      </c>
      <c r="BK234" s="24" t="s">
        <v>32</v>
      </c>
      <c r="BL234" s="24" t="s">
        <v>273</v>
      </c>
      <c r="BM234" s="24">
        <v>7696</v>
      </c>
      <c r="BN234" s="24">
        <v>7655</v>
      </c>
      <c r="BO234" s="24">
        <v>8120</v>
      </c>
      <c r="BR234" s="24">
        <v>2021</v>
      </c>
      <c r="BS234" s="24">
        <v>17</v>
      </c>
      <c r="BT234" s="24">
        <v>14296</v>
      </c>
      <c r="BU234" s="24">
        <v>0</v>
      </c>
      <c r="BV234" s="24" t="s">
        <v>32</v>
      </c>
      <c r="BY234" s="24">
        <v>2021</v>
      </c>
      <c r="BZ234" s="24">
        <v>19</v>
      </c>
      <c r="CA234" s="24" t="s">
        <v>33</v>
      </c>
      <c r="CB234" s="24" t="s">
        <v>108</v>
      </c>
      <c r="CC234" s="24">
        <v>2</v>
      </c>
      <c r="CF234" s="24">
        <v>2021</v>
      </c>
      <c r="CG234" s="24">
        <v>17</v>
      </c>
      <c r="CH234" s="24" t="s">
        <v>32</v>
      </c>
      <c r="CI234" s="24">
        <v>78.703071672354952</v>
      </c>
      <c r="CJ234" s="24">
        <v>11530</v>
      </c>
      <c r="CK234" s="24">
        <v>146.5</v>
      </c>
      <c r="CL234" s="24">
        <v>69.795994065281903</v>
      </c>
      <c r="CM234" s="24">
        <v>9802</v>
      </c>
      <c r="CN234" s="24">
        <v>18817</v>
      </c>
      <c r="CO234" s="24">
        <v>269.60000000000002</v>
      </c>
      <c r="CP234" s="24">
        <v>11043</v>
      </c>
      <c r="CQ234" s="24">
        <v>36.5</v>
      </c>
      <c r="CR234" s="24">
        <v>272.7</v>
      </c>
      <c r="CS234" s="24">
        <v>20859</v>
      </c>
      <c r="CT234" s="24">
        <v>20943</v>
      </c>
      <c r="CU234" s="24">
        <v>197</v>
      </c>
      <c r="CV234" s="24">
        <v>1747</v>
      </c>
      <c r="CW234" s="24">
        <v>0</v>
      </c>
      <c r="CX234" s="24">
        <v>10477</v>
      </c>
      <c r="CY234" s="24">
        <v>51.8</v>
      </c>
      <c r="CZ234" s="24">
        <v>9579</v>
      </c>
      <c r="DA234" s="24">
        <v>272.7</v>
      </c>
      <c r="DD234" s="24">
        <v>2021</v>
      </c>
      <c r="DE234" s="24">
        <v>17</v>
      </c>
      <c r="DF234" s="24" t="s">
        <v>32</v>
      </c>
      <c r="DG234" s="24">
        <v>2068</v>
      </c>
      <c r="DH234" s="24">
        <v>1961</v>
      </c>
      <c r="DJ234" s="24">
        <v>2021</v>
      </c>
      <c r="DK234" s="24">
        <v>17</v>
      </c>
      <c r="DL234" s="24" t="s">
        <v>33</v>
      </c>
      <c r="DM234" s="24">
        <v>1211</v>
      </c>
      <c r="DP234" s="24">
        <v>2019</v>
      </c>
      <c r="DQ234" s="24">
        <v>44</v>
      </c>
      <c r="DR234" s="24" t="s">
        <v>33</v>
      </c>
      <c r="DS234" s="24">
        <v>6540</v>
      </c>
      <c r="DT234" s="24">
        <v>75</v>
      </c>
      <c r="DW234" s="24">
        <v>2021</v>
      </c>
      <c r="DX234" s="24">
        <v>49</v>
      </c>
      <c r="DY234" s="24" t="s">
        <v>33</v>
      </c>
      <c r="DZ234" s="24">
        <v>9</v>
      </c>
      <c r="EA234" s="24" t="s">
        <v>562</v>
      </c>
      <c r="EB234" s="24">
        <v>138.5</v>
      </c>
      <c r="EC234" s="24">
        <v>0</v>
      </c>
      <c r="ED234" s="24">
        <v>17</v>
      </c>
      <c r="EE234" s="24">
        <v>4955</v>
      </c>
      <c r="EF234" s="24">
        <v>48.4</v>
      </c>
      <c r="EI234" s="24">
        <v>2023</v>
      </c>
      <c r="EJ234" s="24">
        <v>3</v>
      </c>
      <c r="EK234" s="24" t="s">
        <v>208</v>
      </c>
      <c r="EL234" s="24" t="s">
        <v>235</v>
      </c>
      <c r="EM234" s="24" t="s">
        <v>215</v>
      </c>
      <c r="EN234" s="24">
        <v>6</v>
      </c>
      <c r="EO234" s="24"/>
      <c r="EP234" s="24"/>
      <c r="EQ234" s="24"/>
      <c r="ER234" s="24"/>
      <c r="ES234" s="24">
        <v>2021</v>
      </c>
      <c r="ET234" s="24">
        <v>33</v>
      </c>
      <c r="EU234" s="24" t="s">
        <v>33</v>
      </c>
      <c r="EV234" s="24">
        <v>127022</v>
      </c>
      <c r="EY234" s="24">
        <v>2021</v>
      </c>
      <c r="EZ234" s="24">
        <v>22</v>
      </c>
      <c r="FA234" s="24" t="s">
        <v>33</v>
      </c>
      <c r="FB234" s="24">
        <v>996</v>
      </c>
      <c r="FE234" s="24">
        <v>2021</v>
      </c>
      <c r="FF234" s="24">
        <v>17</v>
      </c>
      <c r="FG234" s="24" t="s">
        <v>32</v>
      </c>
      <c r="FH234" s="24">
        <v>0.9214</v>
      </c>
      <c r="FI234" s="24">
        <v>430</v>
      </c>
      <c r="FJ234" s="24">
        <v>201</v>
      </c>
      <c r="FK234" s="24">
        <v>219</v>
      </c>
      <c r="FN234" s="24">
        <v>2021</v>
      </c>
      <c r="FO234" s="24">
        <v>18</v>
      </c>
      <c r="FP234" s="24" t="s">
        <v>32</v>
      </c>
      <c r="FQ234" s="24">
        <v>32959</v>
      </c>
      <c r="FR234" s="24">
        <v>679.1</v>
      </c>
      <c r="FS234" s="24">
        <v>39242</v>
      </c>
      <c r="FT234" s="24">
        <v>355.78333333333302</v>
      </c>
      <c r="FW234" s="24">
        <v>2021</v>
      </c>
      <c r="FX234" s="24">
        <v>17</v>
      </c>
      <c r="FY234" s="24" t="s">
        <v>32</v>
      </c>
      <c r="FZ234" s="24">
        <v>1714</v>
      </c>
      <c r="GA234" s="24">
        <v>1658</v>
      </c>
      <c r="GB234" s="24"/>
      <c r="GC234" s="24"/>
      <c r="GD234" s="24">
        <v>2021</v>
      </c>
      <c r="GE234" s="24">
        <v>17</v>
      </c>
      <c r="GF234" s="24" t="s">
        <v>32</v>
      </c>
      <c r="GG234" s="24">
        <v>1750</v>
      </c>
      <c r="GH234" s="24">
        <v>1711</v>
      </c>
      <c r="GK234" s="24"/>
      <c r="GL234" s="24"/>
      <c r="GM234" s="24"/>
      <c r="GN234" s="24"/>
      <c r="GO234" s="24"/>
      <c r="GP234" s="24">
        <v>2021</v>
      </c>
      <c r="GQ234" s="24">
        <v>17</v>
      </c>
      <c r="GR234" s="24">
        <v>0.29899999999999999</v>
      </c>
      <c r="GS234" s="24" t="s">
        <v>32</v>
      </c>
      <c r="GX234">
        <v>2021</v>
      </c>
      <c r="GY234">
        <v>17</v>
      </c>
      <c r="GZ234" t="s">
        <v>32</v>
      </c>
      <c r="HA234">
        <v>13569</v>
      </c>
      <c r="HB234">
        <v>13324</v>
      </c>
      <c r="HC234">
        <v>0</v>
      </c>
      <c r="HD234">
        <v>7</v>
      </c>
      <c r="HE234">
        <v>0</v>
      </c>
      <c r="HF234">
        <v>25</v>
      </c>
      <c r="HG234">
        <v>0</v>
      </c>
      <c r="HH234">
        <v>0</v>
      </c>
      <c r="HI234">
        <v>40</v>
      </c>
      <c r="HL234">
        <v>2021</v>
      </c>
      <c r="HM234">
        <v>17</v>
      </c>
      <c r="HN234" t="s">
        <v>32</v>
      </c>
      <c r="HO234">
        <v>13499</v>
      </c>
      <c r="HP234">
        <v>13417</v>
      </c>
      <c r="HQ234">
        <v>0</v>
      </c>
      <c r="HR234">
        <v>4</v>
      </c>
      <c r="HS234">
        <v>0</v>
      </c>
      <c r="HT234">
        <v>26</v>
      </c>
      <c r="HU234">
        <v>0</v>
      </c>
      <c r="HV234">
        <v>0</v>
      </c>
      <c r="HW234">
        <v>4</v>
      </c>
      <c r="HZ234" s="24">
        <v>2021</v>
      </c>
      <c r="IA234" s="24">
        <v>17</v>
      </c>
      <c r="IB234" s="24" t="s">
        <v>32</v>
      </c>
      <c r="IC234" s="24">
        <v>1678</v>
      </c>
      <c r="ID234" s="24">
        <v>1562</v>
      </c>
      <c r="IG234" s="24">
        <v>2021</v>
      </c>
      <c r="IH234" s="24">
        <v>17</v>
      </c>
      <c r="II234" s="24" t="s">
        <v>32</v>
      </c>
      <c r="IJ234" s="24">
        <v>1729</v>
      </c>
      <c r="IK234" s="24">
        <v>1710</v>
      </c>
    </row>
    <row r="235" spans="9:245" x14ac:dyDescent="0.4">
      <c r="I235" s="305">
        <v>2021</v>
      </c>
      <c r="J235" s="306">
        <v>17</v>
      </c>
      <c r="K235" s="306" t="s">
        <v>32</v>
      </c>
      <c r="L235" s="306">
        <v>13448</v>
      </c>
      <c r="M235" s="306">
        <v>13127</v>
      </c>
      <c r="N235" s="306">
        <v>29</v>
      </c>
      <c r="O235" s="306">
        <v>116</v>
      </c>
      <c r="P235" s="306">
        <v>27</v>
      </c>
      <c r="Q235" s="306">
        <v>3</v>
      </c>
      <c r="R235" s="24"/>
      <c r="S235" s="24"/>
      <c r="T235" s="24"/>
      <c r="W235" s="24">
        <v>2021</v>
      </c>
      <c r="X235" s="24">
        <v>17</v>
      </c>
      <c r="Y235" s="24" t="s">
        <v>33</v>
      </c>
      <c r="Z235" s="24">
        <v>250487</v>
      </c>
      <c r="AA235" s="24">
        <v>229354</v>
      </c>
      <c r="AB235" s="24">
        <v>188</v>
      </c>
      <c r="AC235" s="24">
        <v>8</v>
      </c>
      <c r="AI235" s="24"/>
      <c r="AJ235" s="24"/>
      <c r="AK235" s="24">
        <v>2021</v>
      </c>
      <c r="AL235" s="24">
        <v>17</v>
      </c>
      <c r="AM235" s="24">
        <v>13920.7</v>
      </c>
      <c r="AN235" s="24">
        <v>1595.6000000000001</v>
      </c>
      <c r="AO235" s="24">
        <v>0</v>
      </c>
      <c r="AP235" s="24">
        <v>333</v>
      </c>
      <c r="AQ235" s="24">
        <v>0</v>
      </c>
      <c r="AR235" s="24">
        <v>3</v>
      </c>
      <c r="AS235" s="24" t="s">
        <v>33</v>
      </c>
      <c r="AT235" s="24"/>
      <c r="AU235" s="24">
        <v>2021</v>
      </c>
      <c r="AV235" s="24">
        <v>17</v>
      </c>
      <c r="AW235" s="24">
        <v>0.31</v>
      </c>
      <c r="AX235" s="24">
        <v>77400</v>
      </c>
      <c r="AY235" s="24">
        <v>250759</v>
      </c>
      <c r="AZ235" s="24" t="s">
        <v>33</v>
      </c>
      <c r="BA235" s="24"/>
      <c r="BB235" s="24"/>
      <c r="BC235" s="24">
        <v>2021</v>
      </c>
      <c r="BD235" s="24">
        <v>17</v>
      </c>
      <c r="BE235" s="24">
        <v>1730.0585714285698</v>
      </c>
      <c r="BF235" s="24" t="s">
        <v>33</v>
      </c>
      <c r="BG235" s="24"/>
      <c r="BI235" s="24">
        <v>2022</v>
      </c>
      <c r="BJ235" s="24">
        <v>13</v>
      </c>
      <c r="BK235" s="24" t="s">
        <v>33</v>
      </c>
      <c r="BL235" s="24" t="s">
        <v>272</v>
      </c>
      <c r="BM235" s="24">
        <v>55890</v>
      </c>
      <c r="BN235" s="24">
        <v>55689</v>
      </c>
      <c r="BO235" s="24">
        <v>199088</v>
      </c>
      <c r="BR235" s="24">
        <v>2021</v>
      </c>
      <c r="BS235" s="24">
        <v>17</v>
      </c>
      <c r="BT235" s="24">
        <v>248916</v>
      </c>
      <c r="BU235" s="24">
        <v>1</v>
      </c>
      <c r="BV235" s="24" t="s">
        <v>33</v>
      </c>
      <c r="BY235" s="24">
        <v>2021</v>
      </c>
      <c r="BZ235" s="24">
        <v>19</v>
      </c>
      <c r="CA235" s="24" t="s">
        <v>33</v>
      </c>
      <c r="CB235" s="24" t="s">
        <v>423</v>
      </c>
      <c r="CC235" s="24">
        <v>34</v>
      </c>
      <c r="CF235" s="24">
        <v>2021</v>
      </c>
      <c r="CG235" s="24">
        <v>17</v>
      </c>
      <c r="CH235" s="24" t="s">
        <v>33</v>
      </c>
      <c r="CI235" s="24">
        <v>115.70348378716891</v>
      </c>
      <c r="CJ235" s="24">
        <v>249422</v>
      </c>
      <c r="CK235" s="24">
        <v>2155.6999999999998</v>
      </c>
      <c r="CL235" s="24">
        <v>98.699079615336998</v>
      </c>
      <c r="CM235" s="24">
        <v>129310</v>
      </c>
      <c r="CN235" s="24">
        <v>239138</v>
      </c>
      <c r="CO235" s="24">
        <v>2422.9</v>
      </c>
      <c r="CP235" s="24">
        <v>61927</v>
      </c>
      <c r="CQ235" s="24">
        <v>222.9</v>
      </c>
      <c r="CR235" s="24">
        <v>1497</v>
      </c>
      <c r="CS235" s="24">
        <v>136623</v>
      </c>
      <c r="CT235" s="24">
        <v>144632</v>
      </c>
      <c r="CU235" s="24">
        <v>1273.5</v>
      </c>
      <c r="CV235" s="24">
        <v>59522</v>
      </c>
      <c r="CW235" s="24">
        <v>0</v>
      </c>
      <c r="CX235" s="24">
        <v>148108</v>
      </c>
      <c r="CY235" s="24">
        <v>585</v>
      </c>
      <c r="CZ235" s="24">
        <v>51197</v>
      </c>
      <c r="DA235" s="24">
        <v>1497</v>
      </c>
      <c r="DD235" s="24">
        <v>2021</v>
      </c>
      <c r="DE235" s="24">
        <v>17</v>
      </c>
      <c r="DF235" s="24" t="s">
        <v>33</v>
      </c>
      <c r="DG235" s="24">
        <v>35578</v>
      </c>
      <c r="DH235" s="24">
        <v>28928</v>
      </c>
      <c r="DJ235" s="24">
        <v>2021</v>
      </c>
      <c r="DK235" s="24">
        <v>16</v>
      </c>
      <c r="DL235" s="24" t="s">
        <v>32</v>
      </c>
      <c r="DM235" s="24">
        <v>28</v>
      </c>
      <c r="DP235" s="24">
        <v>2019</v>
      </c>
      <c r="DQ235" s="24">
        <v>43</v>
      </c>
      <c r="DR235" s="24" t="s">
        <v>33</v>
      </c>
      <c r="DS235" s="24">
        <v>8409</v>
      </c>
      <c r="DT235" s="24">
        <v>168</v>
      </c>
      <c r="DW235" s="24">
        <v>2021</v>
      </c>
      <c r="DX235" s="24">
        <v>49</v>
      </c>
      <c r="DY235" s="24" t="s">
        <v>33</v>
      </c>
      <c r="DZ235" s="24">
        <v>44</v>
      </c>
      <c r="EA235" s="24" t="s">
        <v>149</v>
      </c>
      <c r="EB235" s="24">
        <v>225.6</v>
      </c>
      <c r="EC235" s="24">
        <v>1102.8</v>
      </c>
      <c r="ED235" s="24">
        <v>31473</v>
      </c>
      <c r="EE235" s="24">
        <v>37585</v>
      </c>
      <c r="EF235" s="24">
        <v>179.6</v>
      </c>
      <c r="EI235" s="24">
        <v>2023</v>
      </c>
      <c r="EJ235" s="24">
        <v>3</v>
      </c>
      <c r="EK235" s="24" t="s">
        <v>208</v>
      </c>
      <c r="EL235" s="24" t="s">
        <v>209</v>
      </c>
      <c r="EM235" s="24" t="s">
        <v>210</v>
      </c>
      <c r="EN235" s="24">
        <v>3</v>
      </c>
      <c r="EO235" s="24"/>
      <c r="EP235" s="24"/>
      <c r="EQ235" s="24"/>
      <c r="ER235" s="24"/>
      <c r="ES235" s="24">
        <v>2021</v>
      </c>
      <c r="ET235" s="24">
        <v>33</v>
      </c>
      <c r="EU235" s="24" t="s">
        <v>213</v>
      </c>
      <c r="EV235" s="24">
        <v>4</v>
      </c>
      <c r="EY235" s="24">
        <v>2021</v>
      </c>
      <c r="EZ235" s="24">
        <v>21</v>
      </c>
      <c r="FA235" s="24" t="s">
        <v>32</v>
      </c>
      <c r="FB235" s="24">
        <v>715</v>
      </c>
      <c r="FE235" s="24">
        <v>2021</v>
      </c>
      <c r="FF235" s="24">
        <v>17</v>
      </c>
      <c r="FG235" s="24" t="s">
        <v>33</v>
      </c>
      <c r="FH235" s="24">
        <v>0.90290000000000004</v>
      </c>
      <c r="FI235" s="24">
        <v>14353</v>
      </c>
      <c r="FJ235" s="24">
        <v>6529</v>
      </c>
      <c r="FK235" s="24">
        <v>7289</v>
      </c>
      <c r="FN235" s="24">
        <v>2021</v>
      </c>
      <c r="FO235" s="24">
        <v>18</v>
      </c>
      <c r="FP235" s="24" t="s">
        <v>33</v>
      </c>
      <c r="FQ235" s="24">
        <v>883377</v>
      </c>
      <c r="FR235" s="24">
        <v>7694.2000000000007</v>
      </c>
      <c r="FS235" s="24">
        <v>365646</v>
      </c>
      <c r="FT235" s="24">
        <v>1991.3500000000001</v>
      </c>
      <c r="FW235" s="24">
        <v>2021</v>
      </c>
      <c r="FX235" s="24">
        <v>17</v>
      </c>
      <c r="FY235" s="24" t="s">
        <v>33</v>
      </c>
      <c r="FZ235" s="24">
        <v>9185</v>
      </c>
      <c r="GA235" s="24">
        <v>8974</v>
      </c>
      <c r="GB235" s="24"/>
      <c r="GC235" s="24"/>
      <c r="GD235" s="24">
        <v>2021</v>
      </c>
      <c r="GE235" s="24">
        <v>17</v>
      </c>
      <c r="GF235" s="24" t="s">
        <v>33</v>
      </c>
      <c r="GG235" s="24">
        <v>9244</v>
      </c>
      <c r="GH235" s="24">
        <v>9084</v>
      </c>
      <c r="GK235" s="24"/>
      <c r="GL235" s="24"/>
      <c r="GM235" s="24"/>
      <c r="GN235" s="24"/>
      <c r="GO235" s="24"/>
      <c r="GP235" s="24">
        <v>2021</v>
      </c>
      <c r="GQ235" s="24">
        <v>17</v>
      </c>
      <c r="GR235" s="24">
        <v>11.085857142857101</v>
      </c>
      <c r="GS235" s="24" t="s">
        <v>33</v>
      </c>
      <c r="GX235">
        <v>2021</v>
      </c>
      <c r="GY235">
        <v>17</v>
      </c>
      <c r="GZ235" t="s">
        <v>33</v>
      </c>
      <c r="HA235">
        <v>249270</v>
      </c>
      <c r="HB235">
        <v>228683</v>
      </c>
      <c r="HC235">
        <v>682</v>
      </c>
      <c r="HD235">
        <v>967</v>
      </c>
      <c r="HE235">
        <v>1</v>
      </c>
      <c r="HF235">
        <v>12419</v>
      </c>
      <c r="HG235">
        <v>0</v>
      </c>
      <c r="HH235">
        <v>0</v>
      </c>
      <c r="HI235">
        <v>1589</v>
      </c>
      <c r="HL235">
        <v>2021</v>
      </c>
      <c r="HM235">
        <v>17</v>
      </c>
      <c r="HN235" t="s">
        <v>33</v>
      </c>
      <c r="HO235">
        <v>250136</v>
      </c>
      <c r="HP235">
        <v>233238</v>
      </c>
      <c r="HQ235">
        <v>767</v>
      </c>
      <c r="HR235">
        <v>784</v>
      </c>
      <c r="HS235">
        <v>1</v>
      </c>
      <c r="HT235">
        <v>12080</v>
      </c>
      <c r="HU235">
        <v>0</v>
      </c>
      <c r="HV235">
        <v>0</v>
      </c>
      <c r="HW235">
        <v>1055</v>
      </c>
      <c r="HZ235" s="24">
        <v>2021</v>
      </c>
      <c r="IA235" s="24">
        <v>17</v>
      </c>
      <c r="IB235" s="24" t="s">
        <v>33</v>
      </c>
      <c r="IC235" s="24">
        <v>8941</v>
      </c>
      <c r="ID235" s="24">
        <v>8576</v>
      </c>
      <c r="IG235" s="24">
        <v>2021</v>
      </c>
      <c r="IH235" s="24">
        <v>17</v>
      </c>
      <c r="II235" s="24" t="s">
        <v>33</v>
      </c>
      <c r="IJ235" s="24">
        <v>8873</v>
      </c>
      <c r="IK235" s="24">
        <v>8749</v>
      </c>
    </row>
    <row r="236" spans="9:245" x14ac:dyDescent="0.4">
      <c r="I236" s="305">
        <v>2021</v>
      </c>
      <c r="J236" s="306">
        <v>17</v>
      </c>
      <c r="K236" s="306" t="s">
        <v>33</v>
      </c>
      <c r="L236" s="306">
        <v>250258</v>
      </c>
      <c r="M236" s="306">
        <v>228485</v>
      </c>
      <c r="N236" s="306">
        <v>730</v>
      </c>
      <c r="O236" s="306">
        <v>4534</v>
      </c>
      <c r="P236" s="306">
        <v>206</v>
      </c>
      <c r="Q236" s="306">
        <v>27</v>
      </c>
      <c r="R236" s="24"/>
      <c r="S236" s="24"/>
      <c r="T236" s="24"/>
      <c r="W236" s="24">
        <v>2021</v>
      </c>
      <c r="X236" s="24">
        <v>16</v>
      </c>
      <c r="Y236" s="24" t="s">
        <v>32</v>
      </c>
      <c r="Z236" s="24">
        <v>15390</v>
      </c>
      <c r="AA236" s="24">
        <v>14071</v>
      </c>
      <c r="AB236" s="24">
        <v>24</v>
      </c>
      <c r="AC236" s="24">
        <v>3</v>
      </c>
      <c r="AI236" s="24"/>
      <c r="AJ236" s="24"/>
      <c r="AK236" s="24">
        <v>2021</v>
      </c>
      <c r="AL236" s="24">
        <v>16</v>
      </c>
      <c r="AM236" s="24">
        <v>768.77</v>
      </c>
      <c r="AN236" s="24">
        <v>96.87</v>
      </c>
      <c r="AO236" s="24">
        <v>0</v>
      </c>
      <c r="AP236" s="24">
        <v>17</v>
      </c>
      <c r="AQ236" s="24">
        <v>0</v>
      </c>
      <c r="AR236" s="24">
        <v>0</v>
      </c>
      <c r="AS236" s="24" t="s">
        <v>32</v>
      </c>
      <c r="AT236" s="24"/>
      <c r="AU236" s="24">
        <v>2021</v>
      </c>
      <c r="AV236" s="24">
        <v>16</v>
      </c>
      <c r="AW236" s="24">
        <v>0.19</v>
      </c>
      <c r="AX236" s="24">
        <v>2800</v>
      </c>
      <c r="AY236" s="24">
        <v>14931</v>
      </c>
      <c r="AZ236" s="24" t="s">
        <v>32</v>
      </c>
      <c r="BA236" s="24"/>
      <c r="BB236" s="24"/>
      <c r="BC236" s="24">
        <v>2021</v>
      </c>
      <c r="BD236" s="24">
        <v>16</v>
      </c>
      <c r="BE236" s="24">
        <v>150.648142857143</v>
      </c>
      <c r="BF236" s="24" t="s">
        <v>32</v>
      </c>
      <c r="BG236" s="24"/>
      <c r="BI236" s="24">
        <v>2022</v>
      </c>
      <c r="BJ236" s="24">
        <v>13</v>
      </c>
      <c r="BK236" s="24" t="s">
        <v>33</v>
      </c>
      <c r="BL236" s="24" t="s">
        <v>273</v>
      </c>
      <c r="BM236" s="24">
        <v>121750</v>
      </c>
      <c r="BN236" s="24">
        <v>120827</v>
      </c>
      <c r="BO236" s="24">
        <v>125016</v>
      </c>
      <c r="BR236" s="24">
        <v>2021</v>
      </c>
      <c r="BS236" s="24">
        <v>16</v>
      </c>
      <c r="BT236" s="24">
        <v>14711</v>
      </c>
      <c r="BU236" s="24">
        <v>0</v>
      </c>
      <c r="BV236" s="24" t="s">
        <v>32</v>
      </c>
      <c r="BY236" s="24">
        <v>2021</v>
      </c>
      <c r="BZ236" s="24">
        <v>18</v>
      </c>
      <c r="CA236" s="24" t="s">
        <v>32</v>
      </c>
      <c r="CB236" s="24" t="s">
        <v>108</v>
      </c>
      <c r="CC236" s="24">
        <v>3</v>
      </c>
      <c r="CF236" s="24">
        <v>2021</v>
      </c>
      <c r="CG236" s="24">
        <v>16</v>
      </c>
      <c r="CH236" s="24" t="s">
        <v>32</v>
      </c>
      <c r="CI236" s="24">
        <v>78.909698996655521</v>
      </c>
      <c r="CJ236" s="24">
        <v>11797</v>
      </c>
      <c r="CK236" s="24">
        <v>149.5</v>
      </c>
      <c r="CL236" s="24">
        <v>68.012177650429805</v>
      </c>
      <c r="CM236" s="24">
        <v>9904</v>
      </c>
      <c r="CN236" s="24">
        <v>18989</v>
      </c>
      <c r="CO236" s="24">
        <v>279.2</v>
      </c>
      <c r="CP236" s="24">
        <v>6741</v>
      </c>
      <c r="CQ236" s="24">
        <v>0</v>
      </c>
      <c r="CR236" s="24">
        <v>201</v>
      </c>
      <c r="CS236" s="24">
        <v>14696</v>
      </c>
      <c r="CT236" s="24">
        <v>14696</v>
      </c>
      <c r="CU236" s="24">
        <v>184.2</v>
      </c>
      <c r="CV236" s="24">
        <v>4127</v>
      </c>
      <c r="CW236" s="24">
        <v>0</v>
      </c>
      <c r="CX236" s="24">
        <v>11941</v>
      </c>
      <c r="CY236" s="24">
        <v>51.4</v>
      </c>
      <c r="CZ236" s="24">
        <v>6882</v>
      </c>
      <c r="DA236" s="24">
        <v>201</v>
      </c>
      <c r="DD236" s="24">
        <v>2021</v>
      </c>
      <c r="DE236" s="24">
        <v>16</v>
      </c>
      <c r="DF236" s="24" t="s">
        <v>32</v>
      </c>
      <c r="DG236" s="24">
        <v>2212</v>
      </c>
      <c r="DH236" s="24">
        <v>2559</v>
      </c>
      <c r="DJ236" s="24">
        <v>2021</v>
      </c>
      <c r="DK236" s="24">
        <v>16</v>
      </c>
      <c r="DL236" s="24" t="s">
        <v>33</v>
      </c>
      <c r="DM236" s="24">
        <v>1213</v>
      </c>
      <c r="DP236" s="24">
        <v>2019</v>
      </c>
      <c r="DQ236" s="24">
        <v>42</v>
      </c>
      <c r="DR236" s="24" t="s">
        <v>33</v>
      </c>
      <c r="DS236" s="24">
        <v>9386</v>
      </c>
      <c r="DT236" s="24">
        <v>298</v>
      </c>
      <c r="DW236" s="24">
        <v>2021</v>
      </c>
      <c r="DX236" s="24">
        <v>48</v>
      </c>
      <c r="DY236" s="24" t="s">
        <v>32</v>
      </c>
      <c r="DZ236" s="24">
        <v>1</v>
      </c>
      <c r="EA236" s="24" t="s">
        <v>149</v>
      </c>
      <c r="EB236" s="24">
        <v>0</v>
      </c>
      <c r="EC236" s="24">
        <v>0</v>
      </c>
      <c r="ED236" s="24">
        <v>36</v>
      </c>
      <c r="EE236" s="24">
        <v>677</v>
      </c>
      <c r="EF236" s="24">
        <v>4</v>
      </c>
      <c r="EI236" s="24">
        <v>2023</v>
      </c>
      <c r="EJ236" s="24">
        <v>3</v>
      </c>
      <c r="EK236" s="24" t="s">
        <v>208</v>
      </c>
      <c r="EL236" s="24" t="s">
        <v>247</v>
      </c>
      <c r="EM236" s="24" t="s">
        <v>234</v>
      </c>
      <c r="EN236" s="24">
        <v>1</v>
      </c>
      <c r="EO236" s="24"/>
      <c r="EP236" s="24"/>
      <c r="EQ236" s="24"/>
      <c r="ER236" s="24"/>
      <c r="ES236" s="24">
        <v>2021</v>
      </c>
      <c r="ET236" s="24">
        <v>32</v>
      </c>
      <c r="EU236" s="24" t="s">
        <v>32</v>
      </c>
      <c r="EV236" s="24">
        <v>5181</v>
      </c>
      <c r="EY236" s="24">
        <v>2021</v>
      </c>
      <c r="EZ236" s="24">
        <v>21</v>
      </c>
      <c r="FA236" s="24" t="s">
        <v>33</v>
      </c>
      <c r="FB236" s="24">
        <v>706</v>
      </c>
      <c r="FE236" s="24">
        <v>2021</v>
      </c>
      <c r="FF236" s="24">
        <v>16</v>
      </c>
      <c r="FG236" s="24" t="s">
        <v>32</v>
      </c>
      <c r="FH236" s="24">
        <v>0.88060000000000005</v>
      </c>
      <c r="FI236" s="24">
        <v>501</v>
      </c>
      <c r="FJ236" s="24">
        <v>233</v>
      </c>
      <c r="FK236" s="24">
        <v>265</v>
      </c>
      <c r="FN236" s="24">
        <v>2021</v>
      </c>
      <c r="FO236" s="24">
        <v>17</v>
      </c>
      <c r="FP236" s="24" t="s">
        <v>32</v>
      </c>
      <c r="FQ236" s="24">
        <v>32570</v>
      </c>
      <c r="FR236" s="24">
        <v>620.06666666666695</v>
      </c>
      <c r="FS236" s="24">
        <v>29060</v>
      </c>
      <c r="FT236" s="24">
        <v>263.58333333333297</v>
      </c>
      <c r="FW236" s="24">
        <v>2021</v>
      </c>
      <c r="FX236" s="24">
        <v>16</v>
      </c>
      <c r="FY236" s="24" t="s">
        <v>32</v>
      </c>
      <c r="FZ236" s="24">
        <v>1596</v>
      </c>
      <c r="GA236" s="24">
        <v>1431</v>
      </c>
      <c r="GB236" s="24"/>
      <c r="GC236" s="24"/>
      <c r="GD236" s="24">
        <v>2021</v>
      </c>
      <c r="GE236" s="24">
        <v>16</v>
      </c>
      <c r="GF236" s="24" t="s">
        <v>32</v>
      </c>
      <c r="GG236" s="24">
        <v>1591</v>
      </c>
      <c r="GH236" s="24">
        <v>1426</v>
      </c>
      <c r="GK236" s="24"/>
      <c r="GL236" s="24"/>
      <c r="GM236" s="24"/>
      <c r="GN236" s="24"/>
      <c r="GO236" s="24"/>
      <c r="GP236" s="24">
        <v>2021</v>
      </c>
      <c r="GQ236" s="24">
        <v>16</v>
      </c>
      <c r="GR236" s="24">
        <v>0.29899999999999999</v>
      </c>
      <c r="GS236" s="24" t="s">
        <v>32</v>
      </c>
      <c r="GX236">
        <v>2021</v>
      </c>
      <c r="GY236">
        <v>16</v>
      </c>
      <c r="GZ236" t="s">
        <v>32</v>
      </c>
      <c r="HA236">
        <v>14599</v>
      </c>
      <c r="HB236">
        <v>14063</v>
      </c>
      <c r="HC236">
        <v>0</v>
      </c>
      <c r="HD236">
        <v>7</v>
      </c>
      <c r="HE236">
        <v>0</v>
      </c>
      <c r="HF236">
        <v>202</v>
      </c>
      <c r="HG236">
        <v>0</v>
      </c>
      <c r="HH236">
        <v>0</v>
      </c>
      <c r="HI236">
        <v>47</v>
      </c>
      <c r="HL236">
        <v>2021</v>
      </c>
      <c r="HM236">
        <v>16</v>
      </c>
      <c r="HN236" t="s">
        <v>32</v>
      </c>
      <c r="HO236">
        <v>15277</v>
      </c>
      <c r="HP236">
        <v>14817</v>
      </c>
      <c r="HQ236">
        <v>0</v>
      </c>
      <c r="HR236">
        <v>18</v>
      </c>
      <c r="HS236">
        <v>0</v>
      </c>
      <c r="HT236">
        <v>364</v>
      </c>
      <c r="HU236">
        <v>0</v>
      </c>
      <c r="HV236">
        <v>0</v>
      </c>
      <c r="HW236">
        <v>8</v>
      </c>
      <c r="HZ236" s="24">
        <v>2021</v>
      </c>
      <c r="IA236" s="24">
        <v>16</v>
      </c>
      <c r="IB236" s="24" t="s">
        <v>32</v>
      </c>
      <c r="IC236" s="24">
        <v>1576</v>
      </c>
      <c r="ID236" s="24">
        <v>1421</v>
      </c>
      <c r="IG236" s="24">
        <v>2021</v>
      </c>
      <c r="IH236" s="24">
        <v>16</v>
      </c>
      <c r="II236" s="24" t="s">
        <v>32</v>
      </c>
      <c r="IJ236" s="24">
        <v>1559</v>
      </c>
      <c r="IK236" s="24">
        <v>1481</v>
      </c>
    </row>
    <row r="237" spans="9:245" x14ac:dyDescent="0.4">
      <c r="I237" s="305">
        <v>2021</v>
      </c>
      <c r="J237" s="306">
        <v>16</v>
      </c>
      <c r="K237" s="306" t="s">
        <v>32</v>
      </c>
      <c r="L237" s="306">
        <v>14897</v>
      </c>
      <c r="M237" s="306">
        <v>13748</v>
      </c>
      <c r="N237" s="306">
        <v>33</v>
      </c>
      <c r="O237" s="306">
        <v>274</v>
      </c>
      <c r="P237" s="306">
        <v>27</v>
      </c>
      <c r="Q237" s="306">
        <v>6</v>
      </c>
      <c r="R237" s="24"/>
      <c r="S237" s="24"/>
      <c r="T237" s="24"/>
      <c r="W237" s="24">
        <v>2021</v>
      </c>
      <c r="X237" s="24">
        <v>16</v>
      </c>
      <c r="Y237" s="24" t="s">
        <v>33</v>
      </c>
      <c r="Z237" s="24">
        <v>242095</v>
      </c>
      <c r="AA237" s="24">
        <v>220220</v>
      </c>
      <c r="AB237" s="24">
        <v>154</v>
      </c>
      <c r="AC237" s="24">
        <v>35</v>
      </c>
      <c r="AI237" s="24"/>
      <c r="AJ237" s="24"/>
      <c r="AK237" s="24">
        <v>2021</v>
      </c>
      <c r="AL237" s="24">
        <v>16</v>
      </c>
      <c r="AM237" s="24">
        <v>13639.65</v>
      </c>
      <c r="AN237" s="24">
        <v>1411.57</v>
      </c>
      <c r="AO237" s="24">
        <v>0</v>
      </c>
      <c r="AP237" s="24">
        <v>335</v>
      </c>
      <c r="AQ237" s="24">
        <v>0</v>
      </c>
      <c r="AR237" s="24">
        <v>3</v>
      </c>
      <c r="AS237" s="24" t="s">
        <v>33</v>
      </c>
      <c r="AT237" s="24"/>
      <c r="AU237" s="24">
        <v>2021</v>
      </c>
      <c r="AV237" s="24">
        <v>16</v>
      </c>
      <c r="AW237" s="24">
        <v>0.04</v>
      </c>
      <c r="AX237" s="24">
        <v>10500</v>
      </c>
      <c r="AY237" s="24">
        <v>248459</v>
      </c>
      <c r="AZ237" s="24" t="s">
        <v>33</v>
      </c>
      <c r="BA237" s="24"/>
      <c r="BB237" s="24"/>
      <c r="BC237" s="24">
        <v>2021</v>
      </c>
      <c r="BD237" s="24">
        <v>16</v>
      </c>
      <c r="BE237" s="24">
        <v>1737.5701428571399</v>
      </c>
      <c r="BF237" s="24" t="s">
        <v>33</v>
      </c>
      <c r="BG237" s="24"/>
      <c r="BI237" s="24">
        <v>2022</v>
      </c>
      <c r="BJ237" s="24">
        <v>13</v>
      </c>
      <c r="BK237" s="24" t="s">
        <v>32</v>
      </c>
      <c r="BL237" s="24" t="s">
        <v>272</v>
      </c>
      <c r="BM237" s="24">
        <v>3416</v>
      </c>
      <c r="BN237" s="24">
        <v>3398</v>
      </c>
      <c r="BO237" s="24">
        <v>12151</v>
      </c>
      <c r="BR237" s="24">
        <v>2021</v>
      </c>
      <c r="BS237" s="24">
        <v>16</v>
      </c>
      <c r="BT237" s="24">
        <v>247333</v>
      </c>
      <c r="BU237" s="24">
        <v>0</v>
      </c>
      <c r="BV237" s="24" t="s">
        <v>33</v>
      </c>
      <c r="BY237" s="24">
        <v>2021</v>
      </c>
      <c r="BZ237" s="24">
        <v>18</v>
      </c>
      <c r="CA237" s="24" t="s">
        <v>32</v>
      </c>
      <c r="CB237" s="24" t="s">
        <v>423</v>
      </c>
      <c r="CC237" s="24">
        <v>62</v>
      </c>
      <c r="CF237" s="24">
        <v>2021</v>
      </c>
      <c r="CG237" s="24">
        <v>16</v>
      </c>
      <c r="CH237" s="24" t="s">
        <v>33</v>
      </c>
      <c r="CI237" s="24">
        <v>106.48981732366052</v>
      </c>
      <c r="CJ237" s="24">
        <v>243670</v>
      </c>
      <c r="CK237" s="24">
        <v>2288.1999999999998</v>
      </c>
      <c r="CL237" s="24">
        <v>96.978625314333613</v>
      </c>
      <c r="CM237" s="24">
        <v>121122</v>
      </c>
      <c r="CN237" s="24">
        <v>231391</v>
      </c>
      <c r="CO237" s="24">
        <v>2386</v>
      </c>
      <c r="CP237" s="24">
        <v>45065</v>
      </c>
      <c r="CQ237" s="24">
        <v>207.8</v>
      </c>
      <c r="CR237" s="24">
        <v>1133.9000000000001</v>
      </c>
      <c r="CS237" s="24">
        <v>160769</v>
      </c>
      <c r="CT237" s="24">
        <v>160769</v>
      </c>
      <c r="CU237" s="24">
        <v>1296</v>
      </c>
      <c r="CV237" s="24">
        <v>43161</v>
      </c>
      <c r="CW237" s="24">
        <v>0</v>
      </c>
      <c r="CX237" s="24">
        <v>130368</v>
      </c>
      <c r="CY237" s="24">
        <v>523.4</v>
      </c>
      <c r="CZ237" s="24">
        <v>38148</v>
      </c>
      <c r="DA237" s="24">
        <v>1133.9000000000001</v>
      </c>
      <c r="DD237" s="24">
        <v>2021</v>
      </c>
      <c r="DE237" s="24">
        <v>16</v>
      </c>
      <c r="DF237" s="24" t="s">
        <v>33</v>
      </c>
      <c r="DG237" s="24">
        <v>43553</v>
      </c>
      <c r="DH237" s="24">
        <v>28362</v>
      </c>
      <c r="DJ237" s="24">
        <v>2021</v>
      </c>
      <c r="DK237" s="24">
        <v>15</v>
      </c>
      <c r="DL237" s="24" t="s">
        <v>32</v>
      </c>
      <c r="DM237" s="24">
        <v>14</v>
      </c>
      <c r="DP237" s="24">
        <v>2019</v>
      </c>
      <c r="DQ237" s="24">
        <v>41</v>
      </c>
      <c r="DR237" s="24" t="s">
        <v>33</v>
      </c>
      <c r="DS237" s="24">
        <v>9355</v>
      </c>
      <c r="DT237" s="24">
        <v>612</v>
      </c>
      <c r="DW237" s="24">
        <v>2021</v>
      </c>
      <c r="DX237" s="24">
        <v>48</v>
      </c>
      <c r="DY237" s="24" t="s">
        <v>33</v>
      </c>
      <c r="DZ237" s="24">
        <v>9</v>
      </c>
      <c r="EA237" s="24" t="s">
        <v>562</v>
      </c>
      <c r="EB237" s="24">
        <v>120.4</v>
      </c>
      <c r="EC237" s="24">
        <v>0</v>
      </c>
      <c r="ED237" s="24">
        <v>12</v>
      </c>
      <c r="EE237" s="24">
        <v>4642</v>
      </c>
      <c r="EF237" s="24">
        <v>32.799999999999997</v>
      </c>
      <c r="EI237" s="24">
        <v>2023</v>
      </c>
      <c r="EJ237" s="24">
        <v>3</v>
      </c>
      <c r="EK237" s="24" t="s">
        <v>558</v>
      </c>
      <c r="EL237" s="24" t="s">
        <v>557</v>
      </c>
      <c r="EM237" s="24" t="s">
        <v>210</v>
      </c>
      <c r="EN237" s="24">
        <v>20</v>
      </c>
      <c r="EO237" s="24"/>
      <c r="EP237" s="24"/>
      <c r="EQ237" s="24"/>
      <c r="ER237" s="24"/>
      <c r="ES237" s="24">
        <v>2021</v>
      </c>
      <c r="ET237" s="24">
        <v>32</v>
      </c>
      <c r="EU237" s="24" t="s">
        <v>33</v>
      </c>
      <c r="EV237" s="24">
        <v>126275</v>
      </c>
      <c r="EY237" s="24">
        <v>2021</v>
      </c>
      <c r="EZ237" s="24">
        <v>20</v>
      </c>
      <c r="FA237" s="24" t="s">
        <v>32</v>
      </c>
      <c r="FB237" s="24">
        <v>792</v>
      </c>
      <c r="FE237" s="24">
        <v>2021</v>
      </c>
      <c r="FF237" s="24">
        <v>16</v>
      </c>
      <c r="FG237" s="24" t="s">
        <v>33</v>
      </c>
      <c r="FH237" s="24">
        <v>0.89080000000000004</v>
      </c>
      <c r="FI237" s="24">
        <v>12195</v>
      </c>
      <c r="FJ237" s="24">
        <v>5547</v>
      </c>
      <c r="FK237" s="24">
        <v>6273</v>
      </c>
      <c r="FN237" s="24">
        <v>2021</v>
      </c>
      <c r="FO237" s="24">
        <v>17</v>
      </c>
      <c r="FP237" s="24" t="s">
        <v>33</v>
      </c>
      <c r="FQ237" s="24">
        <v>875211</v>
      </c>
      <c r="FR237" s="24">
        <v>7809.2833333333292</v>
      </c>
      <c r="FS237" s="24">
        <v>395113</v>
      </c>
      <c r="FT237" s="24">
        <v>2146.2666666666701</v>
      </c>
      <c r="FW237" s="24">
        <v>2021</v>
      </c>
      <c r="FX237" s="24">
        <v>16</v>
      </c>
      <c r="FY237" s="24" t="s">
        <v>33</v>
      </c>
      <c r="FZ237" s="24">
        <v>9242</v>
      </c>
      <c r="GA237" s="24">
        <v>8728</v>
      </c>
      <c r="GB237" s="24"/>
      <c r="GC237" s="24"/>
      <c r="GD237" s="24">
        <v>2021</v>
      </c>
      <c r="GE237" s="24">
        <v>16</v>
      </c>
      <c r="GF237" s="24" t="s">
        <v>33</v>
      </c>
      <c r="GG237" s="24">
        <v>9268</v>
      </c>
      <c r="GH237" s="24">
        <v>8831</v>
      </c>
      <c r="GK237" s="24"/>
      <c r="GL237" s="24"/>
      <c r="GM237" s="24"/>
      <c r="GN237" s="24"/>
      <c r="GO237" s="24"/>
      <c r="GP237" s="24">
        <v>2021</v>
      </c>
      <c r="GQ237" s="24">
        <v>16</v>
      </c>
      <c r="GR237" s="24">
        <v>10.770571428571401</v>
      </c>
      <c r="GS237" s="24" t="s">
        <v>33</v>
      </c>
      <c r="GX237">
        <v>2021</v>
      </c>
      <c r="GY237">
        <v>16</v>
      </c>
      <c r="GZ237" t="s">
        <v>33</v>
      </c>
      <c r="HA237">
        <v>239780</v>
      </c>
      <c r="HB237">
        <v>224832</v>
      </c>
      <c r="HC237">
        <v>585</v>
      </c>
      <c r="HD237">
        <v>608</v>
      </c>
      <c r="HE237">
        <v>0</v>
      </c>
      <c r="HF237">
        <v>9795</v>
      </c>
      <c r="HG237">
        <v>0</v>
      </c>
      <c r="HH237">
        <v>0</v>
      </c>
      <c r="HI237">
        <v>1180</v>
      </c>
      <c r="HL237">
        <v>2021</v>
      </c>
      <c r="HM237">
        <v>16</v>
      </c>
      <c r="HN237" t="s">
        <v>33</v>
      </c>
      <c r="HO237">
        <v>241259</v>
      </c>
      <c r="HP237">
        <v>228488</v>
      </c>
      <c r="HQ237">
        <v>702</v>
      </c>
      <c r="HR237">
        <v>518</v>
      </c>
      <c r="HS237">
        <v>0</v>
      </c>
      <c r="HT237">
        <v>11960</v>
      </c>
      <c r="HU237">
        <v>0</v>
      </c>
      <c r="HV237">
        <v>0</v>
      </c>
      <c r="HW237">
        <v>720</v>
      </c>
      <c r="HZ237" s="24">
        <v>2021</v>
      </c>
      <c r="IA237" s="24">
        <v>16</v>
      </c>
      <c r="IB237" s="24" t="s">
        <v>33</v>
      </c>
      <c r="IC237" s="24">
        <v>9041</v>
      </c>
      <c r="ID237" s="24">
        <v>8588</v>
      </c>
      <c r="IG237" s="24">
        <v>2021</v>
      </c>
      <c r="IH237" s="24">
        <v>16</v>
      </c>
      <c r="II237" s="24" t="s">
        <v>33</v>
      </c>
      <c r="IJ237" s="24">
        <v>8785</v>
      </c>
      <c r="IK237" s="24">
        <v>8478</v>
      </c>
    </row>
    <row r="238" spans="9:245" x14ac:dyDescent="0.4">
      <c r="I238" s="305">
        <v>2021</v>
      </c>
      <c r="J238" s="306">
        <v>16</v>
      </c>
      <c r="K238" s="306" t="s">
        <v>33</v>
      </c>
      <c r="L238" s="306">
        <v>242049</v>
      </c>
      <c r="M238" s="306">
        <v>219129</v>
      </c>
      <c r="N238" s="306">
        <v>854</v>
      </c>
      <c r="O238" s="306">
        <v>4900</v>
      </c>
      <c r="P238" s="306">
        <v>182</v>
      </c>
      <c r="Q238" s="306">
        <v>43</v>
      </c>
      <c r="R238" s="24"/>
      <c r="S238" s="24"/>
      <c r="T238" s="24"/>
      <c r="W238" s="24">
        <v>2021</v>
      </c>
      <c r="X238" s="24">
        <v>15</v>
      </c>
      <c r="Y238" s="24" t="s">
        <v>32</v>
      </c>
      <c r="Z238" s="24">
        <v>14052</v>
      </c>
      <c r="AA238" s="24">
        <v>12641</v>
      </c>
      <c r="AB238" s="24">
        <v>28</v>
      </c>
      <c r="AC238" s="24">
        <v>2</v>
      </c>
      <c r="AI238" s="24"/>
      <c r="AJ238" s="24"/>
      <c r="AK238" s="24">
        <v>2021</v>
      </c>
      <c r="AL238" s="24">
        <v>15</v>
      </c>
      <c r="AM238" s="24">
        <v>802.88</v>
      </c>
      <c r="AN238" s="24">
        <v>91.05</v>
      </c>
      <c r="AO238" s="24">
        <v>0</v>
      </c>
      <c r="AP238" s="24">
        <v>18</v>
      </c>
      <c r="AQ238" s="24">
        <v>0</v>
      </c>
      <c r="AR238" s="24">
        <v>0</v>
      </c>
      <c r="AS238" s="24" t="s">
        <v>32</v>
      </c>
      <c r="AT238" s="24"/>
      <c r="AU238" s="24">
        <v>2021</v>
      </c>
      <c r="AV238" s="24">
        <v>15</v>
      </c>
      <c r="AW238" s="24">
        <v>0.05</v>
      </c>
      <c r="AX238" s="24">
        <v>800</v>
      </c>
      <c r="AY238" s="24">
        <v>15644</v>
      </c>
      <c r="AZ238" s="24" t="s">
        <v>32</v>
      </c>
      <c r="BA238" s="24"/>
      <c r="BB238" s="24"/>
      <c r="BC238" s="24">
        <v>2021</v>
      </c>
      <c r="BD238" s="24">
        <v>15</v>
      </c>
      <c r="BE238" s="24">
        <v>149.09871428571401</v>
      </c>
      <c r="BF238" s="24" t="s">
        <v>32</v>
      </c>
      <c r="BG238" s="24"/>
      <c r="BI238" s="24">
        <v>2022</v>
      </c>
      <c r="BJ238" s="24">
        <v>12</v>
      </c>
      <c r="BK238" s="24" t="s">
        <v>32</v>
      </c>
      <c r="BL238" s="24" t="s">
        <v>273</v>
      </c>
      <c r="BM238" s="24">
        <v>7526</v>
      </c>
      <c r="BN238" s="24">
        <v>7471</v>
      </c>
      <c r="BO238" s="24">
        <v>7656</v>
      </c>
      <c r="BR238" s="24">
        <v>2021</v>
      </c>
      <c r="BS238" s="24">
        <v>15</v>
      </c>
      <c r="BT238" s="24">
        <v>241429</v>
      </c>
      <c r="BU238" s="24">
        <v>1</v>
      </c>
      <c r="BV238" s="24" t="s">
        <v>33</v>
      </c>
      <c r="BY238" s="24">
        <v>2021</v>
      </c>
      <c r="BZ238" s="24">
        <v>18</v>
      </c>
      <c r="CA238" s="24" t="s">
        <v>33</v>
      </c>
      <c r="CB238" s="24" t="s">
        <v>108</v>
      </c>
      <c r="CC238" s="24">
        <v>2</v>
      </c>
      <c r="CF238" s="24">
        <v>2021</v>
      </c>
      <c r="CG238" s="24">
        <v>15</v>
      </c>
      <c r="CH238" s="24" t="s">
        <v>32</v>
      </c>
      <c r="CI238" s="24">
        <v>89.536340852130323</v>
      </c>
      <c r="CJ238" s="24">
        <v>14290</v>
      </c>
      <c r="CK238" s="24">
        <v>159.6</v>
      </c>
      <c r="CL238" s="24">
        <v>70.462184873949582</v>
      </c>
      <c r="CM238" s="24">
        <v>7301</v>
      </c>
      <c r="CN238" s="24">
        <v>13416</v>
      </c>
      <c r="CO238" s="24">
        <v>190.4</v>
      </c>
      <c r="CP238" s="24">
        <v>12894</v>
      </c>
      <c r="CQ238" s="24">
        <v>51.7</v>
      </c>
      <c r="CR238" s="24">
        <v>302</v>
      </c>
      <c r="CS238" s="24">
        <v>13754</v>
      </c>
      <c r="CT238" s="24">
        <v>13754</v>
      </c>
      <c r="CU238" s="24">
        <v>207.5</v>
      </c>
      <c r="CV238" s="24">
        <v>4625</v>
      </c>
      <c r="CW238" s="24">
        <v>0</v>
      </c>
      <c r="CX238" s="24">
        <v>10816</v>
      </c>
      <c r="CY238" s="24">
        <v>51</v>
      </c>
      <c r="CZ238" s="24">
        <v>10825</v>
      </c>
      <c r="DA238" s="24">
        <v>302</v>
      </c>
      <c r="DD238" s="24">
        <v>2021</v>
      </c>
      <c r="DE238" s="24">
        <v>15</v>
      </c>
      <c r="DF238" s="24" t="s">
        <v>32</v>
      </c>
      <c r="DG238" s="24">
        <v>5065</v>
      </c>
      <c r="DH238" s="24">
        <v>2741</v>
      </c>
      <c r="DJ238" s="24">
        <v>2021</v>
      </c>
      <c r="DK238" s="24">
        <v>15</v>
      </c>
      <c r="DL238" s="24" t="s">
        <v>33</v>
      </c>
      <c r="DM238" s="24">
        <v>643</v>
      </c>
      <c r="DP238" s="307">
        <v>2019</v>
      </c>
      <c r="DQ238" s="307">
        <v>40</v>
      </c>
      <c r="DR238" s="307" t="s">
        <v>33</v>
      </c>
      <c r="DS238" s="307">
        <v>9401</v>
      </c>
      <c r="DT238" s="307">
        <v>837</v>
      </c>
      <c r="DW238" s="24">
        <v>2021</v>
      </c>
      <c r="DX238" s="24">
        <v>48</v>
      </c>
      <c r="DY238" s="24" t="s">
        <v>33</v>
      </c>
      <c r="DZ238" s="24">
        <v>44</v>
      </c>
      <c r="EA238" s="24" t="s">
        <v>149</v>
      </c>
      <c r="EB238" s="24">
        <v>104.1</v>
      </c>
      <c r="EC238" s="24">
        <v>1121.7</v>
      </c>
      <c r="ED238" s="24">
        <v>32664</v>
      </c>
      <c r="EE238" s="24">
        <v>36045</v>
      </c>
      <c r="EF238" s="24">
        <v>168</v>
      </c>
      <c r="EI238" s="24">
        <v>2023</v>
      </c>
      <c r="EJ238" s="24">
        <v>3</v>
      </c>
      <c r="EK238" s="24" t="s">
        <v>558</v>
      </c>
      <c r="EL238" s="24" t="s">
        <v>235</v>
      </c>
      <c r="EM238" s="24" t="s">
        <v>210</v>
      </c>
      <c r="EN238" s="24">
        <v>3</v>
      </c>
      <c r="EO238" s="24"/>
      <c r="EP238" s="24"/>
      <c r="EQ238" s="24"/>
      <c r="ER238" s="24"/>
      <c r="ES238" s="24">
        <v>2021</v>
      </c>
      <c r="ET238" s="24">
        <v>32</v>
      </c>
      <c r="EU238" s="24" t="s">
        <v>213</v>
      </c>
      <c r="EV238" s="24">
        <v>1</v>
      </c>
      <c r="EY238" s="24">
        <v>2021</v>
      </c>
      <c r="EZ238" s="24">
        <v>20</v>
      </c>
      <c r="FA238" s="24" t="s">
        <v>33</v>
      </c>
      <c r="FB238" s="24">
        <v>1250</v>
      </c>
      <c r="FE238" s="24">
        <v>2021</v>
      </c>
      <c r="FF238" s="24">
        <v>15</v>
      </c>
      <c r="FG238" s="24" t="s">
        <v>32</v>
      </c>
      <c r="FH238" s="24">
        <v>0.92520000000000002</v>
      </c>
      <c r="FI238" s="24">
        <v>408</v>
      </c>
      <c r="FJ238" s="24">
        <v>194</v>
      </c>
      <c r="FK238" s="24">
        <v>210</v>
      </c>
      <c r="FN238" s="24">
        <v>2021</v>
      </c>
      <c r="FO238" s="24">
        <v>16</v>
      </c>
      <c r="FP238" s="24" t="s">
        <v>32</v>
      </c>
      <c r="FQ238" s="24">
        <v>35917</v>
      </c>
      <c r="FR238" s="24">
        <v>583.85</v>
      </c>
      <c r="FS238" s="24">
        <v>33436</v>
      </c>
      <c r="FT238" s="24">
        <v>178.433333333333</v>
      </c>
      <c r="FW238" s="24">
        <v>2021</v>
      </c>
      <c r="FX238" s="24">
        <v>15</v>
      </c>
      <c r="FY238" s="24" t="s">
        <v>32</v>
      </c>
      <c r="FZ238" s="24">
        <v>1659</v>
      </c>
      <c r="GA238" s="24">
        <v>1536</v>
      </c>
      <c r="GB238" s="24"/>
      <c r="GC238" s="24"/>
      <c r="GD238" s="24">
        <v>2021</v>
      </c>
      <c r="GE238" s="24">
        <v>15</v>
      </c>
      <c r="GF238" s="24" t="s">
        <v>32</v>
      </c>
      <c r="GG238" s="24">
        <v>1621</v>
      </c>
      <c r="GH238" s="24">
        <v>1471</v>
      </c>
      <c r="GK238" s="24"/>
      <c r="GL238" s="24"/>
      <c r="GM238" s="24"/>
      <c r="GN238" s="24"/>
      <c r="GO238" s="24"/>
      <c r="GP238" s="24">
        <v>2021</v>
      </c>
      <c r="GQ238" s="24">
        <v>15</v>
      </c>
      <c r="GR238" s="24">
        <v>0.29899999999999999</v>
      </c>
      <c r="GS238" s="24" t="s">
        <v>32</v>
      </c>
      <c r="GX238">
        <v>2021</v>
      </c>
      <c r="GY238">
        <v>15</v>
      </c>
      <c r="GZ238" t="s">
        <v>32</v>
      </c>
      <c r="HA238">
        <v>14493</v>
      </c>
      <c r="HB238">
        <v>13764</v>
      </c>
      <c r="HC238">
        <v>0</v>
      </c>
      <c r="HD238">
        <v>27</v>
      </c>
      <c r="HE238">
        <v>0</v>
      </c>
      <c r="HF238">
        <v>330</v>
      </c>
      <c r="HG238">
        <v>0</v>
      </c>
      <c r="HH238">
        <v>0</v>
      </c>
      <c r="HI238">
        <v>79</v>
      </c>
      <c r="HL238">
        <v>2021</v>
      </c>
      <c r="HM238">
        <v>15</v>
      </c>
      <c r="HN238" t="s">
        <v>32</v>
      </c>
      <c r="HO238">
        <v>14009</v>
      </c>
      <c r="HP238">
        <v>13487</v>
      </c>
      <c r="HQ238">
        <v>0</v>
      </c>
      <c r="HR238">
        <v>26</v>
      </c>
      <c r="HS238">
        <v>0</v>
      </c>
      <c r="HT238">
        <v>267</v>
      </c>
      <c r="HU238">
        <v>0</v>
      </c>
      <c r="HV238">
        <v>0</v>
      </c>
      <c r="HW238">
        <v>25</v>
      </c>
      <c r="HZ238" s="24">
        <v>2021</v>
      </c>
      <c r="IA238" s="24">
        <v>15</v>
      </c>
      <c r="IB238" s="24" t="s">
        <v>32</v>
      </c>
      <c r="IC238" s="24">
        <v>1652</v>
      </c>
      <c r="ID238" s="24">
        <v>1473</v>
      </c>
      <c r="IG238" s="24">
        <v>2021</v>
      </c>
      <c r="IH238" s="24">
        <v>15</v>
      </c>
      <c r="II238" s="24" t="s">
        <v>32</v>
      </c>
      <c r="IJ238" s="24">
        <v>1578</v>
      </c>
      <c r="IK238" s="24">
        <v>1524</v>
      </c>
    </row>
    <row r="239" spans="9:245" x14ac:dyDescent="0.4">
      <c r="I239" s="305">
        <v>2021</v>
      </c>
      <c r="J239" s="306">
        <v>15</v>
      </c>
      <c r="K239" s="306" t="s">
        <v>32</v>
      </c>
      <c r="L239" s="306">
        <v>14514</v>
      </c>
      <c r="M239" s="306">
        <v>12779</v>
      </c>
      <c r="N239" s="306">
        <v>34</v>
      </c>
      <c r="O239" s="306">
        <v>313</v>
      </c>
      <c r="P239" s="306">
        <v>29</v>
      </c>
      <c r="Q239" s="306">
        <v>4</v>
      </c>
      <c r="R239" s="24"/>
      <c r="S239" s="24"/>
      <c r="T239" s="24"/>
      <c r="W239" s="24">
        <v>2021</v>
      </c>
      <c r="X239" s="24">
        <v>15</v>
      </c>
      <c r="Y239" s="24" t="s">
        <v>33</v>
      </c>
      <c r="Z239" s="24">
        <v>243755</v>
      </c>
      <c r="AA239" s="24">
        <v>218266</v>
      </c>
      <c r="AB239" s="24">
        <v>204</v>
      </c>
      <c r="AC239" s="24">
        <v>16</v>
      </c>
      <c r="AI239" s="24"/>
      <c r="AJ239" s="24"/>
      <c r="AK239" s="24">
        <v>2021</v>
      </c>
      <c r="AL239" s="24">
        <v>15</v>
      </c>
      <c r="AM239" s="24">
        <v>13503.18</v>
      </c>
      <c r="AN239" s="24">
        <v>1488.22</v>
      </c>
      <c r="AO239" s="24">
        <v>0</v>
      </c>
      <c r="AP239" s="24">
        <v>333</v>
      </c>
      <c r="AQ239" s="24">
        <v>0</v>
      </c>
      <c r="AR239" s="24">
        <v>2</v>
      </c>
      <c r="AS239" s="24" t="s">
        <v>33</v>
      </c>
      <c r="AT239" s="24"/>
      <c r="AU239" s="24">
        <v>2021</v>
      </c>
      <c r="AV239" s="24">
        <v>15</v>
      </c>
      <c r="AW239" s="24">
        <v>0.03</v>
      </c>
      <c r="AX239" s="24">
        <v>8300</v>
      </c>
      <c r="AY239" s="24">
        <v>242475</v>
      </c>
      <c r="AZ239" s="24" t="s">
        <v>33</v>
      </c>
      <c r="BA239" s="24"/>
      <c r="BB239" s="24"/>
      <c r="BC239" s="24">
        <v>2021</v>
      </c>
      <c r="BD239" s="24">
        <v>15</v>
      </c>
      <c r="BE239" s="24">
        <v>1765.2221428571399</v>
      </c>
      <c r="BF239" s="24" t="s">
        <v>33</v>
      </c>
      <c r="BG239" s="24"/>
      <c r="BI239" s="24">
        <v>2022</v>
      </c>
      <c r="BJ239" s="24">
        <v>12</v>
      </c>
      <c r="BK239" s="24" t="s">
        <v>32</v>
      </c>
      <c r="BL239" s="24" t="s">
        <v>272</v>
      </c>
      <c r="BM239" s="24">
        <v>3501</v>
      </c>
      <c r="BN239" s="24">
        <v>3495</v>
      </c>
      <c r="BO239" s="24">
        <v>12265</v>
      </c>
      <c r="BR239" s="24">
        <v>2021</v>
      </c>
      <c r="BS239" s="24">
        <v>15</v>
      </c>
      <c r="BT239" s="24">
        <v>15330</v>
      </c>
      <c r="BU239" s="24">
        <v>0</v>
      </c>
      <c r="BV239" s="24" t="s">
        <v>32</v>
      </c>
      <c r="BY239" s="24">
        <v>2021</v>
      </c>
      <c r="BZ239" s="24">
        <v>18</v>
      </c>
      <c r="CA239" s="24" t="s">
        <v>33</v>
      </c>
      <c r="CB239" s="24" t="s">
        <v>423</v>
      </c>
      <c r="CC239" s="24">
        <v>17</v>
      </c>
      <c r="CF239" s="24">
        <v>2021</v>
      </c>
      <c r="CG239" s="24">
        <v>15</v>
      </c>
      <c r="CH239" s="24" t="s">
        <v>33</v>
      </c>
      <c r="CI239" s="24">
        <v>112.21994503703014</v>
      </c>
      <c r="CJ239" s="24">
        <v>240925</v>
      </c>
      <c r="CK239" s="24">
        <v>2146.9</v>
      </c>
      <c r="CL239" s="24">
        <v>98.25430321085733</v>
      </c>
      <c r="CM239" s="24">
        <v>127062</v>
      </c>
      <c r="CN239" s="24">
        <v>237461</v>
      </c>
      <c r="CO239" s="24">
        <v>2416.8000000000002</v>
      </c>
      <c r="CP239" s="24">
        <v>54923</v>
      </c>
      <c r="CQ239" s="24">
        <v>216.2</v>
      </c>
      <c r="CR239" s="24">
        <v>1362.8</v>
      </c>
      <c r="CS239" s="24">
        <v>150658</v>
      </c>
      <c r="CT239" s="24">
        <v>155422</v>
      </c>
      <c r="CU239" s="24">
        <v>1490.1</v>
      </c>
      <c r="CV239" s="24">
        <v>53296</v>
      </c>
      <c r="CW239" s="24">
        <v>0</v>
      </c>
      <c r="CX239" s="24">
        <v>154502</v>
      </c>
      <c r="CY239" s="24">
        <v>503.8</v>
      </c>
      <c r="CZ239" s="24">
        <v>47400</v>
      </c>
      <c r="DA239" s="24">
        <v>1362.8</v>
      </c>
      <c r="DD239" s="24">
        <v>2021</v>
      </c>
      <c r="DE239" s="24">
        <v>15</v>
      </c>
      <c r="DF239" s="24" t="s">
        <v>33</v>
      </c>
      <c r="DG239" s="24">
        <v>69598</v>
      </c>
      <c r="DH239" s="24">
        <v>30525</v>
      </c>
      <c r="DJ239" s="24">
        <v>2021</v>
      </c>
      <c r="DK239" s="24">
        <v>14</v>
      </c>
      <c r="DL239" s="24" t="s">
        <v>32</v>
      </c>
      <c r="DM239" s="24">
        <v>30</v>
      </c>
      <c r="DP239" s="307">
        <v>2019</v>
      </c>
      <c r="DQ239" s="307">
        <v>39</v>
      </c>
      <c r="DR239" s="307" t="s">
        <v>33</v>
      </c>
      <c r="DS239" s="307">
        <v>9580</v>
      </c>
      <c r="DT239" s="307">
        <v>1189</v>
      </c>
      <c r="DW239" s="24">
        <v>2021</v>
      </c>
      <c r="DX239" s="24">
        <v>47</v>
      </c>
      <c r="DY239" s="24" t="s">
        <v>32</v>
      </c>
      <c r="DZ239" s="24">
        <v>1</v>
      </c>
      <c r="EA239" s="24" t="s">
        <v>149</v>
      </c>
      <c r="EB239" s="24">
        <v>0</v>
      </c>
      <c r="EC239" s="24">
        <v>0</v>
      </c>
      <c r="ED239" s="24">
        <v>42</v>
      </c>
      <c r="EE239" s="24">
        <v>155</v>
      </c>
      <c r="EF239" s="24">
        <v>1.8</v>
      </c>
      <c r="EI239" s="24">
        <v>2023</v>
      </c>
      <c r="EJ239" s="24">
        <v>3</v>
      </c>
      <c r="EK239" s="24" t="s">
        <v>33</v>
      </c>
      <c r="EL239" s="24" t="s">
        <v>233</v>
      </c>
      <c r="EM239" s="24" t="s">
        <v>210</v>
      </c>
      <c r="EN239" s="24">
        <v>5</v>
      </c>
      <c r="EO239" s="24"/>
      <c r="EP239" s="24"/>
      <c r="EQ239" s="24"/>
      <c r="ER239" s="24"/>
      <c r="ES239" s="24">
        <v>2021</v>
      </c>
      <c r="ET239" s="24">
        <v>31</v>
      </c>
      <c r="EU239" s="24" t="s">
        <v>32</v>
      </c>
      <c r="EV239" s="24">
        <v>4901</v>
      </c>
      <c r="EY239" s="24">
        <v>2021</v>
      </c>
      <c r="EZ239" s="24">
        <v>19</v>
      </c>
      <c r="FA239" s="24" t="s">
        <v>32</v>
      </c>
      <c r="FB239" s="24">
        <v>594</v>
      </c>
      <c r="FE239" s="24">
        <v>2021</v>
      </c>
      <c r="FF239" s="24">
        <v>15</v>
      </c>
      <c r="FG239" s="24" t="s">
        <v>33</v>
      </c>
      <c r="FH239" s="24">
        <v>0.86650000000000005</v>
      </c>
      <c r="FI239" s="24">
        <v>13527</v>
      </c>
      <c r="FJ239" s="24">
        <v>6223</v>
      </c>
      <c r="FK239" s="24">
        <v>7198</v>
      </c>
      <c r="FN239" s="24">
        <v>2021</v>
      </c>
      <c r="FO239" s="24">
        <v>16</v>
      </c>
      <c r="FP239" s="24" t="s">
        <v>33</v>
      </c>
      <c r="FQ239" s="24">
        <v>836663</v>
      </c>
      <c r="FR239" s="24">
        <v>7483.5666666666693</v>
      </c>
      <c r="FS239" s="24">
        <v>367848</v>
      </c>
      <c r="FT239" s="24">
        <v>2120.7166666666699</v>
      </c>
      <c r="FW239" s="24">
        <v>2021</v>
      </c>
      <c r="FX239" s="24">
        <v>15</v>
      </c>
      <c r="FY239" s="24" t="s">
        <v>33</v>
      </c>
      <c r="FZ239" s="24">
        <v>8451</v>
      </c>
      <c r="GA239" s="24">
        <v>8194</v>
      </c>
      <c r="GB239" s="24"/>
      <c r="GC239" s="24"/>
      <c r="GD239" s="24">
        <v>2021</v>
      </c>
      <c r="GE239" s="24">
        <v>15</v>
      </c>
      <c r="GF239" s="24" t="s">
        <v>33</v>
      </c>
      <c r="GG239" s="24">
        <v>8406</v>
      </c>
      <c r="GH239" s="24">
        <v>8209</v>
      </c>
      <c r="GK239" s="24"/>
      <c r="GL239" s="24"/>
      <c r="GM239" s="24"/>
      <c r="GN239" s="24"/>
      <c r="GO239" s="24"/>
      <c r="GP239" s="24">
        <v>2021</v>
      </c>
      <c r="GQ239" s="24">
        <v>15</v>
      </c>
      <c r="GR239" s="24">
        <v>9.55457142857143</v>
      </c>
      <c r="GS239" s="24" t="s">
        <v>33</v>
      </c>
      <c r="GX239">
        <v>2021</v>
      </c>
      <c r="GY239">
        <v>15</v>
      </c>
      <c r="GZ239" t="s">
        <v>33</v>
      </c>
      <c r="HA239">
        <v>246713</v>
      </c>
      <c r="HB239">
        <v>223814</v>
      </c>
      <c r="HC239">
        <v>541</v>
      </c>
      <c r="HD239">
        <v>1630</v>
      </c>
      <c r="HE239">
        <v>0</v>
      </c>
      <c r="HF239">
        <v>17024</v>
      </c>
      <c r="HG239">
        <v>0</v>
      </c>
      <c r="HH239">
        <v>0</v>
      </c>
      <c r="HI239">
        <v>1444</v>
      </c>
      <c r="HL239">
        <v>2021</v>
      </c>
      <c r="HM239">
        <v>15</v>
      </c>
      <c r="HN239" t="s">
        <v>33</v>
      </c>
      <c r="HO239">
        <v>243414</v>
      </c>
      <c r="HP239">
        <v>228355</v>
      </c>
      <c r="HQ239">
        <v>464</v>
      </c>
      <c r="HR239">
        <v>1345</v>
      </c>
      <c r="HS239">
        <v>0</v>
      </c>
      <c r="HT239">
        <v>14125</v>
      </c>
      <c r="HU239">
        <v>0</v>
      </c>
      <c r="HV239">
        <v>0</v>
      </c>
      <c r="HW239">
        <v>748</v>
      </c>
      <c r="HZ239" s="24">
        <v>2021</v>
      </c>
      <c r="IA239" s="24">
        <v>15</v>
      </c>
      <c r="IB239" s="24" t="s">
        <v>33</v>
      </c>
      <c r="IC239" s="24">
        <v>8865</v>
      </c>
      <c r="ID239" s="24">
        <v>8343</v>
      </c>
      <c r="IG239" s="24">
        <v>2021</v>
      </c>
      <c r="IH239" s="24">
        <v>15</v>
      </c>
      <c r="II239" s="24" t="s">
        <v>33</v>
      </c>
      <c r="IJ239" s="24">
        <v>7972</v>
      </c>
      <c r="IK239" s="24">
        <v>7910</v>
      </c>
    </row>
    <row r="240" spans="9:245" x14ac:dyDescent="0.4">
      <c r="I240" s="305">
        <v>2021</v>
      </c>
      <c r="J240" s="306">
        <v>15</v>
      </c>
      <c r="K240" s="306" t="s">
        <v>33</v>
      </c>
      <c r="L240" s="306">
        <v>244286</v>
      </c>
      <c r="M240" s="306">
        <v>217840</v>
      </c>
      <c r="N240" s="306">
        <v>667</v>
      </c>
      <c r="O240" s="306">
        <v>5132</v>
      </c>
      <c r="P240" s="306">
        <v>258</v>
      </c>
      <c r="Q240" s="306">
        <v>27</v>
      </c>
      <c r="R240" s="24"/>
      <c r="S240" s="24"/>
      <c r="T240" s="24"/>
      <c r="W240" s="24">
        <v>2021</v>
      </c>
      <c r="X240" s="24">
        <v>14</v>
      </c>
      <c r="Y240" s="24" t="s">
        <v>32</v>
      </c>
      <c r="Z240" s="24">
        <v>10226</v>
      </c>
      <c r="AA240" s="24">
        <v>10048</v>
      </c>
      <c r="AB240" s="24">
        <v>23</v>
      </c>
      <c r="AC240" s="24">
        <v>12</v>
      </c>
      <c r="AI240" s="24"/>
      <c r="AJ240" s="24"/>
      <c r="AK240" s="24">
        <v>2021</v>
      </c>
      <c r="AL240" s="24">
        <v>14</v>
      </c>
      <c r="AM240" s="24">
        <v>673.08</v>
      </c>
      <c r="AN240" s="24">
        <v>59</v>
      </c>
      <c r="AO240" s="24">
        <v>0</v>
      </c>
      <c r="AP240" s="24">
        <v>17</v>
      </c>
      <c r="AQ240" s="24">
        <v>0</v>
      </c>
      <c r="AR240" s="24">
        <v>0</v>
      </c>
      <c r="AS240" s="24" t="s">
        <v>32</v>
      </c>
      <c r="AT240" s="24"/>
      <c r="AU240" s="24">
        <v>2021</v>
      </c>
      <c r="AV240" s="24">
        <v>14</v>
      </c>
      <c r="AW240" s="24">
        <v>0.04</v>
      </c>
      <c r="AX240" s="24">
        <v>400</v>
      </c>
      <c r="AY240" s="24">
        <v>10800</v>
      </c>
      <c r="AZ240" s="24" t="s">
        <v>32</v>
      </c>
      <c r="BA240" s="24"/>
      <c r="BB240" s="24"/>
      <c r="BC240" s="24">
        <v>2021</v>
      </c>
      <c r="BD240" s="24">
        <v>14</v>
      </c>
      <c r="BE240" s="24">
        <v>144.083142857143</v>
      </c>
      <c r="BF240" s="24" t="s">
        <v>32</v>
      </c>
      <c r="BG240" s="24"/>
      <c r="BI240" s="24">
        <v>2022</v>
      </c>
      <c r="BJ240" s="24">
        <v>12</v>
      </c>
      <c r="BK240" s="24" t="s">
        <v>33</v>
      </c>
      <c r="BL240" s="24" t="s">
        <v>272</v>
      </c>
      <c r="BM240" s="24">
        <v>58783</v>
      </c>
      <c r="BN240" s="24">
        <v>58546</v>
      </c>
      <c r="BO240" s="24">
        <v>209610</v>
      </c>
      <c r="BR240" s="24">
        <v>2021</v>
      </c>
      <c r="BS240" s="24">
        <v>14</v>
      </c>
      <c r="BT240" s="24">
        <v>236241</v>
      </c>
      <c r="BU240" s="24">
        <v>2</v>
      </c>
      <c r="BV240" s="24" t="s">
        <v>33</v>
      </c>
      <c r="BY240" s="24">
        <v>2021</v>
      </c>
      <c r="BZ240" s="24">
        <v>17</v>
      </c>
      <c r="CA240" s="24" t="s">
        <v>32</v>
      </c>
      <c r="CB240" s="24" t="s">
        <v>423</v>
      </c>
      <c r="CC240" s="24">
        <v>1</v>
      </c>
      <c r="CF240" s="24">
        <v>2021</v>
      </c>
      <c r="CG240" s="24">
        <v>14</v>
      </c>
      <c r="CH240" s="24" t="s">
        <v>32</v>
      </c>
      <c r="CI240" s="24">
        <v>88.580285182889028</v>
      </c>
      <c r="CJ240" s="24">
        <v>14288</v>
      </c>
      <c r="CK240" s="24">
        <v>161.30000000000001</v>
      </c>
      <c r="CL240" s="24">
        <v>68.83603805260212</v>
      </c>
      <c r="CM240" s="24">
        <v>6281</v>
      </c>
      <c r="CN240" s="24">
        <v>12301</v>
      </c>
      <c r="CO240" s="24">
        <v>178.7</v>
      </c>
      <c r="CP240" s="24">
        <v>10065</v>
      </c>
      <c r="CQ240" s="24">
        <v>46.1</v>
      </c>
      <c r="CR240" s="24">
        <v>223.9</v>
      </c>
      <c r="CS240" s="24">
        <v>11060</v>
      </c>
      <c r="CT240" s="24">
        <v>11868</v>
      </c>
      <c r="CU240" s="24">
        <v>195.3</v>
      </c>
      <c r="CV240" s="24">
        <v>1603</v>
      </c>
      <c r="CW240" s="24">
        <v>0</v>
      </c>
      <c r="CX240" s="24">
        <v>7350</v>
      </c>
      <c r="CY240" s="24">
        <v>43.3</v>
      </c>
      <c r="CZ240" s="24">
        <v>8214</v>
      </c>
      <c r="DA240" s="24">
        <v>223.9</v>
      </c>
      <c r="DD240" s="24">
        <v>2021</v>
      </c>
      <c r="DE240" s="24">
        <v>14</v>
      </c>
      <c r="DF240" s="24" t="s">
        <v>32</v>
      </c>
      <c r="DG240" s="24">
        <v>1295</v>
      </c>
      <c r="DH240" s="24">
        <v>2185</v>
      </c>
      <c r="DJ240" s="24">
        <v>2021</v>
      </c>
      <c r="DK240" s="24">
        <v>14</v>
      </c>
      <c r="DL240" s="24" t="s">
        <v>33</v>
      </c>
      <c r="DM240" s="24">
        <v>826</v>
      </c>
      <c r="DP240" s="307">
        <v>2019</v>
      </c>
      <c r="DQ240" s="307">
        <v>38</v>
      </c>
      <c r="DR240" s="307" t="s">
        <v>33</v>
      </c>
      <c r="DS240" s="307">
        <v>7009</v>
      </c>
      <c r="DT240" s="307">
        <v>1296</v>
      </c>
      <c r="DW240" s="24">
        <v>2021</v>
      </c>
      <c r="DX240" s="24">
        <v>47</v>
      </c>
      <c r="DY240" s="24" t="s">
        <v>33</v>
      </c>
      <c r="DZ240" s="24">
        <v>9</v>
      </c>
      <c r="EA240" s="24" t="s">
        <v>562</v>
      </c>
      <c r="EB240" s="24">
        <v>139.5</v>
      </c>
      <c r="EC240" s="24">
        <v>0</v>
      </c>
      <c r="ED240" s="24">
        <v>7</v>
      </c>
      <c r="EE240" s="24">
        <v>5442</v>
      </c>
      <c r="EF240" s="24">
        <v>20.399999999999999</v>
      </c>
      <c r="EI240" s="24">
        <v>2023</v>
      </c>
      <c r="EJ240" s="24">
        <v>3</v>
      </c>
      <c r="EK240" s="24" t="s">
        <v>33</v>
      </c>
      <c r="EL240" s="24" t="s">
        <v>233</v>
      </c>
      <c r="EM240" s="24" t="s">
        <v>215</v>
      </c>
      <c r="EN240" s="24">
        <v>1</v>
      </c>
      <c r="EO240" s="24"/>
      <c r="EP240" s="24"/>
      <c r="EQ240" s="24"/>
      <c r="ER240" s="24"/>
      <c r="ES240" s="24">
        <v>2021</v>
      </c>
      <c r="ET240" s="24">
        <v>31</v>
      </c>
      <c r="EU240" s="24" t="s">
        <v>33</v>
      </c>
      <c r="EV240" s="24">
        <v>134220</v>
      </c>
      <c r="EY240" s="24">
        <v>2021</v>
      </c>
      <c r="EZ240" s="24">
        <v>19</v>
      </c>
      <c r="FA240" s="24" t="s">
        <v>33</v>
      </c>
      <c r="FB240" s="24">
        <v>1018</v>
      </c>
      <c r="FE240" s="24">
        <v>2021</v>
      </c>
      <c r="FF240" s="24">
        <v>14</v>
      </c>
      <c r="FG240" s="24" t="s">
        <v>32</v>
      </c>
      <c r="FH240" s="24">
        <v>0.90780000000000005</v>
      </c>
      <c r="FI240" s="24">
        <v>265</v>
      </c>
      <c r="FJ240" s="24">
        <v>124</v>
      </c>
      <c r="FK240" s="24">
        <v>137</v>
      </c>
      <c r="FN240" s="24">
        <v>2021</v>
      </c>
      <c r="FO240" s="24">
        <v>15</v>
      </c>
      <c r="FP240" s="24" t="s">
        <v>32</v>
      </c>
      <c r="FQ240" s="24">
        <v>32522</v>
      </c>
      <c r="FR240" s="24">
        <v>614.46666666666704</v>
      </c>
      <c r="FS240" s="24">
        <v>34071</v>
      </c>
      <c r="FT240" s="24">
        <v>266.66666666666697</v>
      </c>
      <c r="FW240" s="24">
        <v>2021</v>
      </c>
      <c r="FX240" s="24">
        <v>14</v>
      </c>
      <c r="FY240" s="24" t="s">
        <v>32</v>
      </c>
      <c r="FZ240" s="24">
        <v>1175</v>
      </c>
      <c r="GA240" s="24">
        <v>1128</v>
      </c>
      <c r="GB240" s="24"/>
      <c r="GC240" s="24"/>
      <c r="GD240" s="24">
        <v>2021</v>
      </c>
      <c r="GE240" s="24">
        <v>14</v>
      </c>
      <c r="GF240" s="24" t="s">
        <v>32</v>
      </c>
      <c r="GG240" s="24">
        <v>1209</v>
      </c>
      <c r="GH240" s="24">
        <v>1168</v>
      </c>
      <c r="GK240" s="24"/>
      <c r="GL240" s="24"/>
      <c r="GM240" s="24"/>
      <c r="GN240" s="24"/>
      <c r="GO240" s="24"/>
      <c r="GP240" s="24">
        <v>2021</v>
      </c>
      <c r="GQ240" s="24">
        <v>14</v>
      </c>
      <c r="GR240" s="24">
        <v>0.29899999999999999</v>
      </c>
      <c r="GS240" s="24" t="s">
        <v>32</v>
      </c>
      <c r="GX240">
        <v>2021</v>
      </c>
      <c r="GY240">
        <v>14</v>
      </c>
      <c r="GZ240" t="s">
        <v>32</v>
      </c>
      <c r="HA240">
        <v>10207</v>
      </c>
      <c r="HB240">
        <v>10075</v>
      </c>
      <c r="HC240">
        <v>0</v>
      </c>
      <c r="HD240">
        <v>5</v>
      </c>
      <c r="HE240">
        <v>0</v>
      </c>
      <c r="HF240">
        <v>3</v>
      </c>
      <c r="HG240">
        <v>0</v>
      </c>
      <c r="HH240">
        <v>0</v>
      </c>
      <c r="HI240">
        <v>40</v>
      </c>
      <c r="HL240">
        <v>2021</v>
      </c>
      <c r="HM240">
        <v>14</v>
      </c>
      <c r="HN240" t="s">
        <v>32</v>
      </c>
      <c r="HO240">
        <v>10198</v>
      </c>
      <c r="HP240">
        <v>10173</v>
      </c>
      <c r="HQ240">
        <v>0</v>
      </c>
      <c r="HR240">
        <v>2</v>
      </c>
      <c r="HS240">
        <v>0</v>
      </c>
      <c r="HT240">
        <v>0</v>
      </c>
      <c r="HU240">
        <v>0</v>
      </c>
      <c r="HV240">
        <v>0</v>
      </c>
      <c r="HW240">
        <v>0</v>
      </c>
      <c r="HZ240" s="24">
        <v>2021</v>
      </c>
      <c r="IA240" s="24">
        <v>14</v>
      </c>
      <c r="IB240" s="24" t="s">
        <v>32</v>
      </c>
      <c r="IC240" s="24">
        <v>1271</v>
      </c>
      <c r="ID240" s="24">
        <v>1242</v>
      </c>
      <c r="IG240" s="24">
        <v>2021</v>
      </c>
      <c r="IH240" s="24">
        <v>14</v>
      </c>
      <c r="II240" s="24" t="s">
        <v>32</v>
      </c>
      <c r="IJ240" s="24">
        <v>1190</v>
      </c>
      <c r="IK240" s="24">
        <v>1187</v>
      </c>
    </row>
    <row r="241" spans="9:245" x14ac:dyDescent="0.4">
      <c r="I241" s="305">
        <v>2021</v>
      </c>
      <c r="J241" s="306">
        <v>14</v>
      </c>
      <c r="K241" s="306" t="s">
        <v>32</v>
      </c>
      <c r="L241" s="306">
        <v>10180</v>
      </c>
      <c r="M241" s="306">
        <v>9960</v>
      </c>
      <c r="N241" s="306">
        <v>34</v>
      </c>
      <c r="O241" s="306">
        <v>102</v>
      </c>
      <c r="P241" s="306">
        <v>24</v>
      </c>
      <c r="Q241" s="306">
        <v>15</v>
      </c>
      <c r="R241" s="24"/>
      <c r="S241" s="24"/>
      <c r="T241" s="24"/>
      <c r="W241" s="24">
        <v>2021</v>
      </c>
      <c r="X241" s="24">
        <v>14</v>
      </c>
      <c r="Y241" s="24" t="s">
        <v>33</v>
      </c>
      <c r="Z241" s="24">
        <v>234068</v>
      </c>
      <c r="AA241" s="24">
        <v>222650</v>
      </c>
      <c r="AB241" s="24">
        <v>100</v>
      </c>
      <c r="AC241" s="24">
        <v>21</v>
      </c>
      <c r="AI241" s="24"/>
      <c r="AJ241" s="24"/>
      <c r="AK241" s="24">
        <v>2021</v>
      </c>
      <c r="AL241" s="24">
        <v>14</v>
      </c>
      <c r="AM241" s="24">
        <v>11741.18</v>
      </c>
      <c r="AN241" s="24">
        <v>1239.17</v>
      </c>
      <c r="AO241" s="24">
        <v>0</v>
      </c>
      <c r="AP241" s="24">
        <v>296</v>
      </c>
      <c r="AQ241" s="24">
        <v>0</v>
      </c>
      <c r="AR241" s="24">
        <v>2</v>
      </c>
      <c r="AS241" s="24" t="s">
        <v>33</v>
      </c>
      <c r="AT241" s="24"/>
      <c r="AU241" s="24">
        <v>2021</v>
      </c>
      <c r="AV241" s="24">
        <v>14</v>
      </c>
      <c r="AW241" s="24">
        <v>0.03</v>
      </c>
      <c r="AX241" s="24">
        <v>7300</v>
      </c>
      <c r="AY241" s="24">
        <v>237255</v>
      </c>
      <c r="AZ241" s="24" t="s">
        <v>33</v>
      </c>
      <c r="BA241" s="24"/>
      <c r="BB241" s="24"/>
      <c r="BC241" s="24">
        <v>2021</v>
      </c>
      <c r="BD241" s="24">
        <v>14</v>
      </c>
      <c r="BE241" s="24">
        <v>1770.2795714285699</v>
      </c>
      <c r="BF241" s="24" t="s">
        <v>33</v>
      </c>
      <c r="BG241" s="24"/>
      <c r="BI241" s="24">
        <v>2022</v>
      </c>
      <c r="BJ241" s="24">
        <v>12</v>
      </c>
      <c r="BK241" s="24" t="s">
        <v>33</v>
      </c>
      <c r="BL241" s="24" t="s">
        <v>273</v>
      </c>
      <c r="BM241" s="24">
        <v>121867</v>
      </c>
      <c r="BN241" s="24">
        <v>121036</v>
      </c>
      <c r="BO241" s="24">
        <v>125549</v>
      </c>
      <c r="BR241" s="24">
        <v>2021</v>
      </c>
      <c r="BS241" s="24">
        <v>14</v>
      </c>
      <c r="BT241" s="24">
        <v>10722</v>
      </c>
      <c r="BU241" s="24">
        <v>0</v>
      </c>
      <c r="BV241" s="24" t="s">
        <v>32</v>
      </c>
      <c r="BY241" s="24">
        <v>2021</v>
      </c>
      <c r="BZ241" s="24">
        <v>17</v>
      </c>
      <c r="CA241" s="24" t="s">
        <v>33</v>
      </c>
      <c r="CB241" s="24" t="s">
        <v>423</v>
      </c>
      <c r="CC241" s="24">
        <v>22</v>
      </c>
      <c r="CF241" s="24">
        <v>2021</v>
      </c>
      <c r="CG241" s="24">
        <v>14</v>
      </c>
      <c r="CH241" s="24" t="s">
        <v>33</v>
      </c>
      <c r="CI241" s="24">
        <v>128.63705712832683</v>
      </c>
      <c r="CJ241" s="24">
        <v>227649</v>
      </c>
      <c r="CK241" s="24">
        <v>1769.7</v>
      </c>
      <c r="CL241" s="24">
        <v>98.122686181661649</v>
      </c>
      <c r="CM241" s="24">
        <v>119719</v>
      </c>
      <c r="CN241" s="24">
        <v>227939</v>
      </c>
      <c r="CO241" s="24">
        <v>2323</v>
      </c>
      <c r="CP241" s="24">
        <v>46258</v>
      </c>
      <c r="CQ241" s="24">
        <v>214.3</v>
      </c>
      <c r="CR241" s="24">
        <v>1105.0999999999999</v>
      </c>
      <c r="CS241" s="24">
        <v>139686</v>
      </c>
      <c r="CT241" s="24">
        <v>148704</v>
      </c>
      <c r="CU241" s="24">
        <v>1282.7</v>
      </c>
      <c r="CV241" s="24">
        <v>40986</v>
      </c>
      <c r="CW241" s="24">
        <v>0</v>
      </c>
      <c r="CX241" s="24">
        <v>149316</v>
      </c>
      <c r="CY241" s="24">
        <v>478</v>
      </c>
      <c r="CZ241" s="24">
        <v>38773</v>
      </c>
      <c r="DA241" s="24">
        <v>1105.0999999999999</v>
      </c>
      <c r="DD241" s="24">
        <v>2021</v>
      </c>
      <c r="DE241" s="24">
        <v>14</v>
      </c>
      <c r="DF241" s="24" t="s">
        <v>33</v>
      </c>
      <c r="DG241" s="24">
        <v>67349</v>
      </c>
      <c r="DH241" s="24">
        <v>35402</v>
      </c>
      <c r="DJ241" s="24">
        <v>2021</v>
      </c>
      <c r="DK241" s="24">
        <v>13</v>
      </c>
      <c r="DL241" s="24" t="s">
        <v>32</v>
      </c>
      <c r="DM241" s="24">
        <v>10</v>
      </c>
      <c r="DP241" s="307">
        <v>2019</v>
      </c>
      <c r="DQ241" s="307">
        <v>37</v>
      </c>
      <c r="DR241" s="307" t="s">
        <v>33</v>
      </c>
      <c r="DS241" s="307">
        <v>7274</v>
      </c>
      <c r="DT241" s="307">
        <v>1443</v>
      </c>
      <c r="DW241" s="24">
        <v>2021</v>
      </c>
      <c r="DX241" s="24">
        <v>47</v>
      </c>
      <c r="DY241" s="24" t="s">
        <v>33</v>
      </c>
      <c r="DZ241" s="24">
        <v>44</v>
      </c>
      <c r="EA241" s="24" t="s">
        <v>149</v>
      </c>
      <c r="EB241" s="24">
        <v>246.1</v>
      </c>
      <c r="EC241" s="24">
        <v>878.7</v>
      </c>
      <c r="ED241" s="24">
        <v>29492</v>
      </c>
      <c r="EE241" s="24">
        <v>38460</v>
      </c>
      <c r="EF241" s="24">
        <v>84.7</v>
      </c>
      <c r="EI241" s="24">
        <v>2023</v>
      </c>
      <c r="EJ241" s="24">
        <v>3</v>
      </c>
      <c r="EK241" s="24" t="s">
        <v>33</v>
      </c>
      <c r="EL241" s="24" t="s">
        <v>244</v>
      </c>
      <c r="EM241" s="24" t="s">
        <v>210</v>
      </c>
      <c r="EN241" s="24">
        <v>4</v>
      </c>
      <c r="EO241" s="24"/>
      <c r="EP241" s="24"/>
      <c r="EQ241" s="24"/>
      <c r="ER241" s="24"/>
      <c r="ES241" s="24">
        <v>2021</v>
      </c>
      <c r="ET241" s="24">
        <v>31</v>
      </c>
      <c r="EU241" s="24" t="s">
        <v>213</v>
      </c>
      <c r="EV241" s="24">
        <v>1</v>
      </c>
      <c r="EY241" s="24">
        <v>2021</v>
      </c>
      <c r="EZ241" s="24">
        <v>18</v>
      </c>
      <c r="FA241" s="24" t="s">
        <v>32</v>
      </c>
      <c r="FB241" s="24">
        <v>767</v>
      </c>
      <c r="FE241" s="24">
        <v>2021</v>
      </c>
      <c r="FF241" s="24">
        <v>14</v>
      </c>
      <c r="FG241" s="24" t="s">
        <v>33</v>
      </c>
      <c r="FH241" s="24">
        <v>0.92110000000000003</v>
      </c>
      <c r="FI241" s="24">
        <v>11821</v>
      </c>
      <c r="FJ241" s="24">
        <v>5422</v>
      </c>
      <c r="FK241" s="24">
        <v>5927</v>
      </c>
      <c r="FN241" s="24">
        <v>2021</v>
      </c>
      <c r="FO241" s="24">
        <v>15</v>
      </c>
      <c r="FP241" s="24" t="s">
        <v>33</v>
      </c>
      <c r="FQ241" s="24">
        <v>872586</v>
      </c>
      <c r="FR241" s="24">
        <v>7475.3166666666693</v>
      </c>
      <c r="FS241" s="24">
        <v>412971</v>
      </c>
      <c r="FT241" s="24">
        <v>2286.4833333333299</v>
      </c>
      <c r="FW241" s="24">
        <v>2021</v>
      </c>
      <c r="FX241" s="24">
        <v>14</v>
      </c>
      <c r="FY241" s="24" t="s">
        <v>33</v>
      </c>
      <c r="FZ241" s="24">
        <v>8365</v>
      </c>
      <c r="GA241" s="24">
        <v>8059</v>
      </c>
      <c r="GB241" s="24"/>
      <c r="GC241" s="24"/>
      <c r="GD241" s="24">
        <v>2021</v>
      </c>
      <c r="GE241" s="24">
        <v>14</v>
      </c>
      <c r="GF241" s="24" t="s">
        <v>33</v>
      </c>
      <c r="GG241" s="24">
        <v>8384</v>
      </c>
      <c r="GH241" s="24">
        <v>8165</v>
      </c>
      <c r="GK241" s="24"/>
      <c r="GL241" s="24"/>
      <c r="GM241" s="24"/>
      <c r="GN241" s="24"/>
      <c r="GO241" s="24"/>
      <c r="GP241" s="24">
        <v>2021</v>
      </c>
      <c r="GQ241" s="24">
        <v>14</v>
      </c>
      <c r="GR241" s="24">
        <v>8.5645714285714298</v>
      </c>
      <c r="GS241" s="24" t="s">
        <v>33</v>
      </c>
      <c r="GX241">
        <v>2021</v>
      </c>
      <c r="GY241">
        <v>14</v>
      </c>
      <c r="GZ241" t="s">
        <v>33</v>
      </c>
      <c r="HA241">
        <v>233365</v>
      </c>
      <c r="HB241">
        <v>226021</v>
      </c>
      <c r="HC241">
        <v>241</v>
      </c>
      <c r="HD241">
        <v>416</v>
      </c>
      <c r="HE241">
        <v>0</v>
      </c>
      <c r="HF241">
        <v>2946</v>
      </c>
      <c r="HG241">
        <v>0</v>
      </c>
      <c r="HH241">
        <v>1</v>
      </c>
      <c r="HI241">
        <v>834</v>
      </c>
      <c r="HL241">
        <v>2021</v>
      </c>
      <c r="HM241">
        <v>14</v>
      </c>
      <c r="HN241" t="s">
        <v>33</v>
      </c>
      <c r="HO241">
        <v>233678</v>
      </c>
      <c r="HP241">
        <v>230521</v>
      </c>
      <c r="HQ241">
        <v>262</v>
      </c>
      <c r="HR241">
        <v>298</v>
      </c>
      <c r="HS241">
        <v>0</v>
      </c>
      <c r="HT241">
        <v>2744</v>
      </c>
      <c r="HU241">
        <v>0</v>
      </c>
      <c r="HV241">
        <v>1</v>
      </c>
      <c r="HW241">
        <v>245</v>
      </c>
      <c r="HZ241" s="24">
        <v>2021</v>
      </c>
      <c r="IA241" s="24">
        <v>14</v>
      </c>
      <c r="IB241" s="24" t="s">
        <v>33</v>
      </c>
      <c r="IC241" s="24">
        <v>8180</v>
      </c>
      <c r="ID241" s="24">
        <v>7922</v>
      </c>
      <c r="IG241" s="24">
        <v>2021</v>
      </c>
      <c r="IH241" s="24">
        <v>14</v>
      </c>
      <c r="II241" s="24" t="s">
        <v>33</v>
      </c>
      <c r="IJ241" s="24">
        <v>7999</v>
      </c>
      <c r="IK241" s="24">
        <v>7946</v>
      </c>
    </row>
    <row r="242" spans="9:245" x14ac:dyDescent="0.4">
      <c r="I242" s="305">
        <v>2021</v>
      </c>
      <c r="J242" s="306">
        <v>14</v>
      </c>
      <c r="K242" s="306" t="s">
        <v>33</v>
      </c>
      <c r="L242" s="306">
        <v>233722</v>
      </c>
      <c r="M242" s="306">
        <v>221707</v>
      </c>
      <c r="N242" s="306">
        <v>426</v>
      </c>
      <c r="O242" s="306">
        <v>2126</v>
      </c>
      <c r="P242" s="306">
        <v>167</v>
      </c>
      <c r="Q242" s="306">
        <v>26</v>
      </c>
      <c r="R242" s="24"/>
      <c r="S242" s="24"/>
      <c r="T242" s="24"/>
      <c r="W242" s="24">
        <v>2021</v>
      </c>
      <c r="X242" s="24">
        <v>13</v>
      </c>
      <c r="Y242" s="24" t="s">
        <v>32</v>
      </c>
      <c r="Z242" s="24">
        <v>11167</v>
      </c>
      <c r="AA242" s="24">
        <v>10993</v>
      </c>
      <c r="AB242" s="24">
        <v>30</v>
      </c>
      <c r="AC242" s="24">
        <v>6</v>
      </c>
      <c r="AI242" s="24"/>
      <c r="AJ242" s="24"/>
      <c r="AK242" s="24">
        <v>2021</v>
      </c>
      <c r="AL242" s="24">
        <v>13</v>
      </c>
      <c r="AM242" s="24">
        <v>668.15</v>
      </c>
      <c r="AN242" s="24">
        <v>73.150000000000006</v>
      </c>
      <c r="AO242" s="24">
        <v>0</v>
      </c>
      <c r="AP242" s="24">
        <v>16</v>
      </c>
      <c r="AQ242" s="24">
        <v>0</v>
      </c>
      <c r="AR242" s="24">
        <v>0</v>
      </c>
      <c r="AS242" s="24" t="s">
        <v>32</v>
      </c>
      <c r="AT242" s="24"/>
      <c r="AU242" s="24">
        <v>2021</v>
      </c>
      <c r="AV242" s="24">
        <v>13</v>
      </c>
      <c r="AW242" s="24">
        <v>0.04</v>
      </c>
      <c r="AX242" s="24">
        <v>500</v>
      </c>
      <c r="AY242" s="24">
        <v>11402</v>
      </c>
      <c r="AZ242" s="24" t="s">
        <v>32</v>
      </c>
      <c r="BA242" s="24"/>
      <c r="BB242" s="24"/>
      <c r="BC242" s="24">
        <v>2021</v>
      </c>
      <c r="BD242" s="24">
        <v>13</v>
      </c>
      <c r="BE242" s="24">
        <v>139.02614285714299</v>
      </c>
      <c r="BF242" s="24" t="s">
        <v>32</v>
      </c>
      <c r="BG242" s="24"/>
      <c r="BI242" s="24">
        <v>2022</v>
      </c>
      <c r="BJ242" s="24">
        <v>11</v>
      </c>
      <c r="BK242" s="24" t="s">
        <v>32</v>
      </c>
      <c r="BL242" s="24" t="s">
        <v>273</v>
      </c>
      <c r="BM242" s="24">
        <v>6836</v>
      </c>
      <c r="BN242" s="24">
        <v>6782</v>
      </c>
      <c r="BO242" s="24">
        <v>6939</v>
      </c>
      <c r="BR242" s="24">
        <v>2021</v>
      </c>
      <c r="BS242" s="24">
        <v>13</v>
      </c>
      <c r="BT242" s="24">
        <v>11297</v>
      </c>
      <c r="BU242" s="24">
        <v>0</v>
      </c>
      <c r="BV242" s="24" t="s">
        <v>32</v>
      </c>
      <c r="BY242" s="24">
        <v>2021</v>
      </c>
      <c r="BZ242" s="24">
        <v>16</v>
      </c>
      <c r="CA242" s="24" t="s">
        <v>32</v>
      </c>
      <c r="CB242" s="24" t="s">
        <v>423</v>
      </c>
      <c r="CC242" s="24">
        <v>17</v>
      </c>
      <c r="CF242" s="24">
        <v>2021</v>
      </c>
      <c r="CG242" s="24">
        <v>13</v>
      </c>
      <c r="CH242" s="24" t="s">
        <v>32</v>
      </c>
      <c r="CI242" s="24">
        <v>34.996003197442043</v>
      </c>
      <c r="CJ242" s="24">
        <v>4378</v>
      </c>
      <c r="CK242" s="24">
        <v>125.1</v>
      </c>
      <c r="CL242" s="24">
        <v>69.661458333333329</v>
      </c>
      <c r="CM242" s="24">
        <v>7450</v>
      </c>
      <c r="CN242" s="24">
        <v>13375</v>
      </c>
      <c r="CO242" s="24">
        <v>192</v>
      </c>
      <c r="CP242" s="24">
        <v>7840</v>
      </c>
      <c r="CQ242" s="24">
        <v>46.1</v>
      </c>
      <c r="CR242" s="24">
        <v>183.3</v>
      </c>
      <c r="CS242" s="24">
        <v>13841</v>
      </c>
      <c r="CT242" s="24">
        <v>14060</v>
      </c>
      <c r="CU242" s="24">
        <v>224.2</v>
      </c>
      <c r="CV242" s="24">
        <v>1979</v>
      </c>
      <c r="CW242" s="24">
        <v>0</v>
      </c>
      <c r="CX242" s="24">
        <v>12787</v>
      </c>
      <c r="CY242" s="24">
        <v>52.9</v>
      </c>
      <c r="CZ242" s="24">
        <v>5957</v>
      </c>
      <c r="DA242" s="24">
        <v>183.3</v>
      </c>
      <c r="DD242" s="24">
        <v>2021</v>
      </c>
      <c r="DE242" s="24">
        <v>13</v>
      </c>
      <c r="DF242" s="24" t="s">
        <v>32</v>
      </c>
      <c r="DG242" s="24">
        <v>2045</v>
      </c>
      <c r="DH242" s="24">
        <v>2248</v>
      </c>
      <c r="DJ242" s="24">
        <v>2021</v>
      </c>
      <c r="DK242" s="24">
        <v>13</v>
      </c>
      <c r="DL242" s="24" t="s">
        <v>33</v>
      </c>
      <c r="DM242" s="24">
        <v>907</v>
      </c>
      <c r="DP242" s="307">
        <v>2019</v>
      </c>
      <c r="DQ242" s="307">
        <v>36</v>
      </c>
      <c r="DR242" s="307" t="s">
        <v>33</v>
      </c>
      <c r="DS242" s="307">
        <v>5730</v>
      </c>
      <c r="DT242" s="307">
        <v>1240</v>
      </c>
      <c r="DW242" s="24">
        <v>2021</v>
      </c>
      <c r="DX242" s="24">
        <v>46</v>
      </c>
      <c r="DY242" s="24" t="s">
        <v>32</v>
      </c>
      <c r="DZ242" s="24">
        <v>1</v>
      </c>
      <c r="EA242" s="24" t="s">
        <v>149</v>
      </c>
      <c r="EB242" s="24">
        <v>0</v>
      </c>
      <c r="EC242" s="24">
        <v>0</v>
      </c>
      <c r="ED242" s="24">
        <v>132</v>
      </c>
      <c r="EE242" s="24">
        <v>27</v>
      </c>
      <c r="EF242" s="24">
        <v>4.5</v>
      </c>
      <c r="EI242" s="24">
        <v>2023</v>
      </c>
      <c r="EJ242" s="24">
        <v>3</v>
      </c>
      <c r="EK242" s="24" t="s">
        <v>237</v>
      </c>
      <c r="EL242" s="24" t="s">
        <v>239</v>
      </c>
      <c r="EM242" s="24" t="s">
        <v>210</v>
      </c>
      <c r="EN242" s="24">
        <v>253</v>
      </c>
      <c r="EO242" s="24"/>
      <c r="EP242" s="24"/>
      <c r="EQ242" s="24"/>
      <c r="ER242" s="24"/>
      <c r="ES242" s="24">
        <v>2021</v>
      </c>
      <c r="ET242" s="24">
        <v>30</v>
      </c>
      <c r="EU242" s="24" t="s">
        <v>32</v>
      </c>
      <c r="EV242" s="24">
        <v>4610</v>
      </c>
      <c r="EY242" s="24">
        <v>2021</v>
      </c>
      <c r="EZ242" s="24">
        <v>18</v>
      </c>
      <c r="FA242" s="24" t="s">
        <v>33</v>
      </c>
      <c r="FB242" s="24">
        <v>1379</v>
      </c>
      <c r="FE242" s="24">
        <v>2021</v>
      </c>
      <c r="FF242" s="24">
        <v>13</v>
      </c>
      <c r="FG242" s="24" t="s">
        <v>32</v>
      </c>
      <c r="FH242" s="24">
        <v>0.89019999999999999</v>
      </c>
      <c r="FI242" s="24">
        <v>310</v>
      </c>
      <c r="FJ242" s="24">
        <v>146</v>
      </c>
      <c r="FK242" s="24">
        <v>164</v>
      </c>
      <c r="FN242" s="24">
        <v>2021</v>
      </c>
      <c r="FO242" s="24">
        <v>14</v>
      </c>
      <c r="FP242" s="24" t="s">
        <v>32</v>
      </c>
      <c r="FQ242" s="24">
        <v>25434</v>
      </c>
      <c r="FR242" s="24">
        <v>503.03333333333296</v>
      </c>
      <c r="FS242" s="24">
        <v>26044</v>
      </c>
      <c r="FT242" s="24">
        <v>242.63333333333298</v>
      </c>
      <c r="FW242" s="24">
        <v>2021</v>
      </c>
      <c r="FX242" s="24">
        <v>13</v>
      </c>
      <c r="FY242" s="24" t="s">
        <v>32</v>
      </c>
      <c r="FZ242" s="24">
        <v>1480</v>
      </c>
      <c r="GA242" s="24">
        <v>1396</v>
      </c>
      <c r="GB242" s="24"/>
      <c r="GC242" s="24"/>
      <c r="GD242" s="24">
        <v>2021</v>
      </c>
      <c r="GE242" s="24">
        <v>13</v>
      </c>
      <c r="GF242" s="24" t="s">
        <v>32</v>
      </c>
      <c r="GG242" s="24">
        <v>1457</v>
      </c>
      <c r="GH242" s="24">
        <v>1402</v>
      </c>
      <c r="GK242" s="24"/>
      <c r="GL242" s="24"/>
      <c r="GM242" s="24"/>
      <c r="GN242" s="24"/>
      <c r="GO242" s="24"/>
      <c r="GP242" s="24">
        <v>2021</v>
      </c>
      <c r="GQ242" s="24">
        <v>13</v>
      </c>
      <c r="GR242" s="24">
        <v>0.29899999999999999</v>
      </c>
      <c r="GS242" s="24" t="s">
        <v>32</v>
      </c>
      <c r="GX242">
        <v>2021</v>
      </c>
      <c r="GY242">
        <v>13</v>
      </c>
      <c r="GZ242" t="s">
        <v>32</v>
      </c>
      <c r="HA242">
        <v>11141</v>
      </c>
      <c r="HB242">
        <v>10934</v>
      </c>
      <c r="HC242">
        <v>0</v>
      </c>
      <c r="HD242">
        <v>10</v>
      </c>
      <c r="HE242">
        <v>0</v>
      </c>
      <c r="HF242">
        <v>15</v>
      </c>
      <c r="HG242">
        <v>0</v>
      </c>
      <c r="HH242">
        <v>0</v>
      </c>
      <c r="HI242">
        <v>65</v>
      </c>
      <c r="HL242">
        <v>2021</v>
      </c>
      <c r="HM242">
        <v>13</v>
      </c>
      <c r="HN242" t="s">
        <v>32</v>
      </c>
      <c r="HO242">
        <v>11141</v>
      </c>
      <c r="HP242">
        <v>11081</v>
      </c>
      <c r="HQ242">
        <v>0</v>
      </c>
      <c r="HR242">
        <v>2</v>
      </c>
      <c r="HS242">
        <v>0</v>
      </c>
      <c r="HT242">
        <v>38</v>
      </c>
      <c r="HU242">
        <v>0</v>
      </c>
      <c r="HV242">
        <v>0</v>
      </c>
      <c r="HW242">
        <v>5</v>
      </c>
      <c r="HZ242" s="24">
        <v>2021</v>
      </c>
      <c r="IA242" s="24">
        <v>13</v>
      </c>
      <c r="IB242" s="24" t="s">
        <v>32</v>
      </c>
      <c r="IC242" s="24">
        <v>1455</v>
      </c>
      <c r="ID242" s="24">
        <v>1375</v>
      </c>
      <c r="IG242" s="24">
        <v>2021</v>
      </c>
      <c r="IH242" s="24">
        <v>13</v>
      </c>
      <c r="II242" s="24" t="s">
        <v>32</v>
      </c>
      <c r="IJ242" s="24">
        <v>1445</v>
      </c>
      <c r="IK242" s="24">
        <v>1438</v>
      </c>
    </row>
    <row r="243" spans="9:245" x14ac:dyDescent="0.4">
      <c r="I243" s="305">
        <v>2021</v>
      </c>
      <c r="J243" s="306">
        <v>13</v>
      </c>
      <c r="K243" s="306" t="s">
        <v>32</v>
      </c>
      <c r="L243" s="306">
        <v>11223</v>
      </c>
      <c r="M243" s="306">
        <v>10986</v>
      </c>
      <c r="N243" s="306">
        <v>14</v>
      </c>
      <c r="O243" s="306">
        <v>92</v>
      </c>
      <c r="P243" s="306">
        <v>29</v>
      </c>
      <c r="Q243" s="306">
        <v>3</v>
      </c>
      <c r="R243" s="24"/>
      <c r="S243" s="24"/>
      <c r="T243" s="24"/>
      <c r="W243" s="24">
        <v>2021</v>
      </c>
      <c r="X243" s="24">
        <v>13</v>
      </c>
      <c r="Y243" s="24" t="s">
        <v>33</v>
      </c>
      <c r="Z243" s="24">
        <v>222777</v>
      </c>
      <c r="AA243" s="24">
        <v>220503</v>
      </c>
      <c r="AB243" s="24">
        <v>72</v>
      </c>
      <c r="AC243" s="24">
        <v>39</v>
      </c>
      <c r="AI243" s="24"/>
      <c r="AJ243" s="24"/>
      <c r="AK243" s="24">
        <v>2021</v>
      </c>
      <c r="AL243" s="24">
        <v>13</v>
      </c>
      <c r="AM243" s="24">
        <v>12406.87</v>
      </c>
      <c r="AN243" s="24">
        <v>1039.5</v>
      </c>
      <c r="AO243" s="24">
        <v>0</v>
      </c>
      <c r="AP243" s="24">
        <v>303</v>
      </c>
      <c r="AQ243" s="24">
        <v>0</v>
      </c>
      <c r="AR243" s="24">
        <v>1</v>
      </c>
      <c r="AS243" s="24" t="s">
        <v>33</v>
      </c>
      <c r="AT243" s="24"/>
      <c r="AU243" s="24">
        <v>2021</v>
      </c>
      <c r="AV243" s="24">
        <v>13</v>
      </c>
      <c r="AW243" s="24">
        <v>7.0000000000000007E-2</v>
      </c>
      <c r="AX243" s="24">
        <v>16500</v>
      </c>
      <c r="AY243" s="24">
        <v>233499</v>
      </c>
      <c r="AZ243" s="24" t="s">
        <v>33</v>
      </c>
      <c r="BA243" s="24"/>
      <c r="BB243" s="24"/>
      <c r="BC243" s="24">
        <v>2021</v>
      </c>
      <c r="BD243" s="24">
        <v>13</v>
      </c>
      <c r="BE243" s="24">
        <v>1720.60157142857</v>
      </c>
      <c r="BF243" s="24" t="s">
        <v>33</v>
      </c>
      <c r="BG243" s="24"/>
      <c r="BI243" s="24">
        <v>2022</v>
      </c>
      <c r="BJ243" s="24">
        <v>11</v>
      </c>
      <c r="BK243" s="24" t="s">
        <v>33</v>
      </c>
      <c r="BL243" s="24" t="s">
        <v>273</v>
      </c>
      <c r="BM243" s="24">
        <v>123958</v>
      </c>
      <c r="BN243" s="24">
        <v>123024</v>
      </c>
      <c r="BO243" s="24">
        <v>127342</v>
      </c>
      <c r="BR243" s="24">
        <v>2021</v>
      </c>
      <c r="BS243" s="24">
        <v>13</v>
      </c>
      <c r="BT243" s="24">
        <v>232073</v>
      </c>
      <c r="BU243" s="24">
        <v>0</v>
      </c>
      <c r="BV243" s="24" t="s">
        <v>33</v>
      </c>
      <c r="BY243" s="24">
        <v>2021</v>
      </c>
      <c r="BZ243" s="24">
        <v>16</v>
      </c>
      <c r="CA243" s="24" t="s">
        <v>33</v>
      </c>
      <c r="CB243" s="24" t="s">
        <v>423</v>
      </c>
      <c r="CC243" s="24">
        <v>26</v>
      </c>
      <c r="CF243" s="24">
        <v>2021</v>
      </c>
      <c r="CG243" s="24">
        <v>13</v>
      </c>
      <c r="CH243" s="24" t="s">
        <v>33</v>
      </c>
      <c r="CI243" s="24">
        <v>125.73706944290619</v>
      </c>
      <c r="CJ243" s="24">
        <v>227056</v>
      </c>
      <c r="CK243" s="24">
        <v>1805.8</v>
      </c>
      <c r="CL243" s="24">
        <v>99.415444050958925</v>
      </c>
      <c r="CM243" s="24">
        <v>110048</v>
      </c>
      <c r="CN243" s="24">
        <v>216159</v>
      </c>
      <c r="CO243" s="24">
        <v>2174.3000000000002</v>
      </c>
      <c r="CP243" s="24">
        <v>57500</v>
      </c>
      <c r="CQ243" s="24">
        <v>245.4</v>
      </c>
      <c r="CR243" s="24">
        <v>1395</v>
      </c>
      <c r="CS243" s="24">
        <v>155084</v>
      </c>
      <c r="CT243" s="24">
        <v>164104</v>
      </c>
      <c r="CU243" s="24">
        <v>1405.1</v>
      </c>
      <c r="CV243" s="24">
        <v>52362</v>
      </c>
      <c r="CW243" s="24">
        <v>0</v>
      </c>
      <c r="CX243" s="24">
        <v>158346</v>
      </c>
      <c r="CY243" s="24">
        <v>563</v>
      </c>
      <c r="CZ243" s="24">
        <v>48982</v>
      </c>
      <c r="DA243" s="24">
        <v>1395</v>
      </c>
      <c r="DD243" s="24">
        <v>2021</v>
      </c>
      <c r="DE243" s="24">
        <v>13</v>
      </c>
      <c r="DF243" s="24" t="s">
        <v>33</v>
      </c>
      <c r="DG243" s="24">
        <v>54702</v>
      </c>
      <c r="DH243" s="24">
        <v>32323</v>
      </c>
      <c r="DJ243" s="24">
        <v>2021</v>
      </c>
      <c r="DK243" s="24">
        <v>12</v>
      </c>
      <c r="DL243" s="24" t="s">
        <v>32</v>
      </c>
      <c r="DM243" s="24">
        <v>19</v>
      </c>
      <c r="DP243" s="307">
        <v>2019</v>
      </c>
      <c r="DQ243" s="307">
        <v>35</v>
      </c>
      <c r="DR243" s="307" t="s">
        <v>33</v>
      </c>
      <c r="DS243" s="307">
        <v>6713</v>
      </c>
      <c r="DT243" s="307">
        <v>1039</v>
      </c>
      <c r="DW243" s="24">
        <v>2021</v>
      </c>
      <c r="DX243" s="24">
        <v>46</v>
      </c>
      <c r="DY243" s="24" t="s">
        <v>33</v>
      </c>
      <c r="DZ243" s="24">
        <v>9</v>
      </c>
      <c r="EA243" s="24" t="s">
        <v>562</v>
      </c>
      <c r="EB243" s="24">
        <v>153.5</v>
      </c>
      <c r="EC243" s="24">
        <v>0</v>
      </c>
      <c r="ED243" s="24">
        <v>18</v>
      </c>
      <c r="EE243" s="24">
        <v>6196</v>
      </c>
      <c r="EF243" s="24">
        <v>37</v>
      </c>
      <c r="EI243" s="24">
        <v>2023</v>
      </c>
      <c r="EJ243" s="24">
        <v>3</v>
      </c>
      <c r="EK243" s="24" t="s">
        <v>237</v>
      </c>
      <c r="EL243" s="24" t="s">
        <v>555</v>
      </c>
      <c r="EM243" s="24" t="s">
        <v>210</v>
      </c>
      <c r="EN243" s="24">
        <v>20</v>
      </c>
      <c r="EO243" s="24"/>
      <c r="EP243" s="24"/>
      <c r="EQ243" s="24"/>
      <c r="ER243" s="24"/>
      <c r="ES243" s="24">
        <v>2021</v>
      </c>
      <c r="ET243" s="24">
        <v>30</v>
      </c>
      <c r="EU243" s="24" t="s">
        <v>33</v>
      </c>
      <c r="EV243" s="24">
        <v>121538</v>
      </c>
      <c r="EY243" s="24">
        <v>2021</v>
      </c>
      <c r="EZ243" s="24">
        <v>17</v>
      </c>
      <c r="FA243" s="24" t="s">
        <v>32</v>
      </c>
      <c r="FB243" s="24">
        <v>639</v>
      </c>
      <c r="FE243" s="24">
        <v>2021</v>
      </c>
      <c r="FF243" s="24">
        <v>13</v>
      </c>
      <c r="FG243" s="24" t="s">
        <v>33</v>
      </c>
      <c r="FH243" s="24">
        <v>0.92330000000000001</v>
      </c>
      <c r="FI243" s="24">
        <v>11237</v>
      </c>
      <c r="FJ243" s="24">
        <v>5095</v>
      </c>
      <c r="FK243" s="24">
        <v>5566</v>
      </c>
      <c r="FN243" s="24">
        <v>2021</v>
      </c>
      <c r="FO243" s="24">
        <v>14</v>
      </c>
      <c r="FP243" s="24" t="s">
        <v>33</v>
      </c>
      <c r="FQ243" s="24">
        <v>838139</v>
      </c>
      <c r="FR243" s="24">
        <v>6496.1666666666697</v>
      </c>
      <c r="FS243" s="24">
        <v>383781</v>
      </c>
      <c r="FT243" s="24">
        <v>2055.9333333333298</v>
      </c>
      <c r="FW243" s="24">
        <v>2021</v>
      </c>
      <c r="FX243" s="24">
        <v>13</v>
      </c>
      <c r="FY243" s="24" t="s">
        <v>33</v>
      </c>
      <c r="FZ243" s="24">
        <v>8116</v>
      </c>
      <c r="GA243" s="24">
        <v>7889</v>
      </c>
      <c r="GB243" s="24"/>
      <c r="GC243" s="24"/>
      <c r="GD243" s="24">
        <v>2021</v>
      </c>
      <c r="GE243" s="24">
        <v>13</v>
      </c>
      <c r="GF243" s="24" t="s">
        <v>33</v>
      </c>
      <c r="GG243" s="24">
        <v>8109</v>
      </c>
      <c r="GH243" s="24">
        <v>7941</v>
      </c>
      <c r="GK243" s="24"/>
      <c r="GL243" s="24"/>
      <c r="GM243" s="24"/>
      <c r="GN243" s="24"/>
      <c r="GO243" s="24"/>
      <c r="GP243" s="24">
        <v>2021</v>
      </c>
      <c r="GQ243" s="24">
        <v>13</v>
      </c>
      <c r="GR243" s="24">
        <v>7.9517142857142904</v>
      </c>
      <c r="GS243" s="24" t="s">
        <v>33</v>
      </c>
      <c r="GX243">
        <v>2021</v>
      </c>
      <c r="GY243">
        <v>13</v>
      </c>
      <c r="GZ243" t="s">
        <v>33</v>
      </c>
      <c r="HA243">
        <v>223991</v>
      </c>
      <c r="HB243">
        <v>221531</v>
      </c>
      <c r="HC243">
        <v>126</v>
      </c>
      <c r="HD243">
        <v>133</v>
      </c>
      <c r="HE243">
        <v>0</v>
      </c>
      <c r="HF243">
        <v>656</v>
      </c>
      <c r="HG243">
        <v>0</v>
      </c>
      <c r="HH243">
        <v>0</v>
      </c>
      <c r="HI243">
        <v>568</v>
      </c>
      <c r="HL243">
        <v>2021</v>
      </c>
      <c r="HM243">
        <v>13</v>
      </c>
      <c r="HN243" t="s">
        <v>33</v>
      </c>
      <c r="HO243">
        <v>222481</v>
      </c>
      <c r="HP243">
        <v>221290</v>
      </c>
      <c r="HQ243">
        <v>246</v>
      </c>
      <c r="HR243">
        <v>108</v>
      </c>
      <c r="HS243">
        <v>0</v>
      </c>
      <c r="HT243">
        <v>598</v>
      </c>
      <c r="HU243">
        <v>0</v>
      </c>
      <c r="HV243">
        <v>0</v>
      </c>
      <c r="HW243">
        <v>70</v>
      </c>
      <c r="HZ243" s="24">
        <v>2021</v>
      </c>
      <c r="IA243" s="24">
        <v>13</v>
      </c>
      <c r="IB243" s="24" t="s">
        <v>33</v>
      </c>
      <c r="IC243" s="24">
        <v>8218</v>
      </c>
      <c r="ID243" s="24">
        <v>7894</v>
      </c>
      <c r="IG243" s="24">
        <v>2021</v>
      </c>
      <c r="IH243" s="24">
        <v>13</v>
      </c>
      <c r="II243" s="24" t="s">
        <v>33</v>
      </c>
      <c r="IJ243" s="24">
        <v>7673</v>
      </c>
      <c r="IK243" s="24">
        <v>7529</v>
      </c>
    </row>
    <row r="244" spans="9:245" x14ac:dyDescent="0.4">
      <c r="I244" s="305">
        <v>2021</v>
      </c>
      <c r="J244" s="306">
        <v>13</v>
      </c>
      <c r="K244" s="306" t="s">
        <v>33</v>
      </c>
      <c r="L244" s="306">
        <v>222967</v>
      </c>
      <c r="M244" s="306">
        <v>219954</v>
      </c>
      <c r="N244" s="306">
        <v>419</v>
      </c>
      <c r="O244" s="306">
        <v>999</v>
      </c>
      <c r="P244" s="306">
        <v>173</v>
      </c>
      <c r="Q244" s="306">
        <v>56</v>
      </c>
      <c r="R244" s="24"/>
      <c r="S244" s="24"/>
      <c r="T244" s="24"/>
      <c r="W244" s="24">
        <v>2021</v>
      </c>
      <c r="X244" s="24">
        <v>12</v>
      </c>
      <c r="Y244" s="24" t="s">
        <v>32</v>
      </c>
      <c r="Z244" s="24">
        <v>12240</v>
      </c>
      <c r="AA244" s="24">
        <v>11672</v>
      </c>
      <c r="AB244" s="24">
        <v>17</v>
      </c>
      <c r="AC244" s="24">
        <v>12</v>
      </c>
      <c r="AI244" s="24"/>
      <c r="AJ244" s="24"/>
      <c r="AK244" s="24">
        <v>2021</v>
      </c>
      <c r="AL244" s="24">
        <v>12</v>
      </c>
      <c r="AM244" s="24">
        <v>676.12</v>
      </c>
      <c r="AN244" s="24">
        <v>73.48</v>
      </c>
      <c r="AO244" s="24">
        <v>0</v>
      </c>
      <c r="AP244" s="24">
        <v>16</v>
      </c>
      <c r="AQ244" s="24">
        <v>0</v>
      </c>
      <c r="AR244" s="24">
        <v>0</v>
      </c>
      <c r="AS244" s="24" t="s">
        <v>32</v>
      </c>
      <c r="AT244" s="24"/>
      <c r="AU244" s="24">
        <v>2021</v>
      </c>
      <c r="AV244" s="24">
        <v>12</v>
      </c>
      <c r="AW244" s="24">
        <v>0.02</v>
      </c>
      <c r="AX244" s="24">
        <v>300</v>
      </c>
      <c r="AY244" s="24">
        <v>12443</v>
      </c>
      <c r="AZ244" s="24" t="s">
        <v>32</v>
      </c>
      <c r="BA244" s="24"/>
      <c r="BB244" s="24"/>
      <c r="BC244" s="24">
        <v>2021</v>
      </c>
      <c r="BD244" s="24">
        <v>12</v>
      </c>
      <c r="BE244" s="24">
        <v>134.99785714285699</v>
      </c>
      <c r="BF244" s="24" t="s">
        <v>32</v>
      </c>
      <c r="BG244" s="24"/>
      <c r="BI244" s="24">
        <v>2022</v>
      </c>
      <c r="BJ244" s="24">
        <v>11</v>
      </c>
      <c r="BK244" s="24" t="s">
        <v>32</v>
      </c>
      <c r="BL244" s="24" t="s">
        <v>272</v>
      </c>
      <c r="BM244" s="24">
        <v>2979</v>
      </c>
      <c r="BN244" s="24">
        <v>2976</v>
      </c>
      <c r="BO244" s="24">
        <v>10237</v>
      </c>
      <c r="BR244" s="24">
        <v>2021</v>
      </c>
      <c r="BS244" s="24">
        <v>12</v>
      </c>
      <c r="BT244" s="24">
        <v>229022</v>
      </c>
      <c r="BU244" s="24">
        <v>2</v>
      </c>
      <c r="BV244" s="24" t="s">
        <v>33</v>
      </c>
      <c r="BY244" s="24">
        <v>2021</v>
      </c>
      <c r="BZ244" s="24">
        <v>15</v>
      </c>
      <c r="CA244" s="24" t="s">
        <v>32</v>
      </c>
      <c r="CB244" s="24" t="s">
        <v>108</v>
      </c>
      <c r="CC244" s="24">
        <v>3</v>
      </c>
      <c r="CF244" s="24">
        <v>2021</v>
      </c>
      <c r="CG244" s="24">
        <v>12</v>
      </c>
      <c r="CH244" s="24" t="s">
        <v>32</v>
      </c>
      <c r="CI244" s="24">
        <v>103.70786516853933</v>
      </c>
      <c r="CJ244" s="24">
        <v>12922</v>
      </c>
      <c r="CK244" s="24">
        <v>124.6</v>
      </c>
      <c r="CL244" s="24">
        <v>69.249193919852601</v>
      </c>
      <c r="CM244" s="24">
        <v>7924</v>
      </c>
      <c r="CN244" s="24">
        <v>15034</v>
      </c>
      <c r="CO244" s="24">
        <v>217.1</v>
      </c>
      <c r="CP244" s="24">
        <v>8468</v>
      </c>
      <c r="CQ244" s="24">
        <v>42.7</v>
      </c>
      <c r="CR244" s="24">
        <v>226.6</v>
      </c>
      <c r="CS244" s="24">
        <v>14302</v>
      </c>
      <c r="CT244" s="24">
        <v>14302</v>
      </c>
      <c r="CU244" s="24">
        <v>229.3</v>
      </c>
      <c r="CV244" s="24">
        <v>2171</v>
      </c>
      <c r="CW244" s="24">
        <v>0</v>
      </c>
      <c r="CX244" s="24">
        <v>10028</v>
      </c>
      <c r="CY244" s="24">
        <v>49.2</v>
      </c>
      <c r="CZ244" s="24">
        <v>6879</v>
      </c>
      <c r="DA244" s="24">
        <v>226.6</v>
      </c>
      <c r="DD244" s="24">
        <v>2021</v>
      </c>
      <c r="DE244" s="24">
        <v>12</v>
      </c>
      <c r="DF244" s="24" t="s">
        <v>32</v>
      </c>
      <c r="DG244" s="24">
        <v>3736</v>
      </c>
      <c r="DH244" s="24">
        <v>2241</v>
      </c>
      <c r="DJ244" s="24">
        <v>2021</v>
      </c>
      <c r="DK244" s="24">
        <v>12</v>
      </c>
      <c r="DL244" s="24" t="s">
        <v>33</v>
      </c>
      <c r="DM244" s="24">
        <v>1187</v>
      </c>
      <c r="DP244" s="307">
        <v>2019</v>
      </c>
      <c r="DQ244" s="307">
        <v>34</v>
      </c>
      <c r="DR244" s="307" t="s">
        <v>33</v>
      </c>
      <c r="DS244" s="307">
        <v>7306</v>
      </c>
      <c r="DT244" s="307">
        <v>1105</v>
      </c>
      <c r="DW244" s="24">
        <v>2021</v>
      </c>
      <c r="DX244" s="24">
        <v>46</v>
      </c>
      <c r="DY244" s="24" t="s">
        <v>33</v>
      </c>
      <c r="DZ244" s="24">
        <v>43</v>
      </c>
      <c r="EA244" s="24" t="s">
        <v>149</v>
      </c>
      <c r="EB244" s="24">
        <v>207.9</v>
      </c>
      <c r="EC244" s="24">
        <v>1049.2</v>
      </c>
      <c r="ED244" s="24">
        <v>35610</v>
      </c>
      <c r="EE244" s="24">
        <v>42530</v>
      </c>
      <c r="EF244" s="24">
        <v>174.1</v>
      </c>
      <c r="EI244" s="24">
        <v>2023</v>
      </c>
      <c r="EJ244" s="24">
        <v>3</v>
      </c>
      <c r="EK244" s="24" t="s">
        <v>237</v>
      </c>
      <c r="EL244" s="24" t="s">
        <v>557</v>
      </c>
      <c r="EM244" s="24" t="s">
        <v>210</v>
      </c>
      <c r="EN244" s="24">
        <v>60</v>
      </c>
      <c r="EO244" s="24"/>
      <c r="EP244" s="24"/>
      <c r="EQ244" s="24"/>
      <c r="ER244" s="24"/>
      <c r="ES244" s="24">
        <v>2021</v>
      </c>
      <c r="ET244" s="24">
        <v>29</v>
      </c>
      <c r="EU244" s="24" t="s">
        <v>32</v>
      </c>
      <c r="EV244" s="24">
        <v>5039</v>
      </c>
      <c r="EY244" s="24">
        <v>2021</v>
      </c>
      <c r="EZ244" s="24">
        <v>17</v>
      </c>
      <c r="FA244" s="24" t="s">
        <v>33</v>
      </c>
      <c r="FB244" s="24">
        <v>1425</v>
      </c>
      <c r="FE244" s="24">
        <v>2021</v>
      </c>
      <c r="FF244" s="24">
        <v>12</v>
      </c>
      <c r="FG244" s="24" t="s">
        <v>32</v>
      </c>
      <c r="FH244" s="24">
        <v>0.94190000000000007</v>
      </c>
      <c r="FI244" s="24">
        <v>327</v>
      </c>
      <c r="FJ244" s="24">
        <v>155</v>
      </c>
      <c r="FK244" s="24">
        <v>165</v>
      </c>
      <c r="FN244" s="24">
        <v>2021</v>
      </c>
      <c r="FO244" s="24">
        <v>13</v>
      </c>
      <c r="FP244" s="24" t="s">
        <v>32</v>
      </c>
      <c r="FQ244" s="24">
        <v>27539</v>
      </c>
      <c r="FR244" s="24">
        <v>431.85</v>
      </c>
      <c r="FS244" s="24">
        <v>31999</v>
      </c>
      <c r="FT244" s="24">
        <v>273.86666666666702</v>
      </c>
      <c r="FW244" s="24">
        <v>2021</v>
      </c>
      <c r="FX244" s="24">
        <v>12</v>
      </c>
      <c r="FY244" s="24" t="s">
        <v>32</v>
      </c>
      <c r="FZ244" s="24">
        <v>1741</v>
      </c>
      <c r="GA244" s="24">
        <v>1684</v>
      </c>
      <c r="GB244" s="24"/>
      <c r="GC244" s="24"/>
      <c r="GD244" s="24">
        <v>2021</v>
      </c>
      <c r="GE244" s="24">
        <v>12</v>
      </c>
      <c r="GF244" s="24" t="s">
        <v>32</v>
      </c>
      <c r="GG244" s="24">
        <v>1725</v>
      </c>
      <c r="GH244" s="24">
        <v>1675</v>
      </c>
      <c r="GK244" s="24"/>
      <c r="GL244" s="24"/>
      <c r="GM244" s="24"/>
      <c r="GN244" s="24"/>
      <c r="GO244" s="24"/>
      <c r="GP244" s="24">
        <v>2021</v>
      </c>
      <c r="GQ244" s="24">
        <v>12</v>
      </c>
      <c r="GR244" s="24">
        <v>0.29899999999999999</v>
      </c>
      <c r="GS244" s="24" t="s">
        <v>32</v>
      </c>
      <c r="GX244">
        <v>2021</v>
      </c>
      <c r="GY244">
        <v>12</v>
      </c>
      <c r="GZ244" t="s">
        <v>32</v>
      </c>
      <c r="HA244">
        <v>12147</v>
      </c>
      <c r="HB244">
        <v>11764</v>
      </c>
      <c r="HC244">
        <v>0</v>
      </c>
      <c r="HD244">
        <v>19</v>
      </c>
      <c r="HE244">
        <v>0</v>
      </c>
      <c r="HF244">
        <v>112</v>
      </c>
      <c r="HG244">
        <v>0</v>
      </c>
      <c r="HH244">
        <v>0</v>
      </c>
      <c r="HI244">
        <v>121</v>
      </c>
      <c r="HL244">
        <v>2021</v>
      </c>
      <c r="HM244">
        <v>12</v>
      </c>
      <c r="HN244" t="s">
        <v>32</v>
      </c>
      <c r="HO244">
        <v>12206</v>
      </c>
      <c r="HP244">
        <v>12037</v>
      </c>
      <c r="HQ244">
        <v>0</v>
      </c>
      <c r="HR244">
        <v>3</v>
      </c>
      <c r="HS244">
        <v>0</v>
      </c>
      <c r="HT244">
        <v>145</v>
      </c>
      <c r="HU244">
        <v>0</v>
      </c>
      <c r="HV244">
        <v>0</v>
      </c>
      <c r="HW244">
        <v>11</v>
      </c>
      <c r="HZ244" s="24">
        <v>2021</v>
      </c>
      <c r="IA244" s="24">
        <v>12</v>
      </c>
      <c r="IB244" s="24" t="s">
        <v>32</v>
      </c>
      <c r="IC244" s="24">
        <v>1673</v>
      </c>
      <c r="ID244" s="24">
        <v>1607</v>
      </c>
      <c r="IG244" s="24">
        <v>2021</v>
      </c>
      <c r="IH244" s="24">
        <v>12</v>
      </c>
      <c r="II244" s="24" t="s">
        <v>32</v>
      </c>
      <c r="IJ244" s="24">
        <v>1691</v>
      </c>
      <c r="IK244" s="24">
        <v>1673</v>
      </c>
    </row>
    <row r="245" spans="9:245" x14ac:dyDescent="0.4">
      <c r="I245" s="305">
        <v>2021</v>
      </c>
      <c r="J245" s="306">
        <v>12</v>
      </c>
      <c r="K245" s="306" t="s">
        <v>32</v>
      </c>
      <c r="L245" s="306">
        <v>12255</v>
      </c>
      <c r="M245" s="306">
        <v>11734</v>
      </c>
      <c r="N245" s="306">
        <v>39</v>
      </c>
      <c r="O245" s="306">
        <v>170</v>
      </c>
      <c r="P245" s="306">
        <v>23</v>
      </c>
      <c r="Q245" s="306">
        <v>11</v>
      </c>
      <c r="R245" s="24"/>
      <c r="S245" s="24"/>
      <c r="T245" s="24"/>
      <c r="W245" s="24">
        <v>2021</v>
      </c>
      <c r="X245" s="24">
        <v>12</v>
      </c>
      <c r="Y245" s="24" t="s">
        <v>33</v>
      </c>
      <c r="Z245" s="24">
        <v>227327</v>
      </c>
      <c r="AA245" s="24">
        <v>219810</v>
      </c>
      <c r="AB245" s="24">
        <v>140</v>
      </c>
      <c r="AC245" s="24">
        <v>436</v>
      </c>
      <c r="AI245" s="24"/>
      <c r="AJ245" s="24"/>
      <c r="AK245" s="24">
        <v>2021</v>
      </c>
      <c r="AL245" s="24">
        <v>12</v>
      </c>
      <c r="AM245" s="24">
        <v>12788.82</v>
      </c>
      <c r="AN245" s="24">
        <v>1266.58</v>
      </c>
      <c r="AO245" s="24">
        <v>0</v>
      </c>
      <c r="AP245" s="24">
        <v>296</v>
      </c>
      <c r="AQ245" s="24">
        <v>0</v>
      </c>
      <c r="AR245" s="24">
        <v>1</v>
      </c>
      <c r="AS245" s="24" t="s">
        <v>33</v>
      </c>
      <c r="AT245" s="24"/>
      <c r="AU245" s="24">
        <v>2021</v>
      </c>
      <c r="AV245" s="24">
        <v>12</v>
      </c>
      <c r="AW245" s="24">
        <v>0.06</v>
      </c>
      <c r="AX245" s="24">
        <v>14500</v>
      </c>
      <c r="AY245" s="24">
        <v>230044</v>
      </c>
      <c r="AZ245" s="24" t="s">
        <v>33</v>
      </c>
      <c r="BA245" s="24"/>
      <c r="BB245" s="24"/>
      <c r="BC245" s="24">
        <v>2021</v>
      </c>
      <c r="BD245" s="24">
        <v>12</v>
      </c>
      <c r="BE245" s="24">
        <v>1703.4572857142898</v>
      </c>
      <c r="BF245" s="24" t="s">
        <v>33</v>
      </c>
      <c r="BG245" s="24"/>
      <c r="BI245" s="24">
        <v>2022</v>
      </c>
      <c r="BJ245" s="24">
        <v>11</v>
      </c>
      <c r="BK245" s="24" t="s">
        <v>33</v>
      </c>
      <c r="BL245" s="24" t="s">
        <v>272</v>
      </c>
      <c r="BM245" s="24">
        <v>57809</v>
      </c>
      <c r="BN245" s="24">
        <v>57573</v>
      </c>
      <c r="BO245" s="24">
        <v>205266</v>
      </c>
      <c r="BR245" s="24">
        <v>2021</v>
      </c>
      <c r="BS245" s="24">
        <v>12</v>
      </c>
      <c r="BT245" s="24">
        <v>12382</v>
      </c>
      <c r="BU245" s="24">
        <v>0</v>
      </c>
      <c r="BV245" s="24" t="s">
        <v>32</v>
      </c>
      <c r="BY245" s="24">
        <v>2021</v>
      </c>
      <c r="BZ245" s="24">
        <v>15</v>
      </c>
      <c r="CA245" s="24" t="s">
        <v>32</v>
      </c>
      <c r="CB245" s="24" t="s">
        <v>423</v>
      </c>
      <c r="CC245" s="24">
        <v>61</v>
      </c>
      <c r="CF245" s="24">
        <v>2021</v>
      </c>
      <c r="CG245" s="24">
        <v>12</v>
      </c>
      <c r="CH245" s="24" t="s">
        <v>33</v>
      </c>
      <c r="CI245" s="24">
        <v>126.36180904522612</v>
      </c>
      <c r="CJ245" s="24">
        <v>226314</v>
      </c>
      <c r="CK245" s="24">
        <v>1791</v>
      </c>
      <c r="CL245" s="24">
        <v>98.777339548225171</v>
      </c>
      <c r="CM245" s="24">
        <v>109466</v>
      </c>
      <c r="CN245" s="24">
        <v>220392</v>
      </c>
      <c r="CO245" s="24">
        <v>2231.1999999999998</v>
      </c>
      <c r="CP245" s="24">
        <v>56471</v>
      </c>
      <c r="CQ245" s="24">
        <v>292.10000000000002</v>
      </c>
      <c r="CR245" s="24">
        <v>1315.4</v>
      </c>
      <c r="CS245" s="24">
        <v>157418</v>
      </c>
      <c r="CT245" s="24">
        <v>162172</v>
      </c>
      <c r="CU245" s="24">
        <v>1471.4</v>
      </c>
      <c r="CV245" s="24">
        <v>53389</v>
      </c>
      <c r="CW245" s="24">
        <v>0</v>
      </c>
      <c r="CX245" s="24">
        <v>154897</v>
      </c>
      <c r="CY245" s="24">
        <v>534.70000000000005</v>
      </c>
      <c r="CZ245" s="24">
        <v>46463</v>
      </c>
      <c r="DA245" s="24">
        <v>1315.4</v>
      </c>
      <c r="DD245" s="24">
        <v>2021</v>
      </c>
      <c r="DE245" s="24">
        <v>12</v>
      </c>
      <c r="DF245" s="24" t="s">
        <v>33</v>
      </c>
      <c r="DG245" s="24">
        <v>37522</v>
      </c>
      <c r="DH245" s="24">
        <v>29701</v>
      </c>
      <c r="DJ245" s="24">
        <v>2021</v>
      </c>
      <c r="DK245" s="24">
        <v>11</v>
      </c>
      <c r="DL245" s="24" t="s">
        <v>32</v>
      </c>
      <c r="DM245" s="24">
        <v>30</v>
      </c>
      <c r="DP245" s="24">
        <v>2019</v>
      </c>
      <c r="DQ245" s="24">
        <v>33</v>
      </c>
      <c r="DR245" s="24" t="s">
        <v>33</v>
      </c>
      <c r="DS245" s="24">
        <v>4992</v>
      </c>
      <c r="DT245" s="24">
        <v>1089</v>
      </c>
      <c r="DW245" s="24">
        <v>2021</v>
      </c>
      <c r="DX245" s="24">
        <v>45</v>
      </c>
      <c r="DY245" s="24" t="s">
        <v>32</v>
      </c>
      <c r="DZ245" s="24">
        <v>1</v>
      </c>
      <c r="EA245" s="24" t="s">
        <v>149</v>
      </c>
      <c r="EB245" s="24">
        <v>0</v>
      </c>
      <c r="EC245" s="24">
        <v>0</v>
      </c>
      <c r="ED245" s="24">
        <v>92</v>
      </c>
      <c r="EE245" s="24">
        <v>47</v>
      </c>
      <c r="EF245" s="24">
        <v>3.7</v>
      </c>
      <c r="EI245" s="24">
        <v>2023</v>
      </c>
      <c r="EJ245" s="24">
        <v>3</v>
      </c>
      <c r="EK245" s="24" t="s">
        <v>237</v>
      </c>
      <c r="EL245" s="24" t="s">
        <v>557</v>
      </c>
      <c r="EM245" s="24" t="s">
        <v>215</v>
      </c>
      <c r="EN245" s="24">
        <v>5</v>
      </c>
      <c r="EO245" s="24"/>
      <c r="EP245" s="24"/>
      <c r="EQ245" s="24"/>
      <c r="ER245" s="24"/>
      <c r="ES245" s="24">
        <v>2021</v>
      </c>
      <c r="ET245" s="24">
        <v>29</v>
      </c>
      <c r="EU245" s="24" t="s">
        <v>33</v>
      </c>
      <c r="EV245" s="24">
        <v>122897</v>
      </c>
      <c r="EY245" s="24">
        <v>2021</v>
      </c>
      <c r="EZ245" s="24">
        <v>16</v>
      </c>
      <c r="FA245" s="24" t="s">
        <v>32</v>
      </c>
      <c r="FB245" s="24">
        <v>574</v>
      </c>
      <c r="FE245" s="24">
        <v>2021</v>
      </c>
      <c r="FF245" s="24">
        <v>12</v>
      </c>
      <c r="FG245" s="24" t="s">
        <v>33</v>
      </c>
      <c r="FH245" s="24">
        <v>0.96240000000000003</v>
      </c>
      <c r="FI245" s="24">
        <v>11350</v>
      </c>
      <c r="FJ245" s="24">
        <v>5153</v>
      </c>
      <c r="FK245" s="24">
        <v>5386</v>
      </c>
      <c r="FN245" s="24">
        <v>2021</v>
      </c>
      <c r="FO245" s="24">
        <v>13</v>
      </c>
      <c r="FP245" s="24" t="s">
        <v>33</v>
      </c>
      <c r="FQ245" s="24">
        <v>813036</v>
      </c>
      <c r="FR245" s="24">
        <v>6662.3333333333294</v>
      </c>
      <c r="FS245" s="24">
        <v>423268</v>
      </c>
      <c r="FT245" s="24">
        <v>2295.8333333333298</v>
      </c>
      <c r="FW245" s="24">
        <v>2021</v>
      </c>
      <c r="FX245" s="24">
        <v>12</v>
      </c>
      <c r="FY245" s="24" t="s">
        <v>33</v>
      </c>
      <c r="FZ245" s="24">
        <v>8531</v>
      </c>
      <c r="GA245" s="24">
        <v>8245</v>
      </c>
      <c r="GB245" s="24"/>
      <c r="GC245" s="24"/>
      <c r="GD245" s="24">
        <v>2021</v>
      </c>
      <c r="GE245" s="24">
        <v>12</v>
      </c>
      <c r="GF245" s="24" t="s">
        <v>33</v>
      </c>
      <c r="GG245" s="24">
        <v>8547</v>
      </c>
      <c r="GH245" s="24">
        <v>8337</v>
      </c>
      <c r="GK245" s="24"/>
      <c r="GL245" s="24"/>
      <c r="GM245" s="24"/>
      <c r="GN245" s="24"/>
      <c r="GO245" s="24"/>
      <c r="GP245" s="24">
        <v>2021</v>
      </c>
      <c r="GQ245" s="24">
        <v>12</v>
      </c>
      <c r="GR245" s="24">
        <v>7.1895714285714298</v>
      </c>
      <c r="GS245" s="24" t="s">
        <v>33</v>
      </c>
      <c r="GX245">
        <v>2021</v>
      </c>
      <c r="GY245">
        <v>12</v>
      </c>
      <c r="GZ245" t="s">
        <v>33</v>
      </c>
      <c r="HA245">
        <v>223800</v>
      </c>
      <c r="HB245">
        <v>215584</v>
      </c>
      <c r="HC245">
        <v>273</v>
      </c>
      <c r="HD245">
        <v>214</v>
      </c>
      <c r="HE245">
        <v>0</v>
      </c>
      <c r="HF245">
        <v>4909</v>
      </c>
      <c r="HG245">
        <v>0</v>
      </c>
      <c r="HH245">
        <v>1</v>
      </c>
      <c r="HI245">
        <v>596</v>
      </c>
      <c r="HL245">
        <v>2021</v>
      </c>
      <c r="HM245">
        <v>12</v>
      </c>
      <c r="HN245" t="s">
        <v>33</v>
      </c>
      <c r="HO245">
        <v>226792</v>
      </c>
      <c r="HP245">
        <v>221594</v>
      </c>
      <c r="HQ245">
        <v>255</v>
      </c>
      <c r="HR245">
        <v>91</v>
      </c>
      <c r="HS245">
        <v>0</v>
      </c>
      <c r="HT245">
        <v>4794</v>
      </c>
      <c r="HU245">
        <v>0</v>
      </c>
      <c r="HV245">
        <v>2</v>
      </c>
      <c r="HW245">
        <v>266</v>
      </c>
      <c r="HZ245" s="24">
        <v>2021</v>
      </c>
      <c r="IA245" s="24">
        <v>12</v>
      </c>
      <c r="IB245" s="24" t="s">
        <v>33</v>
      </c>
      <c r="IC245" s="24">
        <v>8323</v>
      </c>
      <c r="ID245" s="24">
        <v>7981</v>
      </c>
      <c r="IG245" s="24">
        <v>2021</v>
      </c>
      <c r="IH245" s="24">
        <v>12</v>
      </c>
      <c r="II245" s="24" t="s">
        <v>33</v>
      </c>
      <c r="IJ245" s="24">
        <v>8075</v>
      </c>
      <c r="IK245" s="24">
        <v>7984</v>
      </c>
    </row>
    <row r="246" spans="9:245" x14ac:dyDescent="0.4">
      <c r="I246" s="305">
        <v>2021</v>
      </c>
      <c r="J246" s="306">
        <v>12</v>
      </c>
      <c r="K246" s="306" t="s">
        <v>33</v>
      </c>
      <c r="L246" s="306">
        <v>226976</v>
      </c>
      <c r="M246" s="306">
        <v>218808</v>
      </c>
      <c r="N246" s="306">
        <v>375</v>
      </c>
      <c r="O246" s="306">
        <v>1747</v>
      </c>
      <c r="P246" s="306">
        <v>183</v>
      </c>
      <c r="Q246" s="306">
        <v>477</v>
      </c>
      <c r="R246" s="24"/>
      <c r="S246" s="24"/>
      <c r="T246" s="24"/>
      <c r="W246" s="24">
        <v>2021</v>
      </c>
      <c r="X246" s="24">
        <v>11</v>
      </c>
      <c r="Y246" s="24" t="s">
        <v>32</v>
      </c>
      <c r="Z246" s="24">
        <v>11758</v>
      </c>
      <c r="AA246" s="24">
        <v>11412</v>
      </c>
      <c r="AB246" s="24">
        <v>46</v>
      </c>
      <c r="AC246" s="24">
        <v>3</v>
      </c>
      <c r="AI246" s="24"/>
      <c r="AJ246" s="24"/>
      <c r="AK246" s="24">
        <v>2021</v>
      </c>
      <c r="AL246" s="24">
        <v>11</v>
      </c>
      <c r="AM246" s="24">
        <v>741</v>
      </c>
      <c r="AN246" s="24">
        <v>59.63</v>
      </c>
      <c r="AO246" s="24">
        <v>0</v>
      </c>
      <c r="AP246" s="24">
        <v>17</v>
      </c>
      <c r="AQ246" s="24">
        <v>0</v>
      </c>
      <c r="AR246" s="24">
        <v>0</v>
      </c>
      <c r="AS246" s="24" t="s">
        <v>32</v>
      </c>
      <c r="AT246" s="24"/>
      <c r="AU246" s="24">
        <v>2021</v>
      </c>
      <c r="AV246" s="24">
        <v>11</v>
      </c>
      <c r="AW246" s="24">
        <v>0.05</v>
      </c>
      <c r="AX246" s="24">
        <v>600</v>
      </c>
      <c r="AY246" s="24">
        <v>12378</v>
      </c>
      <c r="AZ246" s="24" t="s">
        <v>32</v>
      </c>
      <c r="BA246" s="24"/>
      <c r="BB246" s="24"/>
      <c r="BC246" s="24">
        <v>2021</v>
      </c>
      <c r="BD246" s="24">
        <v>11</v>
      </c>
      <c r="BE246" s="24">
        <v>132.36057142857101</v>
      </c>
      <c r="BF246" s="24" t="s">
        <v>32</v>
      </c>
      <c r="BG246" s="24"/>
      <c r="BI246" s="24">
        <v>2022</v>
      </c>
      <c r="BJ246" s="24">
        <v>10</v>
      </c>
      <c r="BK246" s="24" t="s">
        <v>33</v>
      </c>
      <c r="BL246" s="24" t="s">
        <v>273</v>
      </c>
      <c r="BM246" s="24">
        <v>120360</v>
      </c>
      <c r="BN246" s="24">
        <v>119499</v>
      </c>
      <c r="BO246" s="24">
        <v>123884</v>
      </c>
      <c r="BR246" s="24">
        <v>2021</v>
      </c>
      <c r="BS246" s="24">
        <v>11</v>
      </c>
      <c r="BT246" s="24">
        <v>225886</v>
      </c>
      <c r="BU246" s="24">
        <v>2</v>
      </c>
      <c r="BV246" s="24" t="s">
        <v>33</v>
      </c>
      <c r="BY246" s="24">
        <v>2021</v>
      </c>
      <c r="BZ246" s="24">
        <v>15</v>
      </c>
      <c r="CA246" s="24" t="s">
        <v>33</v>
      </c>
      <c r="CB246" s="24" t="s">
        <v>108</v>
      </c>
      <c r="CC246" s="24">
        <v>1</v>
      </c>
      <c r="CF246" s="24">
        <v>2021</v>
      </c>
      <c r="CG246" s="24">
        <v>11</v>
      </c>
      <c r="CH246" s="24" t="s">
        <v>32</v>
      </c>
      <c r="CI246" s="24">
        <v>93.615455381784727</v>
      </c>
      <c r="CJ246" s="24">
        <v>10176</v>
      </c>
      <c r="CK246" s="24">
        <v>108.7</v>
      </c>
      <c r="CL246" s="24">
        <v>72.670157068062821</v>
      </c>
      <c r="CM246" s="24">
        <v>10135</v>
      </c>
      <c r="CN246" s="24">
        <v>18044</v>
      </c>
      <c r="CO246" s="24">
        <v>248.3</v>
      </c>
      <c r="CP246" s="24">
        <v>8947</v>
      </c>
      <c r="CQ246" s="24">
        <v>43.7</v>
      </c>
      <c r="CR246" s="24">
        <v>216.7</v>
      </c>
      <c r="CS246" s="24">
        <v>14124</v>
      </c>
      <c r="CT246" s="24">
        <v>14124</v>
      </c>
      <c r="CU246" s="24">
        <v>242.1</v>
      </c>
      <c r="CV246" s="24">
        <v>1505</v>
      </c>
      <c r="CW246" s="24">
        <v>0</v>
      </c>
      <c r="CX246" s="24">
        <v>9785</v>
      </c>
      <c r="CY246" s="24">
        <v>50.6</v>
      </c>
      <c r="CZ246" s="24">
        <v>7193</v>
      </c>
      <c r="DA246" s="24">
        <v>216.7</v>
      </c>
      <c r="DD246" s="24">
        <v>2021</v>
      </c>
      <c r="DE246" s="24">
        <v>11</v>
      </c>
      <c r="DF246" s="24" t="s">
        <v>32</v>
      </c>
      <c r="DG246" s="24">
        <v>983</v>
      </c>
      <c r="DH246" s="24">
        <v>1709</v>
      </c>
      <c r="DJ246" s="24">
        <v>2021</v>
      </c>
      <c r="DK246" s="24">
        <v>11</v>
      </c>
      <c r="DL246" s="24" t="s">
        <v>33</v>
      </c>
      <c r="DM246" s="24">
        <v>849</v>
      </c>
      <c r="DP246" s="308">
        <v>2019</v>
      </c>
      <c r="DQ246" s="308">
        <v>32</v>
      </c>
      <c r="DR246" s="308" t="s">
        <v>33</v>
      </c>
      <c r="DS246" s="308">
        <v>4078</v>
      </c>
      <c r="DT246" s="308">
        <v>1025</v>
      </c>
      <c r="DW246" s="24">
        <v>2021</v>
      </c>
      <c r="DX246" s="24">
        <v>45</v>
      </c>
      <c r="DY246" s="24" t="s">
        <v>33</v>
      </c>
      <c r="DZ246" s="24">
        <v>9</v>
      </c>
      <c r="EA246" s="24" t="s">
        <v>562</v>
      </c>
      <c r="EB246" s="24">
        <v>154.19999999999999</v>
      </c>
      <c r="EC246" s="24">
        <v>0</v>
      </c>
      <c r="ED246" s="24"/>
      <c r="EE246" s="24">
        <v>5908</v>
      </c>
      <c r="EF246" s="24">
        <v>38.1</v>
      </c>
      <c r="EI246" s="24">
        <v>2023</v>
      </c>
      <c r="EJ246" s="24">
        <v>3</v>
      </c>
      <c r="EK246" s="24" t="s">
        <v>237</v>
      </c>
      <c r="EL246" s="24" t="s">
        <v>240</v>
      </c>
      <c r="EM246" s="24" t="s">
        <v>210</v>
      </c>
      <c r="EN246" s="24">
        <v>1510</v>
      </c>
      <c r="EO246" s="24"/>
      <c r="EP246" s="24"/>
      <c r="EQ246" s="24"/>
      <c r="ER246" s="24"/>
      <c r="ES246" s="24">
        <v>2021</v>
      </c>
      <c r="ET246" s="24">
        <v>29</v>
      </c>
      <c r="EU246" s="24" t="s">
        <v>213</v>
      </c>
      <c r="EV246" s="24">
        <v>3</v>
      </c>
      <c r="EY246" s="24">
        <v>2021</v>
      </c>
      <c r="EZ246" s="24">
        <v>16</v>
      </c>
      <c r="FA246" s="24" t="s">
        <v>33</v>
      </c>
      <c r="FB246" s="24">
        <v>998</v>
      </c>
      <c r="FE246" s="24">
        <v>2021</v>
      </c>
      <c r="FF246" s="24">
        <v>11</v>
      </c>
      <c r="FG246" s="24" t="s">
        <v>32</v>
      </c>
      <c r="FH246" s="24">
        <v>0.88760000000000006</v>
      </c>
      <c r="FI246" s="24">
        <v>329</v>
      </c>
      <c r="FJ246" s="24">
        <v>151</v>
      </c>
      <c r="FK246" s="24">
        <v>171</v>
      </c>
      <c r="FN246" s="24">
        <v>2021</v>
      </c>
      <c r="FO246" s="24">
        <v>12</v>
      </c>
      <c r="FP246" s="24" t="s">
        <v>32</v>
      </c>
      <c r="FQ246" s="24">
        <v>29139</v>
      </c>
      <c r="FR246" s="24">
        <v>503.40000000000003</v>
      </c>
      <c r="FS246" s="24">
        <v>29356</v>
      </c>
      <c r="FT246" s="24">
        <v>254.65</v>
      </c>
      <c r="FW246" s="24">
        <v>2021</v>
      </c>
      <c r="FX246" s="24">
        <v>11</v>
      </c>
      <c r="FY246" s="24" t="s">
        <v>32</v>
      </c>
      <c r="FZ246" s="24">
        <v>1582</v>
      </c>
      <c r="GA246" s="24">
        <v>1368</v>
      </c>
      <c r="GB246" s="24"/>
      <c r="GC246" s="24"/>
      <c r="GD246" s="24">
        <v>2021</v>
      </c>
      <c r="GE246" s="24">
        <v>11</v>
      </c>
      <c r="GF246" s="24" t="s">
        <v>32</v>
      </c>
      <c r="GG246" s="24">
        <v>1604</v>
      </c>
      <c r="GH246" s="24">
        <v>1395</v>
      </c>
      <c r="GK246" s="24"/>
      <c r="GL246" s="24"/>
      <c r="GM246" s="24"/>
      <c r="GN246" s="24"/>
      <c r="GO246" s="24"/>
      <c r="GP246" s="24">
        <v>2021</v>
      </c>
      <c r="GQ246" s="24">
        <v>11</v>
      </c>
      <c r="GR246" s="24">
        <v>0.29899999999999999</v>
      </c>
      <c r="GS246" s="24" t="s">
        <v>32</v>
      </c>
      <c r="GX246">
        <v>2021</v>
      </c>
      <c r="GY246">
        <v>11</v>
      </c>
      <c r="GZ246" t="s">
        <v>32</v>
      </c>
      <c r="HA246">
        <v>12060</v>
      </c>
      <c r="HB246">
        <v>11776</v>
      </c>
      <c r="HC246">
        <v>0</v>
      </c>
      <c r="HD246">
        <v>8</v>
      </c>
      <c r="HE246">
        <v>0</v>
      </c>
      <c r="HF246">
        <v>63</v>
      </c>
      <c r="HG246">
        <v>0</v>
      </c>
      <c r="HH246">
        <v>0</v>
      </c>
      <c r="HI246">
        <v>66</v>
      </c>
      <c r="HL246">
        <v>2021</v>
      </c>
      <c r="HM246">
        <v>11</v>
      </c>
      <c r="HN246" t="s">
        <v>32</v>
      </c>
      <c r="HO246">
        <v>11737</v>
      </c>
      <c r="HP246">
        <v>11608</v>
      </c>
      <c r="HQ246">
        <v>0</v>
      </c>
      <c r="HR246">
        <v>8</v>
      </c>
      <c r="HS246">
        <v>0</v>
      </c>
      <c r="HT246">
        <v>65</v>
      </c>
      <c r="HU246">
        <v>0</v>
      </c>
      <c r="HV246">
        <v>0</v>
      </c>
      <c r="HW246">
        <v>2</v>
      </c>
      <c r="HZ246" s="24">
        <v>2021</v>
      </c>
      <c r="IA246" s="24">
        <v>11</v>
      </c>
      <c r="IB246" s="24" t="s">
        <v>32</v>
      </c>
      <c r="IC246" s="24">
        <v>1641</v>
      </c>
      <c r="ID246" s="24">
        <v>1453</v>
      </c>
      <c r="IG246" s="24">
        <v>2021</v>
      </c>
      <c r="IH246" s="24">
        <v>11</v>
      </c>
      <c r="II246" s="24" t="s">
        <v>32</v>
      </c>
      <c r="IJ246" s="24">
        <v>1592</v>
      </c>
      <c r="IK246" s="24">
        <v>1511</v>
      </c>
    </row>
    <row r="247" spans="9:245" x14ac:dyDescent="0.4">
      <c r="I247" s="305">
        <v>2021</v>
      </c>
      <c r="J247" s="306">
        <v>11</v>
      </c>
      <c r="K247" s="306" t="s">
        <v>32</v>
      </c>
      <c r="L247" s="306">
        <v>11712</v>
      </c>
      <c r="M247" s="306">
        <v>11355</v>
      </c>
      <c r="N247" s="306">
        <v>43</v>
      </c>
      <c r="O247" s="306">
        <v>143</v>
      </c>
      <c r="P247" s="306">
        <v>64</v>
      </c>
      <c r="Q247" s="306">
        <v>3</v>
      </c>
      <c r="R247" s="24"/>
      <c r="S247" s="24"/>
      <c r="T247" s="24"/>
      <c r="W247" s="24">
        <v>2021</v>
      </c>
      <c r="X247" s="24">
        <v>11</v>
      </c>
      <c r="Y247" s="24" t="s">
        <v>33</v>
      </c>
      <c r="Z247" s="24">
        <v>224009</v>
      </c>
      <c r="AA247" s="24">
        <v>218082</v>
      </c>
      <c r="AB247" s="24">
        <v>53</v>
      </c>
      <c r="AC247" s="24">
        <v>65</v>
      </c>
      <c r="AI247" s="24"/>
      <c r="AJ247" s="24"/>
      <c r="AK247" s="24">
        <v>2021</v>
      </c>
      <c r="AL247" s="24">
        <v>11</v>
      </c>
      <c r="AM247" s="24">
        <v>12148.130000000001</v>
      </c>
      <c r="AN247" s="24">
        <v>1242.27</v>
      </c>
      <c r="AO247" s="24">
        <v>0</v>
      </c>
      <c r="AP247" s="24">
        <v>288</v>
      </c>
      <c r="AQ247" s="24">
        <v>0</v>
      </c>
      <c r="AR247" s="24">
        <v>3</v>
      </c>
      <c r="AS247" s="24" t="s">
        <v>33</v>
      </c>
      <c r="AT247" s="24"/>
      <c r="AU247" s="24">
        <v>2021</v>
      </c>
      <c r="AV247" s="24">
        <v>11</v>
      </c>
      <c r="AW247" s="24">
        <v>0.04</v>
      </c>
      <c r="AX247" s="24">
        <v>8400</v>
      </c>
      <c r="AY247" s="24">
        <v>226690</v>
      </c>
      <c r="AZ247" s="24" t="s">
        <v>33</v>
      </c>
      <c r="BA247" s="24"/>
      <c r="BB247" s="24"/>
      <c r="BC247" s="24">
        <v>2021</v>
      </c>
      <c r="BD247" s="24">
        <v>11</v>
      </c>
      <c r="BE247" s="24">
        <v>1667.6401428571398</v>
      </c>
      <c r="BF247" s="24" t="s">
        <v>33</v>
      </c>
      <c r="BG247" s="24"/>
      <c r="BI247" s="24">
        <v>2022</v>
      </c>
      <c r="BJ247" s="24">
        <v>10</v>
      </c>
      <c r="BK247" s="24" t="s">
        <v>33</v>
      </c>
      <c r="BL247" s="24" t="s">
        <v>272</v>
      </c>
      <c r="BM247" s="24">
        <v>56619</v>
      </c>
      <c r="BN247" s="24">
        <v>56339</v>
      </c>
      <c r="BO247" s="24">
        <v>201341</v>
      </c>
      <c r="BR247" s="24">
        <v>2021</v>
      </c>
      <c r="BS247" s="24">
        <v>11</v>
      </c>
      <c r="BT247" s="24">
        <v>12280</v>
      </c>
      <c r="BU247" s="24">
        <v>0</v>
      </c>
      <c r="BV247" s="24" t="s">
        <v>32</v>
      </c>
      <c r="BY247" s="24">
        <v>2021</v>
      </c>
      <c r="BZ247" s="24">
        <v>15</v>
      </c>
      <c r="CA247" s="24" t="s">
        <v>33</v>
      </c>
      <c r="CB247" s="24" t="s">
        <v>423</v>
      </c>
      <c r="CC247" s="24">
        <v>34</v>
      </c>
      <c r="CF247" s="24">
        <v>2021</v>
      </c>
      <c r="CG247" s="24">
        <v>11</v>
      </c>
      <c r="CH247" s="24" t="s">
        <v>33</v>
      </c>
      <c r="CI247" s="24">
        <v>137.50432953983176</v>
      </c>
      <c r="CJ247" s="24">
        <v>222317</v>
      </c>
      <c r="CK247" s="24">
        <v>1616.8</v>
      </c>
      <c r="CL247" s="24">
        <v>96.646562670052603</v>
      </c>
      <c r="CM247" s="24">
        <v>106771</v>
      </c>
      <c r="CN247" s="24">
        <v>213125</v>
      </c>
      <c r="CO247" s="24">
        <v>2205.1999999999998</v>
      </c>
      <c r="CP247" s="24">
        <v>48857</v>
      </c>
      <c r="CQ247" s="24">
        <v>225.4</v>
      </c>
      <c r="CR247" s="24">
        <v>1152.5</v>
      </c>
      <c r="CS247" s="24">
        <v>159027</v>
      </c>
      <c r="CT247" s="24">
        <v>159977</v>
      </c>
      <c r="CU247" s="24">
        <v>1443.4</v>
      </c>
      <c r="CV247" s="24">
        <v>46021</v>
      </c>
      <c r="CW247" s="24">
        <v>0</v>
      </c>
      <c r="CX247" s="24">
        <v>160276</v>
      </c>
      <c r="CY247" s="24">
        <v>554.5</v>
      </c>
      <c r="CZ247" s="24">
        <v>41398</v>
      </c>
      <c r="DA247" s="24">
        <v>1152.5</v>
      </c>
      <c r="DD247" s="24">
        <v>2021</v>
      </c>
      <c r="DE247" s="24">
        <v>11</v>
      </c>
      <c r="DF247" s="24" t="s">
        <v>33</v>
      </c>
      <c r="DG247" s="24">
        <v>37831</v>
      </c>
      <c r="DH247" s="24">
        <v>29955</v>
      </c>
      <c r="DJ247" s="24">
        <v>2021</v>
      </c>
      <c r="DK247" s="24">
        <v>10</v>
      </c>
      <c r="DL247" s="24" t="s">
        <v>32</v>
      </c>
      <c r="DM247" s="24">
        <v>18</v>
      </c>
      <c r="DP247" s="308">
        <v>2019</v>
      </c>
      <c r="DQ247" s="308">
        <v>31</v>
      </c>
      <c r="DR247" s="308" t="s">
        <v>33</v>
      </c>
      <c r="DS247" s="308">
        <v>4613</v>
      </c>
      <c r="DT247" s="308">
        <v>1072</v>
      </c>
      <c r="DW247" s="24">
        <v>2021</v>
      </c>
      <c r="DX247" s="24">
        <v>45</v>
      </c>
      <c r="DY247" s="24" t="s">
        <v>33</v>
      </c>
      <c r="DZ247" s="24">
        <v>42</v>
      </c>
      <c r="EA247" s="24" t="s">
        <v>149</v>
      </c>
      <c r="EB247" s="24">
        <v>135.30000000000001</v>
      </c>
      <c r="EC247" s="24">
        <v>1239.5999999999999</v>
      </c>
      <c r="ED247" s="24">
        <v>39372</v>
      </c>
      <c r="EE247" s="24">
        <v>42281</v>
      </c>
      <c r="EF247" s="24">
        <v>178.1</v>
      </c>
      <c r="EI247" s="24">
        <v>2023</v>
      </c>
      <c r="EJ247" s="24">
        <v>3</v>
      </c>
      <c r="EK247" s="24" t="s">
        <v>237</v>
      </c>
      <c r="EL247" s="24" t="s">
        <v>240</v>
      </c>
      <c r="EM247" s="24" t="s">
        <v>234</v>
      </c>
      <c r="EN247" s="24">
        <v>1</v>
      </c>
      <c r="EO247" s="24"/>
      <c r="EP247" s="24"/>
      <c r="EQ247" s="24"/>
      <c r="ER247" s="24"/>
      <c r="ES247" s="24">
        <v>2021</v>
      </c>
      <c r="ET247" s="24">
        <v>28</v>
      </c>
      <c r="EU247" s="24" t="s">
        <v>32</v>
      </c>
      <c r="EV247" s="24">
        <v>5358</v>
      </c>
      <c r="EY247" s="24">
        <v>2021</v>
      </c>
      <c r="EZ247" s="24">
        <v>15</v>
      </c>
      <c r="FA247" s="24" t="s">
        <v>32</v>
      </c>
      <c r="FB247" s="24">
        <v>746</v>
      </c>
      <c r="FE247" s="24">
        <v>2021</v>
      </c>
      <c r="FF247" s="24">
        <v>11</v>
      </c>
      <c r="FG247" s="24" t="s">
        <v>33</v>
      </c>
      <c r="FH247" s="24">
        <v>0.95440000000000003</v>
      </c>
      <c r="FI247" s="24">
        <v>11909</v>
      </c>
      <c r="FJ247" s="24">
        <v>5400</v>
      </c>
      <c r="FK247" s="24">
        <v>5697</v>
      </c>
      <c r="FN247" s="24">
        <v>2021</v>
      </c>
      <c r="FO247" s="24">
        <v>12</v>
      </c>
      <c r="FP247" s="24" t="s">
        <v>33</v>
      </c>
      <c r="FQ247" s="24">
        <v>841285</v>
      </c>
      <c r="FR247" s="24">
        <v>6668.6833333333298</v>
      </c>
      <c r="FS247" s="24">
        <v>402995</v>
      </c>
      <c r="FT247" s="24">
        <v>2384.5833333333298</v>
      </c>
      <c r="FW247" s="24">
        <v>2021</v>
      </c>
      <c r="FX247" s="24">
        <v>11</v>
      </c>
      <c r="FY247" s="24" t="s">
        <v>33</v>
      </c>
      <c r="FZ247" s="24">
        <v>8496</v>
      </c>
      <c r="GA247" s="24">
        <v>8288</v>
      </c>
      <c r="GB247" s="24"/>
      <c r="GC247" s="24"/>
      <c r="GD247" s="24">
        <v>2021</v>
      </c>
      <c r="GE247" s="24">
        <v>11</v>
      </c>
      <c r="GF247" s="24" t="s">
        <v>33</v>
      </c>
      <c r="GG247" s="24">
        <v>8489</v>
      </c>
      <c r="GH247" s="24">
        <v>8321</v>
      </c>
      <c r="GK247" s="24"/>
      <c r="GL247" s="24"/>
      <c r="GM247" s="24"/>
      <c r="GN247" s="24"/>
      <c r="GO247" s="24"/>
      <c r="GP247" s="24">
        <v>2021</v>
      </c>
      <c r="GQ247" s="24">
        <v>11</v>
      </c>
      <c r="GR247" s="24">
        <v>5.20628571428571</v>
      </c>
      <c r="GS247" s="24" t="s">
        <v>33</v>
      </c>
      <c r="GX247">
        <v>2021</v>
      </c>
      <c r="GY247">
        <v>11</v>
      </c>
      <c r="GZ247" t="s">
        <v>33</v>
      </c>
      <c r="HA247">
        <v>225333</v>
      </c>
      <c r="HB247">
        <v>219584</v>
      </c>
      <c r="HC247">
        <v>401</v>
      </c>
      <c r="HD247">
        <v>124</v>
      </c>
      <c r="HE247">
        <v>0</v>
      </c>
      <c r="HF247">
        <v>1931</v>
      </c>
      <c r="HG247">
        <v>0</v>
      </c>
      <c r="HH247">
        <v>1</v>
      </c>
      <c r="HI247">
        <v>826</v>
      </c>
      <c r="HL247">
        <v>2021</v>
      </c>
      <c r="HM247">
        <v>11</v>
      </c>
      <c r="HN247" t="s">
        <v>33</v>
      </c>
      <c r="HO247">
        <v>223690</v>
      </c>
      <c r="HP247">
        <v>221006</v>
      </c>
      <c r="HQ247">
        <v>397</v>
      </c>
      <c r="HR247">
        <v>70</v>
      </c>
      <c r="HS247">
        <v>0</v>
      </c>
      <c r="HT247">
        <v>1484</v>
      </c>
      <c r="HU247">
        <v>0</v>
      </c>
      <c r="HV247">
        <v>0</v>
      </c>
      <c r="HW247">
        <v>236</v>
      </c>
      <c r="HZ247" s="24">
        <v>2021</v>
      </c>
      <c r="IA247" s="24">
        <v>11</v>
      </c>
      <c r="IB247" s="24" t="s">
        <v>33</v>
      </c>
      <c r="IC247" s="24">
        <v>8788</v>
      </c>
      <c r="ID247" s="24">
        <v>8459</v>
      </c>
      <c r="IG247" s="24">
        <v>2021</v>
      </c>
      <c r="IH247" s="24">
        <v>11</v>
      </c>
      <c r="II247" s="24" t="s">
        <v>33</v>
      </c>
      <c r="IJ247" s="24">
        <v>8091</v>
      </c>
      <c r="IK247" s="24">
        <v>8060</v>
      </c>
    </row>
    <row r="248" spans="9:245" x14ac:dyDescent="0.4">
      <c r="I248" s="305">
        <v>2021</v>
      </c>
      <c r="J248" s="306">
        <v>11</v>
      </c>
      <c r="K248" s="306" t="s">
        <v>33</v>
      </c>
      <c r="L248" s="306">
        <v>223419</v>
      </c>
      <c r="M248" s="306">
        <v>216510</v>
      </c>
      <c r="N248" s="306">
        <v>451</v>
      </c>
      <c r="O248" s="306">
        <v>1894</v>
      </c>
      <c r="P248" s="306">
        <v>86</v>
      </c>
      <c r="Q248" s="306">
        <v>84</v>
      </c>
      <c r="R248" s="24"/>
      <c r="S248" s="24"/>
      <c r="T248" s="24"/>
      <c r="W248" s="24">
        <v>2021</v>
      </c>
      <c r="X248" s="24">
        <v>10</v>
      </c>
      <c r="Y248" s="24" t="s">
        <v>32</v>
      </c>
      <c r="Z248" s="24">
        <v>11445</v>
      </c>
      <c r="AA248" s="24">
        <v>11176</v>
      </c>
      <c r="AB248" s="24">
        <v>26</v>
      </c>
      <c r="AC248" s="24">
        <v>14</v>
      </c>
      <c r="AI248" s="24"/>
      <c r="AJ248" s="24"/>
      <c r="AK248" s="24">
        <v>2021</v>
      </c>
      <c r="AL248" s="24">
        <v>10</v>
      </c>
      <c r="AM248" s="24">
        <v>809.97</v>
      </c>
      <c r="AN248" s="24">
        <v>79.820000000000007</v>
      </c>
      <c r="AO248" s="24">
        <v>0</v>
      </c>
      <c r="AP248" s="24">
        <v>17</v>
      </c>
      <c r="AQ248" s="24">
        <v>0</v>
      </c>
      <c r="AR248" s="24">
        <v>0</v>
      </c>
      <c r="AS248" s="24" t="s">
        <v>32</v>
      </c>
      <c r="AT248" s="24"/>
      <c r="AU248" s="24">
        <v>2021</v>
      </c>
      <c r="AV248" s="24">
        <v>10</v>
      </c>
      <c r="AW248" s="24">
        <v>0.1</v>
      </c>
      <c r="AX248" s="24">
        <v>1100</v>
      </c>
      <c r="AY248" s="24">
        <v>11349</v>
      </c>
      <c r="AZ248" s="24" t="s">
        <v>32</v>
      </c>
      <c r="BA248" s="24"/>
      <c r="BB248" s="24"/>
      <c r="BC248" s="24">
        <v>2021</v>
      </c>
      <c r="BD248" s="24">
        <v>10</v>
      </c>
      <c r="BE248" s="24">
        <v>131.659285714286</v>
      </c>
      <c r="BF248" s="24" t="s">
        <v>32</v>
      </c>
      <c r="BG248" s="24"/>
      <c r="BI248" s="24">
        <v>2022</v>
      </c>
      <c r="BJ248" s="24">
        <v>10</v>
      </c>
      <c r="BK248" s="24" t="s">
        <v>32</v>
      </c>
      <c r="BL248" s="24" t="s">
        <v>273</v>
      </c>
      <c r="BM248" s="24">
        <v>8237</v>
      </c>
      <c r="BN248" s="24">
        <v>8173</v>
      </c>
      <c r="BO248" s="24">
        <v>8574</v>
      </c>
      <c r="BR248" s="24">
        <v>2021</v>
      </c>
      <c r="BS248" s="24">
        <v>10</v>
      </c>
      <c r="BT248" s="24">
        <v>11240</v>
      </c>
      <c r="BU248" s="24">
        <v>0</v>
      </c>
      <c r="BV248" s="24" t="s">
        <v>32</v>
      </c>
      <c r="BY248" s="24">
        <v>2021</v>
      </c>
      <c r="BZ248" s="24">
        <v>14</v>
      </c>
      <c r="CA248" s="24" t="s">
        <v>32</v>
      </c>
      <c r="CB248" s="24" t="s">
        <v>108</v>
      </c>
      <c r="CC248" s="24">
        <v>6</v>
      </c>
      <c r="CF248" s="24">
        <v>2021</v>
      </c>
      <c r="CG248" s="24">
        <v>10</v>
      </c>
      <c r="CH248" s="24" t="s">
        <v>32</v>
      </c>
      <c r="CI248" s="24">
        <v>109.20915032679738</v>
      </c>
      <c r="CJ248" s="24">
        <v>16709</v>
      </c>
      <c r="CK248" s="24">
        <v>153</v>
      </c>
      <c r="CL248" s="24">
        <v>66.117171717171715</v>
      </c>
      <c r="CM248" s="24">
        <v>9018</v>
      </c>
      <c r="CN248" s="24">
        <v>16364</v>
      </c>
      <c r="CO248" s="24">
        <v>247.5</v>
      </c>
      <c r="CP248" s="24">
        <v>11736</v>
      </c>
      <c r="CQ248" s="24">
        <v>43.4</v>
      </c>
      <c r="CR248" s="24">
        <v>280.8</v>
      </c>
      <c r="CS248" s="24">
        <v>14796</v>
      </c>
      <c r="CT248" s="24">
        <v>15216</v>
      </c>
      <c r="CU248" s="24">
        <v>231.1</v>
      </c>
      <c r="CV248" s="24">
        <v>1512</v>
      </c>
      <c r="CW248" s="24">
        <v>0</v>
      </c>
      <c r="CX248" s="24">
        <v>10660</v>
      </c>
      <c r="CY248" s="24">
        <v>46.3</v>
      </c>
      <c r="CZ248" s="24">
        <v>10229</v>
      </c>
      <c r="DA248" s="24">
        <v>280.8</v>
      </c>
      <c r="DD248" s="24">
        <v>2021</v>
      </c>
      <c r="DE248" s="24">
        <v>10</v>
      </c>
      <c r="DF248" s="24" t="s">
        <v>32</v>
      </c>
      <c r="DG248" s="24">
        <v>1958</v>
      </c>
      <c r="DH248" s="24">
        <v>2434</v>
      </c>
      <c r="DJ248" s="24">
        <v>2021</v>
      </c>
      <c r="DK248" s="24">
        <v>10</v>
      </c>
      <c r="DL248" s="24" t="s">
        <v>33</v>
      </c>
      <c r="DM248" s="24">
        <v>719</v>
      </c>
      <c r="DP248" s="308">
        <v>2019</v>
      </c>
      <c r="DQ248" s="308">
        <v>30</v>
      </c>
      <c r="DR248" s="308" t="s">
        <v>33</v>
      </c>
      <c r="DS248" s="308">
        <v>5460</v>
      </c>
      <c r="DT248" s="308">
        <v>1114</v>
      </c>
      <c r="DW248" s="24">
        <v>2021</v>
      </c>
      <c r="DX248" s="24">
        <v>44</v>
      </c>
      <c r="DY248" s="24" t="s">
        <v>32</v>
      </c>
      <c r="DZ248" s="24">
        <v>1</v>
      </c>
      <c r="EA248" s="24" t="s">
        <v>149</v>
      </c>
      <c r="EB248" s="24">
        <v>0</v>
      </c>
      <c r="EC248" s="24">
        <v>0</v>
      </c>
      <c r="ED248" s="24">
        <v>262</v>
      </c>
      <c r="EE248" s="24">
        <v>86</v>
      </c>
      <c r="EF248" s="24">
        <v>4.7</v>
      </c>
      <c r="EI248" s="24">
        <v>2023</v>
      </c>
      <c r="EJ248" s="24">
        <v>3</v>
      </c>
      <c r="EK248" s="24" t="s">
        <v>237</v>
      </c>
      <c r="EL248" s="24" t="s">
        <v>233</v>
      </c>
      <c r="EM248" s="24" t="s">
        <v>210</v>
      </c>
      <c r="EN248" s="24">
        <v>3</v>
      </c>
      <c r="EO248" s="24"/>
      <c r="EP248" s="24"/>
      <c r="EQ248" s="24"/>
      <c r="ER248" s="24"/>
      <c r="ES248" s="24">
        <v>2021</v>
      </c>
      <c r="ET248" s="24">
        <v>28</v>
      </c>
      <c r="EU248" s="24" t="s">
        <v>33</v>
      </c>
      <c r="EV248" s="24">
        <v>119568</v>
      </c>
      <c r="EY248" s="24">
        <v>2021</v>
      </c>
      <c r="EZ248" s="24">
        <v>15</v>
      </c>
      <c r="FA248" s="24" t="s">
        <v>33</v>
      </c>
      <c r="FB248" s="24">
        <v>1079</v>
      </c>
      <c r="FE248" s="24">
        <v>2021</v>
      </c>
      <c r="FF248" s="24">
        <v>10</v>
      </c>
      <c r="FG248" s="24" t="s">
        <v>32</v>
      </c>
      <c r="FH248" s="24">
        <v>0.93710000000000004</v>
      </c>
      <c r="FI248" s="24">
        <v>293</v>
      </c>
      <c r="FJ248" s="24">
        <v>134</v>
      </c>
      <c r="FK248" s="24">
        <v>144</v>
      </c>
      <c r="FN248" s="24">
        <v>2021</v>
      </c>
      <c r="FO248" s="24">
        <v>11</v>
      </c>
      <c r="FP248" s="24" t="s">
        <v>32</v>
      </c>
      <c r="FQ248" s="24">
        <v>27152</v>
      </c>
      <c r="FR248" s="24">
        <v>513.9</v>
      </c>
      <c r="FS248" s="24">
        <v>24882</v>
      </c>
      <c r="FT248" s="24">
        <v>259.86666666666702</v>
      </c>
      <c r="FW248" s="24">
        <v>2021</v>
      </c>
      <c r="FX248" s="24">
        <v>10</v>
      </c>
      <c r="FY248" s="24" t="s">
        <v>32</v>
      </c>
      <c r="FZ248" s="24">
        <v>1216</v>
      </c>
      <c r="GA248" s="24">
        <v>1120</v>
      </c>
      <c r="GB248" s="24"/>
      <c r="GC248" s="24"/>
      <c r="GD248" s="24">
        <v>2021</v>
      </c>
      <c r="GE248" s="24">
        <v>10</v>
      </c>
      <c r="GF248" s="24" t="s">
        <v>32</v>
      </c>
      <c r="GG248" s="24">
        <v>1229</v>
      </c>
      <c r="GH248" s="24">
        <v>1140</v>
      </c>
      <c r="GK248" s="24"/>
      <c r="GL248" s="24"/>
      <c r="GM248" s="24"/>
      <c r="GN248" s="24"/>
      <c r="GO248" s="24"/>
      <c r="GP248" s="24">
        <v>2021</v>
      </c>
      <c r="GQ248" s="24">
        <v>10</v>
      </c>
      <c r="GR248" s="24">
        <v>0.29899999999999999</v>
      </c>
      <c r="GS248" s="24" t="s">
        <v>32</v>
      </c>
      <c r="GX248">
        <v>2021</v>
      </c>
      <c r="GY248">
        <v>10</v>
      </c>
      <c r="GZ248" t="s">
        <v>32</v>
      </c>
      <c r="HA248">
        <v>11099</v>
      </c>
      <c r="HB248">
        <v>10743</v>
      </c>
      <c r="HC248">
        <v>0</v>
      </c>
      <c r="HD248">
        <v>3</v>
      </c>
      <c r="HE248">
        <v>0</v>
      </c>
      <c r="HF248">
        <v>67</v>
      </c>
      <c r="HG248">
        <v>0</v>
      </c>
      <c r="HH248">
        <v>0</v>
      </c>
      <c r="HI248">
        <v>82</v>
      </c>
      <c r="HL248">
        <v>2021</v>
      </c>
      <c r="HM248">
        <v>10</v>
      </c>
      <c r="HN248" t="s">
        <v>32</v>
      </c>
      <c r="HO248">
        <v>11428</v>
      </c>
      <c r="HP248">
        <v>11344</v>
      </c>
      <c r="HQ248">
        <v>0</v>
      </c>
      <c r="HR248">
        <v>2</v>
      </c>
      <c r="HS248">
        <v>0</v>
      </c>
      <c r="HT248">
        <v>61</v>
      </c>
      <c r="HU248">
        <v>0</v>
      </c>
      <c r="HV248">
        <v>0</v>
      </c>
      <c r="HW248">
        <v>25</v>
      </c>
      <c r="HZ248" s="24">
        <v>2021</v>
      </c>
      <c r="IA248" s="24">
        <v>10</v>
      </c>
      <c r="IB248" s="24" t="s">
        <v>32</v>
      </c>
      <c r="IC248" s="24">
        <v>1183</v>
      </c>
      <c r="ID248" s="24">
        <v>1089</v>
      </c>
      <c r="IG248" s="24">
        <v>2021</v>
      </c>
      <c r="IH248" s="24">
        <v>10</v>
      </c>
      <c r="II248" s="24" t="s">
        <v>32</v>
      </c>
      <c r="IJ248" s="24">
        <v>1204</v>
      </c>
      <c r="IK248" s="24">
        <v>1179</v>
      </c>
    </row>
    <row r="249" spans="9:245" x14ac:dyDescent="0.4">
      <c r="I249" s="305">
        <v>2021</v>
      </c>
      <c r="J249" s="306">
        <v>10</v>
      </c>
      <c r="K249" s="306" t="s">
        <v>32</v>
      </c>
      <c r="L249" s="306">
        <v>11484</v>
      </c>
      <c r="M249" s="306">
        <v>11052</v>
      </c>
      <c r="N249" s="306">
        <v>29</v>
      </c>
      <c r="O249" s="306">
        <v>130</v>
      </c>
      <c r="P249" s="306">
        <v>41</v>
      </c>
      <c r="Q249" s="306">
        <v>18</v>
      </c>
      <c r="R249" s="24"/>
      <c r="S249" s="24"/>
      <c r="T249" s="24"/>
      <c r="W249" s="24">
        <v>2021</v>
      </c>
      <c r="X249" s="24">
        <v>10</v>
      </c>
      <c r="Y249" s="24" t="s">
        <v>33</v>
      </c>
      <c r="Z249" s="24">
        <v>201148</v>
      </c>
      <c r="AA249" s="24">
        <v>197290</v>
      </c>
      <c r="AB249" s="24">
        <v>51</v>
      </c>
      <c r="AC249" s="24">
        <v>87</v>
      </c>
      <c r="AI249" s="24"/>
      <c r="AJ249" s="24"/>
      <c r="AK249" s="24">
        <v>2021</v>
      </c>
      <c r="AL249" s="24">
        <v>10</v>
      </c>
      <c r="AM249" s="24">
        <v>12889.1</v>
      </c>
      <c r="AN249" s="24">
        <v>1171.1300000000001</v>
      </c>
      <c r="AO249" s="24">
        <v>0</v>
      </c>
      <c r="AP249" s="24">
        <v>289</v>
      </c>
      <c r="AQ249" s="24">
        <v>0</v>
      </c>
      <c r="AR249" s="24">
        <v>2</v>
      </c>
      <c r="AS249" s="24" t="s">
        <v>33</v>
      </c>
      <c r="AT249" s="24"/>
      <c r="AU249" s="24">
        <v>2021</v>
      </c>
      <c r="AV249" s="24">
        <v>10</v>
      </c>
      <c r="AW249" s="24">
        <v>0.03</v>
      </c>
      <c r="AX249" s="24">
        <v>6200</v>
      </c>
      <c r="AY249" s="24">
        <v>210442</v>
      </c>
      <c r="AZ249" s="24" t="s">
        <v>33</v>
      </c>
      <c r="BA249" s="24"/>
      <c r="BB249" s="24"/>
      <c r="BC249" s="24">
        <v>2021</v>
      </c>
      <c r="BD249" s="24">
        <v>10</v>
      </c>
      <c r="BE249" s="24">
        <v>1639.49385714286</v>
      </c>
      <c r="BF249" s="24" t="s">
        <v>33</v>
      </c>
      <c r="BG249" s="24"/>
      <c r="BI249" s="24">
        <v>2022</v>
      </c>
      <c r="BJ249" s="24">
        <v>10</v>
      </c>
      <c r="BK249" s="24" t="s">
        <v>32</v>
      </c>
      <c r="BL249" s="24" t="s">
        <v>272</v>
      </c>
      <c r="BM249" s="24">
        <v>3744</v>
      </c>
      <c r="BN249" s="24">
        <v>3739</v>
      </c>
      <c r="BO249" s="24">
        <v>13470</v>
      </c>
      <c r="BR249" s="24">
        <v>2021</v>
      </c>
      <c r="BS249" s="24">
        <v>10</v>
      </c>
      <c r="BT249" s="24">
        <v>209731</v>
      </c>
      <c r="BU249" s="24">
        <v>0</v>
      </c>
      <c r="BV249" s="24" t="s">
        <v>33</v>
      </c>
      <c r="BY249" s="24">
        <v>2021</v>
      </c>
      <c r="BZ249" s="24">
        <v>14</v>
      </c>
      <c r="CA249" s="24" t="s">
        <v>32</v>
      </c>
      <c r="CB249" s="24" t="s">
        <v>423</v>
      </c>
      <c r="CC249" s="24">
        <v>70</v>
      </c>
      <c r="CF249" s="24">
        <v>2021</v>
      </c>
      <c r="CG249" s="24">
        <v>10</v>
      </c>
      <c r="CH249" s="24" t="s">
        <v>33</v>
      </c>
      <c r="CI249" s="24">
        <v>147.85094471658502</v>
      </c>
      <c r="CJ249" s="24">
        <v>211279</v>
      </c>
      <c r="CK249" s="24">
        <v>1429</v>
      </c>
      <c r="CL249" s="24">
        <v>100.45805529075309</v>
      </c>
      <c r="CM249" s="24">
        <v>103886</v>
      </c>
      <c r="CN249" s="24">
        <v>210761</v>
      </c>
      <c r="CO249" s="24">
        <v>2098</v>
      </c>
      <c r="CP249" s="24">
        <v>55949</v>
      </c>
      <c r="CQ249" s="24">
        <v>249.8</v>
      </c>
      <c r="CR249" s="24">
        <v>1309.0999999999999</v>
      </c>
      <c r="CS249" s="24">
        <v>135294</v>
      </c>
      <c r="CT249" s="24">
        <v>140710</v>
      </c>
      <c r="CU249" s="24">
        <v>1211.7</v>
      </c>
      <c r="CV249" s="24">
        <v>63588</v>
      </c>
      <c r="CW249" s="24">
        <v>0</v>
      </c>
      <c r="CX249" s="24">
        <v>138600</v>
      </c>
      <c r="CY249" s="24">
        <v>554.1</v>
      </c>
      <c r="CZ249" s="24">
        <v>48513</v>
      </c>
      <c r="DA249" s="24">
        <v>1309.0999999999999</v>
      </c>
      <c r="DD249" s="24">
        <v>2021</v>
      </c>
      <c r="DE249" s="24">
        <v>10</v>
      </c>
      <c r="DF249" s="24" t="s">
        <v>33</v>
      </c>
      <c r="DG249" s="24">
        <v>31026</v>
      </c>
      <c r="DH249" s="24">
        <v>27400</v>
      </c>
      <c r="DJ249" s="24">
        <v>2021</v>
      </c>
      <c r="DK249" s="24">
        <v>9</v>
      </c>
      <c r="DL249" s="24" t="s">
        <v>32</v>
      </c>
      <c r="DM249" s="24">
        <v>13</v>
      </c>
      <c r="DP249" s="24">
        <v>2019</v>
      </c>
      <c r="DQ249" s="24">
        <v>29</v>
      </c>
      <c r="DR249" s="24" t="s">
        <v>33</v>
      </c>
      <c r="DS249" s="24">
        <v>4468</v>
      </c>
      <c r="DT249" s="24">
        <v>1218</v>
      </c>
      <c r="DW249" s="24">
        <v>2021</v>
      </c>
      <c r="DX249" s="24">
        <v>44</v>
      </c>
      <c r="DY249" s="24" t="s">
        <v>33</v>
      </c>
      <c r="DZ249" s="24">
        <v>9</v>
      </c>
      <c r="EA249" s="24" t="s">
        <v>562</v>
      </c>
      <c r="EB249" s="24">
        <v>158.19999999999999</v>
      </c>
      <c r="EC249" s="24">
        <v>0</v>
      </c>
      <c r="ED249" s="24">
        <v>5</v>
      </c>
      <c r="EE249" s="24">
        <v>5368</v>
      </c>
      <c r="EF249" s="24">
        <v>31.6</v>
      </c>
      <c r="EI249" s="24">
        <v>2023</v>
      </c>
      <c r="EJ249" s="24">
        <v>3</v>
      </c>
      <c r="EK249" s="24" t="s">
        <v>237</v>
      </c>
      <c r="EL249" s="24" t="s">
        <v>233</v>
      </c>
      <c r="EM249" s="24" t="s">
        <v>215</v>
      </c>
      <c r="EN249" s="24">
        <v>1</v>
      </c>
      <c r="EO249" s="24"/>
      <c r="EP249" s="24"/>
      <c r="EQ249" s="24"/>
      <c r="ER249" s="24"/>
      <c r="ES249" s="24">
        <v>2021</v>
      </c>
      <c r="ET249" s="24">
        <v>28</v>
      </c>
      <c r="EU249" s="24" t="s">
        <v>213</v>
      </c>
      <c r="EV249" s="24">
        <v>3</v>
      </c>
      <c r="EY249" s="24">
        <v>2021</v>
      </c>
      <c r="EZ249" s="24">
        <v>14</v>
      </c>
      <c r="FA249" s="24" t="s">
        <v>32</v>
      </c>
      <c r="FB249" s="24">
        <v>846</v>
      </c>
      <c r="FE249" s="24">
        <v>2021</v>
      </c>
      <c r="FF249" s="24">
        <v>10</v>
      </c>
      <c r="FG249" s="24" t="s">
        <v>33</v>
      </c>
      <c r="FH249" s="24">
        <v>1.0185999999999999</v>
      </c>
      <c r="FI249" s="24">
        <v>11353</v>
      </c>
      <c r="FJ249" s="24">
        <v>5166</v>
      </c>
      <c r="FK249" s="24">
        <v>5051</v>
      </c>
      <c r="FN249" s="24">
        <v>2021</v>
      </c>
      <c r="FO249" s="24">
        <v>11</v>
      </c>
      <c r="FP249" s="24" t="s">
        <v>33</v>
      </c>
      <c r="FQ249" s="24">
        <v>812035</v>
      </c>
      <c r="FR249" s="24">
        <v>6236.2666666666701</v>
      </c>
      <c r="FS249" s="24">
        <v>409838</v>
      </c>
      <c r="FT249" s="24">
        <v>2316.9333333333298</v>
      </c>
      <c r="FW249" s="24">
        <v>2021</v>
      </c>
      <c r="FX249" s="24">
        <v>10</v>
      </c>
      <c r="FY249" s="24" t="s">
        <v>33</v>
      </c>
      <c r="FZ249" s="24">
        <v>7536</v>
      </c>
      <c r="GA249" s="24">
        <v>7093</v>
      </c>
      <c r="GB249" s="24"/>
      <c r="GC249" s="24"/>
      <c r="GD249" s="24">
        <v>2021</v>
      </c>
      <c r="GE249" s="24">
        <v>10</v>
      </c>
      <c r="GF249" s="24" t="s">
        <v>33</v>
      </c>
      <c r="GG249" s="24">
        <v>7533</v>
      </c>
      <c r="GH249" s="24">
        <v>7459</v>
      </c>
      <c r="GK249" s="24"/>
      <c r="GL249" s="24"/>
      <c r="GM249" s="24"/>
      <c r="GN249" s="24"/>
      <c r="GO249" s="24"/>
      <c r="GP249" s="24">
        <v>2021</v>
      </c>
      <c r="GQ249" s="24">
        <v>10</v>
      </c>
      <c r="GR249" s="24">
        <v>3.29114285714286</v>
      </c>
      <c r="GS249" s="24" t="s">
        <v>33</v>
      </c>
      <c r="GX249">
        <v>2021</v>
      </c>
      <c r="GY249">
        <v>10</v>
      </c>
      <c r="GZ249" t="s">
        <v>33</v>
      </c>
      <c r="HA249">
        <v>205539</v>
      </c>
      <c r="HB249">
        <v>197185</v>
      </c>
      <c r="HC249">
        <v>221</v>
      </c>
      <c r="HD249">
        <v>228</v>
      </c>
      <c r="HE249">
        <v>0</v>
      </c>
      <c r="HF249">
        <v>1878</v>
      </c>
      <c r="HG249">
        <v>0</v>
      </c>
      <c r="HH249">
        <v>0</v>
      </c>
      <c r="HI249">
        <v>954</v>
      </c>
      <c r="HL249">
        <v>2021</v>
      </c>
      <c r="HM249">
        <v>10</v>
      </c>
      <c r="HN249" t="s">
        <v>33</v>
      </c>
      <c r="HO249">
        <v>200864</v>
      </c>
      <c r="HP249">
        <v>198895</v>
      </c>
      <c r="HQ249">
        <v>244</v>
      </c>
      <c r="HR249">
        <v>63</v>
      </c>
      <c r="HS249">
        <v>0</v>
      </c>
      <c r="HT249">
        <v>1701</v>
      </c>
      <c r="HU249">
        <v>0</v>
      </c>
      <c r="HV249">
        <v>0</v>
      </c>
      <c r="HW249">
        <v>145</v>
      </c>
      <c r="HZ249" s="24">
        <v>2021</v>
      </c>
      <c r="IA249" s="24">
        <v>10</v>
      </c>
      <c r="IB249" s="24" t="s">
        <v>33</v>
      </c>
      <c r="IC249" s="24">
        <v>7559</v>
      </c>
      <c r="ID249" s="24">
        <v>7050</v>
      </c>
      <c r="IG249" s="24">
        <v>2021</v>
      </c>
      <c r="IH249" s="24">
        <v>10</v>
      </c>
      <c r="II249" s="24" t="s">
        <v>33</v>
      </c>
      <c r="IJ249" s="24">
        <v>7189</v>
      </c>
      <c r="IK249" s="24">
        <v>7166</v>
      </c>
    </row>
    <row r="250" spans="9:245" x14ac:dyDescent="0.4">
      <c r="I250" s="305">
        <v>2021</v>
      </c>
      <c r="J250" s="306">
        <v>10</v>
      </c>
      <c r="K250" s="306" t="s">
        <v>33</v>
      </c>
      <c r="L250" s="306">
        <v>202218</v>
      </c>
      <c r="M250" s="306">
        <v>193043</v>
      </c>
      <c r="N250" s="306">
        <v>493</v>
      </c>
      <c r="O250" s="306">
        <v>2065</v>
      </c>
      <c r="P250" s="306">
        <v>187</v>
      </c>
      <c r="Q250" s="306">
        <v>92</v>
      </c>
      <c r="R250" s="24"/>
      <c r="S250" s="24"/>
      <c r="T250" s="24"/>
      <c r="W250" s="24">
        <v>2021</v>
      </c>
      <c r="X250" s="24">
        <v>9</v>
      </c>
      <c r="Y250" s="24" t="s">
        <v>32</v>
      </c>
      <c r="Z250" s="24">
        <v>12886</v>
      </c>
      <c r="AA250" s="24">
        <v>10537</v>
      </c>
      <c r="AB250" s="24">
        <v>21</v>
      </c>
      <c r="AC250" s="24">
        <v>38</v>
      </c>
      <c r="AI250" s="24"/>
      <c r="AJ250" s="24"/>
      <c r="AK250" s="24">
        <v>2021</v>
      </c>
      <c r="AL250" s="24">
        <v>9</v>
      </c>
      <c r="AM250" s="24">
        <v>428.92</v>
      </c>
      <c r="AN250" s="24">
        <v>49.85</v>
      </c>
      <c r="AO250" s="24">
        <v>0</v>
      </c>
      <c r="AP250" s="24">
        <v>17</v>
      </c>
      <c r="AQ250" s="24">
        <v>0</v>
      </c>
      <c r="AR250" s="24">
        <v>0</v>
      </c>
      <c r="AS250" s="24" t="s">
        <v>32</v>
      </c>
      <c r="AT250" s="24"/>
      <c r="AU250" s="24">
        <v>2021</v>
      </c>
      <c r="AV250" s="24">
        <v>9</v>
      </c>
      <c r="AW250" s="24">
        <v>0.14000000000000001</v>
      </c>
      <c r="AX250" s="24">
        <v>1900</v>
      </c>
      <c r="AY250" s="24">
        <v>13966</v>
      </c>
      <c r="AZ250" s="24" t="s">
        <v>32</v>
      </c>
      <c r="BA250" s="24"/>
      <c r="BB250" s="24"/>
      <c r="BC250" s="24">
        <v>2021</v>
      </c>
      <c r="BD250" s="24">
        <v>9</v>
      </c>
      <c r="BE250" s="24">
        <v>129.80257142857099</v>
      </c>
      <c r="BF250" s="24" t="s">
        <v>32</v>
      </c>
      <c r="BG250" s="24"/>
      <c r="BI250" s="24">
        <v>2022</v>
      </c>
      <c r="BJ250" s="24">
        <v>9</v>
      </c>
      <c r="BK250" s="24" t="s">
        <v>33</v>
      </c>
      <c r="BL250" s="24" t="s">
        <v>273</v>
      </c>
      <c r="BM250" s="24">
        <v>127536</v>
      </c>
      <c r="BN250" s="24">
        <v>126827</v>
      </c>
      <c r="BO250" s="24">
        <v>131769</v>
      </c>
      <c r="BR250" s="24">
        <v>2021</v>
      </c>
      <c r="BS250" s="24">
        <v>9</v>
      </c>
      <c r="BT250" s="24">
        <v>274713</v>
      </c>
      <c r="BU250" s="24">
        <v>0</v>
      </c>
      <c r="BV250" s="24" t="s">
        <v>33</v>
      </c>
      <c r="BY250" s="24">
        <v>2021</v>
      </c>
      <c r="BZ250" s="24">
        <v>14</v>
      </c>
      <c r="CA250" s="24" t="s">
        <v>33</v>
      </c>
      <c r="CB250" s="24" t="s">
        <v>423</v>
      </c>
      <c r="CC250" s="24">
        <v>53</v>
      </c>
      <c r="CF250" s="24">
        <v>2021</v>
      </c>
      <c r="CG250" s="24">
        <v>9</v>
      </c>
      <c r="CH250" s="24" t="s">
        <v>32</v>
      </c>
      <c r="CI250" s="24">
        <v>110.50163576881134</v>
      </c>
      <c r="CJ250" s="24">
        <v>10133</v>
      </c>
      <c r="CK250" s="24">
        <v>91.7</v>
      </c>
      <c r="CL250" s="24">
        <v>65.960451977401135</v>
      </c>
      <c r="CM250" s="24">
        <v>4748</v>
      </c>
      <c r="CN250" s="24">
        <v>9340</v>
      </c>
      <c r="CO250" s="24">
        <v>141.6</v>
      </c>
      <c r="CP250" s="24">
        <v>6042</v>
      </c>
      <c r="CQ250" s="24">
        <v>25.5</v>
      </c>
      <c r="CR250" s="24">
        <v>139.69999999999999</v>
      </c>
      <c r="CS250" s="24">
        <v>7163</v>
      </c>
      <c r="CT250" s="24">
        <v>7163</v>
      </c>
      <c r="CU250" s="24">
        <v>95.6</v>
      </c>
      <c r="CV250" s="24">
        <v>881</v>
      </c>
      <c r="CW250" s="24">
        <v>0</v>
      </c>
      <c r="CX250" s="24">
        <v>6079</v>
      </c>
      <c r="CY250" s="24">
        <v>29.1</v>
      </c>
      <c r="CZ250" s="24">
        <v>5046</v>
      </c>
      <c r="DA250" s="24">
        <v>139.69999999999999</v>
      </c>
      <c r="DD250" s="24">
        <v>2021</v>
      </c>
      <c r="DE250" s="24">
        <v>9</v>
      </c>
      <c r="DF250" s="24" t="s">
        <v>32</v>
      </c>
      <c r="DG250" s="24">
        <v>929</v>
      </c>
      <c r="DH250" s="24">
        <v>468</v>
      </c>
      <c r="DJ250" s="24">
        <v>2021</v>
      </c>
      <c r="DK250" s="24">
        <v>9</v>
      </c>
      <c r="DL250" s="24" t="s">
        <v>33</v>
      </c>
      <c r="DM250" s="24">
        <v>502</v>
      </c>
      <c r="DP250" s="24">
        <v>2019</v>
      </c>
      <c r="DQ250" s="24">
        <v>28</v>
      </c>
      <c r="DR250" s="24" t="s">
        <v>33</v>
      </c>
      <c r="DS250" s="24">
        <v>5360</v>
      </c>
      <c r="DT250" s="24">
        <v>1253</v>
      </c>
      <c r="DW250" s="24">
        <v>2021</v>
      </c>
      <c r="DX250" s="24">
        <v>44</v>
      </c>
      <c r="DY250" s="24" t="s">
        <v>33</v>
      </c>
      <c r="DZ250" s="24">
        <v>40</v>
      </c>
      <c r="EA250" s="24" t="s">
        <v>149</v>
      </c>
      <c r="EB250" s="24">
        <v>75.8</v>
      </c>
      <c r="EC250" s="24">
        <v>1168.5999999999999</v>
      </c>
      <c r="ED250" s="24">
        <v>36370</v>
      </c>
      <c r="EE250" s="24">
        <v>36598</v>
      </c>
      <c r="EF250" s="24">
        <v>161.69999999999999</v>
      </c>
      <c r="EI250" s="24">
        <v>2023</v>
      </c>
      <c r="EJ250" s="24">
        <v>3</v>
      </c>
      <c r="EK250" s="24" t="s">
        <v>237</v>
      </c>
      <c r="EL250" s="24" t="s">
        <v>554</v>
      </c>
      <c r="EM250" s="24" t="s">
        <v>210</v>
      </c>
      <c r="EN250" s="24">
        <v>7</v>
      </c>
      <c r="EO250" s="24"/>
      <c r="EP250" s="24"/>
      <c r="EQ250" s="24"/>
      <c r="ER250" s="24"/>
      <c r="ES250" s="24">
        <v>2021</v>
      </c>
      <c r="ET250" s="24">
        <v>27</v>
      </c>
      <c r="EU250" s="24" t="s">
        <v>32</v>
      </c>
      <c r="EV250" s="24">
        <v>4156</v>
      </c>
      <c r="EY250" s="24">
        <v>2021</v>
      </c>
      <c r="EZ250" s="24">
        <v>14</v>
      </c>
      <c r="FA250" s="24" t="s">
        <v>33</v>
      </c>
      <c r="FB250" s="24">
        <v>1134</v>
      </c>
      <c r="FE250" s="24">
        <v>2021</v>
      </c>
      <c r="FF250" s="24">
        <v>9</v>
      </c>
      <c r="FG250" s="24" t="s">
        <v>32</v>
      </c>
      <c r="FH250" s="24">
        <v>0.55000000000000004</v>
      </c>
      <c r="FI250" s="24">
        <v>113</v>
      </c>
      <c r="FJ250" s="24">
        <v>53</v>
      </c>
      <c r="FK250" s="24">
        <v>80</v>
      </c>
      <c r="FN250" s="24">
        <v>2021</v>
      </c>
      <c r="FO250" s="24">
        <v>10</v>
      </c>
      <c r="FP250" s="24" t="s">
        <v>32</v>
      </c>
      <c r="FQ250" s="24">
        <v>22418</v>
      </c>
      <c r="FR250" s="24">
        <v>488.63333333333298</v>
      </c>
      <c r="FS250" s="24">
        <v>28098</v>
      </c>
      <c r="FT250" s="24">
        <v>210.70000000000002</v>
      </c>
      <c r="FW250" s="24">
        <v>2021</v>
      </c>
      <c r="FX250" s="24">
        <v>9</v>
      </c>
      <c r="FY250" s="24" t="s">
        <v>32</v>
      </c>
      <c r="FZ250" s="24">
        <v>1350</v>
      </c>
      <c r="GA250" s="24">
        <v>1232</v>
      </c>
      <c r="GB250" s="24"/>
      <c r="GC250" s="24"/>
      <c r="GD250" s="24">
        <v>2021</v>
      </c>
      <c r="GE250" s="24">
        <v>9</v>
      </c>
      <c r="GF250" s="24" t="s">
        <v>32</v>
      </c>
      <c r="GG250" s="24">
        <v>1341</v>
      </c>
      <c r="GH250" s="24">
        <v>1211</v>
      </c>
      <c r="GK250" s="24"/>
      <c r="GL250" s="24"/>
      <c r="GM250" s="24"/>
      <c r="GN250" s="24"/>
      <c r="GO250" s="24"/>
      <c r="GP250" s="24">
        <v>2021</v>
      </c>
      <c r="GQ250" s="24">
        <v>9</v>
      </c>
      <c r="GR250" s="24">
        <v>0.29899999999999999</v>
      </c>
      <c r="GS250" s="24" t="s">
        <v>32</v>
      </c>
      <c r="GX250">
        <v>2021</v>
      </c>
      <c r="GY250">
        <v>9</v>
      </c>
      <c r="GZ250" t="s">
        <v>32</v>
      </c>
      <c r="HA250">
        <v>13162</v>
      </c>
      <c r="HB250">
        <v>11423</v>
      </c>
      <c r="HC250">
        <v>0</v>
      </c>
      <c r="HD250">
        <v>5</v>
      </c>
      <c r="HE250">
        <v>0</v>
      </c>
      <c r="HF250">
        <v>1353</v>
      </c>
      <c r="HG250">
        <v>0</v>
      </c>
      <c r="HH250">
        <v>0</v>
      </c>
      <c r="HI250">
        <v>63</v>
      </c>
      <c r="HL250">
        <v>2021</v>
      </c>
      <c r="HM250">
        <v>9</v>
      </c>
      <c r="HN250" t="s">
        <v>32</v>
      </c>
      <c r="HO250">
        <v>12799</v>
      </c>
      <c r="HP250">
        <v>11120</v>
      </c>
      <c r="HQ250">
        <v>0</v>
      </c>
      <c r="HR250">
        <v>50</v>
      </c>
      <c r="HS250">
        <v>0</v>
      </c>
      <c r="HT250">
        <v>1360</v>
      </c>
      <c r="HU250">
        <v>0</v>
      </c>
      <c r="HV250">
        <v>0</v>
      </c>
      <c r="HW250">
        <v>21</v>
      </c>
      <c r="HZ250" s="24">
        <v>2021</v>
      </c>
      <c r="IA250" s="24">
        <v>9</v>
      </c>
      <c r="IB250" s="24" t="s">
        <v>32</v>
      </c>
      <c r="IC250" s="24">
        <v>1396</v>
      </c>
      <c r="ID250" s="24">
        <v>1268</v>
      </c>
      <c r="IG250" s="24">
        <v>2021</v>
      </c>
      <c r="IH250" s="24">
        <v>9</v>
      </c>
      <c r="II250" s="24" t="s">
        <v>32</v>
      </c>
      <c r="IJ250" s="24">
        <v>1318</v>
      </c>
      <c r="IK250" s="24">
        <v>1206</v>
      </c>
    </row>
    <row r="251" spans="9:245" x14ac:dyDescent="0.4">
      <c r="I251" s="305">
        <v>2021</v>
      </c>
      <c r="J251" s="306">
        <v>9</v>
      </c>
      <c r="K251" s="306" t="s">
        <v>32</v>
      </c>
      <c r="L251" s="306">
        <v>12869</v>
      </c>
      <c r="M251" s="306">
        <v>10715</v>
      </c>
      <c r="N251" s="306">
        <v>31</v>
      </c>
      <c r="O251" s="306">
        <v>405</v>
      </c>
      <c r="P251" s="306">
        <v>16</v>
      </c>
      <c r="Q251" s="306">
        <v>32</v>
      </c>
      <c r="R251" s="24"/>
      <c r="S251" s="24"/>
      <c r="T251" s="24"/>
      <c r="W251" s="24">
        <v>2021</v>
      </c>
      <c r="X251" s="24">
        <v>9</v>
      </c>
      <c r="Y251" s="24" t="s">
        <v>33</v>
      </c>
      <c r="Z251" s="24">
        <v>273514</v>
      </c>
      <c r="AA251" s="24">
        <v>241423</v>
      </c>
      <c r="AB251" s="24">
        <v>253</v>
      </c>
      <c r="AC251" s="24">
        <v>189</v>
      </c>
      <c r="AI251" s="24"/>
      <c r="AJ251" s="24"/>
      <c r="AK251" s="24">
        <v>2021</v>
      </c>
      <c r="AL251" s="24">
        <v>9</v>
      </c>
      <c r="AM251" s="24">
        <v>7392.95</v>
      </c>
      <c r="AN251" s="24">
        <v>949</v>
      </c>
      <c r="AO251" s="24">
        <v>0</v>
      </c>
      <c r="AP251" s="24">
        <v>286</v>
      </c>
      <c r="AQ251" s="24">
        <v>0</v>
      </c>
      <c r="AR251" s="24">
        <v>1</v>
      </c>
      <c r="AS251" s="24" t="s">
        <v>33</v>
      </c>
      <c r="AT251" s="24"/>
      <c r="AU251" s="24">
        <v>2021</v>
      </c>
      <c r="AV251" s="24">
        <v>9</v>
      </c>
      <c r="AW251" s="24">
        <v>0.03</v>
      </c>
      <c r="AX251" s="24">
        <v>7900</v>
      </c>
      <c r="AY251" s="24">
        <v>275632</v>
      </c>
      <c r="AZ251" s="24" t="s">
        <v>33</v>
      </c>
      <c r="BA251" s="24"/>
      <c r="BB251" s="24"/>
      <c r="BC251" s="24">
        <v>2021</v>
      </c>
      <c r="BD251" s="24">
        <v>9</v>
      </c>
      <c r="BE251" s="24">
        <v>1673.90957142857</v>
      </c>
      <c r="BF251" s="24" t="s">
        <v>33</v>
      </c>
      <c r="BG251" s="24"/>
      <c r="BI251" s="24">
        <v>2022</v>
      </c>
      <c r="BJ251" s="24">
        <v>9</v>
      </c>
      <c r="BK251" s="24" t="s">
        <v>32</v>
      </c>
      <c r="BL251" s="24" t="s">
        <v>273</v>
      </c>
      <c r="BM251" s="24">
        <v>9307</v>
      </c>
      <c r="BN251" s="24">
        <v>9231</v>
      </c>
      <c r="BO251" s="24">
        <v>13741</v>
      </c>
      <c r="BR251" s="24">
        <v>2021</v>
      </c>
      <c r="BS251" s="24">
        <v>9</v>
      </c>
      <c r="BT251" s="24">
        <v>13608</v>
      </c>
      <c r="BU251" s="24">
        <v>0</v>
      </c>
      <c r="BV251" s="24" t="s">
        <v>32</v>
      </c>
      <c r="BY251" s="24">
        <v>2021</v>
      </c>
      <c r="BZ251" s="24">
        <v>13</v>
      </c>
      <c r="CA251" s="24" t="s">
        <v>32</v>
      </c>
      <c r="CB251" s="24" t="s">
        <v>108</v>
      </c>
      <c r="CC251" s="24">
        <v>6</v>
      </c>
      <c r="CF251" s="24">
        <v>2021</v>
      </c>
      <c r="CG251" s="24">
        <v>9</v>
      </c>
      <c r="CH251" s="24" t="s">
        <v>33</v>
      </c>
      <c r="CI251" s="24">
        <v>154.83003776938457</v>
      </c>
      <c r="CJ251" s="24">
        <v>139378</v>
      </c>
      <c r="CK251" s="24">
        <v>900.2</v>
      </c>
      <c r="CL251" s="24">
        <v>105.25810141059856</v>
      </c>
      <c r="CM251" s="24">
        <v>63308</v>
      </c>
      <c r="CN251" s="24">
        <v>138046</v>
      </c>
      <c r="CO251" s="24">
        <v>1311.5</v>
      </c>
      <c r="CP251" s="24">
        <v>22382</v>
      </c>
      <c r="CQ251" s="24">
        <v>89.4</v>
      </c>
      <c r="CR251" s="24">
        <v>537.79999999999995</v>
      </c>
      <c r="CS251" s="24">
        <v>69065</v>
      </c>
      <c r="CT251" s="24">
        <v>69066</v>
      </c>
      <c r="CU251" s="24">
        <v>594.1</v>
      </c>
      <c r="CV251" s="24">
        <v>22381</v>
      </c>
      <c r="CW251" s="24">
        <v>0</v>
      </c>
      <c r="CX251" s="24">
        <v>68218</v>
      </c>
      <c r="CY251" s="24">
        <v>278.89999999999998</v>
      </c>
      <c r="CZ251" s="24">
        <v>19678</v>
      </c>
      <c r="DA251" s="24">
        <v>537.79999999999995</v>
      </c>
      <c r="DD251" s="24">
        <v>2021</v>
      </c>
      <c r="DE251" s="24">
        <v>9</v>
      </c>
      <c r="DF251" s="24" t="s">
        <v>33</v>
      </c>
      <c r="DG251" s="24">
        <v>27978</v>
      </c>
      <c r="DH251" s="24">
        <v>8398</v>
      </c>
      <c r="DJ251" s="24">
        <v>2021</v>
      </c>
      <c r="DK251" s="24">
        <v>8</v>
      </c>
      <c r="DL251" s="24" t="s">
        <v>32</v>
      </c>
      <c r="DM251" s="24">
        <v>20</v>
      </c>
      <c r="DP251" s="24">
        <v>2019</v>
      </c>
      <c r="DQ251" s="24">
        <v>27</v>
      </c>
      <c r="DR251" s="24" t="s">
        <v>33</v>
      </c>
      <c r="DS251" s="24">
        <v>4413</v>
      </c>
      <c r="DT251" s="24">
        <v>1108</v>
      </c>
      <c r="DW251" s="24">
        <v>2021</v>
      </c>
      <c r="DX251" s="24">
        <v>43</v>
      </c>
      <c r="DY251" s="24" t="s">
        <v>32</v>
      </c>
      <c r="DZ251" s="24">
        <v>1</v>
      </c>
      <c r="EA251" s="24" t="s">
        <v>149</v>
      </c>
      <c r="EB251" s="24">
        <v>0</v>
      </c>
      <c r="EC251" s="24">
        <v>0</v>
      </c>
      <c r="ED251" s="24">
        <v>141</v>
      </c>
      <c r="EE251" s="24">
        <v>45</v>
      </c>
      <c r="EF251" s="24">
        <v>5.6</v>
      </c>
      <c r="EI251" s="24">
        <v>2023</v>
      </c>
      <c r="EJ251" s="24">
        <v>3</v>
      </c>
      <c r="EK251" s="24" t="s">
        <v>237</v>
      </c>
      <c r="EL251" s="24" t="s">
        <v>572</v>
      </c>
      <c r="EM251" s="24" t="s">
        <v>210</v>
      </c>
      <c r="EN251" s="24">
        <v>32</v>
      </c>
      <c r="EO251" s="24"/>
      <c r="EP251" s="24"/>
      <c r="EQ251" s="24"/>
      <c r="ER251" s="24"/>
      <c r="ES251" s="24">
        <v>2021</v>
      </c>
      <c r="ET251" s="24">
        <v>27</v>
      </c>
      <c r="EU251" s="24" t="s">
        <v>33</v>
      </c>
      <c r="EV251" s="24">
        <v>100778</v>
      </c>
      <c r="EY251" s="24">
        <v>2021</v>
      </c>
      <c r="EZ251" s="24">
        <v>13</v>
      </c>
      <c r="FA251" s="24" t="s">
        <v>32</v>
      </c>
      <c r="FB251" s="24">
        <v>541</v>
      </c>
      <c r="FE251" s="24">
        <v>2021</v>
      </c>
      <c r="FF251" s="24">
        <v>9</v>
      </c>
      <c r="FG251" s="24" t="s">
        <v>33</v>
      </c>
      <c r="FH251" s="24">
        <v>0.90550000000000008</v>
      </c>
      <c r="FI251" s="24">
        <v>7161</v>
      </c>
      <c r="FJ251" s="24">
        <v>3298</v>
      </c>
      <c r="FK251" s="24">
        <v>3663</v>
      </c>
      <c r="FN251" s="24">
        <v>2021</v>
      </c>
      <c r="FO251" s="24">
        <v>10</v>
      </c>
      <c r="FP251" s="24" t="s">
        <v>33</v>
      </c>
      <c r="FQ251" s="24">
        <v>670191</v>
      </c>
      <c r="FR251" s="24">
        <v>5273.8</v>
      </c>
      <c r="FS251" s="24">
        <v>328177</v>
      </c>
      <c r="FT251" s="24">
        <v>1789.93333333333</v>
      </c>
      <c r="FW251" s="24">
        <v>2021</v>
      </c>
      <c r="FX251" s="24">
        <v>9</v>
      </c>
      <c r="FY251" s="24" t="s">
        <v>33</v>
      </c>
      <c r="FZ251" s="24">
        <v>7691</v>
      </c>
      <c r="GA251" s="24">
        <v>7305</v>
      </c>
      <c r="GB251" s="24"/>
      <c r="GC251" s="24"/>
      <c r="GD251" s="24">
        <v>2021</v>
      </c>
      <c r="GE251" s="24">
        <v>9</v>
      </c>
      <c r="GF251" s="24" t="s">
        <v>33</v>
      </c>
      <c r="GG251" s="24">
        <v>7592</v>
      </c>
      <c r="GH251" s="24">
        <v>7318</v>
      </c>
      <c r="GK251" s="24"/>
      <c r="GL251" s="24"/>
      <c r="GM251" s="24"/>
      <c r="GN251" s="24"/>
      <c r="GO251" s="24"/>
      <c r="GP251" s="24">
        <v>2021</v>
      </c>
      <c r="GQ251" s="24">
        <v>9</v>
      </c>
      <c r="GR251" s="24">
        <v>2.6305714285714301</v>
      </c>
      <c r="GS251" s="24" t="s">
        <v>33</v>
      </c>
      <c r="GX251">
        <v>2021</v>
      </c>
      <c r="GY251">
        <v>9</v>
      </c>
      <c r="GZ251" t="s">
        <v>33</v>
      </c>
      <c r="HA251">
        <v>272432</v>
      </c>
      <c r="HB251">
        <v>239846</v>
      </c>
      <c r="HC251">
        <v>741</v>
      </c>
      <c r="HD251">
        <v>104</v>
      </c>
      <c r="HE251">
        <v>0</v>
      </c>
      <c r="HF251">
        <v>9466</v>
      </c>
      <c r="HG251">
        <v>0</v>
      </c>
      <c r="HH251">
        <v>0</v>
      </c>
      <c r="HI251">
        <v>2583</v>
      </c>
      <c r="HL251">
        <v>2021</v>
      </c>
      <c r="HM251">
        <v>9</v>
      </c>
      <c r="HN251" t="s">
        <v>33</v>
      </c>
      <c r="HO251">
        <v>272703</v>
      </c>
      <c r="HP251">
        <v>245450</v>
      </c>
      <c r="HQ251">
        <v>747</v>
      </c>
      <c r="HR251">
        <v>73</v>
      </c>
      <c r="HS251">
        <v>0</v>
      </c>
      <c r="HT251">
        <v>9128</v>
      </c>
      <c r="HU251">
        <v>0</v>
      </c>
      <c r="HV251">
        <v>0</v>
      </c>
      <c r="HW251">
        <v>1807</v>
      </c>
      <c r="HZ251" s="24">
        <v>2021</v>
      </c>
      <c r="IA251" s="24">
        <v>9</v>
      </c>
      <c r="IB251" s="24" t="s">
        <v>33</v>
      </c>
      <c r="IC251" s="24">
        <v>7813</v>
      </c>
      <c r="ID251" s="24">
        <v>7387</v>
      </c>
      <c r="IG251" s="24">
        <v>2021</v>
      </c>
      <c r="IH251" s="24">
        <v>9</v>
      </c>
      <c r="II251" s="24" t="s">
        <v>33</v>
      </c>
      <c r="IJ251" s="24">
        <v>7173</v>
      </c>
      <c r="IK251" s="24">
        <v>7060</v>
      </c>
    </row>
    <row r="252" spans="9:245" x14ac:dyDescent="0.4">
      <c r="I252" s="305">
        <v>2021</v>
      </c>
      <c r="J252" s="306">
        <v>9</v>
      </c>
      <c r="K252" s="306" t="s">
        <v>33</v>
      </c>
      <c r="L252" s="306">
        <v>273795</v>
      </c>
      <c r="M252" s="306">
        <v>240519</v>
      </c>
      <c r="N252" s="306">
        <v>837</v>
      </c>
      <c r="O252" s="306">
        <v>5735</v>
      </c>
      <c r="P252" s="306">
        <v>346</v>
      </c>
      <c r="Q252" s="306">
        <v>205</v>
      </c>
      <c r="R252" s="24"/>
      <c r="S252" s="24"/>
      <c r="T252" s="24"/>
      <c r="W252" s="24">
        <v>2021</v>
      </c>
      <c r="X252" s="24">
        <v>8</v>
      </c>
      <c r="Y252" s="24" t="s">
        <v>32</v>
      </c>
      <c r="Z252" s="24">
        <v>10141</v>
      </c>
      <c r="AA252" s="24">
        <v>9942</v>
      </c>
      <c r="AB252" s="24">
        <v>35</v>
      </c>
      <c r="AC252" s="24">
        <v>16</v>
      </c>
      <c r="AI252" s="24"/>
      <c r="AJ252" s="24"/>
      <c r="AK252" s="24"/>
      <c r="AL252" s="24"/>
      <c r="AM252" s="24"/>
      <c r="AN252" s="24"/>
      <c r="AO252" s="24"/>
      <c r="AP252" s="24"/>
      <c r="AQ252" s="24"/>
      <c r="AR252" s="24"/>
      <c r="AT252" s="24"/>
      <c r="AU252" s="24">
        <v>2021</v>
      </c>
      <c r="AV252" s="24">
        <v>8</v>
      </c>
      <c r="AW252" s="24">
        <v>0.04</v>
      </c>
      <c r="AX252" s="24">
        <v>400</v>
      </c>
      <c r="AY252" s="24">
        <v>10246</v>
      </c>
      <c r="AZ252" s="24" t="s">
        <v>32</v>
      </c>
      <c r="BA252" s="24"/>
      <c r="BB252" s="24"/>
      <c r="BC252" s="24">
        <v>2021</v>
      </c>
      <c r="BD252" s="24">
        <v>8</v>
      </c>
      <c r="BE252" s="24">
        <v>126.679</v>
      </c>
      <c r="BF252" s="24" t="s">
        <v>32</v>
      </c>
      <c r="BG252" s="24"/>
      <c r="BI252" s="24">
        <v>2022</v>
      </c>
      <c r="BJ252" s="24">
        <v>9</v>
      </c>
      <c r="BK252" s="24" t="s">
        <v>32</v>
      </c>
      <c r="BL252" s="24" t="s">
        <v>272</v>
      </c>
      <c r="BM252" s="24">
        <v>3262</v>
      </c>
      <c r="BN252" s="24">
        <v>3088</v>
      </c>
      <c r="BO252" s="24">
        <v>11774</v>
      </c>
      <c r="BR252" s="24">
        <v>2021</v>
      </c>
      <c r="BS252" s="24">
        <v>8</v>
      </c>
      <c r="BT252" s="24">
        <v>10193</v>
      </c>
      <c r="BU252" s="24">
        <v>0</v>
      </c>
      <c r="BV252" s="24" t="s">
        <v>32</v>
      </c>
      <c r="BY252" s="24">
        <v>2021</v>
      </c>
      <c r="BZ252" s="24">
        <v>13</v>
      </c>
      <c r="CA252" s="24" t="s">
        <v>32</v>
      </c>
      <c r="CB252" s="24" t="s">
        <v>423</v>
      </c>
      <c r="CC252" s="24">
        <v>105</v>
      </c>
      <c r="CF252" s="24"/>
      <c r="CG252" s="24"/>
      <c r="CH252" s="24"/>
      <c r="CI252" s="24"/>
      <c r="CJ252" s="24"/>
      <c r="DD252" s="24"/>
      <c r="DE252" s="24"/>
      <c r="DF252" s="24"/>
      <c r="DG252" s="24"/>
      <c r="DH252" s="24"/>
      <c r="DJ252" s="24">
        <v>2021</v>
      </c>
      <c r="DK252" s="24">
        <v>8</v>
      </c>
      <c r="DL252" s="24" t="s">
        <v>33</v>
      </c>
      <c r="DM252" s="24">
        <v>606</v>
      </c>
      <c r="DP252" s="24">
        <v>2019</v>
      </c>
      <c r="DQ252" s="24">
        <v>26</v>
      </c>
      <c r="DR252" s="24" t="s">
        <v>33</v>
      </c>
      <c r="DS252" s="24">
        <v>6864</v>
      </c>
      <c r="DT252" s="24">
        <v>880</v>
      </c>
      <c r="DW252" s="24">
        <v>2021</v>
      </c>
      <c r="DX252" s="24">
        <v>43</v>
      </c>
      <c r="DY252" s="24" t="s">
        <v>33</v>
      </c>
      <c r="DZ252" s="24">
        <v>9</v>
      </c>
      <c r="EA252" s="24" t="s">
        <v>562</v>
      </c>
      <c r="EB252" s="24">
        <v>150.1</v>
      </c>
      <c r="EC252" s="24">
        <v>0</v>
      </c>
      <c r="ED252" s="24">
        <v>8</v>
      </c>
      <c r="EE252" s="24">
        <v>5622</v>
      </c>
      <c r="EF252" s="24">
        <v>45.8</v>
      </c>
      <c r="EI252" s="24">
        <v>2023</v>
      </c>
      <c r="EJ252" s="24">
        <v>3</v>
      </c>
      <c r="EK252" s="24" t="s">
        <v>237</v>
      </c>
      <c r="EL252" s="24" t="s">
        <v>572</v>
      </c>
      <c r="EM252" s="24" t="s">
        <v>234</v>
      </c>
      <c r="EN252" s="24">
        <v>1</v>
      </c>
      <c r="EO252" s="24"/>
      <c r="EP252" s="24"/>
      <c r="EQ252" s="24"/>
      <c r="ER252" s="24"/>
      <c r="ES252" s="24">
        <v>2021</v>
      </c>
      <c r="ET252" s="24">
        <v>26</v>
      </c>
      <c r="EU252" s="24" t="s">
        <v>32</v>
      </c>
      <c r="EV252" s="24">
        <v>5270</v>
      </c>
      <c r="EY252" s="24">
        <v>2021</v>
      </c>
      <c r="EZ252" s="24">
        <v>13</v>
      </c>
      <c r="FA252" s="24" t="s">
        <v>33</v>
      </c>
      <c r="FB252" s="24">
        <v>2456</v>
      </c>
      <c r="FE252" s="24"/>
      <c r="FF252" s="24"/>
      <c r="FG252" s="24"/>
      <c r="FH252" s="24"/>
      <c r="FN252" s="24"/>
      <c r="FO252" s="24"/>
      <c r="FP252" s="24"/>
      <c r="FQ252" s="24"/>
      <c r="FW252" s="24">
        <v>2021</v>
      </c>
      <c r="FX252" s="24">
        <v>8</v>
      </c>
      <c r="FY252" s="24" t="s">
        <v>32</v>
      </c>
      <c r="FZ252" s="24">
        <v>959</v>
      </c>
      <c r="GA252" s="24">
        <v>912</v>
      </c>
      <c r="GB252" s="24"/>
      <c r="GC252" s="24"/>
      <c r="GD252" s="24">
        <v>2021</v>
      </c>
      <c r="GE252" s="24">
        <v>8</v>
      </c>
      <c r="GF252" s="24" t="s">
        <v>32</v>
      </c>
      <c r="GG252" s="24">
        <v>997</v>
      </c>
      <c r="GH252" s="24">
        <v>939</v>
      </c>
      <c r="GK252" s="24"/>
      <c r="GL252" s="24"/>
      <c r="GM252" s="24"/>
      <c r="GN252" s="24"/>
      <c r="GO252" s="24"/>
      <c r="GP252" s="24">
        <v>2021</v>
      </c>
      <c r="GQ252" s="24">
        <v>8</v>
      </c>
      <c r="GR252" s="24">
        <v>0.29914285714285704</v>
      </c>
      <c r="GS252" s="24" t="s">
        <v>32</v>
      </c>
      <c r="GX252">
        <v>2021</v>
      </c>
      <c r="GY252">
        <v>8</v>
      </c>
      <c r="GZ252" t="s">
        <v>32</v>
      </c>
      <c r="HA252">
        <v>10043</v>
      </c>
      <c r="HB252">
        <v>9925</v>
      </c>
      <c r="HC252">
        <v>0</v>
      </c>
      <c r="HD252">
        <v>3</v>
      </c>
      <c r="HE252">
        <v>0</v>
      </c>
      <c r="HF252">
        <v>4</v>
      </c>
      <c r="HG252">
        <v>0</v>
      </c>
      <c r="HH252">
        <v>0</v>
      </c>
      <c r="HI252">
        <v>42</v>
      </c>
      <c r="HL252">
        <v>2021</v>
      </c>
      <c r="HM252">
        <v>8</v>
      </c>
      <c r="HN252" t="s">
        <v>32</v>
      </c>
      <c r="HO252">
        <v>10098</v>
      </c>
      <c r="HP252">
        <v>10065</v>
      </c>
      <c r="HQ252">
        <v>0</v>
      </c>
      <c r="HR252">
        <v>1</v>
      </c>
      <c r="HS252">
        <v>0</v>
      </c>
      <c r="HT252">
        <v>3</v>
      </c>
      <c r="HU252">
        <v>0</v>
      </c>
      <c r="HV252">
        <v>0</v>
      </c>
      <c r="HW252">
        <v>1</v>
      </c>
      <c r="HZ252" s="24">
        <v>2021</v>
      </c>
      <c r="IA252" s="24">
        <v>8</v>
      </c>
      <c r="IB252" s="24" t="s">
        <v>32</v>
      </c>
      <c r="IC252" s="24">
        <v>1025</v>
      </c>
      <c r="ID252" s="24">
        <v>996</v>
      </c>
      <c r="IG252" s="24">
        <v>2021</v>
      </c>
      <c r="IH252" s="24">
        <v>8</v>
      </c>
      <c r="II252" s="24" t="s">
        <v>32</v>
      </c>
      <c r="IJ252" s="24">
        <v>968</v>
      </c>
      <c r="IK252" s="24">
        <v>965</v>
      </c>
    </row>
    <row r="253" spans="9:245" x14ac:dyDescent="0.4">
      <c r="I253" s="305">
        <v>2021</v>
      </c>
      <c r="J253" s="306">
        <v>8</v>
      </c>
      <c r="K253" s="306" t="s">
        <v>32</v>
      </c>
      <c r="L253" s="306">
        <v>10165</v>
      </c>
      <c r="M253" s="306">
        <v>9980</v>
      </c>
      <c r="N253" s="306">
        <v>24</v>
      </c>
      <c r="O253" s="306">
        <v>66</v>
      </c>
      <c r="P253" s="306">
        <v>37</v>
      </c>
      <c r="Q253" s="306">
        <v>16</v>
      </c>
      <c r="R253" s="24"/>
      <c r="S253" s="24"/>
      <c r="T253" s="24"/>
      <c r="W253" s="24">
        <v>2021</v>
      </c>
      <c r="X253" s="24">
        <v>8</v>
      </c>
      <c r="Y253" s="24" t="s">
        <v>33</v>
      </c>
      <c r="Z253" s="24">
        <v>202821</v>
      </c>
      <c r="AA253" s="24">
        <v>199602</v>
      </c>
      <c r="AB253" s="24">
        <v>86</v>
      </c>
      <c r="AC253" s="24">
        <v>62</v>
      </c>
      <c r="AI253" s="24"/>
      <c r="AJ253" s="24"/>
      <c r="AK253" s="24"/>
      <c r="AL253" s="24"/>
      <c r="AM253" s="24"/>
      <c r="AN253" s="24"/>
      <c r="AO253" s="24"/>
      <c r="AP253" s="24"/>
      <c r="AQ253" s="24"/>
      <c r="AR253" s="24"/>
      <c r="AT253" s="24"/>
      <c r="AU253" s="24">
        <v>2021</v>
      </c>
      <c r="AV253" s="24">
        <v>8</v>
      </c>
      <c r="AW253" s="24">
        <v>0.03</v>
      </c>
      <c r="AX253" s="24">
        <v>5300</v>
      </c>
      <c r="AY253" s="24">
        <v>205533</v>
      </c>
      <c r="AZ253" s="24" t="s">
        <v>33</v>
      </c>
      <c r="BA253" s="24"/>
      <c r="BB253" s="24"/>
      <c r="BC253" s="24">
        <v>2021</v>
      </c>
      <c r="BD253" s="24">
        <v>8</v>
      </c>
      <c r="BE253" s="24">
        <v>1700.5052857142898</v>
      </c>
      <c r="BF253" s="24" t="s">
        <v>33</v>
      </c>
      <c r="BG253" s="24"/>
      <c r="BI253" s="24">
        <v>2022</v>
      </c>
      <c r="BJ253" s="24">
        <v>9</v>
      </c>
      <c r="BK253" s="24" t="s">
        <v>33</v>
      </c>
      <c r="BL253" s="24" t="s">
        <v>272</v>
      </c>
      <c r="BM253" s="24">
        <v>78773</v>
      </c>
      <c r="BN253" s="24">
        <v>78690</v>
      </c>
      <c r="BO253" s="24">
        <v>291826</v>
      </c>
      <c r="BR253" s="24">
        <v>2021</v>
      </c>
      <c r="BS253" s="24">
        <v>8</v>
      </c>
      <c r="BT253" s="24">
        <v>204682</v>
      </c>
      <c r="BU253" s="24">
        <v>1</v>
      </c>
      <c r="BV253" s="24" t="s">
        <v>33</v>
      </c>
      <c r="BY253" s="24">
        <v>2021</v>
      </c>
      <c r="BZ253" s="24">
        <v>13</v>
      </c>
      <c r="CA253" s="24" t="s">
        <v>33</v>
      </c>
      <c r="CB253" s="24" t="s">
        <v>108</v>
      </c>
      <c r="CC253" s="24">
        <v>4</v>
      </c>
      <c r="CF253" s="24"/>
      <c r="CG253" s="24"/>
      <c r="CH253" s="24"/>
      <c r="CI253" s="24"/>
      <c r="CJ253" s="24"/>
      <c r="DD253" s="24"/>
      <c r="DE253" s="24"/>
      <c r="DF253" s="24"/>
      <c r="DG253" s="24"/>
      <c r="DH253" s="24"/>
      <c r="DJ253" s="24">
        <v>2021</v>
      </c>
      <c r="DK253" s="24">
        <v>7</v>
      </c>
      <c r="DL253" s="24" t="s">
        <v>32</v>
      </c>
      <c r="DM253" s="24">
        <v>17</v>
      </c>
      <c r="DP253" s="24">
        <v>2019</v>
      </c>
      <c r="DQ253" s="24">
        <v>25</v>
      </c>
      <c r="DR253" s="24" t="s">
        <v>33</v>
      </c>
      <c r="DS253" s="24">
        <v>5830</v>
      </c>
      <c r="DT253" s="24">
        <v>519</v>
      </c>
      <c r="DW253" s="24">
        <v>2021</v>
      </c>
      <c r="DX253" s="24">
        <v>43</v>
      </c>
      <c r="DY253" s="24" t="s">
        <v>33</v>
      </c>
      <c r="DZ253" s="24">
        <v>42</v>
      </c>
      <c r="EA253" s="24" t="s">
        <v>149</v>
      </c>
      <c r="EB253" s="24">
        <v>191.6</v>
      </c>
      <c r="EC253" s="24">
        <v>1067.7</v>
      </c>
      <c r="ED253" s="24">
        <v>32300</v>
      </c>
      <c r="EE253" s="24">
        <v>38026</v>
      </c>
      <c r="EF253" s="24">
        <v>201.7</v>
      </c>
      <c r="EI253" s="24">
        <v>2023</v>
      </c>
      <c r="EJ253" s="24">
        <v>3</v>
      </c>
      <c r="EK253" s="24" t="s">
        <v>237</v>
      </c>
      <c r="EL253" s="24" t="s">
        <v>235</v>
      </c>
      <c r="EM253" s="24" t="s">
        <v>210</v>
      </c>
      <c r="EN253" s="24">
        <v>487</v>
      </c>
      <c r="EO253" s="24"/>
      <c r="EP253" s="24"/>
      <c r="EQ253" s="24"/>
      <c r="ER253" s="24"/>
      <c r="ES253" s="24">
        <v>2021</v>
      </c>
      <c r="ET253" s="24">
        <v>26</v>
      </c>
      <c r="EU253" s="24" t="s">
        <v>33</v>
      </c>
      <c r="EV253" s="24">
        <v>111732</v>
      </c>
      <c r="EY253" s="24">
        <v>2021</v>
      </c>
      <c r="EZ253" s="24">
        <v>13</v>
      </c>
      <c r="FA253" s="24" t="s">
        <v>35</v>
      </c>
      <c r="FB253" s="24">
        <v>1</v>
      </c>
      <c r="FE253" s="24"/>
      <c r="FF253" s="24"/>
      <c r="FG253" s="24"/>
      <c r="FH253" s="24"/>
      <c r="FN253" s="24"/>
      <c r="FO253" s="24"/>
      <c r="FP253" s="24"/>
      <c r="FQ253" s="24"/>
      <c r="FW253" s="24">
        <v>2021</v>
      </c>
      <c r="FX253" s="24">
        <v>8</v>
      </c>
      <c r="FY253" s="24" t="s">
        <v>33</v>
      </c>
      <c r="FZ253" s="24">
        <v>7097</v>
      </c>
      <c r="GA253" s="24">
        <v>6717</v>
      </c>
      <c r="GB253" s="24"/>
      <c r="GC253" s="24"/>
      <c r="GD253" s="24">
        <v>2021</v>
      </c>
      <c r="GE253" s="24">
        <v>8</v>
      </c>
      <c r="GF253" s="24" t="s">
        <v>33</v>
      </c>
      <c r="GG253" s="24">
        <v>7142</v>
      </c>
      <c r="GH253" s="24">
        <v>6913</v>
      </c>
      <c r="GK253" s="24"/>
      <c r="GL253" s="24"/>
      <c r="GM253" s="24"/>
      <c r="GN253" s="24"/>
      <c r="GO253" s="24"/>
      <c r="GP253" s="24">
        <v>2021</v>
      </c>
      <c r="GQ253" s="24">
        <v>8</v>
      </c>
      <c r="GR253" s="24">
        <v>2.9371428571428599</v>
      </c>
      <c r="GS253" s="24" t="s">
        <v>33</v>
      </c>
      <c r="GX253">
        <v>2021</v>
      </c>
      <c r="GY253">
        <v>8</v>
      </c>
      <c r="GZ253" t="s">
        <v>33</v>
      </c>
      <c r="HA253">
        <v>201737</v>
      </c>
      <c r="HB253">
        <v>197874</v>
      </c>
      <c r="HC253">
        <v>255</v>
      </c>
      <c r="HD253">
        <v>20</v>
      </c>
      <c r="HE253">
        <v>0</v>
      </c>
      <c r="HF253">
        <v>1067</v>
      </c>
      <c r="HG253">
        <v>0</v>
      </c>
      <c r="HH253">
        <v>0</v>
      </c>
      <c r="HI253">
        <v>457</v>
      </c>
      <c r="HL253">
        <v>2021</v>
      </c>
      <c r="HM253">
        <v>8</v>
      </c>
      <c r="HN253" t="s">
        <v>33</v>
      </c>
      <c r="HO253">
        <v>202302</v>
      </c>
      <c r="HP253">
        <v>200916</v>
      </c>
      <c r="HQ253">
        <v>285</v>
      </c>
      <c r="HR253">
        <v>8</v>
      </c>
      <c r="HS253">
        <v>0</v>
      </c>
      <c r="HT253">
        <v>898</v>
      </c>
      <c r="HU253">
        <v>0</v>
      </c>
      <c r="HV253">
        <v>0</v>
      </c>
      <c r="HW253">
        <v>70</v>
      </c>
      <c r="HZ253" s="24">
        <v>2021</v>
      </c>
      <c r="IA253" s="24">
        <v>8</v>
      </c>
      <c r="IB253" s="24" t="s">
        <v>33</v>
      </c>
      <c r="IC253" s="24">
        <v>6958</v>
      </c>
      <c r="ID253" s="24">
        <v>6602</v>
      </c>
      <c r="IG253" s="24">
        <v>2021</v>
      </c>
      <c r="IH253" s="24">
        <v>8</v>
      </c>
      <c r="II253" s="24" t="s">
        <v>33</v>
      </c>
      <c r="IJ253" s="24">
        <v>6825</v>
      </c>
      <c r="IK253" s="24">
        <v>6784</v>
      </c>
    </row>
    <row r="254" spans="9:245" x14ac:dyDescent="0.4">
      <c r="I254" s="305">
        <v>2021</v>
      </c>
      <c r="J254" s="306">
        <v>8</v>
      </c>
      <c r="K254" s="306" t="s">
        <v>33</v>
      </c>
      <c r="L254" s="306">
        <v>202497</v>
      </c>
      <c r="M254" s="306">
        <v>198187</v>
      </c>
      <c r="N254" s="306">
        <v>332</v>
      </c>
      <c r="O254" s="306">
        <v>1392</v>
      </c>
      <c r="P254" s="306">
        <v>173</v>
      </c>
      <c r="Q254" s="306">
        <v>64</v>
      </c>
      <c r="R254" s="24"/>
      <c r="S254" s="24"/>
      <c r="T254" s="24"/>
      <c r="W254" s="24">
        <v>2021</v>
      </c>
      <c r="X254" s="24">
        <v>7</v>
      </c>
      <c r="Y254" s="24" t="s">
        <v>32</v>
      </c>
      <c r="Z254" s="24">
        <v>9109</v>
      </c>
      <c r="AA254" s="24">
        <v>8513</v>
      </c>
      <c r="AB254" s="24">
        <v>15</v>
      </c>
      <c r="AC254" s="24">
        <v>16</v>
      </c>
      <c r="AI254" s="24"/>
      <c r="AJ254" s="24"/>
      <c r="AK254" s="24"/>
      <c r="AL254" s="24"/>
      <c r="AM254" s="24"/>
      <c r="AN254" s="24"/>
      <c r="AO254" s="24"/>
      <c r="AP254" s="24"/>
      <c r="AQ254" s="24"/>
      <c r="AR254" s="24"/>
      <c r="AT254" s="24"/>
      <c r="AU254" s="324">
        <v>2021</v>
      </c>
      <c r="AV254" s="324">
        <v>7</v>
      </c>
      <c r="AW254" s="324">
        <v>0.04</v>
      </c>
      <c r="AX254" s="324">
        <v>400</v>
      </c>
      <c r="AY254" s="324">
        <v>9414</v>
      </c>
      <c r="AZ254" s="324" t="s">
        <v>32</v>
      </c>
      <c r="BA254" s="24"/>
      <c r="BB254" s="24"/>
      <c r="BC254" s="24">
        <v>2021</v>
      </c>
      <c r="BD254" s="24">
        <v>7</v>
      </c>
      <c r="BE254" s="24">
        <v>125.69928571428599</v>
      </c>
      <c r="BF254" s="24" t="s">
        <v>32</v>
      </c>
      <c r="BG254" s="24"/>
      <c r="BI254" s="24">
        <v>2022</v>
      </c>
      <c r="BJ254" s="24">
        <v>8</v>
      </c>
      <c r="BK254" s="24" t="s">
        <v>32</v>
      </c>
      <c r="BL254" s="24" t="s">
        <v>272</v>
      </c>
      <c r="BM254" s="24">
        <v>3137</v>
      </c>
      <c r="BN254" s="24">
        <v>3132</v>
      </c>
      <c r="BO254" s="24">
        <v>10775</v>
      </c>
      <c r="BR254" s="24">
        <v>2021</v>
      </c>
      <c r="BS254" s="24">
        <v>7</v>
      </c>
      <c r="BT254" s="24">
        <v>9327</v>
      </c>
      <c r="BU254" s="24">
        <v>0</v>
      </c>
      <c r="BV254" s="24" t="s">
        <v>32</v>
      </c>
      <c r="BY254" s="24">
        <v>2021</v>
      </c>
      <c r="BZ254" s="24">
        <v>13</v>
      </c>
      <c r="CA254" s="24" t="s">
        <v>33</v>
      </c>
      <c r="CB254" s="24" t="s">
        <v>423</v>
      </c>
      <c r="CC254" s="24">
        <v>50</v>
      </c>
      <c r="CF254" s="24"/>
      <c r="CG254" s="24"/>
      <c r="CH254" s="24"/>
      <c r="CI254" s="24"/>
      <c r="CJ254" s="24"/>
      <c r="DD254" s="24"/>
      <c r="DE254" s="24"/>
      <c r="DF254" s="24"/>
      <c r="DG254" s="24"/>
      <c r="DH254" s="24"/>
      <c r="DJ254" s="24">
        <v>2021</v>
      </c>
      <c r="DK254" s="24">
        <v>7</v>
      </c>
      <c r="DL254" s="24" t="s">
        <v>33</v>
      </c>
      <c r="DM254" s="24">
        <v>668</v>
      </c>
      <c r="DP254" s="24">
        <v>2019</v>
      </c>
      <c r="DQ254" s="24">
        <v>24</v>
      </c>
      <c r="DR254" s="24" t="s">
        <v>33</v>
      </c>
      <c r="DS254" s="24">
        <v>7738</v>
      </c>
      <c r="DT254" s="24">
        <v>298</v>
      </c>
      <c r="DW254" s="24">
        <v>2021</v>
      </c>
      <c r="DX254" s="24">
        <v>42</v>
      </c>
      <c r="DY254" s="24" t="s">
        <v>32</v>
      </c>
      <c r="DZ254" s="24">
        <v>1</v>
      </c>
      <c r="EA254" s="24" t="s">
        <v>149</v>
      </c>
      <c r="EB254" s="24">
        <v>0</v>
      </c>
      <c r="EC254" s="24">
        <v>0</v>
      </c>
      <c r="ED254" s="24">
        <v>173</v>
      </c>
      <c r="EE254" s="24">
        <v>7</v>
      </c>
      <c r="EF254" s="24">
        <v>1.9</v>
      </c>
      <c r="EI254" s="24">
        <v>2023</v>
      </c>
      <c r="EJ254" s="24">
        <v>3</v>
      </c>
      <c r="EK254" s="24" t="s">
        <v>237</v>
      </c>
      <c r="EL254" s="24" t="s">
        <v>235</v>
      </c>
      <c r="EM254" s="24" t="s">
        <v>234</v>
      </c>
      <c r="EN254" s="24">
        <v>1</v>
      </c>
      <c r="EO254" s="24"/>
      <c r="EP254" s="24"/>
      <c r="EQ254" s="24"/>
      <c r="ER254" s="24"/>
      <c r="ES254" s="24">
        <v>2021</v>
      </c>
      <c r="ET254" s="24">
        <v>26</v>
      </c>
      <c r="EU254" s="24" t="s">
        <v>213</v>
      </c>
      <c r="EV254" s="24">
        <v>6</v>
      </c>
      <c r="EY254" s="24">
        <v>2021</v>
      </c>
      <c r="EZ254" s="24">
        <v>12</v>
      </c>
      <c r="FA254" s="24" t="s">
        <v>32</v>
      </c>
      <c r="FB254" s="24">
        <v>992</v>
      </c>
      <c r="FE254" s="24"/>
      <c r="FF254" s="24"/>
      <c r="FG254" s="24"/>
      <c r="FH254" s="24"/>
      <c r="FN254" s="24"/>
      <c r="FO254" s="24"/>
      <c r="FP254" s="24"/>
      <c r="FQ254" s="24"/>
      <c r="FW254" s="24">
        <v>2021</v>
      </c>
      <c r="FX254" s="24">
        <v>7</v>
      </c>
      <c r="FY254" s="24" t="s">
        <v>32</v>
      </c>
      <c r="FZ254" s="24">
        <v>969</v>
      </c>
      <c r="GA254" s="24">
        <v>855</v>
      </c>
      <c r="GB254" s="24"/>
      <c r="GC254" s="24"/>
      <c r="GD254" s="24">
        <v>2021</v>
      </c>
      <c r="GE254" s="24">
        <v>7</v>
      </c>
      <c r="GF254" s="24" t="s">
        <v>32</v>
      </c>
      <c r="GG254" s="24">
        <v>932</v>
      </c>
      <c r="GH254" s="24">
        <v>835</v>
      </c>
      <c r="GK254" s="24"/>
      <c r="GL254" s="24"/>
      <c r="GM254" s="24"/>
      <c r="GN254" s="24"/>
      <c r="GO254" s="24"/>
      <c r="GP254" s="24">
        <v>2021</v>
      </c>
      <c r="GQ254" s="24">
        <v>7</v>
      </c>
      <c r="GR254" s="24">
        <v>0.29942857142857104</v>
      </c>
      <c r="GS254" s="24" t="s">
        <v>32</v>
      </c>
      <c r="GX254">
        <v>2021</v>
      </c>
      <c r="GY254">
        <v>7</v>
      </c>
      <c r="GZ254" t="s">
        <v>32</v>
      </c>
      <c r="HA254">
        <v>9366</v>
      </c>
      <c r="HB254">
        <v>9034</v>
      </c>
      <c r="HC254">
        <v>0</v>
      </c>
      <c r="HD254">
        <v>41</v>
      </c>
      <c r="HE254">
        <v>0</v>
      </c>
      <c r="HF254">
        <v>148</v>
      </c>
      <c r="HG254">
        <v>0</v>
      </c>
      <c r="HH254">
        <v>0</v>
      </c>
      <c r="HI254">
        <v>45</v>
      </c>
      <c r="HL254">
        <v>2021</v>
      </c>
      <c r="HM254">
        <v>7</v>
      </c>
      <c r="HN254" t="s">
        <v>32</v>
      </c>
      <c r="HO254">
        <v>9086</v>
      </c>
      <c r="HP254">
        <v>8851</v>
      </c>
      <c r="HQ254">
        <v>0</v>
      </c>
      <c r="HR254">
        <v>33</v>
      </c>
      <c r="HS254">
        <v>0</v>
      </c>
      <c r="HT254">
        <v>215</v>
      </c>
      <c r="HU254">
        <v>0</v>
      </c>
      <c r="HV254">
        <v>0</v>
      </c>
      <c r="HW254">
        <v>11</v>
      </c>
      <c r="HZ254" s="24">
        <v>2021</v>
      </c>
      <c r="IA254" s="24">
        <v>7</v>
      </c>
      <c r="IB254" s="24" t="s">
        <v>32</v>
      </c>
      <c r="IC254" s="24">
        <v>904</v>
      </c>
      <c r="ID254" s="24">
        <v>812</v>
      </c>
      <c r="IG254" s="24">
        <v>2021</v>
      </c>
      <c r="IH254" s="24">
        <v>7</v>
      </c>
      <c r="II254" s="24" t="s">
        <v>32</v>
      </c>
      <c r="IJ254" s="24">
        <v>921</v>
      </c>
      <c r="IK254" s="24">
        <v>854</v>
      </c>
    </row>
    <row r="255" spans="9:245" x14ac:dyDescent="0.4">
      <c r="I255" s="305">
        <v>2021</v>
      </c>
      <c r="J255" s="306">
        <v>7</v>
      </c>
      <c r="K255" s="306" t="s">
        <v>32</v>
      </c>
      <c r="L255" s="306">
        <v>9068</v>
      </c>
      <c r="M255" s="306">
        <v>8502</v>
      </c>
      <c r="N255" s="306">
        <v>44</v>
      </c>
      <c r="O255" s="306">
        <v>223</v>
      </c>
      <c r="P255" s="306">
        <v>21</v>
      </c>
      <c r="Q255" s="306">
        <v>15</v>
      </c>
      <c r="R255" s="24"/>
      <c r="S255" s="24"/>
      <c r="T255" s="24"/>
      <c r="W255" s="24">
        <v>2021</v>
      </c>
      <c r="X255" s="24">
        <v>7</v>
      </c>
      <c r="Y255" s="24" t="s">
        <v>33</v>
      </c>
      <c r="Z255" s="24">
        <v>189650</v>
      </c>
      <c r="AA255" s="24">
        <v>182833</v>
      </c>
      <c r="AB255" s="24">
        <v>107</v>
      </c>
      <c r="AC255" s="24">
        <v>53</v>
      </c>
      <c r="AI255" s="24"/>
      <c r="AJ255" s="24"/>
      <c r="AK255" s="24"/>
      <c r="AL255" s="24"/>
      <c r="AM255" s="24"/>
      <c r="AN255" s="24"/>
      <c r="AO255" s="24"/>
      <c r="AP255" s="24"/>
      <c r="AQ255" s="24"/>
      <c r="AR255" s="24"/>
      <c r="AT255" s="24"/>
      <c r="AU255" s="324">
        <v>2021</v>
      </c>
      <c r="AV255" s="324">
        <v>7</v>
      </c>
      <c r="AW255" s="324">
        <v>0.05</v>
      </c>
      <c r="AX255" s="324">
        <v>9700</v>
      </c>
      <c r="AY255" s="324">
        <v>187598</v>
      </c>
      <c r="AZ255" s="324" t="s">
        <v>33</v>
      </c>
      <c r="BA255" s="24"/>
      <c r="BB255" s="24"/>
      <c r="BC255" s="24">
        <v>2021</v>
      </c>
      <c r="BD255" s="24">
        <v>7</v>
      </c>
      <c r="BE255" s="24">
        <v>1750.40128571429</v>
      </c>
      <c r="BF255" s="24" t="s">
        <v>33</v>
      </c>
      <c r="BG255" s="24"/>
      <c r="BI255" s="24">
        <v>2022</v>
      </c>
      <c r="BJ255" s="24">
        <v>8</v>
      </c>
      <c r="BK255" s="24" t="s">
        <v>33</v>
      </c>
      <c r="BL255" s="24" t="s">
        <v>272</v>
      </c>
      <c r="BM255" s="24">
        <v>57610</v>
      </c>
      <c r="BN255" s="24">
        <v>57329</v>
      </c>
      <c r="BO255" s="24">
        <v>209672</v>
      </c>
      <c r="BR255" s="24">
        <v>2021</v>
      </c>
      <c r="BS255" s="24">
        <v>7</v>
      </c>
      <c r="BT255" s="24">
        <v>186801</v>
      </c>
      <c r="BU255" s="24">
        <v>0</v>
      </c>
      <c r="BV255" s="24" t="s">
        <v>33</v>
      </c>
      <c r="BY255" s="24">
        <v>2021</v>
      </c>
      <c r="BZ255" s="24">
        <v>12</v>
      </c>
      <c r="CA255" s="24" t="s">
        <v>32</v>
      </c>
      <c r="CB255" s="24" t="s">
        <v>108</v>
      </c>
      <c r="CC255" s="24">
        <v>1</v>
      </c>
      <c r="CF255" s="24"/>
      <c r="CG255" s="24"/>
      <c r="CH255" s="24"/>
      <c r="CI255" s="24"/>
      <c r="CJ255" s="24"/>
      <c r="DD255" s="24"/>
      <c r="DE255" s="24"/>
      <c r="DF255" s="24"/>
      <c r="DG255" s="24"/>
      <c r="DH255" s="24"/>
      <c r="DJ255" s="24">
        <v>2021</v>
      </c>
      <c r="DK255" s="24">
        <v>6</v>
      </c>
      <c r="DL255" s="24" t="s">
        <v>32</v>
      </c>
      <c r="DM255" s="24">
        <v>0</v>
      </c>
      <c r="DP255" s="24">
        <v>2019</v>
      </c>
      <c r="DQ255" s="24">
        <v>23</v>
      </c>
      <c r="DR255" s="24" t="s">
        <v>33</v>
      </c>
      <c r="DS255" s="24">
        <v>8417</v>
      </c>
      <c r="DT255" s="24">
        <v>201</v>
      </c>
      <c r="DW255" s="24">
        <v>2021</v>
      </c>
      <c r="DX255" s="24">
        <v>42</v>
      </c>
      <c r="DY255" s="24" t="s">
        <v>33</v>
      </c>
      <c r="DZ255" s="24">
        <v>9</v>
      </c>
      <c r="EA255" s="24" t="s">
        <v>562</v>
      </c>
      <c r="EB255" s="24">
        <v>184.3</v>
      </c>
      <c r="EC255" s="24">
        <v>0</v>
      </c>
      <c r="ED255" s="24">
        <v>6</v>
      </c>
      <c r="EE255" s="24">
        <v>6929</v>
      </c>
      <c r="EF255" s="24">
        <v>41</v>
      </c>
      <c r="EI255" s="24">
        <v>2023</v>
      </c>
      <c r="EJ255" s="24">
        <v>3</v>
      </c>
      <c r="EK255" s="24" t="s">
        <v>237</v>
      </c>
      <c r="EL255" s="24" t="s">
        <v>235</v>
      </c>
      <c r="EM255" s="24" t="s">
        <v>215</v>
      </c>
      <c r="EN255" s="24">
        <v>3</v>
      </c>
      <c r="EO255" s="24"/>
      <c r="EP255" s="24"/>
      <c r="EQ255" s="24"/>
      <c r="ER255" s="24"/>
      <c r="ES255" s="24">
        <v>2021</v>
      </c>
      <c r="ET255" s="24">
        <v>25</v>
      </c>
      <c r="EU255" s="24" t="s">
        <v>32</v>
      </c>
      <c r="EV255" s="24">
        <v>5600</v>
      </c>
      <c r="EY255" s="24">
        <v>2021</v>
      </c>
      <c r="EZ255" s="24">
        <v>12</v>
      </c>
      <c r="FA255" s="24" t="s">
        <v>33</v>
      </c>
      <c r="FB255" s="24">
        <v>3073</v>
      </c>
      <c r="FE255" s="24"/>
      <c r="FF255" s="24"/>
      <c r="FG255" s="24"/>
      <c r="FH255" s="24"/>
      <c r="FN255" s="24"/>
      <c r="FO255" s="24"/>
      <c r="FP255" s="24"/>
      <c r="FQ255" s="24"/>
      <c r="FW255" s="24">
        <v>2021</v>
      </c>
      <c r="FX255" s="24">
        <v>7</v>
      </c>
      <c r="FY255" s="24" t="s">
        <v>33</v>
      </c>
      <c r="FZ255" s="24">
        <v>6886</v>
      </c>
      <c r="GA255" s="24">
        <v>6328</v>
      </c>
      <c r="GB255" s="24"/>
      <c r="GC255" s="24"/>
      <c r="GD255" s="24">
        <v>2021</v>
      </c>
      <c r="GE255" s="24">
        <v>7</v>
      </c>
      <c r="GF255" s="24" t="s">
        <v>33</v>
      </c>
      <c r="GG255" s="24">
        <v>7014</v>
      </c>
      <c r="GH255" s="24">
        <v>6598</v>
      </c>
      <c r="GK255" s="24"/>
      <c r="GL255" s="24"/>
      <c r="GM255" s="24"/>
      <c r="GN255" s="24"/>
      <c r="GO255" s="24"/>
      <c r="GP255" s="24">
        <v>2021</v>
      </c>
      <c r="GQ255" s="24">
        <v>7</v>
      </c>
      <c r="GR255" s="24">
        <v>5.1935714285714303</v>
      </c>
      <c r="GS255" s="24" t="s">
        <v>33</v>
      </c>
      <c r="GX255">
        <v>2021</v>
      </c>
      <c r="GY255">
        <v>7</v>
      </c>
      <c r="GZ255" t="s">
        <v>33</v>
      </c>
      <c r="HA255">
        <v>191989</v>
      </c>
      <c r="HB255">
        <v>186478</v>
      </c>
      <c r="HC255">
        <v>211</v>
      </c>
      <c r="HD255">
        <v>611</v>
      </c>
      <c r="HE255">
        <v>1</v>
      </c>
      <c r="HF255">
        <v>2280</v>
      </c>
      <c r="HG255">
        <v>0</v>
      </c>
      <c r="HH255">
        <v>0</v>
      </c>
      <c r="HI255">
        <v>828</v>
      </c>
      <c r="HL255">
        <v>2021</v>
      </c>
      <c r="HM255">
        <v>7</v>
      </c>
      <c r="HN255" t="s">
        <v>33</v>
      </c>
      <c r="HO255">
        <v>189359</v>
      </c>
      <c r="HP255">
        <v>186763</v>
      </c>
      <c r="HQ255">
        <v>224</v>
      </c>
      <c r="HR255">
        <v>434</v>
      </c>
      <c r="HS255">
        <v>0</v>
      </c>
      <c r="HT255">
        <v>2080</v>
      </c>
      <c r="HU255">
        <v>0</v>
      </c>
      <c r="HV255">
        <v>0</v>
      </c>
      <c r="HW255">
        <v>228</v>
      </c>
      <c r="HZ255" s="24">
        <v>2021</v>
      </c>
      <c r="IA255" s="24">
        <v>7</v>
      </c>
      <c r="IB255" s="24" t="s">
        <v>33</v>
      </c>
      <c r="IC255" s="24">
        <v>6711</v>
      </c>
      <c r="ID255" s="24">
        <v>6488</v>
      </c>
      <c r="IG255" s="24">
        <v>2021</v>
      </c>
      <c r="IH255" s="24">
        <v>7</v>
      </c>
      <c r="II255" s="24" t="s">
        <v>33</v>
      </c>
      <c r="IJ255" s="24">
        <v>6603</v>
      </c>
      <c r="IK255" s="24">
        <v>6574</v>
      </c>
    </row>
    <row r="256" spans="9:245" x14ac:dyDescent="0.4">
      <c r="I256" s="305">
        <v>2021</v>
      </c>
      <c r="J256" s="306">
        <v>7</v>
      </c>
      <c r="K256" s="306" t="s">
        <v>33</v>
      </c>
      <c r="L256" s="306">
        <v>189153</v>
      </c>
      <c r="M256" s="306">
        <v>180608</v>
      </c>
      <c r="N256" s="306">
        <v>475</v>
      </c>
      <c r="O256" s="306">
        <v>2066</v>
      </c>
      <c r="P256" s="306">
        <v>172</v>
      </c>
      <c r="Q256" s="306">
        <v>83</v>
      </c>
      <c r="R256" s="24"/>
      <c r="S256" s="24"/>
      <c r="T256" s="24"/>
      <c r="W256" s="24">
        <v>2021</v>
      </c>
      <c r="X256" s="24">
        <v>6</v>
      </c>
      <c r="Y256" s="24" t="s">
        <v>32</v>
      </c>
      <c r="Z256" s="24">
        <v>8011</v>
      </c>
      <c r="AA256" s="24">
        <v>7487</v>
      </c>
      <c r="AB256" s="24">
        <v>45</v>
      </c>
      <c r="AC256" s="24">
        <v>35</v>
      </c>
      <c r="AI256" s="24"/>
      <c r="AJ256" s="24"/>
      <c r="AK256" s="24"/>
      <c r="AL256" s="24"/>
      <c r="AM256" s="24"/>
      <c r="AN256" s="24"/>
      <c r="AO256" s="24"/>
      <c r="AP256" s="24"/>
      <c r="AQ256" s="24"/>
      <c r="AR256" s="24"/>
      <c r="AT256" s="24"/>
      <c r="AU256" s="24">
        <v>2021</v>
      </c>
      <c r="AV256" s="24">
        <v>6</v>
      </c>
      <c r="AW256" s="24">
        <v>0.05</v>
      </c>
      <c r="AX256" s="24">
        <v>400</v>
      </c>
      <c r="AY256" s="24">
        <v>8358</v>
      </c>
      <c r="AZ256" s="24" t="s">
        <v>32</v>
      </c>
      <c r="BA256" s="24"/>
      <c r="BB256" s="24"/>
      <c r="BC256" s="24">
        <v>2021</v>
      </c>
      <c r="BD256" s="24">
        <v>6</v>
      </c>
      <c r="BE256" s="24">
        <v>121.268666666667</v>
      </c>
      <c r="BF256" s="24" t="s">
        <v>32</v>
      </c>
      <c r="BG256" s="24"/>
      <c r="BI256" s="24">
        <v>2022</v>
      </c>
      <c r="BJ256" s="24">
        <v>8</v>
      </c>
      <c r="BK256" s="24" t="s">
        <v>32</v>
      </c>
      <c r="BL256" s="24" t="s">
        <v>273</v>
      </c>
      <c r="BM256" s="24">
        <v>7113</v>
      </c>
      <c r="BN256" s="24">
        <v>7073</v>
      </c>
      <c r="BO256" s="24">
        <v>7210</v>
      </c>
      <c r="BR256" s="24">
        <v>2021</v>
      </c>
      <c r="BS256" s="24">
        <v>6</v>
      </c>
      <c r="BT256" s="24">
        <v>8302</v>
      </c>
      <c r="BU256" s="24">
        <v>0</v>
      </c>
      <c r="BV256" s="24" t="s">
        <v>32</v>
      </c>
      <c r="BY256" s="314">
        <v>2021</v>
      </c>
      <c r="BZ256" s="314">
        <v>12</v>
      </c>
      <c r="CA256" s="314" t="s">
        <v>32</v>
      </c>
      <c r="CB256" s="314" t="s">
        <v>423</v>
      </c>
      <c r="CC256" s="314">
        <v>88</v>
      </c>
      <c r="CF256" s="24"/>
      <c r="CG256" s="24"/>
      <c r="CH256" s="24"/>
      <c r="CI256" s="24"/>
      <c r="CJ256" s="24"/>
      <c r="DD256" s="24"/>
      <c r="DE256" s="24"/>
      <c r="DF256" s="24"/>
      <c r="DG256" s="24"/>
      <c r="DH256" s="24"/>
      <c r="DJ256" s="24">
        <v>2021</v>
      </c>
      <c r="DK256" s="24">
        <v>6</v>
      </c>
      <c r="DL256" s="24" t="s">
        <v>33</v>
      </c>
      <c r="DM256" s="24">
        <v>290</v>
      </c>
      <c r="DP256" s="24">
        <v>2019</v>
      </c>
      <c r="DQ256" s="24">
        <v>22</v>
      </c>
      <c r="DR256" s="24" t="s">
        <v>33</v>
      </c>
      <c r="DS256" s="24">
        <v>7042</v>
      </c>
      <c r="DT256" s="24">
        <v>173</v>
      </c>
      <c r="DW256" s="24">
        <v>2021</v>
      </c>
      <c r="DX256" s="24">
        <v>42</v>
      </c>
      <c r="DY256" s="24" t="s">
        <v>33</v>
      </c>
      <c r="DZ256" s="24">
        <v>43</v>
      </c>
      <c r="EA256" s="24" t="s">
        <v>149</v>
      </c>
      <c r="EB256" s="24">
        <v>272.5</v>
      </c>
      <c r="EC256" s="24">
        <v>1010.6</v>
      </c>
      <c r="ED256" s="24">
        <v>30853</v>
      </c>
      <c r="EE256" s="24">
        <v>39019</v>
      </c>
      <c r="EF256" s="24">
        <v>123.8</v>
      </c>
      <c r="EI256" s="24">
        <v>2023</v>
      </c>
      <c r="EJ256" s="24">
        <v>3</v>
      </c>
      <c r="EK256" s="24" t="s">
        <v>237</v>
      </c>
      <c r="EL256" s="24" t="s">
        <v>247</v>
      </c>
      <c r="EM256" s="24" t="s">
        <v>210</v>
      </c>
      <c r="EN256" s="24">
        <v>28</v>
      </c>
      <c r="EO256" s="24"/>
      <c r="EP256" s="24"/>
      <c r="EQ256" s="24"/>
      <c r="ER256" s="24"/>
      <c r="ES256" s="24">
        <v>2021</v>
      </c>
      <c r="ET256" s="24">
        <v>25</v>
      </c>
      <c r="EU256" s="24" t="s">
        <v>33</v>
      </c>
      <c r="EV256" s="24">
        <v>104099</v>
      </c>
      <c r="EY256" s="24">
        <v>2021</v>
      </c>
      <c r="EZ256" s="24">
        <v>11</v>
      </c>
      <c r="FA256" s="24" t="s">
        <v>32</v>
      </c>
      <c r="FB256" s="24">
        <v>702</v>
      </c>
      <c r="FE256" s="24"/>
      <c r="FF256" s="24"/>
      <c r="FG256" s="24"/>
      <c r="FH256" s="24"/>
      <c r="FN256" s="24"/>
      <c r="FO256" s="24"/>
      <c r="FP256" s="24"/>
      <c r="FQ256" s="24"/>
      <c r="FW256" s="24">
        <v>2021</v>
      </c>
      <c r="FX256" s="24">
        <v>6</v>
      </c>
      <c r="FY256" s="24" t="s">
        <v>32</v>
      </c>
      <c r="FZ256" s="24">
        <v>1161</v>
      </c>
      <c r="GA256" s="24">
        <v>968</v>
      </c>
      <c r="GB256" s="24"/>
      <c r="GC256" s="24"/>
      <c r="GD256" s="24">
        <v>2021</v>
      </c>
      <c r="GE256" s="24">
        <v>6</v>
      </c>
      <c r="GF256" s="24" t="s">
        <v>32</v>
      </c>
      <c r="GG256" s="24">
        <v>1172</v>
      </c>
      <c r="GH256" s="24">
        <v>999</v>
      </c>
      <c r="GK256" s="24"/>
      <c r="GL256" s="24"/>
      <c r="GM256" s="24"/>
      <c r="GN256" s="24"/>
      <c r="GO256" s="24"/>
      <c r="GP256" s="24">
        <v>2021</v>
      </c>
      <c r="GQ256" s="24">
        <v>6</v>
      </c>
      <c r="GR256" s="24">
        <v>0.29899999999999999</v>
      </c>
      <c r="GS256" s="24" t="s">
        <v>32</v>
      </c>
      <c r="GX256">
        <v>2021</v>
      </c>
      <c r="GY256">
        <v>6</v>
      </c>
      <c r="GZ256" t="s">
        <v>32</v>
      </c>
      <c r="HA256">
        <v>7910</v>
      </c>
      <c r="HB256">
        <v>7527</v>
      </c>
      <c r="HC256">
        <v>0</v>
      </c>
      <c r="HD256">
        <v>4</v>
      </c>
      <c r="HE256">
        <v>0</v>
      </c>
      <c r="HF256">
        <v>21</v>
      </c>
      <c r="HG256">
        <v>0</v>
      </c>
      <c r="HH256">
        <v>0</v>
      </c>
      <c r="HI256">
        <v>89</v>
      </c>
      <c r="HL256">
        <v>2021</v>
      </c>
      <c r="HM256">
        <v>6</v>
      </c>
      <c r="HN256" t="s">
        <v>32</v>
      </c>
      <c r="HO256">
        <v>7972</v>
      </c>
      <c r="HP256">
        <v>7772</v>
      </c>
      <c r="HQ256">
        <v>0</v>
      </c>
      <c r="HR256">
        <v>0</v>
      </c>
      <c r="HS256">
        <v>0</v>
      </c>
      <c r="HT256">
        <v>24</v>
      </c>
      <c r="HU256">
        <v>0</v>
      </c>
      <c r="HV256">
        <v>0</v>
      </c>
      <c r="HW256">
        <v>20</v>
      </c>
      <c r="HZ256" s="24">
        <v>2021</v>
      </c>
      <c r="IA256" s="24">
        <v>6</v>
      </c>
      <c r="IB256" s="24" t="s">
        <v>32</v>
      </c>
      <c r="IC256" s="24">
        <v>1183</v>
      </c>
      <c r="ID256" s="24">
        <v>1065</v>
      </c>
      <c r="IG256" s="24">
        <v>2021</v>
      </c>
      <c r="IH256" s="24">
        <v>6</v>
      </c>
      <c r="II256" s="24" t="s">
        <v>32</v>
      </c>
      <c r="IJ256" s="24">
        <v>1155</v>
      </c>
      <c r="IK256" s="24">
        <v>1097</v>
      </c>
    </row>
    <row r="257" spans="9:245" x14ac:dyDescent="0.4">
      <c r="I257" s="305">
        <v>2021</v>
      </c>
      <c r="J257" s="306">
        <v>6</v>
      </c>
      <c r="K257" s="306" t="s">
        <v>32</v>
      </c>
      <c r="L257" s="306">
        <v>8056</v>
      </c>
      <c r="M257" s="306">
        <v>7462</v>
      </c>
      <c r="N257" s="306">
        <v>41</v>
      </c>
      <c r="O257" s="306">
        <v>254</v>
      </c>
      <c r="P257" s="306">
        <v>49</v>
      </c>
      <c r="Q257" s="306">
        <v>50</v>
      </c>
      <c r="R257" s="24"/>
      <c r="S257" s="24"/>
      <c r="T257" s="24"/>
      <c r="W257" s="24">
        <v>2021</v>
      </c>
      <c r="X257" s="24">
        <v>6</v>
      </c>
      <c r="Y257" s="24" t="s">
        <v>33</v>
      </c>
      <c r="Z257" s="24">
        <v>181916</v>
      </c>
      <c r="AA257" s="24">
        <v>165011</v>
      </c>
      <c r="AB257" s="24">
        <v>326</v>
      </c>
      <c r="AC257" s="24">
        <v>924</v>
      </c>
      <c r="AI257" s="24"/>
      <c r="AJ257" s="24"/>
      <c r="AK257" s="24"/>
      <c r="AL257" s="24"/>
      <c r="AM257" s="24"/>
      <c r="AN257" s="24"/>
      <c r="AO257" s="24"/>
      <c r="AP257" s="24"/>
      <c r="AQ257" s="24"/>
      <c r="AR257" s="24"/>
      <c r="AT257" s="24"/>
      <c r="AU257" s="24">
        <v>2021</v>
      </c>
      <c r="AV257" s="24">
        <v>6</v>
      </c>
      <c r="AW257" s="24">
        <v>0.06</v>
      </c>
      <c r="AX257" s="24">
        <v>10800</v>
      </c>
      <c r="AY257" s="24">
        <v>188472</v>
      </c>
      <c r="AZ257" s="24" t="s">
        <v>33</v>
      </c>
      <c r="BA257" s="24"/>
      <c r="BB257" s="24"/>
      <c r="BC257" s="24">
        <v>2021</v>
      </c>
      <c r="BD257" s="24">
        <v>6</v>
      </c>
      <c r="BE257" s="24">
        <v>1712.4413333333298</v>
      </c>
      <c r="BF257" s="24" t="s">
        <v>33</v>
      </c>
      <c r="BG257" s="24"/>
      <c r="BI257" s="24">
        <v>2022</v>
      </c>
      <c r="BJ257" s="24">
        <v>8</v>
      </c>
      <c r="BK257" s="24" t="s">
        <v>33</v>
      </c>
      <c r="BL257" s="24" t="s">
        <v>273</v>
      </c>
      <c r="BM257" s="24">
        <v>109237</v>
      </c>
      <c r="BN257" s="24">
        <v>106673</v>
      </c>
      <c r="BO257" s="24">
        <v>112281</v>
      </c>
      <c r="BR257" s="24">
        <v>2021</v>
      </c>
      <c r="BS257" s="24">
        <v>6</v>
      </c>
      <c r="BT257" s="24">
        <v>187632</v>
      </c>
      <c r="BU257" s="24">
        <v>0</v>
      </c>
      <c r="BV257" s="24" t="s">
        <v>33</v>
      </c>
      <c r="BY257" s="314">
        <v>2021</v>
      </c>
      <c r="BZ257" s="314">
        <v>12</v>
      </c>
      <c r="CA257" s="314" t="s">
        <v>33</v>
      </c>
      <c r="CB257" s="314" t="s">
        <v>108</v>
      </c>
      <c r="CC257" s="314">
        <v>1</v>
      </c>
      <c r="CF257" s="24"/>
      <c r="CG257" s="24"/>
      <c r="CH257" s="24"/>
      <c r="CI257" s="24"/>
      <c r="CJ257" s="24"/>
      <c r="DD257" s="24"/>
      <c r="DE257" s="24"/>
      <c r="DF257" s="24"/>
      <c r="DG257" s="24"/>
      <c r="DH257" s="24"/>
      <c r="DJ257" s="24">
        <v>2021</v>
      </c>
      <c r="DK257" s="24">
        <v>6</v>
      </c>
      <c r="DL257" s="24" t="s">
        <v>213</v>
      </c>
      <c r="DM257" s="24">
        <v>1</v>
      </c>
      <c r="DP257" s="309">
        <v>2019</v>
      </c>
      <c r="DQ257" s="309">
        <v>21</v>
      </c>
      <c r="DR257" s="309" t="s">
        <v>33</v>
      </c>
      <c r="DS257" s="309">
        <v>7291</v>
      </c>
      <c r="DT257" s="309">
        <v>229</v>
      </c>
      <c r="DW257" s="24">
        <v>2021</v>
      </c>
      <c r="DX257" s="24">
        <v>41</v>
      </c>
      <c r="DY257" s="24" t="s">
        <v>32</v>
      </c>
      <c r="DZ257" s="24">
        <v>1</v>
      </c>
      <c r="EA257" s="24" t="s">
        <v>149</v>
      </c>
      <c r="EB257" s="24">
        <v>0</v>
      </c>
      <c r="EC257" s="24">
        <v>0</v>
      </c>
      <c r="ED257" s="24">
        <v>238</v>
      </c>
      <c r="EE257" s="24">
        <v>40</v>
      </c>
      <c r="EF257" s="24">
        <v>3.5</v>
      </c>
      <c r="EI257" s="24">
        <v>2023</v>
      </c>
      <c r="EJ257" s="24">
        <v>3</v>
      </c>
      <c r="EK257" s="24" t="s">
        <v>237</v>
      </c>
      <c r="EL257" s="24" t="s">
        <v>241</v>
      </c>
      <c r="EM257" s="24" t="s">
        <v>210</v>
      </c>
      <c r="EN257" s="24">
        <v>483</v>
      </c>
      <c r="EO257" s="24"/>
      <c r="EP257" s="24"/>
      <c r="EQ257" s="24"/>
      <c r="ER257" s="24"/>
      <c r="ES257" s="24">
        <v>2021</v>
      </c>
      <c r="ET257" s="24">
        <v>25</v>
      </c>
      <c r="EU257" s="24" t="s">
        <v>213</v>
      </c>
      <c r="EV257" s="24">
        <v>1</v>
      </c>
      <c r="EY257" s="24">
        <v>2021</v>
      </c>
      <c r="EZ257" s="24">
        <v>11</v>
      </c>
      <c r="FA257" s="24" t="s">
        <v>33</v>
      </c>
      <c r="FB257" s="24">
        <v>3379</v>
      </c>
      <c r="FE257" s="24"/>
      <c r="FF257" s="24"/>
      <c r="FG257" s="24"/>
      <c r="FH257" s="24"/>
      <c r="FN257" s="24"/>
      <c r="FO257" s="24"/>
      <c r="FP257" s="24"/>
      <c r="FQ257" s="24"/>
      <c r="FW257" s="24">
        <v>2021</v>
      </c>
      <c r="FX257" s="24">
        <v>6</v>
      </c>
      <c r="FY257" s="24" t="s">
        <v>33</v>
      </c>
      <c r="FZ257" s="24">
        <v>8892</v>
      </c>
      <c r="GA257" s="24">
        <v>7201</v>
      </c>
      <c r="GB257" s="24"/>
      <c r="GC257" s="24"/>
      <c r="GD257" s="24">
        <v>2021</v>
      </c>
      <c r="GE257" s="24">
        <v>6</v>
      </c>
      <c r="GF257" s="24" t="s">
        <v>33</v>
      </c>
      <c r="GG257" s="24">
        <v>8713</v>
      </c>
      <c r="GH257" s="24">
        <v>7333</v>
      </c>
      <c r="GK257" s="24"/>
      <c r="GL257" s="24"/>
      <c r="GM257" s="24"/>
      <c r="GN257" s="24"/>
      <c r="GO257" s="24"/>
      <c r="GP257" s="24">
        <v>2021</v>
      </c>
      <c r="GQ257" s="24">
        <v>6</v>
      </c>
      <c r="GR257" s="24">
        <v>5.3171666666666697</v>
      </c>
      <c r="GS257" s="24" t="s">
        <v>33</v>
      </c>
      <c r="GX257">
        <v>2021</v>
      </c>
      <c r="GY257">
        <v>6</v>
      </c>
      <c r="GZ257" t="s">
        <v>33</v>
      </c>
      <c r="HA257">
        <v>180010</v>
      </c>
      <c r="HB257">
        <v>165585</v>
      </c>
      <c r="HC257">
        <v>290</v>
      </c>
      <c r="HD257">
        <v>59</v>
      </c>
      <c r="HE257">
        <v>0</v>
      </c>
      <c r="HF257">
        <v>4233</v>
      </c>
      <c r="HG257">
        <v>0</v>
      </c>
      <c r="HH257">
        <v>0</v>
      </c>
      <c r="HI257">
        <v>2084</v>
      </c>
      <c r="HL257">
        <v>2021</v>
      </c>
      <c r="HM257">
        <v>6</v>
      </c>
      <c r="HN257" t="s">
        <v>33</v>
      </c>
      <c r="HO257">
        <v>181083</v>
      </c>
      <c r="HP257">
        <v>172083</v>
      </c>
      <c r="HQ257">
        <v>354</v>
      </c>
      <c r="HR257">
        <v>37</v>
      </c>
      <c r="HS257">
        <v>0</v>
      </c>
      <c r="HT257">
        <v>4397</v>
      </c>
      <c r="HU257">
        <v>0</v>
      </c>
      <c r="HV257">
        <v>0</v>
      </c>
      <c r="HW257">
        <v>753</v>
      </c>
      <c r="HZ257" s="24">
        <v>2021</v>
      </c>
      <c r="IA257" s="24">
        <v>6</v>
      </c>
      <c r="IB257" s="24" t="s">
        <v>33</v>
      </c>
      <c r="IC257" s="24">
        <v>8867</v>
      </c>
      <c r="ID257" s="24">
        <v>7836</v>
      </c>
      <c r="IG257" s="24">
        <v>2021</v>
      </c>
      <c r="IH257" s="24">
        <v>6</v>
      </c>
      <c r="II257" s="24" t="s">
        <v>33</v>
      </c>
      <c r="IJ257" s="24">
        <v>8380</v>
      </c>
      <c r="IK257" s="24">
        <v>7958</v>
      </c>
    </row>
    <row r="258" spans="9:245" x14ac:dyDescent="0.4">
      <c r="I258" s="305">
        <v>2021</v>
      </c>
      <c r="J258" s="306">
        <v>6</v>
      </c>
      <c r="K258" s="306" t="s">
        <v>33</v>
      </c>
      <c r="L258" s="306">
        <v>182747</v>
      </c>
      <c r="M258" s="306">
        <v>163135</v>
      </c>
      <c r="N258" s="306">
        <v>754</v>
      </c>
      <c r="O258" s="306">
        <v>5058</v>
      </c>
      <c r="P258" s="306">
        <v>540</v>
      </c>
      <c r="Q258" s="306">
        <v>1008</v>
      </c>
      <c r="R258" s="24"/>
      <c r="S258" s="24"/>
      <c r="T258" s="24"/>
      <c r="W258" s="24">
        <v>2021</v>
      </c>
      <c r="X258" s="24">
        <v>5</v>
      </c>
      <c r="Y258" s="24" t="s">
        <v>32</v>
      </c>
      <c r="Z258" s="24">
        <v>8709</v>
      </c>
      <c r="AA258" s="24">
        <v>8465</v>
      </c>
      <c r="AB258" s="24">
        <v>17</v>
      </c>
      <c r="AC258" s="24">
        <v>45</v>
      </c>
      <c r="AI258" s="24"/>
      <c r="AJ258" s="24"/>
      <c r="AK258" s="24"/>
      <c r="AL258" s="24"/>
      <c r="AM258" s="24"/>
      <c r="AN258" s="24"/>
      <c r="AO258" s="24"/>
      <c r="AP258" s="24"/>
      <c r="AQ258" s="24"/>
      <c r="AR258" s="24"/>
      <c r="AT258" s="24"/>
      <c r="AU258" s="24">
        <v>2021</v>
      </c>
      <c r="AV258" s="24">
        <v>5</v>
      </c>
      <c r="AW258" s="24">
        <v>0.04</v>
      </c>
      <c r="AX258" s="24">
        <v>400</v>
      </c>
      <c r="AY258" s="24">
        <v>8963</v>
      </c>
      <c r="AZ258" s="24" t="s">
        <v>32</v>
      </c>
      <c r="BA258" s="24"/>
      <c r="BB258" s="24"/>
      <c r="BC258" s="24">
        <v>2021</v>
      </c>
      <c r="BD258" s="24">
        <v>5</v>
      </c>
      <c r="BE258" s="24">
        <v>120.58500000000001</v>
      </c>
      <c r="BF258" s="24" t="s">
        <v>32</v>
      </c>
      <c r="BG258" s="24"/>
      <c r="BI258" s="24">
        <v>2022</v>
      </c>
      <c r="BJ258" s="24">
        <v>7</v>
      </c>
      <c r="BK258" s="24" t="s">
        <v>32</v>
      </c>
      <c r="BL258" s="24" t="s">
        <v>272</v>
      </c>
      <c r="BM258" s="24">
        <v>3055</v>
      </c>
      <c r="BN258" s="24">
        <v>3049</v>
      </c>
      <c r="BO258" s="24">
        <v>10353</v>
      </c>
      <c r="BR258" s="24">
        <v>2021</v>
      </c>
      <c r="BS258" s="24">
        <v>5</v>
      </c>
      <c r="BT258" s="24">
        <v>188437</v>
      </c>
      <c r="BU258" s="24">
        <v>0</v>
      </c>
      <c r="BV258" s="24" t="s">
        <v>33</v>
      </c>
      <c r="BY258" s="314">
        <v>2021</v>
      </c>
      <c r="BZ258" s="314">
        <v>12</v>
      </c>
      <c r="CA258" s="314" t="s">
        <v>33</v>
      </c>
      <c r="CB258" s="314" t="s">
        <v>423</v>
      </c>
      <c r="CC258" s="314">
        <v>18</v>
      </c>
      <c r="CF258" s="24"/>
      <c r="CG258" s="24"/>
      <c r="CH258" s="24"/>
      <c r="CI258" s="24"/>
      <c r="CJ258" s="24"/>
      <c r="DD258" s="24"/>
      <c r="DE258" s="24"/>
      <c r="DF258" s="24"/>
      <c r="DG258" s="24"/>
      <c r="DH258" s="24"/>
      <c r="DJ258" s="24">
        <v>2021</v>
      </c>
      <c r="DK258" s="24">
        <v>5</v>
      </c>
      <c r="DL258" s="24" t="s">
        <v>32</v>
      </c>
      <c r="DM258" s="24">
        <v>41</v>
      </c>
      <c r="DP258" s="309">
        <v>2019</v>
      </c>
      <c r="DQ258" s="309">
        <v>20</v>
      </c>
      <c r="DR258" s="309" t="s">
        <v>33</v>
      </c>
      <c r="DS258" s="309">
        <v>10756</v>
      </c>
      <c r="DT258" s="309">
        <v>443</v>
      </c>
      <c r="DW258" s="24">
        <v>2021</v>
      </c>
      <c r="DX258" s="24">
        <v>41</v>
      </c>
      <c r="DY258" s="24" t="s">
        <v>33</v>
      </c>
      <c r="DZ258" s="24">
        <v>9</v>
      </c>
      <c r="EA258" s="24" t="s">
        <v>562</v>
      </c>
      <c r="EB258" s="24">
        <v>148.19999999999999</v>
      </c>
      <c r="EC258" s="24">
        <v>0</v>
      </c>
      <c r="ED258" s="24">
        <v>6</v>
      </c>
      <c r="EE258" s="24">
        <v>5099</v>
      </c>
      <c r="EF258" s="24">
        <v>34.4</v>
      </c>
      <c r="EI258" s="24">
        <v>2023</v>
      </c>
      <c r="EJ258" s="24">
        <v>3</v>
      </c>
      <c r="EK258" s="24" t="s">
        <v>237</v>
      </c>
      <c r="EL258" s="24" t="s">
        <v>241</v>
      </c>
      <c r="EM258" s="24" t="s">
        <v>234</v>
      </c>
      <c r="EN258" s="24">
        <v>1</v>
      </c>
      <c r="EO258" s="24"/>
      <c r="EP258" s="24"/>
      <c r="EQ258" s="24"/>
      <c r="ER258" s="24"/>
      <c r="ES258" s="24">
        <v>2021</v>
      </c>
      <c r="ET258" s="24">
        <v>24</v>
      </c>
      <c r="EU258" s="24" t="s">
        <v>32</v>
      </c>
      <c r="EV258" s="24">
        <v>5465</v>
      </c>
      <c r="EY258" s="24">
        <v>2021</v>
      </c>
      <c r="EZ258" s="24">
        <v>10</v>
      </c>
      <c r="FA258" s="24" t="s">
        <v>32</v>
      </c>
      <c r="FB258" s="24">
        <v>764</v>
      </c>
      <c r="FE258" s="24"/>
      <c r="FF258" s="24"/>
      <c r="FG258" s="24"/>
      <c r="FH258" s="24"/>
      <c r="FN258" s="24"/>
      <c r="FO258" s="24"/>
      <c r="FP258" s="24"/>
      <c r="FQ258" s="24"/>
      <c r="FW258" s="24">
        <v>2021</v>
      </c>
      <c r="FX258" s="24">
        <v>5</v>
      </c>
      <c r="FY258" s="24" t="s">
        <v>32</v>
      </c>
      <c r="FZ258" s="24">
        <v>992</v>
      </c>
      <c r="GA258" s="24">
        <v>842</v>
      </c>
      <c r="GB258" s="24"/>
      <c r="GC258" s="24"/>
      <c r="GD258" s="24">
        <v>2021</v>
      </c>
      <c r="GE258" s="24">
        <v>5</v>
      </c>
      <c r="GF258" s="24" t="s">
        <v>32</v>
      </c>
      <c r="GG258" s="24">
        <v>984</v>
      </c>
      <c r="GH258" s="24">
        <v>841</v>
      </c>
      <c r="GK258" s="24"/>
      <c r="GL258" s="24"/>
      <c r="GM258" s="24"/>
      <c r="GN258" s="24"/>
      <c r="GO258" s="24"/>
      <c r="GP258" s="24">
        <v>2021</v>
      </c>
      <c r="GQ258" s="24">
        <v>5</v>
      </c>
      <c r="GR258" s="24">
        <v>0.29642857142857104</v>
      </c>
      <c r="GS258" s="24" t="s">
        <v>32</v>
      </c>
      <c r="GX258">
        <v>2021</v>
      </c>
      <c r="GY258">
        <v>5</v>
      </c>
      <c r="GZ258" t="s">
        <v>32</v>
      </c>
      <c r="HA258">
        <v>8688</v>
      </c>
      <c r="HB258">
        <v>8536</v>
      </c>
      <c r="HC258">
        <v>0</v>
      </c>
      <c r="HD258">
        <v>2</v>
      </c>
      <c r="HE258">
        <v>0</v>
      </c>
      <c r="HF258">
        <v>7</v>
      </c>
      <c r="HG258">
        <v>0</v>
      </c>
      <c r="HH258">
        <v>0</v>
      </c>
      <c r="HI258">
        <v>48</v>
      </c>
      <c r="HL258">
        <v>2021</v>
      </c>
      <c r="HM258">
        <v>5</v>
      </c>
      <c r="HN258" t="s">
        <v>32</v>
      </c>
      <c r="HO258">
        <v>8677</v>
      </c>
      <c r="HP258">
        <v>8667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Z258" s="24">
        <v>2021</v>
      </c>
      <c r="IA258" s="24">
        <v>5</v>
      </c>
      <c r="IB258" s="24" t="s">
        <v>32</v>
      </c>
      <c r="IC258" s="24">
        <v>912</v>
      </c>
      <c r="ID258" s="24">
        <v>865</v>
      </c>
      <c r="IG258" s="24">
        <v>2021</v>
      </c>
      <c r="IH258" s="24">
        <v>5</v>
      </c>
      <c r="II258" s="24" t="s">
        <v>32</v>
      </c>
      <c r="IJ258" s="24">
        <v>958</v>
      </c>
      <c r="IK258" s="24">
        <v>957</v>
      </c>
    </row>
    <row r="259" spans="9:245" x14ac:dyDescent="0.4">
      <c r="I259" s="305">
        <v>2021</v>
      </c>
      <c r="J259" s="306">
        <v>5</v>
      </c>
      <c r="K259" s="306" t="s">
        <v>32</v>
      </c>
      <c r="L259" s="306">
        <v>8698</v>
      </c>
      <c r="M259" s="306">
        <v>8423</v>
      </c>
      <c r="N259" s="306">
        <v>22</v>
      </c>
      <c r="O259" s="306">
        <v>152</v>
      </c>
      <c r="P259" s="306">
        <v>24</v>
      </c>
      <c r="Q259" s="306">
        <v>42</v>
      </c>
      <c r="R259" s="24"/>
      <c r="S259" s="24"/>
      <c r="T259" s="24"/>
      <c r="W259" s="24">
        <v>2021</v>
      </c>
      <c r="X259" s="24">
        <v>5</v>
      </c>
      <c r="Y259" s="24" t="s">
        <v>33</v>
      </c>
      <c r="Z259" s="24">
        <v>185679</v>
      </c>
      <c r="AA259" s="24">
        <v>182761</v>
      </c>
      <c r="AB259" s="24">
        <v>179</v>
      </c>
      <c r="AC259" s="24">
        <v>157</v>
      </c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T259" s="24"/>
      <c r="AU259" s="24">
        <v>2021</v>
      </c>
      <c r="AV259" s="24">
        <v>5</v>
      </c>
      <c r="AW259" s="24">
        <v>0.03</v>
      </c>
      <c r="AX259" s="24">
        <v>5500</v>
      </c>
      <c r="AY259" s="24">
        <v>189384</v>
      </c>
      <c r="AZ259" s="24" t="s">
        <v>33</v>
      </c>
      <c r="BA259" s="24"/>
      <c r="BB259" s="24"/>
      <c r="BC259" s="24">
        <v>2021</v>
      </c>
      <c r="BD259" s="24">
        <v>5</v>
      </c>
      <c r="BE259" s="24">
        <v>1744.31614285714</v>
      </c>
      <c r="BF259" s="24" t="s">
        <v>33</v>
      </c>
      <c r="BG259" s="24"/>
      <c r="BI259" s="24">
        <v>2022</v>
      </c>
      <c r="BJ259" s="24">
        <v>7</v>
      </c>
      <c r="BK259" s="24" t="s">
        <v>32</v>
      </c>
      <c r="BL259" s="24" t="s">
        <v>273</v>
      </c>
      <c r="BM259" s="24">
        <v>7238</v>
      </c>
      <c r="BN259" s="24">
        <v>7199</v>
      </c>
      <c r="BO259" s="24">
        <v>7366</v>
      </c>
      <c r="BR259" s="24">
        <v>2021</v>
      </c>
      <c r="BS259" s="24">
        <v>5</v>
      </c>
      <c r="BT259" s="24">
        <v>8907</v>
      </c>
      <c r="BU259" s="24">
        <v>0</v>
      </c>
      <c r="BV259" s="24" t="s">
        <v>32</v>
      </c>
      <c r="BY259" s="314">
        <v>2021</v>
      </c>
      <c r="BZ259" s="314">
        <v>11</v>
      </c>
      <c r="CA259" s="314" t="s">
        <v>32</v>
      </c>
      <c r="CB259" s="314" t="s">
        <v>108</v>
      </c>
      <c r="CC259" s="314">
        <v>6</v>
      </c>
      <c r="CF259" s="24"/>
      <c r="CG259" s="24"/>
      <c r="CH259" s="24"/>
      <c r="CI259" s="24"/>
      <c r="CJ259" s="24"/>
      <c r="DD259" s="24"/>
      <c r="DE259" s="24"/>
      <c r="DF259" s="24"/>
      <c r="DG259" s="24"/>
      <c r="DH259" s="24"/>
      <c r="DJ259" s="24">
        <v>2021</v>
      </c>
      <c r="DK259" s="24">
        <v>5</v>
      </c>
      <c r="DL259" s="24" t="s">
        <v>33</v>
      </c>
      <c r="DM259" s="24">
        <v>548</v>
      </c>
      <c r="DP259" s="311">
        <v>2019</v>
      </c>
      <c r="DQ259" s="311">
        <v>19</v>
      </c>
      <c r="DR259" s="311" t="s">
        <v>33</v>
      </c>
      <c r="DS259" s="311">
        <v>13357</v>
      </c>
      <c r="DT259" s="311">
        <v>744</v>
      </c>
      <c r="DW259" s="24">
        <v>2021</v>
      </c>
      <c r="DX259" s="24">
        <v>41</v>
      </c>
      <c r="DY259" s="24" t="s">
        <v>33</v>
      </c>
      <c r="DZ259" s="24">
        <v>43</v>
      </c>
      <c r="EA259" s="24" t="s">
        <v>149</v>
      </c>
      <c r="EB259" s="24">
        <v>214.4</v>
      </c>
      <c r="EC259" s="24">
        <v>1217</v>
      </c>
      <c r="ED259" s="24">
        <v>38491</v>
      </c>
      <c r="EE259" s="24">
        <v>44227</v>
      </c>
      <c r="EF259" s="24">
        <v>200.7</v>
      </c>
      <c r="EI259" s="24">
        <v>2023</v>
      </c>
      <c r="EJ259" s="24">
        <v>3</v>
      </c>
      <c r="EK259" s="24" t="s">
        <v>211</v>
      </c>
      <c r="EL259" s="24" t="s">
        <v>232</v>
      </c>
      <c r="EM259" s="24" t="s">
        <v>234</v>
      </c>
      <c r="EN259" s="24">
        <v>2</v>
      </c>
      <c r="EO259" s="24"/>
      <c r="EP259" s="24"/>
      <c r="EQ259" s="24"/>
      <c r="ER259" s="24"/>
      <c r="ES259" s="24">
        <v>2021</v>
      </c>
      <c r="ET259" s="24">
        <v>24</v>
      </c>
      <c r="EU259" s="24" t="s">
        <v>33</v>
      </c>
      <c r="EV259" s="24">
        <v>116820</v>
      </c>
      <c r="EY259" s="24">
        <v>2021</v>
      </c>
      <c r="EZ259" s="24">
        <v>10</v>
      </c>
      <c r="FA259" s="24" t="s">
        <v>33</v>
      </c>
      <c r="FB259" s="24">
        <v>4145</v>
      </c>
      <c r="FE259" s="24"/>
      <c r="FF259" s="24"/>
      <c r="FG259" s="24"/>
      <c r="FH259" s="24"/>
      <c r="FN259" s="24"/>
      <c r="FO259" s="24"/>
      <c r="FP259" s="24"/>
      <c r="FQ259" s="24"/>
      <c r="FW259" s="24">
        <v>2021</v>
      </c>
      <c r="FX259" s="24">
        <v>5</v>
      </c>
      <c r="FY259" s="24" t="s">
        <v>33</v>
      </c>
      <c r="FZ259" s="24">
        <v>6198</v>
      </c>
      <c r="GA259" s="24">
        <v>5825</v>
      </c>
      <c r="GB259" s="24"/>
      <c r="GC259" s="24"/>
      <c r="GD259" s="24">
        <v>2021</v>
      </c>
      <c r="GE259" s="24">
        <v>5</v>
      </c>
      <c r="GF259" s="24" t="s">
        <v>33</v>
      </c>
      <c r="GG259" s="24">
        <v>6200</v>
      </c>
      <c r="GH259" s="24">
        <v>5856</v>
      </c>
      <c r="GK259" s="24"/>
      <c r="GL259" s="24"/>
      <c r="GM259" s="24"/>
      <c r="GN259" s="24"/>
      <c r="GO259" s="24"/>
      <c r="GP259" s="24">
        <v>2021</v>
      </c>
      <c r="GQ259" s="24">
        <v>5</v>
      </c>
      <c r="GR259" s="24">
        <v>5.3407142857142897</v>
      </c>
      <c r="GS259" s="24" t="s">
        <v>33</v>
      </c>
      <c r="GX259">
        <v>2021</v>
      </c>
      <c r="GY259">
        <v>5</v>
      </c>
      <c r="GZ259" t="s">
        <v>33</v>
      </c>
      <c r="HA259">
        <v>187230</v>
      </c>
      <c r="HB259">
        <v>184021</v>
      </c>
      <c r="HC259">
        <v>164</v>
      </c>
      <c r="HD259">
        <v>66</v>
      </c>
      <c r="HE259">
        <v>0</v>
      </c>
      <c r="HF259">
        <v>1342</v>
      </c>
      <c r="HG259">
        <v>0</v>
      </c>
      <c r="HH259">
        <v>0</v>
      </c>
      <c r="HI259">
        <v>685</v>
      </c>
      <c r="HL259">
        <v>2021</v>
      </c>
      <c r="HM259">
        <v>5</v>
      </c>
      <c r="HN259" t="s">
        <v>33</v>
      </c>
      <c r="HO259">
        <v>185282</v>
      </c>
      <c r="HP259">
        <v>184188</v>
      </c>
      <c r="HQ259">
        <v>190</v>
      </c>
      <c r="HR259">
        <v>36</v>
      </c>
      <c r="HS259">
        <v>0</v>
      </c>
      <c r="HT259">
        <v>871</v>
      </c>
      <c r="HU259">
        <v>0</v>
      </c>
      <c r="HV259">
        <v>0</v>
      </c>
      <c r="HW259">
        <v>121</v>
      </c>
      <c r="HZ259" s="24">
        <v>2021</v>
      </c>
      <c r="IA259" s="24">
        <v>5</v>
      </c>
      <c r="IB259" s="24" t="s">
        <v>33</v>
      </c>
      <c r="IC259" s="24">
        <v>6523</v>
      </c>
      <c r="ID259" s="24">
        <v>6338</v>
      </c>
      <c r="IG259" s="24">
        <v>2021</v>
      </c>
      <c r="IH259" s="24">
        <v>5</v>
      </c>
      <c r="II259" s="24" t="s">
        <v>33</v>
      </c>
      <c r="IJ259" s="24">
        <v>5904</v>
      </c>
      <c r="IK259" s="24">
        <v>5879</v>
      </c>
    </row>
    <row r="260" spans="9:245" x14ac:dyDescent="0.4">
      <c r="I260" s="305">
        <v>2021</v>
      </c>
      <c r="J260" s="306">
        <v>5</v>
      </c>
      <c r="K260" s="306" t="s">
        <v>33</v>
      </c>
      <c r="L260" s="306">
        <v>185770</v>
      </c>
      <c r="M260" s="306">
        <v>182394</v>
      </c>
      <c r="N260" s="306">
        <v>464</v>
      </c>
      <c r="O260" s="306">
        <v>861</v>
      </c>
      <c r="P260" s="306">
        <v>206</v>
      </c>
      <c r="Q260" s="306">
        <v>164</v>
      </c>
      <c r="R260" s="24"/>
      <c r="S260" s="24"/>
      <c r="T260" s="24"/>
      <c r="W260" s="24">
        <v>2021</v>
      </c>
      <c r="X260" s="24">
        <v>4</v>
      </c>
      <c r="Y260" s="24" t="s">
        <v>32</v>
      </c>
      <c r="Z260" s="24">
        <v>8704</v>
      </c>
      <c r="AA260" s="24">
        <v>8392</v>
      </c>
      <c r="AB260" s="24">
        <v>11</v>
      </c>
      <c r="AC260" s="24">
        <v>19</v>
      </c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T260" s="24"/>
      <c r="AU260" s="24">
        <v>2021</v>
      </c>
      <c r="AV260" s="24">
        <v>4</v>
      </c>
      <c r="AW260" s="24"/>
      <c r="AX260" s="24"/>
      <c r="AY260" s="24">
        <v>8992</v>
      </c>
      <c r="AZ260" s="24" t="s">
        <v>32</v>
      </c>
      <c r="BA260" s="24"/>
      <c r="BB260" s="24"/>
      <c r="BC260" s="24">
        <v>2021</v>
      </c>
      <c r="BD260" s="24">
        <v>4</v>
      </c>
      <c r="BE260" s="24">
        <v>119.37385714285699</v>
      </c>
      <c r="BF260" s="24" t="s">
        <v>32</v>
      </c>
      <c r="BG260" s="24"/>
      <c r="BI260" s="24">
        <v>2022</v>
      </c>
      <c r="BJ260" s="24">
        <v>7</v>
      </c>
      <c r="BK260" s="24" t="s">
        <v>33</v>
      </c>
      <c r="BL260" s="24" t="s">
        <v>272</v>
      </c>
      <c r="BM260" s="24">
        <v>56148</v>
      </c>
      <c r="BN260" s="24">
        <v>56097</v>
      </c>
      <c r="BO260" s="24">
        <v>200911</v>
      </c>
      <c r="BR260" s="24">
        <v>2021</v>
      </c>
      <c r="BS260" s="24">
        <v>4</v>
      </c>
      <c r="BT260" s="24">
        <v>178412</v>
      </c>
      <c r="BU260" s="24">
        <v>1</v>
      </c>
      <c r="BV260" s="24" t="s">
        <v>33</v>
      </c>
      <c r="BY260" s="314">
        <v>2021</v>
      </c>
      <c r="BZ260" s="314">
        <v>11</v>
      </c>
      <c r="CA260" s="314" t="s">
        <v>32</v>
      </c>
      <c r="CB260" s="314" t="s">
        <v>423</v>
      </c>
      <c r="CC260" s="314">
        <v>102</v>
      </c>
      <c r="CF260" s="24"/>
      <c r="CG260" s="24"/>
      <c r="CH260" s="24"/>
      <c r="CI260" s="24"/>
      <c r="CJ260" s="24"/>
      <c r="DD260" s="24"/>
      <c r="DE260" s="24"/>
      <c r="DF260" s="24"/>
      <c r="DG260" s="24"/>
      <c r="DH260" s="24"/>
      <c r="DJ260" s="24">
        <v>2021</v>
      </c>
      <c r="DK260" s="24">
        <v>4</v>
      </c>
      <c r="DL260" s="24" t="s">
        <v>32</v>
      </c>
      <c r="DM260" s="24">
        <v>13</v>
      </c>
      <c r="DP260" s="24">
        <v>2019</v>
      </c>
      <c r="DQ260" s="24">
        <v>18</v>
      </c>
      <c r="DR260" s="24" t="s">
        <v>33</v>
      </c>
      <c r="DS260" s="24">
        <v>10209</v>
      </c>
      <c r="DT260" s="24">
        <v>849</v>
      </c>
      <c r="DW260" s="24">
        <v>2021</v>
      </c>
      <c r="DX260" s="24">
        <v>40</v>
      </c>
      <c r="DY260" s="24" t="s">
        <v>32</v>
      </c>
      <c r="DZ260" s="24">
        <v>1</v>
      </c>
      <c r="EA260" s="24" t="s">
        <v>149</v>
      </c>
      <c r="EB260" s="24">
        <v>0</v>
      </c>
      <c r="EC260" s="24">
        <v>0</v>
      </c>
      <c r="ED260" s="24">
        <v>292</v>
      </c>
      <c r="EE260" s="24">
        <v>72</v>
      </c>
      <c r="EF260" s="24">
        <v>5.6</v>
      </c>
      <c r="EI260" s="24">
        <v>2023</v>
      </c>
      <c r="EJ260" s="24">
        <v>3</v>
      </c>
      <c r="EK260" s="24" t="s">
        <v>211</v>
      </c>
      <c r="EL260" s="24" t="s">
        <v>212</v>
      </c>
      <c r="EM260" s="24" t="s">
        <v>210</v>
      </c>
      <c r="EN260" s="24">
        <v>13</v>
      </c>
      <c r="EO260" s="24"/>
      <c r="EP260" s="24"/>
      <c r="EQ260" s="24"/>
      <c r="ER260" s="24"/>
      <c r="ES260" s="24">
        <v>2021</v>
      </c>
      <c r="ET260" s="24">
        <v>24</v>
      </c>
      <c r="EU260" s="24" t="s">
        <v>213</v>
      </c>
      <c r="EV260" s="24">
        <v>5</v>
      </c>
      <c r="EY260" s="24">
        <v>2021</v>
      </c>
      <c r="EZ260" s="24">
        <v>9</v>
      </c>
      <c r="FA260" s="24" t="s">
        <v>32</v>
      </c>
      <c r="FB260" s="24">
        <v>556</v>
      </c>
      <c r="FE260" s="24"/>
      <c r="FF260" s="24"/>
      <c r="FG260" s="24"/>
      <c r="FH260" s="24"/>
      <c r="FN260" s="24"/>
      <c r="FO260" s="24"/>
      <c r="FP260" s="24"/>
      <c r="FQ260" s="24"/>
      <c r="FW260" s="24">
        <v>2021</v>
      </c>
      <c r="FX260" s="24">
        <v>4</v>
      </c>
      <c r="FY260" s="24" t="s">
        <v>32</v>
      </c>
      <c r="FZ260" s="24">
        <v>1050</v>
      </c>
      <c r="GA260" s="24">
        <v>935</v>
      </c>
      <c r="GB260" s="24"/>
      <c r="GC260" s="24"/>
      <c r="GD260" s="24">
        <v>2021</v>
      </c>
      <c r="GE260" s="24">
        <v>4</v>
      </c>
      <c r="GF260" s="24" t="s">
        <v>32</v>
      </c>
      <c r="GG260" s="24">
        <v>1031</v>
      </c>
      <c r="GH260" s="24">
        <v>895</v>
      </c>
      <c r="GK260" s="24"/>
      <c r="GL260" s="24"/>
      <c r="GM260" s="24"/>
      <c r="GN260" s="24"/>
      <c r="GO260" s="24"/>
      <c r="GP260" s="24">
        <v>2021</v>
      </c>
      <c r="GQ260" s="24">
        <v>4</v>
      </c>
      <c r="GR260" s="24">
        <v>0.29899999999999999</v>
      </c>
      <c r="GS260" s="24" t="s">
        <v>32</v>
      </c>
      <c r="GX260">
        <v>2021</v>
      </c>
      <c r="GY260">
        <v>4</v>
      </c>
      <c r="GZ260" t="s">
        <v>32</v>
      </c>
      <c r="HA260">
        <v>8721</v>
      </c>
      <c r="HB260">
        <v>8622</v>
      </c>
      <c r="HC260">
        <v>0</v>
      </c>
      <c r="HD260">
        <v>0</v>
      </c>
      <c r="HE260">
        <v>0</v>
      </c>
      <c r="HF260">
        <v>11</v>
      </c>
      <c r="HG260">
        <v>0</v>
      </c>
      <c r="HH260">
        <v>0</v>
      </c>
      <c r="HI260">
        <v>63</v>
      </c>
      <c r="HL260">
        <v>2021</v>
      </c>
      <c r="HM260">
        <v>4</v>
      </c>
      <c r="HN260" t="s">
        <v>32</v>
      </c>
      <c r="HO260">
        <v>8627</v>
      </c>
      <c r="HP260">
        <v>8624</v>
      </c>
      <c r="HQ260">
        <v>0</v>
      </c>
      <c r="HR260">
        <v>0</v>
      </c>
      <c r="HS260">
        <v>0</v>
      </c>
      <c r="HT260">
        <v>0</v>
      </c>
      <c r="HU260">
        <v>0</v>
      </c>
      <c r="HV260">
        <v>0</v>
      </c>
      <c r="HW260">
        <v>0</v>
      </c>
      <c r="HZ260" s="24">
        <v>2021</v>
      </c>
      <c r="IA260" s="24">
        <v>4</v>
      </c>
      <c r="IB260" s="24" t="s">
        <v>32</v>
      </c>
      <c r="IC260" s="24">
        <v>1124</v>
      </c>
      <c r="ID260" s="24">
        <v>1096</v>
      </c>
      <c r="IG260" s="24">
        <v>2021</v>
      </c>
      <c r="IH260" s="24">
        <v>4</v>
      </c>
      <c r="II260" s="24" t="s">
        <v>32</v>
      </c>
      <c r="IJ260" s="24">
        <v>1018</v>
      </c>
      <c r="IK260" s="24">
        <v>1018</v>
      </c>
    </row>
    <row r="261" spans="9:245" x14ac:dyDescent="0.4">
      <c r="I261" s="305">
        <v>2021</v>
      </c>
      <c r="J261" s="306">
        <v>4</v>
      </c>
      <c r="K261" s="306" t="s">
        <v>32</v>
      </c>
      <c r="L261" s="306">
        <v>8749</v>
      </c>
      <c r="M261" s="306">
        <v>8436</v>
      </c>
      <c r="N261" s="306">
        <v>52</v>
      </c>
      <c r="O261" s="306">
        <v>159</v>
      </c>
      <c r="P261" s="306">
        <v>10</v>
      </c>
      <c r="Q261" s="306">
        <v>9</v>
      </c>
      <c r="R261" s="24"/>
      <c r="S261" s="24"/>
      <c r="T261" s="24"/>
      <c r="W261" s="24">
        <v>2021</v>
      </c>
      <c r="X261" s="24">
        <v>4</v>
      </c>
      <c r="Y261" s="24" t="s">
        <v>33</v>
      </c>
      <c r="Z261" s="24">
        <v>175553</v>
      </c>
      <c r="AA261" s="24">
        <v>172954</v>
      </c>
      <c r="AB261" s="24">
        <v>133</v>
      </c>
      <c r="AC261" s="24">
        <v>435</v>
      </c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T261" s="24"/>
      <c r="AU261" s="24">
        <v>2021</v>
      </c>
      <c r="AV261" s="24">
        <v>4</v>
      </c>
      <c r="AW261" s="24">
        <v>0.04</v>
      </c>
      <c r="AX261" s="24">
        <v>6900</v>
      </c>
      <c r="AY261" s="24">
        <v>178853</v>
      </c>
      <c r="AZ261" s="24" t="s">
        <v>33</v>
      </c>
      <c r="BA261" s="24"/>
      <c r="BB261" s="24"/>
      <c r="BC261" s="24">
        <v>2021</v>
      </c>
      <c r="BD261" s="24">
        <v>4</v>
      </c>
      <c r="BE261" s="24">
        <v>1723.27457142857</v>
      </c>
      <c r="BF261" s="24" t="s">
        <v>33</v>
      </c>
      <c r="BG261" s="24"/>
      <c r="BI261" s="24">
        <v>2022</v>
      </c>
      <c r="BJ261" s="24">
        <v>7</v>
      </c>
      <c r="BK261" s="24" t="s">
        <v>33</v>
      </c>
      <c r="BL261" s="24" t="s">
        <v>273</v>
      </c>
      <c r="BM261" s="24">
        <v>113250</v>
      </c>
      <c r="BN261" s="24">
        <v>112732</v>
      </c>
      <c r="BO261" s="24">
        <v>116968</v>
      </c>
      <c r="BR261" s="24">
        <v>2021</v>
      </c>
      <c r="BS261" s="24">
        <v>4</v>
      </c>
      <c r="BT261" s="24">
        <v>8923</v>
      </c>
      <c r="BU261" s="24">
        <v>0</v>
      </c>
      <c r="BV261" s="24" t="s">
        <v>32</v>
      </c>
      <c r="BY261" s="314">
        <v>2021</v>
      </c>
      <c r="BZ261" s="314">
        <v>11</v>
      </c>
      <c r="CA261" s="314" t="s">
        <v>33</v>
      </c>
      <c r="CB261" s="314" t="s">
        <v>108</v>
      </c>
      <c r="CC261" s="314">
        <v>1</v>
      </c>
      <c r="CF261" s="24"/>
      <c r="CG261" s="24"/>
      <c r="CH261" s="24"/>
      <c r="CI261" s="24"/>
      <c r="CJ261" s="24"/>
      <c r="DD261" s="24"/>
      <c r="DE261" s="24"/>
      <c r="DF261" s="24"/>
      <c r="DG261" s="24"/>
      <c r="DH261" s="24"/>
      <c r="DJ261" s="24">
        <v>2021</v>
      </c>
      <c r="DK261" s="24">
        <v>4</v>
      </c>
      <c r="DL261" s="24" t="s">
        <v>33</v>
      </c>
      <c r="DM261" s="24">
        <v>303</v>
      </c>
      <c r="DP261" s="24">
        <v>2019</v>
      </c>
      <c r="DQ261" s="24">
        <v>17</v>
      </c>
      <c r="DR261" s="24" t="s">
        <v>33</v>
      </c>
      <c r="DS261" s="24">
        <v>9691</v>
      </c>
      <c r="DT261" s="24">
        <v>1033</v>
      </c>
      <c r="DW261" s="24">
        <v>2021</v>
      </c>
      <c r="DX261" s="24">
        <v>40</v>
      </c>
      <c r="DY261" s="24" t="s">
        <v>33</v>
      </c>
      <c r="DZ261" s="24">
        <v>8</v>
      </c>
      <c r="EA261" s="24" t="s">
        <v>562</v>
      </c>
      <c r="EB261" s="24">
        <v>143.69999999999999</v>
      </c>
      <c r="EC261" s="24">
        <v>0</v>
      </c>
      <c r="ED261" s="24">
        <v>19</v>
      </c>
      <c r="EE261" s="24">
        <v>5712</v>
      </c>
      <c r="EF261" s="24">
        <v>47</v>
      </c>
      <c r="EI261" s="24">
        <v>2023</v>
      </c>
      <c r="EJ261" s="24">
        <v>3</v>
      </c>
      <c r="EK261" s="24" t="s">
        <v>211</v>
      </c>
      <c r="EL261" s="24" t="s">
        <v>212</v>
      </c>
      <c r="EM261" s="24" t="s">
        <v>234</v>
      </c>
      <c r="EN261" s="24">
        <v>19</v>
      </c>
      <c r="EO261" s="24"/>
      <c r="EP261" s="24"/>
      <c r="EQ261" s="24"/>
      <c r="ER261" s="24"/>
      <c r="ES261" s="24">
        <v>2021</v>
      </c>
      <c r="ET261" s="24">
        <v>23</v>
      </c>
      <c r="EU261" s="24" t="s">
        <v>32</v>
      </c>
      <c r="EV261" s="24">
        <v>5503</v>
      </c>
      <c r="EY261" s="24">
        <v>2021</v>
      </c>
      <c r="EZ261" s="24">
        <v>9</v>
      </c>
      <c r="FA261" s="24" t="s">
        <v>33</v>
      </c>
      <c r="FB261" s="24">
        <v>3272</v>
      </c>
      <c r="FE261" s="24"/>
      <c r="FF261" s="24"/>
      <c r="FG261" s="24"/>
      <c r="FH261" s="24"/>
      <c r="FN261" s="24"/>
      <c r="FO261" s="24"/>
      <c r="FP261" s="24"/>
      <c r="FQ261" s="24"/>
      <c r="FW261" s="24">
        <v>2021</v>
      </c>
      <c r="FX261" s="24">
        <v>4</v>
      </c>
      <c r="FY261" s="24" t="s">
        <v>33</v>
      </c>
      <c r="FZ261" s="24">
        <v>5516</v>
      </c>
      <c r="GA261" s="24">
        <v>4868</v>
      </c>
      <c r="GB261" s="24"/>
      <c r="GC261" s="24"/>
      <c r="GD261" s="24">
        <v>2021</v>
      </c>
      <c r="GE261" s="24">
        <v>4</v>
      </c>
      <c r="GF261" s="24" t="s">
        <v>33</v>
      </c>
      <c r="GG261" s="24">
        <v>5500</v>
      </c>
      <c r="GH261" s="24">
        <v>4864</v>
      </c>
      <c r="GK261" s="24"/>
      <c r="GL261" s="24"/>
      <c r="GM261" s="24"/>
      <c r="GN261" s="24"/>
      <c r="GO261" s="24"/>
      <c r="GP261" s="24">
        <v>2021</v>
      </c>
      <c r="GQ261" s="24">
        <v>4</v>
      </c>
      <c r="GR261" s="24">
        <v>7.0448571428571398</v>
      </c>
      <c r="GS261" s="24" t="s">
        <v>33</v>
      </c>
      <c r="GX261">
        <v>2021</v>
      </c>
      <c r="GY261">
        <v>4</v>
      </c>
      <c r="GZ261" t="s">
        <v>33</v>
      </c>
      <c r="HA261">
        <v>174367</v>
      </c>
      <c r="HB261">
        <v>172892</v>
      </c>
      <c r="HC261">
        <v>89</v>
      </c>
      <c r="HD261">
        <v>41</v>
      </c>
      <c r="HE261">
        <v>0</v>
      </c>
      <c r="HF261">
        <v>309</v>
      </c>
      <c r="HG261">
        <v>0</v>
      </c>
      <c r="HH261">
        <v>0</v>
      </c>
      <c r="HI261">
        <v>302</v>
      </c>
      <c r="HL261">
        <v>2021</v>
      </c>
      <c r="HM261">
        <v>4</v>
      </c>
      <c r="HN261" t="s">
        <v>33</v>
      </c>
      <c r="HO261">
        <v>174783</v>
      </c>
      <c r="HP261">
        <v>174313</v>
      </c>
      <c r="HQ261">
        <v>139</v>
      </c>
      <c r="HR261">
        <v>10</v>
      </c>
      <c r="HS261">
        <v>0</v>
      </c>
      <c r="HT261">
        <v>298</v>
      </c>
      <c r="HU261">
        <v>0</v>
      </c>
      <c r="HV261">
        <v>0</v>
      </c>
      <c r="HW261">
        <v>41</v>
      </c>
      <c r="HZ261" s="24">
        <v>2021</v>
      </c>
      <c r="IA261" s="24">
        <v>4</v>
      </c>
      <c r="IB261" s="24" t="s">
        <v>33</v>
      </c>
      <c r="IC261" s="24">
        <v>5476</v>
      </c>
      <c r="ID261" s="24">
        <v>5260</v>
      </c>
      <c r="IG261" s="24">
        <v>2021</v>
      </c>
      <c r="IH261" s="24">
        <v>4</v>
      </c>
      <c r="II261" s="24" t="s">
        <v>33</v>
      </c>
      <c r="IJ261" s="24">
        <v>5215</v>
      </c>
      <c r="IK261" s="24">
        <v>5170</v>
      </c>
    </row>
    <row r="262" spans="9:245" x14ac:dyDescent="0.4">
      <c r="I262" s="305">
        <v>2021</v>
      </c>
      <c r="J262" s="306">
        <v>4</v>
      </c>
      <c r="K262" s="306" t="s">
        <v>33</v>
      </c>
      <c r="L262" s="306">
        <v>175424</v>
      </c>
      <c r="M262" s="306">
        <v>172552</v>
      </c>
      <c r="N262" s="306">
        <v>258</v>
      </c>
      <c r="O262" s="306">
        <v>655</v>
      </c>
      <c r="P262" s="306">
        <v>143</v>
      </c>
      <c r="Q262" s="306">
        <v>447</v>
      </c>
      <c r="R262" s="24"/>
      <c r="S262" s="24"/>
      <c r="T262" s="24"/>
      <c r="W262" s="24">
        <v>2021</v>
      </c>
      <c r="X262" s="24">
        <v>3</v>
      </c>
      <c r="Y262" s="24" t="s">
        <v>32</v>
      </c>
      <c r="Z262" s="24">
        <v>10284</v>
      </c>
      <c r="AA262" s="24">
        <v>9310</v>
      </c>
      <c r="AB262" s="24">
        <v>32</v>
      </c>
      <c r="AC262" s="24">
        <v>5</v>
      </c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T262" s="24"/>
      <c r="AU262" s="24">
        <v>2021</v>
      </c>
      <c r="AV262" s="24">
        <v>3</v>
      </c>
      <c r="AW262" s="24">
        <v>0.05</v>
      </c>
      <c r="AX262" s="24">
        <v>500</v>
      </c>
      <c r="AY262" s="24">
        <v>10642</v>
      </c>
      <c r="AZ262" s="24" t="s">
        <v>32</v>
      </c>
      <c r="BA262" s="24"/>
      <c r="BB262" s="24"/>
      <c r="BC262" s="24">
        <v>2021</v>
      </c>
      <c r="BD262" s="24">
        <v>3</v>
      </c>
      <c r="BE262" s="24">
        <v>119.388285714286</v>
      </c>
      <c r="BF262" s="24" t="s">
        <v>32</v>
      </c>
      <c r="BG262" s="24"/>
      <c r="BI262" s="24">
        <v>2022</v>
      </c>
      <c r="BJ262" s="24">
        <v>6</v>
      </c>
      <c r="BK262" s="24" t="s">
        <v>32</v>
      </c>
      <c r="BL262" s="24" t="s">
        <v>273</v>
      </c>
      <c r="BM262" s="24">
        <v>6978</v>
      </c>
      <c r="BN262" s="24">
        <v>6938</v>
      </c>
      <c r="BO262" s="24">
        <v>7089</v>
      </c>
      <c r="BR262" s="324">
        <v>2021</v>
      </c>
      <c r="BS262" s="324">
        <v>3</v>
      </c>
      <c r="BT262" s="324">
        <v>175763</v>
      </c>
      <c r="BU262" s="324">
        <v>0</v>
      </c>
      <c r="BV262" s="324" t="s">
        <v>33</v>
      </c>
      <c r="BY262" s="314">
        <v>2021</v>
      </c>
      <c r="BZ262" s="314">
        <v>11</v>
      </c>
      <c r="CA262" s="314" t="s">
        <v>33</v>
      </c>
      <c r="CB262" s="314" t="s">
        <v>423</v>
      </c>
      <c r="CC262" s="314">
        <v>29</v>
      </c>
      <c r="CF262" s="24"/>
      <c r="CG262" s="24"/>
      <c r="CH262" s="24"/>
      <c r="CI262" s="24"/>
      <c r="CJ262" s="24"/>
      <c r="DD262" s="24"/>
      <c r="DE262" s="24"/>
      <c r="DF262" s="24"/>
      <c r="DG262" s="24"/>
      <c r="DH262" s="24"/>
      <c r="DJ262" s="24">
        <v>2021</v>
      </c>
      <c r="DK262" s="24">
        <v>4</v>
      </c>
      <c r="DL262" s="24" t="s">
        <v>213</v>
      </c>
      <c r="DM262" s="24">
        <v>2</v>
      </c>
      <c r="DP262" s="24">
        <v>2019</v>
      </c>
      <c r="DQ262" s="24">
        <v>16</v>
      </c>
      <c r="DR262" s="24" t="s">
        <v>33</v>
      </c>
      <c r="DS262" s="24">
        <v>11399</v>
      </c>
      <c r="DT262" s="24">
        <v>1121</v>
      </c>
      <c r="DW262" s="24">
        <v>2021</v>
      </c>
      <c r="DX262" s="24">
        <v>40</v>
      </c>
      <c r="DY262" s="24" t="s">
        <v>33</v>
      </c>
      <c r="DZ262" s="24">
        <v>44</v>
      </c>
      <c r="EA262" s="24" t="s">
        <v>149</v>
      </c>
      <c r="EB262" s="24">
        <v>194.8</v>
      </c>
      <c r="EC262" s="24">
        <v>1180.5</v>
      </c>
      <c r="ED262" s="24">
        <v>38443</v>
      </c>
      <c r="EE262" s="24">
        <v>43834</v>
      </c>
      <c r="EF262" s="24">
        <v>247.1</v>
      </c>
      <c r="EI262" s="24">
        <v>2023</v>
      </c>
      <c r="EJ262" s="24">
        <v>3</v>
      </c>
      <c r="EK262" s="24" t="s">
        <v>211</v>
      </c>
      <c r="EL262" s="24" t="s">
        <v>212</v>
      </c>
      <c r="EM262" s="24" t="s">
        <v>215</v>
      </c>
      <c r="EN262" s="24">
        <v>3</v>
      </c>
      <c r="EO262" s="24"/>
      <c r="EP262" s="24"/>
      <c r="EQ262" s="24"/>
      <c r="ER262" s="24"/>
      <c r="ES262" s="24">
        <v>2021</v>
      </c>
      <c r="ET262" s="24">
        <v>23</v>
      </c>
      <c r="EU262" s="24" t="s">
        <v>33</v>
      </c>
      <c r="EV262" s="24">
        <v>112189</v>
      </c>
      <c r="EY262" s="24">
        <v>2021</v>
      </c>
      <c r="EZ262" s="24">
        <v>9</v>
      </c>
      <c r="FA262" s="24" t="s">
        <v>213</v>
      </c>
      <c r="FB262" s="24">
        <v>2</v>
      </c>
      <c r="FE262" s="24"/>
      <c r="FF262" s="24"/>
      <c r="FG262" s="24"/>
      <c r="FH262" s="24"/>
      <c r="FN262" s="24"/>
      <c r="FO262" s="24"/>
      <c r="FP262" s="24"/>
      <c r="FQ262" s="24"/>
      <c r="FW262" s="24">
        <v>2021</v>
      </c>
      <c r="FX262" s="24">
        <v>3</v>
      </c>
      <c r="FY262" s="24" t="s">
        <v>32</v>
      </c>
      <c r="FZ262" s="24">
        <v>929</v>
      </c>
      <c r="GA262" s="24">
        <v>674</v>
      </c>
      <c r="GB262" s="24"/>
      <c r="GC262" s="24"/>
      <c r="GD262" s="24">
        <v>2021</v>
      </c>
      <c r="GE262" s="24">
        <v>3</v>
      </c>
      <c r="GF262" s="24" t="s">
        <v>32</v>
      </c>
      <c r="GG262" s="24">
        <v>962</v>
      </c>
      <c r="GH262" s="24">
        <v>688</v>
      </c>
      <c r="GK262" s="24"/>
      <c r="GL262" s="24"/>
      <c r="GM262" s="24"/>
      <c r="GN262" s="24"/>
      <c r="GO262" s="24"/>
      <c r="GP262" s="24">
        <v>2021</v>
      </c>
      <c r="GQ262" s="24">
        <v>3</v>
      </c>
      <c r="GR262" s="24">
        <v>0.30599999999999999</v>
      </c>
      <c r="GS262" s="24" t="s">
        <v>32</v>
      </c>
      <c r="GX262">
        <v>2021</v>
      </c>
      <c r="GY262">
        <v>3</v>
      </c>
      <c r="GZ262" t="s">
        <v>32</v>
      </c>
      <c r="HA262">
        <v>10291</v>
      </c>
      <c r="HB262">
        <v>9831</v>
      </c>
      <c r="HC262">
        <v>0</v>
      </c>
      <c r="HD262">
        <v>1</v>
      </c>
      <c r="HE262">
        <v>0</v>
      </c>
      <c r="HF262">
        <v>196</v>
      </c>
      <c r="HG262">
        <v>0</v>
      </c>
      <c r="HH262">
        <v>0</v>
      </c>
      <c r="HI262">
        <v>147</v>
      </c>
      <c r="HL262">
        <v>2021</v>
      </c>
      <c r="HM262">
        <v>3</v>
      </c>
      <c r="HN262" t="s">
        <v>32</v>
      </c>
      <c r="HO262">
        <v>10218</v>
      </c>
      <c r="HP262">
        <v>9959</v>
      </c>
      <c r="HQ262">
        <v>0</v>
      </c>
      <c r="HR262">
        <v>0</v>
      </c>
      <c r="HS262">
        <v>0</v>
      </c>
      <c r="HT262">
        <v>226</v>
      </c>
      <c r="HU262">
        <v>0</v>
      </c>
      <c r="HV262">
        <v>0</v>
      </c>
      <c r="HW262">
        <v>10</v>
      </c>
      <c r="HZ262" s="24">
        <v>2021</v>
      </c>
      <c r="IA262" s="24">
        <v>3</v>
      </c>
      <c r="IB262" s="24" t="s">
        <v>32</v>
      </c>
      <c r="IC262" s="24">
        <v>941</v>
      </c>
      <c r="ID262" s="24">
        <v>817</v>
      </c>
      <c r="IG262" s="24">
        <v>2021</v>
      </c>
      <c r="IH262" s="24">
        <v>3</v>
      </c>
      <c r="II262" s="24" t="s">
        <v>32</v>
      </c>
      <c r="IJ262" s="24">
        <v>957</v>
      </c>
      <c r="IK262" s="24">
        <v>901</v>
      </c>
    </row>
    <row r="263" spans="9:245" x14ac:dyDescent="0.4">
      <c r="I263" s="305">
        <v>2021</v>
      </c>
      <c r="J263" s="306">
        <v>3</v>
      </c>
      <c r="K263" s="306" t="s">
        <v>32</v>
      </c>
      <c r="L263" s="306">
        <v>10231</v>
      </c>
      <c r="M263" s="306">
        <v>9256</v>
      </c>
      <c r="N263" s="306">
        <v>125</v>
      </c>
      <c r="O263" s="306">
        <v>207</v>
      </c>
      <c r="P263" s="306">
        <v>32</v>
      </c>
      <c r="Q263" s="306">
        <v>10</v>
      </c>
      <c r="R263" s="24"/>
      <c r="S263" s="24"/>
      <c r="T263" s="24"/>
      <c r="W263" s="24">
        <v>2021</v>
      </c>
      <c r="X263" s="24">
        <v>3</v>
      </c>
      <c r="Y263" s="24" t="s">
        <v>33</v>
      </c>
      <c r="Z263" s="24">
        <v>177409</v>
      </c>
      <c r="AA263" s="24">
        <v>169859</v>
      </c>
      <c r="AB263" s="24">
        <v>74</v>
      </c>
      <c r="AC263" s="24">
        <v>16</v>
      </c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T263" s="24"/>
      <c r="AU263" s="24">
        <v>2021</v>
      </c>
      <c r="AV263" s="24">
        <v>3</v>
      </c>
      <c r="AW263" s="24">
        <v>7.0000000000000007E-2</v>
      </c>
      <c r="AX263" s="24">
        <v>12900</v>
      </c>
      <c r="AY263" s="24">
        <v>176278</v>
      </c>
      <c r="AZ263" s="24" t="s">
        <v>33</v>
      </c>
      <c r="BA263" s="24"/>
      <c r="BB263" s="24"/>
      <c r="BC263" s="24">
        <v>2021</v>
      </c>
      <c r="BD263" s="24">
        <v>3</v>
      </c>
      <c r="BE263" s="24">
        <v>1717.9235714285699</v>
      </c>
      <c r="BF263" s="24" t="s">
        <v>33</v>
      </c>
      <c r="BG263" s="24"/>
      <c r="BI263" s="24">
        <v>2022</v>
      </c>
      <c r="BJ263" s="24">
        <v>6</v>
      </c>
      <c r="BK263" s="24" t="s">
        <v>33</v>
      </c>
      <c r="BL263" s="24" t="s">
        <v>273</v>
      </c>
      <c r="BM263" s="24">
        <v>114089</v>
      </c>
      <c r="BN263" s="24">
        <v>113541</v>
      </c>
      <c r="BO263" s="24">
        <v>117547</v>
      </c>
      <c r="BR263" s="324">
        <v>2021</v>
      </c>
      <c r="BS263" s="324">
        <v>3</v>
      </c>
      <c r="BT263" s="324">
        <v>10493</v>
      </c>
      <c r="BU263" s="324">
        <v>0</v>
      </c>
      <c r="BV263" s="324" t="s">
        <v>32</v>
      </c>
      <c r="BY263" s="24">
        <v>2021</v>
      </c>
      <c r="BZ263" s="24">
        <v>10</v>
      </c>
      <c r="CA263" s="24" t="s">
        <v>32</v>
      </c>
      <c r="CB263" s="24" t="s">
        <v>108</v>
      </c>
      <c r="CC263" s="24">
        <v>3</v>
      </c>
      <c r="CF263" s="24"/>
      <c r="CG263" s="24"/>
      <c r="CH263" s="24"/>
      <c r="CI263" s="24"/>
      <c r="CJ263" s="24"/>
      <c r="DD263" s="24"/>
      <c r="DE263" s="24"/>
      <c r="DF263" s="24"/>
      <c r="DG263" s="24"/>
      <c r="DH263" s="24"/>
      <c r="DJ263" s="24">
        <v>2021</v>
      </c>
      <c r="DK263" s="24">
        <v>3</v>
      </c>
      <c r="DL263" s="24" t="s">
        <v>32</v>
      </c>
      <c r="DM263" s="24">
        <v>10</v>
      </c>
      <c r="DP263" s="24">
        <v>2019</v>
      </c>
      <c r="DQ263" s="24">
        <v>15</v>
      </c>
      <c r="DR263" s="24" t="s">
        <v>33</v>
      </c>
      <c r="DS263" s="24">
        <v>10273</v>
      </c>
      <c r="DT263" s="24">
        <v>1262</v>
      </c>
      <c r="DW263" s="24">
        <v>2021</v>
      </c>
      <c r="DX263" s="24">
        <v>39</v>
      </c>
      <c r="DY263" s="24" t="s">
        <v>32</v>
      </c>
      <c r="DZ263" s="24">
        <v>1</v>
      </c>
      <c r="EA263" s="24" t="s">
        <v>149</v>
      </c>
      <c r="EB263" s="24">
        <v>0</v>
      </c>
      <c r="EC263" s="24">
        <v>0</v>
      </c>
      <c r="ED263" s="24">
        <v>279</v>
      </c>
      <c r="EE263" s="24">
        <v>19</v>
      </c>
      <c r="EF263" s="24">
        <v>3.9</v>
      </c>
      <c r="EI263" s="24">
        <v>2023</v>
      </c>
      <c r="EJ263" s="24">
        <v>3</v>
      </c>
      <c r="EK263" s="24" t="s">
        <v>211</v>
      </c>
      <c r="EL263" s="24" t="s">
        <v>247</v>
      </c>
      <c r="EM263" s="24" t="s">
        <v>210</v>
      </c>
      <c r="EN263" s="24">
        <v>6</v>
      </c>
      <c r="EO263" s="24"/>
      <c r="EP263" s="24"/>
      <c r="EQ263" s="24"/>
      <c r="ER263" s="24"/>
      <c r="ES263" s="24">
        <v>2021</v>
      </c>
      <c r="ET263" s="24">
        <v>23</v>
      </c>
      <c r="EU263" s="24" t="s">
        <v>213</v>
      </c>
      <c r="EV263" s="24">
        <v>5</v>
      </c>
      <c r="EY263" s="297"/>
      <c r="EZ263" s="297"/>
      <c r="FA263" s="297"/>
      <c r="FB263" s="297"/>
      <c r="FE263" s="24"/>
      <c r="FF263" s="24"/>
      <c r="FG263" s="24"/>
      <c r="FH263" s="24"/>
      <c r="FN263" s="24"/>
      <c r="FO263" s="24"/>
      <c r="FP263" s="24"/>
      <c r="FQ263" s="24"/>
      <c r="FW263" s="24">
        <v>2021</v>
      </c>
      <c r="FX263" s="24">
        <v>3</v>
      </c>
      <c r="FY263" s="24" t="s">
        <v>33</v>
      </c>
      <c r="FZ263" s="24">
        <v>5941</v>
      </c>
      <c r="GA263" s="24">
        <v>5567</v>
      </c>
      <c r="GB263" s="24"/>
      <c r="GC263" s="24"/>
      <c r="GD263" s="24">
        <v>2021</v>
      </c>
      <c r="GE263" s="24">
        <v>3</v>
      </c>
      <c r="GF263" s="24" t="s">
        <v>33</v>
      </c>
      <c r="GG263" s="24">
        <v>5957</v>
      </c>
      <c r="GH263" s="24">
        <v>5596</v>
      </c>
      <c r="GK263" s="24"/>
      <c r="GL263" s="24"/>
      <c r="GM263" s="24"/>
      <c r="GN263" s="24"/>
      <c r="GO263" s="24"/>
      <c r="GP263" s="24">
        <v>2021</v>
      </c>
      <c r="GQ263" s="24">
        <v>3</v>
      </c>
      <c r="GR263" s="24">
        <v>7.5265714285714296</v>
      </c>
      <c r="GS263" s="24" t="s">
        <v>33</v>
      </c>
      <c r="GX263">
        <v>2021</v>
      </c>
      <c r="GY263">
        <v>3</v>
      </c>
      <c r="GZ263" t="s">
        <v>33</v>
      </c>
      <c r="HA263">
        <v>175862</v>
      </c>
      <c r="HB263">
        <v>170270</v>
      </c>
      <c r="HC263">
        <v>286</v>
      </c>
      <c r="HD263">
        <v>75</v>
      </c>
      <c r="HE263">
        <v>1</v>
      </c>
      <c r="HF263">
        <v>3055</v>
      </c>
      <c r="HG263">
        <v>0</v>
      </c>
      <c r="HH263">
        <v>0</v>
      </c>
      <c r="HI263">
        <v>632</v>
      </c>
      <c r="HL263">
        <v>2021</v>
      </c>
      <c r="HM263">
        <v>3</v>
      </c>
      <c r="HN263" t="s">
        <v>33</v>
      </c>
      <c r="HO263">
        <v>176771</v>
      </c>
      <c r="HP263">
        <v>173423</v>
      </c>
      <c r="HQ263">
        <v>253</v>
      </c>
      <c r="HR263">
        <v>48</v>
      </c>
      <c r="HS263">
        <v>1</v>
      </c>
      <c r="HT263">
        <v>3049</v>
      </c>
      <c r="HU263">
        <v>0</v>
      </c>
      <c r="HV263">
        <v>0</v>
      </c>
      <c r="HW263">
        <v>168</v>
      </c>
      <c r="HZ263" s="24">
        <v>2021</v>
      </c>
      <c r="IA263" s="24">
        <v>3</v>
      </c>
      <c r="IB263" s="24" t="s">
        <v>33</v>
      </c>
      <c r="IC263" s="24">
        <v>5949</v>
      </c>
      <c r="ID263" s="24">
        <v>5677</v>
      </c>
      <c r="IG263" s="24">
        <v>2021</v>
      </c>
      <c r="IH263" s="24">
        <v>3</v>
      </c>
      <c r="II263" s="24" t="s">
        <v>33</v>
      </c>
      <c r="IJ263" s="24">
        <v>5625</v>
      </c>
      <c r="IK263" s="24">
        <v>5538</v>
      </c>
    </row>
    <row r="264" spans="9:245" x14ac:dyDescent="0.4">
      <c r="I264" s="305">
        <v>2021</v>
      </c>
      <c r="J264" s="306">
        <v>3</v>
      </c>
      <c r="K264" s="306" t="s">
        <v>33</v>
      </c>
      <c r="L264" s="306">
        <v>177481</v>
      </c>
      <c r="M264" s="306">
        <v>169409</v>
      </c>
      <c r="N264" s="306">
        <v>389</v>
      </c>
      <c r="O264" s="306">
        <v>1537</v>
      </c>
      <c r="P264" s="306">
        <v>77</v>
      </c>
      <c r="Q264" s="306">
        <v>46</v>
      </c>
      <c r="R264" s="24"/>
      <c r="S264" s="24"/>
      <c r="T264" s="24"/>
      <c r="W264" s="24">
        <v>2021</v>
      </c>
      <c r="X264" s="24">
        <v>2</v>
      </c>
      <c r="Y264" s="24" t="s">
        <v>32</v>
      </c>
      <c r="Z264" s="24">
        <v>7315</v>
      </c>
      <c r="AA264" s="24">
        <v>7045</v>
      </c>
      <c r="AB264" s="24">
        <v>9</v>
      </c>
      <c r="AC264" s="24">
        <v>9</v>
      </c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T264" s="24"/>
      <c r="AU264" s="327">
        <v>2021</v>
      </c>
      <c r="AV264" s="327">
        <v>2</v>
      </c>
      <c r="AW264" s="327">
        <v>0.03</v>
      </c>
      <c r="AX264" s="327">
        <v>200</v>
      </c>
      <c r="AY264" s="327">
        <v>7617</v>
      </c>
      <c r="AZ264" s="327" t="s">
        <v>32</v>
      </c>
      <c r="BA264" s="24"/>
      <c r="BB264" s="24"/>
      <c r="BC264" s="327">
        <v>2021</v>
      </c>
      <c r="BD264" s="327">
        <v>2</v>
      </c>
      <c r="BE264" s="327">
        <v>118.617428571429</v>
      </c>
      <c r="BF264" s="327" t="s">
        <v>32</v>
      </c>
      <c r="BG264" s="24"/>
      <c r="BI264" s="24">
        <v>2022</v>
      </c>
      <c r="BJ264" s="24">
        <v>6</v>
      </c>
      <c r="BK264" s="24" t="s">
        <v>33</v>
      </c>
      <c r="BL264" s="24" t="s">
        <v>272</v>
      </c>
      <c r="BM264" s="24">
        <v>60130</v>
      </c>
      <c r="BN264" s="24">
        <v>60088</v>
      </c>
      <c r="BO264" s="24">
        <v>215834</v>
      </c>
      <c r="BR264" s="24">
        <v>2021</v>
      </c>
      <c r="BS264" s="24">
        <v>2</v>
      </c>
      <c r="BT264" s="24">
        <v>164402</v>
      </c>
      <c r="BU264" s="24">
        <v>3</v>
      </c>
      <c r="BV264" s="24" t="s">
        <v>33</v>
      </c>
      <c r="BY264" s="24">
        <v>2021</v>
      </c>
      <c r="BZ264" s="24">
        <v>10</v>
      </c>
      <c r="CA264" s="24" t="s">
        <v>32</v>
      </c>
      <c r="CB264" s="24" t="s">
        <v>423</v>
      </c>
      <c r="CC264" s="24">
        <v>83</v>
      </c>
      <c r="CF264" s="24"/>
      <c r="CG264" s="24"/>
      <c r="CH264" s="24"/>
      <c r="CI264" s="24"/>
      <c r="CJ264" s="24"/>
      <c r="DD264" s="24"/>
      <c r="DE264" s="24"/>
      <c r="DF264" s="24"/>
      <c r="DG264" s="24"/>
      <c r="DH264" s="24"/>
      <c r="DJ264" s="24">
        <v>2021</v>
      </c>
      <c r="DK264" s="24">
        <v>3</v>
      </c>
      <c r="DL264" s="24" t="s">
        <v>33</v>
      </c>
      <c r="DM264" s="24">
        <v>438</v>
      </c>
      <c r="DP264" s="24">
        <v>2019</v>
      </c>
      <c r="DQ264" s="24">
        <v>14</v>
      </c>
      <c r="DR264" s="24" t="s">
        <v>33</v>
      </c>
      <c r="DS264" s="24">
        <v>7996</v>
      </c>
      <c r="DT264" s="24">
        <v>1328</v>
      </c>
      <c r="DW264" s="24">
        <v>2021</v>
      </c>
      <c r="DX264" s="24">
        <v>39</v>
      </c>
      <c r="DY264" s="24" t="s">
        <v>33</v>
      </c>
      <c r="DZ264" s="24">
        <v>9</v>
      </c>
      <c r="EA264" s="24" t="s">
        <v>562</v>
      </c>
      <c r="EB264" s="24">
        <v>78.3</v>
      </c>
      <c r="EC264" s="24">
        <v>0</v>
      </c>
      <c r="ED264" s="24">
        <v>30</v>
      </c>
      <c r="EE264" s="24">
        <v>2945</v>
      </c>
      <c r="EF264" s="24">
        <v>23.2</v>
      </c>
      <c r="EI264" s="24">
        <v>2023</v>
      </c>
      <c r="EJ264" s="24">
        <v>3</v>
      </c>
      <c r="EK264" s="24" t="s">
        <v>211</v>
      </c>
      <c r="EL264" s="24" t="s">
        <v>247</v>
      </c>
      <c r="EM264" s="24" t="s">
        <v>234</v>
      </c>
      <c r="EN264" s="24">
        <v>14</v>
      </c>
      <c r="EO264" s="24"/>
      <c r="EP264" s="24"/>
      <c r="EQ264" s="24"/>
      <c r="ER264" s="24"/>
      <c r="ES264" s="24">
        <v>2021</v>
      </c>
      <c r="ET264" s="24">
        <v>22</v>
      </c>
      <c r="EU264" s="24" t="s">
        <v>32</v>
      </c>
      <c r="EV264" s="24">
        <v>5176</v>
      </c>
      <c r="EY264" s="24"/>
      <c r="EZ264" s="24"/>
      <c r="FA264" s="24"/>
      <c r="FB264" s="24"/>
      <c r="FE264" s="24"/>
      <c r="FF264" s="24"/>
      <c r="FG264" s="24"/>
      <c r="FH264" s="24"/>
      <c r="FN264" s="24"/>
      <c r="FO264" s="24"/>
      <c r="FP264" s="24"/>
      <c r="FQ264" s="24"/>
      <c r="FW264" s="24">
        <v>2021</v>
      </c>
      <c r="FX264" s="24">
        <v>2</v>
      </c>
      <c r="FY264" s="24" t="s">
        <v>32</v>
      </c>
      <c r="FZ264" s="24">
        <v>853</v>
      </c>
      <c r="GA264" s="24">
        <v>745</v>
      </c>
      <c r="GB264" s="24"/>
      <c r="GC264" s="24"/>
      <c r="GD264" s="24">
        <v>2021</v>
      </c>
      <c r="GE264" s="24">
        <v>2</v>
      </c>
      <c r="GF264" s="24" t="s">
        <v>32</v>
      </c>
      <c r="GG264" s="24">
        <v>834</v>
      </c>
      <c r="GH264" s="24">
        <v>718</v>
      </c>
      <c r="GK264" s="24"/>
      <c r="GL264" s="24"/>
      <c r="GM264" s="24"/>
      <c r="GN264" s="24"/>
      <c r="GO264" s="24"/>
      <c r="GP264" s="327">
        <v>2021</v>
      </c>
      <c r="GQ264" s="327">
        <v>2</v>
      </c>
      <c r="GR264" s="327">
        <v>0.314571428571429</v>
      </c>
      <c r="GS264" s="327" t="s">
        <v>32</v>
      </c>
      <c r="GX264">
        <v>2021</v>
      </c>
      <c r="GY264">
        <v>2</v>
      </c>
      <c r="GZ264" t="s">
        <v>32</v>
      </c>
      <c r="HA264">
        <v>7352</v>
      </c>
      <c r="HB264">
        <v>7296</v>
      </c>
      <c r="HC264">
        <v>0</v>
      </c>
      <c r="HD264">
        <v>6</v>
      </c>
      <c r="HE264">
        <v>0</v>
      </c>
      <c r="HF264">
        <v>6</v>
      </c>
      <c r="HG264">
        <v>0</v>
      </c>
      <c r="HH264">
        <v>0</v>
      </c>
      <c r="HI264">
        <v>26</v>
      </c>
      <c r="HL264">
        <v>2021</v>
      </c>
      <c r="HM264">
        <v>2</v>
      </c>
      <c r="HN264" t="s">
        <v>32</v>
      </c>
      <c r="HO264">
        <v>7300</v>
      </c>
      <c r="HP264">
        <v>7289</v>
      </c>
      <c r="HQ264">
        <v>0</v>
      </c>
      <c r="HR264">
        <v>2</v>
      </c>
      <c r="HS264">
        <v>0</v>
      </c>
      <c r="HT264">
        <v>0</v>
      </c>
      <c r="HU264">
        <v>0</v>
      </c>
      <c r="HV264">
        <v>0</v>
      </c>
      <c r="HW264">
        <v>3</v>
      </c>
      <c r="HZ264" s="24">
        <v>2021</v>
      </c>
      <c r="IA264" s="24">
        <v>2</v>
      </c>
      <c r="IB264" s="24" t="s">
        <v>32</v>
      </c>
      <c r="IC264" s="24">
        <v>816</v>
      </c>
      <c r="ID264" s="24">
        <v>807</v>
      </c>
      <c r="IG264" s="24">
        <v>2021</v>
      </c>
      <c r="IH264" s="24">
        <v>2</v>
      </c>
      <c r="II264" s="24" t="s">
        <v>32</v>
      </c>
      <c r="IJ264" s="24">
        <v>823</v>
      </c>
      <c r="IK264" s="24">
        <v>819</v>
      </c>
    </row>
    <row r="265" spans="9:245" x14ac:dyDescent="0.4">
      <c r="I265" s="305">
        <v>2021</v>
      </c>
      <c r="J265" s="306">
        <v>2</v>
      </c>
      <c r="K265" s="306" t="s">
        <v>32</v>
      </c>
      <c r="L265" s="306">
        <v>7322</v>
      </c>
      <c r="M265" s="306">
        <v>7114</v>
      </c>
      <c r="N265" s="306">
        <v>17</v>
      </c>
      <c r="O265" s="306">
        <v>57</v>
      </c>
      <c r="P265" s="306">
        <v>4</v>
      </c>
      <c r="Q265" s="306">
        <v>9</v>
      </c>
      <c r="R265" s="24"/>
      <c r="S265" s="24"/>
      <c r="T265" s="24"/>
      <c r="W265" s="24">
        <v>2021</v>
      </c>
      <c r="X265" s="24">
        <v>2</v>
      </c>
      <c r="Y265" s="24" t="s">
        <v>33</v>
      </c>
      <c r="Z265" s="24">
        <v>160848</v>
      </c>
      <c r="AA265" s="24">
        <v>151254</v>
      </c>
      <c r="AB265" s="24">
        <v>110</v>
      </c>
      <c r="AC265" s="24">
        <v>20</v>
      </c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T265" s="24"/>
      <c r="AU265" s="327">
        <v>2021</v>
      </c>
      <c r="AV265" s="327">
        <v>2</v>
      </c>
      <c r="AW265" s="327">
        <v>0.03</v>
      </c>
      <c r="AX265" s="327">
        <v>5500</v>
      </c>
      <c r="AY265" s="327">
        <v>164899</v>
      </c>
      <c r="AZ265" s="327" t="s">
        <v>33</v>
      </c>
      <c r="BA265" s="24"/>
      <c r="BB265" s="24"/>
      <c r="BC265" s="327">
        <v>2021</v>
      </c>
      <c r="BD265" s="327">
        <v>2</v>
      </c>
      <c r="BE265" s="327">
        <v>1724.35885714286</v>
      </c>
      <c r="BF265" s="327" t="s">
        <v>33</v>
      </c>
      <c r="BG265" s="24"/>
      <c r="BI265" s="24">
        <v>2022</v>
      </c>
      <c r="BJ265" s="24">
        <v>6</v>
      </c>
      <c r="BK265" s="24" t="s">
        <v>32</v>
      </c>
      <c r="BL265" s="24" t="s">
        <v>272</v>
      </c>
      <c r="BM265" s="24">
        <v>3226</v>
      </c>
      <c r="BN265" s="24">
        <v>3221</v>
      </c>
      <c r="BO265" s="24">
        <v>11073</v>
      </c>
      <c r="BR265" s="24">
        <v>2021</v>
      </c>
      <c r="BS265" s="24">
        <v>2</v>
      </c>
      <c r="BT265" s="24">
        <v>7559</v>
      </c>
      <c r="BU265" s="24">
        <v>0</v>
      </c>
      <c r="BV265" s="24" t="s">
        <v>32</v>
      </c>
      <c r="BY265" s="24">
        <v>2021</v>
      </c>
      <c r="BZ265" s="24">
        <v>10</v>
      </c>
      <c r="CA265" s="24" t="s">
        <v>33</v>
      </c>
      <c r="CB265" s="24" t="s">
        <v>423</v>
      </c>
      <c r="CC265" s="24">
        <v>18</v>
      </c>
      <c r="CF265" s="24"/>
      <c r="CG265" s="24"/>
      <c r="CH265" s="24"/>
      <c r="CI265" s="24"/>
      <c r="CJ265" s="24"/>
      <c r="DD265" s="24"/>
      <c r="DE265" s="24"/>
      <c r="DF265" s="24"/>
      <c r="DG265" s="24"/>
      <c r="DH265" s="24"/>
      <c r="DJ265" s="24">
        <v>2021</v>
      </c>
      <c r="DK265" s="24">
        <v>3</v>
      </c>
      <c r="DL265" s="24" t="s">
        <v>213</v>
      </c>
      <c r="DM265" s="24">
        <v>1</v>
      </c>
      <c r="DP265" s="313">
        <v>2019</v>
      </c>
      <c r="DQ265" s="313">
        <v>13</v>
      </c>
      <c r="DR265" s="313" t="s">
        <v>33</v>
      </c>
      <c r="DS265" s="313">
        <v>10930</v>
      </c>
      <c r="DT265" s="313">
        <v>1021</v>
      </c>
      <c r="DW265" s="24">
        <v>2021</v>
      </c>
      <c r="DX265" s="24">
        <v>39</v>
      </c>
      <c r="DY265" s="24" t="s">
        <v>33</v>
      </c>
      <c r="DZ265" s="24">
        <v>45</v>
      </c>
      <c r="EA265" s="24" t="s">
        <v>149</v>
      </c>
      <c r="EB265" s="24">
        <v>150.80000000000001</v>
      </c>
      <c r="EC265" s="24">
        <v>1123.8</v>
      </c>
      <c r="ED265" s="24">
        <v>34452</v>
      </c>
      <c r="EE265" s="24">
        <v>38375</v>
      </c>
      <c r="EF265" s="24">
        <v>126</v>
      </c>
      <c r="EI265" s="24">
        <v>2023</v>
      </c>
      <c r="EJ265" s="24">
        <v>3</v>
      </c>
      <c r="EK265" s="24" t="s">
        <v>211</v>
      </c>
      <c r="EL265" s="24" t="s">
        <v>247</v>
      </c>
      <c r="EM265" s="24" t="s">
        <v>215</v>
      </c>
      <c r="EN265" s="24">
        <v>4</v>
      </c>
      <c r="EO265" s="24"/>
      <c r="EP265" s="24"/>
      <c r="EQ265" s="24"/>
      <c r="ER265" s="24"/>
      <c r="ES265" s="24">
        <v>2021</v>
      </c>
      <c r="ET265" s="24">
        <v>22</v>
      </c>
      <c r="EU265" s="24" t="s">
        <v>33</v>
      </c>
      <c r="EV265" s="24">
        <v>101860</v>
      </c>
      <c r="EY265" s="24"/>
      <c r="EZ265" s="24"/>
      <c r="FA265" s="24"/>
      <c r="FB265" s="24"/>
      <c r="FE265" s="24"/>
      <c r="FF265" s="24"/>
      <c r="FG265" s="24"/>
      <c r="FH265" s="24"/>
      <c r="FN265" s="24"/>
      <c r="FO265" s="24"/>
      <c r="FP265" s="24"/>
      <c r="FQ265" s="24"/>
      <c r="FW265" s="24">
        <v>2021</v>
      </c>
      <c r="FX265" s="24">
        <v>2</v>
      </c>
      <c r="FY265" s="24" t="s">
        <v>33</v>
      </c>
      <c r="FZ265" s="24">
        <v>5549</v>
      </c>
      <c r="GA265" s="24">
        <v>5238</v>
      </c>
      <c r="GB265" s="24"/>
      <c r="GC265" s="24"/>
      <c r="GD265" s="24">
        <v>2021</v>
      </c>
      <c r="GE265" s="24">
        <v>2</v>
      </c>
      <c r="GF265" s="24" t="s">
        <v>33</v>
      </c>
      <c r="GG265" s="24">
        <v>5538</v>
      </c>
      <c r="GH265" s="24">
        <v>5303</v>
      </c>
      <c r="GK265" s="24"/>
      <c r="GL265" s="24"/>
      <c r="GM265" s="24"/>
      <c r="GN265" s="24"/>
      <c r="GO265" s="24"/>
      <c r="GP265" s="327">
        <v>2021</v>
      </c>
      <c r="GQ265" s="327">
        <v>2</v>
      </c>
      <c r="GR265" s="327">
        <v>7.0259999999999998</v>
      </c>
      <c r="GS265" s="327" t="s">
        <v>33</v>
      </c>
      <c r="GX265">
        <v>2021</v>
      </c>
      <c r="GY265">
        <v>2</v>
      </c>
      <c r="GZ265" t="s">
        <v>33</v>
      </c>
      <c r="HA265">
        <v>163753</v>
      </c>
      <c r="HB265">
        <v>161175</v>
      </c>
      <c r="HC265">
        <v>102</v>
      </c>
      <c r="HD265">
        <v>75</v>
      </c>
      <c r="HE265">
        <v>0</v>
      </c>
      <c r="HF265">
        <v>683</v>
      </c>
      <c r="HG265">
        <v>0</v>
      </c>
      <c r="HH265">
        <v>0</v>
      </c>
      <c r="HI265">
        <v>533</v>
      </c>
      <c r="HL265">
        <v>2021</v>
      </c>
      <c r="HM265">
        <v>2</v>
      </c>
      <c r="HN265" t="s">
        <v>33</v>
      </c>
      <c r="HO265">
        <v>160662</v>
      </c>
      <c r="HP265">
        <v>159686</v>
      </c>
      <c r="HQ265">
        <v>80</v>
      </c>
      <c r="HR265">
        <v>45</v>
      </c>
      <c r="HS265">
        <v>0</v>
      </c>
      <c r="HT265">
        <v>626</v>
      </c>
      <c r="HU265">
        <v>0</v>
      </c>
      <c r="HV265">
        <v>0</v>
      </c>
      <c r="HW265">
        <v>91</v>
      </c>
      <c r="HZ265" s="24">
        <v>2021</v>
      </c>
      <c r="IA265" s="24">
        <v>2</v>
      </c>
      <c r="IB265" s="24" t="s">
        <v>33</v>
      </c>
      <c r="IC265" s="24">
        <v>5566</v>
      </c>
      <c r="ID265" s="24">
        <v>5379</v>
      </c>
      <c r="IG265" s="24">
        <v>2021</v>
      </c>
      <c r="IH265" s="24">
        <v>2</v>
      </c>
      <c r="II265" s="24" t="s">
        <v>33</v>
      </c>
      <c r="IJ265" s="24">
        <v>5258</v>
      </c>
      <c r="IK265" s="24">
        <v>5203</v>
      </c>
    </row>
    <row r="266" spans="9:245" x14ac:dyDescent="0.4">
      <c r="I266" s="305">
        <v>2021</v>
      </c>
      <c r="J266" s="306">
        <v>2</v>
      </c>
      <c r="K266" s="306" t="s">
        <v>33</v>
      </c>
      <c r="L266" s="306">
        <v>161038</v>
      </c>
      <c r="M266" s="306">
        <v>150712</v>
      </c>
      <c r="N266" s="306">
        <v>524</v>
      </c>
      <c r="O266" s="306">
        <v>1912</v>
      </c>
      <c r="P266" s="306">
        <v>134</v>
      </c>
      <c r="Q266" s="306">
        <v>19</v>
      </c>
      <c r="R266" s="24"/>
      <c r="S266" s="24"/>
      <c r="T266" s="24"/>
      <c r="W266" s="24">
        <v>2021</v>
      </c>
      <c r="X266" s="24">
        <v>1</v>
      </c>
      <c r="Y266" s="24" t="s">
        <v>32</v>
      </c>
      <c r="Z266" s="24">
        <v>7018</v>
      </c>
      <c r="AA266" s="24">
        <v>6880</v>
      </c>
      <c r="AB266" s="24">
        <v>9</v>
      </c>
      <c r="AC266" s="24">
        <v>5</v>
      </c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T266" s="24"/>
      <c r="AU266" s="327">
        <v>2021</v>
      </c>
      <c r="AV266" s="327">
        <v>1</v>
      </c>
      <c r="AW266" s="327">
        <v>0.01</v>
      </c>
      <c r="AX266" s="327">
        <v>100</v>
      </c>
      <c r="AY266" s="327">
        <v>7540</v>
      </c>
      <c r="AZ266" s="327" t="s">
        <v>32</v>
      </c>
      <c r="BA266" s="24"/>
      <c r="BB266" s="24"/>
      <c r="BC266" s="327">
        <v>2021</v>
      </c>
      <c r="BD266" s="327">
        <v>1</v>
      </c>
      <c r="BE266" s="327">
        <v>116.48442857142899</v>
      </c>
      <c r="BF266" s="327" t="s">
        <v>32</v>
      </c>
      <c r="BG266" s="24"/>
      <c r="BI266" s="24">
        <v>2022</v>
      </c>
      <c r="BJ266" s="24">
        <v>5</v>
      </c>
      <c r="BK266" s="24" t="s">
        <v>33</v>
      </c>
      <c r="BL266" s="24" t="s">
        <v>272</v>
      </c>
      <c r="BM266" s="24">
        <v>56676</v>
      </c>
      <c r="BN266" s="24">
        <v>56643</v>
      </c>
      <c r="BO266" s="24">
        <v>202862</v>
      </c>
      <c r="BR266" s="24">
        <v>2021</v>
      </c>
      <c r="BS266" s="24">
        <v>1</v>
      </c>
      <c r="BT266" s="24">
        <v>7489</v>
      </c>
      <c r="BU266" s="24">
        <v>0</v>
      </c>
      <c r="BV266" s="24" t="s">
        <v>32</v>
      </c>
      <c r="BY266" s="24">
        <v>2021</v>
      </c>
      <c r="BZ266" s="24">
        <v>9</v>
      </c>
      <c r="CA266" s="24" t="s">
        <v>32</v>
      </c>
      <c r="CB266" s="24" t="s">
        <v>108</v>
      </c>
      <c r="CC266" s="24">
        <v>2</v>
      </c>
      <c r="CF266" s="24"/>
      <c r="CG266" s="24"/>
      <c r="CH266" s="24"/>
      <c r="CI266" s="24"/>
      <c r="CJ266" s="24"/>
      <c r="DD266" s="24"/>
      <c r="DE266" s="24"/>
      <c r="DF266" s="24"/>
      <c r="DG266" s="24"/>
      <c r="DH266" s="24"/>
      <c r="DJ266" s="24">
        <v>2021</v>
      </c>
      <c r="DK266" s="24">
        <v>2</v>
      </c>
      <c r="DL266" s="24" t="s">
        <v>32</v>
      </c>
      <c r="DM266" s="24">
        <v>17</v>
      </c>
      <c r="DP266" s="313">
        <v>2019</v>
      </c>
      <c r="DQ266" s="313">
        <v>12</v>
      </c>
      <c r="DR266" s="313" t="s">
        <v>33</v>
      </c>
      <c r="DS266" s="313">
        <v>8444</v>
      </c>
      <c r="DT266" s="313">
        <v>1102</v>
      </c>
      <c r="DW266" s="24">
        <v>2021</v>
      </c>
      <c r="DX266" s="24">
        <v>38</v>
      </c>
      <c r="DY266" s="24" t="s">
        <v>32</v>
      </c>
      <c r="DZ266" s="24">
        <v>1</v>
      </c>
      <c r="EA266" s="24" t="s">
        <v>149</v>
      </c>
      <c r="EB266" s="24">
        <v>0</v>
      </c>
      <c r="EC266" s="24">
        <v>0</v>
      </c>
      <c r="ED266" s="24">
        <v>134</v>
      </c>
      <c r="EE266" s="24">
        <v>28</v>
      </c>
      <c r="EF266" s="24">
        <v>3.7</v>
      </c>
      <c r="EI266" s="24">
        <v>2023</v>
      </c>
      <c r="EJ266" s="24">
        <v>3</v>
      </c>
      <c r="EK266" s="24" t="s">
        <v>213</v>
      </c>
      <c r="EL266" s="24" t="s">
        <v>214</v>
      </c>
      <c r="EM266" s="24" t="s">
        <v>215</v>
      </c>
      <c r="EN266" s="24">
        <v>25</v>
      </c>
      <c r="EO266" s="24"/>
      <c r="EP266" s="24"/>
      <c r="EQ266" s="24"/>
      <c r="ER266" s="24"/>
      <c r="ES266" s="24">
        <v>2021</v>
      </c>
      <c r="ET266" s="24">
        <v>22</v>
      </c>
      <c r="EU266" s="24" t="s">
        <v>213</v>
      </c>
      <c r="EV266" s="24">
        <v>9</v>
      </c>
      <c r="EY266" s="24"/>
      <c r="EZ266" s="24"/>
      <c r="FA266" s="24"/>
      <c r="FB266" s="24"/>
      <c r="FE266" s="24"/>
      <c r="FF266" s="24"/>
      <c r="FG266" s="24"/>
      <c r="FH266" s="24"/>
      <c r="FN266" s="24"/>
      <c r="FO266" s="24"/>
      <c r="FP266" s="24"/>
      <c r="FQ266" s="24"/>
      <c r="FW266" s="24">
        <v>2021</v>
      </c>
      <c r="FX266" s="24">
        <v>1</v>
      </c>
      <c r="FY266" s="24" t="s">
        <v>32</v>
      </c>
      <c r="FZ266" s="24">
        <v>633</v>
      </c>
      <c r="GA266" s="24">
        <v>590</v>
      </c>
      <c r="GB266" s="24"/>
      <c r="GC266" s="24"/>
      <c r="GD266" s="24">
        <v>2021</v>
      </c>
      <c r="GE266" s="24">
        <v>1</v>
      </c>
      <c r="GF266" s="24" t="s">
        <v>32</v>
      </c>
      <c r="GG266" s="24">
        <v>625</v>
      </c>
      <c r="GH266" s="24">
        <v>581</v>
      </c>
      <c r="GK266" s="24"/>
      <c r="GL266" s="24"/>
      <c r="GM266" s="24"/>
      <c r="GN266" s="24"/>
      <c r="GO266" s="24"/>
      <c r="GP266" s="327">
        <v>2021</v>
      </c>
      <c r="GQ266" s="327">
        <v>1</v>
      </c>
      <c r="GR266" s="327">
        <v>0.32457142857142901</v>
      </c>
      <c r="GS266" s="327" t="s">
        <v>32</v>
      </c>
      <c r="GX266">
        <v>2021</v>
      </c>
      <c r="GY266">
        <v>1</v>
      </c>
      <c r="GZ266" t="s">
        <v>32</v>
      </c>
      <c r="HA266">
        <v>7155</v>
      </c>
      <c r="HB266">
        <v>7111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28</v>
      </c>
      <c r="HL266">
        <v>2021</v>
      </c>
      <c r="HM266">
        <v>1</v>
      </c>
      <c r="HN266" t="s">
        <v>32</v>
      </c>
      <c r="HO266">
        <v>6998</v>
      </c>
      <c r="HP266">
        <v>6996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Z266" s="24">
        <v>2021</v>
      </c>
      <c r="IA266" s="24">
        <v>1</v>
      </c>
      <c r="IB266" s="24" t="s">
        <v>32</v>
      </c>
      <c r="IC266" s="24">
        <v>682</v>
      </c>
      <c r="ID266" s="24">
        <v>675</v>
      </c>
      <c r="IG266" s="24">
        <v>2021</v>
      </c>
      <c r="IH266" s="24">
        <v>1</v>
      </c>
      <c r="II266" s="24" t="s">
        <v>32</v>
      </c>
      <c r="IJ266" s="24">
        <v>611</v>
      </c>
      <c r="IK266" s="24">
        <v>611</v>
      </c>
    </row>
    <row r="267" spans="9:245" x14ac:dyDescent="0.4">
      <c r="I267" s="305">
        <v>2021</v>
      </c>
      <c r="J267" s="306">
        <v>1</v>
      </c>
      <c r="K267" s="306" t="s">
        <v>32</v>
      </c>
      <c r="L267" s="306">
        <v>7033</v>
      </c>
      <c r="M267" s="306">
        <v>6876</v>
      </c>
      <c r="N267" s="306">
        <v>19</v>
      </c>
      <c r="O267" s="306">
        <v>49</v>
      </c>
      <c r="P267" s="306">
        <v>8</v>
      </c>
      <c r="Q267" s="306">
        <v>4</v>
      </c>
      <c r="R267" s="24"/>
      <c r="S267" s="24"/>
      <c r="T267" s="24"/>
      <c r="W267" s="24">
        <v>2021</v>
      </c>
      <c r="X267" s="24">
        <v>1</v>
      </c>
      <c r="Y267" s="24" t="s">
        <v>33</v>
      </c>
      <c r="Z267" s="24">
        <v>134190</v>
      </c>
      <c r="AA267" s="24">
        <v>132630</v>
      </c>
      <c r="AB267" s="24">
        <v>101</v>
      </c>
      <c r="AC267" s="24">
        <v>40</v>
      </c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T267" s="24"/>
      <c r="AU267" s="327">
        <v>2021</v>
      </c>
      <c r="AV267" s="327">
        <v>1</v>
      </c>
      <c r="AW267" s="327">
        <v>0.04</v>
      </c>
      <c r="AX267" s="327">
        <v>6100</v>
      </c>
      <c r="AY267" s="327">
        <v>142816</v>
      </c>
      <c r="AZ267" s="327" t="s">
        <v>33</v>
      </c>
      <c r="BA267" s="24"/>
      <c r="BB267" s="24"/>
      <c r="BC267" s="327">
        <v>2021</v>
      </c>
      <c r="BD267" s="327">
        <v>1</v>
      </c>
      <c r="BE267" s="327">
        <v>1677.5695714285698</v>
      </c>
      <c r="BF267" s="327" t="s">
        <v>33</v>
      </c>
      <c r="BG267" s="24"/>
      <c r="BI267" s="24">
        <v>2022</v>
      </c>
      <c r="BJ267" s="24">
        <v>5</v>
      </c>
      <c r="BK267" s="24" t="s">
        <v>33</v>
      </c>
      <c r="BL267" s="24" t="s">
        <v>273</v>
      </c>
      <c r="BM267" s="24">
        <v>111482</v>
      </c>
      <c r="BN267" s="24">
        <v>110979</v>
      </c>
      <c r="BO267" s="24">
        <v>114446</v>
      </c>
      <c r="BR267" s="24">
        <v>2021</v>
      </c>
      <c r="BS267" s="24">
        <v>1</v>
      </c>
      <c r="BT267" s="24">
        <v>142249</v>
      </c>
      <c r="BU267" s="24">
        <v>0</v>
      </c>
      <c r="BV267" s="24" t="s">
        <v>33</v>
      </c>
      <c r="BY267" s="315">
        <v>2021</v>
      </c>
      <c r="BZ267" s="315">
        <v>9</v>
      </c>
      <c r="CA267" s="315" t="s">
        <v>32</v>
      </c>
      <c r="CB267" s="315" t="s">
        <v>423</v>
      </c>
      <c r="CC267" s="315">
        <v>66</v>
      </c>
      <c r="CF267" s="24"/>
      <c r="CG267" s="24"/>
      <c r="CH267" s="24"/>
      <c r="CI267" s="24"/>
      <c r="CJ267" s="24"/>
      <c r="DD267" s="24"/>
      <c r="DE267" s="24"/>
      <c r="DF267" s="24"/>
      <c r="DG267" s="24"/>
      <c r="DH267" s="24"/>
      <c r="DJ267" s="24">
        <v>2021</v>
      </c>
      <c r="DK267" s="24">
        <v>2</v>
      </c>
      <c r="DL267" s="24" t="s">
        <v>33</v>
      </c>
      <c r="DM267" s="24">
        <v>1078</v>
      </c>
      <c r="DP267" s="313">
        <v>2019</v>
      </c>
      <c r="DQ267" s="313">
        <v>11</v>
      </c>
      <c r="DR267" s="313" t="s">
        <v>33</v>
      </c>
      <c r="DS267" s="313">
        <v>8050</v>
      </c>
      <c r="DT267" s="313">
        <v>1013</v>
      </c>
      <c r="DW267" s="24">
        <v>2021</v>
      </c>
      <c r="DX267" s="24">
        <v>38</v>
      </c>
      <c r="DY267" s="24" t="s">
        <v>33</v>
      </c>
      <c r="DZ267" s="24">
        <v>8</v>
      </c>
      <c r="EA267" s="24" t="s">
        <v>562</v>
      </c>
      <c r="EB267" s="24">
        <v>85.2</v>
      </c>
      <c r="EC267" s="24">
        <v>0</v>
      </c>
      <c r="ED267" s="24">
        <v>38</v>
      </c>
      <c r="EE267" s="24">
        <v>3619</v>
      </c>
      <c r="EF267" s="24">
        <v>30.1</v>
      </c>
      <c r="EI267" s="24">
        <v>2023</v>
      </c>
      <c r="EJ267" s="24">
        <v>2</v>
      </c>
      <c r="EK267" s="24" t="s">
        <v>19</v>
      </c>
      <c r="EL267" s="24" t="s">
        <v>247</v>
      </c>
      <c r="EM267" s="24" t="s">
        <v>210</v>
      </c>
      <c r="EN267" s="24">
        <v>1</v>
      </c>
      <c r="EO267" s="24"/>
      <c r="EP267" s="24"/>
      <c r="EQ267" s="24"/>
      <c r="ER267" s="24"/>
      <c r="ES267" s="24">
        <v>2021</v>
      </c>
      <c r="ET267" s="24">
        <v>21</v>
      </c>
      <c r="EU267" s="24" t="s">
        <v>32</v>
      </c>
      <c r="EV267" s="24">
        <v>5154</v>
      </c>
      <c r="EY267" s="24"/>
      <c r="EZ267" s="24"/>
      <c r="FA267" s="24"/>
      <c r="FB267" s="24"/>
      <c r="FE267" s="24"/>
      <c r="FF267" s="24"/>
      <c r="FG267" s="24"/>
      <c r="FH267" s="24"/>
      <c r="FN267" s="24"/>
      <c r="FO267" s="24"/>
      <c r="FP267" s="24"/>
      <c r="FQ267" s="24"/>
      <c r="FW267" s="24">
        <v>2021</v>
      </c>
      <c r="FX267" s="24">
        <v>1</v>
      </c>
      <c r="FY267" s="24" t="s">
        <v>33</v>
      </c>
      <c r="FZ267" s="24">
        <v>4313</v>
      </c>
      <c r="GA267" s="24">
        <v>3996</v>
      </c>
      <c r="GB267" s="24"/>
      <c r="GC267" s="24"/>
      <c r="GD267" s="24">
        <v>2021</v>
      </c>
      <c r="GE267" s="24">
        <v>1</v>
      </c>
      <c r="GF267" s="24" t="s">
        <v>33</v>
      </c>
      <c r="GG267" s="24">
        <v>4325</v>
      </c>
      <c r="GH267" s="24">
        <v>4079</v>
      </c>
      <c r="GK267" s="24"/>
      <c r="GL267" s="24"/>
      <c r="GM267" s="24"/>
      <c r="GN267" s="24"/>
      <c r="GO267" s="24"/>
      <c r="GP267" s="327">
        <v>2021</v>
      </c>
      <c r="GQ267" s="327">
        <v>1</v>
      </c>
      <c r="GR267" s="327">
        <v>6.7268571428571402</v>
      </c>
      <c r="GS267" s="327" t="s">
        <v>33</v>
      </c>
      <c r="GX267">
        <v>2021</v>
      </c>
      <c r="GY267">
        <v>1</v>
      </c>
      <c r="GZ267" t="s">
        <v>33</v>
      </c>
      <c r="HA267">
        <v>138796</v>
      </c>
      <c r="HB267">
        <v>137787</v>
      </c>
      <c r="HC267">
        <v>87</v>
      </c>
      <c r="HD267">
        <v>27</v>
      </c>
      <c r="HE267">
        <v>0</v>
      </c>
      <c r="HF267">
        <v>141</v>
      </c>
      <c r="HG267">
        <v>0</v>
      </c>
      <c r="HH267">
        <v>0</v>
      </c>
      <c r="HI267">
        <v>322</v>
      </c>
      <c r="HL267">
        <v>2021</v>
      </c>
      <c r="HM267">
        <v>1</v>
      </c>
      <c r="HN267" t="s">
        <v>33</v>
      </c>
      <c r="HO267">
        <v>134031</v>
      </c>
      <c r="HP267">
        <v>133673</v>
      </c>
      <c r="HQ267">
        <v>100</v>
      </c>
      <c r="HR267">
        <v>10</v>
      </c>
      <c r="HS267">
        <v>0</v>
      </c>
      <c r="HT267">
        <v>113</v>
      </c>
      <c r="HU267">
        <v>0</v>
      </c>
      <c r="HV267">
        <v>0</v>
      </c>
      <c r="HW267">
        <v>14</v>
      </c>
      <c r="HZ267" s="24">
        <v>2021</v>
      </c>
      <c r="IA267" s="24">
        <v>1</v>
      </c>
      <c r="IB267" s="24" t="s">
        <v>33</v>
      </c>
      <c r="IC267" s="24">
        <v>4648</v>
      </c>
      <c r="ID267" s="24">
        <v>4518</v>
      </c>
      <c r="IG267" s="24">
        <v>2021</v>
      </c>
      <c r="IH267" s="24">
        <v>1</v>
      </c>
      <c r="II267" s="24" t="s">
        <v>33</v>
      </c>
      <c r="IJ267" s="24">
        <v>4060</v>
      </c>
      <c r="IK267" s="24">
        <v>4034</v>
      </c>
    </row>
    <row r="268" spans="9:245" x14ac:dyDescent="0.4">
      <c r="I268" s="305">
        <v>2021</v>
      </c>
      <c r="J268" s="306">
        <v>1</v>
      </c>
      <c r="K268" s="306" t="s">
        <v>33</v>
      </c>
      <c r="L268" s="306">
        <v>134230</v>
      </c>
      <c r="M268" s="306">
        <v>132304</v>
      </c>
      <c r="N268" s="306">
        <v>232</v>
      </c>
      <c r="O268" s="306">
        <v>536</v>
      </c>
      <c r="P268" s="306">
        <v>121</v>
      </c>
      <c r="Q268" s="306">
        <v>30</v>
      </c>
      <c r="R268" s="24"/>
      <c r="S268" s="24"/>
      <c r="T268" s="24"/>
      <c r="W268" s="24">
        <v>2020</v>
      </c>
      <c r="X268" s="24">
        <v>52</v>
      </c>
      <c r="Y268" s="24" t="s">
        <v>32</v>
      </c>
      <c r="Z268" s="24">
        <v>7495</v>
      </c>
      <c r="AA268" s="24">
        <v>6810</v>
      </c>
      <c r="AB268" s="24">
        <v>21</v>
      </c>
      <c r="AC268" s="24">
        <v>7</v>
      </c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I268" s="24">
        <v>2022</v>
      </c>
      <c r="BJ268" s="24">
        <v>5</v>
      </c>
      <c r="BK268" s="24" t="s">
        <v>32</v>
      </c>
      <c r="BL268" s="24" t="s">
        <v>273</v>
      </c>
      <c r="BM268" s="24">
        <v>6646</v>
      </c>
      <c r="BN268" s="24">
        <v>6610</v>
      </c>
      <c r="BO268" s="24">
        <v>6752</v>
      </c>
      <c r="BR268" s="24">
        <v>2020</v>
      </c>
      <c r="BS268" s="24">
        <v>52</v>
      </c>
      <c r="BT268" s="24">
        <v>322</v>
      </c>
      <c r="BU268" s="24">
        <v>0</v>
      </c>
      <c r="BV268" s="24" t="s">
        <v>32</v>
      </c>
      <c r="BY268" s="315">
        <v>2021</v>
      </c>
      <c r="BZ268" s="315">
        <v>9</v>
      </c>
      <c r="CA268" s="315" t="s">
        <v>33</v>
      </c>
      <c r="CB268" s="315" t="s">
        <v>108</v>
      </c>
      <c r="CC268" s="315">
        <v>1</v>
      </c>
      <c r="CF268" s="24"/>
      <c r="CG268" s="24"/>
      <c r="CH268" s="24"/>
      <c r="CI268" s="24"/>
      <c r="CJ268" s="24"/>
      <c r="DD268" s="24"/>
      <c r="DE268" s="24"/>
      <c r="DF268" s="24"/>
      <c r="DG268" s="24"/>
      <c r="DH268" s="24"/>
      <c r="DJ268" s="24">
        <v>2021</v>
      </c>
      <c r="DK268" s="24">
        <v>1</v>
      </c>
      <c r="DL268" s="24" t="s">
        <v>32</v>
      </c>
      <c r="DM268" s="24">
        <v>0</v>
      </c>
      <c r="DP268" s="313">
        <v>2019</v>
      </c>
      <c r="DQ268" s="313">
        <v>10</v>
      </c>
      <c r="DR268" s="313" t="s">
        <v>33</v>
      </c>
      <c r="DS268" s="313">
        <v>5609</v>
      </c>
      <c r="DT268" s="313">
        <v>851</v>
      </c>
      <c r="DW268" s="24">
        <v>2021</v>
      </c>
      <c r="DX268" s="24">
        <v>38</v>
      </c>
      <c r="DY268" s="24" t="s">
        <v>33</v>
      </c>
      <c r="DZ268" s="24">
        <v>45</v>
      </c>
      <c r="EA268" s="24" t="s">
        <v>149</v>
      </c>
      <c r="EB268" s="24">
        <v>82.1</v>
      </c>
      <c r="EC268" s="24">
        <v>1235.9000000000001</v>
      </c>
      <c r="ED268" s="24">
        <v>39494</v>
      </c>
      <c r="EE268" s="24">
        <v>41506</v>
      </c>
      <c r="EF268" s="24">
        <v>156.19999999999999</v>
      </c>
      <c r="EI268" s="24">
        <v>2023</v>
      </c>
      <c r="EJ268" s="24">
        <v>2</v>
      </c>
      <c r="EK268" s="24" t="s">
        <v>208</v>
      </c>
      <c r="EL268" s="24" t="s">
        <v>352</v>
      </c>
      <c r="EM268" s="24" t="s">
        <v>210</v>
      </c>
      <c r="EN268" s="24">
        <v>1</v>
      </c>
      <c r="EO268" s="24"/>
      <c r="EP268" s="24"/>
      <c r="EQ268" s="24"/>
      <c r="ER268" s="24"/>
      <c r="ES268" s="24">
        <v>2021</v>
      </c>
      <c r="ET268" s="24">
        <v>21</v>
      </c>
      <c r="EU268" s="24" t="s">
        <v>33</v>
      </c>
      <c r="EV268" s="24">
        <v>109108</v>
      </c>
      <c r="EY268" s="24"/>
      <c r="EZ268" s="24"/>
      <c r="FA268" s="24"/>
      <c r="FB268" s="24"/>
      <c r="FE268" s="24"/>
      <c r="FF268" s="24"/>
      <c r="FG268" s="24"/>
      <c r="FH268" s="24"/>
      <c r="FN268" s="24"/>
      <c r="FO268" s="24"/>
      <c r="FP268" s="24"/>
      <c r="FQ268" s="24"/>
      <c r="FW268" s="24">
        <v>2020</v>
      </c>
      <c r="FX268" s="24">
        <v>52</v>
      </c>
      <c r="FY268" s="24" t="s">
        <v>32</v>
      </c>
      <c r="FZ268" s="24">
        <v>1054</v>
      </c>
      <c r="GA268" s="24">
        <v>985</v>
      </c>
      <c r="GB268" s="24"/>
      <c r="GC268" s="24"/>
      <c r="GD268" s="24">
        <v>2020</v>
      </c>
      <c r="GE268" s="24">
        <v>52</v>
      </c>
      <c r="GF268" s="24" t="s">
        <v>32</v>
      </c>
      <c r="GG268" s="24">
        <v>1086</v>
      </c>
      <c r="GH268" s="24">
        <v>962</v>
      </c>
      <c r="GK268" s="24"/>
      <c r="GL268" s="24"/>
      <c r="GM268" s="24"/>
      <c r="GN268" s="24"/>
      <c r="GO268" s="24"/>
      <c r="GP268" s="24"/>
      <c r="GQ268" s="24"/>
      <c r="GR268" s="24"/>
      <c r="GS268" s="24"/>
      <c r="GX268">
        <v>2020</v>
      </c>
      <c r="GY268">
        <v>52</v>
      </c>
      <c r="GZ268" t="s">
        <v>32</v>
      </c>
      <c r="HA268">
        <v>7508</v>
      </c>
      <c r="HB268">
        <v>7441</v>
      </c>
      <c r="HC268">
        <v>0</v>
      </c>
      <c r="HD268">
        <v>0</v>
      </c>
      <c r="HE268">
        <v>0</v>
      </c>
      <c r="HF268">
        <v>2</v>
      </c>
      <c r="HG268">
        <v>0</v>
      </c>
      <c r="HH268">
        <v>0</v>
      </c>
      <c r="HI268">
        <v>35</v>
      </c>
      <c r="HL268">
        <v>2020</v>
      </c>
      <c r="HM268">
        <v>52</v>
      </c>
      <c r="HN268" t="s">
        <v>32</v>
      </c>
      <c r="HO268">
        <v>7457</v>
      </c>
      <c r="HP268">
        <v>7441</v>
      </c>
      <c r="HQ268">
        <v>0</v>
      </c>
      <c r="HR268">
        <v>1</v>
      </c>
      <c r="HS268">
        <v>0</v>
      </c>
      <c r="HT268">
        <v>3</v>
      </c>
      <c r="HU268">
        <v>0</v>
      </c>
      <c r="HV268">
        <v>0</v>
      </c>
      <c r="HW268">
        <v>1</v>
      </c>
      <c r="HZ268" s="24">
        <v>2020</v>
      </c>
      <c r="IA268" s="24">
        <v>52</v>
      </c>
      <c r="IB268" s="24" t="s">
        <v>32</v>
      </c>
      <c r="IC268" s="24">
        <v>1101</v>
      </c>
      <c r="ID268" s="24">
        <v>1079</v>
      </c>
      <c r="IG268" s="24">
        <v>2020</v>
      </c>
      <c r="IH268" s="24">
        <v>52</v>
      </c>
      <c r="II268" s="24" t="s">
        <v>32</v>
      </c>
      <c r="IJ268" s="24">
        <v>1061</v>
      </c>
      <c r="IK268" s="24">
        <v>1058</v>
      </c>
    </row>
    <row r="269" spans="9:245" x14ac:dyDescent="0.4">
      <c r="I269" s="305">
        <v>2020</v>
      </c>
      <c r="J269" s="306">
        <v>52</v>
      </c>
      <c r="K269" s="306" t="s">
        <v>32</v>
      </c>
      <c r="L269" s="306">
        <v>7453</v>
      </c>
      <c r="M269" s="306">
        <v>6935</v>
      </c>
      <c r="N269" s="306">
        <v>27</v>
      </c>
      <c r="O269" s="306">
        <v>114</v>
      </c>
      <c r="P269" s="306">
        <v>23</v>
      </c>
      <c r="Q269" s="306">
        <v>6</v>
      </c>
      <c r="R269" s="24"/>
      <c r="S269" s="24"/>
      <c r="T269" s="24"/>
      <c r="W269" s="24">
        <v>2020</v>
      </c>
      <c r="X269" s="24">
        <v>52</v>
      </c>
      <c r="Y269" s="24" t="s">
        <v>33</v>
      </c>
      <c r="Z269" s="24">
        <v>139172</v>
      </c>
      <c r="AA269" s="24">
        <v>128345</v>
      </c>
      <c r="AB269" s="24">
        <v>134</v>
      </c>
      <c r="AC269" s="24">
        <v>7</v>
      </c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I269" s="24">
        <v>2022</v>
      </c>
      <c r="BJ269" s="24">
        <v>5</v>
      </c>
      <c r="BK269" s="24" t="s">
        <v>32</v>
      </c>
      <c r="BL269" s="24" t="s">
        <v>272</v>
      </c>
      <c r="BM269" s="24">
        <v>2893</v>
      </c>
      <c r="BN269" s="24">
        <v>2893</v>
      </c>
      <c r="BO269" s="24">
        <v>9817</v>
      </c>
      <c r="BR269" s="24">
        <v>2020</v>
      </c>
      <c r="BS269" s="24">
        <v>52</v>
      </c>
      <c r="BT269" s="24">
        <v>9473</v>
      </c>
      <c r="BU269" s="24">
        <v>0</v>
      </c>
      <c r="BV269" s="24" t="s">
        <v>33</v>
      </c>
      <c r="BY269" s="24">
        <v>2021</v>
      </c>
      <c r="BZ269" s="24">
        <v>9</v>
      </c>
      <c r="CA269" s="24" t="s">
        <v>33</v>
      </c>
      <c r="CB269" s="24" t="s">
        <v>423</v>
      </c>
      <c r="CC269" s="24">
        <v>13</v>
      </c>
      <c r="CF269" s="24"/>
      <c r="CG269" s="24"/>
      <c r="CH269" s="24"/>
      <c r="CI269" s="24"/>
      <c r="CJ269" s="24"/>
      <c r="DD269" s="24"/>
      <c r="DE269" s="24"/>
      <c r="DF269" s="24"/>
      <c r="DG269" s="24"/>
      <c r="DH269" s="24"/>
      <c r="DJ269" s="24">
        <v>2021</v>
      </c>
      <c r="DK269" s="24">
        <v>1</v>
      </c>
      <c r="DL269" s="24" t="s">
        <v>33</v>
      </c>
      <c r="DM269" s="24">
        <v>459</v>
      </c>
      <c r="DP269" s="313">
        <v>2019</v>
      </c>
      <c r="DQ269" s="313">
        <v>9</v>
      </c>
      <c r="DR269" s="313" t="s">
        <v>33</v>
      </c>
      <c r="DS269" s="313">
        <v>6615</v>
      </c>
      <c r="DT269" s="313">
        <v>765</v>
      </c>
      <c r="DW269" s="24">
        <v>2021</v>
      </c>
      <c r="DX269" s="24">
        <v>37</v>
      </c>
      <c r="DY269" s="24" t="s">
        <v>32</v>
      </c>
      <c r="DZ269" s="24">
        <v>1</v>
      </c>
      <c r="EA269" s="24" t="s">
        <v>149</v>
      </c>
      <c r="EB269" s="24">
        <v>0</v>
      </c>
      <c r="EC269" s="24">
        <v>0</v>
      </c>
      <c r="ED269" s="24">
        <v>124</v>
      </c>
      <c r="EE269" s="24">
        <v>27</v>
      </c>
      <c r="EF269" s="24">
        <v>2</v>
      </c>
      <c r="EI269" s="24">
        <v>2023</v>
      </c>
      <c r="EJ269" s="24">
        <v>2</v>
      </c>
      <c r="EK269" s="24" t="s">
        <v>208</v>
      </c>
      <c r="EL269" s="24" t="s">
        <v>352</v>
      </c>
      <c r="EM269" s="24" t="s">
        <v>234</v>
      </c>
      <c r="EN269" s="24">
        <v>1</v>
      </c>
      <c r="EO269" s="24"/>
      <c r="EP269" s="24"/>
      <c r="EQ269" s="24"/>
      <c r="ER269" s="24"/>
      <c r="ES269" s="24">
        <v>2021</v>
      </c>
      <c r="ET269" s="24">
        <v>21</v>
      </c>
      <c r="EU269" s="24" t="s">
        <v>213</v>
      </c>
      <c r="EV269" s="24">
        <v>8</v>
      </c>
      <c r="EY269" s="24"/>
      <c r="EZ269" s="24"/>
      <c r="FA269" s="24"/>
      <c r="FB269" s="24"/>
      <c r="FE269" s="24"/>
      <c r="FF269" s="24"/>
      <c r="FG269" s="24"/>
      <c r="FH269" s="24"/>
      <c r="FN269" s="24"/>
      <c r="FO269" s="24"/>
      <c r="FP269" s="24"/>
      <c r="FQ269" s="24"/>
      <c r="FW269" s="24">
        <v>2020</v>
      </c>
      <c r="FX269" s="24">
        <v>52</v>
      </c>
      <c r="FY269" s="24" t="s">
        <v>33</v>
      </c>
      <c r="FZ269" s="24">
        <v>10838</v>
      </c>
      <c r="GA269" s="24">
        <v>10247</v>
      </c>
      <c r="GB269" s="24"/>
      <c r="GC269" s="24"/>
      <c r="GD269" s="24">
        <v>2020</v>
      </c>
      <c r="GE269" s="24">
        <v>52</v>
      </c>
      <c r="GF269" s="24" t="s">
        <v>33</v>
      </c>
      <c r="GG269" s="24">
        <v>10874</v>
      </c>
      <c r="GH269" s="24">
        <v>10351</v>
      </c>
      <c r="GK269" s="24"/>
      <c r="GL269" s="24"/>
      <c r="GM269" s="24"/>
      <c r="GN269" s="24"/>
      <c r="GO269" s="24"/>
      <c r="GP269" s="24"/>
      <c r="GQ269" s="24"/>
      <c r="GR269" s="24"/>
      <c r="GS269" s="24"/>
      <c r="GX269">
        <v>2020</v>
      </c>
      <c r="GY269">
        <v>52</v>
      </c>
      <c r="GZ269" t="s">
        <v>33</v>
      </c>
      <c r="HA269">
        <v>138341</v>
      </c>
      <c r="HB269">
        <v>136882</v>
      </c>
      <c r="HC269">
        <v>87</v>
      </c>
      <c r="HD269">
        <v>20</v>
      </c>
      <c r="HE269">
        <v>0</v>
      </c>
      <c r="HF269">
        <v>338</v>
      </c>
      <c r="HG269">
        <v>0</v>
      </c>
      <c r="HH269">
        <v>0</v>
      </c>
      <c r="HI269">
        <v>377</v>
      </c>
      <c r="HL269">
        <v>2020</v>
      </c>
      <c r="HM269">
        <v>52</v>
      </c>
      <c r="HN269" t="s">
        <v>33</v>
      </c>
      <c r="HO269">
        <v>138843</v>
      </c>
      <c r="HP269">
        <v>138305</v>
      </c>
      <c r="HQ269">
        <v>82</v>
      </c>
      <c r="HR269">
        <v>10</v>
      </c>
      <c r="HS269">
        <v>0</v>
      </c>
      <c r="HT269">
        <v>333</v>
      </c>
      <c r="HU269">
        <v>0</v>
      </c>
      <c r="HV269">
        <v>0</v>
      </c>
      <c r="HW269">
        <v>39</v>
      </c>
      <c r="HZ269" s="24">
        <v>2020</v>
      </c>
      <c r="IA269" s="24">
        <v>52</v>
      </c>
      <c r="IB269" s="24" t="s">
        <v>33</v>
      </c>
      <c r="IC269" s="24">
        <v>10353</v>
      </c>
      <c r="ID269" s="24">
        <v>10136</v>
      </c>
      <c r="IG269" s="24">
        <v>2020</v>
      </c>
      <c r="IH269" s="24">
        <v>52</v>
      </c>
      <c r="II269" s="24" t="s">
        <v>33</v>
      </c>
      <c r="IJ269" s="24">
        <v>10593</v>
      </c>
      <c r="IK269" s="24">
        <v>10565</v>
      </c>
    </row>
    <row r="270" spans="9:245" x14ac:dyDescent="0.4">
      <c r="I270" s="305">
        <v>2020</v>
      </c>
      <c r="J270" s="306">
        <v>52</v>
      </c>
      <c r="K270" s="306" t="s">
        <v>33</v>
      </c>
      <c r="L270" s="306">
        <v>139132</v>
      </c>
      <c r="M270" s="306">
        <v>127806</v>
      </c>
      <c r="N270" s="306">
        <v>432</v>
      </c>
      <c r="O270" s="306">
        <v>2148</v>
      </c>
      <c r="P270" s="306">
        <v>178</v>
      </c>
      <c r="Q270" s="306">
        <v>9</v>
      </c>
      <c r="R270" s="24"/>
      <c r="S270" s="24"/>
      <c r="T270" s="24"/>
      <c r="W270" s="24">
        <v>2020</v>
      </c>
      <c r="X270" s="24">
        <v>51</v>
      </c>
      <c r="Y270" s="24" t="s">
        <v>32</v>
      </c>
      <c r="Z270" s="24">
        <v>8114</v>
      </c>
      <c r="AA270" s="24">
        <v>7561</v>
      </c>
      <c r="AB270" s="24">
        <v>29</v>
      </c>
      <c r="AC270" s="24">
        <v>8</v>
      </c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I270" s="24">
        <v>2022</v>
      </c>
      <c r="BJ270" s="24">
        <v>4</v>
      </c>
      <c r="BK270" s="24" t="s">
        <v>32</v>
      </c>
      <c r="BL270" s="24" t="s">
        <v>272</v>
      </c>
      <c r="BM270" s="24">
        <v>3131</v>
      </c>
      <c r="BN270" s="24">
        <v>3129</v>
      </c>
      <c r="BO270" s="24">
        <v>10799</v>
      </c>
      <c r="BR270" s="24">
        <v>2020</v>
      </c>
      <c r="BS270" s="24">
        <v>51</v>
      </c>
      <c r="BT270" s="24">
        <v>134</v>
      </c>
      <c r="BU270" s="24">
        <v>0</v>
      </c>
      <c r="BV270" s="24" t="s">
        <v>33</v>
      </c>
      <c r="BY270" s="24">
        <v>2021</v>
      </c>
      <c r="BZ270" s="24">
        <v>8</v>
      </c>
      <c r="CA270" s="24" t="s">
        <v>32</v>
      </c>
      <c r="CB270" s="24" t="s">
        <v>108</v>
      </c>
      <c r="CC270" s="24">
        <v>3</v>
      </c>
      <c r="CF270" s="24"/>
      <c r="CG270" s="24"/>
      <c r="CH270" s="24"/>
      <c r="CI270" s="24"/>
      <c r="CJ270" s="24"/>
      <c r="DD270" s="24"/>
      <c r="DE270" s="24"/>
      <c r="DF270" s="24"/>
      <c r="DG270" s="24"/>
      <c r="DH270" s="24"/>
      <c r="DJ270" s="24">
        <v>2020</v>
      </c>
      <c r="DK270" s="24">
        <v>52</v>
      </c>
      <c r="DL270" s="24" t="s">
        <v>32</v>
      </c>
      <c r="DM270" s="24">
        <v>10</v>
      </c>
      <c r="DP270" s="313">
        <v>2019</v>
      </c>
      <c r="DQ270" s="313">
        <v>8</v>
      </c>
      <c r="DR270" s="313" t="s">
        <v>33</v>
      </c>
      <c r="DS270" s="313">
        <v>6187</v>
      </c>
      <c r="DT270" s="313">
        <v>854</v>
      </c>
      <c r="DW270" s="24">
        <v>2021</v>
      </c>
      <c r="DX270" s="24">
        <v>37</v>
      </c>
      <c r="DY270" s="24" t="s">
        <v>33</v>
      </c>
      <c r="DZ270" s="24">
        <v>9</v>
      </c>
      <c r="EA270" s="24" t="s">
        <v>562</v>
      </c>
      <c r="EB270" s="24">
        <v>55.4</v>
      </c>
      <c r="EC270" s="24">
        <v>0</v>
      </c>
      <c r="ED270" s="24">
        <v>35</v>
      </c>
      <c r="EE270" s="24">
        <v>2331</v>
      </c>
      <c r="EF270" s="24">
        <v>23</v>
      </c>
      <c r="EI270" s="24">
        <v>2023</v>
      </c>
      <c r="EJ270" s="24">
        <v>2</v>
      </c>
      <c r="EK270" s="24" t="s">
        <v>208</v>
      </c>
      <c r="EL270" s="24" t="s">
        <v>351</v>
      </c>
      <c r="EM270" s="24" t="s">
        <v>210</v>
      </c>
      <c r="EN270" s="24">
        <v>10</v>
      </c>
      <c r="EO270" s="24"/>
      <c r="EP270" s="24"/>
      <c r="EQ270" s="24"/>
      <c r="ER270" s="24"/>
      <c r="ES270" s="24">
        <v>2021</v>
      </c>
      <c r="ET270" s="24">
        <v>20</v>
      </c>
      <c r="EU270" s="24" t="s">
        <v>32</v>
      </c>
      <c r="EV270" s="24">
        <v>5542</v>
      </c>
      <c r="EY270" s="24"/>
      <c r="EZ270" s="24"/>
      <c r="FA270" s="24"/>
      <c r="FB270" s="24"/>
      <c r="FE270" s="24"/>
      <c r="FF270" s="24"/>
      <c r="FG270" s="24"/>
      <c r="FH270" s="24"/>
      <c r="FN270" s="24"/>
      <c r="FO270" s="24"/>
      <c r="FP270" s="24"/>
      <c r="FQ270" s="24"/>
      <c r="FW270" s="24">
        <v>2020</v>
      </c>
      <c r="FX270" s="24">
        <v>51</v>
      </c>
      <c r="FY270" s="24" t="s">
        <v>32</v>
      </c>
      <c r="FZ270" s="24">
        <v>1460</v>
      </c>
      <c r="GA270" s="24">
        <v>1222</v>
      </c>
      <c r="GB270" s="24"/>
      <c r="GC270" s="24"/>
      <c r="GD270" s="24">
        <v>2020</v>
      </c>
      <c r="GE270" s="24">
        <v>51</v>
      </c>
      <c r="GF270" s="24" t="s">
        <v>32</v>
      </c>
      <c r="GG270" s="24">
        <v>1455</v>
      </c>
      <c r="GH270" s="24">
        <v>1225</v>
      </c>
      <c r="GK270" s="24"/>
      <c r="GL270" s="24"/>
      <c r="GM270" s="24"/>
      <c r="GN270" s="24"/>
      <c r="GO270" s="24"/>
      <c r="GP270" s="24"/>
      <c r="GQ270" s="24"/>
      <c r="GR270" s="24"/>
      <c r="GS270" s="24"/>
      <c r="GX270">
        <v>2020</v>
      </c>
      <c r="GY270">
        <v>51</v>
      </c>
      <c r="GZ270" t="s">
        <v>32</v>
      </c>
      <c r="HA270">
        <v>7812</v>
      </c>
      <c r="HB270">
        <v>7702</v>
      </c>
      <c r="HC270">
        <v>0</v>
      </c>
      <c r="HD270">
        <v>5</v>
      </c>
      <c r="HE270">
        <v>0</v>
      </c>
      <c r="HF270">
        <v>1</v>
      </c>
      <c r="HG270">
        <v>0</v>
      </c>
      <c r="HH270">
        <v>0</v>
      </c>
      <c r="HI270">
        <v>26</v>
      </c>
      <c r="HL270">
        <v>2020</v>
      </c>
      <c r="HM270">
        <v>51</v>
      </c>
      <c r="HN270" t="s">
        <v>32</v>
      </c>
      <c r="HO270">
        <v>8082</v>
      </c>
      <c r="HP270">
        <v>8067</v>
      </c>
      <c r="HQ270">
        <v>0</v>
      </c>
      <c r="HR270">
        <v>1</v>
      </c>
      <c r="HS270">
        <v>0</v>
      </c>
      <c r="HT270">
        <v>2</v>
      </c>
      <c r="HU270">
        <v>0</v>
      </c>
      <c r="HV270">
        <v>0</v>
      </c>
      <c r="HW270">
        <v>0</v>
      </c>
      <c r="HZ270" s="24">
        <v>2020</v>
      </c>
      <c r="IA270" s="24">
        <v>51</v>
      </c>
      <c r="IB270" s="24" t="s">
        <v>32</v>
      </c>
      <c r="IC270" s="24">
        <v>1357</v>
      </c>
      <c r="ID270" s="24">
        <v>1324</v>
      </c>
      <c r="IG270" s="24">
        <v>2020</v>
      </c>
      <c r="IH270" s="24">
        <v>51</v>
      </c>
      <c r="II270" s="24" t="s">
        <v>32</v>
      </c>
      <c r="IJ270" s="24">
        <v>1432</v>
      </c>
      <c r="IK270" s="24">
        <v>1428</v>
      </c>
    </row>
    <row r="271" spans="9:245" x14ac:dyDescent="0.4">
      <c r="I271" s="305">
        <v>2020</v>
      </c>
      <c r="J271" s="306">
        <v>51</v>
      </c>
      <c r="K271" s="306" t="s">
        <v>32</v>
      </c>
      <c r="L271" s="306">
        <v>8180</v>
      </c>
      <c r="M271" s="306">
        <v>7669</v>
      </c>
      <c r="N271" s="306">
        <v>41</v>
      </c>
      <c r="O271" s="306">
        <v>128</v>
      </c>
      <c r="P271" s="306">
        <v>32</v>
      </c>
      <c r="Q271" s="306">
        <v>9</v>
      </c>
      <c r="R271" s="24"/>
      <c r="S271" s="24"/>
      <c r="T271" s="24"/>
      <c r="W271" s="24">
        <v>2020</v>
      </c>
      <c r="X271" s="24">
        <v>51</v>
      </c>
      <c r="Y271" s="24" t="s">
        <v>33</v>
      </c>
      <c r="Z271" s="24">
        <v>144826</v>
      </c>
      <c r="AA271" s="24">
        <v>136752</v>
      </c>
      <c r="AB271" s="24">
        <v>91</v>
      </c>
      <c r="AC271" s="24">
        <v>8</v>
      </c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I271" s="24">
        <v>2022</v>
      </c>
      <c r="BJ271" s="24">
        <v>4</v>
      </c>
      <c r="BK271" s="24" t="s">
        <v>33</v>
      </c>
      <c r="BL271" s="24" t="s">
        <v>272</v>
      </c>
      <c r="BM271" s="24">
        <v>54444</v>
      </c>
      <c r="BN271" s="24">
        <v>54408</v>
      </c>
      <c r="BO271" s="24">
        <v>197744</v>
      </c>
      <c r="BR271" s="24">
        <v>2020</v>
      </c>
      <c r="BS271" s="24">
        <v>51</v>
      </c>
      <c r="BT271" s="24">
        <v>11</v>
      </c>
      <c r="BU271" s="24">
        <v>0</v>
      </c>
      <c r="BV271" s="24" t="s">
        <v>32</v>
      </c>
      <c r="BY271" s="24">
        <v>2021</v>
      </c>
      <c r="BZ271" s="24">
        <v>8</v>
      </c>
      <c r="CA271" s="24" t="s">
        <v>32</v>
      </c>
      <c r="CB271" s="24" t="s">
        <v>423</v>
      </c>
      <c r="CC271" s="24">
        <v>84</v>
      </c>
      <c r="CF271" s="24"/>
      <c r="CG271" s="24"/>
      <c r="CH271" s="24"/>
      <c r="CI271" s="24"/>
      <c r="CJ271" s="24"/>
      <c r="DD271" s="24"/>
      <c r="DE271" s="24"/>
      <c r="DF271" s="24"/>
      <c r="DG271" s="24"/>
      <c r="DH271" s="24"/>
      <c r="DJ271" s="24">
        <v>2020</v>
      </c>
      <c r="DK271" s="24">
        <v>52</v>
      </c>
      <c r="DL271" s="24" t="s">
        <v>33</v>
      </c>
      <c r="DM271" s="24">
        <v>525</v>
      </c>
      <c r="DP271" s="313">
        <v>2019</v>
      </c>
      <c r="DQ271" s="313">
        <v>7</v>
      </c>
      <c r="DR271" s="313" t="s">
        <v>33</v>
      </c>
      <c r="DS271" s="313">
        <v>5770</v>
      </c>
      <c r="DT271" s="313">
        <v>895</v>
      </c>
      <c r="DW271" s="24">
        <v>2021</v>
      </c>
      <c r="DX271" s="24">
        <v>37</v>
      </c>
      <c r="DY271" s="24" t="s">
        <v>33</v>
      </c>
      <c r="DZ271" s="24">
        <v>45</v>
      </c>
      <c r="EA271" s="24" t="s">
        <v>149</v>
      </c>
      <c r="EB271" s="24">
        <v>134.80000000000001</v>
      </c>
      <c r="EC271" s="24">
        <v>1056.3</v>
      </c>
      <c r="ED271" s="24">
        <v>34518</v>
      </c>
      <c r="EE271" s="24">
        <v>39646</v>
      </c>
      <c r="EF271" s="24">
        <v>88.6</v>
      </c>
      <c r="EI271" s="24">
        <v>2023</v>
      </c>
      <c r="EJ271" s="24">
        <v>2</v>
      </c>
      <c r="EK271" s="24" t="s">
        <v>208</v>
      </c>
      <c r="EL271" s="24" t="s">
        <v>351</v>
      </c>
      <c r="EM271" s="24" t="s">
        <v>234</v>
      </c>
      <c r="EN271" s="24">
        <v>1</v>
      </c>
      <c r="EO271" s="24"/>
      <c r="EP271" s="24"/>
      <c r="EQ271" s="24"/>
      <c r="ER271" s="24"/>
      <c r="ES271" s="24">
        <v>2021</v>
      </c>
      <c r="ET271" s="24">
        <v>20</v>
      </c>
      <c r="EU271" s="24" t="s">
        <v>33</v>
      </c>
      <c r="EV271" s="24">
        <v>107069</v>
      </c>
      <c r="EY271" s="24"/>
      <c r="EZ271" s="24"/>
      <c r="FA271" s="24"/>
      <c r="FB271" s="24"/>
      <c r="FE271" s="24"/>
      <c r="FF271" s="24"/>
      <c r="FG271" s="24"/>
      <c r="FH271" s="24"/>
      <c r="FN271" s="24"/>
      <c r="FO271" s="24"/>
      <c r="FP271" s="24"/>
      <c r="FQ271" s="24"/>
      <c r="FW271" s="24">
        <v>2020</v>
      </c>
      <c r="FX271" s="24">
        <v>51</v>
      </c>
      <c r="FY271" s="24" t="s">
        <v>33</v>
      </c>
      <c r="FZ271" s="24">
        <v>11400</v>
      </c>
      <c r="GA271" s="24">
        <v>10535</v>
      </c>
      <c r="GB271" s="24"/>
      <c r="GC271" s="24"/>
      <c r="GD271" s="24">
        <v>2020</v>
      </c>
      <c r="GE271" s="24">
        <v>51</v>
      </c>
      <c r="GF271" s="24" t="s">
        <v>33</v>
      </c>
      <c r="GG271" s="24">
        <v>11470</v>
      </c>
      <c r="GH271" s="24">
        <v>10696</v>
      </c>
      <c r="GK271" s="24"/>
      <c r="GL271" s="24"/>
      <c r="GM271" s="24"/>
      <c r="GN271" s="24"/>
      <c r="GO271" s="24"/>
      <c r="GP271" s="24"/>
      <c r="GQ271" s="24"/>
      <c r="GR271" s="24"/>
      <c r="GS271" s="24"/>
      <c r="GX271">
        <v>2020</v>
      </c>
      <c r="GY271">
        <v>51</v>
      </c>
      <c r="GZ271" t="s">
        <v>33</v>
      </c>
      <c r="HA271">
        <v>138949</v>
      </c>
      <c r="HB271">
        <v>137724</v>
      </c>
      <c r="HC271">
        <v>50</v>
      </c>
      <c r="HD271">
        <v>141</v>
      </c>
      <c r="HE271">
        <v>0</v>
      </c>
      <c r="HF271">
        <v>255</v>
      </c>
      <c r="HG271">
        <v>0</v>
      </c>
      <c r="HH271">
        <v>0</v>
      </c>
      <c r="HI271">
        <v>342</v>
      </c>
      <c r="HL271">
        <v>2020</v>
      </c>
      <c r="HM271">
        <v>51</v>
      </c>
      <c r="HN271" t="s">
        <v>33</v>
      </c>
      <c r="HO271">
        <v>144562</v>
      </c>
      <c r="HP271">
        <v>144198</v>
      </c>
      <c r="HQ271">
        <v>64</v>
      </c>
      <c r="HR271">
        <v>4</v>
      </c>
      <c r="HS271">
        <v>0</v>
      </c>
      <c r="HT271">
        <v>195</v>
      </c>
      <c r="HU271">
        <v>0</v>
      </c>
      <c r="HV271">
        <v>0</v>
      </c>
      <c r="HW271">
        <v>17</v>
      </c>
      <c r="HZ271" s="24">
        <v>2020</v>
      </c>
      <c r="IA271" s="24">
        <v>51</v>
      </c>
      <c r="IB271" s="24" t="s">
        <v>33</v>
      </c>
      <c r="IC271" s="24">
        <v>11169</v>
      </c>
      <c r="ID271" s="24">
        <v>10974</v>
      </c>
      <c r="IG271" s="24">
        <v>2020</v>
      </c>
      <c r="IH271" s="24">
        <v>51</v>
      </c>
      <c r="II271" s="24" t="s">
        <v>33</v>
      </c>
      <c r="IJ271" s="24">
        <v>11124</v>
      </c>
      <c r="IK271" s="24">
        <v>11069</v>
      </c>
    </row>
    <row r="272" spans="9:245" x14ac:dyDescent="0.4">
      <c r="I272" s="305">
        <v>2020</v>
      </c>
      <c r="J272" s="306">
        <v>51</v>
      </c>
      <c r="K272" s="306" t="s">
        <v>33</v>
      </c>
      <c r="L272" s="306">
        <v>144447</v>
      </c>
      <c r="M272" s="306">
        <v>135901</v>
      </c>
      <c r="N272" s="306">
        <v>411</v>
      </c>
      <c r="O272" s="306">
        <v>2009</v>
      </c>
      <c r="P272" s="306">
        <v>145</v>
      </c>
      <c r="Q272" s="306">
        <v>21</v>
      </c>
      <c r="R272" s="24"/>
      <c r="S272" s="24"/>
      <c r="T272" s="24"/>
      <c r="W272" s="24">
        <v>2020</v>
      </c>
      <c r="X272" s="24">
        <v>50</v>
      </c>
      <c r="Y272" s="24" t="s">
        <v>32</v>
      </c>
      <c r="Z272" s="24">
        <v>9314</v>
      </c>
      <c r="AA272" s="24">
        <v>8946</v>
      </c>
      <c r="AB272" s="24">
        <v>41</v>
      </c>
      <c r="AC272" s="24">
        <v>2</v>
      </c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I272" s="24">
        <v>2022</v>
      </c>
      <c r="BJ272" s="24">
        <v>4</v>
      </c>
      <c r="BK272" s="24" t="s">
        <v>33</v>
      </c>
      <c r="BL272" s="24" t="s">
        <v>273</v>
      </c>
      <c r="BM272" s="24">
        <v>97159</v>
      </c>
      <c r="BN272" s="24">
        <v>96585</v>
      </c>
      <c r="BO272" s="24">
        <v>100318</v>
      </c>
      <c r="BR272" s="327">
        <v>2020</v>
      </c>
      <c r="BS272" s="327">
        <v>50</v>
      </c>
      <c r="BT272" s="327">
        <v>31</v>
      </c>
      <c r="BU272" s="327">
        <v>0</v>
      </c>
      <c r="BV272" s="327" t="s">
        <v>33</v>
      </c>
      <c r="BY272" s="24">
        <v>2021</v>
      </c>
      <c r="BZ272" s="24">
        <v>8</v>
      </c>
      <c r="CA272" s="24" t="s">
        <v>33</v>
      </c>
      <c r="CB272" s="24" t="s">
        <v>423</v>
      </c>
      <c r="CC272" s="24">
        <v>2</v>
      </c>
      <c r="CF272" s="24"/>
      <c r="CG272" s="24"/>
      <c r="CH272" s="24"/>
      <c r="CI272" s="24"/>
      <c r="CJ272" s="24"/>
      <c r="DD272" s="24"/>
      <c r="DE272" s="24"/>
      <c r="DF272" s="24"/>
      <c r="DG272" s="24"/>
      <c r="DH272" s="24"/>
      <c r="DJ272" s="24">
        <v>2020</v>
      </c>
      <c r="DK272" s="24">
        <v>51</v>
      </c>
      <c r="DL272" s="24" t="s">
        <v>32</v>
      </c>
      <c r="DM272" s="24">
        <v>11</v>
      </c>
      <c r="DP272" s="24">
        <v>2019</v>
      </c>
      <c r="DQ272" s="24">
        <v>6</v>
      </c>
      <c r="DR272" s="24" t="s">
        <v>33</v>
      </c>
      <c r="DS272" s="24">
        <v>5863</v>
      </c>
      <c r="DT272" s="24">
        <v>1021</v>
      </c>
      <c r="DW272" s="24">
        <v>2021</v>
      </c>
      <c r="DX272" s="24">
        <v>36</v>
      </c>
      <c r="DY272" s="24" t="s">
        <v>32</v>
      </c>
      <c r="DZ272" s="24">
        <v>1</v>
      </c>
      <c r="EA272" s="24" t="s">
        <v>149</v>
      </c>
      <c r="EB272" s="24">
        <v>0</v>
      </c>
      <c r="EC272" s="24">
        <v>0</v>
      </c>
      <c r="ED272" s="24">
        <v>170</v>
      </c>
      <c r="EE272" s="24">
        <v>21</v>
      </c>
      <c r="EF272" s="24">
        <v>1.6</v>
      </c>
      <c r="EI272" s="24">
        <v>2023</v>
      </c>
      <c r="EJ272" s="24">
        <v>2</v>
      </c>
      <c r="EK272" s="24" t="s">
        <v>208</v>
      </c>
      <c r="EL272" s="24" t="s">
        <v>351</v>
      </c>
      <c r="EM272" s="24" t="s">
        <v>215</v>
      </c>
      <c r="EN272" s="24">
        <v>1</v>
      </c>
      <c r="EO272" s="24"/>
      <c r="EP272" s="24"/>
      <c r="EQ272" s="24"/>
      <c r="ER272" s="24"/>
      <c r="ES272" s="24">
        <v>2021</v>
      </c>
      <c r="ET272" s="24">
        <v>20</v>
      </c>
      <c r="EU272" s="24" t="s">
        <v>213</v>
      </c>
      <c r="EV272" s="24">
        <v>6</v>
      </c>
      <c r="EY272" s="24"/>
      <c r="EZ272" s="24"/>
      <c r="FA272" s="24"/>
      <c r="FB272" s="24"/>
      <c r="FE272" s="24"/>
      <c r="FF272" s="24"/>
      <c r="FG272" s="24"/>
      <c r="FH272" s="24"/>
      <c r="FN272" s="24"/>
      <c r="FO272" s="24"/>
      <c r="FP272" s="24"/>
      <c r="FQ272" s="24"/>
      <c r="FW272" s="24">
        <v>2020</v>
      </c>
      <c r="FX272" s="24">
        <v>50</v>
      </c>
      <c r="FY272" s="24" t="s">
        <v>32</v>
      </c>
      <c r="FZ272" s="24">
        <v>1134</v>
      </c>
      <c r="GA272" s="24">
        <v>1015</v>
      </c>
      <c r="GB272" s="24"/>
      <c r="GC272" s="24"/>
      <c r="GD272" s="24">
        <v>2020</v>
      </c>
      <c r="GE272" s="24">
        <v>50</v>
      </c>
      <c r="GF272" s="24" t="s">
        <v>32</v>
      </c>
      <c r="GG272" s="24">
        <v>1130</v>
      </c>
      <c r="GH272" s="24">
        <v>998</v>
      </c>
      <c r="GK272" s="24"/>
      <c r="GL272" s="24"/>
      <c r="GM272" s="24"/>
      <c r="GN272" s="24"/>
      <c r="GO272" s="24"/>
      <c r="GP272" s="24"/>
      <c r="GQ272" s="24"/>
      <c r="GR272" s="24"/>
      <c r="GS272" s="24"/>
      <c r="GX272">
        <v>2020</v>
      </c>
      <c r="GY272">
        <v>50</v>
      </c>
      <c r="GZ272" t="s">
        <v>32</v>
      </c>
      <c r="HA272">
        <v>9226</v>
      </c>
      <c r="HB272">
        <v>9117</v>
      </c>
      <c r="HC272">
        <v>0</v>
      </c>
      <c r="HD272">
        <v>3</v>
      </c>
      <c r="HE272">
        <v>0</v>
      </c>
      <c r="HF272">
        <v>7</v>
      </c>
      <c r="HG272">
        <v>0</v>
      </c>
      <c r="HH272">
        <v>0</v>
      </c>
      <c r="HI272">
        <v>34</v>
      </c>
      <c r="HL272">
        <v>2020</v>
      </c>
      <c r="HM272">
        <v>50</v>
      </c>
      <c r="HN272" t="s">
        <v>32</v>
      </c>
      <c r="HO272">
        <v>9269</v>
      </c>
      <c r="HP272">
        <v>9241</v>
      </c>
      <c r="HQ272">
        <v>0</v>
      </c>
      <c r="HR272">
        <v>0</v>
      </c>
      <c r="HS272">
        <v>0</v>
      </c>
      <c r="HT272">
        <v>9</v>
      </c>
      <c r="HU272">
        <v>0</v>
      </c>
      <c r="HV272">
        <v>0</v>
      </c>
      <c r="HW272">
        <v>2</v>
      </c>
      <c r="HZ272" s="24">
        <v>2020</v>
      </c>
      <c r="IA272" s="24">
        <v>50</v>
      </c>
      <c r="IB272" s="24" t="s">
        <v>32</v>
      </c>
      <c r="IC272" s="24">
        <v>1177</v>
      </c>
      <c r="ID272" s="24">
        <v>1163</v>
      </c>
      <c r="IG272" s="24">
        <v>2020</v>
      </c>
      <c r="IH272" s="24">
        <v>50</v>
      </c>
      <c r="II272" s="24" t="s">
        <v>32</v>
      </c>
      <c r="IJ272" s="24">
        <v>1103</v>
      </c>
      <c r="IK272" s="24">
        <v>1097</v>
      </c>
    </row>
    <row r="273" spans="9:245" x14ac:dyDescent="0.4">
      <c r="I273" s="305">
        <v>2020</v>
      </c>
      <c r="J273" s="306">
        <v>50</v>
      </c>
      <c r="K273" s="306" t="s">
        <v>32</v>
      </c>
      <c r="L273" s="306">
        <v>9260</v>
      </c>
      <c r="M273" s="306">
        <v>8905</v>
      </c>
      <c r="N273" s="306">
        <v>33</v>
      </c>
      <c r="O273" s="306">
        <v>103</v>
      </c>
      <c r="P273" s="306">
        <v>33</v>
      </c>
      <c r="Q273" s="306">
        <v>4</v>
      </c>
      <c r="R273" s="24"/>
      <c r="S273" s="24"/>
      <c r="T273" s="24"/>
      <c r="W273" s="24">
        <v>2020</v>
      </c>
      <c r="X273" s="24">
        <v>50</v>
      </c>
      <c r="Y273" s="24" t="s">
        <v>33</v>
      </c>
      <c r="Z273" s="24">
        <v>176553</v>
      </c>
      <c r="AA273" s="24">
        <v>160577</v>
      </c>
      <c r="AB273" s="24">
        <v>123</v>
      </c>
      <c r="AC273" s="24">
        <v>7</v>
      </c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I273" s="24">
        <v>2022</v>
      </c>
      <c r="BJ273" s="24">
        <v>4</v>
      </c>
      <c r="BK273" s="24" t="s">
        <v>32</v>
      </c>
      <c r="BL273" s="24" t="s">
        <v>273</v>
      </c>
      <c r="BM273" s="24">
        <v>7062</v>
      </c>
      <c r="BN273" s="24">
        <v>7018</v>
      </c>
      <c r="BO273" s="24">
        <v>7191</v>
      </c>
      <c r="BR273" s="327">
        <v>2020</v>
      </c>
      <c r="BS273" s="327">
        <v>49</v>
      </c>
      <c r="BT273" s="327">
        <v>23</v>
      </c>
      <c r="BU273" s="327">
        <v>0</v>
      </c>
      <c r="BV273" s="327" t="s">
        <v>33</v>
      </c>
      <c r="BY273" s="24">
        <v>2021</v>
      </c>
      <c r="BZ273" s="24">
        <v>7</v>
      </c>
      <c r="CA273" s="24" t="s">
        <v>32</v>
      </c>
      <c r="CB273" s="24" t="s">
        <v>108</v>
      </c>
      <c r="CC273" s="24">
        <v>6</v>
      </c>
      <c r="CF273" s="24"/>
      <c r="CG273" s="24"/>
      <c r="CH273" s="24"/>
      <c r="CI273" s="24"/>
      <c r="CJ273" s="24"/>
      <c r="DD273" s="24"/>
      <c r="DE273" s="24"/>
      <c r="DF273" s="24"/>
      <c r="DG273" s="24"/>
      <c r="DH273" s="24"/>
      <c r="DJ273" s="24">
        <v>2020</v>
      </c>
      <c r="DK273" s="24">
        <v>51</v>
      </c>
      <c r="DL273" s="24" t="s">
        <v>33</v>
      </c>
      <c r="DM273" s="24">
        <v>769</v>
      </c>
      <c r="DP273" s="24">
        <v>2019</v>
      </c>
      <c r="DQ273" s="24">
        <v>5</v>
      </c>
      <c r="DR273" s="24" t="s">
        <v>33</v>
      </c>
      <c r="DS273" s="24">
        <v>6562</v>
      </c>
      <c r="DT273" s="24">
        <v>720</v>
      </c>
      <c r="DW273" s="24">
        <v>2021</v>
      </c>
      <c r="DX273" s="24">
        <v>36</v>
      </c>
      <c r="DY273" s="24" t="s">
        <v>33</v>
      </c>
      <c r="DZ273" s="24">
        <v>9</v>
      </c>
      <c r="EA273" s="24" t="s">
        <v>562</v>
      </c>
      <c r="EB273" s="24">
        <v>119.8</v>
      </c>
      <c r="EC273" s="24">
        <v>0</v>
      </c>
      <c r="ED273" s="24">
        <v>1</v>
      </c>
      <c r="EE273" s="24">
        <v>4780</v>
      </c>
      <c r="EF273" s="24">
        <v>15.3</v>
      </c>
      <c r="EI273" s="24">
        <v>2023</v>
      </c>
      <c r="EJ273" s="24">
        <v>2</v>
      </c>
      <c r="EK273" s="24" t="s">
        <v>208</v>
      </c>
      <c r="EL273" s="24" t="s">
        <v>235</v>
      </c>
      <c r="EM273" s="24" t="s">
        <v>210</v>
      </c>
      <c r="EN273" s="24">
        <v>31</v>
      </c>
      <c r="EO273" s="24"/>
      <c r="EP273" s="24"/>
      <c r="EQ273" s="24"/>
      <c r="ER273" s="24"/>
      <c r="ES273" s="24">
        <v>2021</v>
      </c>
      <c r="ET273" s="24">
        <v>19</v>
      </c>
      <c r="EU273" s="24" t="s">
        <v>32</v>
      </c>
      <c r="EV273" s="24">
        <v>5194</v>
      </c>
      <c r="EY273" s="24"/>
      <c r="EZ273" s="24"/>
      <c r="FA273" s="24"/>
      <c r="FB273" s="24"/>
      <c r="FE273" s="24"/>
      <c r="FF273" s="24"/>
      <c r="FG273" s="24"/>
      <c r="FH273" s="24"/>
      <c r="FN273" s="24"/>
      <c r="FO273" s="24"/>
      <c r="FP273" s="24"/>
      <c r="FQ273" s="24"/>
      <c r="FW273" s="24">
        <v>2020</v>
      </c>
      <c r="FX273" s="24">
        <v>50</v>
      </c>
      <c r="FY273" s="24" t="s">
        <v>33</v>
      </c>
      <c r="FZ273" s="24">
        <v>6923</v>
      </c>
      <c r="GA273" s="24">
        <v>6405</v>
      </c>
      <c r="GB273" s="24"/>
      <c r="GC273" s="24"/>
      <c r="GD273" s="24">
        <v>2020</v>
      </c>
      <c r="GE273" s="24">
        <v>50</v>
      </c>
      <c r="GF273" s="24" t="s">
        <v>33</v>
      </c>
      <c r="GG273" s="24">
        <v>6842</v>
      </c>
      <c r="GH273" s="24">
        <v>6417</v>
      </c>
      <c r="GK273" s="24"/>
      <c r="GL273" s="24"/>
      <c r="GM273" s="24"/>
      <c r="GN273" s="24"/>
      <c r="GO273" s="24"/>
      <c r="GP273" s="24"/>
      <c r="GQ273" s="24"/>
      <c r="GR273" s="24"/>
      <c r="GS273" s="24"/>
      <c r="GX273">
        <v>2020</v>
      </c>
      <c r="GY273">
        <v>50</v>
      </c>
      <c r="GZ273" t="s">
        <v>33</v>
      </c>
      <c r="HA273">
        <v>177509</v>
      </c>
      <c r="HB273">
        <v>169889</v>
      </c>
      <c r="HC273">
        <v>48</v>
      </c>
      <c r="HD273">
        <v>159</v>
      </c>
      <c r="HE273">
        <v>0</v>
      </c>
      <c r="HF273">
        <v>4884</v>
      </c>
      <c r="HG273">
        <v>0</v>
      </c>
      <c r="HH273">
        <v>0</v>
      </c>
      <c r="HI273">
        <v>998</v>
      </c>
      <c r="HL273">
        <v>2020</v>
      </c>
      <c r="HM273">
        <v>50</v>
      </c>
      <c r="HN273" t="s">
        <v>33</v>
      </c>
      <c r="HO273">
        <v>176261</v>
      </c>
      <c r="HP273">
        <v>171367</v>
      </c>
      <c r="HQ273">
        <v>77</v>
      </c>
      <c r="HR273">
        <v>97</v>
      </c>
      <c r="HS273">
        <v>0</v>
      </c>
      <c r="HT273">
        <v>4635</v>
      </c>
      <c r="HU273">
        <v>0</v>
      </c>
      <c r="HV273">
        <v>0</v>
      </c>
      <c r="HW273">
        <v>265</v>
      </c>
      <c r="HZ273" s="24">
        <v>2020</v>
      </c>
      <c r="IA273" s="24">
        <v>50</v>
      </c>
      <c r="IB273" s="24" t="s">
        <v>33</v>
      </c>
      <c r="IC273" s="24">
        <v>7185</v>
      </c>
      <c r="ID273" s="24">
        <v>6843</v>
      </c>
      <c r="IG273" s="24">
        <v>2020</v>
      </c>
      <c r="IH273" s="24">
        <v>50</v>
      </c>
      <c r="II273" s="24" t="s">
        <v>33</v>
      </c>
      <c r="IJ273" s="24">
        <v>6325</v>
      </c>
      <c r="IK273" s="24">
        <v>6263</v>
      </c>
    </row>
    <row r="274" spans="9:245" x14ac:dyDescent="0.4">
      <c r="I274" s="305">
        <v>2020</v>
      </c>
      <c r="J274" s="306">
        <v>50</v>
      </c>
      <c r="K274" s="306" t="s">
        <v>33</v>
      </c>
      <c r="L274" s="306">
        <v>176714</v>
      </c>
      <c r="M274" s="306">
        <v>159592</v>
      </c>
      <c r="N274" s="306">
        <v>757</v>
      </c>
      <c r="O274" s="306">
        <v>3116</v>
      </c>
      <c r="P274" s="306">
        <v>187</v>
      </c>
      <c r="Q274" s="306">
        <v>30</v>
      </c>
      <c r="R274" s="24"/>
      <c r="S274" s="24"/>
      <c r="T274" s="24"/>
      <c r="W274" s="24">
        <v>2020</v>
      </c>
      <c r="X274" s="24">
        <v>49</v>
      </c>
      <c r="Y274" s="24" t="s">
        <v>32</v>
      </c>
      <c r="Z274" s="24">
        <v>8518</v>
      </c>
      <c r="AA274" s="24">
        <v>7828</v>
      </c>
      <c r="AB274" s="24">
        <v>18</v>
      </c>
      <c r="AC274" s="24">
        <v>10</v>
      </c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I274" s="24">
        <v>2022</v>
      </c>
      <c r="BJ274" s="24">
        <v>3</v>
      </c>
      <c r="BK274" s="24" t="s">
        <v>33</v>
      </c>
      <c r="BL274" s="24" t="s">
        <v>272</v>
      </c>
      <c r="BM274" s="24">
        <v>56609</v>
      </c>
      <c r="BN274" s="24">
        <v>56550</v>
      </c>
      <c r="BO274" s="24">
        <v>206894</v>
      </c>
      <c r="BR274" s="327">
        <v>2020</v>
      </c>
      <c r="BS274" s="327">
        <v>35</v>
      </c>
      <c r="BT274" s="327">
        <v>19</v>
      </c>
      <c r="BU274" s="327">
        <v>0</v>
      </c>
      <c r="BV274" s="327" t="s">
        <v>33</v>
      </c>
      <c r="BY274" s="24">
        <v>2021</v>
      </c>
      <c r="BZ274" s="24">
        <v>7</v>
      </c>
      <c r="CA274" s="24" t="s">
        <v>32</v>
      </c>
      <c r="CB274" s="24" t="s">
        <v>423</v>
      </c>
      <c r="CC274" s="24">
        <v>118</v>
      </c>
      <c r="CF274" s="24"/>
      <c r="CG274" s="24"/>
      <c r="CH274" s="24"/>
      <c r="CI274" s="24"/>
      <c r="CJ274" s="24"/>
      <c r="DD274" s="24"/>
      <c r="DE274" s="24"/>
      <c r="DF274" s="24"/>
      <c r="DG274" s="24"/>
      <c r="DH274" s="24"/>
      <c r="DJ274" s="24">
        <v>2020</v>
      </c>
      <c r="DK274" s="24">
        <v>50</v>
      </c>
      <c r="DL274" s="24" t="s">
        <v>32</v>
      </c>
      <c r="DM274" s="24">
        <v>7</v>
      </c>
      <c r="DP274" s="24">
        <v>2019</v>
      </c>
      <c r="DQ274" s="24">
        <v>4</v>
      </c>
      <c r="DR274" s="24" t="s">
        <v>33</v>
      </c>
      <c r="DS274" s="24">
        <v>4761</v>
      </c>
      <c r="DT274" s="24">
        <v>635</v>
      </c>
      <c r="DW274" s="24">
        <v>2021</v>
      </c>
      <c r="DX274" s="24">
        <v>36</v>
      </c>
      <c r="DY274" s="24" t="s">
        <v>33</v>
      </c>
      <c r="DZ274" s="24">
        <v>45</v>
      </c>
      <c r="EA274" s="24" t="s">
        <v>149</v>
      </c>
      <c r="EB274" s="24">
        <v>119.5</v>
      </c>
      <c r="EC274" s="24">
        <v>1119.5999999999999</v>
      </c>
      <c r="ED274" s="24">
        <v>37176</v>
      </c>
      <c r="EE274" s="24">
        <v>40508</v>
      </c>
      <c r="EF274" s="24">
        <v>69.5</v>
      </c>
      <c r="EI274" s="24">
        <v>2023</v>
      </c>
      <c r="EJ274" s="24">
        <v>2</v>
      </c>
      <c r="EK274" s="24" t="s">
        <v>208</v>
      </c>
      <c r="EL274" s="24" t="s">
        <v>235</v>
      </c>
      <c r="EM274" s="24" t="s">
        <v>234</v>
      </c>
      <c r="EN274" s="24">
        <v>5</v>
      </c>
      <c r="EO274" s="24"/>
      <c r="EP274" s="24"/>
      <c r="EQ274" s="24"/>
      <c r="ER274" s="24"/>
      <c r="ES274" s="24">
        <v>2021</v>
      </c>
      <c r="ET274" s="24">
        <v>19</v>
      </c>
      <c r="EU274" s="24" t="s">
        <v>33</v>
      </c>
      <c r="EV274" s="24">
        <v>102491</v>
      </c>
      <c r="EY274" s="24"/>
      <c r="EZ274" s="24"/>
      <c r="FA274" s="24"/>
      <c r="FB274" s="24"/>
      <c r="FE274" s="24"/>
      <c r="FF274" s="24"/>
      <c r="FG274" s="24"/>
      <c r="FH274" s="24"/>
      <c r="FN274" s="24"/>
      <c r="FO274" s="24"/>
      <c r="FP274" s="24"/>
      <c r="FQ274" s="24"/>
      <c r="FW274" s="24">
        <v>2020</v>
      </c>
      <c r="FX274" s="24">
        <v>49</v>
      </c>
      <c r="FY274" s="24" t="s">
        <v>32</v>
      </c>
      <c r="FZ274" s="24">
        <v>796</v>
      </c>
      <c r="GA274" s="24">
        <v>678</v>
      </c>
      <c r="GB274" s="24"/>
      <c r="GC274" s="24"/>
      <c r="GD274" s="24">
        <v>2020</v>
      </c>
      <c r="GE274" s="24">
        <v>49</v>
      </c>
      <c r="GF274" s="24" t="s">
        <v>32</v>
      </c>
      <c r="GG274" s="24">
        <v>793</v>
      </c>
      <c r="GH274" s="24">
        <v>652</v>
      </c>
      <c r="GK274" s="24"/>
      <c r="GL274" s="24"/>
      <c r="GM274" s="24"/>
      <c r="GN274" s="24"/>
      <c r="GO274" s="24"/>
      <c r="GP274" s="24"/>
      <c r="GQ274" s="24"/>
      <c r="GR274" s="24"/>
      <c r="GS274" s="24"/>
      <c r="GX274">
        <v>2020</v>
      </c>
      <c r="GY274">
        <v>49</v>
      </c>
      <c r="GZ274" t="s">
        <v>32</v>
      </c>
      <c r="HA274">
        <v>8758</v>
      </c>
      <c r="HB274">
        <v>8334</v>
      </c>
      <c r="HC274">
        <v>0</v>
      </c>
      <c r="HD274">
        <v>15</v>
      </c>
      <c r="HE274">
        <v>0</v>
      </c>
      <c r="HF274">
        <v>192</v>
      </c>
      <c r="HG274">
        <v>0</v>
      </c>
      <c r="HH274">
        <v>0</v>
      </c>
      <c r="HI274">
        <v>36</v>
      </c>
      <c r="HL274">
        <v>2020</v>
      </c>
      <c r="HM274">
        <v>49</v>
      </c>
      <c r="HN274" t="s">
        <v>32</v>
      </c>
      <c r="HO274">
        <v>8492</v>
      </c>
      <c r="HP274">
        <v>8241</v>
      </c>
      <c r="HQ274">
        <v>1</v>
      </c>
      <c r="HR274">
        <v>1</v>
      </c>
      <c r="HS274">
        <v>0</v>
      </c>
      <c r="HT274">
        <v>219</v>
      </c>
      <c r="HU274">
        <v>0</v>
      </c>
      <c r="HV274">
        <v>0</v>
      </c>
      <c r="HW274">
        <v>6</v>
      </c>
      <c r="HZ274" s="24">
        <v>2020</v>
      </c>
      <c r="IA274" s="24">
        <v>49</v>
      </c>
      <c r="IB274" s="24" t="s">
        <v>32</v>
      </c>
      <c r="IC274" s="24">
        <v>772</v>
      </c>
      <c r="ID274" s="24">
        <v>733</v>
      </c>
      <c r="IG274" s="24">
        <v>2020</v>
      </c>
      <c r="IH274" s="24">
        <v>49</v>
      </c>
      <c r="II274" s="24" t="s">
        <v>32</v>
      </c>
      <c r="IJ274" s="24">
        <v>778</v>
      </c>
      <c r="IK274" s="24">
        <v>766</v>
      </c>
    </row>
    <row r="275" spans="9:245" x14ac:dyDescent="0.4">
      <c r="I275" s="305">
        <v>2020</v>
      </c>
      <c r="J275" s="306">
        <v>49</v>
      </c>
      <c r="K275" s="306" t="s">
        <v>32</v>
      </c>
      <c r="L275" s="306">
        <v>8523</v>
      </c>
      <c r="M275" s="306">
        <v>7844</v>
      </c>
      <c r="N275" s="306">
        <v>37</v>
      </c>
      <c r="O275" s="306">
        <v>230</v>
      </c>
      <c r="P275" s="306">
        <v>18</v>
      </c>
      <c r="Q275" s="306">
        <v>10</v>
      </c>
      <c r="R275" s="24"/>
      <c r="S275" s="24"/>
      <c r="T275" s="24"/>
      <c r="W275" s="24">
        <v>2020</v>
      </c>
      <c r="X275" s="24">
        <v>49</v>
      </c>
      <c r="Y275" s="24" t="s">
        <v>33</v>
      </c>
      <c r="Z275" s="24">
        <v>154660</v>
      </c>
      <c r="AA275" s="24">
        <v>149128</v>
      </c>
      <c r="AB275" s="24">
        <v>119</v>
      </c>
      <c r="AC275" s="24">
        <v>45</v>
      </c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I275" s="24">
        <v>2022</v>
      </c>
      <c r="BJ275" s="24">
        <v>3</v>
      </c>
      <c r="BK275" s="24" t="s">
        <v>33</v>
      </c>
      <c r="BL275" s="24" t="s">
        <v>273</v>
      </c>
      <c r="BM275" s="24">
        <v>97847</v>
      </c>
      <c r="BN275" s="24">
        <v>97297</v>
      </c>
      <c r="BO275" s="24">
        <v>100872</v>
      </c>
      <c r="BR275" s="327">
        <v>2020</v>
      </c>
      <c r="BS275" s="327">
        <v>17</v>
      </c>
      <c r="BT275" s="327">
        <v>1</v>
      </c>
      <c r="BU275" s="327">
        <v>0</v>
      </c>
      <c r="BV275" s="327" t="s">
        <v>33</v>
      </c>
      <c r="BY275" s="324">
        <v>2021</v>
      </c>
      <c r="BZ275" s="324">
        <v>6</v>
      </c>
      <c r="CA275" s="324" t="s">
        <v>32</v>
      </c>
      <c r="CB275" s="324" t="s">
        <v>108</v>
      </c>
      <c r="CC275" s="324">
        <v>5</v>
      </c>
      <c r="CF275" s="24"/>
      <c r="CG275" s="24"/>
      <c r="CH275" s="24"/>
      <c r="CI275" s="24"/>
      <c r="CJ275" s="24"/>
      <c r="DD275" s="24"/>
      <c r="DE275" s="24"/>
      <c r="DF275" s="24"/>
      <c r="DG275" s="24"/>
      <c r="DH275" s="24"/>
      <c r="DJ275" s="24">
        <v>2020</v>
      </c>
      <c r="DK275" s="24">
        <v>50</v>
      </c>
      <c r="DL275" s="24" t="s">
        <v>33</v>
      </c>
      <c r="DM275" s="24">
        <v>764</v>
      </c>
      <c r="DP275" s="24">
        <v>2019</v>
      </c>
      <c r="DQ275" s="24">
        <v>3</v>
      </c>
      <c r="DR275" s="24" t="s">
        <v>33</v>
      </c>
      <c r="DS275" s="24">
        <v>5412</v>
      </c>
      <c r="DT275" s="24">
        <v>306</v>
      </c>
      <c r="DW275" s="24">
        <v>2021</v>
      </c>
      <c r="DX275" s="24">
        <v>35</v>
      </c>
      <c r="DY275" s="24" t="s">
        <v>32</v>
      </c>
      <c r="DZ275" s="24">
        <v>1</v>
      </c>
      <c r="EA275" s="24" t="s">
        <v>149</v>
      </c>
      <c r="EB275" s="24">
        <v>0</v>
      </c>
      <c r="EC275" s="24">
        <v>0</v>
      </c>
      <c r="ED275" s="24">
        <v>250</v>
      </c>
      <c r="EE275" s="24">
        <v>42</v>
      </c>
      <c r="EF275" s="24">
        <v>3.1</v>
      </c>
      <c r="EI275" s="24">
        <v>2023</v>
      </c>
      <c r="EJ275" s="24">
        <v>2</v>
      </c>
      <c r="EK275" s="24" t="s">
        <v>208</v>
      </c>
      <c r="EL275" s="24" t="s">
        <v>235</v>
      </c>
      <c r="EM275" s="24" t="s">
        <v>215</v>
      </c>
      <c r="EN275" s="24">
        <v>9</v>
      </c>
      <c r="EO275" s="24"/>
      <c r="EP275" s="24"/>
      <c r="EQ275" s="24"/>
      <c r="ER275" s="24"/>
      <c r="ES275" s="24">
        <v>2021</v>
      </c>
      <c r="ET275" s="24">
        <v>19</v>
      </c>
      <c r="EU275" s="24" t="s">
        <v>213</v>
      </c>
      <c r="EV275" s="24">
        <v>4</v>
      </c>
      <c r="EY275" s="24"/>
      <c r="EZ275" s="24"/>
      <c r="FA275" s="24"/>
      <c r="FB275" s="24"/>
      <c r="FE275" s="24"/>
      <c r="FF275" s="24"/>
      <c r="FG275" s="24"/>
      <c r="FH275" s="24"/>
      <c r="FN275" s="24"/>
      <c r="FO275" s="24"/>
      <c r="FP275" s="24"/>
      <c r="FQ275" s="24"/>
      <c r="FW275" s="24">
        <v>2020</v>
      </c>
      <c r="FX275" s="24">
        <v>49</v>
      </c>
      <c r="FY275" s="24" t="s">
        <v>33</v>
      </c>
      <c r="FZ275" s="24">
        <v>5223</v>
      </c>
      <c r="GA275" s="24">
        <v>4819</v>
      </c>
      <c r="GB275" s="24"/>
      <c r="GC275" s="24"/>
      <c r="GD275" s="24">
        <v>2020</v>
      </c>
      <c r="GE275" s="24">
        <v>49</v>
      </c>
      <c r="GF275" s="24" t="s">
        <v>33</v>
      </c>
      <c r="GG275" s="24">
        <v>5192</v>
      </c>
      <c r="GH275" s="24">
        <v>4863</v>
      </c>
      <c r="GK275" s="24"/>
      <c r="GL275" s="24"/>
      <c r="GM275" s="24"/>
      <c r="GN275" s="24"/>
      <c r="GO275" s="24"/>
      <c r="GP275" s="24"/>
      <c r="GQ275" s="24"/>
      <c r="GR275" s="24"/>
      <c r="GS275" s="24"/>
      <c r="GX275">
        <v>2020</v>
      </c>
      <c r="GY275">
        <v>49</v>
      </c>
      <c r="GZ275" t="s">
        <v>33</v>
      </c>
      <c r="HA275">
        <v>156653</v>
      </c>
      <c r="HB275">
        <v>153441</v>
      </c>
      <c r="HC275">
        <v>70</v>
      </c>
      <c r="HD275">
        <v>64</v>
      </c>
      <c r="HE275">
        <v>0</v>
      </c>
      <c r="HF275">
        <v>1269</v>
      </c>
      <c r="HG275">
        <v>0</v>
      </c>
      <c r="HH275">
        <v>0</v>
      </c>
      <c r="HI275">
        <v>456</v>
      </c>
      <c r="HL275">
        <v>2020</v>
      </c>
      <c r="HM275">
        <v>49</v>
      </c>
      <c r="HN275" t="s">
        <v>33</v>
      </c>
      <c r="HO275">
        <v>154359</v>
      </c>
      <c r="HP275">
        <v>153038</v>
      </c>
      <c r="HQ275">
        <v>65</v>
      </c>
      <c r="HR275">
        <v>33</v>
      </c>
      <c r="HS275">
        <v>0</v>
      </c>
      <c r="HT275">
        <v>1145</v>
      </c>
      <c r="HU275">
        <v>0</v>
      </c>
      <c r="HV275">
        <v>0</v>
      </c>
      <c r="HW275">
        <v>62</v>
      </c>
      <c r="HZ275" s="24">
        <v>2020</v>
      </c>
      <c r="IA275" s="24">
        <v>49</v>
      </c>
      <c r="IB275" s="24" t="s">
        <v>33</v>
      </c>
      <c r="IC275" s="24">
        <v>5405</v>
      </c>
      <c r="ID275" s="24">
        <v>5028</v>
      </c>
      <c r="IG275" s="24">
        <v>2020</v>
      </c>
      <c r="IH275" s="24">
        <v>49</v>
      </c>
      <c r="II275" s="24" t="s">
        <v>33</v>
      </c>
      <c r="IJ275" s="24">
        <v>4751</v>
      </c>
      <c r="IK275" s="24">
        <v>4644</v>
      </c>
    </row>
    <row r="276" spans="9:245" x14ac:dyDescent="0.4">
      <c r="I276" s="305">
        <v>2020</v>
      </c>
      <c r="J276" s="306">
        <v>49</v>
      </c>
      <c r="K276" s="306" t="s">
        <v>33</v>
      </c>
      <c r="L276" s="306">
        <v>154813</v>
      </c>
      <c r="M276" s="306">
        <v>148825</v>
      </c>
      <c r="N276" s="306">
        <v>291</v>
      </c>
      <c r="O276" s="306">
        <v>1359</v>
      </c>
      <c r="P276" s="306">
        <v>145</v>
      </c>
      <c r="Q276" s="306">
        <v>43</v>
      </c>
      <c r="R276" s="24"/>
      <c r="S276" s="24"/>
      <c r="T276" s="24"/>
      <c r="W276" s="24">
        <v>2020</v>
      </c>
      <c r="X276" s="24">
        <v>48</v>
      </c>
      <c r="Y276" s="24" t="s">
        <v>32</v>
      </c>
      <c r="Z276" s="24">
        <v>7790</v>
      </c>
      <c r="AA276" s="24">
        <v>7703</v>
      </c>
      <c r="AB276" s="24">
        <v>3</v>
      </c>
      <c r="AC276" s="24">
        <v>2</v>
      </c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I276" s="24">
        <v>2022</v>
      </c>
      <c r="BJ276" s="24">
        <v>3</v>
      </c>
      <c r="BK276" s="24" t="s">
        <v>32</v>
      </c>
      <c r="BL276" s="24" t="s">
        <v>273</v>
      </c>
      <c r="BM276" s="24">
        <v>7821</v>
      </c>
      <c r="BN276" s="24">
        <v>7753</v>
      </c>
      <c r="BO276" s="24">
        <v>8030</v>
      </c>
      <c r="BR276" s="24"/>
      <c r="BS276" s="24"/>
      <c r="BT276" s="24"/>
      <c r="BU276" s="24"/>
      <c r="BV276" s="24"/>
      <c r="BY276" s="324">
        <v>2021</v>
      </c>
      <c r="BZ276" s="324">
        <v>6</v>
      </c>
      <c r="CA276" s="324" t="s">
        <v>32</v>
      </c>
      <c r="CB276" s="324" t="s">
        <v>423</v>
      </c>
      <c r="CC276" s="324">
        <v>47</v>
      </c>
      <c r="CF276" s="24"/>
      <c r="CG276" s="24"/>
      <c r="CH276" s="24"/>
      <c r="CI276" s="24"/>
      <c r="CJ276" s="24"/>
      <c r="DD276" s="24"/>
      <c r="DE276" s="24"/>
      <c r="DF276" s="24"/>
      <c r="DG276" s="24"/>
      <c r="DH276" s="24"/>
      <c r="DJ276" s="24">
        <v>2020</v>
      </c>
      <c r="DK276" s="24">
        <v>50</v>
      </c>
      <c r="DL276" s="24" t="s">
        <v>213</v>
      </c>
      <c r="DM276" s="24">
        <v>1</v>
      </c>
      <c r="DP276" s="24">
        <v>2019</v>
      </c>
      <c r="DQ276" s="24">
        <v>2</v>
      </c>
      <c r="DR276" s="24" t="s">
        <v>33</v>
      </c>
      <c r="DS276" s="24">
        <v>2985</v>
      </c>
      <c r="DT276" s="24">
        <v>173</v>
      </c>
      <c r="DW276" s="24">
        <v>2021</v>
      </c>
      <c r="DX276" s="24">
        <v>35</v>
      </c>
      <c r="DY276" s="24" t="s">
        <v>33</v>
      </c>
      <c r="DZ276" s="24">
        <v>8</v>
      </c>
      <c r="EA276" s="24" t="s">
        <v>562</v>
      </c>
      <c r="EB276" s="24">
        <v>96.4</v>
      </c>
      <c r="EC276" s="24">
        <v>0</v>
      </c>
      <c r="ED276" s="24"/>
      <c r="EE276" s="24">
        <v>4354</v>
      </c>
      <c r="EF276" s="24">
        <v>21.4</v>
      </c>
      <c r="EI276" s="24">
        <v>2023</v>
      </c>
      <c r="EJ276" s="24">
        <v>2</v>
      </c>
      <c r="EK276" s="24" t="s">
        <v>208</v>
      </c>
      <c r="EL276" s="24" t="s">
        <v>209</v>
      </c>
      <c r="EM276" s="24" t="s">
        <v>210</v>
      </c>
      <c r="EN276" s="24">
        <v>6</v>
      </c>
      <c r="EO276" s="24"/>
      <c r="EP276" s="24"/>
      <c r="EQ276" s="24"/>
      <c r="ER276" s="24"/>
      <c r="ES276" s="24">
        <v>2021</v>
      </c>
      <c r="ET276" s="24">
        <v>18</v>
      </c>
      <c r="EU276" s="24" t="s">
        <v>32</v>
      </c>
      <c r="EV276" s="24">
        <v>4910</v>
      </c>
      <c r="EY276" s="24"/>
      <c r="EZ276" s="24"/>
      <c r="FA276" s="24"/>
      <c r="FB276" s="24"/>
      <c r="FE276" s="24"/>
      <c r="FF276" s="24"/>
      <c r="FG276" s="24"/>
      <c r="FH276" s="24"/>
      <c r="FN276" s="24"/>
      <c r="FO276" s="24"/>
      <c r="FP276" s="24"/>
      <c r="FQ276" s="24"/>
      <c r="FW276" s="24">
        <v>2020</v>
      </c>
      <c r="FX276" s="24">
        <v>48</v>
      </c>
      <c r="FY276" s="24" t="s">
        <v>32</v>
      </c>
      <c r="FZ276" s="24">
        <v>877</v>
      </c>
      <c r="GA276" s="24">
        <v>825</v>
      </c>
      <c r="GB276" s="24"/>
      <c r="GC276" s="24"/>
      <c r="GD276" s="24">
        <v>2020</v>
      </c>
      <c r="GE276" s="24">
        <v>48</v>
      </c>
      <c r="GF276" s="24" t="s">
        <v>32</v>
      </c>
      <c r="GG276" s="24">
        <v>892</v>
      </c>
      <c r="GH276" s="24">
        <v>846</v>
      </c>
      <c r="GK276" s="24"/>
      <c r="GL276" s="24"/>
      <c r="GM276" s="24"/>
      <c r="GN276" s="24"/>
      <c r="GO276" s="24"/>
      <c r="GP276" s="24"/>
      <c r="GQ276" s="24"/>
      <c r="GR276" s="24"/>
      <c r="GS276" s="24"/>
      <c r="GX276">
        <v>2020</v>
      </c>
      <c r="GY276">
        <v>48</v>
      </c>
      <c r="GZ276" t="s">
        <v>32</v>
      </c>
      <c r="HA276">
        <v>7044</v>
      </c>
      <c r="HB276">
        <v>6929</v>
      </c>
      <c r="HC276">
        <v>0</v>
      </c>
      <c r="HD276">
        <v>0</v>
      </c>
      <c r="HE276">
        <v>0</v>
      </c>
      <c r="HF276">
        <v>18</v>
      </c>
      <c r="HG276">
        <v>0</v>
      </c>
      <c r="HH276">
        <v>0</v>
      </c>
      <c r="HI276">
        <v>11</v>
      </c>
      <c r="HL276">
        <v>2020</v>
      </c>
      <c r="HM276">
        <v>48</v>
      </c>
      <c r="HN276" t="s">
        <v>32</v>
      </c>
      <c r="HO276">
        <v>7776</v>
      </c>
      <c r="HP276">
        <v>7770</v>
      </c>
      <c r="HQ276">
        <v>0</v>
      </c>
      <c r="HR276">
        <v>0</v>
      </c>
      <c r="HS276">
        <v>0</v>
      </c>
      <c r="HT276">
        <v>1</v>
      </c>
      <c r="HU276">
        <v>0</v>
      </c>
      <c r="HV276">
        <v>0</v>
      </c>
      <c r="HW276">
        <v>0</v>
      </c>
      <c r="HZ276" s="24">
        <v>2020</v>
      </c>
      <c r="IA276" s="24">
        <v>48</v>
      </c>
      <c r="IB276" s="24" t="s">
        <v>32</v>
      </c>
      <c r="IC276" s="24">
        <v>768</v>
      </c>
      <c r="ID276" s="24">
        <v>739</v>
      </c>
      <c r="IG276" s="24">
        <v>2020</v>
      </c>
      <c r="IH276" s="24">
        <v>48</v>
      </c>
      <c r="II276" s="24" t="s">
        <v>32</v>
      </c>
      <c r="IJ276" s="24">
        <v>879</v>
      </c>
      <c r="IK276" s="24">
        <v>878</v>
      </c>
    </row>
    <row r="277" spans="9:245" x14ac:dyDescent="0.4">
      <c r="I277" s="305">
        <v>2020</v>
      </c>
      <c r="J277" s="306">
        <v>48</v>
      </c>
      <c r="K277" s="306" t="s">
        <v>32</v>
      </c>
      <c r="L277" s="306">
        <v>7769</v>
      </c>
      <c r="M277" s="306">
        <v>7653</v>
      </c>
      <c r="N277" s="306">
        <v>10</v>
      </c>
      <c r="O277" s="306">
        <v>75</v>
      </c>
      <c r="P277" s="306">
        <v>6</v>
      </c>
      <c r="Q277" s="306">
        <v>2</v>
      </c>
      <c r="R277" s="24"/>
      <c r="S277" s="24"/>
      <c r="T277" s="24"/>
      <c r="W277" s="24">
        <v>2020</v>
      </c>
      <c r="X277" s="24">
        <v>48</v>
      </c>
      <c r="Y277" s="24" t="s">
        <v>33</v>
      </c>
      <c r="Z277" s="24">
        <v>186659</v>
      </c>
      <c r="AA277" s="24">
        <v>185371</v>
      </c>
      <c r="AB277" s="24">
        <v>51</v>
      </c>
      <c r="AC277" s="24">
        <v>15</v>
      </c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I277" s="24">
        <v>2022</v>
      </c>
      <c r="BJ277" s="24">
        <v>3</v>
      </c>
      <c r="BK277" s="24" t="s">
        <v>32</v>
      </c>
      <c r="BL277" s="24" t="s">
        <v>272</v>
      </c>
      <c r="BM277" s="24">
        <v>3368</v>
      </c>
      <c r="BN277" s="24">
        <v>3345</v>
      </c>
      <c r="BO277" s="24">
        <v>11700</v>
      </c>
      <c r="BR277" s="24"/>
      <c r="BS277" s="24"/>
      <c r="BT277" s="24"/>
      <c r="BU277" s="24"/>
      <c r="BV277" s="24"/>
      <c r="BY277" s="324">
        <v>2021</v>
      </c>
      <c r="BZ277" s="324">
        <v>6</v>
      </c>
      <c r="CA277" s="324" t="s">
        <v>33</v>
      </c>
      <c r="CB277" s="324" t="s">
        <v>108</v>
      </c>
      <c r="CC277" s="324">
        <v>1</v>
      </c>
      <c r="CF277" s="24"/>
      <c r="CG277" s="24"/>
      <c r="CH277" s="24"/>
      <c r="CI277" s="24"/>
      <c r="CJ277" s="24"/>
      <c r="DD277" s="24"/>
      <c r="DE277" s="24"/>
      <c r="DF277" s="24"/>
      <c r="DG277" s="24"/>
      <c r="DH277" s="24"/>
      <c r="DJ277" s="24">
        <v>2020</v>
      </c>
      <c r="DK277" s="24">
        <v>49</v>
      </c>
      <c r="DL277" s="24" t="s">
        <v>32</v>
      </c>
      <c r="DM277" s="24">
        <v>3</v>
      </c>
      <c r="DP277" s="24">
        <v>2019</v>
      </c>
      <c r="DQ277" s="24">
        <v>1</v>
      </c>
      <c r="DR277" s="24" t="s">
        <v>33</v>
      </c>
      <c r="DS277" s="24">
        <v>3511</v>
      </c>
      <c r="DT277" s="24">
        <v>113</v>
      </c>
      <c r="DW277" s="24">
        <v>2021</v>
      </c>
      <c r="DX277" s="24">
        <v>35</v>
      </c>
      <c r="DY277" s="24" t="s">
        <v>33</v>
      </c>
      <c r="DZ277" s="24">
        <v>42</v>
      </c>
      <c r="EA277" s="24" t="s">
        <v>149</v>
      </c>
      <c r="EB277" s="24">
        <v>126.2</v>
      </c>
      <c r="EC277" s="24">
        <v>1089.8</v>
      </c>
      <c r="ED277" s="24">
        <v>36547</v>
      </c>
      <c r="EE277" s="24">
        <v>39731</v>
      </c>
      <c r="EF277" s="24">
        <v>96.8</v>
      </c>
      <c r="EI277" s="24">
        <v>2023</v>
      </c>
      <c r="EJ277" s="24">
        <v>2</v>
      </c>
      <c r="EK277" s="24" t="s">
        <v>208</v>
      </c>
      <c r="EL277" s="24" t="s">
        <v>209</v>
      </c>
      <c r="EM277" s="24" t="s">
        <v>234</v>
      </c>
      <c r="EN277" s="24">
        <v>1</v>
      </c>
      <c r="EO277" s="24"/>
      <c r="EP277" s="24"/>
      <c r="EQ277" s="24"/>
      <c r="ER277" s="24"/>
      <c r="ES277" s="24">
        <v>2021</v>
      </c>
      <c r="ET277" s="24">
        <v>18</v>
      </c>
      <c r="EU277" s="24" t="s">
        <v>33</v>
      </c>
      <c r="EV277" s="24">
        <v>109787</v>
      </c>
      <c r="EY277" s="24"/>
      <c r="EZ277" s="24"/>
      <c r="FA277" s="24"/>
      <c r="FB277" s="24"/>
      <c r="FE277" s="24"/>
      <c r="FF277" s="24"/>
      <c r="FG277" s="24"/>
      <c r="FH277" s="24"/>
      <c r="FN277" s="24"/>
      <c r="FO277" s="24"/>
      <c r="FP277" s="24"/>
      <c r="FQ277" s="24"/>
      <c r="FW277" s="24">
        <v>2020</v>
      </c>
      <c r="FX277" s="24">
        <v>48</v>
      </c>
      <c r="FY277" s="24" t="s">
        <v>33</v>
      </c>
      <c r="FZ277" s="24">
        <v>4911</v>
      </c>
      <c r="GA277" s="24">
        <v>4705</v>
      </c>
      <c r="GB277" s="24"/>
      <c r="GC277" s="24"/>
      <c r="GD277" s="24">
        <v>2020</v>
      </c>
      <c r="GE277" s="24">
        <v>48</v>
      </c>
      <c r="GF277" s="24" t="s">
        <v>33</v>
      </c>
      <c r="GG277" s="24">
        <v>4881</v>
      </c>
      <c r="GH277" s="24">
        <v>4740</v>
      </c>
      <c r="GK277" s="24"/>
      <c r="GL277" s="24"/>
      <c r="GM277" s="24"/>
      <c r="GN277" s="24"/>
      <c r="GO277" s="24"/>
      <c r="GP277" s="24"/>
      <c r="GQ277" s="24"/>
      <c r="GR277" s="24"/>
      <c r="GS277" s="24"/>
      <c r="GX277">
        <v>2020</v>
      </c>
      <c r="GY277">
        <v>48</v>
      </c>
      <c r="GZ277" t="s">
        <v>33</v>
      </c>
      <c r="HA277">
        <v>169992</v>
      </c>
      <c r="HB277">
        <v>168299</v>
      </c>
      <c r="HC277">
        <v>23</v>
      </c>
      <c r="HD277">
        <v>14</v>
      </c>
      <c r="HE277">
        <v>0</v>
      </c>
      <c r="HF277">
        <v>78</v>
      </c>
      <c r="HG277">
        <v>0</v>
      </c>
      <c r="HH277">
        <v>0</v>
      </c>
      <c r="HI277">
        <v>335</v>
      </c>
      <c r="HL277">
        <v>2020</v>
      </c>
      <c r="HM277">
        <v>48</v>
      </c>
      <c r="HN277" t="s">
        <v>33</v>
      </c>
      <c r="HO277">
        <v>186493</v>
      </c>
      <c r="HP277">
        <v>186271</v>
      </c>
      <c r="HQ277">
        <v>55</v>
      </c>
      <c r="HR277">
        <v>3</v>
      </c>
      <c r="HS277">
        <v>0</v>
      </c>
      <c r="HT277">
        <v>52</v>
      </c>
      <c r="HU277">
        <v>0</v>
      </c>
      <c r="HV277">
        <v>0</v>
      </c>
      <c r="HW277">
        <v>12</v>
      </c>
      <c r="HZ277" s="24">
        <v>2020</v>
      </c>
      <c r="IA277" s="24">
        <v>48</v>
      </c>
      <c r="IB277" s="24" t="s">
        <v>33</v>
      </c>
      <c r="IC277" s="24">
        <v>4576</v>
      </c>
      <c r="ID277" s="24">
        <v>4433</v>
      </c>
      <c r="IG277" s="24">
        <v>2020</v>
      </c>
      <c r="IH277" s="24">
        <v>48</v>
      </c>
      <c r="II277" s="24" t="s">
        <v>33</v>
      </c>
      <c r="IJ277" s="24">
        <v>4509</v>
      </c>
      <c r="IK277" s="24">
        <v>4465</v>
      </c>
    </row>
    <row r="278" spans="9:245" x14ac:dyDescent="0.4">
      <c r="I278" s="305">
        <v>2020</v>
      </c>
      <c r="J278" s="306">
        <v>48</v>
      </c>
      <c r="K278" s="306" t="s">
        <v>33</v>
      </c>
      <c r="L278" s="306">
        <v>186735</v>
      </c>
      <c r="M278" s="306">
        <v>184328</v>
      </c>
      <c r="N278" s="306">
        <v>329</v>
      </c>
      <c r="O278" s="306">
        <v>954</v>
      </c>
      <c r="P278" s="306">
        <v>100</v>
      </c>
      <c r="Q278" s="306">
        <v>21</v>
      </c>
      <c r="R278" s="24"/>
      <c r="S278" s="24"/>
      <c r="T278" s="24"/>
      <c r="W278" s="24">
        <v>2020</v>
      </c>
      <c r="X278" s="24">
        <v>47</v>
      </c>
      <c r="Y278" s="24" t="s">
        <v>32</v>
      </c>
      <c r="Z278" s="24">
        <v>5238</v>
      </c>
      <c r="AA278" s="24">
        <v>5144</v>
      </c>
      <c r="AB278" s="24">
        <v>9</v>
      </c>
      <c r="AC278" s="24">
        <v>3</v>
      </c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I278" s="24">
        <v>2022</v>
      </c>
      <c r="BJ278" s="24">
        <v>2</v>
      </c>
      <c r="BK278" s="24" t="s">
        <v>33</v>
      </c>
      <c r="BL278" s="24" t="s">
        <v>273</v>
      </c>
      <c r="BM278" s="24">
        <v>88489</v>
      </c>
      <c r="BN278" s="24">
        <v>88059</v>
      </c>
      <c r="BO278" s="24">
        <v>90792</v>
      </c>
      <c r="BR278" s="24"/>
      <c r="BS278" s="24"/>
      <c r="BT278" s="24"/>
      <c r="BU278" s="24"/>
      <c r="BV278" s="24"/>
      <c r="BY278" s="324">
        <v>2021</v>
      </c>
      <c r="BZ278" s="324">
        <v>6</v>
      </c>
      <c r="CA278" s="324" t="s">
        <v>33</v>
      </c>
      <c r="CB278" s="324" t="s">
        <v>423</v>
      </c>
      <c r="CC278" s="324">
        <v>13</v>
      </c>
      <c r="CF278" s="24"/>
      <c r="CG278" s="24"/>
      <c r="CH278" s="24"/>
      <c r="CI278" s="24"/>
      <c r="CJ278" s="24"/>
      <c r="DD278" s="24"/>
      <c r="DE278" s="24"/>
      <c r="DF278" s="24"/>
      <c r="DG278" s="24"/>
      <c r="DH278" s="24"/>
      <c r="DJ278" s="24">
        <v>2020</v>
      </c>
      <c r="DK278" s="24">
        <v>49</v>
      </c>
      <c r="DL278" s="24" t="s">
        <v>33</v>
      </c>
      <c r="DM278" s="24">
        <v>488</v>
      </c>
      <c r="DP278" s="24">
        <v>2018</v>
      </c>
      <c r="DQ278" s="24">
        <v>52</v>
      </c>
      <c r="DR278" s="24" t="s">
        <v>33</v>
      </c>
      <c r="DS278" s="24">
        <v>2388</v>
      </c>
      <c r="DT278" s="24">
        <v>42</v>
      </c>
      <c r="DW278" s="24">
        <v>2021</v>
      </c>
      <c r="DX278" s="24">
        <v>34</v>
      </c>
      <c r="DY278" s="24" t="s">
        <v>32</v>
      </c>
      <c r="DZ278" s="24">
        <v>1</v>
      </c>
      <c r="EA278" s="24" t="s">
        <v>149</v>
      </c>
      <c r="EB278" s="24">
        <v>0</v>
      </c>
      <c r="EC278" s="24">
        <v>0</v>
      </c>
      <c r="ED278" s="24">
        <v>269</v>
      </c>
      <c r="EE278" s="24">
        <v>31</v>
      </c>
      <c r="EF278" s="24">
        <v>4.8</v>
      </c>
      <c r="EI278" s="24">
        <v>2023</v>
      </c>
      <c r="EJ278" s="24">
        <v>2</v>
      </c>
      <c r="EK278" s="24" t="s">
        <v>558</v>
      </c>
      <c r="EL278" s="24" t="s">
        <v>555</v>
      </c>
      <c r="EM278" s="24" t="s">
        <v>210</v>
      </c>
      <c r="EN278" s="24">
        <v>14</v>
      </c>
      <c r="EO278" s="24"/>
      <c r="EP278" s="24"/>
      <c r="EQ278" s="24"/>
      <c r="ER278" s="24"/>
      <c r="ES278" s="24">
        <v>2021</v>
      </c>
      <c r="ET278" s="24">
        <v>18</v>
      </c>
      <c r="EU278" s="24" t="s">
        <v>213</v>
      </c>
      <c r="EV278" s="24">
        <v>14</v>
      </c>
      <c r="EY278" s="24"/>
      <c r="EZ278" s="24"/>
      <c r="FA278" s="24"/>
      <c r="FB278" s="24"/>
      <c r="FE278" s="24"/>
      <c r="FF278" s="24"/>
      <c r="FG278" s="24"/>
      <c r="FH278" s="24"/>
      <c r="FN278" s="24"/>
      <c r="FO278" s="24"/>
      <c r="FP278" s="24"/>
      <c r="FQ278" s="24"/>
      <c r="FW278" s="24">
        <v>2020</v>
      </c>
      <c r="FX278" s="24">
        <v>47</v>
      </c>
      <c r="FY278" s="24" t="s">
        <v>32</v>
      </c>
      <c r="FZ278" s="24">
        <v>698</v>
      </c>
      <c r="GA278" s="24">
        <v>669</v>
      </c>
      <c r="GB278" s="24"/>
      <c r="GC278" s="24"/>
      <c r="GD278" s="24">
        <v>2020</v>
      </c>
      <c r="GE278" s="24">
        <v>47</v>
      </c>
      <c r="GF278" s="24" t="s">
        <v>32</v>
      </c>
      <c r="GG278" s="24">
        <v>678</v>
      </c>
      <c r="GH278" s="24">
        <v>647</v>
      </c>
      <c r="GK278" s="24"/>
      <c r="GL278" s="24"/>
      <c r="GM278" s="24"/>
      <c r="GN278" s="24"/>
      <c r="GO278" s="24"/>
      <c r="GP278" s="24"/>
      <c r="GQ278" s="24"/>
      <c r="GR278" s="24"/>
      <c r="GS278" s="24"/>
      <c r="GX278">
        <v>2020</v>
      </c>
      <c r="GY278">
        <v>47</v>
      </c>
      <c r="GZ278" t="s">
        <v>32</v>
      </c>
      <c r="HA278">
        <v>5981</v>
      </c>
      <c r="HB278">
        <v>5942</v>
      </c>
      <c r="HC278">
        <v>0</v>
      </c>
      <c r="HD278">
        <v>1</v>
      </c>
      <c r="HE278">
        <v>0</v>
      </c>
      <c r="HF278">
        <v>0</v>
      </c>
      <c r="HG278">
        <v>0</v>
      </c>
      <c r="HH278">
        <v>0</v>
      </c>
      <c r="HI278">
        <v>14</v>
      </c>
      <c r="HL278">
        <v>2020</v>
      </c>
      <c r="HM278">
        <v>47</v>
      </c>
      <c r="HN278" t="s">
        <v>32</v>
      </c>
      <c r="HO278">
        <v>5222</v>
      </c>
      <c r="HP278">
        <v>5214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1</v>
      </c>
      <c r="HZ278" s="24">
        <v>2020</v>
      </c>
      <c r="IA278" s="24">
        <v>47</v>
      </c>
      <c r="IB278" s="24" t="s">
        <v>32</v>
      </c>
      <c r="IC278" s="24">
        <v>845</v>
      </c>
      <c r="ID278" s="24">
        <v>837</v>
      </c>
      <c r="IG278" s="24">
        <v>2020</v>
      </c>
      <c r="IH278" s="24">
        <v>47</v>
      </c>
      <c r="II278" s="24" t="s">
        <v>32</v>
      </c>
      <c r="IJ278" s="24">
        <v>664</v>
      </c>
      <c r="IK278" s="24">
        <v>664</v>
      </c>
    </row>
    <row r="279" spans="9:245" x14ac:dyDescent="0.4">
      <c r="I279" s="305">
        <v>2020</v>
      </c>
      <c r="J279" s="306">
        <v>47</v>
      </c>
      <c r="K279" s="306" t="s">
        <v>32</v>
      </c>
      <c r="L279" s="306">
        <v>5212</v>
      </c>
      <c r="M279" s="306">
        <v>5105</v>
      </c>
      <c r="N279" s="306">
        <v>6</v>
      </c>
      <c r="O279" s="306">
        <v>20</v>
      </c>
      <c r="P279" s="306">
        <v>8</v>
      </c>
      <c r="Q279" s="306">
        <v>2</v>
      </c>
      <c r="R279" s="24"/>
      <c r="S279" s="24"/>
      <c r="T279" s="24"/>
      <c r="W279" s="24">
        <v>2020</v>
      </c>
      <c r="X279" s="24">
        <v>47</v>
      </c>
      <c r="Y279" s="24" t="s">
        <v>33</v>
      </c>
      <c r="Z279" s="24">
        <v>104076</v>
      </c>
      <c r="AA279" s="24">
        <v>103530</v>
      </c>
      <c r="AB279" s="24">
        <v>34</v>
      </c>
      <c r="AC279" s="24">
        <v>4</v>
      </c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I279" s="24">
        <v>2022</v>
      </c>
      <c r="BJ279" s="24">
        <v>2</v>
      </c>
      <c r="BK279" s="24" t="s">
        <v>33</v>
      </c>
      <c r="BL279" s="24" t="s">
        <v>272</v>
      </c>
      <c r="BM279" s="24">
        <v>51738</v>
      </c>
      <c r="BN279" s="24">
        <v>51697</v>
      </c>
      <c r="BO279" s="24">
        <v>189280</v>
      </c>
      <c r="BR279" s="24"/>
      <c r="BS279" s="24"/>
      <c r="BT279" s="24"/>
      <c r="BU279" s="24"/>
      <c r="BV279" s="24"/>
      <c r="BY279" s="24">
        <v>2021</v>
      </c>
      <c r="BZ279" s="24">
        <v>5</v>
      </c>
      <c r="CA279" s="24" t="s">
        <v>32</v>
      </c>
      <c r="CB279" s="24" t="s">
        <v>108</v>
      </c>
      <c r="CC279" s="24">
        <v>9</v>
      </c>
      <c r="CF279" s="24"/>
      <c r="CG279" s="24"/>
      <c r="CH279" s="24"/>
      <c r="CI279" s="24"/>
      <c r="CJ279" s="24"/>
      <c r="DD279" s="24"/>
      <c r="DE279" s="24"/>
      <c r="DF279" s="24"/>
      <c r="DG279" s="24"/>
      <c r="DH279" s="24"/>
      <c r="DJ279" s="24">
        <v>2020</v>
      </c>
      <c r="DK279" s="24">
        <v>48</v>
      </c>
      <c r="DL279" s="24" t="s">
        <v>32</v>
      </c>
      <c r="DM279" s="24">
        <v>2</v>
      </c>
      <c r="DP279" s="24">
        <v>2018</v>
      </c>
      <c r="DQ279" s="24">
        <v>51</v>
      </c>
      <c r="DR279" s="24" t="s">
        <v>33</v>
      </c>
      <c r="DS279" s="24">
        <v>4090</v>
      </c>
      <c r="DT279" s="24">
        <v>41</v>
      </c>
      <c r="DW279" s="24">
        <v>2021</v>
      </c>
      <c r="DX279" s="24">
        <v>34</v>
      </c>
      <c r="DY279" s="24" t="s">
        <v>33</v>
      </c>
      <c r="DZ279" s="24">
        <v>9</v>
      </c>
      <c r="EA279" s="24" t="s">
        <v>562</v>
      </c>
      <c r="EB279" s="24">
        <v>64.7</v>
      </c>
      <c r="EC279" s="24">
        <v>0</v>
      </c>
      <c r="ED279" s="24"/>
      <c r="EE279" s="24">
        <v>2979</v>
      </c>
      <c r="EF279" s="24">
        <v>28.3</v>
      </c>
      <c r="EI279" s="24">
        <v>2023</v>
      </c>
      <c r="EJ279" s="24">
        <v>2</v>
      </c>
      <c r="EK279" s="24" t="s">
        <v>558</v>
      </c>
      <c r="EL279" s="24" t="s">
        <v>557</v>
      </c>
      <c r="EM279" s="24" t="s">
        <v>210</v>
      </c>
      <c r="EN279" s="24">
        <v>170</v>
      </c>
      <c r="EO279" s="24"/>
      <c r="EP279" s="24"/>
      <c r="EQ279" s="24"/>
      <c r="ER279" s="24"/>
      <c r="ES279" s="24">
        <v>2021</v>
      </c>
      <c r="ET279" s="24">
        <v>17</v>
      </c>
      <c r="EU279" s="24" t="s">
        <v>32</v>
      </c>
      <c r="EV279" s="24">
        <v>5094</v>
      </c>
      <c r="EY279" s="24"/>
      <c r="EZ279" s="24"/>
      <c r="FA279" s="24"/>
      <c r="FB279" s="24"/>
      <c r="FE279" s="24"/>
      <c r="FF279" s="24"/>
      <c r="FG279" s="24"/>
      <c r="FH279" s="24"/>
      <c r="FN279" s="24"/>
      <c r="FO279" s="24"/>
      <c r="FP279" s="24"/>
      <c r="FQ279" s="24"/>
      <c r="FW279" s="24">
        <v>2020</v>
      </c>
      <c r="FX279" s="24">
        <v>47</v>
      </c>
      <c r="FY279" s="24" t="s">
        <v>33</v>
      </c>
      <c r="FZ279" s="24">
        <v>5030</v>
      </c>
      <c r="GA279" s="24">
        <v>4909</v>
      </c>
      <c r="GB279" s="24"/>
      <c r="GC279" s="24"/>
      <c r="GD279" s="24">
        <v>2020</v>
      </c>
      <c r="GE279" s="24">
        <v>47</v>
      </c>
      <c r="GF279" s="24" t="s">
        <v>33</v>
      </c>
      <c r="GG279" s="24">
        <v>4983</v>
      </c>
      <c r="GH279" s="24">
        <v>4897</v>
      </c>
      <c r="GK279" s="24"/>
      <c r="GL279" s="24"/>
      <c r="GM279" s="24"/>
      <c r="GN279" s="24"/>
      <c r="GO279" s="24"/>
      <c r="GP279" s="24"/>
      <c r="GQ279" s="24"/>
      <c r="GR279" s="24"/>
      <c r="GS279" s="24"/>
      <c r="GX279">
        <v>2020</v>
      </c>
      <c r="GY279">
        <v>47</v>
      </c>
      <c r="GZ279" t="s">
        <v>33</v>
      </c>
      <c r="HA279">
        <v>119672</v>
      </c>
      <c r="HB279">
        <v>118931</v>
      </c>
      <c r="HC279">
        <v>18</v>
      </c>
      <c r="HD279">
        <v>7</v>
      </c>
      <c r="HE279">
        <v>0</v>
      </c>
      <c r="HF279">
        <v>17</v>
      </c>
      <c r="HG279">
        <v>0</v>
      </c>
      <c r="HH279">
        <v>0</v>
      </c>
      <c r="HI279">
        <v>268</v>
      </c>
      <c r="HL279">
        <v>2020</v>
      </c>
      <c r="HM279">
        <v>47</v>
      </c>
      <c r="HN279" t="s">
        <v>33</v>
      </c>
      <c r="HO279">
        <v>103866</v>
      </c>
      <c r="HP279">
        <v>103754</v>
      </c>
      <c r="HQ279">
        <v>20</v>
      </c>
      <c r="HR279">
        <v>5</v>
      </c>
      <c r="HS279">
        <v>0</v>
      </c>
      <c r="HT279">
        <v>23</v>
      </c>
      <c r="HU279">
        <v>0</v>
      </c>
      <c r="HV279">
        <v>0</v>
      </c>
      <c r="HW279">
        <v>1</v>
      </c>
      <c r="HZ279" s="24">
        <v>2020</v>
      </c>
      <c r="IA279" s="24">
        <v>47</v>
      </c>
      <c r="IB279" s="24" t="s">
        <v>33</v>
      </c>
      <c r="IC279" s="24">
        <v>5210</v>
      </c>
      <c r="ID279" s="24">
        <v>5148</v>
      </c>
      <c r="IG279" s="24">
        <v>2020</v>
      </c>
      <c r="IH279" s="24">
        <v>47</v>
      </c>
      <c r="II279" s="24" t="s">
        <v>33</v>
      </c>
      <c r="IJ279" s="24">
        <v>4847</v>
      </c>
      <c r="IK279" s="24">
        <v>4833</v>
      </c>
    </row>
    <row r="280" spans="9:245" x14ac:dyDescent="0.4">
      <c r="I280" s="305">
        <v>2020</v>
      </c>
      <c r="J280" s="306">
        <v>47</v>
      </c>
      <c r="K280" s="306" t="s">
        <v>33</v>
      </c>
      <c r="L280" s="306">
        <v>104207</v>
      </c>
      <c r="M280" s="306">
        <v>103048</v>
      </c>
      <c r="N280" s="306">
        <v>180</v>
      </c>
      <c r="O280" s="306">
        <v>392</v>
      </c>
      <c r="P280" s="306">
        <v>55</v>
      </c>
      <c r="Q280" s="306">
        <v>7</v>
      </c>
      <c r="R280" s="24"/>
      <c r="S280" s="24"/>
      <c r="T280" s="24"/>
      <c r="W280" s="307">
        <v>2020</v>
      </c>
      <c r="X280" s="307">
        <v>46</v>
      </c>
      <c r="Y280" s="307" t="s">
        <v>32</v>
      </c>
      <c r="Z280" s="307">
        <v>6183</v>
      </c>
      <c r="AA280" s="307">
        <v>6039</v>
      </c>
      <c r="AB280" s="307">
        <v>13</v>
      </c>
      <c r="AC280" s="307">
        <v>4</v>
      </c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I280" s="24">
        <v>2022</v>
      </c>
      <c r="BJ280" s="24">
        <v>2</v>
      </c>
      <c r="BK280" s="24" t="s">
        <v>32</v>
      </c>
      <c r="BL280" s="24" t="s">
        <v>272</v>
      </c>
      <c r="BM280" s="24">
        <v>2380</v>
      </c>
      <c r="BN280" s="24">
        <v>2376</v>
      </c>
      <c r="BO280" s="24">
        <v>8098</v>
      </c>
      <c r="BR280" s="24"/>
      <c r="BS280" s="24"/>
      <c r="BT280" s="24"/>
      <c r="BU280" s="24"/>
      <c r="BV280" s="24"/>
      <c r="BY280" s="24">
        <v>2021</v>
      </c>
      <c r="BZ280" s="24">
        <v>5</v>
      </c>
      <c r="CA280" s="24" t="s">
        <v>32</v>
      </c>
      <c r="CB280" s="24" t="s">
        <v>423</v>
      </c>
      <c r="CC280" s="24">
        <v>88</v>
      </c>
      <c r="CF280" s="24"/>
      <c r="CG280" s="24"/>
      <c r="CH280" s="24"/>
      <c r="CI280" s="24"/>
      <c r="CJ280" s="24"/>
      <c r="DD280" s="24"/>
      <c r="DE280" s="24"/>
      <c r="DF280" s="24"/>
      <c r="DG280" s="24"/>
      <c r="DH280" s="24"/>
      <c r="DJ280" s="24">
        <v>2020</v>
      </c>
      <c r="DK280" s="24">
        <v>48</v>
      </c>
      <c r="DL280" s="24" t="s">
        <v>33</v>
      </c>
      <c r="DM280" s="24">
        <v>271</v>
      </c>
      <c r="DP280" s="24">
        <v>2018</v>
      </c>
      <c r="DQ280" s="24">
        <v>50</v>
      </c>
      <c r="DR280" s="24" t="s">
        <v>33</v>
      </c>
      <c r="DS280" s="24">
        <v>3103</v>
      </c>
      <c r="DT280" s="24">
        <v>39</v>
      </c>
      <c r="DW280" s="24">
        <v>2021</v>
      </c>
      <c r="DX280" s="24">
        <v>34</v>
      </c>
      <c r="DY280" s="24" t="s">
        <v>33</v>
      </c>
      <c r="DZ280" s="24">
        <v>44</v>
      </c>
      <c r="EA280" s="24" t="s">
        <v>149</v>
      </c>
      <c r="EB280" s="24">
        <v>159.9</v>
      </c>
      <c r="EC280" s="24">
        <v>1167</v>
      </c>
      <c r="ED280" s="24">
        <v>37574</v>
      </c>
      <c r="EE280" s="24">
        <v>41771</v>
      </c>
      <c r="EF280" s="24">
        <v>112.8</v>
      </c>
      <c r="EI280" s="24">
        <v>2023</v>
      </c>
      <c r="EJ280" s="24">
        <v>2</v>
      </c>
      <c r="EK280" s="24" t="s">
        <v>558</v>
      </c>
      <c r="EL280" s="24" t="s">
        <v>554</v>
      </c>
      <c r="EM280" s="24" t="s">
        <v>210</v>
      </c>
      <c r="EN280" s="24">
        <v>19</v>
      </c>
      <c r="EO280" s="24"/>
      <c r="EP280" s="24"/>
      <c r="EQ280" s="24"/>
      <c r="ER280" s="24"/>
      <c r="ES280" s="24">
        <v>2021</v>
      </c>
      <c r="ET280" s="24">
        <v>17</v>
      </c>
      <c r="EU280" s="24" t="s">
        <v>33</v>
      </c>
      <c r="EV280" s="24">
        <v>107141</v>
      </c>
      <c r="EY280" s="24"/>
      <c r="EZ280" s="24"/>
      <c r="FA280" s="24"/>
      <c r="FB280" s="24"/>
      <c r="FE280" s="24"/>
      <c r="FF280" s="24"/>
      <c r="FG280" s="24"/>
      <c r="FH280" s="24"/>
      <c r="FN280" s="24"/>
      <c r="FO280" s="24"/>
      <c r="FP280" s="24"/>
      <c r="FQ280" s="24"/>
      <c r="FW280" s="24">
        <v>2020</v>
      </c>
      <c r="FX280" s="24">
        <v>46</v>
      </c>
      <c r="FY280" s="24" t="s">
        <v>32</v>
      </c>
      <c r="FZ280" s="24">
        <v>859</v>
      </c>
      <c r="GA280" s="24">
        <v>807</v>
      </c>
      <c r="GB280" s="24"/>
      <c r="GC280" s="24"/>
      <c r="GD280" s="307">
        <v>2020</v>
      </c>
      <c r="GE280" s="307">
        <v>46</v>
      </c>
      <c r="GF280" s="307" t="s">
        <v>32</v>
      </c>
      <c r="GG280" s="307">
        <v>805</v>
      </c>
      <c r="GH280" s="307">
        <v>752</v>
      </c>
      <c r="GK280" s="24"/>
      <c r="GL280" s="24"/>
      <c r="GM280" s="24"/>
      <c r="GN280" s="24"/>
      <c r="GO280" s="24"/>
      <c r="GP280" s="24"/>
      <c r="GQ280" s="24"/>
      <c r="GR280" s="24"/>
      <c r="GS280" s="24"/>
      <c r="GX280">
        <v>2020</v>
      </c>
      <c r="GY280">
        <v>46</v>
      </c>
      <c r="GZ280" t="s">
        <v>32</v>
      </c>
      <c r="HA280">
        <v>6218</v>
      </c>
      <c r="HB280">
        <v>6180</v>
      </c>
      <c r="HC280">
        <v>0</v>
      </c>
      <c r="HD280">
        <v>1</v>
      </c>
      <c r="HE280">
        <v>0</v>
      </c>
      <c r="HF280">
        <v>0</v>
      </c>
      <c r="HG280">
        <v>0</v>
      </c>
      <c r="HH280">
        <v>0</v>
      </c>
      <c r="HI280">
        <v>18</v>
      </c>
      <c r="HL280">
        <v>2020</v>
      </c>
      <c r="HM280">
        <v>46</v>
      </c>
      <c r="HN280" t="s">
        <v>32</v>
      </c>
      <c r="HO280">
        <v>6168</v>
      </c>
      <c r="HP280">
        <v>6164</v>
      </c>
      <c r="HQ280">
        <v>0</v>
      </c>
      <c r="HR280">
        <v>1</v>
      </c>
      <c r="HS280">
        <v>0</v>
      </c>
      <c r="HT280">
        <v>2</v>
      </c>
      <c r="HU280">
        <v>0</v>
      </c>
      <c r="HV280">
        <v>0</v>
      </c>
      <c r="HW280">
        <v>0</v>
      </c>
      <c r="HZ280" s="24">
        <v>2020</v>
      </c>
      <c r="IA280" s="24">
        <v>46</v>
      </c>
      <c r="IB280" s="24" t="s">
        <v>32</v>
      </c>
      <c r="IC280" s="24">
        <v>802</v>
      </c>
      <c r="ID280" s="24">
        <v>793</v>
      </c>
      <c r="IG280" s="24">
        <v>2020</v>
      </c>
      <c r="IH280" s="24">
        <v>46</v>
      </c>
      <c r="II280" s="24" t="s">
        <v>32</v>
      </c>
      <c r="IJ280" s="24">
        <v>803</v>
      </c>
      <c r="IK280" s="24">
        <v>801</v>
      </c>
    </row>
    <row r="281" spans="9:245" x14ac:dyDescent="0.4">
      <c r="I281" s="305">
        <v>2020</v>
      </c>
      <c r="J281" s="306">
        <v>46</v>
      </c>
      <c r="K281" s="306" t="s">
        <v>32</v>
      </c>
      <c r="L281" s="306">
        <v>6252</v>
      </c>
      <c r="M281" s="306">
        <v>6078</v>
      </c>
      <c r="N281" s="306">
        <v>15</v>
      </c>
      <c r="O281" s="306">
        <v>53</v>
      </c>
      <c r="P281" s="306">
        <v>14</v>
      </c>
      <c r="Q281" s="306">
        <v>4</v>
      </c>
      <c r="R281" s="24"/>
      <c r="S281" s="24"/>
      <c r="T281" s="24"/>
      <c r="W281" s="307">
        <v>2020</v>
      </c>
      <c r="X281" s="307">
        <v>46</v>
      </c>
      <c r="Y281" s="307" t="s">
        <v>33</v>
      </c>
      <c r="Z281" s="307">
        <v>132815</v>
      </c>
      <c r="AA281" s="307">
        <v>130710</v>
      </c>
      <c r="AB281" s="307">
        <v>51</v>
      </c>
      <c r="AC281" s="307">
        <v>4</v>
      </c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I281" s="24">
        <v>2022</v>
      </c>
      <c r="BJ281" s="24">
        <v>2</v>
      </c>
      <c r="BK281" s="24" t="s">
        <v>32</v>
      </c>
      <c r="BL281" s="24" t="s">
        <v>273</v>
      </c>
      <c r="BM281" s="24">
        <v>5668</v>
      </c>
      <c r="BN281" s="24">
        <v>5627</v>
      </c>
      <c r="BO281" s="24">
        <v>5770</v>
      </c>
      <c r="BR281" s="24"/>
      <c r="BS281" s="24"/>
      <c r="BT281" s="24"/>
      <c r="BU281" s="24"/>
      <c r="BV281" s="24"/>
      <c r="BY281" s="24">
        <v>2021</v>
      </c>
      <c r="BZ281" s="24">
        <v>5</v>
      </c>
      <c r="CA281" s="24" t="s">
        <v>33</v>
      </c>
      <c r="CB281" s="24" t="s">
        <v>108</v>
      </c>
      <c r="CC281" s="24">
        <v>4</v>
      </c>
      <c r="CF281" s="24"/>
      <c r="CG281" s="24"/>
      <c r="CH281" s="24"/>
      <c r="CI281" s="24"/>
      <c r="CJ281" s="24"/>
      <c r="DD281" s="24"/>
      <c r="DE281" s="24"/>
      <c r="DF281" s="24"/>
      <c r="DG281" s="24"/>
      <c r="DH281" s="24"/>
      <c r="DJ281" s="24">
        <v>2020</v>
      </c>
      <c r="DK281" s="24">
        <v>47</v>
      </c>
      <c r="DL281" s="24" t="s">
        <v>32</v>
      </c>
      <c r="DM281" s="24">
        <v>9</v>
      </c>
      <c r="DP281" s="24">
        <v>2018</v>
      </c>
      <c r="DQ281" s="24">
        <v>49</v>
      </c>
      <c r="DR281" s="24" t="s">
        <v>33</v>
      </c>
      <c r="DS281" s="24">
        <v>4259</v>
      </c>
      <c r="DT281" s="24">
        <v>30</v>
      </c>
      <c r="DW281" s="24">
        <v>2021</v>
      </c>
      <c r="DX281" s="24">
        <v>33</v>
      </c>
      <c r="DY281" s="24" t="s">
        <v>32</v>
      </c>
      <c r="DZ281" s="24">
        <v>1</v>
      </c>
      <c r="EA281" s="24" t="s">
        <v>149</v>
      </c>
      <c r="EB281" s="24">
        <v>0</v>
      </c>
      <c r="EC281" s="24">
        <v>0</v>
      </c>
      <c r="ED281" s="24">
        <v>60</v>
      </c>
      <c r="EE281" s="24">
        <v>20</v>
      </c>
      <c r="EF281" s="24">
        <v>1.7</v>
      </c>
      <c r="EI281" s="24">
        <v>2023</v>
      </c>
      <c r="EJ281" s="24">
        <v>2</v>
      </c>
      <c r="EK281" s="24" t="s">
        <v>558</v>
      </c>
      <c r="EL281" s="24" t="s">
        <v>235</v>
      </c>
      <c r="EM281" s="24" t="s">
        <v>210</v>
      </c>
      <c r="EN281" s="24">
        <v>24</v>
      </c>
      <c r="EO281" s="24"/>
      <c r="EP281" s="24"/>
      <c r="EQ281" s="24"/>
      <c r="ER281" s="24"/>
      <c r="ES281" s="24">
        <v>2021</v>
      </c>
      <c r="ET281" s="24">
        <v>17</v>
      </c>
      <c r="EU281" s="24" t="s">
        <v>213</v>
      </c>
      <c r="EV281" s="24">
        <v>16</v>
      </c>
      <c r="EY281" s="24"/>
      <c r="EZ281" s="24"/>
      <c r="FA281" s="24"/>
      <c r="FB281" s="24"/>
      <c r="FE281" s="24"/>
      <c r="FF281" s="24"/>
      <c r="FG281" s="24"/>
      <c r="FH281" s="24"/>
      <c r="FN281" s="24"/>
      <c r="FO281" s="24"/>
      <c r="FP281" s="24"/>
      <c r="FQ281" s="24"/>
      <c r="FW281" s="24">
        <v>2020</v>
      </c>
      <c r="FX281" s="24">
        <v>46</v>
      </c>
      <c r="FY281" s="24" t="s">
        <v>33</v>
      </c>
      <c r="FZ281" s="24">
        <v>5279</v>
      </c>
      <c r="GA281" s="24">
        <v>5006</v>
      </c>
      <c r="GB281" s="24"/>
      <c r="GC281" s="24"/>
      <c r="GD281" s="307">
        <v>2020</v>
      </c>
      <c r="GE281" s="307">
        <v>46</v>
      </c>
      <c r="GF281" s="307" t="s">
        <v>33</v>
      </c>
      <c r="GG281" s="307">
        <v>5310</v>
      </c>
      <c r="GH281" s="307">
        <v>5069</v>
      </c>
      <c r="GK281" s="24"/>
      <c r="GL281" s="24"/>
      <c r="GM281" s="24"/>
      <c r="GN281" s="24"/>
      <c r="GO281" s="24"/>
      <c r="GP281" s="24"/>
      <c r="GQ281" s="24"/>
      <c r="GR281" s="24"/>
      <c r="GS281" s="24"/>
      <c r="GX281">
        <v>2020</v>
      </c>
      <c r="GY281">
        <v>46</v>
      </c>
      <c r="GZ281" t="s">
        <v>33</v>
      </c>
      <c r="HA281">
        <v>132169</v>
      </c>
      <c r="HB281">
        <v>130426</v>
      </c>
      <c r="HC281">
        <v>25</v>
      </c>
      <c r="HD281">
        <v>12</v>
      </c>
      <c r="HE281">
        <v>0</v>
      </c>
      <c r="HF281">
        <v>24</v>
      </c>
      <c r="HG281">
        <v>0</v>
      </c>
      <c r="HH281">
        <v>0</v>
      </c>
      <c r="HI281">
        <v>212</v>
      </c>
      <c r="HL281">
        <v>2020</v>
      </c>
      <c r="HM281">
        <v>46</v>
      </c>
      <c r="HN281" t="s">
        <v>33</v>
      </c>
      <c r="HO281">
        <v>132550</v>
      </c>
      <c r="HP281">
        <v>132436</v>
      </c>
      <c r="HQ281">
        <v>37</v>
      </c>
      <c r="HR281">
        <v>8</v>
      </c>
      <c r="HS281">
        <v>0</v>
      </c>
      <c r="HT281">
        <v>21</v>
      </c>
      <c r="HU281">
        <v>0</v>
      </c>
      <c r="HV281">
        <v>0</v>
      </c>
      <c r="HW281">
        <v>8</v>
      </c>
      <c r="HZ281" s="24">
        <v>2020</v>
      </c>
      <c r="IA281" s="24">
        <v>46</v>
      </c>
      <c r="IB281" s="24" t="s">
        <v>33</v>
      </c>
      <c r="IC281" s="24">
        <v>5454</v>
      </c>
      <c r="ID281" s="24">
        <v>5389</v>
      </c>
      <c r="IG281" s="24">
        <v>2020</v>
      </c>
      <c r="IH281" s="24">
        <v>46</v>
      </c>
      <c r="II281" s="24" t="s">
        <v>33</v>
      </c>
      <c r="IJ281" s="24">
        <v>5043</v>
      </c>
      <c r="IK281" s="24">
        <v>5039</v>
      </c>
    </row>
    <row r="282" spans="9:245" x14ac:dyDescent="0.4">
      <c r="I282" s="305">
        <v>2020</v>
      </c>
      <c r="J282" s="306">
        <v>46</v>
      </c>
      <c r="K282" s="306" t="s">
        <v>33</v>
      </c>
      <c r="L282" s="306">
        <v>132570</v>
      </c>
      <c r="M282" s="306">
        <v>129996</v>
      </c>
      <c r="N282" s="306">
        <v>130</v>
      </c>
      <c r="O282" s="306">
        <v>650</v>
      </c>
      <c r="P282" s="306">
        <v>84</v>
      </c>
      <c r="Q282" s="306">
        <v>17</v>
      </c>
      <c r="R282" s="24"/>
      <c r="S282" s="24"/>
      <c r="T282" s="24"/>
      <c r="W282" s="307">
        <v>2020</v>
      </c>
      <c r="X282" s="307">
        <v>45</v>
      </c>
      <c r="Y282" s="307" t="s">
        <v>32</v>
      </c>
      <c r="Z282" s="307">
        <v>8053</v>
      </c>
      <c r="AA282" s="307">
        <v>7346</v>
      </c>
      <c r="AB282" s="307">
        <v>6</v>
      </c>
      <c r="AC282" s="307">
        <v>1</v>
      </c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I282" s="24">
        <v>2022</v>
      </c>
      <c r="BJ282" s="24">
        <v>1</v>
      </c>
      <c r="BK282" s="24" t="s">
        <v>32</v>
      </c>
      <c r="BL282" s="24" t="s">
        <v>273</v>
      </c>
      <c r="BM282" s="24">
        <v>5573</v>
      </c>
      <c r="BN282" s="24">
        <v>5532</v>
      </c>
      <c r="BO282" s="24">
        <v>5652</v>
      </c>
      <c r="BR282" s="24"/>
      <c r="BS282" s="24"/>
      <c r="BT282" s="24"/>
      <c r="BU282" s="24"/>
      <c r="BV282" s="24"/>
      <c r="BY282" s="24">
        <v>2021</v>
      </c>
      <c r="BZ282" s="24">
        <v>5</v>
      </c>
      <c r="CA282" s="24" t="s">
        <v>33</v>
      </c>
      <c r="CB282" s="24" t="s">
        <v>423</v>
      </c>
      <c r="CC282" s="24">
        <v>27</v>
      </c>
      <c r="CF282" s="24"/>
      <c r="CG282" s="24"/>
      <c r="CH282" s="24"/>
      <c r="CI282" s="24"/>
      <c r="CJ282" s="24"/>
      <c r="DD282" s="24"/>
      <c r="DE282" s="24"/>
      <c r="DF282" s="24"/>
      <c r="DG282" s="24"/>
      <c r="DH282" s="24"/>
      <c r="DJ282" s="24">
        <v>2020</v>
      </c>
      <c r="DK282" s="24">
        <v>47</v>
      </c>
      <c r="DL282" s="24" t="s">
        <v>33</v>
      </c>
      <c r="DM282" s="24">
        <v>183</v>
      </c>
      <c r="DP282" s="24">
        <v>2018</v>
      </c>
      <c r="DQ282" s="24">
        <v>48</v>
      </c>
      <c r="DR282" s="24" t="s">
        <v>33</v>
      </c>
      <c r="DS282" s="24">
        <v>2736</v>
      </c>
      <c r="DT282" s="24">
        <v>25</v>
      </c>
      <c r="DW282" s="24">
        <v>2021</v>
      </c>
      <c r="DX282" s="24">
        <v>33</v>
      </c>
      <c r="DY282" s="24" t="s">
        <v>33</v>
      </c>
      <c r="DZ282" s="24">
        <v>9</v>
      </c>
      <c r="EA282" s="24" t="s">
        <v>562</v>
      </c>
      <c r="EB282" s="24">
        <v>65.2</v>
      </c>
      <c r="EC282" s="24">
        <v>0</v>
      </c>
      <c r="ED282" s="24">
        <v>19</v>
      </c>
      <c r="EE282" s="24">
        <v>2552</v>
      </c>
      <c r="EF282" s="24">
        <v>29.4</v>
      </c>
      <c r="EI282" s="24">
        <v>2023</v>
      </c>
      <c r="EJ282" s="24">
        <v>2</v>
      </c>
      <c r="EK282" s="24" t="s">
        <v>558</v>
      </c>
      <c r="EL282" s="24" t="s">
        <v>247</v>
      </c>
      <c r="EM282" s="24" t="s">
        <v>210</v>
      </c>
      <c r="EN282" s="24">
        <v>15</v>
      </c>
      <c r="EO282" s="24"/>
      <c r="EP282" s="24"/>
      <c r="EQ282" s="24"/>
      <c r="ER282" s="24"/>
      <c r="ES282" s="24">
        <v>2021</v>
      </c>
      <c r="ET282" s="24">
        <v>16</v>
      </c>
      <c r="EU282" s="24" t="s">
        <v>32</v>
      </c>
      <c r="EV282" s="24">
        <v>4354</v>
      </c>
      <c r="EY282" s="24"/>
      <c r="EZ282" s="24"/>
      <c r="FA282" s="24"/>
      <c r="FB282" s="24"/>
      <c r="FE282" s="24"/>
      <c r="FF282" s="24"/>
      <c r="FG282" s="24"/>
      <c r="FH282" s="24"/>
      <c r="FN282" s="24"/>
      <c r="FO282" s="24"/>
      <c r="FP282" s="24"/>
      <c r="FQ282" s="24"/>
      <c r="FW282" s="24">
        <v>2020</v>
      </c>
      <c r="FX282" s="24">
        <v>45</v>
      </c>
      <c r="FY282" s="24" t="s">
        <v>32</v>
      </c>
      <c r="FZ282" s="24">
        <v>549</v>
      </c>
      <c r="GA282" s="24">
        <v>499</v>
      </c>
      <c r="GB282" s="24"/>
      <c r="GC282" s="24"/>
      <c r="GD282" s="307">
        <v>2020</v>
      </c>
      <c r="GE282" s="307">
        <v>45</v>
      </c>
      <c r="GF282" s="307" t="s">
        <v>32</v>
      </c>
      <c r="GG282" s="307">
        <v>617</v>
      </c>
      <c r="GH282" s="307">
        <v>529</v>
      </c>
      <c r="GK282" s="24"/>
      <c r="GL282" s="24"/>
      <c r="GM282" s="24"/>
      <c r="GN282" s="24"/>
      <c r="GO282" s="24"/>
      <c r="GP282" s="24"/>
      <c r="GQ282" s="24"/>
      <c r="GR282" s="24"/>
      <c r="GS282" s="24"/>
      <c r="GX282">
        <v>2020</v>
      </c>
      <c r="GY282">
        <v>45</v>
      </c>
      <c r="GZ282" t="s">
        <v>32</v>
      </c>
      <c r="HA282">
        <v>7997</v>
      </c>
      <c r="HB282">
        <v>7728</v>
      </c>
      <c r="HC282">
        <v>0</v>
      </c>
      <c r="HD282">
        <v>0</v>
      </c>
      <c r="HE282">
        <v>0</v>
      </c>
      <c r="HF282">
        <v>101</v>
      </c>
      <c r="HG282">
        <v>0</v>
      </c>
      <c r="HH282">
        <v>0</v>
      </c>
      <c r="HI282">
        <v>39</v>
      </c>
      <c r="HL282">
        <v>2020</v>
      </c>
      <c r="HM282">
        <v>45</v>
      </c>
      <c r="HN282" t="s">
        <v>32</v>
      </c>
      <c r="HO282">
        <v>8034</v>
      </c>
      <c r="HP282">
        <v>7913</v>
      </c>
      <c r="HQ282">
        <v>0</v>
      </c>
      <c r="HR282">
        <v>2</v>
      </c>
      <c r="HS282">
        <v>0</v>
      </c>
      <c r="HT282">
        <v>108</v>
      </c>
      <c r="HU282">
        <v>0</v>
      </c>
      <c r="HV282">
        <v>0</v>
      </c>
      <c r="HW282">
        <v>3</v>
      </c>
      <c r="HZ282" s="24">
        <v>2020</v>
      </c>
      <c r="IA282" s="24">
        <v>45</v>
      </c>
      <c r="IB282" s="24" t="s">
        <v>32</v>
      </c>
      <c r="IC282" s="24">
        <v>605</v>
      </c>
      <c r="ID282" s="24">
        <v>587</v>
      </c>
      <c r="IG282" s="24">
        <v>2020</v>
      </c>
      <c r="IH282" s="24">
        <v>45</v>
      </c>
      <c r="II282" s="24" t="s">
        <v>32</v>
      </c>
      <c r="IJ282" s="24">
        <v>607</v>
      </c>
      <c r="IK282" s="24">
        <v>605</v>
      </c>
    </row>
    <row r="283" spans="9:245" x14ac:dyDescent="0.4">
      <c r="I283" s="305">
        <v>2020</v>
      </c>
      <c r="J283" s="306">
        <v>45</v>
      </c>
      <c r="K283" s="306" t="s">
        <v>32</v>
      </c>
      <c r="L283" s="306">
        <v>8007</v>
      </c>
      <c r="M283" s="306">
        <v>7281</v>
      </c>
      <c r="N283" s="306">
        <v>46</v>
      </c>
      <c r="O283" s="306">
        <v>182</v>
      </c>
      <c r="P283" s="306">
        <v>7</v>
      </c>
      <c r="Q283" s="306">
        <v>3</v>
      </c>
      <c r="R283" s="24"/>
      <c r="S283" s="24"/>
      <c r="T283" s="24"/>
      <c r="W283" s="307">
        <v>2020</v>
      </c>
      <c r="X283" s="307">
        <v>45</v>
      </c>
      <c r="Y283" s="307" t="s">
        <v>33</v>
      </c>
      <c r="Z283" s="307">
        <v>138701</v>
      </c>
      <c r="AA283" s="307">
        <v>137700</v>
      </c>
      <c r="AB283" s="307">
        <v>111</v>
      </c>
      <c r="AC283" s="307">
        <v>9</v>
      </c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I283" s="24">
        <v>2022</v>
      </c>
      <c r="BJ283" s="24">
        <v>1</v>
      </c>
      <c r="BK283" s="24" t="s">
        <v>33</v>
      </c>
      <c r="BL283" s="24" t="s">
        <v>273</v>
      </c>
      <c r="BM283" s="24">
        <v>74514</v>
      </c>
      <c r="BN283" s="24">
        <v>74138</v>
      </c>
      <c r="BO283" s="24">
        <v>76147</v>
      </c>
      <c r="BR283" s="24"/>
      <c r="BS283" s="24"/>
      <c r="BT283" s="24"/>
      <c r="BU283" s="24"/>
      <c r="BV283" s="24"/>
      <c r="BY283" s="24">
        <v>2021</v>
      </c>
      <c r="BZ283" s="24">
        <v>4</v>
      </c>
      <c r="CA283" s="24" t="s">
        <v>32</v>
      </c>
      <c r="CB283" s="24" t="s">
        <v>108</v>
      </c>
      <c r="CC283" s="24">
        <v>9</v>
      </c>
      <c r="CF283" s="24"/>
      <c r="CG283" s="24"/>
      <c r="CH283" s="24"/>
      <c r="CI283" s="24"/>
      <c r="CJ283" s="24"/>
      <c r="DD283" s="24"/>
      <c r="DE283" s="24"/>
      <c r="DF283" s="24"/>
      <c r="DG283" s="24"/>
      <c r="DH283" s="24"/>
      <c r="DJ283" s="24">
        <v>2020</v>
      </c>
      <c r="DK283" s="24">
        <v>46</v>
      </c>
      <c r="DL283" s="24" t="s">
        <v>32</v>
      </c>
      <c r="DM283" s="24">
        <v>30</v>
      </c>
      <c r="DP283" s="24">
        <v>2018</v>
      </c>
      <c r="DQ283" s="24">
        <v>47</v>
      </c>
      <c r="DR283" s="24" t="s">
        <v>33</v>
      </c>
      <c r="DS283" s="24">
        <v>3590</v>
      </c>
      <c r="DT283" s="24">
        <v>26</v>
      </c>
      <c r="DW283" s="24">
        <v>2021</v>
      </c>
      <c r="DX283" s="24">
        <v>33</v>
      </c>
      <c r="DY283" s="24" t="s">
        <v>33</v>
      </c>
      <c r="DZ283" s="24">
        <v>43</v>
      </c>
      <c r="EA283" s="24" t="s">
        <v>149</v>
      </c>
      <c r="EB283" s="24">
        <v>90.2</v>
      </c>
      <c r="EC283" s="24">
        <v>1151.5</v>
      </c>
      <c r="ED283" s="24">
        <v>36485</v>
      </c>
      <c r="EE283" s="24">
        <v>38633</v>
      </c>
      <c r="EF283" s="24">
        <v>129.69999999999999</v>
      </c>
      <c r="EI283" s="24">
        <v>2023</v>
      </c>
      <c r="EJ283" s="24">
        <v>2</v>
      </c>
      <c r="EK283" s="24" t="s">
        <v>558</v>
      </c>
      <c r="EL283" s="24" t="s">
        <v>245</v>
      </c>
      <c r="EM283" s="24" t="s">
        <v>210</v>
      </c>
      <c r="EN283" s="24">
        <v>1</v>
      </c>
      <c r="EO283" s="24"/>
      <c r="EP283" s="24"/>
      <c r="EQ283" s="24"/>
      <c r="ER283" s="24"/>
      <c r="ES283" s="24">
        <v>2021</v>
      </c>
      <c r="ET283" s="24">
        <v>16</v>
      </c>
      <c r="EU283" s="24" t="s">
        <v>33</v>
      </c>
      <c r="EV283" s="24">
        <v>86655</v>
      </c>
      <c r="EY283" s="24"/>
      <c r="EZ283" s="24"/>
      <c r="FA283" s="24"/>
      <c r="FB283" s="24"/>
      <c r="FE283" s="24"/>
      <c r="FF283" s="24"/>
      <c r="FG283" s="24"/>
      <c r="FH283" s="24"/>
      <c r="FN283" s="24"/>
      <c r="FO283" s="24"/>
      <c r="FP283" s="24"/>
      <c r="FQ283" s="24"/>
      <c r="FW283" s="24">
        <v>2020</v>
      </c>
      <c r="FX283" s="24">
        <v>45</v>
      </c>
      <c r="FY283" s="24" t="s">
        <v>33</v>
      </c>
      <c r="FZ283" s="24">
        <v>6139</v>
      </c>
      <c r="GA283" s="24">
        <v>5808</v>
      </c>
      <c r="GB283" s="24"/>
      <c r="GC283" s="24"/>
      <c r="GD283" s="307">
        <v>2020</v>
      </c>
      <c r="GE283" s="307">
        <v>45</v>
      </c>
      <c r="GF283" s="307" t="s">
        <v>33</v>
      </c>
      <c r="GG283" s="307">
        <v>6155</v>
      </c>
      <c r="GH283" s="307">
        <v>5869</v>
      </c>
      <c r="GK283" s="24"/>
      <c r="GL283" s="24"/>
      <c r="GM283" s="24"/>
      <c r="GN283" s="24"/>
      <c r="GO283" s="24"/>
      <c r="GP283" s="24"/>
      <c r="GQ283" s="24"/>
      <c r="GR283" s="24"/>
      <c r="GS283" s="24"/>
      <c r="GX283">
        <v>2020</v>
      </c>
      <c r="GY283">
        <v>45</v>
      </c>
      <c r="GZ283" t="s">
        <v>33</v>
      </c>
      <c r="HA283">
        <v>136447</v>
      </c>
      <c r="HB283">
        <v>135644</v>
      </c>
      <c r="HC283">
        <v>32</v>
      </c>
      <c r="HD283">
        <v>35</v>
      </c>
      <c r="HE283">
        <v>0</v>
      </c>
      <c r="HF283">
        <v>28</v>
      </c>
      <c r="HG283">
        <v>0</v>
      </c>
      <c r="HH283">
        <v>0</v>
      </c>
      <c r="HI283">
        <v>353</v>
      </c>
      <c r="HL283">
        <v>2020</v>
      </c>
      <c r="HM283">
        <v>45</v>
      </c>
      <c r="HN283" t="s">
        <v>33</v>
      </c>
      <c r="HO283">
        <v>138304</v>
      </c>
      <c r="HP283">
        <v>138148</v>
      </c>
      <c r="HQ283">
        <v>45</v>
      </c>
      <c r="HR283">
        <v>12</v>
      </c>
      <c r="HS283">
        <v>0</v>
      </c>
      <c r="HT283">
        <v>18</v>
      </c>
      <c r="HU283">
        <v>0</v>
      </c>
      <c r="HV283">
        <v>0</v>
      </c>
      <c r="HW283">
        <v>5</v>
      </c>
      <c r="HZ283" s="24">
        <v>2020</v>
      </c>
      <c r="IA283" s="24">
        <v>45</v>
      </c>
      <c r="IB283" s="24" t="s">
        <v>33</v>
      </c>
      <c r="IC283" s="24">
        <v>5978</v>
      </c>
      <c r="ID283" s="24">
        <v>5893</v>
      </c>
      <c r="IG283" s="24">
        <v>2020</v>
      </c>
      <c r="IH283" s="24">
        <v>45</v>
      </c>
      <c r="II283" s="24" t="s">
        <v>33</v>
      </c>
      <c r="IJ283" s="24">
        <v>5900</v>
      </c>
      <c r="IK283" s="24">
        <v>5886</v>
      </c>
    </row>
    <row r="284" spans="9:245" x14ac:dyDescent="0.4">
      <c r="I284" s="305">
        <v>2020</v>
      </c>
      <c r="J284" s="306">
        <v>45</v>
      </c>
      <c r="K284" s="306" t="s">
        <v>33</v>
      </c>
      <c r="L284" s="306">
        <v>138895</v>
      </c>
      <c r="M284" s="306">
        <v>137039</v>
      </c>
      <c r="N284" s="306">
        <v>255</v>
      </c>
      <c r="O284" s="306">
        <v>560</v>
      </c>
      <c r="P284" s="306">
        <v>143</v>
      </c>
      <c r="Q284" s="306">
        <v>10</v>
      </c>
      <c r="R284" s="24"/>
      <c r="S284" s="24"/>
      <c r="T284" s="24"/>
      <c r="W284" s="307">
        <v>2020</v>
      </c>
      <c r="X284" s="307">
        <v>44</v>
      </c>
      <c r="Y284" s="307" t="s">
        <v>32</v>
      </c>
      <c r="Z284" s="307">
        <v>5629</v>
      </c>
      <c r="AA284" s="307">
        <v>5483</v>
      </c>
      <c r="AB284" s="307">
        <v>14</v>
      </c>
      <c r="AC284" s="307">
        <v>2</v>
      </c>
      <c r="AI284" s="24"/>
      <c r="AJ284" s="24"/>
      <c r="AK284" s="24"/>
      <c r="AL284" s="24"/>
      <c r="AM284" s="24"/>
      <c r="AN284" s="24"/>
      <c r="AO284" s="24"/>
      <c r="AP284" s="24"/>
      <c r="AQ284" s="24"/>
      <c r="AR284" s="24"/>
      <c r="AT284" s="24"/>
      <c r="AU284" s="24"/>
      <c r="AV284" s="24"/>
      <c r="AW284" s="24"/>
      <c r="AX284" s="24"/>
      <c r="AY284" s="24"/>
      <c r="AZ284" s="24"/>
      <c r="BA284" s="24"/>
      <c r="BB284" s="24"/>
      <c r="BC284" s="24"/>
      <c r="BD284" s="24"/>
      <c r="BE284" s="24"/>
      <c r="BF284" s="24"/>
      <c r="BG284" s="24"/>
      <c r="BI284" s="24">
        <v>2022</v>
      </c>
      <c r="BJ284" s="24">
        <v>1</v>
      </c>
      <c r="BK284" s="24" t="s">
        <v>32</v>
      </c>
      <c r="BL284" s="24" t="s">
        <v>272</v>
      </c>
      <c r="BM284" s="24">
        <v>2493</v>
      </c>
      <c r="BN284" s="24">
        <v>2489</v>
      </c>
      <c r="BO284" s="24">
        <v>8602</v>
      </c>
      <c r="BR284" s="24"/>
      <c r="BS284" s="24"/>
      <c r="BT284" s="24"/>
      <c r="BU284" s="24"/>
      <c r="BV284" s="24"/>
      <c r="BY284" s="24">
        <v>2021</v>
      </c>
      <c r="BZ284" s="24">
        <v>4</v>
      </c>
      <c r="CA284" s="24" t="s">
        <v>32</v>
      </c>
      <c r="CB284" s="24" t="s">
        <v>423</v>
      </c>
      <c r="CC284" s="24">
        <v>51</v>
      </c>
      <c r="CF284" s="24"/>
      <c r="CG284" s="24"/>
      <c r="CH284" s="24"/>
      <c r="CI284" s="24"/>
      <c r="CJ284" s="24"/>
      <c r="DD284" s="24"/>
      <c r="DE284" s="24"/>
      <c r="DF284" s="24"/>
      <c r="DG284" s="24"/>
      <c r="DH284" s="24"/>
      <c r="DJ284" s="24">
        <v>2020</v>
      </c>
      <c r="DK284" s="24">
        <v>46</v>
      </c>
      <c r="DL284" s="24" t="s">
        <v>33</v>
      </c>
      <c r="DM284" s="24">
        <v>437</v>
      </c>
      <c r="DP284" s="24">
        <v>2018</v>
      </c>
      <c r="DQ284" s="24">
        <v>46</v>
      </c>
      <c r="DR284" s="24" t="s">
        <v>33</v>
      </c>
      <c r="DS284" s="24">
        <v>3266</v>
      </c>
      <c r="DT284" s="24">
        <v>21</v>
      </c>
      <c r="DW284" s="24">
        <v>2021</v>
      </c>
      <c r="DX284" s="24">
        <v>32</v>
      </c>
      <c r="DY284" s="24" t="s">
        <v>32</v>
      </c>
      <c r="DZ284" s="24">
        <v>1</v>
      </c>
      <c r="EA284" s="24" t="s">
        <v>149</v>
      </c>
      <c r="EB284" s="24">
        <v>0</v>
      </c>
      <c r="EC284" s="24">
        <v>0</v>
      </c>
      <c r="ED284" s="24">
        <v>110</v>
      </c>
      <c r="EE284" s="24">
        <v>21</v>
      </c>
      <c r="EF284" s="24">
        <v>3.2</v>
      </c>
      <c r="EI284" s="24">
        <v>2023</v>
      </c>
      <c r="EJ284" s="24">
        <v>2</v>
      </c>
      <c r="EK284" s="24" t="s">
        <v>33</v>
      </c>
      <c r="EL284" s="24" t="s">
        <v>233</v>
      </c>
      <c r="EM284" s="24" t="s">
        <v>234</v>
      </c>
      <c r="EN284" s="24">
        <v>2</v>
      </c>
      <c r="EO284" s="24"/>
      <c r="EP284" s="24"/>
      <c r="EQ284" s="24"/>
      <c r="ER284" s="24"/>
      <c r="ES284" s="24">
        <v>2021</v>
      </c>
      <c r="ET284" s="24">
        <v>16</v>
      </c>
      <c r="EU284" s="24" t="s">
        <v>213</v>
      </c>
      <c r="EV284" s="24">
        <v>11</v>
      </c>
      <c r="EY284" s="24"/>
      <c r="EZ284" s="24"/>
      <c r="FA284" s="24"/>
      <c r="FB284" s="24"/>
      <c r="FE284" s="24"/>
      <c r="FF284" s="24"/>
      <c r="FG284" s="24"/>
      <c r="FH284" s="24"/>
      <c r="FN284" s="24"/>
      <c r="FO284" s="24"/>
      <c r="FP284" s="24"/>
      <c r="FQ284" s="24"/>
      <c r="FW284" s="24">
        <v>2020</v>
      </c>
      <c r="FX284" s="24">
        <v>44</v>
      </c>
      <c r="FY284" s="24" t="s">
        <v>32</v>
      </c>
      <c r="FZ284" s="24">
        <v>671</v>
      </c>
      <c r="GA284" s="24">
        <v>634</v>
      </c>
      <c r="GB284" s="24"/>
      <c r="GC284" s="24"/>
      <c r="GD284" s="307">
        <v>2020</v>
      </c>
      <c r="GE284" s="307">
        <v>44</v>
      </c>
      <c r="GF284" s="307" t="s">
        <v>32</v>
      </c>
      <c r="GG284" s="307">
        <v>652</v>
      </c>
      <c r="GH284" s="307">
        <v>614</v>
      </c>
      <c r="GK284" s="24"/>
      <c r="GL284" s="24"/>
      <c r="GM284" s="24"/>
      <c r="GN284" s="24"/>
      <c r="GO284" s="24"/>
      <c r="GP284" s="24"/>
      <c r="GQ284" s="24"/>
      <c r="GR284" s="24"/>
      <c r="GS284" s="24"/>
      <c r="GX284">
        <v>2020</v>
      </c>
      <c r="GY284">
        <v>44</v>
      </c>
      <c r="GZ284" t="s">
        <v>32</v>
      </c>
      <c r="HA284">
        <v>5600</v>
      </c>
      <c r="HB284">
        <v>5549</v>
      </c>
      <c r="HC284">
        <v>0</v>
      </c>
      <c r="HD284">
        <v>0</v>
      </c>
      <c r="HE284">
        <v>0</v>
      </c>
      <c r="HF284">
        <v>5</v>
      </c>
      <c r="HG284">
        <v>0</v>
      </c>
      <c r="HH284">
        <v>0</v>
      </c>
      <c r="HI284">
        <v>29</v>
      </c>
      <c r="HL284">
        <v>2020</v>
      </c>
      <c r="HM284">
        <v>44</v>
      </c>
      <c r="HN284" t="s">
        <v>32</v>
      </c>
      <c r="HO284">
        <v>5602</v>
      </c>
      <c r="HP284">
        <v>5597</v>
      </c>
      <c r="HQ284">
        <v>0</v>
      </c>
      <c r="HR284">
        <v>0</v>
      </c>
      <c r="HS284">
        <v>0</v>
      </c>
      <c r="HT284">
        <v>1</v>
      </c>
      <c r="HU284">
        <v>0</v>
      </c>
      <c r="HV284">
        <v>0</v>
      </c>
      <c r="HW284">
        <v>0</v>
      </c>
      <c r="HZ284" s="24">
        <v>2020</v>
      </c>
      <c r="IA284" s="24">
        <v>44</v>
      </c>
      <c r="IB284" s="24" t="s">
        <v>32</v>
      </c>
      <c r="IC284" s="24">
        <v>663</v>
      </c>
      <c r="ID284" s="24">
        <v>653</v>
      </c>
      <c r="IG284" s="24">
        <v>2020</v>
      </c>
      <c r="IH284" s="24">
        <v>44</v>
      </c>
      <c r="II284" s="24" t="s">
        <v>32</v>
      </c>
      <c r="IJ284" s="24">
        <v>647</v>
      </c>
      <c r="IK284" s="24">
        <v>645</v>
      </c>
    </row>
    <row r="285" spans="9:245" x14ac:dyDescent="0.4">
      <c r="I285" s="305">
        <v>2020</v>
      </c>
      <c r="J285" s="306">
        <v>44</v>
      </c>
      <c r="K285" s="306" t="s">
        <v>32</v>
      </c>
      <c r="L285" s="306">
        <v>5683</v>
      </c>
      <c r="M285" s="306">
        <v>5523</v>
      </c>
      <c r="N285" s="306">
        <v>22</v>
      </c>
      <c r="O285" s="306">
        <v>46</v>
      </c>
      <c r="P285" s="306">
        <v>14</v>
      </c>
      <c r="Q285" s="306">
        <v>5</v>
      </c>
      <c r="R285" s="24"/>
      <c r="S285" s="24"/>
      <c r="T285" s="24"/>
      <c r="W285" s="307">
        <v>2020</v>
      </c>
      <c r="X285" s="307">
        <v>44</v>
      </c>
      <c r="Y285" s="307" t="s">
        <v>33</v>
      </c>
      <c r="Z285" s="307">
        <v>123523</v>
      </c>
      <c r="AA285" s="307">
        <v>121768</v>
      </c>
      <c r="AB285" s="307">
        <v>92</v>
      </c>
      <c r="AC285" s="307">
        <v>7</v>
      </c>
      <c r="AI285" s="24"/>
      <c r="AJ285" s="24"/>
      <c r="AK285" s="24"/>
      <c r="AL285" s="24"/>
      <c r="AM285" s="24"/>
      <c r="AN285" s="24"/>
      <c r="AO285" s="24"/>
      <c r="AP285" s="24"/>
      <c r="AQ285" s="24"/>
      <c r="AR285" s="24"/>
      <c r="AT285" s="24"/>
      <c r="AU285" s="24"/>
      <c r="AV285" s="24"/>
      <c r="AW285" s="24"/>
      <c r="AX285" s="24"/>
      <c r="AY285" s="24"/>
      <c r="AZ285" s="24"/>
      <c r="BA285" s="24"/>
      <c r="BB285" s="24"/>
      <c r="BC285" s="24"/>
      <c r="BD285" s="24"/>
      <c r="BE285" s="24"/>
      <c r="BF285" s="24"/>
      <c r="BG285" s="24"/>
      <c r="BI285" s="24">
        <v>2022</v>
      </c>
      <c r="BJ285" s="24">
        <v>1</v>
      </c>
      <c r="BK285" s="24" t="s">
        <v>33</v>
      </c>
      <c r="BL285" s="24" t="s">
        <v>272</v>
      </c>
      <c r="BM285" s="24">
        <v>42711</v>
      </c>
      <c r="BN285" s="24">
        <v>42664</v>
      </c>
      <c r="BO285" s="24">
        <v>154412</v>
      </c>
      <c r="BR285" s="24"/>
      <c r="BS285" s="24"/>
      <c r="BT285" s="24"/>
      <c r="BU285" s="24"/>
      <c r="BV285" s="24"/>
      <c r="BY285" s="24">
        <v>2021</v>
      </c>
      <c r="BZ285" s="24">
        <v>4</v>
      </c>
      <c r="CA285" s="24" t="s">
        <v>33</v>
      </c>
      <c r="CB285" s="24" t="s">
        <v>108</v>
      </c>
      <c r="CC285" s="24">
        <v>1</v>
      </c>
      <c r="CF285" s="24"/>
      <c r="CG285" s="24"/>
      <c r="CH285" s="24"/>
      <c r="CI285" s="24"/>
      <c r="CJ285" s="24"/>
      <c r="DD285" s="24"/>
      <c r="DE285" s="24"/>
      <c r="DF285" s="24"/>
      <c r="DG285" s="24"/>
      <c r="DH285" s="24"/>
      <c r="DJ285" s="24">
        <v>2020</v>
      </c>
      <c r="DK285" s="24">
        <v>45</v>
      </c>
      <c r="DL285" s="24" t="s">
        <v>32</v>
      </c>
      <c r="DM285" s="24">
        <v>8</v>
      </c>
      <c r="DP285" s="24">
        <v>2018</v>
      </c>
      <c r="DQ285" s="24">
        <v>45</v>
      </c>
      <c r="DR285" s="24" t="s">
        <v>33</v>
      </c>
      <c r="DS285" s="24">
        <v>3396</v>
      </c>
      <c r="DT285" s="24"/>
      <c r="DW285" s="24">
        <v>2021</v>
      </c>
      <c r="DX285" s="24">
        <v>32</v>
      </c>
      <c r="DY285" s="24" t="s">
        <v>33</v>
      </c>
      <c r="DZ285" s="24">
        <v>9</v>
      </c>
      <c r="EA285" s="24" t="s">
        <v>562</v>
      </c>
      <c r="EB285" s="24">
        <v>98.3</v>
      </c>
      <c r="EC285" s="24">
        <v>0</v>
      </c>
      <c r="ED285" s="24">
        <v>12</v>
      </c>
      <c r="EE285" s="24">
        <v>3564</v>
      </c>
      <c r="EF285" s="24">
        <v>30.7</v>
      </c>
      <c r="EI285" s="24">
        <v>2023</v>
      </c>
      <c r="EJ285" s="24">
        <v>2</v>
      </c>
      <c r="EK285" s="24" t="s">
        <v>237</v>
      </c>
      <c r="EL285" s="24" t="s">
        <v>239</v>
      </c>
      <c r="EM285" s="24" t="s">
        <v>210</v>
      </c>
      <c r="EN285" s="24">
        <v>1</v>
      </c>
      <c r="EO285" s="24"/>
      <c r="EP285" s="24"/>
      <c r="EQ285" s="24"/>
      <c r="ER285" s="24"/>
      <c r="ES285" s="24">
        <v>2021</v>
      </c>
      <c r="ET285" s="24">
        <v>15</v>
      </c>
      <c r="EU285" s="24" t="s">
        <v>32</v>
      </c>
      <c r="EV285" s="24">
        <v>4380</v>
      </c>
      <c r="EY285" s="24"/>
      <c r="EZ285" s="24"/>
      <c r="FA285" s="24"/>
      <c r="FB285" s="24"/>
      <c r="FE285" s="24"/>
      <c r="FF285" s="24"/>
      <c r="FG285" s="24"/>
      <c r="FH285" s="24"/>
      <c r="FN285" s="24"/>
      <c r="FO285" s="24"/>
      <c r="FP285" s="24"/>
      <c r="FQ285" s="24"/>
      <c r="FW285" s="24">
        <v>2020</v>
      </c>
      <c r="FX285" s="24">
        <v>44</v>
      </c>
      <c r="FY285" s="24" t="s">
        <v>33</v>
      </c>
      <c r="FZ285" s="24">
        <v>4957</v>
      </c>
      <c r="GA285" s="24">
        <v>4701</v>
      </c>
      <c r="GB285" s="24"/>
      <c r="GC285" s="24"/>
      <c r="GD285" s="307">
        <v>2020</v>
      </c>
      <c r="GE285" s="307">
        <v>44</v>
      </c>
      <c r="GF285" s="307" t="s">
        <v>33</v>
      </c>
      <c r="GG285" s="307">
        <v>4923</v>
      </c>
      <c r="GH285" s="307">
        <v>4747</v>
      </c>
      <c r="GK285" s="24"/>
      <c r="GL285" s="24"/>
      <c r="GM285" s="24"/>
      <c r="GN285" s="24"/>
      <c r="GO285" s="24"/>
      <c r="GP285" s="24"/>
      <c r="GQ285" s="24"/>
      <c r="GR285" s="24"/>
      <c r="GS285" s="24"/>
      <c r="GX285">
        <v>2020</v>
      </c>
      <c r="GY285">
        <v>44</v>
      </c>
      <c r="GZ285" t="s">
        <v>33</v>
      </c>
      <c r="HA285">
        <v>123625</v>
      </c>
      <c r="HB285">
        <v>122935</v>
      </c>
      <c r="HC285">
        <v>22</v>
      </c>
      <c r="HD285">
        <v>18</v>
      </c>
      <c r="HE285">
        <v>0</v>
      </c>
      <c r="HF285">
        <v>8</v>
      </c>
      <c r="HG285">
        <v>0</v>
      </c>
      <c r="HH285">
        <v>0</v>
      </c>
      <c r="HI285">
        <v>346</v>
      </c>
      <c r="HL285">
        <v>2020</v>
      </c>
      <c r="HM285">
        <v>44</v>
      </c>
      <c r="HN285" t="s">
        <v>33</v>
      </c>
      <c r="HO285">
        <v>123103</v>
      </c>
      <c r="HP285">
        <v>122982</v>
      </c>
      <c r="HQ285">
        <v>35</v>
      </c>
      <c r="HR285">
        <v>3</v>
      </c>
      <c r="HS285">
        <v>0</v>
      </c>
      <c r="HT285">
        <v>7</v>
      </c>
      <c r="HU285">
        <v>0</v>
      </c>
      <c r="HV285">
        <v>0</v>
      </c>
      <c r="HW285">
        <v>12</v>
      </c>
      <c r="HZ285" s="24">
        <v>2020</v>
      </c>
      <c r="IA285" s="24">
        <v>44</v>
      </c>
      <c r="IB285" s="24" t="s">
        <v>33</v>
      </c>
      <c r="IC285" s="24">
        <v>4917</v>
      </c>
      <c r="ID285" s="24">
        <v>4840</v>
      </c>
      <c r="IG285" s="24">
        <v>2020</v>
      </c>
      <c r="IH285" s="24">
        <v>44</v>
      </c>
      <c r="II285" s="24" t="s">
        <v>33</v>
      </c>
      <c r="IJ285" s="24">
        <v>4690</v>
      </c>
      <c r="IK285" s="24">
        <v>4682</v>
      </c>
    </row>
    <row r="286" spans="9:245" x14ac:dyDescent="0.4">
      <c r="I286" s="305">
        <v>2020</v>
      </c>
      <c r="J286" s="306">
        <v>44</v>
      </c>
      <c r="K286" s="306" t="s">
        <v>33</v>
      </c>
      <c r="L286" s="306">
        <v>123527</v>
      </c>
      <c r="M286" s="306">
        <v>120955</v>
      </c>
      <c r="N286" s="306">
        <v>246</v>
      </c>
      <c r="O286" s="306">
        <v>446</v>
      </c>
      <c r="P286" s="306">
        <v>146</v>
      </c>
      <c r="Q286" s="306">
        <v>9</v>
      </c>
      <c r="R286" s="24"/>
      <c r="S286" s="24"/>
      <c r="T286" s="24"/>
      <c r="W286" s="24">
        <v>2020</v>
      </c>
      <c r="X286" s="24">
        <v>43</v>
      </c>
      <c r="Y286" s="24" t="s">
        <v>32</v>
      </c>
      <c r="Z286" s="24">
        <v>6226</v>
      </c>
      <c r="AA286" s="24">
        <v>5995</v>
      </c>
      <c r="AB286" s="24">
        <v>15</v>
      </c>
      <c r="AC286" s="24">
        <v>1</v>
      </c>
      <c r="AI286" s="24"/>
      <c r="AJ286" s="24"/>
      <c r="AK286" s="24"/>
      <c r="AL286" s="24"/>
      <c r="AM286" s="24"/>
      <c r="AN286" s="24"/>
      <c r="AO286" s="24"/>
      <c r="AP286" s="24"/>
      <c r="AQ286" s="24"/>
      <c r="AR286" s="24"/>
      <c r="AT286" s="24"/>
      <c r="AU286" s="24"/>
      <c r="AV286" s="24"/>
      <c r="AW286" s="24"/>
      <c r="AX286" s="24"/>
      <c r="AY286" s="24"/>
      <c r="AZ286" s="24"/>
      <c r="BA286" s="24"/>
      <c r="BB286" s="24"/>
      <c r="BC286" s="24"/>
      <c r="BD286" s="24"/>
      <c r="BE286" s="24"/>
      <c r="BF286" s="24"/>
      <c r="BG286" s="24"/>
      <c r="BI286" s="24">
        <v>2021</v>
      </c>
      <c r="BJ286" s="24">
        <v>52</v>
      </c>
      <c r="BK286" s="24" t="s">
        <v>32</v>
      </c>
      <c r="BL286" s="24" t="s">
        <v>273</v>
      </c>
      <c r="BM286" s="24">
        <v>6705</v>
      </c>
      <c r="BN286" s="24">
        <v>6642</v>
      </c>
      <c r="BO286" s="24">
        <v>6832</v>
      </c>
      <c r="BR286" s="24"/>
      <c r="BS286" s="24"/>
      <c r="BT286" s="24"/>
      <c r="BU286" s="24"/>
      <c r="BV286" s="24"/>
      <c r="BY286" s="24">
        <v>2021</v>
      </c>
      <c r="BZ286" s="24">
        <v>4</v>
      </c>
      <c r="CA286" s="24" t="s">
        <v>33</v>
      </c>
      <c r="CB286" s="24" t="s">
        <v>423</v>
      </c>
      <c r="CC286" s="24">
        <v>6</v>
      </c>
      <c r="CF286" s="24"/>
      <c r="CG286" s="24"/>
      <c r="CH286" s="24"/>
      <c r="CI286" s="24"/>
      <c r="CJ286" s="24"/>
      <c r="DD286" s="24"/>
      <c r="DE286" s="24"/>
      <c r="DF286" s="24"/>
      <c r="DG286" s="24"/>
      <c r="DH286" s="24"/>
      <c r="DJ286" s="24">
        <v>2020</v>
      </c>
      <c r="DK286" s="24">
        <v>45</v>
      </c>
      <c r="DL286" s="24" t="s">
        <v>33</v>
      </c>
      <c r="DM286" s="24">
        <v>172</v>
      </c>
      <c r="DP286" s="24">
        <v>2018</v>
      </c>
      <c r="DQ286" s="24">
        <v>44</v>
      </c>
      <c r="DR286" s="24" t="s">
        <v>33</v>
      </c>
      <c r="DS286" s="24">
        <v>5825</v>
      </c>
      <c r="DT286" s="24"/>
      <c r="DW286" s="24">
        <v>2021</v>
      </c>
      <c r="DX286" s="24">
        <v>32</v>
      </c>
      <c r="DY286" s="24" t="s">
        <v>33</v>
      </c>
      <c r="DZ286" s="24">
        <v>42</v>
      </c>
      <c r="EA286" s="24" t="s">
        <v>149</v>
      </c>
      <c r="EB286" s="24">
        <v>94.7</v>
      </c>
      <c r="EC286" s="24">
        <v>1235.9000000000001</v>
      </c>
      <c r="ED286" s="24">
        <v>41914</v>
      </c>
      <c r="EE286" s="24">
        <v>44583</v>
      </c>
      <c r="EF286" s="24">
        <v>115.3</v>
      </c>
      <c r="EI286" s="24">
        <v>2023</v>
      </c>
      <c r="EJ286" s="24">
        <v>2</v>
      </c>
      <c r="EK286" s="24" t="s">
        <v>237</v>
      </c>
      <c r="EL286" s="24" t="s">
        <v>555</v>
      </c>
      <c r="EM286" s="24" t="s">
        <v>210</v>
      </c>
      <c r="EN286" s="24">
        <v>7</v>
      </c>
      <c r="EO286" s="24"/>
      <c r="EP286" s="24"/>
      <c r="EQ286" s="24"/>
      <c r="ER286" s="24"/>
      <c r="ES286" s="24">
        <v>2021</v>
      </c>
      <c r="ET286" s="24">
        <v>15</v>
      </c>
      <c r="EU286" s="24" t="s">
        <v>33</v>
      </c>
      <c r="EV286" s="24">
        <v>100023</v>
      </c>
      <c r="EY286" s="24"/>
      <c r="EZ286" s="24"/>
      <c r="FA286" s="24"/>
      <c r="FB286" s="24"/>
      <c r="FE286" s="24"/>
      <c r="FF286" s="24"/>
      <c r="FG286" s="24"/>
      <c r="FH286" s="24"/>
      <c r="FN286" s="24"/>
      <c r="FO286" s="24"/>
      <c r="FP286" s="24"/>
      <c r="FQ286" s="24"/>
      <c r="FW286" s="24">
        <v>2020</v>
      </c>
      <c r="FX286" s="24">
        <v>43</v>
      </c>
      <c r="FY286" s="24" t="s">
        <v>32</v>
      </c>
      <c r="FZ286" s="24">
        <v>1549</v>
      </c>
      <c r="GA286" s="24">
        <v>1490</v>
      </c>
      <c r="GB286" s="24"/>
      <c r="GC286" s="24"/>
      <c r="GD286" s="24">
        <v>2020</v>
      </c>
      <c r="GE286" s="24">
        <v>43</v>
      </c>
      <c r="GF286" s="24" t="s">
        <v>32</v>
      </c>
      <c r="GG286" s="24">
        <v>1517</v>
      </c>
      <c r="GH286" s="24">
        <v>1434</v>
      </c>
      <c r="GK286" s="24"/>
      <c r="GL286" s="24"/>
      <c r="GM286" s="24"/>
      <c r="GN286" s="24"/>
      <c r="GO286" s="24"/>
      <c r="GP286" s="24"/>
      <c r="GQ286" s="24"/>
      <c r="GR286" s="24"/>
      <c r="GS286" s="24"/>
      <c r="GX286">
        <v>2020</v>
      </c>
      <c r="GY286">
        <v>43</v>
      </c>
      <c r="GZ286" t="s">
        <v>32</v>
      </c>
      <c r="HA286">
        <v>6077</v>
      </c>
      <c r="HB286">
        <v>6017</v>
      </c>
      <c r="HC286">
        <v>0</v>
      </c>
      <c r="HD286">
        <v>0</v>
      </c>
      <c r="HE286">
        <v>0</v>
      </c>
      <c r="HF286">
        <v>10</v>
      </c>
      <c r="HG286">
        <v>0</v>
      </c>
      <c r="HH286">
        <v>0</v>
      </c>
      <c r="HI286">
        <v>26</v>
      </c>
      <c r="HL286">
        <v>2020</v>
      </c>
      <c r="HM286">
        <v>43</v>
      </c>
      <c r="HN286" t="s">
        <v>32</v>
      </c>
      <c r="HO286">
        <v>6209</v>
      </c>
      <c r="HP286">
        <v>6205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1</v>
      </c>
      <c r="HZ286" s="24">
        <v>2020</v>
      </c>
      <c r="IA286" s="24">
        <v>43</v>
      </c>
      <c r="IB286" s="24" t="s">
        <v>32</v>
      </c>
      <c r="IC286" s="24">
        <v>1490</v>
      </c>
      <c r="ID286" s="24">
        <v>1470</v>
      </c>
      <c r="IG286" s="24">
        <v>2020</v>
      </c>
      <c r="IH286" s="24">
        <v>43</v>
      </c>
      <c r="II286" s="24" t="s">
        <v>32</v>
      </c>
      <c r="IJ286" s="24">
        <v>1501</v>
      </c>
      <c r="IK286" s="24">
        <v>1501</v>
      </c>
    </row>
    <row r="287" spans="9:245" x14ac:dyDescent="0.4">
      <c r="I287" s="305">
        <v>2020</v>
      </c>
      <c r="J287" s="306">
        <v>43</v>
      </c>
      <c r="K287" s="306" t="s">
        <v>32</v>
      </c>
      <c r="L287" s="306">
        <v>6217</v>
      </c>
      <c r="M287" s="306">
        <v>5995</v>
      </c>
      <c r="N287" s="306">
        <v>22</v>
      </c>
      <c r="O287" s="306">
        <v>80</v>
      </c>
      <c r="P287" s="306">
        <v>15</v>
      </c>
      <c r="Q287" s="306">
        <v>2</v>
      </c>
      <c r="R287" s="24"/>
      <c r="S287" s="24"/>
      <c r="T287" s="24"/>
      <c r="W287" s="24">
        <v>2020</v>
      </c>
      <c r="X287" s="24">
        <v>43</v>
      </c>
      <c r="Y287" s="24" t="s">
        <v>33</v>
      </c>
      <c r="Z287" s="24">
        <v>132912</v>
      </c>
      <c r="AA287" s="24">
        <v>131922</v>
      </c>
      <c r="AB287" s="24">
        <v>67</v>
      </c>
      <c r="AC287" s="24">
        <v>10</v>
      </c>
      <c r="AI287" s="24"/>
      <c r="AJ287" s="24"/>
      <c r="AK287" s="24"/>
      <c r="AL287" s="24"/>
      <c r="AM287" s="24"/>
      <c r="AN287" s="24"/>
      <c r="AO287" s="24"/>
      <c r="AP287" s="24"/>
      <c r="AQ287" s="24"/>
      <c r="AR287" s="24"/>
      <c r="AT287" s="24"/>
      <c r="AU287" s="24"/>
      <c r="AV287" s="24"/>
      <c r="AW287" s="24"/>
      <c r="AX287" s="24"/>
      <c r="AY287" s="24"/>
      <c r="AZ287" s="24"/>
      <c r="BA287" s="24"/>
      <c r="BB287" s="24"/>
      <c r="BC287" s="24"/>
      <c r="BD287" s="24"/>
      <c r="BE287" s="24"/>
      <c r="BF287" s="24"/>
      <c r="BG287" s="24"/>
      <c r="BI287" s="24">
        <v>2021</v>
      </c>
      <c r="BJ287" s="24">
        <v>52</v>
      </c>
      <c r="BK287" s="24" t="s">
        <v>33</v>
      </c>
      <c r="BL287" s="24" t="s">
        <v>272</v>
      </c>
      <c r="BM287" s="24">
        <v>42637</v>
      </c>
      <c r="BN287" s="24">
        <v>42602</v>
      </c>
      <c r="BO287" s="24">
        <v>151939</v>
      </c>
      <c r="BR287" s="24"/>
      <c r="BS287" s="24"/>
      <c r="BT287" s="24"/>
      <c r="BU287" s="24"/>
      <c r="BV287" s="24"/>
      <c r="BY287" s="24">
        <v>2021</v>
      </c>
      <c r="BZ287" s="24">
        <v>3</v>
      </c>
      <c r="CA287" s="24" t="s">
        <v>32</v>
      </c>
      <c r="CB287" s="24" t="s">
        <v>108</v>
      </c>
      <c r="CC287" s="24">
        <v>3</v>
      </c>
      <c r="CF287" s="24"/>
      <c r="CG287" s="24"/>
      <c r="CH287" s="24"/>
      <c r="CI287" s="24"/>
      <c r="CJ287" s="24"/>
      <c r="DD287" s="24"/>
      <c r="DE287" s="24"/>
      <c r="DF287" s="24"/>
      <c r="DG287" s="24"/>
      <c r="DH287" s="24"/>
      <c r="DJ287" s="24">
        <v>2020</v>
      </c>
      <c r="DK287" s="24">
        <v>44</v>
      </c>
      <c r="DL287" s="24" t="s">
        <v>32</v>
      </c>
      <c r="DM287" s="24">
        <v>15</v>
      </c>
      <c r="DP287" s="24">
        <v>2018</v>
      </c>
      <c r="DQ287" s="24">
        <v>43</v>
      </c>
      <c r="DR287" s="24" t="s">
        <v>33</v>
      </c>
      <c r="DS287" s="24">
        <v>3448</v>
      </c>
      <c r="DT287" s="24"/>
      <c r="DW287" s="24">
        <v>2021</v>
      </c>
      <c r="DX287" s="24">
        <v>31</v>
      </c>
      <c r="DY287" s="24" t="s">
        <v>32</v>
      </c>
      <c r="DZ287" s="24">
        <v>1</v>
      </c>
      <c r="EA287" s="24" t="s">
        <v>149</v>
      </c>
      <c r="EB287" s="24">
        <v>0</v>
      </c>
      <c r="EC287" s="24">
        <v>0.1</v>
      </c>
      <c r="ED287" s="24">
        <v>169</v>
      </c>
      <c r="EE287" s="24">
        <v>31</v>
      </c>
      <c r="EF287" s="24">
        <v>5.2</v>
      </c>
      <c r="EI287" s="24">
        <v>2023</v>
      </c>
      <c r="EJ287" s="24">
        <v>2</v>
      </c>
      <c r="EK287" s="24" t="s">
        <v>237</v>
      </c>
      <c r="EL287" s="24" t="s">
        <v>557</v>
      </c>
      <c r="EM287" s="24" t="s">
        <v>210</v>
      </c>
      <c r="EN287" s="24">
        <v>48</v>
      </c>
      <c r="EO287" s="24"/>
      <c r="EP287" s="24"/>
      <c r="EQ287" s="24"/>
      <c r="ER287" s="24"/>
      <c r="ES287" s="24">
        <v>2021</v>
      </c>
      <c r="ET287" s="24">
        <v>15</v>
      </c>
      <c r="EU287" s="24" t="s">
        <v>213</v>
      </c>
      <c r="EV287" s="24">
        <v>10</v>
      </c>
      <c r="EY287" s="24"/>
      <c r="EZ287" s="24"/>
      <c r="FA287" s="24"/>
      <c r="FB287" s="24"/>
      <c r="FE287" s="24"/>
      <c r="FF287" s="24"/>
      <c r="FG287" s="24"/>
      <c r="FH287" s="24"/>
      <c r="FN287" s="24"/>
      <c r="FO287" s="24"/>
      <c r="FP287" s="24"/>
      <c r="FQ287" s="24"/>
      <c r="FW287" s="24">
        <v>2020</v>
      </c>
      <c r="FX287" s="24">
        <v>43</v>
      </c>
      <c r="FY287" s="24" t="s">
        <v>33</v>
      </c>
      <c r="FZ287" s="24">
        <v>5450</v>
      </c>
      <c r="GA287" s="24">
        <v>5166</v>
      </c>
      <c r="GB287" s="24"/>
      <c r="GC287" s="24"/>
      <c r="GD287" s="24">
        <v>2020</v>
      </c>
      <c r="GE287" s="24">
        <v>43</v>
      </c>
      <c r="GF287" s="24" t="s">
        <v>33</v>
      </c>
      <c r="GG287" s="24">
        <v>5428</v>
      </c>
      <c r="GH287" s="24">
        <v>5190</v>
      </c>
      <c r="GK287" s="24"/>
      <c r="GL287" s="24"/>
      <c r="GM287" s="24"/>
      <c r="GN287" s="24"/>
      <c r="GO287" s="24"/>
      <c r="GP287" s="24"/>
      <c r="GQ287" s="24"/>
      <c r="GR287" s="24"/>
      <c r="GS287" s="24"/>
      <c r="GX287">
        <v>2020</v>
      </c>
      <c r="GY287">
        <v>43</v>
      </c>
      <c r="GZ287" t="s">
        <v>33</v>
      </c>
      <c r="HA287">
        <v>131786</v>
      </c>
      <c r="HB287">
        <v>131162</v>
      </c>
      <c r="HC287">
        <v>18</v>
      </c>
      <c r="HD287">
        <v>10</v>
      </c>
      <c r="HE287">
        <v>0</v>
      </c>
      <c r="HF287">
        <v>25</v>
      </c>
      <c r="HG287">
        <v>0</v>
      </c>
      <c r="HH287">
        <v>0</v>
      </c>
      <c r="HI287">
        <v>289</v>
      </c>
      <c r="HL287">
        <v>2020</v>
      </c>
      <c r="HM287">
        <v>43</v>
      </c>
      <c r="HN287" t="s">
        <v>33</v>
      </c>
      <c r="HO287">
        <v>132661</v>
      </c>
      <c r="HP287">
        <v>132543</v>
      </c>
      <c r="HQ287">
        <v>23</v>
      </c>
      <c r="HR287">
        <v>3</v>
      </c>
      <c r="HS287">
        <v>0</v>
      </c>
      <c r="HT287">
        <v>12</v>
      </c>
      <c r="HU287">
        <v>0</v>
      </c>
      <c r="HV287">
        <v>0</v>
      </c>
      <c r="HW287">
        <v>6</v>
      </c>
      <c r="HZ287" s="24">
        <v>2020</v>
      </c>
      <c r="IA287" s="24">
        <v>43</v>
      </c>
      <c r="IB287" s="24" t="s">
        <v>33</v>
      </c>
      <c r="IC287" s="24">
        <v>5331</v>
      </c>
      <c r="ID287" s="24">
        <v>5260</v>
      </c>
      <c r="IG287" s="24">
        <v>2020</v>
      </c>
      <c r="IH287" s="24">
        <v>43</v>
      </c>
      <c r="II287" s="24" t="s">
        <v>33</v>
      </c>
      <c r="IJ287" s="24">
        <v>5196</v>
      </c>
      <c r="IK287" s="24">
        <v>5178</v>
      </c>
    </row>
    <row r="288" spans="9:245" x14ac:dyDescent="0.4">
      <c r="I288" s="305">
        <v>2020</v>
      </c>
      <c r="J288" s="306">
        <v>43</v>
      </c>
      <c r="K288" s="306" t="s">
        <v>33</v>
      </c>
      <c r="L288" s="306">
        <v>133112</v>
      </c>
      <c r="M288" s="306">
        <v>131317</v>
      </c>
      <c r="N288" s="306">
        <v>296</v>
      </c>
      <c r="O288" s="306">
        <v>559</v>
      </c>
      <c r="P288" s="306">
        <v>76</v>
      </c>
      <c r="Q288" s="306">
        <v>22</v>
      </c>
      <c r="R288" s="24"/>
      <c r="S288" s="24"/>
      <c r="T288" s="24"/>
      <c r="W288" s="308">
        <v>2020</v>
      </c>
      <c r="X288" s="308">
        <v>42</v>
      </c>
      <c r="Y288" s="308" t="s">
        <v>32</v>
      </c>
      <c r="Z288" s="308">
        <v>7257</v>
      </c>
      <c r="AA288" s="308">
        <v>6995</v>
      </c>
      <c r="AB288" s="308">
        <v>11</v>
      </c>
      <c r="AC288" s="308">
        <v>1</v>
      </c>
      <c r="AI288" s="24"/>
      <c r="AJ288" s="24"/>
      <c r="AK288" s="24"/>
      <c r="AL288" s="24"/>
      <c r="AM288" s="24"/>
      <c r="AN288" s="24"/>
      <c r="AO288" s="24"/>
      <c r="AP288" s="24"/>
      <c r="AQ288" s="24"/>
      <c r="AR288" s="24"/>
      <c r="AT288" s="24"/>
      <c r="AU288" s="24"/>
      <c r="AV288" s="24"/>
      <c r="AW288" s="24"/>
      <c r="AX288" s="24"/>
      <c r="AY288" s="24"/>
      <c r="AZ288" s="24"/>
      <c r="BA288" s="24"/>
      <c r="BB288" s="24"/>
      <c r="BC288" s="24"/>
      <c r="BD288" s="24"/>
      <c r="BE288" s="24"/>
      <c r="BF288" s="24"/>
      <c r="BG288" s="24"/>
      <c r="BI288" s="24">
        <v>2021</v>
      </c>
      <c r="BJ288" s="24">
        <v>52</v>
      </c>
      <c r="BK288" s="24" t="s">
        <v>33</v>
      </c>
      <c r="BL288" s="24" t="s">
        <v>273</v>
      </c>
      <c r="BM288" s="24">
        <v>74246</v>
      </c>
      <c r="BN288" s="24">
        <v>73582</v>
      </c>
      <c r="BO288" s="24">
        <v>76043</v>
      </c>
      <c r="BR288" s="24"/>
      <c r="BS288" s="24"/>
      <c r="BT288" s="24"/>
      <c r="BU288" s="24"/>
      <c r="BV288" s="24"/>
      <c r="BY288" s="24">
        <v>2021</v>
      </c>
      <c r="BZ288" s="24">
        <v>3</v>
      </c>
      <c r="CA288" s="24" t="s">
        <v>32</v>
      </c>
      <c r="CB288" s="24" t="s">
        <v>423</v>
      </c>
      <c r="CC288" s="24">
        <v>49</v>
      </c>
      <c r="CF288" s="24"/>
      <c r="CG288" s="24"/>
      <c r="CH288" s="24"/>
      <c r="CI288" s="24"/>
      <c r="CJ288" s="24"/>
      <c r="DD288" s="24"/>
      <c r="DE288" s="24"/>
      <c r="DF288" s="24"/>
      <c r="DG288" s="24"/>
      <c r="DH288" s="24"/>
      <c r="DJ288" s="24">
        <v>2020</v>
      </c>
      <c r="DK288" s="24">
        <v>44</v>
      </c>
      <c r="DL288" s="24" t="s">
        <v>33</v>
      </c>
      <c r="DM288" s="24">
        <v>291</v>
      </c>
      <c r="DP288" s="24">
        <v>2018</v>
      </c>
      <c r="DQ288" s="24">
        <v>42</v>
      </c>
      <c r="DR288" s="24" t="s">
        <v>33</v>
      </c>
      <c r="DS288" s="24">
        <v>3367</v>
      </c>
      <c r="DT288" s="24"/>
      <c r="DW288" s="24">
        <v>2021</v>
      </c>
      <c r="DX288" s="24">
        <v>31</v>
      </c>
      <c r="DY288" s="24" t="s">
        <v>33</v>
      </c>
      <c r="DZ288" s="24">
        <v>9</v>
      </c>
      <c r="EA288" s="24" t="s">
        <v>562</v>
      </c>
      <c r="EB288" s="24">
        <v>104.1</v>
      </c>
      <c r="EC288" s="24">
        <v>10.1</v>
      </c>
      <c r="ED288" s="24">
        <v>3</v>
      </c>
      <c r="EE288" s="24">
        <v>4135</v>
      </c>
      <c r="EF288" s="24">
        <v>52.5</v>
      </c>
      <c r="EI288" s="24">
        <v>2023</v>
      </c>
      <c r="EJ288" s="24">
        <v>2</v>
      </c>
      <c r="EK288" s="24" t="s">
        <v>237</v>
      </c>
      <c r="EL288" s="24" t="s">
        <v>557</v>
      </c>
      <c r="EM288" s="24" t="s">
        <v>234</v>
      </c>
      <c r="EN288" s="24">
        <v>2</v>
      </c>
      <c r="EO288" s="24"/>
      <c r="EP288" s="24"/>
      <c r="EQ288" s="24"/>
      <c r="ER288" s="24"/>
      <c r="ES288" s="24">
        <v>2021</v>
      </c>
      <c r="ET288" s="24">
        <v>14</v>
      </c>
      <c r="EU288" s="24" t="s">
        <v>32</v>
      </c>
      <c r="EV288" s="24">
        <v>4376</v>
      </c>
      <c r="EY288" s="24"/>
      <c r="EZ288" s="24"/>
      <c r="FA288" s="24"/>
      <c r="FB288" s="24"/>
      <c r="FE288" s="24"/>
      <c r="FF288" s="24"/>
      <c r="FG288" s="24"/>
      <c r="FH288" s="24"/>
      <c r="FN288" s="24"/>
      <c r="FO288" s="24"/>
      <c r="FP288" s="24"/>
      <c r="FQ288" s="24"/>
      <c r="FW288" s="24">
        <v>2020</v>
      </c>
      <c r="FX288" s="24">
        <v>42</v>
      </c>
      <c r="FY288" s="24" t="s">
        <v>32</v>
      </c>
      <c r="FZ288" s="24">
        <v>1320</v>
      </c>
      <c r="GA288" s="24">
        <v>1222</v>
      </c>
      <c r="GB288" s="24"/>
      <c r="GC288" s="24"/>
      <c r="GD288" s="308">
        <v>2020</v>
      </c>
      <c r="GE288" s="308">
        <v>42</v>
      </c>
      <c r="GF288" s="308" t="s">
        <v>32</v>
      </c>
      <c r="GG288" s="308">
        <v>1360</v>
      </c>
      <c r="GH288" s="308">
        <v>1255</v>
      </c>
      <c r="GK288" s="24"/>
      <c r="GL288" s="24"/>
      <c r="GM288" s="24"/>
      <c r="GN288" s="24"/>
      <c r="GO288" s="24"/>
      <c r="GP288" s="24"/>
      <c r="GQ288" s="24"/>
      <c r="GR288" s="24"/>
      <c r="GS288" s="24"/>
      <c r="GX288">
        <v>2020</v>
      </c>
      <c r="GY288">
        <v>42</v>
      </c>
      <c r="GZ288" t="s">
        <v>32</v>
      </c>
      <c r="HA288">
        <v>7317</v>
      </c>
      <c r="HB288">
        <v>7262</v>
      </c>
      <c r="HC288">
        <v>0</v>
      </c>
      <c r="HD288">
        <v>3</v>
      </c>
      <c r="HE288">
        <v>0</v>
      </c>
      <c r="HF288">
        <v>5</v>
      </c>
      <c r="HG288">
        <v>0</v>
      </c>
      <c r="HH288">
        <v>0</v>
      </c>
      <c r="HI288">
        <v>27</v>
      </c>
      <c r="HL288">
        <v>2020</v>
      </c>
      <c r="HM288">
        <v>42</v>
      </c>
      <c r="HN288" t="s">
        <v>32</v>
      </c>
      <c r="HO288">
        <v>7219</v>
      </c>
      <c r="HP288">
        <v>7216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Z288" s="24">
        <v>2020</v>
      </c>
      <c r="IA288" s="24">
        <v>42</v>
      </c>
      <c r="IB288" s="24" t="s">
        <v>32</v>
      </c>
      <c r="IC288" s="24">
        <v>1364</v>
      </c>
      <c r="ID288" s="24">
        <v>1353</v>
      </c>
      <c r="IG288" s="24">
        <v>2020</v>
      </c>
      <c r="IH288" s="24">
        <v>42</v>
      </c>
      <c r="II288" s="24" t="s">
        <v>32</v>
      </c>
      <c r="IJ288" s="24">
        <v>1344</v>
      </c>
      <c r="IK288" s="24">
        <v>1343</v>
      </c>
    </row>
    <row r="289" spans="9:245" x14ac:dyDescent="0.4">
      <c r="I289" s="305">
        <v>2020</v>
      </c>
      <c r="J289" s="306">
        <v>42</v>
      </c>
      <c r="K289" s="306" t="s">
        <v>32</v>
      </c>
      <c r="L289" s="306">
        <v>7243</v>
      </c>
      <c r="M289" s="306">
        <v>6922</v>
      </c>
      <c r="N289" s="306">
        <v>18</v>
      </c>
      <c r="O289" s="306">
        <v>76</v>
      </c>
      <c r="P289" s="306">
        <v>11</v>
      </c>
      <c r="Q289" s="306"/>
      <c r="R289" s="24"/>
      <c r="S289" s="24"/>
      <c r="T289" s="24"/>
      <c r="W289" s="308">
        <v>2020</v>
      </c>
      <c r="X289" s="308">
        <v>42</v>
      </c>
      <c r="Y289" s="308" t="s">
        <v>33</v>
      </c>
      <c r="Z289" s="308">
        <v>148716</v>
      </c>
      <c r="AA289" s="308">
        <v>147186</v>
      </c>
      <c r="AB289" s="308">
        <v>68</v>
      </c>
      <c r="AC289" s="308">
        <v>38</v>
      </c>
      <c r="AI289" s="24"/>
      <c r="AJ289" s="24"/>
      <c r="AK289" s="24"/>
      <c r="AL289" s="24"/>
      <c r="AM289" s="24"/>
      <c r="AN289" s="24"/>
      <c r="AO289" s="24"/>
      <c r="AP289" s="24"/>
      <c r="AQ289" s="24"/>
      <c r="AR289" s="24"/>
      <c r="AT289" s="24"/>
      <c r="AU289" s="24"/>
      <c r="AV289" s="24"/>
      <c r="AW289" s="24"/>
      <c r="AX289" s="24"/>
      <c r="AY289" s="24"/>
      <c r="AZ289" s="24"/>
      <c r="BA289" s="24"/>
      <c r="BB289" s="24"/>
      <c r="BC289" s="24"/>
      <c r="BD289" s="24"/>
      <c r="BE289" s="24"/>
      <c r="BF289" s="24"/>
      <c r="BG289" s="24"/>
      <c r="BI289" s="24">
        <v>2021</v>
      </c>
      <c r="BJ289" s="24">
        <v>52</v>
      </c>
      <c r="BK289" s="24" t="s">
        <v>32</v>
      </c>
      <c r="BL289" s="24" t="s">
        <v>272</v>
      </c>
      <c r="BM289" s="24">
        <v>2751</v>
      </c>
      <c r="BN289" s="24">
        <v>2748</v>
      </c>
      <c r="BO289" s="24">
        <v>9382</v>
      </c>
      <c r="BR289" s="24"/>
      <c r="BS289" s="24"/>
      <c r="BT289" s="24"/>
      <c r="BU289" s="24"/>
      <c r="BV289" s="24"/>
      <c r="BY289" s="24">
        <v>2021</v>
      </c>
      <c r="BZ289" s="24">
        <v>3</v>
      </c>
      <c r="CA289" s="24" t="s">
        <v>33</v>
      </c>
      <c r="CB289" s="24" t="s">
        <v>108</v>
      </c>
      <c r="CC289" s="24">
        <v>1</v>
      </c>
      <c r="CF289" s="24"/>
      <c r="CG289" s="24"/>
      <c r="CH289" s="24"/>
      <c r="CI289" s="24"/>
      <c r="CJ289" s="24"/>
      <c r="DD289" s="24"/>
      <c r="DE289" s="24"/>
      <c r="DF289" s="24"/>
      <c r="DG289" s="24"/>
      <c r="DH289" s="24"/>
      <c r="DJ289" s="24">
        <v>2020</v>
      </c>
      <c r="DK289" s="24">
        <v>43</v>
      </c>
      <c r="DL289" s="24" t="s">
        <v>32</v>
      </c>
      <c r="DM289" s="24">
        <v>18</v>
      </c>
      <c r="DP289" s="24">
        <v>2018</v>
      </c>
      <c r="DQ289" s="24">
        <v>41</v>
      </c>
      <c r="DR289" s="24" t="s">
        <v>33</v>
      </c>
      <c r="DS289" s="24">
        <v>9820</v>
      </c>
      <c r="DT289" s="24"/>
      <c r="DW289" s="24">
        <v>2021</v>
      </c>
      <c r="DX289" s="24">
        <v>31</v>
      </c>
      <c r="DY289" s="24" t="s">
        <v>33</v>
      </c>
      <c r="DZ289" s="24">
        <v>41</v>
      </c>
      <c r="EA289" s="24" t="s">
        <v>149</v>
      </c>
      <c r="EB289" s="24">
        <v>119.8</v>
      </c>
      <c r="EC289" s="24">
        <v>1239.0999999999999</v>
      </c>
      <c r="ED289" s="24">
        <v>45494</v>
      </c>
      <c r="EE289" s="24">
        <v>50006</v>
      </c>
      <c r="EF289" s="24">
        <v>252.7</v>
      </c>
      <c r="EI289" s="24">
        <v>2023</v>
      </c>
      <c r="EJ289" s="24">
        <v>2</v>
      </c>
      <c r="EK289" s="24" t="s">
        <v>237</v>
      </c>
      <c r="EL289" s="24" t="s">
        <v>233</v>
      </c>
      <c r="EM289" s="24" t="s">
        <v>210</v>
      </c>
      <c r="EN289" s="24">
        <v>1</v>
      </c>
      <c r="EO289" s="24"/>
      <c r="EP289" s="24"/>
      <c r="EQ289" s="24"/>
      <c r="ER289" s="24"/>
      <c r="ES289" s="24">
        <v>2021</v>
      </c>
      <c r="ET289" s="24">
        <v>14</v>
      </c>
      <c r="EU289" s="24" t="s">
        <v>33</v>
      </c>
      <c r="EV289" s="24">
        <v>93937</v>
      </c>
      <c r="EY289" s="24"/>
      <c r="EZ289" s="24"/>
      <c r="FA289" s="24"/>
      <c r="FB289" s="24"/>
      <c r="FE289" s="24"/>
      <c r="FF289" s="24"/>
      <c r="FG289" s="24"/>
      <c r="FH289" s="24"/>
      <c r="FN289" s="24"/>
      <c r="FO289" s="24"/>
      <c r="FP289" s="24"/>
      <c r="FQ289" s="24"/>
      <c r="FW289" s="24">
        <v>2020</v>
      </c>
      <c r="FX289" s="24">
        <v>42</v>
      </c>
      <c r="FY289" s="24" t="s">
        <v>33</v>
      </c>
      <c r="FZ289" s="24">
        <v>6480</v>
      </c>
      <c r="GA289" s="24">
        <v>6183</v>
      </c>
      <c r="GB289" s="24"/>
      <c r="GC289" s="24"/>
      <c r="GD289" s="308">
        <v>2020</v>
      </c>
      <c r="GE289" s="308">
        <v>42</v>
      </c>
      <c r="GF289" s="308" t="s">
        <v>33</v>
      </c>
      <c r="GG289" s="308">
        <v>6650</v>
      </c>
      <c r="GH289" s="308">
        <v>6401</v>
      </c>
      <c r="GK289" s="24"/>
      <c r="GL289" s="24"/>
      <c r="GM289" s="24"/>
      <c r="GN289" s="24"/>
      <c r="GO289" s="24"/>
      <c r="GP289" s="24"/>
      <c r="GQ289" s="24"/>
      <c r="GR289" s="24"/>
      <c r="GS289" s="24"/>
      <c r="GX289">
        <v>2020</v>
      </c>
      <c r="GY289">
        <v>42</v>
      </c>
      <c r="GZ289" t="s">
        <v>33</v>
      </c>
      <c r="HA289">
        <v>145400</v>
      </c>
      <c r="HB289">
        <v>144899</v>
      </c>
      <c r="HC289">
        <v>20</v>
      </c>
      <c r="HD289">
        <v>12</v>
      </c>
      <c r="HE289">
        <v>0</v>
      </c>
      <c r="HF289">
        <v>16</v>
      </c>
      <c r="HG289">
        <v>0</v>
      </c>
      <c r="HH289">
        <v>0</v>
      </c>
      <c r="HI289">
        <v>214</v>
      </c>
      <c r="HL289">
        <v>2020</v>
      </c>
      <c r="HM289">
        <v>42</v>
      </c>
      <c r="HN289" t="s">
        <v>33</v>
      </c>
      <c r="HO289">
        <v>148443</v>
      </c>
      <c r="HP289">
        <v>148297</v>
      </c>
      <c r="HQ289">
        <v>43</v>
      </c>
      <c r="HR289">
        <v>5</v>
      </c>
      <c r="HS289">
        <v>0</v>
      </c>
      <c r="HT289">
        <v>8</v>
      </c>
      <c r="HU289">
        <v>0</v>
      </c>
      <c r="HV289">
        <v>0</v>
      </c>
      <c r="HW289">
        <v>8</v>
      </c>
      <c r="HZ289" s="24">
        <v>2020</v>
      </c>
      <c r="IA289" s="24">
        <v>42</v>
      </c>
      <c r="IB289" s="24" t="s">
        <v>33</v>
      </c>
      <c r="IC289" s="24">
        <v>6457</v>
      </c>
      <c r="ID289" s="24">
        <v>6382</v>
      </c>
      <c r="IG289" s="24">
        <v>2020</v>
      </c>
      <c r="IH289" s="24">
        <v>42</v>
      </c>
      <c r="II289" s="24" t="s">
        <v>33</v>
      </c>
      <c r="IJ289" s="24">
        <v>6423</v>
      </c>
      <c r="IK289" s="24">
        <v>6412</v>
      </c>
    </row>
    <row r="290" spans="9:245" x14ac:dyDescent="0.4">
      <c r="I290" s="305">
        <v>2020</v>
      </c>
      <c r="J290" s="306">
        <v>42</v>
      </c>
      <c r="K290" s="306" t="s">
        <v>33</v>
      </c>
      <c r="L290" s="306">
        <v>147350</v>
      </c>
      <c r="M290" s="306">
        <v>145434</v>
      </c>
      <c r="N290" s="306">
        <v>156</v>
      </c>
      <c r="O290" s="306">
        <v>493</v>
      </c>
      <c r="P290" s="306">
        <v>104</v>
      </c>
      <c r="Q290" s="306">
        <v>39</v>
      </c>
      <c r="R290" s="24"/>
      <c r="S290" s="24"/>
      <c r="T290" s="24"/>
      <c r="W290" s="24">
        <v>2020</v>
      </c>
      <c r="X290" s="24">
        <v>41</v>
      </c>
      <c r="Y290" s="24" t="s">
        <v>32</v>
      </c>
      <c r="Z290" s="24">
        <v>7106</v>
      </c>
      <c r="AA290" s="24">
        <v>6733</v>
      </c>
      <c r="AB290" s="24">
        <v>40</v>
      </c>
      <c r="AC290" s="24">
        <v>1</v>
      </c>
      <c r="AI290" s="24"/>
      <c r="AJ290" s="24"/>
      <c r="AK290" s="24"/>
      <c r="AL290" s="24"/>
      <c r="AM290" s="24"/>
      <c r="AN290" s="24"/>
      <c r="AO290" s="24"/>
      <c r="AP290" s="24"/>
      <c r="AQ290" s="24"/>
      <c r="AR290" s="24"/>
      <c r="AT290" s="24"/>
      <c r="AU290" s="24"/>
      <c r="AV290" s="24"/>
      <c r="AW290" s="24"/>
      <c r="AX290" s="24"/>
      <c r="AY290" s="24"/>
      <c r="AZ290" s="24"/>
      <c r="BA290" s="24"/>
      <c r="BB290" s="24"/>
      <c r="BC290" s="24"/>
      <c r="BD290" s="24"/>
      <c r="BE290" s="24"/>
      <c r="BF290" s="24"/>
      <c r="BG290" s="24"/>
      <c r="BI290" s="24">
        <v>2021</v>
      </c>
      <c r="BJ290" s="24">
        <v>51</v>
      </c>
      <c r="BK290" s="24" t="s">
        <v>32</v>
      </c>
      <c r="BL290" s="24" t="s">
        <v>273</v>
      </c>
      <c r="BM290" s="24">
        <v>5279</v>
      </c>
      <c r="BN290" s="24">
        <v>5250</v>
      </c>
      <c r="BO290" s="24">
        <v>5363</v>
      </c>
      <c r="BR290" s="24"/>
      <c r="BS290" s="24"/>
      <c r="BT290" s="24"/>
      <c r="BU290" s="24"/>
      <c r="BV290" s="24"/>
      <c r="BY290" s="24">
        <v>2021</v>
      </c>
      <c r="BZ290" s="24">
        <v>3</v>
      </c>
      <c r="CA290" s="24" t="s">
        <v>33</v>
      </c>
      <c r="CB290" s="24" t="s">
        <v>423</v>
      </c>
      <c r="CC290" s="24">
        <v>14</v>
      </c>
      <c r="CF290" s="24"/>
      <c r="CG290" s="24"/>
      <c r="CH290" s="24"/>
      <c r="CI290" s="24"/>
      <c r="CJ290" s="24"/>
      <c r="DD290" s="24"/>
      <c r="DE290" s="24"/>
      <c r="DF290" s="24"/>
      <c r="DG290" s="24"/>
      <c r="DH290" s="24"/>
      <c r="DJ290" s="24">
        <v>2020</v>
      </c>
      <c r="DK290" s="24">
        <v>43</v>
      </c>
      <c r="DL290" s="24" t="s">
        <v>33</v>
      </c>
      <c r="DM290" s="24">
        <v>281</v>
      </c>
      <c r="DP290" s="24">
        <v>2018</v>
      </c>
      <c r="DQ290" s="24">
        <v>40</v>
      </c>
      <c r="DR290" s="24" t="s">
        <v>33</v>
      </c>
      <c r="DS290" s="24">
        <v>9382</v>
      </c>
      <c r="DT290" s="24"/>
      <c r="DW290" s="24">
        <v>2021</v>
      </c>
      <c r="DX290" s="24">
        <v>30</v>
      </c>
      <c r="DY290" s="24" t="s">
        <v>32</v>
      </c>
      <c r="DZ290" s="24">
        <v>1</v>
      </c>
      <c r="EA290" s="24" t="s">
        <v>149</v>
      </c>
      <c r="EB290" s="24">
        <v>0</v>
      </c>
      <c r="EC290" s="24">
        <v>0</v>
      </c>
      <c r="ED290" s="24">
        <v>178</v>
      </c>
      <c r="EE290" s="24">
        <v>71</v>
      </c>
      <c r="EF290" s="24">
        <v>4.7</v>
      </c>
      <c r="EI290" s="24">
        <v>2023</v>
      </c>
      <c r="EJ290" s="24">
        <v>2</v>
      </c>
      <c r="EK290" s="24" t="s">
        <v>237</v>
      </c>
      <c r="EL290" s="24" t="s">
        <v>554</v>
      </c>
      <c r="EM290" s="24" t="s">
        <v>210</v>
      </c>
      <c r="EN290" s="24">
        <v>12</v>
      </c>
      <c r="EO290" s="24"/>
      <c r="EP290" s="24"/>
      <c r="EQ290" s="24"/>
      <c r="ER290" s="24"/>
      <c r="ES290" s="24">
        <v>2021</v>
      </c>
      <c r="ET290" s="24">
        <v>14</v>
      </c>
      <c r="EU290" s="24" t="s">
        <v>213</v>
      </c>
      <c r="EV290" s="24">
        <v>7</v>
      </c>
      <c r="EY290" s="24"/>
      <c r="EZ290" s="24"/>
      <c r="FA290" s="24"/>
      <c r="FB290" s="24"/>
      <c r="FE290" s="24"/>
      <c r="FF290" s="24"/>
      <c r="FG290" s="24"/>
      <c r="FH290" s="24"/>
      <c r="FN290" s="24"/>
      <c r="FO290" s="24"/>
      <c r="FP290" s="24"/>
      <c r="FQ290" s="24"/>
      <c r="FW290" s="24">
        <v>2020</v>
      </c>
      <c r="FX290" s="24">
        <v>41</v>
      </c>
      <c r="FY290" s="24" t="s">
        <v>32</v>
      </c>
      <c r="FZ290" s="24">
        <v>796</v>
      </c>
      <c r="GA290" s="24">
        <v>713</v>
      </c>
      <c r="GB290" s="24"/>
      <c r="GC290" s="24"/>
      <c r="GD290" s="24">
        <v>2020</v>
      </c>
      <c r="GE290" s="24">
        <v>41</v>
      </c>
      <c r="GF290" s="24" t="s">
        <v>32</v>
      </c>
      <c r="GG290" s="24">
        <v>817</v>
      </c>
      <c r="GH290" s="24">
        <v>725</v>
      </c>
      <c r="GK290" s="24"/>
      <c r="GL290" s="24"/>
      <c r="GM290" s="24"/>
      <c r="GN290" s="24"/>
      <c r="GO290" s="24"/>
      <c r="GP290" s="24"/>
      <c r="GQ290" s="24"/>
      <c r="GR290" s="24"/>
      <c r="GS290" s="24"/>
      <c r="GX290">
        <v>2020</v>
      </c>
      <c r="GY290">
        <v>41</v>
      </c>
      <c r="GZ290" t="s">
        <v>32</v>
      </c>
      <c r="HA290">
        <v>6873</v>
      </c>
      <c r="HB290">
        <v>6782</v>
      </c>
      <c r="HC290">
        <v>1</v>
      </c>
      <c r="HD290">
        <v>2</v>
      </c>
      <c r="HE290">
        <v>0</v>
      </c>
      <c r="HF290">
        <v>3</v>
      </c>
      <c r="HG290">
        <v>0</v>
      </c>
      <c r="HH290">
        <v>0</v>
      </c>
      <c r="HI290">
        <v>40</v>
      </c>
      <c r="HL290">
        <v>2020</v>
      </c>
      <c r="HM290">
        <v>41</v>
      </c>
      <c r="HN290" t="s">
        <v>32</v>
      </c>
      <c r="HO290">
        <v>7092</v>
      </c>
      <c r="HP290">
        <v>7079</v>
      </c>
      <c r="HQ290">
        <v>2</v>
      </c>
      <c r="HR290">
        <v>0</v>
      </c>
      <c r="HS290">
        <v>0</v>
      </c>
      <c r="HT290">
        <v>2</v>
      </c>
      <c r="HU290">
        <v>0</v>
      </c>
      <c r="HV290">
        <v>0</v>
      </c>
      <c r="HW290">
        <v>0</v>
      </c>
      <c r="HZ290" s="24">
        <v>2020</v>
      </c>
      <c r="IA290" s="24">
        <v>41</v>
      </c>
      <c r="IB290" s="24" t="s">
        <v>32</v>
      </c>
      <c r="IC290" s="24">
        <v>805</v>
      </c>
      <c r="ID290" s="24">
        <v>787</v>
      </c>
      <c r="IG290" s="24">
        <v>2020</v>
      </c>
      <c r="IH290" s="24">
        <v>41</v>
      </c>
      <c r="II290" s="24" t="s">
        <v>32</v>
      </c>
      <c r="IJ290" s="24">
        <v>811</v>
      </c>
      <c r="IK290" s="24">
        <v>808</v>
      </c>
    </row>
    <row r="291" spans="9:245" x14ac:dyDescent="0.4">
      <c r="I291" s="305">
        <v>2020</v>
      </c>
      <c r="J291" s="306">
        <v>41</v>
      </c>
      <c r="K291" s="306" t="s">
        <v>32</v>
      </c>
      <c r="L291" s="306">
        <v>6941</v>
      </c>
      <c r="M291" s="306">
        <v>6595</v>
      </c>
      <c r="N291" s="306">
        <v>33</v>
      </c>
      <c r="O291" s="306">
        <v>71</v>
      </c>
      <c r="P291" s="306">
        <v>32</v>
      </c>
      <c r="Q291" s="306">
        <v>1</v>
      </c>
      <c r="R291" s="24"/>
      <c r="S291" s="24"/>
      <c r="T291" s="24"/>
      <c r="W291" s="24">
        <v>2020</v>
      </c>
      <c r="X291" s="24">
        <v>41</v>
      </c>
      <c r="Y291" s="24" t="s">
        <v>33</v>
      </c>
      <c r="Z291" s="24">
        <v>147503</v>
      </c>
      <c r="AA291" s="24">
        <v>145037</v>
      </c>
      <c r="AB291" s="24">
        <v>86</v>
      </c>
      <c r="AC291" s="24">
        <v>12</v>
      </c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I291" s="24">
        <v>2021</v>
      </c>
      <c r="BJ291" s="24">
        <v>51</v>
      </c>
      <c r="BK291" s="24" t="s">
        <v>32</v>
      </c>
      <c r="BL291" s="24" t="s">
        <v>272</v>
      </c>
      <c r="BM291" s="24">
        <v>2342</v>
      </c>
      <c r="BN291" s="24">
        <v>2340</v>
      </c>
      <c r="BO291" s="24">
        <v>7711</v>
      </c>
      <c r="BR291" s="24"/>
      <c r="BS291" s="24"/>
      <c r="BT291" s="24"/>
      <c r="BU291" s="24"/>
      <c r="BV291" s="24"/>
      <c r="BY291" s="327">
        <v>2021</v>
      </c>
      <c r="BZ291" s="327">
        <v>2</v>
      </c>
      <c r="CA291" s="327" t="s">
        <v>32</v>
      </c>
      <c r="CB291" s="327" t="s">
        <v>108</v>
      </c>
      <c r="CC291" s="327">
        <v>2</v>
      </c>
      <c r="CF291" s="24"/>
      <c r="CG291" s="24"/>
      <c r="CH291" s="24"/>
      <c r="CI291" s="24"/>
      <c r="CJ291" s="24"/>
      <c r="DD291" s="24"/>
      <c r="DE291" s="24"/>
      <c r="DF291" s="24"/>
      <c r="DG291" s="24"/>
      <c r="DH291" s="24"/>
      <c r="DJ291" s="24">
        <v>2020</v>
      </c>
      <c r="DK291" s="24">
        <v>42</v>
      </c>
      <c r="DL291" s="24" t="s">
        <v>32</v>
      </c>
      <c r="DM291" s="24">
        <v>6</v>
      </c>
      <c r="DP291" s="24">
        <v>2018</v>
      </c>
      <c r="DQ291" s="24">
        <v>39</v>
      </c>
      <c r="DR291" s="24" t="s">
        <v>33</v>
      </c>
      <c r="DS291" s="24">
        <v>10520</v>
      </c>
      <c r="DT291" s="24"/>
      <c r="DW291" s="24">
        <v>2021</v>
      </c>
      <c r="DX291" s="24">
        <v>30</v>
      </c>
      <c r="DY291" s="24" t="s">
        <v>33</v>
      </c>
      <c r="DZ291" s="24">
        <v>9</v>
      </c>
      <c r="EA291" s="24" t="s">
        <v>562</v>
      </c>
      <c r="EB291" s="24">
        <v>113.5</v>
      </c>
      <c r="EC291" s="24">
        <v>9.1999999999999993</v>
      </c>
      <c r="ED291" s="24">
        <v>1</v>
      </c>
      <c r="EE291" s="24">
        <v>4801</v>
      </c>
      <c r="EF291" s="24">
        <v>53</v>
      </c>
      <c r="EI291" s="24">
        <v>2023</v>
      </c>
      <c r="EJ291" s="24">
        <v>2</v>
      </c>
      <c r="EK291" s="24" t="s">
        <v>237</v>
      </c>
      <c r="EL291" s="24" t="s">
        <v>554</v>
      </c>
      <c r="EM291" s="24" t="s">
        <v>215</v>
      </c>
      <c r="EN291" s="24">
        <v>1</v>
      </c>
      <c r="EO291" s="24"/>
      <c r="EP291" s="24"/>
      <c r="EQ291" s="24"/>
      <c r="ER291" s="24"/>
      <c r="ES291" s="24">
        <v>2021</v>
      </c>
      <c r="ET291" s="24">
        <v>13</v>
      </c>
      <c r="EU291" s="24" t="s">
        <v>32</v>
      </c>
      <c r="EV291" s="24">
        <v>4865</v>
      </c>
      <c r="EY291" s="24"/>
      <c r="EZ291" s="24"/>
      <c r="FA291" s="24"/>
      <c r="FB291" s="24"/>
      <c r="FE291" s="24"/>
      <c r="FF291" s="24"/>
      <c r="FG291" s="24"/>
      <c r="FH291" s="24"/>
      <c r="FN291" s="24"/>
      <c r="FO291" s="24"/>
      <c r="FP291" s="24"/>
      <c r="FQ291" s="24"/>
      <c r="FW291" s="24">
        <v>2020</v>
      </c>
      <c r="FX291" s="24">
        <v>41</v>
      </c>
      <c r="FY291" s="24" t="s">
        <v>33</v>
      </c>
      <c r="FZ291" s="24">
        <v>7184</v>
      </c>
      <c r="GA291" s="24">
        <v>6550</v>
      </c>
      <c r="GB291" s="24"/>
      <c r="GC291" s="24"/>
      <c r="GD291" s="24">
        <v>2020</v>
      </c>
      <c r="GE291" s="24">
        <v>41</v>
      </c>
      <c r="GF291" s="24" t="s">
        <v>33</v>
      </c>
      <c r="GG291" s="24">
        <v>7038</v>
      </c>
      <c r="GH291" s="24">
        <v>6554</v>
      </c>
      <c r="GK291" s="24"/>
      <c r="GL291" s="24"/>
      <c r="GM291" s="24"/>
      <c r="GN291" s="24"/>
      <c r="GO291" s="24"/>
      <c r="GP291" s="24"/>
      <c r="GQ291" s="24"/>
      <c r="GR291" s="24"/>
      <c r="GS291" s="24"/>
      <c r="GX291">
        <v>2020</v>
      </c>
      <c r="GY291">
        <v>41</v>
      </c>
      <c r="GZ291" t="s">
        <v>33</v>
      </c>
      <c r="HA291">
        <v>148844</v>
      </c>
      <c r="HB291">
        <v>147601</v>
      </c>
      <c r="HC291">
        <v>28</v>
      </c>
      <c r="HD291">
        <v>16</v>
      </c>
      <c r="HE291">
        <v>0</v>
      </c>
      <c r="HF291">
        <v>16</v>
      </c>
      <c r="HG291">
        <v>0</v>
      </c>
      <c r="HH291">
        <v>0</v>
      </c>
      <c r="HI291">
        <v>315</v>
      </c>
      <c r="HL291">
        <v>2020</v>
      </c>
      <c r="HM291">
        <v>41</v>
      </c>
      <c r="HN291" t="s">
        <v>33</v>
      </c>
      <c r="HO291">
        <v>147200</v>
      </c>
      <c r="HP291">
        <v>146955</v>
      </c>
      <c r="HQ291">
        <v>70</v>
      </c>
      <c r="HR291">
        <v>1</v>
      </c>
      <c r="HS291">
        <v>1</v>
      </c>
      <c r="HT291">
        <v>25</v>
      </c>
      <c r="HU291">
        <v>0</v>
      </c>
      <c r="HV291">
        <v>0</v>
      </c>
      <c r="HW291">
        <v>15</v>
      </c>
      <c r="HZ291" s="24">
        <v>2020</v>
      </c>
      <c r="IA291" s="24">
        <v>41</v>
      </c>
      <c r="IB291" s="24" t="s">
        <v>33</v>
      </c>
      <c r="IC291" s="24">
        <v>7281</v>
      </c>
      <c r="ID291" s="24">
        <v>7206</v>
      </c>
      <c r="IG291" s="24">
        <v>2020</v>
      </c>
      <c r="IH291" s="24">
        <v>41</v>
      </c>
      <c r="II291" s="24" t="s">
        <v>33</v>
      </c>
      <c r="IJ291" s="24">
        <v>6816</v>
      </c>
      <c r="IK291" s="24">
        <v>6799</v>
      </c>
    </row>
    <row r="292" spans="9:245" x14ac:dyDescent="0.4">
      <c r="I292" s="305">
        <v>2020</v>
      </c>
      <c r="J292" s="306">
        <v>41</v>
      </c>
      <c r="K292" s="306" t="s">
        <v>33</v>
      </c>
      <c r="L292" s="306">
        <v>148890</v>
      </c>
      <c r="M292" s="306">
        <v>145634</v>
      </c>
      <c r="N292" s="306">
        <v>285</v>
      </c>
      <c r="O292" s="306">
        <v>817</v>
      </c>
      <c r="P292" s="306">
        <v>102</v>
      </c>
      <c r="Q292" s="306">
        <v>15</v>
      </c>
      <c r="R292" s="24"/>
      <c r="S292" s="24"/>
      <c r="T292" s="24"/>
      <c r="W292" s="24">
        <v>2020</v>
      </c>
      <c r="X292" s="24">
        <v>40</v>
      </c>
      <c r="Y292" s="24" t="s">
        <v>32</v>
      </c>
      <c r="Z292" s="24">
        <v>7345</v>
      </c>
      <c r="AA292" s="24">
        <v>6280</v>
      </c>
      <c r="AB292" s="24">
        <v>13</v>
      </c>
      <c r="AC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I292" s="24">
        <v>2021</v>
      </c>
      <c r="BJ292" s="24">
        <v>51</v>
      </c>
      <c r="BK292" s="24" t="s">
        <v>33</v>
      </c>
      <c r="BL292" s="24" t="s">
        <v>272</v>
      </c>
      <c r="BM292" s="24">
        <v>45102</v>
      </c>
      <c r="BN292" s="24">
        <v>45088</v>
      </c>
      <c r="BO292" s="24">
        <v>161981</v>
      </c>
      <c r="BR292" s="24"/>
      <c r="BS292" s="24"/>
      <c r="BT292" s="24"/>
      <c r="BU292" s="24"/>
      <c r="BV292" s="24"/>
      <c r="BY292" s="327">
        <v>2021</v>
      </c>
      <c r="BZ292" s="327">
        <v>2</v>
      </c>
      <c r="CA292" s="327" t="s">
        <v>32</v>
      </c>
      <c r="CB292" s="327" t="s">
        <v>423</v>
      </c>
      <c r="CC292" s="327">
        <v>97</v>
      </c>
      <c r="CF292" s="24"/>
      <c r="CG292" s="24"/>
      <c r="CH292" s="24"/>
      <c r="CI292" s="24"/>
      <c r="CJ292" s="24"/>
      <c r="DD292" s="24"/>
      <c r="DE292" s="24"/>
      <c r="DF292" s="24"/>
      <c r="DG292" s="24"/>
      <c r="DH292" s="24"/>
      <c r="DJ292" s="24">
        <v>2020</v>
      </c>
      <c r="DK292" s="24">
        <v>42</v>
      </c>
      <c r="DL292" s="24" t="s">
        <v>33</v>
      </c>
      <c r="DM292" s="24">
        <v>311</v>
      </c>
      <c r="DP292" s="314">
        <v>2018</v>
      </c>
      <c r="DQ292" s="314">
        <v>38</v>
      </c>
      <c r="DR292" s="314" t="s">
        <v>33</v>
      </c>
      <c r="DS292" s="314">
        <v>8661</v>
      </c>
      <c r="DT292" s="314"/>
      <c r="DW292" s="24">
        <v>2021</v>
      </c>
      <c r="DX292" s="24">
        <v>30</v>
      </c>
      <c r="DY292" s="24" t="s">
        <v>33</v>
      </c>
      <c r="DZ292" s="24">
        <v>43</v>
      </c>
      <c r="EA292" s="24" t="s">
        <v>149</v>
      </c>
      <c r="EB292" s="24">
        <v>194.8</v>
      </c>
      <c r="EC292" s="24">
        <v>1087.7</v>
      </c>
      <c r="ED292" s="24">
        <v>38376</v>
      </c>
      <c r="EE292" s="24">
        <v>45484</v>
      </c>
      <c r="EF292" s="24">
        <v>205.6</v>
      </c>
      <c r="EI292" s="24">
        <v>2023</v>
      </c>
      <c r="EJ292" s="24">
        <v>2</v>
      </c>
      <c r="EK292" s="24" t="s">
        <v>237</v>
      </c>
      <c r="EL292" s="24" t="s">
        <v>235</v>
      </c>
      <c r="EM292" s="24" t="s">
        <v>210</v>
      </c>
      <c r="EN292" s="24">
        <v>8</v>
      </c>
      <c r="EO292" s="24"/>
      <c r="EP292" s="24"/>
      <c r="EQ292" s="24"/>
      <c r="ER292" s="24"/>
      <c r="ES292" s="24">
        <v>2021</v>
      </c>
      <c r="ET292" s="24">
        <v>13</v>
      </c>
      <c r="EU292" s="24" t="s">
        <v>33</v>
      </c>
      <c r="EV292" s="24">
        <v>92996</v>
      </c>
      <c r="EY292" s="24"/>
      <c r="EZ292" s="24"/>
      <c r="FA292" s="24"/>
      <c r="FB292" s="24"/>
      <c r="FE292" s="24"/>
      <c r="FF292" s="24"/>
      <c r="FG292" s="24"/>
      <c r="FH292" s="24"/>
      <c r="FN292" s="24"/>
      <c r="FO292" s="24"/>
      <c r="FP292" s="24"/>
      <c r="FQ292" s="24"/>
      <c r="FW292" s="24">
        <v>2020</v>
      </c>
      <c r="FX292" s="24">
        <v>40</v>
      </c>
      <c r="FY292" s="24" t="s">
        <v>32</v>
      </c>
      <c r="FZ292" s="24">
        <v>821</v>
      </c>
      <c r="GA292" s="24">
        <v>759</v>
      </c>
      <c r="GB292" s="24"/>
      <c r="GC292" s="24"/>
      <c r="GD292" s="24">
        <v>2020</v>
      </c>
      <c r="GE292" s="24">
        <v>40</v>
      </c>
      <c r="GF292" s="24" t="s">
        <v>32</v>
      </c>
      <c r="GG292" s="24">
        <v>796</v>
      </c>
      <c r="GH292" s="24">
        <v>716</v>
      </c>
      <c r="GK292" s="24"/>
      <c r="GL292" s="24"/>
      <c r="GM292" s="24"/>
      <c r="GN292" s="24"/>
      <c r="GO292" s="24"/>
      <c r="GP292" s="24"/>
      <c r="GQ292" s="24"/>
      <c r="GR292" s="24"/>
      <c r="GS292" s="24"/>
      <c r="GX292">
        <v>2020</v>
      </c>
      <c r="GY292">
        <v>40</v>
      </c>
      <c r="GZ292" t="s">
        <v>32</v>
      </c>
      <c r="HA292">
        <v>7320</v>
      </c>
      <c r="HB292">
        <v>7250</v>
      </c>
      <c r="HC292">
        <v>0</v>
      </c>
      <c r="HD292">
        <v>1</v>
      </c>
      <c r="HE292">
        <v>0</v>
      </c>
      <c r="HF292">
        <v>3</v>
      </c>
      <c r="HG292">
        <v>0</v>
      </c>
      <c r="HH292">
        <v>0</v>
      </c>
      <c r="HI292">
        <v>29</v>
      </c>
      <c r="HL292">
        <v>2020</v>
      </c>
      <c r="HM292">
        <v>40</v>
      </c>
      <c r="HN292" t="s">
        <v>32</v>
      </c>
      <c r="HO292">
        <v>7305</v>
      </c>
      <c r="HP292">
        <v>7293</v>
      </c>
      <c r="HQ292">
        <v>0</v>
      </c>
      <c r="HR292">
        <v>0</v>
      </c>
      <c r="HS292">
        <v>0</v>
      </c>
      <c r="HT292">
        <v>3</v>
      </c>
      <c r="HU292">
        <v>0</v>
      </c>
      <c r="HV292">
        <v>0</v>
      </c>
      <c r="HW292">
        <v>0</v>
      </c>
      <c r="HZ292" s="24">
        <v>2020</v>
      </c>
      <c r="IA292" s="24">
        <v>40</v>
      </c>
      <c r="IB292" s="24" t="s">
        <v>32</v>
      </c>
      <c r="IC292" s="24">
        <v>797</v>
      </c>
      <c r="ID292" s="24">
        <v>786</v>
      </c>
      <c r="IG292" s="24">
        <v>2020</v>
      </c>
      <c r="IH292" s="24">
        <v>40</v>
      </c>
      <c r="II292" s="24" t="s">
        <v>32</v>
      </c>
      <c r="IJ292" s="24">
        <v>772</v>
      </c>
      <c r="IK292" s="24">
        <v>771</v>
      </c>
    </row>
    <row r="293" spans="9:245" x14ac:dyDescent="0.4">
      <c r="I293" s="305">
        <v>2020</v>
      </c>
      <c r="J293" s="306">
        <v>40</v>
      </c>
      <c r="K293" s="306" t="s">
        <v>32</v>
      </c>
      <c r="L293" s="306">
        <v>7520</v>
      </c>
      <c r="M293" s="306">
        <v>6399</v>
      </c>
      <c r="N293" s="306">
        <v>36</v>
      </c>
      <c r="O293" s="306">
        <v>298</v>
      </c>
      <c r="P293" s="306">
        <v>12</v>
      </c>
      <c r="Q293" s="306">
        <v>1</v>
      </c>
      <c r="R293" s="24"/>
      <c r="S293" s="24"/>
      <c r="T293" s="24"/>
      <c r="W293" s="24">
        <v>2020</v>
      </c>
      <c r="X293" s="24">
        <v>40</v>
      </c>
      <c r="Y293" s="24" t="s">
        <v>33</v>
      </c>
      <c r="Z293" s="24">
        <v>152620</v>
      </c>
      <c r="AA293" s="24">
        <v>148480</v>
      </c>
      <c r="AB293" s="24">
        <v>222</v>
      </c>
      <c r="AC293" s="24">
        <v>6</v>
      </c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I293" s="24">
        <v>2021</v>
      </c>
      <c r="BJ293" s="24">
        <v>51</v>
      </c>
      <c r="BK293" s="24" t="s">
        <v>33</v>
      </c>
      <c r="BL293" s="24" t="s">
        <v>273</v>
      </c>
      <c r="BM293" s="24">
        <v>83047</v>
      </c>
      <c r="BN293" s="24">
        <v>82681</v>
      </c>
      <c r="BO293" s="24">
        <v>84931</v>
      </c>
      <c r="BR293" s="24"/>
      <c r="BS293" s="24"/>
      <c r="BT293" s="24"/>
      <c r="BU293" s="24"/>
      <c r="BV293" s="24"/>
      <c r="BY293" s="327">
        <v>2021</v>
      </c>
      <c r="BZ293" s="327">
        <v>2</v>
      </c>
      <c r="CA293" s="327" t="s">
        <v>33</v>
      </c>
      <c r="CB293" s="327" t="s">
        <v>423</v>
      </c>
      <c r="CC293" s="327">
        <v>5</v>
      </c>
      <c r="CF293" s="24"/>
      <c r="CG293" s="24"/>
      <c r="CH293" s="24"/>
      <c r="CI293" s="24"/>
      <c r="CJ293" s="24"/>
      <c r="DD293" s="24"/>
      <c r="DE293" s="24"/>
      <c r="DF293" s="24"/>
      <c r="DG293" s="24"/>
      <c r="DH293" s="24"/>
      <c r="DJ293" s="24">
        <v>2020</v>
      </c>
      <c r="DK293" s="24">
        <v>42</v>
      </c>
      <c r="DL293" s="24" t="s">
        <v>213</v>
      </c>
      <c r="DM293" s="24">
        <v>1</v>
      </c>
      <c r="DP293" s="314">
        <v>2018</v>
      </c>
      <c r="DQ293" s="314">
        <v>37</v>
      </c>
      <c r="DR293" s="314" t="s">
        <v>33</v>
      </c>
      <c r="DS293" s="314">
        <v>11353</v>
      </c>
      <c r="DT293" s="314"/>
      <c r="DW293" s="24">
        <v>2021</v>
      </c>
      <c r="DX293" s="24">
        <v>29</v>
      </c>
      <c r="DY293" s="24" t="s">
        <v>32</v>
      </c>
      <c r="DZ293" s="24">
        <v>1</v>
      </c>
      <c r="EA293" s="24" t="s">
        <v>149</v>
      </c>
      <c r="EB293" s="24">
        <v>0</v>
      </c>
      <c r="EC293" s="24">
        <v>0.4</v>
      </c>
      <c r="ED293" s="24">
        <v>133</v>
      </c>
      <c r="EE293" s="24">
        <v>236</v>
      </c>
      <c r="EF293" s="24">
        <v>2.2999999999999998</v>
      </c>
      <c r="EI293" s="24">
        <v>2023</v>
      </c>
      <c r="EJ293" s="24">
        <v>2</v>
      </c>
      <c r="EK293" s="24" t="s">
        <v>237</v>
      </c>
      <c r="EL293" s="24" t="s">
        <v>247</v>
      </c>
      <c r="EM293" s="24" t="s">
        <v>210</v>
      </c>
      <c r="EN293" s="24">
        <v>2</v>
      </c>
      <c r="EO293" s="24"/>
      <c r="EP293" s="24"/>
      <c r="EQ293" s="24"/>
      <c r="ER293" s="24"/>
      <c r="ES293" s="24">
        <v>2021</v>
      </c>
      <c r="ET293" s="24">
        <v>13</v>
      </c>
      <c r="EU293" s="24" t="s">
        <v>213</v>
      </c>
      <c r="EV293" s="24">
        <v>11</v>
      </c>
      <c r="EY293" s="24"/>
      <c r="EZ293" s="24"/>
      <c r="FA293" s="24"/>
      <c r="FB293" s="24"/>
      <c r="FE293" s="24"/>
      <c r="FF293" s="24"/>
      <c r="FG293" s="24"/>
      <c r="FH293" s="24"/>
      <c r="FN293" s="24"/>
      <c r="FO293" s="24"/>
      <c r="FP293" s="24"/>
      <c r="FQ293" s="24"/>
      <c r="FW293" s="24">
        <v>2020</v>
      </c>
      <c r="FX293" s="24">
        <v>40</v>
      </c>
      <c r="FY293" s="24" t="s">
        <v>33</v>
      </c>
      <c r="FZ293" s="24">
        <v>6542</v>
      </c>
      <c r="GA293" s="24">
        <v>6323</v>
      </c>
      <c r="GB293" s="24"/>
      <c r="GC293" s="24"/>
      <c r="GD293" s="24">
        <v>2020</v>
      </c>
      <c r="GE293" s="24">
        <v>40</v>
      </c>
      <c r="GF293" s="24" t="s">
        <v>33</v>
      </c>
      <c r="GG293" s="24">
        <v>6558</v>
      </c>
      <c r="GH293" s="24">
        <v>6380</v>
      </c>
      <c r="GK293" s="24"/>
      <c r="GL293" s="24"/>
      <c r="GM293" s="24"/>
      <c r="GN293" s="24"/>
      <c r="GO293" s="24"/>
      <c r="GP293" s="24"/>
      <c r="GQ293" s="24"/>
      <c r="GR293" s="24"/>
      <c r="GS293" s="24"/>
      <c r="GX293">
        <v>2020</v>
      </c>
      <c r="GY293">
        <v>40</v>
      </c>
      <c r="GZ293" t="s">
        <v>33</v>
      </c>
      <c r="HA293">
        <v>152099</v>
      </c>
      <c r="HB293">
        <v>151391</v>
      </c>
      <c r="HC293">
        <v>24</v>
      </c>
      <c r="HD293">
        <v>28</v>
      </c>
      <c r="HE293">
        <v>0</v>
      </c>
      <c r="HF293">
        <v>11</v>
      </c>
      <c r="HG293">
        <v>0</v>
      </c>
      <c r="HH293">
        <v>0</v>
      </c>
      <c r="HI293">
        <v>374</v>
      </c>
      <c r="HL293">
        <v>2020</v>
      </c>
      <c r="HM293">
        <v>40</v>
      </c>
      <c r="HN293" t="s">
        <v>33</v>
      </c>
      <c r="HO293">
        <v>152422</v>
      </c>
      <c r="HP293">
        <v>152305</v>
      </c>
      <c r="HQ293">
        <v>35</v>
      </c>
      <c r="HR293">
        <v>5</v>
      </c>
      <c r="HS293">
        <v>0</v>
      </c>
      <c r="HT293">
        <v>4</v>
      </c>
      <c r="HU293">
        <v>0</v>
      </c>
      <c r="HV293">
        <v>0</v>
      </c>
      <c r="HW293">
        <v>9</v>
      </c>
      <c r="HZ293" s="24">
        <v>2020</v>
      </c>
      <c r="IA293" s="24">
        <v>40</v>
      </c>
      <c r="IB293" s="24" t="s">
        <v>33</v>
      </c>
      <c r="IC293" s="24">
        <v>6448</v>
      </c>
      <c r="ID293" s="24">
        <v>6348</v>
      </c>
      <c r="IG293" s="24">
        <v>2020</v>
      </c>
      <c r="IH293" s="24">
        <v>40</v>
      </c>
      <c r="II293" s="24" t="s">
        <v>33</v>
      </c>
      <c r="IJ293" s="24">
        <v>6194</v>
      </c>
      <c r="IK293" s="24">
        <v>6181</v>
      </c>
    </row>
    <row r="294" spans="9:245" x14ac:dyDescent="0.4">
      <c r="I294" s="305">
        <v>2020</v>
      </c>
      <c r="J294" s="306">
        <v>40</v>
      </c>
      <c r="K294" s="306" t="s">
        <v>33</v>
      </c>
      <c r="L294" s="306">
        <v>152513</v>
      </c>
      <c r="M294" s="306">
        <v>147832</v>
      </c>
      <c r="N294" s="306">
        <v>385</v>
      </c>
      <c r="O294" s="306">
        <v>1049</v>
      </c>
      <c r="P294" s="306">
        <v>253</v>
      </c>
      <c r="Q294" s="306">
        <v>15</v>
      </c>
      <c r="R294" s="24"/>
      <c r="S294" s="24"/>
      <c r="T294" s="24"/>
      <c r="W294" s="309">
        <v>2020</v>
      </c>
      <c r="X294" s="309">
        <v>39</v>
      </c>
      <c r="Y294" s="309" t="s">
        <v>32</v>
      </c>
      <c r="Z294" s="309">
        <v>7154</v>
      </c>
      <c r="AA294" s="309">
        <v>6876</v>
      </c>
      <c r="AB294" s="309">
        <v>10</v>
      </c>
      <c r="AC294" s="309">
        <v>4</v>
      </c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I294" s="24">
        <v>2021</v>
      </c>
      <c r="BJ294" s="24">
        <v>50</v>
      </c>
      <c r="BK294" s="24" t="s">
        <v>32</v>
      </c>
      <c r="BL294" s="24" t="s">
        <v>273</v>
      </c>
      <c r="BM294" s="24">
        <v>5768</v>
      </c>
      <c r="BN294" s="24">
        <v>5736</v>
      </c>
      <c r="BO294" s="24">
        <v>6231</v>
      </c>
      <c r="BR294" s="24"/>
      <c r="BS294" s="24"/>
      <c r="BT294" s="24"/>
      <c r="BU294" s="24"/>
      <c r="BV294" s="24"/>
      <c r="BY294" s="327">
        <v>2021</v>
      </c>
      <c r="BZ294" s="327">
        <v>1</v>
      </c>
      <c r="CA294" s="327" t="s">
        <v>32</v>
      </c>
      <c r="CB294" s="327" t="s">
        <v>108</v>
      </c>
      <c r="CC294" s="327">
        <v>4</v>
      </c>
      <c r="CF294" s="24"/>
      <c r="CG294" s="24"/>
      <c r="CH294" s="24"/>
      <c r="CI294" s="24"/>
      <c r="CJ294" s="24"/>
      <c r="DD294" s="24"/>
      <c r="DE294" s="24"/>
      <c r="DF294" s="24"/>
      <c r="DG294" s="24"/>
      <c r="DH294" s="24"/>
      <c r="DJ294" s="24">
        <v>2020</v>
      </c>
      <c r="DK294" s="24">
        <v>41</v>
      </c>
      <c r="DL294" s="24" t="s">
        <v>32</v>
      </c>
      <c r="DM294" s="24">
        <v>16</v>
      </c>
      <c r="DP294" s="314">
        <v>2018</v>
      </c>
      <c r="DQ294" s="314">
        <v>36</v>
      </c>
      <c r="DR294" s="314" t="s">
        <v>33</v>
      </c>
      <c r="DS294" s="314">
        <v>9509</v>
      </c>
      <c r="DT294" s="314"/>
      <c r="DW294" s="24">
        <v>2021</v>
      </c>
      <c r="DX294" s="24">
        <v>29</v>
      </c>
      <c r="DY294" s="24" t="s">
        <v>33</v>
      </c>
      <c r="DZ294" s="24">
        <v>9</v>
      </c>
      <c r="EA294" s="24" t="s">
        <v>562</v>
      </c>
      <c r="EB294" s="24">
        <v>75.7</v>
      </c>
      <c r="EC294" s="24">
        <v>0</v>
      </c>
      <c r="ED294" s="24"/>
      <c r="EE294" s="24">
        <v>3107</v>
      </c>
      <c r="EF294" s="24">
        <v>42.7</v>
      </c>
      <c r="EI294" s="24">
        <v>2023</v>
      </c>
      <c r="EJ294" s="24">
        <v>2</v>
      </c>
      <c r="EK294" s="24" t="s">
        <v>211</v>
      </c>
      <c r="EL294" s="24" t="s">
        <v>232</v>
      </c>
      <c r="EM294" s="24" t="s">
        <v>210</v>
      </c>
      <c r="EN294" s="24">
        <v>1</v>
      </c>
      <c r="EO294" s="24"/>
      <c r="EP294" s="24"/>
      <c r="EQ294" s="24"/>
      <c r="ER294" s="24"/>
      <c r="ES294" s="24">
        <v>2021</v>
      </c>
      <c r="ET294" s="24">
        <v>12</v>
      </c>
      <c r="EU294" s="24" t="s">
        <v>32</v>
      </c>
      <c r="EV294" s="24">
        <v>4080</v>
      </c>
      <c r="EY294" s="24"/>
      <c r="EZ294" s="24"/>
      <c r="FA294" s="24"/>
      <c r="FB294" s="24"/>
      <c r="FE294" s="24"/>
      <c r="FF294" s="24"/>
      <c r="FG294" s="24"/>
      <c r="FH294" s="24"/>
      <c r="FN294" s="24"/>
      <c r="FO294" s="24"/>
      <c r="FP294" s="24"/>
      <c r="FQ294" s="24"/>
      <c r="FW294" s="24">
        <v>2020</v>
      </c>
      <c r="FX294" s="24">
        <v>39</v>
      </c>
      <c r="FY294" s="24" t="s">
        <v>32</v>
      </c>
      <c r="FZ294" s="24">
        <v>987</v>
      </c>
      <c r="GA294" s="24">
        <v>942</v>
      </c>
      <c r="GB294" s="24"/>
      <c r="GC294" s="24"/>
      <c r="GD294" s="309">
        <v>2020</v>
      </c>
      <c r="GE294" s="309">
        <v>39</v>
      </c>
      <c r="GF294" s="309" t="s">
        <v>32</v>
      </c>
      <c r="GG294" s="309">
        <v>961</v>
      </c>
      <c r="GH294" s="309">
        <v>899</v>
      </c>
      <c r="GK294" s="24"/>
      <c r="GL294" s="24"/>
      <c r="GM294" s="24"/>
      <c r="GN294" s="24"/>
      <c r="GO294" s="24"/>
      <c r="GP294" s="24"/>
      <c r="GQ294" s="24"/>
      <c r="GR294" s="24"/>
      <c r="GS294" s="24"/>
      <c r="GX294">
        <v>2020</v>
      </c>
      <c r="GY294">
        <v>39</v>
      </c>
      <c r="GZ294" t="s">
        <v>32</v>
      </c>
      <c r="HA294">
        <v>6867</v>
      </c>
      <c r="HB294">
        <v>6811</v>
      </c>
      <c r="HC294">
        <v>0</v>
      </c>
      <c r="HD294">
        <v>2</v>
      </c>
      <c r="HE294">
        <v>0</v>
      </c>
      <c r="HF294">
        <v>2</v>
      </c>
      <c r="HG294">
        <v>0</v>
      </c>
      <c r="HH294">
        <v>0</v>
      </c>
      <c r="HI294">
        <v>22</v>
      </c>
      <c r="HL294">
        <v>2020</v>
      </c>
      <c r="HM294">
        <v>39</v>
      </c>
      <c r="HN294" t="s">
        <v>32</v>
      </c>
      <c r="HO294">
        <v>7132</v>
      </c>
      <c r="HP294">
        <v>7118</v>
      </c>
      <c r="HQ294">
        <v>0</v>
      </c>
      <c r="HR294">
        <v>4</v>
      </c>
      <c r="HS294">
        <v>0</v>
      </c>
      <c r="HT294">
        <v>4</v>
      </c>
      <c r="HU294">
        <v>0</v>
      </c>
      <c r="HV294">
        <v>0</v>
      </c>
      <c r="HW294">
        <v>0</v>
      </c>
      <c r="HZ294" s="24">
        <v>2020</v>
      </c>
      <c r="IA294" s="24">
        <v>39</v>
      </c>
      <c r="IB294" s="24" t="s">
        <v>32</v>
      </c>
      <c r="IC294" s="24">
        <v>902</v>
      </c>
      <c r="ID294" s="24">
        <v>886</v>
      </c>
      <c r="IG294" s="24">
        <v>2020</v>
      </c>
      <c r="IH294" s="24">
        <v>39</v>
      </c>
      <c r="II294" s="24" t="s">
        <v>32</v>
      </c>
      <c r="IJ294" s="24">
        <v>952</v>
      </c>
      <c r="IK294" s="24">
        <v>952</v>
      </c>
    </row>
    <row r="295" spans="9:245" x14ac:dyDescent="0.4">
      <c r="I295" s="305">
        <v>2020</v>
      </c>
      <c r="J295" s="306">
        <v>39</v>
      </c>
      <c r="K295" s="306" t="s">
        <v>32</v>
      </c>
      <c r="L295" s="306">
        <v>7226</v>
      </c>
      <c r="M295" s="306">
        <v>6804</v>
      </c>
      <c r="N295" s="306">
        <v>13</v>
      </c>
      <c r="O295" s="306">
        <v>154</v>
      </c>
      <c r="P295" s="306">
        <v>14</v>
      </c>
      <c r="Q295" s="306">
        <v>4</v>
      </c>
      <c r="R295" s="24"/>
      <c r="S295" s="24"/>
      <c r="T295" s="24"/>
      <c r="W295" s="309">
        <v>2020</v>
      </c>
      <c r="X295" s="309">
        <v>39</v>
      </c>
      <c r="Y295" s="309" t="s">
        <v>33</v>
      </c>
      <c r="Z295" s="309">
        <v>152511</v>
      </c>
      <c r="AA295" s="309">
        <v>150653</v>
      </c>
      <c r="AB295" s="309">
        <v>116</v>
      </c>
      <c r="AC295" s="309">
        <v>4</v>
      </c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I295" s="24">
        <v>2021</v>
      </c>
      <c r="BJ295" s="24">
        <v>50</v>
      </c>
      <c r="BK295" s="24" t="s">
        <v>33</v>
      </c>
      <c r="BL295" s="24" t="s">
        <v>272</v>
      </c>
      <c r="BM295" s="24">
        <v>49038</v>
      </c>
      <c r="BN295" s="24">
        <v>49007</v>
      </c>
      <c r="BO295" s="24">
        <v>174812</v>
      </c>
      <c r="BR295" s="24"/>
      <c r="BS295" s="24"/>
      <c r="BT295" s="24"/>
      <c r="BU295" s="24"/>
      <c r="BV295" s="24"/>
      <c r="BY295" s="327">
        <v>2021</v>
      </c>
      <c r="BZ295" s="327">
        <v>1</v>
      </c>
      <c r="CA295" s="327" t="s">
        <v>32</v>
      </c>
      <c r="CB295" s="327" t="s">
        <v>423</v>
      </c>
      <c r="CC295" s="327">
        <v>74</v>
      </c>
      <c r="CF295" s="24"/>
      <c r="CG295" s="24"/>
      <c r="CH295" s="24"/>
      <c r="CI295" s="24"/>
      <c r="CJ295" s="24"/>
      <c r="DD295" s="24"/>
      <c r="DE295" s="24"/>
      <c r="DF295" s="24"/>
      <c r="DG295" s="24"/>
      <c r="DH295" s="24"/>
      <c r="DJ295" s="24">
        <v>2020</v>
      </c>
      <c r="DK295" s="24">
        <v>41</v>
      </c>
      <c r="DL295" s="24" t="s">
        <v>33</v>
      </c>
      <c r="DM295" s="24">
        <v>336</v>
      </c>
      <c r="DP295" s="314">
        <v>2018</v>
      </c>
      <c r="DQ295" s="314">
        <v>35</v>
      </c>
      <c r="DR295" s="314" t="s">
        <v>33</v>
      </c>
      <c r="DS295" s="314">
        <v>7555</v>
      </c>
      <c r="DT295" s="314"/>
      <c r="DW295" s="24">
        <v>2021</v>
      </c>
      <c r="DX295" s="24">
        <v>29</v>
      </c>
      <c r="DY295" s="24" t="s">
        <v>33</v>
      </c>
      <c r="DZ295" s="24">
        <v>42</v>
      </c>
      <c r="EA295" s="24" t="s">
        <v>149</v>
      </c>
      <c r="EB295" s="24">
        <v>121.7</v>
      </c>
      <c r="EC295" s="24">
        <v>1109.3</v>
      </c>
      <c r="ED295" s="24">
        <v>38578</v>
      </c>
      <c r="EE295" s="24">
        <v>40415</v>
      </c>
      <c r="EF295" s="24">
        <v>97.3</v>
      </c>
      <c r="EI295" s="24">
        <v>2023</v>
      </c>
      <c r="EJ295" s="24">
        <v>2</v>
      </c>
      <c r="EK295" s="24" t="s">
        <v>211</v>
      </c>
      <c r="EL295" s="24" t="s">
        <v>232</v>
      </c>
      <c r="EM295" s="24" t="s">
        <v>234</v>
      </c>
      <c r="EN295" s="24">
        <v>1</v>
      </c>
      <c r="EO295" s="24"/>
      <c r="EP295" s="24"/>
      <c r="EQ295" s="24"/>
      <c r="ER295" s="24"/>
      <c r="ES295" s="24">
        <v>2021</v>
      </c>
      <c r="ET295" s="24">
        <v>12</v>
      </c>
      <c r="EU295" s="24" t="s">
        <v>33</v>
      </c>
      <c r="EV295" s="24">
        <v>86690</v>
      </c>
      <c r="EY295" s="24"/>
      <c r="EZ295" s="24"/>
      <c r="FA295" s="24"/>
      <c r="FB295" s="24"/>
      <c r="FE295" s="24"/>
      <c r="FF295" s="24"/>
      <c r="FG295" s="24"/>
      <c r="FH295" s="24"/>
      <c r="FN295" s="24"/>
      <c r="FO295" s="24"/>
      <c r="FP295" s="24"/>
      <c r="FQ295" s="24"/>
      <c r="FW295" s="24">
        <v>2020</v>
      </c>
      <c r="FX295" s="24">
        <v>39</v>
      </c>
      <c r="FY295" s="24" t="s">
        <v>33</v>
      </c>
      <c r="FZ295" s="24">
        <v>7384</v>
      </c>
      <c r="GA295" s="24">
        <v>7075</v>
      </c>
      <c r="GB295" s="24"/>
      <c r="GC295" s="24"/>
      <c r="GD295" s="309">
        <v>2020</v>
      </c>
      <c r="GE295" s="309">
        <v>39</v>
      </c>
      <c r="GF295" s="309" t="s">
        <v>33</v>
      </c>
      <c r="GG295" s="309">
        <v>7394</v>
      </c>
      <c r="GH295" s="309">
        <v>7145</v>
      </c>
      <c r="GK295" s="24"/>
      <c r="GL295" s="24"/>
      <c r="GM295" s="24"/>
      <c r="GN295" s="24"/>
      <c r="GO295" s="24"/>
      <c r="GP295" s="24"/>
      <c r="GQ295" s="24"/>
      <c r="GR295" s="24"/>
      <c r="GS295" s="24"/>
      <c r="GX295">
        <v>2020</v>
      </c>
      <c r="GY295">
        <v>39</v>
      </c>
      <c r="GZ295" t="s">
        <v>33</v>
      </c>
      <c r="HA295">
        <v>151903</v>
      </c>
      <c r="HB295">
        <v>151156</v>
      </c>
      <c r="HC295">
        <v>30</v>
      </c>
      <c r="HD295">
        <v>17</v>
      </c>
      <c r="HE295">
        <v>0</v>
      </c>
      <c r="HF295">
        <v>27</v>
      </c>
      <c r="HG295">
        <v>0</v>
      </c>
      <c r="HH295">
        <v>0</v>
      </c>
      <c r="HI295">
        <v>356</v>
      </c>
      <c r="HL295">
        <v>2020</v>
      </c>
      <c r="HM295">
        <v>39</v>
      </c>
      <c r="HN295" t="s">
        <v>33</v>
      </c>
      <c r="HO295">
        <v>152308</v>
      </c>
      <c r="HP295">
        <v>152092</v>
      </c>
      <c r="HQ295">
        <v>42</v>
      </c>
      <c r="HR295">
        <v>4</v>
      </c>
      <c r="HS295">
        <v>0</v>
      </c>
      <c r="HT295">
        <v>16</v>
      </c>
      <c r="HU295">
        <v>0</v>
      </c>
      <c r="HV295">
        <v>0</v>
      </c>
      <c r="HW295">
        <v>28</v>
      </c>
      <c r="HZ295" s="24">
        <v>2020</v>
      </c>
      <c r="IA295" s="24">
        <v>39</v>
      </c>
      <c r="IB295" s="24" t="s">
        <v>33</v>
      </c>
      <c r="IC295" s="24">
        <v>7396</v>
      </c>
      <c r="ID295" s="24">
        <v>7295</v>
      </c>
      <c r="IG295" s="24">
        <v>2020</v>
      </c>
      <c r="IH295" s="24">
        <v>39</v>
      </c>
      <c r="II295" s="24" t="s">
        <v>33</v>
      </c>
      <c r="IJ295" s="24">
        <v>7051</v>
      </c>
      <c r="IK295" s="24">
        <v>7038</v>
      </c>
    </row>
    <row r="296" spans="9:245" x14ac:dyDescent="0.4">
      <c r="I296" s="305">
        <v>2020</v>
      </c>
      <c r="J296" s="306">
        <v>39</v>
      </c>
      <c r="K296" s="306" t="s">
        <v>33</v>
      </c>
      <c r="L296" s="306">
        <v>152607</v>
      </c>
      <c r="M296" s="306">
        <v>150225</v>
      </c>
      <c r="N296" s="306">
        <v>260</v>
      </c>
      <c r="O296" s="306">
        <v>531</v>
      </c>
      <c r="P296" s="306">
        <v>154</v>
      </c>
      <c r="Q296" s="306">
        <v>5</v>
      </c>
      <c r="R296" s="24"/>
      <c r="S296" s="24"/>
      <c r="T296" s="24"/>
      <c r="W296" s="309">
        <v>2020</v>
      </c>
      <c r="X296" s="309">
        <v>38</v>
      </c>
      <c r="Y296" s="309" t="s">
        <v>32</v>
      </c>
      <c r="Z296" s="309">
        <v>6948</v>
      </c>
      <c r="AA296" s="309">
        <v>6465</v>
      </c>
      <c r="AB296" s="309">
        <v>65</v>
      </c>
      <c r="AC296" s="309">
        <v>1</v>
      </c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I296" s="24">
        <v>2021</v>
      </c>
      <c r="BJ296" s="24">
        <v>50</v>
      </c>
      <c r="BK296" s="24" t="s">
        <v>32</v>
      </c>
      <c r="BL296" s="24" t="s">
        <v>272</v>
      </c>
      <c r="BM296" s="24">
        <v>2605</v>
      </c>
      <c r="BN296" s="24">
        <v>2596</v>
      </c>
      <c r="BO296" s="24">
        <v>8702</v>
      </c>
      <c r="BR296" s="24"/>
      <c r="BS296" s="24"/>
      <c r="BT296" s="24"/>
      <c r="BU296" s="24"/>
      <c r="BV296" s="24"/>
      <c r="BY296" s="327">
        <v>2021</v>
      </c>
      <c r="BZ296" s="327">
        <v>1</v>
      </c>
      <c r="CA296" s="327" t="s">
        <v>33</v>
      </c>
      <c r="CB296" s="327" t="s">
        <v>423</v>
      </c>
      <c r="CC296" s="327">
        <v>10</v>
      </c>
      <c r="CF296" s="24"/>
      <c r="CG296" s="24"/>
      <c r="CH296" s="24"/>
      <c r="CI296" s="24"/>
      <c r="CJ296" s="24"/>
      <c r="DD296" s="24"/>
      <c r="DE296" s="24"/>
      <c r="DF296" s="24"/>
      <c r="DG296" s="24"/>
      <c r="DH296" s="24"/>
      <c r="DJ296" s="24">
        <v>2020</v>
      </c>
      <c r="DK296" s="24">
        <v>40</v>
      </c>
      <c r="DL296" s="24" t="s">
        <v>32</v>
      </c>
      <c r="DM296" s="24">
        <v>3</v>
      </c>
      <c r="DP296" s="314">
        <v>2018</v>
      </c>
      <c r="DQ296" s="314">
        <v>34</v>
      </c>
      <c r="DR296" s="314" t="s">
        <v>33</v>
      </c>
      <c r="DS296" s="314">
        <v>12462</v>
      </c>
      <c r="DT296" s="314"/>
      <c r="DW296" s="24">
        <v>2021</v>
      </c>
      <c r="DX296" s="24">
        <v>28</v>
      </c>
      <c r="DY296" s="24" t="s">
        <v>32</v>
      </c>
      <c r="DZ296" s="24">
        <v>1</v>
      </c>
      <c r="EA296" s="24" t="s">
        <v>149</v>
      </c>
      <c r="EB296" s="24">
        <v>0</v>
      </c>
      <c r="EC296" s="24">
        <v>0.3</v>
      </c>
      <c r="ED296" s="24">
        <v>191</v>
      </c>
      <c r="EE296" s="24">
        <v>23</v>
      </c>
      <c r="EF296" s="24">
        <v>2.2999999999999998</v>
      </c>
      <c r="EI296" s="24">
        <v>2023</v>
      </c>
      <c r="EJ296" s="24">
        <v>2</v>
      </c>
      <c r="EK296" s="24" t="s">
        <v>211</v>
      </c>
      <c r="EL296" s="24" t="s">
        <v>212</v>
      </c>
      <c r="EM296" s="24" t="s">
        <v>210</v>
      </c>
      <c r="EN296" s="24">
        <v>15</v>
      </c>
      <c r="EO296" s="24"/>
      <c r="EP296" s="24"/>
      <c r="EQ296" s="24"/>
      <c r="ER296" s="24"/>
      <c r="ES296" s="24">
        <v>2021</v>
      </c>
      <c r="ET296" s="24">
        <v>12</v>
      </c>
      <c r="EU296" s="24" t="s">
        <v>213</v>
      </c>
      <c r="EV296" s="24">
        <v>22</v>
      </c>
      <c r="EY296" s="24"/>
      <c r="EZ296" s="24"/>
      <c r="FA296" s="24"/>
      <c r="FB296" s="24"/>
      <c r="FE296" s="24"/>
      <c r="FF296" s="24"/>
      <c r="FG296" s="24"/>
      <c r="FH296" s="24"/>
      <c r="FN296" s="24"/>
      <c r="FO296" s="24"/>
      <c r="FP296" s="24"/>
      <c r="FQ296" s="24"/>
      <c r="FW296" s="24">
        <v>2020</v>
      </c>
      <c r="FX296" s="24">
        <v>38</v>
      </c>
      <c r="FY296" s="24" t="s">
        <v>32</v>
      </c>
      <c r="FZ296" s="24">
        <v>1090</v>
      </c>
      <c r="GA296" s="24">
        <v>967</v>
      </c>
      <c r="GB296" s="24"/>
      <c r="GC296" s="24"/>
      <c r="GD296" s="309">
        <v>2020</v>
      </c>
      <c r="GE296" s="309">
        <v>38</v>
      </c>
      <c r="GF296" s="309" t="s">
        <v>32</v>
      </c>
      <c r="GG296" s="309">
        <v>1106</v>
      </c>
      <c r="GH296" s="309">
        <v>951</v>
      </c>
      <c r="GK296" s="24"/>
      <c r="GL296" s="24"/>
      <c r="GM296" s="24"/>
      <c r="GN296" s="24"/>
      <c r="GO296" s="24"/>
      <c r="GP296" s="24"/>
      <c r="GQ296" s="24"/>
      <c r="GR296" s="24"/>
      <c r="GS296" s="24"/>
      <c r="GX296">
        <v>2020</v>
      </c>
      <c r="GY296">
        <v>38</v>
      </c>
      <c r="GZ296" t="s">
        <v>32</v>
      </c>
      <c r="HA296">
        <v>7068</v>
      </c>
      <c r="HB296">
        <v>6994</v>
      </c>
      <c r="HC296">
        <v>0</v>
      </c>
      <c r="HD296">
        <v>3</v>
      </c>
      <c r="HE296">
        <v>0</v>
      </c>
      <c r="HF296">
        <v>4</v>
      </c>
      <c r="HG296">
        <v>0</v>
      </c>
      <c r="HH296">
        <v>0</v>
      </c>
      <c r="HI296">
        <v>34</v>
      </c>
      <c r="HL296">
        <v>2020</v>
      </c>
      <c r="HM296">
        <v>38</v>
      </c>
      <c r="HN296" t="s">
        <v>32</v>
      </c>
      <c r="HO296">
        <v>6924</v>
      </c>
      <c r="HP296">
        <v>6899</v>
      </c>
      <c r="HQ296">
        <v>0</v>
      </c>
      <c r="HR296">
        <v>0</v>
      </c>
      <c r="HS296">
        <v>0</v>
      </c>
      <c r="HT296">
        <v>14</v>
      </c>
      <c r="HU296">
        <v>0</v>
      </c>
      <c r="HV296">
        <v>0</v>
      </c>
      <c r="HW296">
        <v>1</v>
      </c>
      <c r="HZ296" s="24">
        <v>2020</v>
      </c>
      <c r="IA296" s="24">
        <v>38</v>
      </c>
      <c r="IB296" s="24" t="s">
        <v>32</v>
      </c>
      <c r="IC296" s="24">
        <v>1134</v>
      </c>
      <c r="ID296" s="24">
        <v>1111</v>
      </c>
      <c r="IG296" s="24">
        <v>2020</v>
      </c>
      <c r="IH296" s="24">
        <v>38</v>
      </c>
      <c r="II296" s="24" t="s">
        <v>32</v>
      </c>
      <c r="IJ296" s="24">
        <v>1099</v>
      </c>
      <c r="IK296" s="24">
        <v>1089</v>
      </c>
    </row>
    <row r="297" spans="9:245" x14ac:dyDescent="0.4">
      <c r="I297" s="305">
        <v>2020</v>
      </c>
      <c r="J297" s="306">
        <v>38</v>
      </c>
      <c r="K297" s="306" t="s">
        <v>32</v>
      </c>
      <c r="L297" s="306">
        <v>6872</v>
      </c>
      <c r="M297" s="306">
        <v>6440</v>
      </c>
      <c r="N297" s="306">
        <v>22</v>
      </c>
      <c r="O297" s="306">
        <v>52</v>
      </c>
      <c r="P297" s="306">
        <v>46</v>
      </c>
      <c r="Q297" s="306">
        <v>1</v>
      </c>
      <c r="R297" s="24"/>
      <c r="S297" s="24"/>
      <c r="T297" s="24"/>
      <c r="W297" s="309">
        <v>2020</v>
      </c>
      <c r="X297" s="309">
        <v>38</v>
      </c>
      <c r="Y297" s="309" t="s">
        <v>33</v>
      </c>
      <c r="Z297" s="309">
        <v>159558</v>
      </c>
      <c r="AA297" s="309">
        <v>157731</v>
      </c>
      <c r="AB297" s="309">
        <v>188</v>
      </c>
      <c r="AC297" s="309">
        <v>37</v>
      </c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I297" s="24">
        <v>2021</v>
      </c>
      <c r="BJ297" s="24">
        <v>50</v>
      </c>
      <c r="BK297" s="24" t="s">
        <v>33</v>
      </c>
      <c r="BL297" s="24" t="s">
        <v>273</v>
      </c>
      <c r="BM297" s="24">
        <v>91513</v>
      </c>
      <c r="BN297" s="24">
        <v>91129</v>
      </c>
      <c r="BO297" s="24">
        <v>93731</v>
      </c>
      <c r="BR297" s="24"/>
      <c r="BS297" s="24"/>
      <c r="BT297" s="24"/>
      <c r="BU297" s="24"/>
      <c r="BV297" s="24"/>
      <c r="CF297" s="24"/>
      <c r="CG297" s="24"/>
      <c r="CH297" s="24"/>
      <c r="CI297" s="24"/>
      <c r="CJ297" s="24"/>
      <c r="DD297" s="24"/>
      <c r="DE297" s="24"/>
      <c r="DF297" s="24"/>
      <c r="DG297" s="24"/>
      <c r="DH297" s="24"/>
      <c r="DJ297" s="24">
        <v>2020</v>
      </c>
      <c r="DK297" s="24">
        <v>40</v>
      </c>
      <c r="DL297" s="24" t="s">
        <v>33</v>
      </c>
      <c r="DM297" s="24">
        <v>393</v>
      </c>
      <c r="DP297" s="314">
        <v>2018</v>
      </c>
      <c r="DQ297" s="314">
        <v>33</v>
      </c>
      <c r="DR297" s="314" t="s">
        <v>33</v>
      </c>
      <c r="DS297" s="314">
        <v>8958</v>
      </c>
      <c r="DT297" s="314"/>
      <c r="DW297" s="24">
        <v>2021</v>
      </c>
      <c r="DX297" s="24">
        <v>28</v>
      </c>
      <c r="DY297" s="24" t="s">
        <v>33</v>
      </c>
      <c r="DZ297" s="24">
        <v>9</v>
      </c>
      <c r="EA297" s="24" t="s">
        <v>562</v>
      </c>
      <c r="EB297" s="24">
        <v>69.900000000000006</v>
      </c>
      <c r="EC297" s="24">
        <v>8.4</v>
      </c>
      <c r="ED297" s="24"/>
      <c r="EE297" s="24">
        <v>3014</v>
      </c>
      <c r="EF297" s="24">
        <v>29.5</v>
      </c>
      <c r="EI297" s="24">
        <v>2023</v>
      </c>
      <c r="EJ297" s="24">
        <v>2</v>
      </c>
      <c r="EK297" s="24" t="s">
        <v>211</v>
      </c>
      <c r="EL297" s="24" t="s">
        <v>212</v>
      </c>
      <c r="EM297" s="24" t="s">
        <v>234</v>
      </c>
      <c r="EN297" s="24">
        <v>16</v>
      </c>
      <c r="EO297" s="24"/>
      <c r="EP297" s="24"/>
      <c r="EQ297" s="24"/>
      <c r="ER297" s="24"/>
      <c r="ES297" s="24">
        <v>2021</v>
      </c>
      <c r="ET297" s="24">
        <v>11</v>
      </c>
      <c r="EU297" s="24" t="s">
        <v>32</v>
      </c>
      <c r="EV297" s="24">
        <v>3642</v>
      </c>
      <c r="EY297" s="24"/>
      <c r="EZ297" s="24"/>
      <c r="FA297" s="24"/>
      <c r="FB297" s="24"/>
      <c r="FE297" s="24"/>
      <c r="FF297" s="24"/>
      <c r="FG297" s="24"/>
      <c r="FH297" s="24"/>
      <c r="FN297" s="24"/>
      <c r="FO297" s="24"/>
      <c r="FP297" s="24"/>
      <c r="FQ297" s="24"/>
      <c r="FW297" s="24">
        <v>2020</v>
      </c>
      <c r="FX297" s="24">
        <v>38</v>
      </c>
      <c r="FY297" s="24" t="s">
        <v>33</v>
      </c>
      <c r="FZ297" s="24">
        <v>7444</v>
      </c>
      <c r="GA297" s="24">
        <v>7097</v>
      </c>
      <c r="GB297" s="24"/>
      <c r="GC297" s="24"/>
      <c r="GD297" s="309">
        <v>2020</v>
      </c>
      <c r="GE297" s="309">
        <v>38</v>
      </c>
      <c r="GF297" s="309" t="s">
        <v>33</v>
      </c>
      <c r="GG297" s="309">
        <v>7423</v>
      </c>
      <c r="GH297" s="309">
        <v>7105</v>
      </c>
      <c r="GK297" s="24"/>
      <c r="GL297" s="24"/>
      <c r="GM297" s="24"/>
      <c r="GN297" s="24"/>
      <c r="GO297" s="24"/>
      <c r="GP297" s="24"/>
      <c r="GQ297" s="24"/>
      <c r="GR297" s="24"/>
      <c r="GS297" s="24"/>
      <c r="GX297">
        <v>2020</v>
      </c>
      <c r="GY297">
        <v>38</v>
      </c>
      <c r="GZ297" t="s">
        <v>33</v>
      </c>
      <c r="HA297">
        <v>157922</v>
      </c>
      <c r="HB297">
        <v>157042</v>
      </c>
      <c r="HC297">
        <v>21</v>
      </c>
      <c r="HD297">
        <v>16</v>
      </c>
      <c r="HE297">
        <v>0</v>
      </c>
      <c r="HF297">
        <v>12</v>
      </c>
      <c r="HG297">
        <v>0</v>
      </c>
      <c r="HH297">
        <v>0</v>
      </c>
      <c r="HI297">
        <v>559</v>
      </c>
      <c r="HL297">
        <v>2020</v>
      </c>
      <c r="HM297">
        <v>38</v>
      </c>
      <c r="HN297" t="s">
        <v>33</v>
      </c>
      <c r="HO297">
        <v>159265</v>
      </c>
      <c r="HP297">
        <v>159138</v>
      </c>
      <c r="HQ297">
        <v>40</v>
      </c>
      <c r="HR297">
        <v>2</v>
      </c>
      <c r="HS297">
        <v>0</v>
      </c>
      <c r="HT297">
        <v>5</v>
      </c>
      <c r="HU297">
        <v>0</v>
      </c>
      <c r="HV297">
        <v>0</v>
      </c>
      <c r="HW297">
        <v>11</v>
      </c>
      <c r="HZ297" s="24">
        <v>2020</v>
      </c>
      <c r="IA297" s="24">
        <v>38</v>
      </c>
      <c r="IB297" s="24" t="s">
        <v>33</v>
      </c>
      <c r="IC297" s="24">
        <v>7431</v>
      </c>
      <c r="ID297" s="24">
        <v>7366</v>
      </c>
      <c r="IG297" s="24">
        <v>2020</v>
      </c>
      <c r="IH297" s="24">
        <v>38</v>
      </c>
      <c r="II297" s="24" t="s">
        <v>33</v>
      </c>
      <c r="IJ297" s="24">
        <v>7078</v>
      </c>
      <c r="IK297" s="24">
        <v>7059</v>
      </c>
    </row>
    <row r="298" spans="9:245" x14ac:dyDescent="0.4">
      <c r="I298" s="305">
        <v>2020</v>
      </c>
      <c r="J298" s="306">
        <v>38</v>
      </c>
      <c r="K298" s="306" t="s">
        <v>33</v>
      </c>
      <c r="L298" s="306">
        <v>159644</v>
      </c>
      <c r="M298" s="306">
        <v>157364</v>
      </c>
      <c r="N298" s="306">
        <v>438</v>
      </c>
      <c r="O298" s="306">
        <v>530</v>
      </c>
      <c r="P298" s="306">
        <v>220</v>
      </c>
      <c r="Q298" s="306">
        <v>37</v>
      </c>
      <c r="R298" s="24"/>
      <c r="S298" s="24"/>
      <c r="T298" s="24"/>
      <c r="W298" s="309">
        <v>2020</v>
      </c>
      <c r="X298" s="309">
        <v>37</v>
      </c>
      <c r="Y298" s="309" t="s">
        <v>32</v>
      </c>
      <c r="Z298" s="309">
        <v>6213</v>
      </c>
      <c r="AA298" s="309">
        <v>5803</v>
      </c>
      <c r="AB298" s="309">
        <v>9</v>
      </c>
      <c r="AC298" s="309">
        <v>24</v>
      </c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I298" s="24">
        <v>2021</v>
      </c>
      <c r="BJ298" s="24">
        <v>49</v>
      </c>
      <c r="BK298" s="24" t="s">
        <v>32</v>
      </c>
      <c r="BL298" s="24" t="s">
        <v>272</v>
      </c>
      <c r="BM298" s="24">
        <v>2771</v>
      </c>
      <c r="BN298" s="24">
        <v>2744</v>
      </c>
      <c r="BO298" s="24">
        <v>9213</v>
      </c>
      <c r="BR298" s="24"/>
      <c r="BS298" s="24"/>
      <c r="BT298" s="24"/>
      <c r="BU298" s="24"/>
      <c r="BV298" s="24"/>
      <c r="CF298" s="24"/>
      <c r="CG298" s="24"/>
      <c r="CH298" s="24"/>
      <c r="CI298" s="24"/>
      <c r="CJ298" s="24"/>
      <c r="DD298" s="24"/>
      <c r="DE298" s="24"/>
      <c r="DF298" s="24"/>
      <c r="DG298" s="24"/>
      <c r="DH298" s="24"/>
      <c r="DJ298" s="24">
        <v>2020</v>
      </c>
      <c r="DK298" s="24">
        <v>39</v>
      </c>
      <c r="DL298" s="24" t="s">
        <v>32</v>
      </c>
      <c r="DM298" s="24">
        <v>15</v>
      </c>
      <c r="DP298" s="314">
        <v>2018</v>
      </c>
      <c r="DQ298" s="314">
        <v>32</v>
      </c>
      <c r="DR298" s="314" t="s">
        <v>33</v>
      </c>
      <c r="DS298" s="314">
        <v>10293</v>
      </c>
      <c r="DT298" s="314"/>
      <c r="DW298" s="24">
        <v>2021</v>
      </c>
      <c r="DX298" s="24">
        <v>28</v>
      </c>
      <c r="DY298" s="24" t="s">
        <v>33</v>
      </c>
      <c r="DZ298" s="24">
        <v>41</v>
      </c>
      <c r="EA298" s="24" t="s">
        <v>149</v>
      </c>
      <c r="EB298" s="24">
        <v>115.3</v>
      </c>
      <c r="EC298" s="24">
        <v>964.7</v>
      </c>
      <c r="ED298" s="24">
        <v>33795</v>
      </c>
      <c r="EE298" s="24">
        <v>36264</v>
      </c>
      <c r="EF298" s="24">
        <v>107.8</v>
      </c>
      <c r="EI298" s="24">
        <v>2023</v>
      </c>
      <c r="EJ298" s="24">
        <v>2</v>
      </c>
      <c r="EK298" s="24" t="s">
        <v>211</v>
      </c>
      <c r="EL298" s="24" t="s">
        <v>212</v>
      </c>
      <c r="EM298" s="24" t="s">
        <v>215</v>
      </c>
      <c r="EN298" s="24">
        <v>1</v>
      </c>
      <c r="EO298" s="24"/>
      <c r="EP298" s="24"/>
      <c r="EQ298" s="24"/>
      <c r="ER298" s="24"/>
      <c r="ES298" s="24">
        <v>2021</v>
      </c>
      <c r="ET298" s="24">
        <v>11</v>
      </c>
      <c r="EU298" s="24" t="s">
        <v>33</v>
      </c>
      <c r="EV298" s="24">
        <v>88902</v>
      </c>
      <c r="EY298" s="24"/>
      <c r="EZ298" s="24"/>
      <c r="FA298" s="24"/>
      <c r="FB298" s="24"/>
      <c r="FE298" s="24"/>
      <c r="FF298" s="24"/>
      <c r="FG298" s="24"/>
      <c r="FH298" s="24"/>
      <c r="FN298" s="24"/>
      <c r="FO298" s="24"/>
      <c r="FP298" s="24"/>
      <c r="FQ298" s="24"/>
      <c r="FW298" s="24">
        <v>2020</v>
      </c>
      <c r="FX298" s="24">
        <v>37</v>
      </c>
      <c r="FY298" s="24" t="s">
        <v>32</v>
      </c>
      <c r="FZ298" s="24">
        <v>664</v>
      </c>
      <c r="GA298" s="24">
        <v>630</v>
      </c>
      <c r="GB298" s="24"/>
      <c r="GC298" s="24"/>
      <c r="GD298" s="309">
        <v>2020</v>
      </c>
      <c r="GE298" s="309">
        <v>37</v>
      </c>
      <c r="GF298" s="309" t="s">
        <v>32</v>
      </c>
      <c r="GG298" s="309">
        <v>693</v>
      </c>
      <c r="GH298" s="309">
        <v>648</v>
      </c>
      <c r="GK298" s="24"/>
      <c r="GL298" s="24"/>
      <c r="GM298" s="24"/>
      <c r="GN298" s="24"/>
      <c r="GO298" s="24"/>
      <c r="GP298" s="24"/>
      <c r="GQ298" s="24"/>
      <c r="GR298" s="24"/>
      <c r="GS298" s="24"/>
      <c r="GX298">
        <v>2020</v>
      </c>
      <c r="GY298">
        <v>37</v>
      </c>
      <c r="GZ298" t="s">
        <v>32</v>
      </c>
      <c r="HA298">
        <v>6141</v>
      </c>
      <c r="HB298">
        <v>6042</v>
      </c>
      <c r="HC298">
        <v>0</v>
      </c>
      <c r="HD298">
        <v>1</v>
      </c>
      <c r="HE298">
        <v>0</v>
      </c>
      <c r="HF298">
        <v>8</v>
      </c>
      <c r="HG298">
        <v>0</v>
      </c>
      <c r="HH298">
        <v>0</v>
      </c>
      <c r="HI298">
        <v>27</v>
      </c>
      <c r="HL298">
        <v>2020</v>
      </c>
      <c r="HM298">
        <v>37</v>
      </c>
      <c r="HN298" t="s">
        <v>32</v>
      </c>
      <c r="HO298">
        <v>6185</v>
      </c>
      <c r="HP298">
        <v>6182</v>
      </c>
      <c r="HQ298">
        <v>0</v>
      </c>
      <c r="HR298">
        <v>0</v>
      </c>
      <c r="HS298">
        <v>0</v>
      </c>
      <c r="HT298">
        <v>1</v>
      </c>
      <c r="HU298">
        <v>0</v>
      </c>
      <c r="HV298">
        <v>0</v>
      </c>
      <c r="HW298">
        <v>0</v>
      </c>
      <c r="HZ298" s="24">
        <v>2020</v>
      </c>
      <c r="IA298" s="24">
        <v>37</v>
      </c>
      <c r="IB298" s="24" t="s">
        <v>32</v>
      </c>
      <c r="IC298" s="24">
        <v>696</v>
      </c>
      <c r="ID298" s="24">
        <v>678</v>
      </c>
      <c r="IG298" s="24">
        <v>2020</v>
      </c>
      <c r="IH298" s="24">
        <v>37</v>
      </c>
      <c r="II298" s="24" t="s">
        <v>32</v>
      </c>
      <c r="IJ298" s="24">
        <v>680</v>
      </c>
      <c r="IK298" s="24">
        <v>680</v>
      </c>
    </row>
    <row r="299" spans="9:245" x14ac:dyDescent="0.4">
      <c r="I299" s="305">
        <v>2020</v>
      </c>
      <c r="J299" s="306">
        <v>37</v>
      </c>
      <c r="K299" s="306" t="s">
        <v>32</v>
      </c>
      <c r="L299" s="306">
        <v>6228</v>
      </c>
      <c r="M299" s="306">
        <v>5817</v>
      </c>
      <c r="N299" s="306">
        <v>25</v>
      </c>
      <c r="O299" s="306">
        <v>97</v>
      </c>
      <c r="P299" s="306">
        <v>15</v>
      </c>
      <c r="Q299" s="306">
        <v>25</v>
      </c>
      <c r="R299" s="24"/>
      <c r="S299" s="24"/>
      <c r="T299" s="24"/>
      <c r="W299" s="309">
        <v>2020</v>
      </c>
      <c r="X299" s="309">
        <v>37</v>
      </c>
      <c r="Y299" s="309" t="s">
        <v>33</v>
      </c>
      <c r="Z299" s="309">
        <v>167471</v>
      </c>
      <c r="AA299" s="309">
        <v>165151</v>
      </c>
      <c r="AB299" s="309">
        <v>142</v>
      </c>
      <c r="AC299" s="309">
        <v>14</v>
      </c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I299" s="24">
        <v>2021</v>
      </c>
      <c r="BJ299" s="24">
        <v>49</v>
      </c>
      <c r="BK299" s="24" t="s">
        <v>32</v>
      </c>
      <c r="BL299" s="24" t="s">
        <v>273</v>
      </c>
      <c r="BM299" s="24">
        <v>6861</v>
      </c>
      <c r="BN299" s="24">
        <v>6822</v>
      </c>
      <c r="BO299" s="24">
        <v>8791</v>
      </c>
      <c r="BR299" s="24"/>
      <c r="BS299" s="24"/>
      <c r="BT299" s="24"/>
      <c r="BU299" s="24"/>
      <c r="BV299" s="24"/>
      <c r="CF299" s="24"/>
      <c r="CG299" s="24"/>
      <c r="CH299" s="24"/>
      <c r="CI299" s="24"/>
      <c r="CJ299" s="24"/>
      <c r="DD299" s="24"/>
      <c r="DE299" s="24"/>
      <c r="DF299" s="24"/>
      <c r="DG299" s="24"/>
      <c r="DH299" s="24"/>
      <c r="DJ299" s="24">
        <v>2020</v>
      </c>
      <c r="DK299" s="24">
        <v>39</v>
      </c>
      <c r="DL299" s="24" t="s">
        <v>33</v>
      </c>
      <c r="DM299" s="24">
        <v>423</v>
      </c>
      <c r="DP299" s="24">
        <v>2018</v>
      </c>
      <c r="DQ299" s="24">
        <v>31</v>
      </c>
      <c r="DR299" s="24" t="s">
        <v>33</v>
      </c>
      <c r="DS299" s="24">
        <v>10996</v>
      </c>
      <c r="DT299" s="24"/>
      <c r="DW299" s="24">
        <v>2021</v>
      </c>
      <c r="DX299" s="24">
        <v>27</v>
      </c>
      <c r="DY299" s="24" t="s">
        <v>32</v>
      </c>
      <c r="DZ299" s="24">
        <v>1</v>
      </c>
      <c r="EA299" s="24" t="s">
        <v>149</v>
      </c>
      <c r="EB299" s="24">
        <v>0</v>
      </c>
      <c r="EC299" s="24">
        <v>0.3</v>
      </c>
      <c r="ED299" s="24">
        <v>97</v>
      </c>
      <c r="EE299" s="24">
        <v>6</v>
      </c>
      <c r="EF299" s="24">
        <v>1.4</v>
      </c>
      <c r="EI299" s="24">
        <v>2023</v>
      </c>
      <c r="EJ299" s="24">
        <v>2</v>
      </c>
      <c r="EK299" s="24" t="s">
        <v>211</v>
      </c>
      <c r="EL299" s="24" t="s">
        <v>247</v>
      </c>
      <c r="EM299" s="24" t="s">
        <v>210</v>
      </c>
      <c r="EN299" s="24">
        <v>7</v>
      </c>
      <c r="EO299" s="24"/>
      <c r="EP299" s="24"/>
      <c r="EQ299" s="24"/>
      <c r="ER299" s="24"/>
      <c r="ES299" s="24">
        <v>2021</v>
      </c>
      <c r="ET299" s="24">
        <v>11</v>
      </c>
      <c r="EU299" s="24" t="s">
        <v>213</v>
      </c>
      <c r="EV299" s="24">
        <v>12</v>
      </c>
      <c r="EY299" s="24"/>
      <c r="EZ299" s="24"/>
      <c r="FA299" s="24"/>
      <c r="FB299" s="24"/>
      <c r="FE299" s="24"/>
      <c r="FF299" s="24"/>
      <c r="FG299" s="24"/>
      <c r="FH299" s="24"/>
      <c r="FN299" s="24"/>
      <c r="FO299" s="24"/>
      <c r="FP299" s="24"/>
      <c r="FQ299" s="24"/>
      <c r="FW299" s="24">
        <v>2020</v>
      </c>
      <c r="FX299" s="24">
        <v>37</v>
      </c>
      <c r="FY299" s="24" t="s">
        <v>33</v>
      </c>
      <c r="FZ299" s="24">
        <v>7087</v>
      </c>
      <c r="GA299" s="24">
        <v>6930</v>
      </c>
      <c r="GB299" s="24"/>
      <c r="GC299" s="24"/>
      <c r="GD299" s="309">
        <v>2020</v>
      </c>
      <c r="GE299" s="309">
        <v>37</v>
      </c>
      <c r="GF299" s="309" t="s">
        <v>33</v>
      </c>
      <c r="GG299" s="309">
        <v>7147</v>
      </c>
      <c r="GH299" s="309">
        <v>7030</v>
      </c>
      <c r="GK299" s="24"/>
      <c r="GL299" s="24"/>
      <c r="GM299" s="24"/>
      <c r="GN299" s="24"/>
      <c r="GO299" s="24"/>
      <c r="GP299" s="24"/>
      <c r="GQ299" s="24"/>
      <c r="GR299" s="24"/>
      <c r="GS299" s="24"/>
      <c r="GX299">
        <v>2020</v>
      </c>
      <c r="GY299">
        <v>37</v>
      </c>
      <c r="GZ299" t="s">
        <v>33</v>
      </c>
      <c r="HA299">
        <v>165632</v>
      </c>
      <c r="HB299">
        <v>164807</v>
      </c>
      <c r="HC299">
        <v>36</v>
      </c>
      <c r="HD299">
        <v>18</v>
      </c>
      <c r="HE299">
        <v>0</v>
      </c>
      <c r="HF299">
        <v>35</v>
      </c>
      <c r="HG299">
        <v>0</v>
      </c>
      <c r="HH299">
        <v>0</v>
      </c>
      <c r="HI299">
        <v>440</v>
      </c>
      <c r="HL299">
        <v>2020</v>
      </c>
      <c r="HM299">
        <v>37</v>
      </c>
      <c r="HN299" t="s">
        <v>33</v>
      </c>
      <c r="HO299">
        <v>167194</v>
      </c>
      <c r="HP299">
        <v>167024</v>
      </c>
      <c r="HQ299">
        <v>75</v>
      </c>
      <c r="HR299">
        <v>11</v>
      </c>
      <c r="HS299">
        <v>0</v>
      </c>
      <c r="HT299">
        <v>30</v>
      </c>
      <c r="HU299">
        <v>0</v>
      </c>
      <c r="HV299">
        <v>0</v>
      </c>
      <c r="HW299">
        <v>15</v>
      </c>
      <c r="HZ299" s="24">
        <v>2020</v>
      </c>
      <c r="IA299" s="24">
        <v>37</v>
      </c>
      <c r="IB299" s="24" t="s">
        <v>33</v>
      </c>
      <c r="IC299" s="24">
        <v>7024</v>
      </c>
      <c r="ID299" s="24">
        <v>6891</v>
      </c>
      <c r="IG299" s="24">
        <v>2020</v>
      </c>
      <c r="IH299" s="24">
        <v>37</v>
      </c>
      <c r="II299" s="24" t="s">
        <v>33</v>
      </c>
      <c r="IJ299" s="24">
        <v>6699</v>
      </c>
      <c r="IK299" s="24">
        <v>6670</v>
      </c>
    </row>
    <row r="300" spans="9:245" x14ac:dyDescent="0.4">
      <c r="I300" s="305">
        <v>2020</v>
      </c>
      <c r="J300" s="306">
        <v>37</v>
      </c>
      <c r="K300" s="306" t="s">
        <v>33</v>
      </c>
      <c r="L300" s="306">
        <v>167239</v>
      </c>
      <c r="M300" s="306">
        <v>164405</v>
      </c>
      <c r="N300" s="306">
        <v>310</v>
      </c>
      <c r="O300" s="306">
        <v>645</v>
      </c>
      <c r="P300" s="306">
        <v>175</v>
      </c>
      <c r="Q300" s="306">
        <v>13</v>
      </c>
      <c r="R300" s="24"/>
      <c r="S300" s="24"/>
      <c r="T300" s="24"/>
      <c r="W300" s="24">
        <v>2020</v>
      </c>
      <c r="X300" s="24">
        <v>36</v>
      </c>
      <c r="Y300" s="24" t="s">
        <v>32</v>
      </c>
      <c r="Z300" s="24">
        <v>7068</v>
      </c>
      <c r="AA300" s="24">
        <v>6454</v>
      </c>
      <c r="AB300" s="24">
        <v>19</v>
      </c>
      <c r="AC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I300" s="24">
        <v>2021</v>
      </c>
      <c r="BJ300" s="24">
        <v>49</v>
      </c>
      <c r="BK300" s="24" t="s">
        <v>33</v>
      </c>
      <c r="BL300" s="24" t="s">
        <v>272</v>
      </c>
      <c r="BM300" s="24">
        <v>52267</v>
      </c>
      <c r="BN300" s="24">
        <v>52229</v>
      </c>
      <c r="BO300" s="24">
        <v>186662</v>
      </c>
      <c r="BR300" s="24"/>
      <c r="BS300" s="24"/>
      <c r="BT300" s="24"/>
      <c r="BU300" s="24"/>
      <c r="BV300" s="24"/>
      <c r="CF300" s="24"/>
      <c r="CG300" s="24"/>
      <c r="CH300" s="24"/>
      <c r="CI300" s="24"/>
      <c r="CJ300" s="24"/>
      <c r="DD300" s="24"/>
      <c r="DE300" s="24"/>
      <c r="DF300" s="24"/>
      <c r="DG300" s="24"/>
      <c r="DH300" s="24"/>
      <c r="DJ300" s="24">
        <v>2020</v>
      </c>
      <c r="DK300" s="24">
        <v>38</v>
      </c>
      <c r="DL300" s="24" t="s">
        <v>32</v>
      </c>
      <c r="DM300" s="24">
        <v>7</v>
      </c>
      <c r="DP300" s="24">
        <v>2018</v>
      </c>
      <c r="DQ300" s="24">
        <v>30</v>
      </c>
      <c r="DR300" s="24" t="s">
        <v>33</v>
      </c>
      <c r="DS300" s="24">
        <v>10414</v>
      </c>
      <c r="DT300" s="24"/>
      <c r="DW300" s="24">
        <v>2021</v>
      </c>
      <c r="DX300" s="24">
        <v>27</v>
      </c>
      <c r="DY300" s="24" t="s">
        <v>33</v>
      </c>
      <c r="DZ300" s="24">
        <v>9</v>
      </c>
      <c r="EA300" s="24" t="s">
        <v>562</v>
      </c>
      <c r="EB300" s="24">
        <v>67.2</v>
      </c>
      <c r="EC300" s="24">
        <v>0</v>
      </c>
      <c r="ED300" s="24"/>
      <c r="EE300" s="24">
        <v>2758</v>
      </c>
      <c r="EF300" s="24">
        <v>22.2</v>
      </c>
      <c r="EI300" s="24">
        <v>2023</v>
      </c>
      <c r="EJ300" s="24">
        <v>2</v>
      </c>
      <c r="EK300" s="24" t="s">
        <v>211</v>
      </c>
      <c r="EL300" s="24" t="s">
        <v>247</v>
      </c>
      <c r="EM300" s="24" t="s">
        <v>234</v>
      </c>
      <c r="EN300" s="24">
        <v>14</v>
      </c>
      <c r="EO300" s="24"/>
      <c r="EP300" s="24"/>
      <c r="EQ300" s="24"/>
      <c r="ER300" s="24"/>
      <c r="ES300" s="24">
        <v>2021</v>
      </c>
      <c r="ET300" s="24">
        <v>10</v>
      </c>
      <c r="EU300" s="24" t="s">
        <v>32</v>
      </c>
      <c r="EV300" s="24">
        <v>3916</v>
      </c>
      <c r="EY300" s="24"/>
      <c r="EZ300" s="24"/>
      <c r="FA300" s="24"/>
      <c r="FB300" s="24"/>
      <c r="FE300" s="24"/>
      <c r="FF300" s="24"/>
      <c r="FG300" s="24"/>
      <c r="FH300" s="24"/>
      <c r="FN300" s="24"/>
      <c r="FO300" s="24"/>
      <c r="FP300" s="24"/>
      <c r="FQ300" s="24"/>
      <c r="FW300" s="24">
        <v>2020</v>
      </c>
      <c r="FX300" s="24">
        <v>36</v>
      </c>
      <c r="FY300" s="24" t="s">
        <v>32</v>
      </c>
      <c r="FZ300" s="24">
        <v>745</v>
      </c>
      <c r="GA300" s="24">
        <v>640</v>
      </c>
      <c r="GB300" s="24"/>
      <c r="GC300" s="24"/>
      <c r="GD300" s="24">
        <v>2020</v>
      </c>
      <c r="GE300" s="24">
        <v>36</v>
      </c>
      <c r="GF300" s="24" t="s">
        <v>32</v>
      </c>
      <c r="GG300" s="24">
        <v>737</v>
      </c>
      <c r="GH300" s="24">
        <v>611</v>
      </c>
      <c r="GK300" s="24"/>
      <c r="GL300" s="24"/>
      <c r="GM300" s="24"/>
      <c r="GN300" s="24"/>
      <c r="GO300" s="24"/>
      <c r="GP300" s="24"/>
      <c r="GQ300" s="24"/>
      <c r="GR300" s="24"/>
      <c r="GS300" s="24"/>
      <c r="GX300">
        <v>2020</v>
      </c>
      <c r="GY300">
        <v>36</v>
      </c>
      <c r="GZ300" t="s">
        <v>32</v>
      </c>
      <c r="HA300">
        <v>7144</v>
      </c>
      <c r="HB300">
        <v>7063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38</v>
      </c>
      <c r="HL300">
        <v>2020</v>
      </c>
      <c r="HM300">
        <v>36</v>
      </c>
      <c r="HN300" t="s">
        <v>32</v>
      </c>
      <c r="HO300">
        <v>7032</v>
      </c>
      <c r="HP300">
        <v>6993</v>
      </c>
      <c r="HQ300">
        <v>0</v>
      </c>
      <c r="HR300">
        <v>0</v>
      </c>
      <c r="HS300">
        <v>0</v>
      </c>
      <c r="HT300">
        <v>37</v>
      </c>
      <c r="HU300">
        <v>0</v>
      </c>
      <c r="HV300">
        <v>0</v>
      </c>
      <c r="HW300">
        <v>0</v>
      </c>
      <c r="HZ300" s="24">
        <v>2020</v>
      </c>
      <c r="IA300" s="24">
        <v>36</v>
      </c>
      <c r="IB300" s="24" t="s">
        <v>32</v>
      </c>
      <c r="IC300" s="24">
        <v>726</v>
      </c>
      <c r="ID300" s="24">
        <v>691</v>
      </c>
      <c r="IG300" s="24">
        <v>2020</v>
      </c>
      <c r="IH300" s="24">
        <v>36</v>
      </c>
      <c r="II300" s="24" t="s">
        <v>32</v>
      </c>
      <c r="IJ300" s="24">
        <v>729</v>
      </c>
      <c r="IK300" s="24">
        <v>692</v>
      </c>
    </row>
    <row r="301" spans="9:245" x14ac:dyDescent="0.4">
      <c r="I301" s="305">
        <v>2020</v>
      </c>
      <c r="J301" s="306">
        <v>36</v>
      </c>
      <c r="K301" s="306" t="s">
        <v>32</v>
      </c>
      <c r="L301" s="306">
        <v>7046</v>
      </c>
      <c r="M301" s="306">
        <v>6439</v>
      </c>
      <c r="N301" s="306">
        <v>20</v>
      </c>
      <c r="O301" s="306">
        <v>177</v>
      </c>
      <c r="P301" s="306">
        <v>21</v>
      </c>
      <c r="Q301" s="306"/>
      <c r="R301" s="24"/>
      <c r="S301" s="24"/>
      <c r="T301" s="24"/>
      <c r="W301" s="24">
        <v>2020</v>
      </c>
      <c r="X301" s="24">
        <v>36</v>
      </c>
      <c r="Y301" s="24" t="s">
        <v>33</v>
      </c>
      <c r="Z301" s="24">
        <v>150104</v>
      </c>
      <c r="AA301" s="24">
        <v>147861</v>
      </c>
      <c r="AB301" s="24">
        <v>148</v>
      </c>
      <c r="AC301" s="24">
        <v>24</v>
      </c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I301" s="24">
        <v>2021</v>
      </c>
      <c r="BJ301" s="24">
        <v>49</v>
      </c>
      <c r="BK301" s="24" t="s">
        <v>33</v>
      </c>
      <c r="BL301" s="24" t="s">
        <v>273</v>
      </c>
      <c r="BM301" s="24">
        <v>91112</v>
      </c>
      <c r="BN301" s="24">
        <v>90664</v>
      </c>
      <c r="BO301" s="24">
        <v>93301</v>
      </c>
      <c r="BR301" s="24"/>
      <c r="BS301" s="24"/>
      <c r="BT301" s="24"/>
      <c r="BU301" s="24"/>
      <c r="BV301" s="24"/>
      <c r="CF301" s="24"/>
      <c r="CG301" s="24"/>
      <c r="CH301" s="24"/>
      <c r="CI301" s="24"/>
      <c r="CJ301" s="24"/>
      <c r="DD301" s="24"/>
      <c r="DE301" s="24"/>
      <c r="DF301" s="24"/>
      <c r="DG301" s="24"/>
      <c r="DH301" s="24"/>
      <c r="DJ301" s="24">
        <v>2020</v>
      </c>
      <c r="DK301" s="24">
        <v>38</v>
      </c>
      <c r="DL301" s="24" t="s">
        <v>33</v>
      </c>
      <c r="DM301" s="24">
        <v>503</v>
      </c>
      <c r="DP301" s="24">
        <v>2018</v>
      </c>
      <c r="DQ301" s="24">
        <v>29</v>
      </c>
      <c r="DR301" s="24" t="s">
        <v>33</v>
      </c>
      <c r="DS301" s="24">
        <v>10674</v>
      </c>
      <c r="DT301" s="24"/>
      <c r="DW301" s="24">
        <v>2021</v>
      </c>
      <c r="DX301" s="24">
        <v>27</v>
      </c>
      <c r="DY301" s="24" t="s">
        <v>33</v>
      </c>
      <c r="DZ301" s="24">
        <v>42</v>
      </c>
      <c r="EA301" s="24" t="s">
        <v>149</v>
      </c>
      <c r="EB301" s="24">
        <v>58.8</v>
      </c>
      <c r="EC301" s="24">
        <v>981.5</v>
      </c>
      <c r="ED301" s="24">
        <v>32878</v>
      </c>
      <c r="EE301" s="24">
        <v>33472</v>
      </c>
      <c r="EF301" s="24">
        <v>72.099999999999994</v>
      </c>
      <c r="EI301" s="24">
        <v>2023</v>
      </c>
      <c r="EJ301" s="24">
        <v>2</v>
      </c>
      <c r="EK301" s="24" t="s">
        <v>211</v>
      </c>
      <c r="EL301" s="24" t="s">
        <v>247</v>
      </c>
      <c r="EM301" s="24" t="s">
        <v>215</v>
      </c>
      <c r="EN301" s="24">
        <v>2</v>
      </c>
      <c r="EO301" s="24"/>
      <c r="EP301" s="24"/>
      <c r="EQ301" s="24"/>
      <c r="ER301" s="24"/>
      <c r="ES301" s="24">
        <v>2021</v>
      </c>
      <c r="ET301" s="24">
        <v>10</v>
      </c>
      <c r="EU301" s="24" t="s">
        <v>33</v>
      </c>
      <c r="EV301" s="24">
        <v>91202</v>
      </c>
      <c r="EY301" s="24"/>
      <c r="EZ301" s="24"/>
      <c r="FA301" s="24"/>
      <c r="FB301" s="24"/>
      <c r="FE301" s="24"/>
      <c r="FF301" s="24"/>
      <c r="FG301" s="24"/>
      <c r="FH301" s="24"/>
      <c r="FN301" s="24"/>
      <c r="FO301" s="24"/>
      <c r="FP301" s="24"/>
      <c r="FQ301" s="24"/>
      <c r="FW301" s="24">
        <v>2020</v>
      </c>
      <c r="FX301" s="24">
        <v>36</v>
      </c>
      <c r="FY301" s="24" t="s">
        <v>33</v>
      </c>
      <c r="FZ301" s="24">
        <v>7000</v>
      </c>
      <c r="GA301" s="24">
        <v>6796</v>
      </c>
      <c r="GB301" s="24"/>
      <c r="GC301" s="24"/>
      <c r="GD301" s="24">
        <v>2020</v>
      </c>
      <c r="GE301" s="24">
        <v>36</v>
      </c>
      <c r="GF301" s="24" t="s">
        <v>33</v>
      </c>
      <c r="GG301" s="24">
        <v>6984</v>
      </c>
      <c r="GH301" s="24">
        <v>6838</v>
      </c>
      <c r="GK301" s="24"/>
      <c r="GL301" s="24"/>
      <c r="GM301" s="24"/>
      <c r="GN301" s="24"/>
      <c r="GO301" s="24"/>
      <c r="GP301" s="24"/>
      <c r="GQ301" s="24"/>
      <c r="GR301" s="24"/>
      <c r="GS301" s="24"/>
      <c r="GX301">
        <v>2020</v>
      </c>
      <c r="GY301">
        <v>36</v>
      </c>
      <c r="GZ301" t="s">
        <v>33</v>
      </c>
      <c r="HA301">
        <v>152237</v>
      </c>
      <c r="HB301">
        <v>151207</v>
      </c>
      <c r="HC301">
        <v>21</v>
      </c>
      <c r="HD301">
        <v>11</v>
      </c>
      <c r="HE301">
        <v>0</v>
      </c>
      <c r="HF301">
        <v>75</v>
      </c>
      <c r="HG301">
        <v>0</v>
      </c>
      <c r="HH301">
        <v>0</v>
      </c>
      <c r="HI301">
        <v>540</v>
      </c>
      <c r="HL301">
        <v>2020</v>
      </c>
      <c r="HM301">
        <v>36</v>
      </c>
      <c r="HN301" t="s">
        <v>33</v>
      </c>
      <c r="HO301">
        <v>149403</v>
      </c>
      <c r="HP301">
        <v>149217</v>
      </c>
      <c r="HQ301">
        <v>41</v>
      </c>
      <c r="HR301">
        <v>3</v>
      </c>
      <c r="HS301">
        <v>0</v>
      </c>
      <c r="HT301">
        <v>18</v>
      </c>
      <c r="HU301">
        <v>0</v>
      </c>
      <c r="HV301">
        <v>0</v>
      </c>
      <c r="HW301">
        <v>24</v>
      </c>
      <c r="HZ301" s="24">
        <v>2020</v>
      </c>
      <c r="IA301" s="24">
        <v>36</v>
      </c>
      <c r="IB301" s="24" t="s">
        <v>33</v>
      </c>
      <c r="IC301" s="24">
        <v>6916</v>
      </c>
      <c r="ID301" s="24">
        <v>6771</v>
      </c>
      <c r="IG301" s="24">
        <v>2020</v>
      </c>
      <c r="IH301" s="24">
        <v>36</v>
      </c>
      <c r="II301" s="24" t="s">
        <v>33</v>
      </c>
      <c r="IJ301" s="24">
        <v>6571</v>
      </c>
      <c r="IK301" s="24">
        <v>6548</v>
      </c>
    </row>
    <row r="302" spans="9:245" x14ac:dyDescent="0.4">
      <c r="I302" s="305">
        <v>2020</v>
      </c>
      <c r="J302" s="306">
        <v>36</v>
      </c>
      <c r="K302" s="306" t="s">
        <v>33</v>
      </c>
      <c r="L302" s="306">
        <v>150138</v>
      </c>
      <c r="M302" s="306">
        <v>147316</v>
      </c>
      <c r="N302" s="306">
        <v>405</v>
      </c>
      <c r="O302" s="306">
        <v>755</v>
      </c>
      <c r="P302" s="306">
        <v>190</v>
      </c>
      <c r="Q302" s="306">
        <v>37</v>
      </c>
      <c r="R302" s="24"/>
      <c r="S302" s="24"/>
      <c r="T302" s="24"/>
      <c r="W302" s="310">
        <v>2020</v>
      </c>
      <c r="X302" s="310">
        <v>35</v>
      </c>
      <c r="Y302" s="310" t="s">
        <v>32</v>
      </c>
      <c r="Z302" s="310">
        <v>6944</v>
      </c>
      <c r="AA302" s="310">
        <v>6854</v>
      </c>
      <c r="AB302" s="310">
        <v>15</v>
      </c>
      <c r="AC302" s="310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I302" s="24">
        <v>2021</v>
      </c>
      <c r="BJ302" s="24">
        <v>48</v>
      </c>
      <c r="BK302" s="24" t="s">
        <v>32</v>
      </c>
      <c r="BL302" s="24" t="s">
        <v>272</v>
      </c>
      <c r="BM302" s="24">
        <v>2781</v>
      </c>
      <c r="BN302" s="24">
        <v>2779</v>
      </c>
      <c r="BO302" s="24">
        <v>9330</v>
      </c>
      <c r="BR302" s="24"/>
      <c r="BS302" s="24"/>
      <c r="BT302" s="24"/>
      <c r="BU302" s="24"/>
      <c r="BV302" s="24"/>
      <c r="CF302" s="24"/>
      <c r="CG302" s="24"/>
      <c r="CH302" s="24"/>
      <c r="CI302" s="24"/>
      <c r="CJ302" s="24"/>
      <c r="DD302" s="24"/>
      <c r="DE302" s="24"/>
      <c r="DF302" s="24"/>
      <c r="DG302" s="24"/>
      <c r="DH302" s="24"/>
      <c r="DJ302" s="24">
        <v>2020</v>
      </c>
      <c r="DK302" s="24">
        <v>38</v>
      </c>
      <c r="DL302" s="24" t="s">
        <v>213</v>
      </c>
      <c r="DM302" s="24">
        <v>1</v>
      </c>
      <c r="DP302" s="24">
        <v>2018</v>
      </c>
      <c r="DQ302" s="24">
        <v>25</v>
      </c>
      <c r="DR302" s="24" t="s">
        <v>33</v>
      </c>
      <c r="DS302" s="24">
        <v>9949</v>
      </c>
      <c r="DT302" s="24"/>
      <c r="DW302" s="24">
        <v>2021</v>
      </c>
      <c r="DX302" s="24">
        <v>26</v>
      </c>
      <c r="DY302" s="24" t="s">
        <v>32</v>
      </c>
      <c r="DZ302" s="24">
        <v>1</v>
      </c>
      <c r="EA302" s="24" t="s">
        <v>149</v>
      </c>
      <c r="EB302" s="24">
        <v>0</v>
      </c>
      <c r="EC302" s="24">
        <v>17.399999999999999</v>
      </c>
      <c r="ED302" s="24">
        <v>111</v>
      </c>
      <c r="EE302" s="24">
        <v>13</v>
      </c>
      <c r="EF302" s="24">
        <v>2.2000000000000002</v>
      </c>
      <c r="EI302" s="24">
        <v>2023</v>
      </c>
      <c r="EJ302" s="24">
        <v>2</v>
      </c>
      <c r="EK302" s="24" t="s">
        <v>213</v>
      </c>
      <c r="EL302" s="24" t="s">
        <v>214</v>
      </c>
      <c r="EM302" s="24" t="s">
        <v>215</v>
      </c>
      <c r="EN302" s="24">
        <v>16</v>
      </c>
      <c r="EO302" s="24"/>
      <c r="EP302" s="24"/>
      <c r="EQ302" s="24"/>
      <c r="ER302" s="24"/>
      <c r="ES302" s="24">
        <v>2021</v>
      </c>
      <c r="ET302" s="24">
        <v>10</v>
      </c>
      <c r="EU302" s="24" t="s">
        <v>213</v>
      </c>
      <c r="EV302" s="24">
        <v>10</v>
      </c>
      <c r="EY302" s="24"/>
      <c r="EZ302" s="24"/>
      <c r="FA302" s="24"/>
      <c r="FB302" s="24"/>
      <c r="FE302" s="24"/>
      <c r="FF302" s="24"/>
      <c r="FG302" s="24"/>
      <c r="FH302" s="24"/>
      <c r="FN302" s="24"/>
      <c r="FO302" s="24"/>
      <c r="FP302" s="24"/>
      <c r="FQ302" s="24"/>
      <c r="FW302" s="24">
        <v>2020</v>
      </c>
      <c r="FX302" s="24">
        <v>35</v>
      </c>
      <c r="FY302" s="24" t="s">
        <v>32</v>
      </c>
      <c r="FZ302" s="24">
        <v>1038</v>
      </c>
      <c r="GA302" s="24">
        <v>1000</v>
      </c>
      <c r="GB302" s="24"/>
      <c r="GC302" s="24"/>
      <c r="GD302" s="310">
        <v>2020</v>
      </c>
      <c r="GE302" s="310">
        <v>35</v>
      </c>
      <c r="GF302" s="310" t="s">
        <v>32</v>
      </c>
      <c r="GG302" s="310">
        <v>1024</v>
      </c>
      <c r="GH302" s="310">
        <v>986</v>
      </c>
      <c r="GK302" s="24"/>
      <c r="GL302" s="24"/>
      <c r="GM302" s="24"/>
      <c r="GN302" s="24"/>
      <c r="GO302" s="24"/>
      <c r="GP302" s="24"/>
      <c r="GQ302" s="24"/>
      <c r="GR302" s="24"/>
      <c r="GS302" s="24"/>
      <c r="GX302">
        <v>2020</v>
      </c>
      <c r="GY302">
        <v>35</v>
      </c>
      <c r="GZ302" t="s">
        <v>32</v>
      </c>
      <c r="HA302">
        <v>6908</v>
      </c>
      <c r="HB302">
        <v>6857</v>
      </c>
      <c r="HC302">
        <v>0</v>
      </c>
      <c r="HD302">
        <v>0</v>
      </c>
      <c r="HE302">
        <v>0</v>
      </c>
      <c r="HF302">
        <v>1</v>
      </c>
      <c r="HG302">
        <v>0</v>
      </c>
      <c r="HH302">
        <v>0</v>
      </c>
      <c r="HI302">
        <v>22</v>
      </c>
      <c r="HL302">
        <v>2020</v>
      </c>
      <c r="HM302">
        <v>35</v>
      </c>
      <c r="HN302" t="s">
        <v>32</v>
      </c>
      <c r="HO302">
        <v>6891</v>
      </c>
      <c r="HP302">
        <v>6891</v>
      </c>
      <c r="HQ302">
        <v>0</v>
      </c>
      <c r="HR302">
        <v>0</v>
      </c>
      <c r="HS302">
        <v>0</v>
      </c>
      <c r="HT302">
        <v>0</v>
      </c>
      <c r="HU302">
        <v>0</v>
      </c>
      <c r="HV302">
        <v>0</v>
      </c>
      <c r="HW302">
        <v>0</v>
      </c>
      <c r="HZ302" s="24">
        <v>2020</v>
      </c>
      <c r="IA302" s="24">
        <v>35</v>
      </c>
      <c r="IB302" s="24" t="s">
        <v>32</v>
      </c>
      <c r="IC302" s="24">
        <v>1058</v>
      </c>
      <c r="ID302" s="24">
        <v>1035</v>
      </c>
      <c r="IG302" s="24">
        <v>2020</v>
      </c>
      <c r="IH302" s="24">
        <v>35</v>
      </c>
      <c r="II302" s="24" t="s">
        <v>32</v>
      </c>
      <c r="IJ302" s="24">
        <v>985</v>
      </c>
      <c r="IK302" s="24">
        <v>985</v>
      </c>
    </row>
    <row r="303" spans="9:245" x14ac:dyDescent="0.4">
      <c r="I303" s="305">
        <v>2020</v>
      </c>
      <c r="J303" s="306">
        <v>35</v>
      </c>
      <c r="K303" s="306" t="s">
        <v>32</v>
      </c>
      <c r="L303" s="306">
        <v>6981</v>
      </c>
      <c r="M303" s="306">
        <v>6879</v>
      </c>
      <c r="N303" s="306">
        <v>8</v>
      </c>
      <c r="O303" s="306">
        <v>31</v>
      </c>
      <c r="P303" s="306">
        <v>19</v>
      </c>
      <c r="Q303" s="306">
        <v>2</v>
      </c>
      <c r="R303" s="24"/>
      <c r="S303" s="24"/>
      <c r="T303" s="24"/>
      <c r="W303" s="310">
        <v>2020</v>
      </c>
      <c r="X303" s="310">
        <v>35</v>
      </c>
      <c r="Y303" s="310" t="s">
        <v>33</v>
      </c>
      <c r="Z303" s="310">
        <v>176320</v>
      </c>
      <c r="AA303" s="310">
        <v>174737</v>
      </c>
      <c r="AB303" s="310">
        <v>289</v>
      </c>
      <c r="AC303" s="310">
        <v>32</v>
      </c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I303" s="24">
        <v>2021</v>
      </c>
      <c r="BJ303" s="24">
        <v>48</v>
      </c>
      <c r="BK303" s="24" t="s">
        <v>33</v>
      </c>
      <c r="BL303" s="24" t="s">
        <v>272</v>
      </c>
      <c r="BM303" s="24">
        <v>58088</v>
      </c>
      <c r="BN303" s="24">
        <v>58058</v>
      </c>
      <c r="BO303" s="24">
        <v>216221</v>
      </c>
      <c r="BR303" s="24"/>
      <c r="BS303" s="24"/>
      <c r="BT303" s="24"/>
      <c r="BU303" s="24"/>
      <c r="BV303" s="24"/>
      <c r="CF303" s="24"/>
      <c r="CG303" s="24"/>
      <c r="CH303" s="24"/>
      <c r="CI303" s="24"/>
      <c r="CJ303" s="24"/>
      <c r="DD303" s="24"/>
      <c r="DE303" s="24"/>
      <c r="DF303" s="24"/>
      <c r="DG303" s="24"/>
      <c r="DH303" s="24"/>
      <c r="DJ303" s="24">
        <v>2020</v>
      </c>
      <c r="DK303" s="24">
        <v>37</v>
      </c>
      <c r="DL303" s="24" t="s">
        <v>32</v>
      </c>
      <c r="DM303" s="24">
        <v>7</v>
      </c>
      <c r="DP303" s="24">
        <v>2018</v>
      </c>
      <c r="DQ303" s="24">
        <v>23</v>
      </c>
      <c r="DR303" s="24" t="s">
        <v>33</v>
      </c>
      <c r="DS303" s="24">
        <v>10243</v>
      </c>
      <c r="DT303" s="24"/>
      <c r="DW303" s="24">
        <v>2021</v>
      </c>
      <c r="DX303" s="24">
        <v>26</v>
      </c>
      <c r="DY303" s="24" t="s">
        <v>33</v>
      </c>
      <c r="DZ303" s="24">
        <v>9</v>
      </c>
      <c r="EA303" s="24" t="s">
        <v>562</v>
      </c>
      <c r="EB303" s="24">
        <v>100.2</v>
      </c>
      <c r="EC303" s="24">
        <v>0.5</v>
      </c>
      <c r="ED303" s="24"/>
      <c r="EE303" s="24">
        <v>3673</v>
      </c>
      <c r="EF303" s="24">
        <v>27</v>
      </c>
      <c r="EI303" s="24">
        <v>2023</v>
      </c>
      <c r="EJ303" s="24">
        <v>1</v>
      </c>
      <c r="EK303" s="24" t="s">
        <v>208</v>
      </c>
      <c r="EL303" s="24" t="s">
        <v>352</v>
      </c>
      <c r="EM303" s="24" t="s">
        <v>210</v>
      </c>
      <c r="EN303" s="24">
        <v>1</v>
      </c>
      <c r="EO303" s="24"/>
      <c r="EP303" s="24"/>
      <c r="EQ303" s="24"/>
      <c r="ER303" s="24"/>
      <c r="ES303" s="24">
        <v>2021</v>
      </c>
      <c r="ET303" s="24">
        <v>9</v>
      </c>
      <c r="EU303" s="24" t="s">
        <v>32</v>
      </c>
      <c r="EV303" s="24">
        <v>3780</v>
      </c>
      <c r="EY303" s="24"/>
      <c r="EZ303" s="24"/>
      <c r="FA303" s="24"/>
      <c r="FB303" s="24"/>
      <c r="FE303" s="24"/>
      <c r="FF303" s="24"/>
      <c r="FG303" s="24"/>
      <c r="FH303" s="24"/>
      <c r="FN303" s="24"/>
      <c r="FO303" s="24"/>
      <c r="FP303" s="24"/>
      <c r="FQ303" s="24"/>
      <c r="FW303" s="24">
        <v>2020</v>
      </c>
      <c r="FX303" s="24">
        <v>35</v>
      </c>
      <c r="FY303" s="24" t="s">
        <v>33</v>
      </c>
      <c r="FZ303" s="24">
        <v>9009</v>
      </c>
      <c r="GA303" s="24">
        <v>8653</v>
      </c>
      <c r="GB303" s="24"/>
      <c r="GC303" s="24"/>
      <c r="GD303" s="310">
        <v>2020</v>
      </c>
      <c r="GE303" s="310">
        <v>35</v>
      </c>
      <c r="GF303" s="310" t="s">
        <v>33</v>
      </c>
      <c r="GG303" s="310">
        <v>8982</v>
      </c>
      <c r="GH303" s="310">
        <v>8681</v>
      </c>
      <c r="GK303" s="24"/>
      <c r="GL303" s="24"/>
      <c r="GM303" s="24"/>
      <c r="GN303" s="24"/>
      <c r="GO303" s="24"/>
      <c r="GP303" s="24"/>
      <c r="GQ303" s="24"/>
      <c r="GR303" s="24"/>
      <c r="GS303" s="24"/>
      <c r="GX303">
        <v>2020</v>
      </c>
      <c r="GY303">
        <v>35</v>
      </c>
      <c r="GZ303" t="s">
        <v>33</v>
      </c>
      <c r="HA303">
        <v>174806</v>
      </c>
      <c r="HB303">
        <v>173770</v>
      </c>
      <c r="HC303">
        <v>97</v>
      </c>
      <c r="HD303">
        <v>24</v>
      </c>
      <c r="HE303">
        <v>0</v>
      </c>
      <c r="HF303">
        <v>91</v>
      </c>
      <c r="HG303">
        <v>0</v>
      </c>
      <c r="HH303">
        <v>0</v>
      </c>
      <c r="HI303">
        <v>369</v>
      </c>
      <c r="HL303">
        <v>2020</v>
      </c>
      <c r="HM303">
        <v>35</v>
      </c>
      <c r="HN303" t="s">
        <v>33</v>
      </c>
      <c r="HO303">
        <v>175774</v>
      </c>
      <c r="HP303">
        <v>175596</v>
      </c>
      <c r="HQ303">
        <v>73</v>
      </c>
      <c r="HR303">
        <v>3</v>
      </c>
      <c r="HS303">
        <v>0</v>
      </c>
      <c r="HT303">
        <v>32</v>
      </c>
      <c r="HU303">
        <v>0</v>
      </c>
      <c r="HV303">
        <v>0</v>
      </c>
      <c r="HW303">
        <v>14</v>
      </c>
      <c r="HZ303" s="24">
        <v>2020</v>
      </c>
      <c r="IA303" s="24">
        <v>35</v>
      </c>
      <c r="IB303" s="24" t="s">
        <v>33</v>
      </c>
      <c r="IC303" s="24">
        <v>9048</v>
      </c>
      <c r="ID303" s="24">
        <v>8849</v>
      </c>
      <c r="IG303" s="24">
        <v>2020</v>
      </c>
      <c r="IH303" s="24">
        <v>35</v>
      </c>
      <c r="II303" s="24" t="s">
        <v>33</v>
      </c>
      <c r="IJ303" s="24">
        <v>8526</v>
      </c>
      <c r="IK303" s="24">
        <v>8484</v>
      </c>
    </row>
    <row r="304" spans="9:245" x14ac:dyDescent="0.4">
      <c r="I304" s="305">
        <v>2020</v>
      </c>
      <c r="J304" s="306">
        <v>35</v>
      </c>
      <c r="K304" s="306" t="s">
        <v>33</v>
      </c>
      <c r="L304" s="306">
        <v>176344</v>
      </c>
      <c r="M304" s="306">
        <v>174220</v>
      </c>
      <c r="N304" s="306">
        <v>262</v>
      </c>
      <c r="O304" s="306">
        <v>838</v>
      </c>
      <c r="P304" s="306">
        <v>328</v>
      </c>
      <c r="Q304" s="306">
        <v>57</v>
      </c>
      <c r="R304" s="24"/>
      <c r="S304" s="24"/>
      <c r="T304" s="24"/>
      <c r="W304" s="24">
        <v>2020</v>
      </c>
      <c r="X304" s="24">
        <v>34</v>
      </c>
      <c r="Y304" s="24" t="s">
        <v>32</v>
      </c>
      <c r="Z304" s="24">
        <v>6224</v>
      </c>
      <c r="AA304" s="24">
        <v>6145</v>
      </c>
      <c r="AB304" s="24">
        <v>38</v>
      </c>
      <c r="AC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I304" s="24">
        <v>2021</v>
      </c>
      <c r="BJ304" s="24">
        <v>48</v>
      </c>
      <c r="BK304" s="24" t="s">
        <v>32</v>
      </c>
      <c r="BL304" s="24" t="s">
        <v>273</v>
      </c>
      <c r="BM304" s="24">
        <v>6165</v>
      </c>
      <c r="BN304" s="24">
        <v>6139</v>
      </c>
      <c r="BO304" s="24">
        <v>6468</v>
      </c>
      <c r="BR304" s="24"/>
      <c r="BS304" s="24"/>
      <c r="BT304" s="24"/>
      <c r="BU304" s="24"/>
      <c r="BV304" s="24"/>
      <c r="CF304" s="24"/>
      <c r="CG304" s="24"/>
      <c r="CH304" s="24"/>
      <c r="CI304" s="24"/>
      <c r="CJ304" s="24"/>
      <c r="DD304" s="24"/>
      <c r="DE304" s="24"/>
      <c r="DF304" s="24"/>
      <c r="DG304" s="24"/>
      <c r="DH304" s="24"/>
      <c r="DJ304" s="24">
        <v>2020</v>
      </c>
      <c r="DK304" s="24">
        <v>37</v>
      </c>
      <c r="DL304" s="24" t="s">
        <v>33</v>
      </c>
      <c r="DM304" s="24">
        <v>353</v>
      </c>
      <c r="DP304" s="24">
        <v>2018</v>
      </c>
      <c r="DQ304" s="24">
        <v>21</v>
      </c>
      <c r="DR304" s="24" t="s">
        <v>33</v>
      </c>
      <c r="DS304" s="24">
        <v>7090</v>
      </c>
      <c r="DT304" s="24"/>
      <c r="DW304" s="24">
        <v>2021</v>
      </c>
      <c r="DX304" s="24">
        <v>26</v>
      </c>
      <c r="DY304" s="24" t="s">
        <v>33</v>
      </c>
      <c r="DZ304" s="24">
        <v>40</v>
      </c>
      <c r="EA304" s="24" t="s">
        <v>149</v>
      </c>
      <c r="EB304" s="24">
        <v>147.80000000000001</v>
      </c>
      <c r="EC304" s="24">
        <v>1068.3</v>
      </c>
      <c r="ED304" s="24">
        <v>35582</v>
      </c>
      <c r="EE304" s="24">
        <v>40118</v>
      </c>
      <c r="EF304" s="24">
        <v>86.7</v>
      </c>
      <c r="EI304" s="24">
        <v>2023</v>
      </c>
      <c r="EJ304" s="24">
        <v>1</v>
      </c>
      <c r="EK304" s="24" t="s">
        <v>208</v>
      </c>
      <c r="EL304" s="24" t="s">
        <v>352</v>
      </c>
      <c r="EM304" s="24" t="s">
        <v>234</v>
      </c>
      <c r="EN304" s="24">
        <v>1</v>
      </c>
      <c r="EO304" s="24"/>
      <c r="EP304" s="24"/>
      <c r="EQ304" s="24"/>
      <c r="ER304" s="24"/>
      <c r="ES304" s="24">
        <v>2021</v>
      </c>
      <c r="ET304" s="24">
        <v>9</v>
      </c>
      <c r="EU304" s="24" t="s">
        <v>33</v>
      </c>
      <c r="EV304" s="24">
        <v>71708</v>
      </c>
      <c r="EY304" s="24"/>
      <c r="EZ304" s="24"/>
      <c r="FA304" s="24"/>
      <c r="FB304" s="24"/>
      <c r="FE304" s="24"/>
      <c r="FF304" s="24"/>
      <c r="FG304" s="24"/>
      <c r="FH304" s="24"/>
      <c r="FN304" s="24"/>
      <c r="FO304" s="24"/>
      <c r="FP304" s="24"/>
      <c r="FQ304" s="24"/>
      <c r="FW304" s="24">
        <v>2020</v>
      </c>
      <c r="FX304" s="24">
        <v>34</v>
      </c>
      <c r="FY304" s="24" t="s">
        <v>32</v>
      </c>
      <c r="FZ304" s="24">
        <v>858</v>
      </c>
      <c r="GA304" s="24">
        <v>817</v>
      </c>
      <c r="GB304" s="24"/>
      <c r="GC304" s="24"/>
      <c r="GD304" s="24">
        <v>2020</v>
      </c>
      <c r="GE304" s="24">
        <v>34</v>
      </c>
      <c r="GF304" s="24" t="s">
        <v>32</v>
      </c>
      <c r="GG304" s="24">
        <v>861</v>
      </c>
      <c r="GH304" s="24">
        <v>825</v>
      </c>
      <c r="GK304" s="24"/>
      <c r="GL304" s="24"/>
      <c r="GM304" s="24"/>
      <c r="GN304" s="24"/>
      <c r="GO304" s="24"/>
      <c r="GP304" s="24"/>
      <c r="GQ304" s="24"/>
      <c r="GR304" s="24"/>
      <c r="GS304" s="24"/>
      <c r="GX304">
        <v>2020</v>
      </c>
      <c r="GY304">
        <v>34</v>
      </c>
      <c r="GZ304" t="s">
        <v>32</v>
      </c>
      <c r="HA304">
        <v>6262</v>
      </c>
      <c r="HB304">
        <v>6183</v>
      </c>
      <c r="HC304">
        <v>0</v>
      </c>
      <c r="HD304">
        <v>4</v>
      </c>
      <c r="HE304">
        <v>0</v>
      </c>
      <c r="HF304">
        <v>5</v>
      </c>
      <c r="HG304">
        <v>0</v>
      </c>
      <c r="HH304">
        <v>0</v>
      </c>
      <c r="HI304">
        <v>61</v>
      </c>
      <c r="HL304">
        <v>2020</v>
      </c>
      <c r="HM304">
        <v>34</v>
      </c>
      <c r="HN304" t="s">
        <v>32</v>
      </c>
      <c r="HO304">
        <v>6169</v>
      </c>
      <c r="HP304">
        <v>6163</v>
      </c>
      <c r="HQ304">
        <v>0</v>
      </c>
      <c r="HR304">
        <v>2</v>
      </c>
      <c r="HS304">
        <v>0</v>
      </c>
      <c r="HT304">
        <v>2</v>
      </c>
      <c r="HU304">
        <v>0</v>
      </c>
      <c r="HV304">
        <v>0</v>
      </c>
      <c r="HW304">
        <v>0</v>
      </c>
      <c r="HZ304" s="24">
        <v>2020</v>
      </c>
      <c r="IA304" s="24">
        <v>34</v>
      </c>
      <c r="IB304" s="24" t="s">
        <v>32</v>
      </c>
      <c r="IC304" s="24">
        <v>855</v>
      </c>
      <c r="ID304" s="24">
        <v>817</v>
      </c>
      <c r="IG304" s="24">
        <v>2020</v>
      </c>
      <c r="IH304" s="24">
        <v>34</v>
      </c>
      <c r="II304" s="24" t="s">
        <v>32</v>
      </c>
      <c r="IJ304" s="24">
        <v>849</v>
      </c>
      <c r="IK304" s="24">
        <v>849</v>
      </c>
    </row>
    <row r="305" spans="9:245" x14ac:dyDescent="0.4">
      <c r="I305" s="305">
        <v>2020</v>
      </c>
      <c r="J305" s="306">
        <v>34</v>
      </c>
      <c r="K305" s="306" t="s">
        <v>32</v>
      </c>
      <c r="L305" s="306">
        <v>6205</v>
      </c>
      <c r="M305" s="306">
        <v>6109</v>
      </c>
      <c r="N305" s="306">
        <v>28</v>
      </c>
      <c r="O305" s="306">
        <v>39</v>
      </c>
      <c r="P305" s="306">
        <v>42</v>
      </c>
      <c r="Q305" s="306"/>
      <c r="R305" s="24"/>
      <c r="S305" s="24"/>
      <c r="T305" s="24"/>
      <c r="W305" s="24">
        <v>2020</v>
      </c>
      <c r="X305" s="24">
        <v>34</v>
      </c>
      <c r="Y305" s="24" t="s">
        <v>33</v>
      </c>
      <c r="Z305" s="24">
        <v>174040</v>
      </c>
      <c r="AA305" s="24">
        <v>172713</v>
      </c>
      <c r="AB305" s="24">
        <v>126</v>
      </c>
      <c r="AC305" s="24">
        <v>20</v>
      </c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I305" s="24">
        <v>2021</v>
      </c>
      <c r="BJ305" s="24">
        <v>48</v>
      </c>
      <c r="BK305" s="24" t="s">
        <v>33</v>
      </c>
      <c r="BL305" s="24" t="s">
        <v>273</v>
      </c>
      <c r="BM305" s="24">
        <v>91553</v>
      </c>
      <c r="BN305" s="24">
        <v>91151</v>
      </c>
      <c r="BO305" s="24">
        <v>93958</v>
      </c>
      <c r="BR305" s="24"/>
      <c r="BS305" s="24"/>
      <c r="BT305" s="24"/>
      <c r="BU305" s="24"/>
      <c r="BV305" s="24"/>
      <c r="CF305" s="24"/>
      <c r="CG305" s="24"/>
      <c r="CH305" s="24"/>
      <c r="CI305" s="24"/>
      <c r="CJ305" s="24"/>
      <c r="DD305" s="24"/>
      <c r="DE305" s="24"/>
      <c r="DF305" s="24"/>
      <c r="DG305" s="24"/>
      <c r="DH305" s="24"/>
      <c r="DJ305" s="24">
        <v>2020</v>
      </c>
      <c r="DK305" s="24">
        <v>37</v>
      </c>
      <c r="DL305" s="24" t="s">
        <v>213</v>
      </c>
      <c r="DM305" s="24">
        <v>1</v>
      </c>
      <c r="DP305" s="24">
        <v>2018</v>
      </c>
      <c r="DQ305" s="24">
        <v>20</v>
      </c>
      <c r="DR305" s="24" t="s">
        <v>33</v>
      </c>
      <c r="DS305" s="24">
        <v>8325</v>
      </c>
      <c r="DT305" s="24"/>
      <c r="DW305" s="24">
        <v>2021</v>
      </c>
      <c r="DX305" s="24">
        <v>25</v>
      </c>
      <c r="DY305" s="24" t="s">
        <v>32</v>
      </c>
      <c r="DZ305" s="24">
        <v>1</v>
      </c>
      <c r="EA305" s="24" t="s">
        <v>149</v>
      </c>
      <c r="EB305" s="24">
        <v>0</v>
      </c>
      <c r="EC305" s="24">
        <v>9.3000000000000007</v>
      </c>
      <c r="ED305" s="24">
        <v>387</v>
      </c>
      <c r="EE305" s="24">
        <v>345</v>
      </c>
      <c r="EF305" s="24">
        <v>3.6</v>
      </c>
      <c r="EI305" s="24">
        <v>2023</v>
      </c>
      <c r="EJ305" s="24">
        <v>1</v>
      </c>
      <c r="EK305" s="24" t="s">
        <v>208</v>
      </c>
      <c r="EL305" s="24" t="s">
        <v>351</v>
      </c>
      <c r="EM305" s="24" t="s">
        <v>210</v>
      </c>
      <c r="EN305" s="24">
        <v>3</v>
      </c>
      <c r="EO305" s="24"/>
      <c r="EP305" s="24"/>
      <c r="EQ305" s="24"/>
      <c r="ER305" s="24"/>
      <c r="ES305" s="24">
        <v>2021</v>
      </c>
      <c r="ET305" s="24">
        <v>9</v>
      </c>
      <c r="EU305" s="24" t="s">
        <v>213</v>
      </c>
      <c r="EV305" s="24">
        <v>12</v>
      </c>
      <c r="EY305" s="24"/>
      <c r="EZ305" s="24"/>
      <c r="FA305" s="24"/>
      <c r="FB305" s="24"/>
      <c r="FE305" s="24"/>
      <c r="FF305" s="24"/>
      <c r="FG305" s="24"/>
      <c r="FH305" s="24"/>
      <c r="FN305" s="24"/>
      <c r="FO305" s="24"/>
      <c r="FP305" s="24"/>
      <c r="FQ305" s="24"/>
      <c r="FW305" s="24">
        <v>2020</v>
      </c>
      <c r="FX305" s="24">
        <v>34</v>
      </c>
      <c r="FY305" s="24" t="s">
        <v>33</v>
      </c>
      <c r="FZ305" s="24">
        <v>7893</v>
      </c>
      <c r="GA305" s="24">
        <v>7768</v>
      </c>
      <c r="GB305" s="24"/>
      <c r="GC305" s="24"/>
      <c r="GD305" s="24">
        <v>2020</v>
      </c>
      <c r="GE305" s="24">
        <v>34</v>
      </c>
      <c r="GF305" s="24" t="s">
        <v>33</v>
      </c>
      <c r="GG305" s="24">
        <v>7883</v>
      </c>
      <c r="GH305" s="24">
        <v>7805</v>
      </c>
      <c r="GK305" s="24"/>
      <c r="GL305" s="24"/>
      <c r="GM305" s="24"/>
      <c r="GN305" s="24"/>
      <c r="GO305" s="24"/>
      <c r="GP305" s="24"/>
      <c r="GQ305" s="24"/>
      <c r="GR305" s="24"/>
      <c r="GS305" s="24"/>
      <c r="GX305">
        <v>2020</v>
      </c>
      <c r="GY305">
        <v>34</v>
      </c>
      <c r="GZ305" t="s">
        <v>33</v>
      </c>
      <c r="HA305">
        <v>170371</v>
      </c>
      <c r="HB305">
        <v>169365</v>
      </c>
      <c r="HC305">
        <v>47</v>
      </c>
      <c r="HD305">
        <v>15</v>
      </c>
      <c r="HE305">
        <v>0</v>
      </c>
      <c r="HF305">
        <v>41</v>
      </c>
      <c r="HG305">
        <v>0</v>
      </c>
      <c r="HH305">
        <v>0</v>
      </c>
      <c r="HI305">
        <v>516</v>
      </c>
      <c r="HL305">
        <v>2020</v>
      </c>
      <c r="HM305">
        <v>34</v>
      </c>
      <c r="HN305" t="s">
        <v>33</v>
      </c>
      <c r="HO305">
        <v>173581</v>
      </c>
      <c r="HP305">
        <v>173436</v>
      </c>
      <c r="HQ305">
        <v>54</v>
      </c>
      <c r="HR305">
        <v>6</v>
      </c>
      <c r="HS305">
        <v>0</v>
      </c>
      <c r="HT305">
        <v>11</v>
      </c>
      <c r="HU305">
        <v>0</v>
      </c>
      <c r="HV305">
        <v>0</v>
      </c>
      <c r="HW305">
        <v>25</v>
      </c>
      <c r="HZ305" s="24">
        <v>2020</v>
      </c>
      <c r="IA305" s="24">
        <v>34</v>
      </c>
      <c r="IB305" s="24" t="s">
        <v>33</v>
      </c>
      <c r="IC305" s="24">
        <v>7824</v>
      </c>
      <c r="ID305" s="24">
        <v>7714</v>
      </c>
      <c r="IG305" s="24">
        <v>2020</v>
      </c>
      <c r="IH305" s="24">
        <v>34</v>
      </c>
      <c r="II305" s="24" t="s">
        <v>33</v>
      </c>
      <c r="IJ305" s="24">
        <v>7428</v>
      </c>
      <c r="IK305" s="24">
        <v>7415</v>
      </c>
    </row>
    <row r="306" spans="9:245" x14ac:dyDescent="0.4">
      <c r="I306" s="305">
        <v>2020</v>
      </c>
      <c r="J306" s="306">
        <v>34</v>
      </c>
      <c r="K306" s="306" t="s">
        <v>33</v>
      </c>
      <c r="L306" s="306">
        <v>174080</v>
      </c>
      <c r="M306" s="306">
        <v>172165</v>
      </c>
      <c r="N306" s="306">
        <v>410</v>
      </c>
      <c r="O306" s="306">
        <v>714</v>
      </c>
      <c r="P306" s="306">
        <v>160</v>
      </c>
      <c r="Q306" s="306">
        <v>15</v>
      </c>
      <c r="R306" s="24"/>
      <c r="S306" s="24"/>
      <c r="T306" s="24"/>
      <c r="W306" s="24">
        <v>2020</v>
      </c>
      <c r="X306" s="24">
        <v>33</v>
      </c>
      <c r="Y306" s="24" t="s">
        <v>32</v>
      </c>
      <c r="Z306" s="24">
        <v>6710</v>
      </c>
      <c r="AA306" s="24">
        <v>6679</v>
      </c>
      <c r="AB306" s="24">
        <v>12</v>
      </c>
      <c r="AC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I306" s="24">
        <v>2021</v>
      </c>
      <c r="BJ306" s="24">
        <v>47</v>
      </c>
      <c r="BK306" s="24" t="s">
        <v>32</v>
      </c>
      <c r="BL306" s="24" t="s">
        <v>272</v>
      </c>
      <c r="BM306" s="24">
        <v>2107</v>
      </c>
      <c r="BN306" s="24">
        <v>2107</v>
      </c>
      <c r="BO306" s="24">
        <v>7286</v>
      </c>
      <c r="BR306" s="24"/>
      <c r="BS306" s="24"/>
      <c r="BT306" s="24"/>
      <c r="BU306" s="24"/>
      <c r="BV306" s="24"/>
      <c r="CF306" s="24"/>
      <c r="CG306" s="24"/>
      <c r="CH306" s="24"/>
      <c r="CI306" s="24"/>
      <c r="CJ306" s="24"/>
      <c r="DD306" s="24"/>
      <c r="DE306" s="24"/>
      <c r="DF306" s="24"/>
      <c r="DG306" s="24"/>
      <c r="DH306" s="24"/>
      <c r="DJ306" s="24">
        <v>2020</v>
      </c>
      <c r="DK306" s="24">
        <v>36</v>
      </c>
      <c r="DL306" s="24" t="s">
        <v>32</v>
      </c>
      <c r="DM306" s="24">
        <v>12</v>
      </c>
      <c r="DP306" s="315">
        <v>2018</v>
      </c>
      <c r="DQ306" s="315">
        <v>18</v>
      </c>
      <c r="DR306" s="315" t="s">
        <v>33</v>
      </c>
      <c r="DS306" s="315">
        <v>12328</v>
      </c>
      <c r="DT306" s="315"/>
      <c r="DW306" s="24">
        <v>2021</v>
      </c>
      <c r="DX306" s="24">
        <v>25</v>
      </c>
      <c r="DY306" s="24" t="s">
        <v>33</v>
      </c>
      <c r="DZ306" s="24">
        <v>9</v>
      </c>
      <c r="EA306" s="24" t="s">
        <v>562</v>
      </c>
      <c r="EB306" s="24">
        <v>86.4</v>
      </c>
      <c r="EC306" s="24">
        <v>0</v>
      </c>
      <c r="ED306" s="24"/>
      <c r="EE306" s="24">
        <v>3327</v>
      </c>
      <c r="EF306" s="24">
        <v>30.6</v>
      </c>
      <c r="EI306" s="24">
        <v>2023</v>
      </c>
      <c r="EJ306" s="24">
        <v>1</v>
      </c>
      <c r="EK306" s="24" t="s">
        <v>208</v>
      </c>
      <c r="EL306" s="24" t="s">
        <v>351</v>
      </c>
      <c r="EM306" s="24" t="s">
        <v>234</v>
      </c>
      <c r="EN306" s="24">
        <v>9</v>
      </c>
      <c r="EO306" s="24"/>
      <c r="EP306" s="24"/>
      <c r="EQ306" s="24"/>
      <c r="ER306" s="24"/>
      <c r="ES306" s="24">
        <v>2021</v>
      </c>
      <c r="ET306" s="24">
        <v>8</v>
      </c>
      <c r="EU306" s="24" t="s">
        <v>32</v>
      </c>
      <c r="EV306" s="24">
        <v>2837</v>
      </c>
      <c r="EY306" s="24"/>
      <c r="EZ306" s="24"/>
      <c r="FA306" s="24"/>
      <c r="FB306" s="24"/>
      <c r="FE306" s="24"/>
      <c r="FF306" s="24"/>
      <c r="FG306" s="24"/>
      <c r="FH306" s="24"/>
      <c r="FN306" s="24"/>
      <c r="FO306" s="24"/>
      <c r="FP306" s="24"/>
      <c r="FQ306" s="24"/>
      <c r="FW306" s="24">
        <v>2020</v>
      </c>
      <c r="FX306" s="24">
        <v>33</v>
      </c>
      <c r="FY306" s="24" t="s">
        <v>32</v>
      </c>
      <c r="FZ306" s="24">
        <v>773</v>
      </c>
      <c r="GA306" s="24">
        <v>756</v>
      </c>
      <c r="GB306" s="24"/>
      <c r="GC306" s="24"/>
      <c r="GD306" s="24">
        <v>2020</v>
      </c>
      <c r="GE306" s="24">
        <v>33</v>
      </c>
      <c r="GF306" s="24" t="s">
        <v>32</v>
      </c>
      <c r="GG306" s="24">
        <v>768</v>
      </c>
      <c r="GH306" s="24">
        <v>755</v>
      </c>
      <c r="GK306" s="24"/>
      <c r="GL306" s="24"/>
      <c r="GM306" s="24"/>
      <c r="GN306" s="24"/>
      <c r="GO306" s="24"/>
      <c r="GP306" s="24"/>
      <c r="GQ306" s="24"/>
      <c r="GR306" s="24"/>
      <c r="GS306" s="24"/>
      <c r="GX306">
        <v>2020</v>
      </c>
      <c r="GY306">
        <v>33</v>
      </c>
      <c r="GZ306" t="s">
        <v>32</v>
      </c>
      <c r="HA306">
        <v>6691</v>
      </c>
      <c r="HB306">
        <v>6639</v>
      </c>
      <c r="HC306">
        <v>0</v>
      </c>
      <c r="HD306">
        <v>0</v>
      </c>
      <c r="HE306">
        <v>0</v>
      </c>
      <c r="HF306">
        <v>2</v>
      </c>
      <c r="HG306">
        <v>0</v>
      </c>
      <c r="HH306">
        <v>0</v>
      </c>
      <c r="HI306">
        <v>30</v>
      </c>
      <c r="HL306">
        <v>2020</v>
      </c>
      <c r="HM306">
        <v>33</v>
      </c>
      <c r="HN306" t="s">
        <v>32</v>
      </c>
      <c r="HO306">
        <v>6662</v>
      </c>
      <c r="HP306">
        <v>6654</v>
      </c>
      <c r="HQ306">
        <v>0</v>
      </c>
      <c r="HR306">
        <v>0</v>
      </c>
      <c r="HS306">
        <v>0</v>
      </c>
      <c r="HT306">
        <v>4</v>
      </c>
      <c r="HU306">
        <v>0</v>
      </c>
      <c r="HV306">
        <v>0</v>
      </c>
      <c r="HW306">
        <v>0</v>
      </c>
      <c r="HZ306" s="24">
        <v>2020</v>
      </c>
      <c r="IA306" s="24">
        <v>33</v>
      </c>
      <c r="IB306" s="24" t="s">
        <v>32</v>
      </c>
      <c r="IC306" s="24">
        <v>757</v>
      </c>
      <c r="ID306" s="24">
        <v>740</v>
      </c>
      <c r="IG306" s="24">
        <v>2020</v>
      </c>
      <c r="IH306" s="24">
        <v>33</v>
      </c>
      <c r="II306" s="24" t="s">
        <v>32</v>
      </c>
      <c r="IJ306" s="24">
        <v>752</v>
      </c>
      <c r="IK306" s="24">
        <v>751</v>
      </c>
    </row>
    <row r="307" spans="9:245" x14ac:dyDescent="0.4">
      <c r="I307" s="305">
        <v>2020</v>
      </c>
      <c r="J307" s="306">
        <v>33</v>
      </c>
      <c r="K307" s="306" t="s">
        <v>32</v>
      </c>
      <c r="L307" s="306">
        <v>6709</v>
      </c>
      <c r="M307" s="306">
        <v>6652</v>
      </c>
      <c r="N307" s="306">
        <v>17</v>
      </c>
      <c r="O307" s="306">
        <v>20</v>
      </c>
      <c r="P307" s="306">
        <v>16</v>
      </c>
      <c r="Q307" s="306">
        <v>1</v>
      </c>
      <c r="R307" s="24"/>
      <c r="S307" s="24"/>
      <c r="T307" s="24"/>
      <c r="W307" s="24">
        <v>2020</v>
      </c>
      <c r="X307" s="24">
        <v>33</v>
      </c>
      <c r="Y307" s="24" t="s">
        <v>33</v>
      </c>
      <c r="Z307" s="24">
        <v>185491</v>
      </c>
      <c r="AA307" s="24">
        <v>184195</v>
      </c>
      <c r="AB307" s="24">
        <v>100</v>
      </c>
      <c r="AC307" s="24">
        <v>33</v>
      </c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I307" s="24">
        <v>2021</v>
      </c>
      <c r="BJ307" s="24">
        <v>47</v>
      </c>
      <c r="BK307" s="24" t="s">
        <v>33</v>
      </c>
      <c r="BL307" s="24" t="s">
        <v>272</v>
      </c>
      <c r="BM307" s="24">
        <v>37349</v>
      </c>
      <c r="BN307" s="24">
        <v>37324</v>
      </c>
      <c r="BO307" s="24">
        <v>133848</v>
      </c>
      <c r="BR307" s="24"/>
      <c r="BS307" s="24"/>
      <c r="BT307" s="24"/>
      <c r="BU307" s="24"/>
      <c r="BV307" s="24"/>
      <c r="CF307" s="24"/>
      <c r="CG307" s="24"/>
      <c r="CH307" s="24"/>
      <c r="CI307" s="24"/>
      <c r="CJ307" s="24"/>
      <c r="DD307" s="24"/>
      <c r="DE307" s="24"/>
      <c r="DF307" s="24"/>
      <c r="DG307" s="24"/>
      <c r="DH307" s="24"/>
      <c r="DJ307" s="24">
        <v>2020</v>
      </c>
      <c r="DK307" s="24">
        <v>36</v>
      </c>
      <c r="DL307" s="24" t="s">
        <v>33</v>
      </c>
      <c r="DM307" s="24">
        <v>340</v>
      </c>
      <c r="DP307" s="315">
        <v>2018</v>
      </c>
      <c r="DQ307" s="315">
        <v>14</v>
      </c>
      <c r="DR307" s="315" t="s">
        <v>33</v>
      </c>
      <c r="DS307" s="315">
        <v>11589</v>
      </c>
      <c r="DT307" s="315"/>
      <c r="DW307" s="24">
        <v>2021</v>
      </c>
      <c r="DX307" s="24">
        <v>25</v>
      </c>
      <c r="DY307" s="24" t="s">
        <v>33</v>
      </c>
      <c r="DZ307" s="24">
        <v>38</v>
      </c>
      <c r="EA307" s="24" t="s">
        <v>149</v>
      </c>
      <c r="EB307" s="24">
        <v>164.5</v>
      </c>
      <c r="EC307" s="24">
        <v>999.4</v>
      </c>
      <c r="ED307" s="24">
        <v>32076</v>
      </c>
      <c r="EE307" s="24">
        <v>38401</v>
      </c>
      <c r="EF307" s="24">
        <v>112.8</v>
      </c>
      <c r="EI307" s="24">
        <v>2023</v>
      </c>
      <c r="EJ307" s="24">
        <v>1</v>
      </c>
      <c r="EK307" s="24" t="s">
        <v>208</v>
      </c>
      <c r="EL307" s="24" t="s">
        <v>235</v>
      </c>
      <c r="EM307" s="24" t="s">
        <v>234</v>
      </c>
      <c r="EN307" s="24">
        <v>29</v>
      </c>
      <c r="EO307" s="24"/>
      <c r="EP307" s="24"/>
      <c r="EQ307" s="24"/>
      <c r="ER307" s="24"/>
      <c r="ES307" s="24">
        <v>2021</v>
      </c>
      <c r="ET307" s="24">
        <v>8</v>
      </c>
      <c r="EU307" s="24" t="s">
        <v>33</v>
      </c>
      <c r="EV307" s="24">
        <v>67801</v>
      </c>
      <c r="EY307" s="24"/>
      <c r="EZ307" s="24"/>
      <c r="FA307" s="24"/>
      <c r="FB307" s="24"/>
      <c r="FE307" s="24"/>
      <c r="FF307" s="24"/>
      <c r="FG307" s="24"/>
      <c r="FH307" s="24"/>
      <c r="FN307" s="24"/>
      <c r="FO307" s="24"/>
      <c r="FP307" s="24"/>
      <c r="FQ307" s="24"/>
      <c r="FW307" s="24">
        <v>2020</v>
      </c>
      <c r="FX307" s="24">
        <v>33</v>
      </c>
      <c r="FY307" s="24" t="s">
        <v>33</v>
      </c>
      <c r="FZ307" s="24">
        <v>8343</v>
      </c>
      <c r="GA307" s="24">
        <v>8152</v>
      </c>
      <c r="GB307" s="24"/>
      <c r="GC307" s="24"/>
      <c r="GD307" s="24">
        <v>2020</v>
      </c>
      <c r="GE307" s="24">
        <v>33</v>
      </c>
      <c r="GF307" s="24" t="s">
        <v>33</v>
      </c>
      <c r="GG307" s="24">
        <v>8309</v>
      </c>
      <c r="GH307" s="24">
        <v>8198</v>
      </c>
      <c r="GK307" s="24"/>
      <c r="GL307" s="24"/>
      <c r="GM307" s="24"/>
      <c r="GN307" s="24"/>
      <c r="GO307" s="24"/>
      <c r="GP307" s="24"/>
      <c r="GQ307" s="24"/>
      <c r="GR307" s="24"/>
      <c r="GS307" s="24"/>
      <c r="GX307">
        <v>2020</v>
      </c>
      <c r="GY307">
        <v>33</v>
      </c>
      <c r="GZ307" t="s">
        <v>33</v>
      </c>
      <c r="HA307">
        <v>186746</v>
      </c>
      <c r="HB307">
        <v>185126</v>
      </c>
      <c r="HC307">
        <v>33</v>
      </c>
      <c r="HD307">
        <v>36</v>
      </c>
      <c r="HE307">
        <v>0</v>
      </c>
      <c r="HF307">
        <v>182</v>
      </c>
      <c r="HG307">
        <v>0</v>
      </c>
      <c r="HH307">
        <v>0</v>
      </c>
      <c r="HI307">
        <v>621</v>
      </c>
      <c r="HL307">
        <v>2020</v>
      </c>
      <c r="HM307">
        <v>33</v>
      </c>
      <c r="HN307" t="s">
        <v>33</v>
      </c>
      <c r="HO307">
        <v>185171</v>
      </c>
      <c r="HP307">
        <v>184957</v>
      </c>
      <c r="HQ307">
        <v>56</v>
      </c>
      <c r="HR307">
        <v>1</v>
      </c>
      <c r="HS307">
        <v>0</v>
      </c>
      <c r="HT307">
        <v>93</v>
      </c>
      <c r="HU307">
        <v>0</v>
      </c>
      <c r="HV307">
        <v>0</v>
      </c>
      <c r="HW307">
        <v>25</v>
      </c>
      <c r="HZ307" s="24">
        <v>2020</v>
      </c>
      <c r="IA307" s="24">
        <v>33</v>
      </c>
      <c r="IB307" s="24" t="s">
        <v>33</v>
      </c>
      <c r="IC307" s="24">
        <v>8218</v>
      </c>
      <c r="ID307" s="24">
        <v>7997</v>
      </c>
      <c r="IG307" s="24">
        <v>2020</v>
      </c>
      <c r="IH307" s="24">
        <v>33</v>
      </c>
      <c r="II307" s="24" t="s">
        <v>33</v>
      </c>
      <c r="IJ307" s="24">
        <v>7825</v>
      </c>
      <c r="IK307" s="24">
        <v>7799</v>
      </c>
    </row>
    <row r="308" spans="9:245" x14ac:dyDescent="0.4">
      <c r="I308" s="305">
        <v>2020</v>
      </c>
      <c r="J308" s="306">
        <v>33</v>
      </c>
      <c r="K308" s="306" t="s">
        <v>33</v>
      </c>
      <c r="L308" s="306">
        <v>185744</v>
      </c>
      <c r="M308" s="306">
        <v>183812</v>
      </c>
      <c r="N308" s="306">
        <v>419</v>
      </c>
      <c r="O308" s="306">
        <v>661</v>
      </c>
      <c r="P308" s="306">
        <v>159</v>
      </c>
      <c r="Q308" s="306">
        <v>36</v>
      </c>
      <c r="R308" s="24"/>
      <c r="S308" s="24"/>
      <c r="T308" s="24"/>
      <c r="W308" s="311">
        <v>2020</v>
      </c>
      <c r="X308" s="311">
        <v>32</v>
      </c>
      <c r="Y308" s="311" t="s">
        <v>32</v>
      </c>
      <c r="Z308" s="311">
        <v>5691</v>
      </c>
      <c r="AA308" s="311">
        <v>5626</v>
      </c>
      <c r="AB308" s="311">
        <v>4</v>
      </c>
      <c r="AC308" s="311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I308" s="24">
        <v>2021</v>
      </c>
      <c r="BJ308" s="24">
        <v>47</v>
      </c>
      <c r="BK308" s="24" t="s">
        <v>33</v>
      </c>
      <c r="BL308" s="24" t="s">
        <v>273</v>
      </c>
      <c r="BM308" s="24">
        <v>74058</v>
      </c>
      <c r="BN308" s="24">
        <v>73709</v>
      </c>
      <c r="BO308" s="24">
        <v>75655</v>
      </c>
      <c r="BR308" s="24"/>
      <c r="BS308" s="24"/>
      <c r="BT308" s="24"/>
      <c r="BU308" s="24"/>
      <c r="BV308" s="24"/>
      <c r="CF308" s="24"/>
      <c r="CG308" s="24"/>
      <c r="CH308" s="24"/>
      <c r="CI308" s="24"/>
      <c r="CJ308" s="24"/>
      <c r="DD308" s="24"/>
      <c r="DE308" s="24"/>
      <c r="DF308" s="24"/>
      <c r="DG308" s="24"/>
      <c r="DH308" s="24"/>
      <c r="DJ308" s="24">
        <v>2020</v>
      </c>
      <c r="DK308" s="24">
        <v>35</v>
      </c>
      <c r="DL308" s="24" t="s">
        <v>32</v>
      </c>
      <c r="DM308" s="24">
        <v>7</v>
      </c>
      <c r="DP308" s="315">
        <v>2018</v>
      </c>
      <c r="DQ308" s="315">
        <v>13</v>
      </c>
      <c r="DR308" s="315" t="s">
        <v>33</v>
      </c>
      <c r="DS308" s="315">
        <v>9400</v>
      </c>
      <c r="DT308" s="315"/>
      <c r="DW308" s="24">
        <v>2021</v>
      </c>
      <c r="DX308" s="24">
        <v>24</v>
      </c>
      <c r="DY308" s="24" t="s">
        <v>32</v>
      </c>
      <c r="DZ308" s="24">
        <v>1</v>
      </c>
      <c r="EA308" s="24" t="s">
        <v>149</v>
      </c>
      <c r="EB308" s="24">
        <v>0</v>
      </c>
      <c r="EC308" s="24">
        <v>52.4</v>
      </c>
      <c r="ED308" s="24">
        <v>1886</v>
      </c>
      <c r="EE308" s="24">
        <v>1855</v>
      </c>
      <c r="EF308" s="24">
        <v>5</v>
      </c>
      <c r="EI308" s="24">
        <v>2023</v>
      </c>
      <c r="EJ308" s="24">
        <v>1</v>
      </c>
      <c r="EK308" s="24" t="s">
        <v>208</v>
      </c>
      <c r="EL308" s="24" t="s">
        <v>209</v>
      </c>
      <c r="EM308" s="24" t="s">
        <v>210</v>
      </c>
      <c r="EN308" s="24">
        <v>7</v>
      </c>
      <c r="EO308" s="24"/>
      <c r="EP308" s="24"/>
      <c r="EQ308" s="24"/>
      <c r="ER308" s="24"/>
      <c r="ES308" s="24">
        <v>2021</v>
      </c>
      <c r="ET308" s="24">
        <v>8</v>
      </c>
      <c r="EU308" s="24" t="s">
        <v>213</v>
      </c>
      <c r="EV308" s="24">
        <v>17</v>
      </c>
      <c r="EY308" s="24"/>
      <c r="EZ308" s="24"/>
      <c r="FA308" s="24"/>
      <c r="FB308" s="24"/>
      <c r="FE308" s="24"/>
      <c r="FF308" s="24"/>
      <c r="FG308" s="24"/>
      <c r="FH308" s="24"/>
      <c r="FN308" s="24"/>
      <c r="FO308" s="24"/>
      <c r="FP308" s="24"/>
      <c r="FQ308" s="24"/>
      <c r="FW308" s="24">
        <v>2020</v>
      </c>
      <c r="FX308" s="24">
        <v>32</v>
      </c>
      <c r="FY308" s="24" t="s">
        <v>32</v>
      </c>
      <c r="FZ308" s="24">
        <v>810</v>
      </c>
      <c r="GA308" s="24">
        <v>802</v>
      </c>
      <c r="GB308" s="24"/>
      <c r="GC308" s="24"/>
      <c r="GD308" s="311">
        <v>2020</v>
      </c>
      <c r="GE308" s="311">
        <v>32</v>
      </c>
      <c r="GF308" s="311" t="s">
        <v>32</v>
      </c>
      <c r="GG308" s="311">
        <v>824</v>
      </c>
      <c r="GH308" s="311">
        <v>820</v>
      </c>
      <c r="GK308" s="24"/>
      <c r="GL308" s="24"/>
      <c r="GM308" s="24"/>
      <c r="GN308" s="24"/>
      <c r="GO308" s="24"/>
      <c r="GP308" s="24"/>
      <c r="GQ308" s="24"/>
      <c r="GR308" s="24"/>
      <c r="GS308" s="24"/>
      <c r="GX308">
        <v>2020</v>
      </c>
      <c r="GY308">
        <v>32</v>
      </c>
      <c r="GZ308" t="s">
        <v>32</v>
      </c>
      <c r="HA308">
        <v>5672</v>
      </c>
      <c r="HB308">
        <v>5595</v>
      </c>
      <c r="HC308">
        <v>0</v>
      </c>
      <c r="HD308">
        <v>0</v>
      </c>
      <c r="HE308">
        <v>0</v>
      </c>
      <c r="HF308">
        <v>1</v>
      </c>
      <c r="HG308">
        <v>0</v>
      </c>
      <c r="HH308">
        <v>0</v>
      </c>
      <c r="HI308">
        <v>11</v>
      </c>
      <c r="HL308">
        <v>2020</v>
      </c>
      <c r="HM308">
        <v>32</v>
      </c>
      <c r="HN308" t="s">
        <v>32</v>
      </c>
      <c r="HO308">
        <v>5653</v>
      </c>
      <c r="HP308">
        <v>5653</v>
      </c>
      <c r="HQ308">
        <v>0</v>
      </c>
      <c r="HR308">
        <v>0</v>
      </c>
      <c r="HS308">
        <v>0</v>
      </c>
      <c r="HT308">
        <v>0</v>
      </c>
      <c r="HU308">
        <v>0</v>
      </c>
      <c r="HV308">
        <v>0</v>
      </c>
      <c r="HW308">
        <v>0</v>
      </c>
      <c r="HZ308" s="24">
        <v>2020</v>
      </c>
      <c r="IA308" s="24">
        <v>32</v>
      </c>
      <c r="IB308" s="24" t="s">
        <v>32</v>
      </c>
      <c r="IC308" s="24">
        <v>870</v>
      </c>
      <c r="ID308" s="24">
        <v>865</v>
      </c>
      <c r="IG308" s="24">
        <v>2020</v>
      </c>
      <c r="IH308" s="24">
        <v>32</v>
      </c>
      <c r="II308" s="24" t="s">
        <v>32</v>
      </c>
      <c r="IJ308" s="24">
        <v>796</v>
      </c>
      <c r="IK308" s="24">
        <v>796</v>
      </c>
    </row>
    <row r="309" spans="9:245" x14ac:dyDescent="0.4">
      <c r="I309" s="305">
        <v>2020</v>
      </c>
      <c r="J309" s="306">
        <v>32</v>
      </c>
      <c r="K309" s="306" t="s">
        <v>32</v>
      </c>
      <c r="L309" s="306">
        <v>5699</v>
      </c>
      <c r="M309" s="306">
        <v>5620</v>
      </c>
      <c r="N309" s="306">
        <v>8</v>
      </c>
      <c r="O309" s="306">
        <v>29</v>
      </c>
      <c r="P309" s="306">
        <v>6</v>
      </c>
      <c r="Q309" s="306"/>
      <c r="R309" s="24"/>
      <c r="S309" s="24"/>
      <c r="T309" s="24"/>
      <c r="W309" s="311">
        <v>2020</v>
      </c>
      <c r="X309" s="311">
        <v>32</v>
      </c>
      <c r="Y309" s="311" t="s">
        <v>33</v>
      </c>
      <c r="Z309" s="311">
        <v>187661</v>
      </c>
      <c r="AA309" s="311">
        <v>185088</v>
      </c>
      <c r="AB309" s="311">
        <v>122</v>
      </c>
      <c r="AC309" s="311">
        <v>31</v>
      </c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I309" s="24">
        <v>2021</v>
      </c>
      <c r="BJ309" s="24">
        <v>47</v>
      </c>
      <c r="BK309" s="24" t="s">
        <v>32</v>
      </c>
      <c r="BL309" s="24" t="s">
        <v>273</v>
      </c>
      <c r="BM309" s="24">
        <v>5302</v>
      </c>
      <c r="BN309" s="24">
        <v>5277</v>
      </c>
      <c r="BO309" s="24">
        <v>5455</v>
      </c>
      <c r="BR309" s="24"/>
      <c r="BS309" s="24"/>
      <c r="BT309" s="24"/>
      <c r="BU309" s="24"/>
      <c r="BV309" s="24"/>
      <c r="CF309" s="24"/>
      <c r="CG309" s="24"/>
      <c r="CH309" s="24"/>
      <c r="CI309" s="24"/>
      <c r="CJ309" s="24"/>
      <c r="DD309" s="24"/>
      <c r="DE309" s="24"/>
      <c r="DF309" s="24"/>
      <c r="DG309" s="24"/>
      <c r="DH309" s="24"/>
      <c r="DJ309" s="24">
        <v>2020</v>
      </c>
      <c r="DK309" s="24">
        <v>35</v>
      </c>
      <c r="DL309" s="24" t="s">
        <v>33</v>
      </c>
      <c r="DM309" s="24">
        <v>436</v>
      </c>
      <c r="DP309" s="24">
        <v>2018</v>
      </c>
      <c r="DQ309" s="24">
        <v>12</v>
      </c>
      <c r="DR309" s="24" t="s">
        <v>33</v>
      </c>
      <c r="DS309" s="24">
        <v>9572</v>
      </c>
      <c r="DT309" s="24"/>
      <c r="DW309" s="24">
        <v>2021</v>
      </c>
      <c r="DX309" s="24">
        <v>24</v>
      </c>
      <c r="DY309" s="24" t="s">
        <v>33</v>
      </c>
      <c r="DZ309" s="24">
        <v>9</v>
      </c>
      <c r="EA309" s="24" t="s">
        <v>562</v>
      </c>
      <c r="EB309" s="24">
        <v>85.9</v>
      </c>
      <c r="EC309" s="24">
        <v>0</v>
      </c>
      <c r="ED309" s="24"/>
      <c r="EE309" s="24">
        <v>3037</v>
      </c>
      <c r="EF309" s="24">
        <v>35.5</v>
      </c>
      <c r="EI309" s="24">
        <v>2023</v>
      </c>
      <c r="EJ309" s="24">
        <v>1</v>
      </c>
      <c r="EK309" s="24" t="s">
        <v>208</v>
      </c>
      <c r="EL309" s="24" t="s">
        <v>209</v>
      </c>
      <c r="EM309" s="24" t="s">
        <v>234</v>
      </c>
      <c r="EN309" s="24">
        <v>1</v>
      </c>
      <c r="EO309" s="24"/>
      <c r="EP309" s="24"/>
      <c r="EQ309" s="24"/>
      <c r="ER309" s="24"/>
      <c r="ES309" s="24">
        <v>2021</v>
      </c>
      <c r="ET309" s="24">
        <v>7</v>
      </c>
      <c r="EU309" s="24" t="s">
        <v>32</v>
      </c>
      <c r="EV309" s="24">
        <v>3092</v>
      </c>
      <c r="EY309" s="24"/>
      <c r="EZ309" s="24"/>
      <c r="FA309" s="24"/>
      <c r="FB309" s="24"/>
      <c r="FE309" s="24"/>
      <c r="FF309" s="24"/>
      <c r="FG309" s="24"/>
      <c r="FH309" s="24"/>
      <c r="FN309" s="24"/>
      <c r="FO309" s="24"/>
      <c r="FP309" s="24"/>
      <c r="FQ309" s="24"/>
      <c r="FW309" s="24">
        <v>2020</v>
      </c>
      <c r="FX309" s="24">
        <v>32</v>
      </c>
      <c r="FY309" s="24" t="s">
        <v>33</v>
      </c>
      <c r="FZ309" s="24">
        <v>8679</v>
      </c>
      <c r="GA309" s="24">
        <v>8485</v>
      </c>
      <c r="GB309" s="24"/>
      <c r="GC309" s="24"/>
      <c r="GD309" s="311">
        <v>2020</v>
      </c>
      <c r="GE309" s="311">
        <v>32</v>
      </c>
      <c r="GF309" s="311" t="s">
        <v>33</v>
      </c>
      <c r="GG309" s="311">
        <v>8711</v>
      </c>
      <c r="GH309" s="311">
        <v>8554</v>
      </c>
      <c r="GK309" s="24"/>
      <c r="GL309" s="24"/>
      <c r="GM309" s="24"/>
      <c r="GN309" s="24"/>
      <c r="GO309" s="24"/>
      <c r="GP309" s="24"/>
      <c r="GQ309" s="24"/>
      <c r="GR309" s="24"/>
      <c r="GS309" s="24"/>
      <c r="GX309">
        <v>2020</v>
      </c>
      <c r="GY309">
        <v>32</v>
      </c>
      <c r="GZ309" t="s">
        <v>33</v>
      </c>
      <c r="HA309">
        <v>187462</v>
      </c>
      <c r="HB309">
        <v>184640</v>
      </c>
      <c r="HC309">
        <v>73</v>
      </c>
      <c r="HD309">
        <v>57</v>
      </c>
      <c r="HE309">
        <v>0</v>
      </c>
      <c r="HF309">
        <v>158</v>
      </c>
      <c r="HG309">
        <v>0</v>
      </c>
      <c r="HH309">
        <v>0</v>
      </c>
      <c r="HI309">
        <v>420</v>
      </c>
      <c r="HL309">
        <v>2020</v>
      </c>
      <c r="HM309">
        <v>32</v>
      </c>
      <c r="HN309" t="s">
        <v>33</v>
      </c>
      <c r="HO309">
        <v>187277</v>
      </c>
      <c r="HP309">
        <v>187067</v>
      </c>
      <c r="HQ309">
        <v>69</v>
      </c>
      <c r="HR309">
        <v>39</v>
      </c>
      <c r="HS309">
        <v>0</v>
      </c>
      <c r="HT309">
        <v>43</v>
      </c>
      <c r="HU309">
        <v>0</v>
      </c>
      <c r="HV309">
        <v>0</v>
      </c>
      <c r="HW309">
        <v>36</v>
      </c>
      <c r="HZ309" s="24">
        <v>2020</v>
      </c>
      <c r="IA309" s="24">
        <v>32</v>
      </c>
      <c r="IB309" s="24" t="s">
        <v>33</v>
      </c>
      <c r="IC309" s="24">
        <v>8831</v>
      </c>
      <c r="ID309" s="24">
        <v>8573</v>
      </c>
      <c r="IG309" s="24">
        <v>2020</v>
      </c>
      <c r="IH309" s="24">
        <v>32</v>
      </c>
      <c r="II309" s="24" t="s">
        <v>33</v>
      </c>
      <c r="IJ309" s="24">
        <v>8166</v>
      </c>
      <c r="IK309" s="24">
        <v>8123</v>
      </c>
    </row>
    <row r="310" spans="9:245" x14ac:dyDescent="0.4">
      <c r="I310" s="305">
        <v>2020</v>
      </c>
      <c r="J310" s="306">
        <v>32</v>
      </c>
      <c r="K310" s="306" t="s">
        <v>33</v>
      </c>
      <c r="L310" s="306">
        <v>187568</v>
      </c>
      <c r="M310" s="306">
        <v>184606</v>
      </c>
      <c r="N310" s="306">
        <v>259</v>
      </c>
      <c r="O310" s="306">
        <v>1030</v>
      </c>
      <c r="P310" s="306">
        <v>157</v>
      </c>
      <c r="Q310" s="306">
        <v>33</v>
      </c>
      <c r="R310" s="24"/>
      <c r="S310" s="24"/>
      <c r="T310" s="24"/>
      <c r="W310" s="24">
        <v>2020</v>
      </c>
      <c r="X310" s="24">
        <v>31</v>
      </c>
      <c r="Y310" s="24" t="s">
        <v>32</v>
      </c>
      <c r="Z310" s="24">
        <v>5824</v>
      </c>
      <c r="AA310" s="24">
        <v>5732</v>
      </c>
      <c r="AB310" s="24">
        <v>16</v>
      </c>
      <c r="AC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I310" s="24">
        <v>2021</v>
      </c>
      <c r="BJ310" s="24">
        <v>46</v>
      </c>
      <c r="BK310" s="24" t="s">
        <v>32</v>
      </c>
      <c r="BL310" s="24" t="s">
        <v>272</v>
      </c>
      <c r="BM310" s="24">
        <v>2470</v>
      </c>
      <c r="BN310" s="24">
        <v>2460</v>
      </c>
      <c r="BO310" s="24">
        <v>8631</v>
      </c>
      <c r="BR310" s="24"/>
      <c r="BS310" s="24"/>
      <c r="BT310" s="24"/>
      <c r="BU310" s="24"/>
      <c r="BV310" s="24"/>
      <c r="CF310" s="24"/>
      <c r="CG310" s="24"/>
      <c r="CH310" s="24"/>
      <c r="CI310" s="24"/>
      <c r="CJ310" s="24"/>
      <c r="DD310" s="24"/>
      <c r="DE310" s="24"/>
      <c r="DF310" s="24"/>
      <c r="DG310" s="24"/>
      <c r="DH310" s="24"/>
      <c r="DJ310" s="24">
        <v>2020</v>
      </c>
      <c r="DK310" s="24">
        <v>35</v>
      </c>
      <c r="DL310" s="24" t="s">
        <v>213</v>
      </c>
      <c r="DM310" s="24">
        <v>1</v>
      </c>
      <c r="DP310" s="24">
        <v>2018</v>
      </c>
      <c r="DQ310" s="24">
        <v>11</v>
      </c>
      <c r="DR310" s="24" t="s">
        <v>33</v>
      </c>
      <c r="DS310" s="24">
        <v>7205</v>
      </c>
      <c r="DT310" s="24"/>
      <c r="DW310" s="24">
        <v>2021</v>
      </c>
      <c r="DX310" s="24">
        <v>24</v>
      </c>
      <c r="DY310" s="24" t="s">
        <v>33</v>
      </c>
      <c r="DZ310" s="24">
        <v>39</v>
      </c>
      <c r="EA310" s="24" t="s">
        <v>149</v>
      </c>
      <c r="EB310" s="24">
        <v>160.5</v>
      </c>
      <c r="EC310" s="24">
        <v>1203.3</v>
      </c>
      <c r="ED310" s="24">
        <v>40947</v>
      </c>
      <c r="EE310" s="24">
        <v>45397</v>
      </c>
      <c r="EF310" s="24">
        <v>167</v>
      </c>
      <c r="EI310" s="24">
        <v>2023</v>
      </c>
      <c r="EJ310" s="24">
        <v>1</v>
      </c>
      <c r="EK310" s="24" t="s">
        <v>208</v>
      </c>
      <c r="EL310" s="24" t="s">
        <v>245</v>
      </c>
      <c r="EM310" s="24" t="s">
        <v>234</v>
      </c>
      <c r="EN310" s="24">
        <v>1</v>
      </c>
      <c r="EO310" s="24"/>
      <c r="EP310" s="24"/>
      <c r="EQ310" s="24"/>
      <c r="ER310" s="24"/>
      <c r="ES310" s="24">
        <v>2021</v>
      </c>
      <c r="ET310" s="24">
        <v>7</v>
      </c>
      <c r="EU310" s="24" t="s">
        <v>33</v>
      </c>
      <c r="EV310" s="24">
        <v>58498</v>
      </c>
      <c r="EY310" s="24"/>
      <c r="EZ310" s="24"/>
      <c r="FA310" s="24"/>
      <c r="FB310" s="24"/>
      <c r="FE310" s="24"/>
      <c r="FF310" s="24"/>
      <c r="FG310" s="24"/>
      <c r="FH310" s="24"/>
      <c r="FN310" s="24"/>
      <c r="FO310" s="24"/>
      <c r="FP310" s="24"/>
      <c r="FQ310" s="24"/>
      <c r="FW310" s="24">
        <v>2020</v>
      </c>
      <c r="FX310" s="24">
        <v>31</v>
      </c>
      <c r="FY310" s="24" t="s">
        <v>32</v>
      </c>
      <c r="FZ310" s="24">
        <v>655</v>
      </c>
      <c r="GA310" s="24">
        <v>618</v>
      </c>
      <c r="GB310" s="24"/>
      <c r="GC310" s="24"/>
      <c r="GD310" s="24">
        <v>2020</v>
      </c>
      <c r="GE310" s="24">
        <v>31</v>
      </c>
      <c r="GF310" s="24" t="s">
        <v>32</v>
      </c>
      <c r="GG310" s="24">
        <v>660</v>
      </c>
      <c r="GH310" s="24">
        <v>613</v>
      </c>
      <c r="GK310" s="24"/>
      <c r="GL310" s="24"/>
      <c r="GM310" s="24"/>
      <c r="GN310" s="24"/>
      <c r="GO310" s="24"/>
      <c r="GP310" s="24"/>
      <c r="GQ310" s="24"/>
      <c r="GR310" s="24"/>
      <c r="GS310" s="24"/>
      <c r="GX310">
        <v>2020</v>
      </c>
      <c r="GY310">
        <v>31</v>
      </c>
      <c r="GZ310" t="s">
        <v>32</v>
      </c>
      <c r="HA310">
        <v>5813</v>
      </c>
      <c r="HB310">
        <v>5703</v>
      </c>
      <c r="HC310">
        <v>0</v>
      </c>
      <c r="HD310">
        <v>1</v>
      </c>
      <c r="HE310">
        <v>0</v>
      </c>
      <c r="HF310">
        <v>4</v>
      </c>
      <c r="HG310">
        <v>0</v>
      </c>
      <c r="HH310">
        <v>0</v>
      </c>
      <c r="HI310">
        <v>16</v>
      </c>
      <c r="HL310">
        <v>2020</v>
      </c>
      <c r="HM310">
        <v>31</v>
      </c>
      <c r="HN310" t="s">
        <v>32</v>
      </c>
      <c r="HO310">
        <v>5787</v>
      </c>
      <c r="HP310">
        <v>5780</v>
      </c>
      <c r="HQ310">
        <v>0</v>
      </c>
      <c r="HR310">
        <v>1</v>
      </c>
      <c r="HS310">
        <v>0</v>
      </c>
      <c r="HT310">
        <v>0</v>
      </c>
      <c r="HU310">
        <v>0</v>
      </c>
      <c r="HV310">
        <v>0</v>
      </c>
      <c r="HW310">
        <v>0</v>
      </c>
      <c r="HZ310" s="24">
        <v>2020</v>
      </c>
      <c r="IA310" s="24">
        <v>31</v>
      </c>
      <c r="IB310" s="24" t="s">
        <v>32</v>
      </c>
      <c r="IC310" s="24">
        <v>655</v>
      </c>
      <c r="ID310" s="24">
        <v>603</v>
      </c>
      <c r="IG310" s="24">
        <v>2020</v>
      </c>
      <c r="IH310" s="24">
        <v>31</v>
      </c>
      <c r="II310" s="24" t="s">
        <v>32</v>
      </c>
      <c r="IJ310" s="24">
        <v>620</v>
      </c>
      <c r="IK310" s="24">
        <v>620</v>
      </c>
    </row>
    <row r="311" spans="9:245" x14ac:dyDescent="0.4">
      <c r="I311" s="305">
        <v>2020</v>
      </c>
      <c r="J311" s="306">
        <v>31</v>
      </c>
      <c r="K311" s="306" t="s">
        <v>32</v>
      </c>
      <c r="L311" s="306">
        <v>5828</v>
      </c>
      <c r="M311" s="306">
        <v>5728</v>
      </c>
      <c r="N311" s="306">
        <v>20</v>
      </c>
      <c r="O311" s="306">
        <v>46</v>
      </c>
      <c r="P311" s="306">
        <v>17</v>
      </c>
      <c r="Q311" s="306"/>
      <c r="R311" s="24"/>
      <c r="S311" s="24"/>
      <c r="T311" s="24"/>
      <c r="W311" s="24">
        <v>2020</v>
      </c>
      <c r="X311" s="24">
        <v>31</v>
      </c>
      <c r="Y311" s="24" t="s">
        <v>33</v>
      </c>
      <c r="Z311" s="24">
        <v>182072</v>
      </c>
      <c r="AA311" s="24">
        <v>178907</v>
      </c>
      <c r="AB311" s="24">
        <v>143</v>
      </c>
      <c r="AC311" s="24">
        <v>55</v>
      </c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I311" s="24">
        <v>2021</v>
      </c>
      <c r="BJ311" s="24">
        <v>46</v>
      </c>
      <c r="BK311" s="24" t="s">
        <v>33</v>
      </c>
      <c r="BL311" s="24" t="s">
        <v>272</v>
      </c>
      <c r="BM311" s="24">
        <v>45002</v>
      </c>
      <c r="BN311" s="24">
        <v>44977</v>
      </c>
      <c r="BO311" s="24">
        <v>162039</v>
      </c>
      <c r="BR311" s="24"/>
      <c r="BS311" s="24"/>
      <c r="BT311" s="24"/>
      <c r="BU311" s="24"/>
      <c r="BV311" s="24"/>
      <c r="CF311" s="24"/>
      <c r="CG311" s="24"/>
      <c r="CH311" s="24"/>
      <c r="CI311" s="24"/>
      <c r="CJ311" s="24"/>
      <c r="DD311" s="24"/>
      <c r="DE311" s="24"/>
      <c r="DF311" s="24"/>
      <c r="DG311" s="24"/>
      <c r="DH311" s="24"/>
      <c r="DJ311" s="24">
        <v>2020</v>
      </c>
      <c r="DK311" s="24">
        <v>34</v>
      </c>
      <c r="DL311" s="24" t="s">
        <v>32</v>
      </c>
      <c r="DM311" s="24">
        <v>3</v>
      </c>
      <c r="DP311" s="24">
        <v>2018</v>
      </c>
      <c r="DQ311" s="24">
        <v>10</v>
      </c>
      <c r="DR311" s="24" t="s">
        <v>33</v>
      </c>
      <c r="DS311" s="24">
        <v>8932</v>
      </c>
      <c r="DT311" s="24"/>
      <c r="DW311" s="24">
        <v>2021</v>
      </c>
      <c r="DX311" s="24">
        <v>23</v>
      </c>
      <c r="DY311" s="24" t="s">
        <v>32</v>
      </c>
      <c r="DZ311" s="24">
        <v>1</v>
      </c>
      <c r="EA311" s="24" t="s">
        <v>149</v>
      </c>
      <c r="EB311" s="24">
        <v>0</v>
      </c>
      <c r="EC311" s="24">
        <v>41.6</v>
      </c>
      <c r="ED311" s="24">
        <v>1401</v>
      </c>
      <c r="EE311" s="24">
        <v>1387</v>
      </c>
      <c r="EF311" s="24">
        <v>4</v>
      </c>
      <c r="EI311" s="24">
        <v>2023</v>
      </c>
      <c r="EJ311" s="24">
        <v>1</v>
      </c>
      <c r="EK311" s="24" t="s">
        <v>558</v>
      </c>
      <c r="EL311" s="24" t="s">
        <v>555</v>
      </c>
      <c r="EM311" s="24" t="s">
        <v>210</v>
      </c>
      <c r="EN311" s="24">
        <v>5</v>
      </c>
      <c r="EO311" s="24"/>
      <c r="EP311" s="24"/>
      <c r="EQ311" s="24"/>
      <c r="ER311" s="24"/>
      <c r="ES311" s="24">
        <v>2021</v>
      </c>
      <c r="ET311" s="24">
        <v>7</v>
      </c>
      <c r="EU311" s="24" t="s">
        <v>213</v>
      </c>
      <c r="EV311" s="24">
        <v>8</v>
      </c>
      <c r="EY311" s="24"/>
      <c r="EZ311" s="24"/>
      <c r="FA311" s="24"/>
      <c r="FB311" s="24"/>
      <c r="FE311" s="24"/>
      <c r="FF311" s="24"/>
      <c r="FG311" s="24"/>
      <c r="FH311" s="24"/>
      <c r="FN311" s="24"/>
      <c r="FO311" s="24"/>
      <c r="FP311" s="24"/>
      <c r="FQ311" s="24"/>
      <c r="FW311" s="24">
        <v>2020</v>
      </c>
      <c r="FX311" s="24">
        <v>31</v>
      </c>
      <c r="FY311" s="24" t="s">
        <v>33</v>
      </c>
      <c r="FZ311" s="24">
        <v>8267</v>
      </c>
      <c r="GA311" s="24">
        <v>7880</v>
      </c>
      <c r="GB311" s="24"/>
      <c r="GC311" s="24"/>
      <c r="GD311" s="24">
        <v>2020</v>
      </c>
      <c r="GE311" s="24">
        <v>31</v>
      </c>
      <c r="GF311" s="24" t="s">
        <v>33</v>
      </c>
      <c r="GG311" s="24">
        <v>8274</v>
      </c>
      <c r="GH311" s="24">
        <v>7916</v>
      </c>
      <c r="GK311" s="24"/>
      <c r="GL311" s="24"/>
      <c r="GM311" s="24"/>
      <c r="GN311" s="24"/>
      <c r="GO311" s="24"/>
      <c r="GP311" s="24"/>
      <c r="GQ311" s="24"/>
      <c r="GR311" s="24"/>
      <c r="GS311" s="24"/>
      <c r="GX311">
        <v>2020</v>
      </c>
      <c r="GY311">
        <v>31</v>
      </c>
      <c r="GZ311" t="s">
        <v>33</v>
      </c>
      <c r="HA311">
        <v>182297</v>
      </c>
      <c r="HB311">
        <v>178878</v>
      </c>
      <c r="HC311">
        <v>26</v>
      </c>
      <c r="HD311">
        <v>90</v>
      </c>
      <c r="HE311">
        <v>0</v>
      </c>
      <c r="HF311">
        <v>62</v>
      </c>
      <c r="HG311">
        <v>0</v>
      </c>
      <c r="HH311">
        <v>0</v>
      </c>
      <c r="HI311">
        <v>451</v>
      </c>
      <c r="HL311">
        <v>2020</v>
      </c>
      <c r="HM311">
        <v>31</v>
      </c>
      <c r="HN311" t="s">
        <v>33</v>
      </c>
      <c r="HO311">
        <v>181726</v>
      </c>
      <c r="HP311">
        <v>181490</v>
      </c>
      <c r="HQ311">
        <v>53</v>
      </c>
      <c r="HR311">
        <v>3</v>
      </c>
      <c r="HS311">
        <v>0</v>
      </c>
      <c r="HT311">
        <v>37</v>
      </c>
      <c r="HU311">
        <v>0</v>
      </c>
      <c r="HV311">
        <v>0</v>
      </c>
      <c r="HW311">
        <v>33</v>
      </c>
      <c r="HZ311" s="24">
        <v>2020</v>
      </c>
      <c r="IA311" s="24">
        <v>31</v>
      </c>
      <c r="IB311" s="24" t="s">
        <v>33</v>
      </c>
      <c r="IC311" s="24">
        <v>8323</v>
      </c>
      <c r="ID311" s="24">
        <v>7887</v>
      </c>
      <c r="IG311" s="24">
        <v>2020</v>
      </c>
      <c r="IH311" s="24">
        <v>31</v>
      </c>
      <c r="II311" s="24" t="s">
        <v>33</v>
      </c>
      <c r="IJ311" s="24">
        <v>7876</v>
      </c>
      <c r="IK311" s="24">
        <v>7852</v>
      </c>
    </row>
    <row r="312" spans="9:245" x14ac:dyDescent="0.4">
      <c r="I312" s="305">
        <v>2020</v>
      </c>
      <c r="J312" s="306">
        <v>31</v>
      </c>
      <c r="K312" s="306" t="s">
        <v>33</v>
      </c>
      <c r="L312" s="306">
        <v>181945</v>
      </c>
      <c r="M312" s="306">
        <v>178413</v>
      </c>
      <c r="N312" s="306">
        <v>322</v>
      </c>
      <c r="O312" s="306">
        <v>1067</v>
      </c>
      <c r="P312" s="306">
        <v>164</v>
      </c>
      <c r="Q312" s="306">
        <v>57</v>
      </c>
      <c r="R312" s="24"/>
      <c r="S312" s="24"/>
      <c r="T312" s="24"/>
      <c r="W312" s="24">
        <v>2020</v>
      </c>
      <c r="X312" s="24">
        <v>30</v>
      </c>
      <c r="Y312" s="24" t="s">
        <v>32</v>
      </c>
      <c r="Z312" s="24">
        <v>6999</v>
      </c>
      <c r="AA312" s="24">
        <v>6939</v>
      </c>
      <c r="AB312" s="24">
        <v>8</v>
      </c>
      <c r="AC312" s="24">
        <v>1</v>
      </c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I312" s="24">
        <v>2021</v>
      </c>
      <c r="BJ312" s="24">
        <v>46</v>
      </c>
      <c r="BK312" s="24" t="s">
        <v>33</v>
      </c>
      <c r="BL312" s="24" t="s">
        <v>273</v>
      </c>
      <c r="BM312" s="24">
        <v>82452</v>
      </c>
      <c r="BN312" s="24">
        <v>81949</v>
      </c>
      <c r="BO312" s="24">
        <v>84286</v>
      </c>
      <c r="BR312" s="24"/>
      <c r="BS312" s="24"/>
      <c r="BT312" s="24"/>
      <c r="BU312" s="24"/>
      <c r="BV312" s="24"/>
      <c r="CF312" s="24"/>
      <c r="CG312" s="24"/>
      <c r="CH312" s="24"/>
      <c r="CI312" s="24"/>
      <c r="CJ312" s="24"/>
      <c r="DD312" s="24"/>
      <c r="DE312" s="24"/>
      <c r="DF312" s="24"/>
      <c r="DG312" s="24"/>
      <c r="DH312" s="24"/>
      <c r="DJ312" s="24">
        <v>2020</v>
      </c>
      <c r="DK312" s="24">
        <v>34</v>
      </c>
      <c r="DL312" s="24" t="s">
        <v>33</v>
      </c>
      <c r="DM312" s="24">
        <v>535</v>
      </c>
      <c r="DP312" s="24">
        <v>2018</v>
      </c>
      <c r="DQ312" s="24">
        <v>9</v>
      </c>
      <c r="DR312" s="24" t="s">
        <v>33</v>
      </c>
      <c r="DS312" s="24">
        <v>6712</v>
      </c>
      <c r="DT312" s="24"/>
      <c r="DW312" s="24">
        <v>2021</v>
      </c>
      <c r="DX312" s="24">
        <v>23</v>
      </c>
      <c r="DY312" s="24" t="s">
        <v>33</v>
      </c>
      <c r="DZ312" s="24">
        <v>9</v>
      </c>
      <c r="EA312" s="24" t="s">
        <v>562</v>
      </c>
      <c r="EB312" s="24">
        <v>53.2</v>
      </c>
      <c r="EC312" s="24">
        <v>0</v>
      </c>
      <c r="ED312" s="24"/>
      <c r="EE312" s="24">
        <v>1941</v>
      </c>
      <c r="EF312" s="24">
        <v>35.6</v>
      </c>
      <c r="EI312" s="24">
        <v>2023</v>
      </c>
      <c r="EJ312" s="24">
        <v>1</v>
      </c>
      <c r="EK312" s="24" t="s">
        <v>558</v>
      </c>
      <c r="EL312" s="24" t="s">
        <v>557</v>
      </c>
      <c r="EM312" s="24" t="s">
        <v>210</v>
      </c>
      <c r="EN312" s="24">
        <v>60</v>
      </c>
      <c r="EO312" s="24"/>
      <c r="EP312" s="24"/>
      <c r="EQ312" s="24"/>
      <c r="ER312" s="24"/>
      <c r="ES312" s="24">
        <v>2021</v>
      </c>
      <c r="ET312" s="24">
        <v>6</v>
      </c>
      <c r="EU312" s="24" t="s">
        <v>32</v>
      </c>
      <c r="EV312" s="24">
        <v>2808</v>
      </c>
      <c r="EY312" s="24"/>
      <c r="EZ312" s="24"/>
      <c r="FA312" s="24"/>
      <c r="FB312" s="24"/>
      <c r="FE312" s="24"/>
      <c r="FF312" s="24"/>
      <c r="FG312" s="24"/>
      <c r="FH312" s="24"/>
      <c r="FN312" s="24"/>
      <c r="FO312" s="24"/>
      <c r="FP312" s="24"/>
      <c r="FQ312" s="24"/>
      <c r="FW312" s="24">
        <v>2020</v>
      </c>
      <c r="FX312" s="24">
        <v>30</v>
      </c>
      <c r="FY312" s="24" t="s">
        <v>32</v>
      </c>
      <c r="FZ312" s="24">
        <v>823</v>
      </c>
      <c r="GA312" s="24">
        <v>794</v>
      </c>
      <c r="GB312" s="24"/>
      <c r="GC312" s="24"/>
      <c r="GD312" s="24">
        <v>2020</v>
      </c>
      <c r="GE312" s="24">
        <v>30</v>
      </c>
      <c r="GF312" s="24" t="s">
        <v>32</v>
      </c>
      <c r="GG312" s="24">
        <v>821</v>
      </c>
      <c r="GH312" s="24">
        <v>794</v>
      </c>
      <c r="GK312" s="24"/>
      <c r="GL312" s="24"/>
      <c r="GM312" s="24"/>
      <c r="GN312" s="24"/>
      <c r="GO312" s="24"/>
      <c r="GP312" s="24"/>
      <c r="GQ312" s="24"/>
      <c r="GR312" s="24"/>
      <c r="GS312" s="24"/>
      <c r="GX312">
        <v>2020</v>
      </c>
      <c r="GY312">
        <v>30</v>
      </c>
      <c r="GZ312" t="s">
        <v>32</v>
      </c>
      <c r="HA312">
        <v>6891</v>
      </c>
      <c r="HB312">
        <v>6827</v>
      </c>
      <c r="HC312">
        <v>0</v>
      </c>
      <c r="HD312">
        <v>1</v>
      </c>
      <c r="HE312">
        <v>0</v>
      </c>
      <c r="HF312">
        <v>4</v>
      </c>
      <c r="HG312">
        <v>0</v>
      </c>
      <c r="HH312">
        <v>0</v>
      </c>
      <c r="HI312">
        <v>17</v>
      </c>
      <c r="HL312">
        <v>2020</v>
      </c>
      <c r="HM312">
        <v>30</v>
      </c>
      <c r="HN312" t="s">
        <v>32</v>
      </c>
      <c r="HO312">
        <v>6978</v>
      </c>
      <c r="HP312">
        <v>6976</v>
      </c>
      <c r="HQ312">
        <v>0</v>
      </c>
      <c r="HR312">
        <v>0</v>
      </c>
      <c r="HS312">
        <v>0</v>
      </c>
      <c r="HT312">
        <v>0</v>
      </c>
      <c r="HU312">
        <v>0</v>
      </c>
      <c r="HV312">
        <v>0</v>
      </c>
      <c r="HW312">
        <v>0</v>
      </c>
      <c r="HZ312" s="24">
        <v>2020</v>
      </c>
      <c r="IA312" s="24">
        <v>30</v>
      </c>
      <c r="IB312" s="24" t="s">
        <v>32</v>
      </c>
      <c r="IC312" s="24">
        <v>794</v>
      </c>
      <c r="ID312" s="24">
        <v>765</v>
      </c>
      <c r="IG312" s="24">
        <v>2020</v>
      </c>
      <c r="IH312" s="24">
        <v>30</v>
      </c>
      <c r="II312" s="24" t="s">
        <v>32</v>
      </c>
      <c r="IJ312" s="24">
        <v>808</v>
      </c>
      <c r="IK312" s="24">
        <v>808</v>
      </c>
    </row>
    <row r="313" spans="9:245" x14ac:dyDescent="0.4">
      <c r="I313" s="305">
        <v>2020</v>
      </c>
      <c r="J313" s="306">
        <v>30</v>
      </c>
      <c r="K313" s="306" t="s">
        <v>32</v>
      </c>
      <c r="L313" s="306">
        <v>6989</v>
      </c>
      <c r="M313" s="306">
        <v>6925</v>
      </c>
      <c r="N313" s="306">
        <v>15</v>
      </c>
      <c r="O313" s="306">
        <v>21</v>
      </c>
      <c r="P313" s="306">
        <v>13</v>
      </c>
      <c r="Q313" s="306">
        <v>1</v>
      </c>
      <c r="R313" s="24"/>
      <c r="S313" s="24"/>
      <c r="T313" s="24"/>
      <c r="W313" s="24">
        <v>2020</v>
      </c>
      <c r="X313" s="24">
        <v>30</v>
      </c>
      <c r="Y313" s="24" t="s">
        <v>33</v>
      </c>
      <c r="Z313" s="24">
        <v>178937</v>
      </c>
      <c r="AA313" s="24">
        <v>178155</v>
      </c>
      <c r="AB313" s="24">
        <v>38</v>
      </c>
      <c r="AC313" s="24">
        <v>36</v>
      </c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I313" s="24">
        <v>2021</v>
      </c>
      <c r="BJ313" s="24">
        <v>46</v>
      </c>
      <c r="BK313" s="24" t="s">
        <v>32</v>
      </c>
      <c r="BL313" s="24" t="s">
        <v>273</v>
      </c>
      <c r="BM313" s="24">
        <v>5846</v>
      </c>
      <c r="BN313" s="24">
        <v>5822</v>
      </c>
      <c r="BO313" s="24">
        <v>5997</v>
      </c>
      <c r="BR313" s="24"/>
      <c r="BS313" s="24"/>
      <c r="BT313" s="24"/>
      <c r="BU313" s="24"/>
      <c r="BV313" s="24"/>
      <c r="CF313" s="24"/>
      <c r="CG313" s="24"/>
      <c r="CH313" s="24"/>
      <c r="CI313" s="24"/>
      <c r="CJ313" s="24"/>
      <c r="DD313" s="24"/>
      <c r="DE313" s="24"/>
      <c r="DF313" s="24"/>
      <c r="DG313" s="24"/>
      <c r="DH313" s="24"/>
      <c r="DJ313" s="24">
        <v>2020</v>
      </c>
      <c r="DK313" s="24">
        <v>33</v>
      </c>
      <c r="DL313" s="24" t="s">
        <v>32</v>
      </c>
      <c r="DM313" s="24">
        <v>7</v>
      </c>
      <c r="DP313" s="24">
        <v>2018</v>
      </c>
      <c r="DQ313" s="24">
        <v>8</v>
      </c>
      <c r="DR313" s="24" t="s">
        <v>33</v>
      </c>
      <c r="DS313" s="24">
        <v>8742</v>
      </c>
      <c r="DT313" s="24"/>
      <c r="DW313" s="24">
        <v>2021</v>
      </c>
      <c r="DX313" s="24">
        <v>23</v>
      </c>
      <c r="DY313" s="24" t="s">
        <v>33</v>
      </c>
      <c r="DZ313" s="24">
        <v>39</v>
      </c>
      <c r="EA313" s="24" t="s">
        <v>149</v>
      </c>
      <c r="EB313" s="24">
        <v>98.9</v>
      </c>
      <c r="EC313" s="24">
        <v>1190.8</v>
      </c>
      <c r="ED313" s="24">
        <v>40441</v>
      </c>
      <c r="EE313" s="24">
        <v>42677</v>
      </c>
      <c r="EF313" s="24">
        <v>161.80000000000001</v>
      </c>
      <c r="EI313" s="24">
        <v>2023</v>
      </c>
      <c r="EJ313" s="24">
        <v>1</v>
      </c>
      <c r="EK313" s="24" t="s">
        <v>558</v>
      </c>
      <c r="EL313" s="24" t="s">
        <v>554</v>
      </c>
      <c r="EM313" s="24" t="s">
        <v>210</v>
      </c>
      <c r="EN313" s="24">
        <v>4</v>
      </c>
      <c r="EO313" s="24"/>
      <c r="EP313" s="24"/>
      <c r="EQ313" s="24"/>
      <c r="ER313" s="24"/>
      <c r="ES313" s="24">
        <v>2021</v>
      </c>
      <c r="ET313" s="24">
        <v>6</v>
      </c>
      <c r="EU313" s="24" t="s">
        <v>33</v>
      </c>
      <c r="EV313" s="24">
        <v>70866</v>
      </c>
      <c r="EY313" s="24"/>
      <c r="EZ313" s="24"/>
      <c r="FA313" s="24"/>
      <c r="FB313" s="24"/>
      <c r="FE313" s="24"/>
      <c r="FF313" s="24"/>
      <c r="FG313" s="24"/>
      <c r="FH313" s="24"/>
      <c r="FN313" s="24"/>
      <c r="FO313" s="24"/>
      <c r="FP313" s="24"/>
      <c r="FQ313" s="24"/>
      <c r="FW313" s="24">
        <v>2020</v>
      </c>
      <c r="FX313" s="24">
        <v>30</v>
      </c>
      <c r="FY313" s="24" t="s">
        <v>33</v>
      </c>
      <c r="FZ313" s="24">
        <v>7584</v>
      </c>
      <c r="GA313" s="24">
        <v>7437</v>
      </c>
      <c r="GB313" s="24"/>
      <c r="GC313" s="24"/>
      <c r="GD313" s="24">
        <v>2020</v>
      </c>
      <c r="GE313" s="24">
        <v>30</v>
      </c>
      <c r="GF313" s="24" t="s">
        <v>33</v>
      </c>
      <c r="GG313" s="24">
        <v>7609</v>
      </c>
      <c r="GH313" s="24">
        <v>7555</v>
      </c>
      <c r="GK313" s="24"/>
      <c r="GL313" s="24"/>
      <c r="GM313" s="24"/>
      <c r="GN313" s="24"/>
      <c r="GO313" s="24"/>
      <c r="GP313" s="24"/>
      <c r="GQ313" s="24"/>
      <c r="GR313" s="24"/>
      <c r="GS313" s="24"/>
      <c r="GX313">
        <v>2020</v>
      </c>
      <c r="GY313">
        <v>30</v>
      </c>
      <c r="GZ313" t="s">
        <v>33</v>
      </c>
      <c r="HA313">
        <v>178488</v>
      </c>
      <c r="HB313">
        <v>177355</v>
      </c>
      <c r="HC313">
        <v>71</v>
      </c>
      <c r="HD313">
        <v>73</v>
      </c>
      <c r="HE313">
        <v>0</v>
      </c>
      <c r="HF313">
        <v>20</v>
      </c>
      <c r="HG313">
        <v>0</v>
      </c>
      <c r="HH313">
        <v>0</v>
      </c>
      <c r="HI313">
        <v>425</v>
      </c>
      <c r="HL313">
        <v>2020</v>
      </c>
      <c r="HM313">
        <v>30</v>
      </c>
      <c r="HN313" t="s">
        <v>33</v>
      </c>
      <c r="HO313">
        <v>178719</v>
      </c>
      <c r="HP313">
        <v>178514</v>
      </c>
      <c r="HQ313">
        <v>98</v>
      </c>
      <c r="HR313">
        <v>9</v>
      </c>
      <c r="HS313">
        <v>0</v>
      </c>
      <c r="HT313">
        <v>12</v>
      </c>
      <c r="HU313">
        <v>0</v>
      </c>
      <c r="HV313">
        <v>0</v>
      </c>
      <c r="HW313">
        <v>41</v>
      </c>
      <c r="HZ313" s="24">
        <v>2020</v>
      </c>
      <c r="IA313" s="24">
        <v>30</v>
      </c>
      <c r="IB313" s="24" t="s">
        <v>33</v>
      </c>
      <c r="IC313" s="24">
        <v>7598</v>
      </c>
      <c r="ID313" s="24">
        <v>7446</v>
      </c>
      <c r="IG313" s="24">
        <v>2020</v>
      </c>
      <c r="IH313" s="24">
        <v>30</v>
      </c>
      <c r="II313" s="24" t="s">
        <v>33</v>
      </c>
      <c r="IJ313" s="24">
        <v>7184</v>
      </c>
      <c r="IK313" s="24">
        <v>7155</v>
      </c>
    </row>
    <row r="314" spans="9:245" x14ac:dyDescent="0.4">
      <c r="I314" s="305">
        <v>2020</v>
      </c>
      <c r="J314" s="306">
        <v>30</v>
      </c>
      <c r="K314" s="306" t="s">
        <v>33</v>
      </c>
      <c r="L314" s="306">
        <v>178981</v>
      </c>
      <c r="M314" s="306">
        <v>177700</v>
      </c>
      <c r="N314" s="306">
        <v>245</v>
      </c>
      <c r="O314" s="306">
        <v>446</v>
      </c>
      <c r="P314" s="306">
        <v>147</v>
      </c>
      <c r="Q314" s="306">
        <v>42</v>
      </c>
      <c r="R314" s="24"/>
      <c r="S314" s="24"/>
      <c r="T314" s="24"/>
      <c r="W314" s="313">
        <v>2020</v>
      </c>
      <c r="X314" s="313">
        <v>29</v>
      </c>
      <c r="Y314" s="313" t="s">
        <v>32</v>
      </c>
      <c r="Z314" s="313">
        <v>7229</v>
      </c>
      <c r="AA314" s="313">
        <v>7147</v>
      </c>
      <c r="AB314" s="313">
        <v>7</v>
      </c>
      <c r="AC314" s="313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I314" s="24">
        <v>2021</v>
      </c>
      <c r="BJ314" s="24">
        <v>45</v>
      </c>
      <c r="BK314" s="24" t="s">
        <v>32</v>
      </c>
      <c r="BL314" s="24" t="s">
        <v>272</v>
      </c>
      <c r="BM314" s="24">
        <v>2422</v>
      </c>
      <c r="BN314" s="24">
        <v>2407</v>
      </c>
      <c r="BO314" s="24">
        <v>7749</v>
      </c>
      <c r="BR314" s="24"/>
      <c r="BS314" s="24"/>
      <c r="BT314" s="24"/>
      <c r="BU314" s="24"/>
      <c r="BV314" s="24"/>
      <c r="CF314" s="24"/>
      <c r="CG314" s="24"/>
      <c r="CH314" s="24"/>
      <c r="CI314" s="24"/>
      <c r="CJ314" s="24"/>
      <c r="DD314" s="24"/>
      <c r="DE314" s="24"/>
      <c r="DF314" s="24"/>
      <c r="DG314" s="24"/>
      <c r="DH314" s="24"/>
      <c r="DJ314" s="24">
        <v>2020</v>
      </c>
      <c r="DK314" s="24">
        <v>33</v>
      </c>
      <c r="DL314" s="24" t="s">
        <v>33</v>
      </c>
      <c r="DM314" s="24">
        <v>400</v>
      </c>
      <c r="DP314" s="24">
        <v>2018</v>
      </c>
      <c r="DQ314" s="24">
        <v>7</v>
      </c>
      <c r="DR314" s="24" t="s">
        <v>33</v>
      </c>
      <c r="DS314" s="24">
        <v>7170</v>
      </c>
      <c r="DT314" s="24"/>
      <c r="DW314" s="24">
        <v>2021</v>
      </c>
      <c r="DX314" s="24">
        <v>22</v>
      </c>
      <c r="DY314" s="24" t="s">
        <v>32</v>
      </c>
      <c r="DZ314" s="24">
        <v>1</v>
      </c>
      <c r="EA314" s="24" t="s">
        <v>149</v>
      </c>
      <c r="EB314" s="24">
        <v>0</v>
      </c>
      <c r="EC314" s="24">
        <v>51.5</v>
      </c>
      <c r="ED314" s="24">
        <v>1666</v>
      </c>
      <c r="EE314" s="24">
        <v>1645</v>
      </c>
      <c r="EF314" s="24">
        <v>4.0999999999999996</v>
      </c>
      <c r="EI314" s="24">
        <v>2023</v>
      </c>
      <c r="EJ314" s="24">
        <v>1</v>
      </c>
      <c r="EK314" s="24" t="s">
        <v>558</v>
      </c>
      <c r="EL314" s="24" t="s">
        <v>235</v>
      </c>
      <c r="EM314" s="24" t="s">
        <v>210</v>
      </c>
      <c r="EN314" s="24">
        <v>29</v>
      </c>
      <c r="EO314" s="24"/>
      <c r="EP314" s="24"/>
      <c r="EQ314" s="24"/>
      <c r="ER314" s="24"/>
      <c r="ES314" s="24">
        <v>2021</v>
      </c>
      <c r="ET314" s="24">
        <v>6</v>
      </c>
      <c r="EU314" s="24" t="s">
        <v>213</v>
      </c>
      <c r="EV314" s="24">
        <v>11</v>
      </c>
      <c r="EY314" s="24"/>
      <c r="EZ314" s="24"/>
      <c r="FA314" s="24"/>
      <c r="FB314" s="24"/>
      <c r="FE314" s="24"/>
      <c r="FF314" s="24"/>
      <c r="FG314" s="24"/>
      <c r="FH314" s="24"/>
      <c r="FN314" s="24"/>
      <c r="FO314" s="24"/>
      <c r="FP314" s="24"/>
      <c r="FQ314" s="24"/>
      <c r="FW314" s="24">
        <v>2020</v>
      </c>
      <c r="FX314" s="24">
        <v>29</v>
      </c>
      <c r="FY314" s="24" t="s">
        <v>32</v>
      </c>
      <c r="FZ314" s="24">
        <v>754</v>
      </c>
      <c r="GA314" s="24">
        <v>725</v>
      </c>
      <c r="GB314" s="24"/>
      <c r="GC314" s="24"/>
      <c r="GD314" s="313">
        <v>2020</v>
      </c>
      <c r="GE314" s="313">
        <v>29</v>
      </c>
      <c r="GF314" s="313" t="s">
        <v>32</v>
      </c>
      <c r="GG314" s="313">
        <v>758</v>
      </c>
      <c r="GH314" s="313">
        <v>739</v>
      </c>
      <c r="GK314" s="24"/>
      <c r="GL314" s="24"/>
      <c r="GM314" s="24"/>
      <c r="GN314" s="24"/>
      <c r="GO314" s="24"/>
      <c r="GP314" s="24"/>
      <c r="GQ314" s="24"/>
      <c r="GR314" s="24"/>
      <c r="GS314" s="24"/>
      <c r="GX314">
        <v>2020</v>
      </c>
      <c r="GY314">
        <v>29</v>
      </c>
      <c r="GZ314" t="s">
        <v>32</v>
      </c>
      <c r="HA314">
        <v>7364</v>
      </c>
      <c r="HB314">
        <v>7236</v>
      </c>
      <c r="HC314">
        <v>0</v>
      </c>
      <c r="HD314">
        <v>6</v>
      </c>
      <c r="HE314">
        <v>0</v>
      </c>
      <c r="HF314">
        <v>16</v>
      </c>
      <c r="HG314">
        <v>0</v>
      </c>
      <c r="HH314">
        <v>0</v>
      </c>
      <c r="HI314">
        <v>42</v>
      </c>
      <c r="HL314">
        <v>2020</v>
      </c>
      <c r="HM314">
        <v>29</v>
      </c>
      <c r="HN314" t="s">
        <v>32</v>
      </c>
      <c r="HO314">
        <v>7175</v>
      </c>
      <c r="HP314">
        <v>7149</v>
      </c>
      <c r="HQ314">
        <v>0</v>
      </c>
      <c r="HR314">
        <v>5</v>
      </c>
      <c r="HS314">
        <v>0</v>
      </c>
      <c r="HT314">
        <v>15</v>
      </c>
      <c r="HU314">
        <v>0</v>
      </c>
      <c r="HV314">
        <v>0</v>
      </c>
      <c r="HW314">
        <v>1</v>
      </c>
      <c r="HZ314" s="24">
        <v>2020</v>
      </c>
      <c r="IA314" s="24">
        <v>29</v>
      </c>
      <c r="IB314" s="24" t="s">
        <v>32</v>
      </c>
      <c r="IC314" s="24">
        <v>786</v>
      </c>
      <c r="ID314" s="24">
        <v>760</v>
      </c>
      <c r="IG314" s="24">
        <v>2020</v>
      </c>
      <c r="IH314" s="24">
        <v>29</v>
      </c>
      <c r="II314" s="24" t="s">
        <v>32</v>
      </c>
      <c r="IJ314" s="24">
        <v>736</v>
      </c>
      <c r="IK314" s="24">
        <v>728</v>
      </c>
    </row>
    <row r="315" spans="9:245" x14ac:dyDescent="0.4">
      <c r="I315" s="305">
        <v>2020</v>
      </c>
      <c r="J315" s="306">
        <v>29</v>
      </c>
      <c r="K315" s="306" t="s">
        <v>32</v>
      </c>
      <c r="L315" s="306">
        <v>7216</v>
      </c>
      <c r="M315" s="306">
        <v>7068</v>
      </c>
      <c r="N315" s="306">
        <v>33</v>
      </c>
      <c r="O315" s="306">
        <v>74</v>
      </c>
      <c r="P315" s="306">
        <v>12</v>
      </c>
      <c r="Q315" s="306"/>
      <c r="R315" s="24"/>
      <c r="S315" s="24"/>
      <c r="T315" s="24"/>
      <c r="W315" s="313">
        <v>2020</v>
      </c>
      <c r="X315" s="313">
        <v>29</v>
      </c>
      <c r="Y315" s="313" t="s">
        <v>33</v>
      </c>
      <c r="Z315" s="313">
        <v>186109</v>
      </c>
      <c r="AA315" s="313">
        <v>185079</v>
      </c>
      <c r="AB315" s="313">
        <v>53</v>
      </c>
      <c r="AC315" s="313">
        <v>30</v>
      </c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I315" s="24">
        <v>2021</v>
      </c>
      <c r="BJ315" s="24">
        <v>45</v>
      </c>
      <c r="BK315" s="24" t="s">
        <v>32</v>
      </c>
      <c r="BL315" s="24" t="s">
        <v>273</v>
      </c>
      <c r="BM315" s="24">
        <v>7623</v>
      </c>
      <c r="BN315" s="24">
        <v>7579</v>
      </c>
      <c r="BO315" s="24">
        <v>7973</v>
      </c>
      <c r="BR315" s="24"/>
      <c r="BS315" s="24"/>
      <c r="BT315" s="24"/>
      <c r="BU315" s="24"/>
      <c r="BV315" s="24"/>
      <c r="CF315" s="24"/>
      <c r="CG315" s="24"/>
      <c r="CH315" s="24"/>
      <c r="CI315" s="24"/>
      <c r="CJ315" s="24"/>
      <c r="DD315" s="24"/>
      <c r="DE315" s="24"/>
      <c r="DF315" s="24"/>
      <c r="DG315" s="24"/>
      <c r="DH315" s="24"/>
      <c r="DJ315" s="24">
        <v>2020</v>
      </c>
      <c r="DK315" s="24">
        <v>32</v>
      </c>
      <c r="DL315" s="24" t="s">
        <v>33</v>
      </c>
      <c r="DM315" s="24">
        <v>207</v>
      </c>
      <c r="DP315" s="316">
        <v>2018</v>
      </c>
      <c r="DQ315" s="316">
        <v>6</v>
      </c>
      <c r="DR315" s="316" t="s">
        <v>33</v>
      </c>
      <c r="DS315" s="316">
        <v>5070</v>
      </c>
      <c r="DT315" s="316"/>
      <c r="DW315" s="24">
        <v>2021</v>
      </c>
      <c r="DX315" s="24">
        <v>22</v>
      </c>
      <c r="DY315" s="24" t="s">
        <v>33</v>
      </c>
      <c r="DZ315" s="24">
        <v>8</v>
      </c>
      <c r="EA315" s="24" t="s">
        <v>562</v>
      </c>
      <c r="EB315" s="24">
        <v>103.2</v>
      </c>
      <c r="EC315" s="24">
        <v>0</v>
      </c>
      <c r="ED315" s="24"/>
      <c r="EE315" s="24">
        <v>3781</v>
      </c>
      <c r="EF315" s="24">
        <v>25.9</v>
      </c>
      <c r="EI315" s="24">
        <v>2023</v>
      </c>
      <c r="EJ315" s="24">
        <v>1</v>
      </c>
      <c r="EK315" s="24" t="s">
        <v>558</v>
      </c>
      <c r="EL315" s="24" t="s">
        <v>245</v>
      </c>
      <c r="EM315" s="24" t="s">
        <v>210</v>
      </c>
      <c r="EN315" s="24">
        <v>6</v>
      </c>
      <c r="EO315" s="24"/>
      <c r="EP315" s="24"/>
      <c r="EQ315" s="24"/>
      <c r="ER315" s="24"/>
      <c r="ES315" s="24">
        <v>2021</v>
      </c>
      <c r="ET315" s="24">
        <v>5</v>
      </c>
      <c r="EU315" s="24" t="s">
        <v>32</v>
      </c>
      <c r="EV315" s="24">
        <v>3081</v>
      </c>
      <c r="EY315" s="24"/>
      <c r="EZ315" s="24"/>
      <c r="FA315" s="24"/>
      <c r="FB315" s="24"/>
      <c r="FE315" s="24"/>
      <c r="FF315" s="24"/>
      <c r="FG315" s="24"/>
      <c r="FH315" s="24"/>
      <c r="FN315" s="24"/>
      <c r="FO315" s="24"/>
      <c r="FP315" s="24"/>
      <c r="FQ315" s="24"/>
      <c r="FW315" s="24">
        <v>2020</v>
      </c>
      <c r="FX315" s="24">
        <v>29</v>
      </c>
      <c r="FY315" s="24" t="s">
        <v>33</v>
      </c>
      <c r="FZ315" s="24">
        <v>8149</v>
      </c>
      <c r="GA315" s="24">
        <v>7956</v>
      </c>
      <c r="GB315" s="24"/>
      <c r="GC315" s="24"/>
      <c r="GD315" s="313">
        <v>2020</v>
      </c>
      <c r="GE315" s="313">
        <v>29</v>
      </c>
      <c r="GF315" s="313" t="s">
        <v>33</v>
      </c>
      <c r="GG315" s="313">
        <v>8118</v>
      </c>
      <c r="GH315" s="313">
        <v>8041</v>
      </c>
      <c r="GK315" s="24"/>
      <c r="GL315" s="24"/>
      <c r="GM315" s="24"/>
      <c r="GN315" s="24"/>
      <c r="GO315" s="24"/>
      <c r="GP315" s="24"/>
      <c r="GQ315" s="24"/>
      <c r="GR315" s="24"/>
      <c r="GS315" s="24"/>
      <c r="GX315">
        <v>2020</v>
      </c>
      <c r="GY315">
        <v>29</v>
      </c>
      <c r="GZ315" t="s">
        <v>33</v>
      </c>
      <c r="HA315">
        <v>184684</v>
      </c>
      <c r="HB315">
        <v>183224</v>
      </c>
      <c r="HC315">
        <v>51</v>
      </c>
      <c r="HD315">
        <v>88</v>
      </c>
      <c r="HE315">
        <v>0</v>
      </c>
      <c r="HF315">
        <v>31</v>
      </c>
      <c r="HG315">
        <v>0</v>
      </c>
      <c r="HH315">
        <v>0</v>
      </c>
      <c r="HI315">
        <v>404</v>
      </c>
      <c r="HL315">
        <v>2020</v>
      </c>
      <c r="HM315">
        <v>29</v>
      </c>
      <c r="HN315" t="s">
        <v>33</v>
      </c>
      <c r="HO315">
        <v>185530</v>
      </c>
      <c r="HP315">
        <v>185322</v>
      </c>
      <c r="HQ315">
        <v>86</v>
      </c>
      <c r="HR315">
        <v>1</v>
      </c>
      <c r="HS315">
        <v>0</v>
      </c>
      <c r="HT315">
        <v>20</v>
      </c>
      <c r="HU315">
        <v>0</v>
      </c>
      <c r="HV315">
        <v>0</v>
      </c>
      <c r="HW315">
        <v>38</v>
      </c>
      <c r="HZ315" s="24">
        <v>2020</v>
      </c>
      <c r="IA315" s="24">
        <v>29</v>
      </c>
      <c r="IB315" s="24" t="s">
        <v>33</v>
      </c>
      <c r="IC315" s="24">
        <v>8044</v>
      </c>
      <c r="ID315" s="24">
        <v>7820</v>
      </c>
      <c r="IG315" s="24">
        <v>2020</v>
      </c>
      <c r="IH315" s="24">
        <v>29</v>
      </c>
      <c r="II315" s="24" t="s">
        <v>33</v>
      </c>
      <c r="IJ315" s="24">
        <v>7574</v>
      </c>
      <c r="IK315" s="24">
        <v>7545</v>
      </c>
    </row>
    <row r="316" spans="9:245" x14ac:dyDescent="0.4">
      <c r="I316" s="305">
        <v>2020</v>
      </c>
      <c r="J316" s="306">
        <v>29</v>
      </c>
      <c r="K316" s="306" t="s">
        <v>33</v>
      </c>
      <c r="L316" s="306">
        <v>185864</v>
      </c>
      <c r="M316" s="306">
        <v>183922</v>
      </c>
      <c r="N316" s="306">
        <v>217</v>
      </c>
      <c r="O316" s="306">
        <v>554</v>
      </c>
      <c r="P316" s="306">
        <v>128</v>
      </c>
      <c r="Q316" s="306">
        <v>41</v>
      </c>
      <c r="R316" s="24"/>
      <c r="S316" s="24"/>
      <c r="T316" s="24"/>
      <c r="W316" s="313">
        <v>2020</v>
      </c>
      <c r="X316" s="313">
        <v>28</v>
      </c>
      <c r="Y316" s="313" t="s">
        <v>32</v>
      </c>
      <c r="Z316" s="313">
        <v>7445</v>
      </c>
      <c r="AA316" s="313">
        <v>7409</v>
      </c>
      <c r="AB316" s="313">
        <v>9</v>
      </c>
      <c r="AC316" s="313"/>
      <c r="AI316" s="24"/>
      <c r="AJ316" s="24"/>
      <c r="AK316" s="24"/>
      <c r="AL316" s="24"/>
      <c r="AM316" s="24"/>
      <c r="AN316" s="24"/>
      <c r="AO316" s="24"/>
      <c r="AP316" s="24"/>
      <c r="AQ316" s="24"/>
      <c r="AR316" s="24"/>
      <c r="AT316" s="24"/>
      <c r="AU316" s="24"/>
      <c r="AV316" s="24"/>
      <c r="AW316" s="24"/>
      <c r="AX316" s="24"/>
      <c r="AY316" s="24"/>
      <c r="AZ316" s="24"/>
      <c r="BA316" s="24"/>
      <c r="BB316" s="24"/>
      <c r="BC316" s="24"/>
      <c r="BD316" s="24"/>
      <c r="BE316" s="24"/>
      <c r="BF316" s="24"/>
      <c r="BG316" s="24"/>
      <c r="BI316" s="24">
        <v>2021</v>
      </c>
      <c r="BJ316" s="24">
        <v>45</v>
      </c>
      <c r="BK316" s="24" t="s">
        <v>33</v>
      </c>
      <c r="BL316" s="24" t="s">
        <v>273</v>
      </c>
      <c r="BM316" s="24">
        <v>88121</v>
      </c>
      <c r="BN316" s="24">
        <v>87651</v>
      </c>
      <c r="BO316" s="24">
        <v>90288</v>
      </c>
      <c r="BR316" s="24"/>
      <c r="BS316" s="24"/>
      <c r="BT316" s="24"/>
      <c r="BU316" s="24"/>
      <c r="BV316" s="24"/>
      <c r="CF316" s="24"/>
      <c r="CG316" s="24"/>
      <c r="CH316" s="24"/>
      <c r="CI316" s="24"/>
      <c r="CJ316" s="24"/>
      <c r="DD316" s="24"/>
      <c r="DE316" s="24"/>
      <c r="DF316" s="24"/>
      <c r="DG316" s="24"/>
      <c r="DH316" s="24"/>
      <c r="DJ316" s="24">
        <v>2020</v>
      </c>
      <c r="DK316" s="24">
        <v>31</v>
      </c>
      <c r="DL316" s="24" t="s">
        <v>32</v>
      </c>
      <c r="DM316" s="24">
        <v>7</v>
      </c>
      <c r="DP316" s="316">
        <v>2018</v>
      </c>
      <c r="DQ316" s="316">
        <v>5</v>
      </c>
      <c r="DR316" s="316" t="s">
        <v>33</v>
      </c>
      <c r="DS316" s="316">
        <v>5892</v>
      </c>
      <c r="DT316" s="316"/>
      <c r="DW316" s="24">
        <v>2021</v>
      </c>
      <c r="DX316" s="24">
        <v>22</v>
      </c>
      <c r="DY316" s="24" t="s">
        <v>33</v>
      </c>
      <c r="DZ316" s="24">
        <v>40</v>
      </c>
      <c r="EA316" s="24" t="s">
        <v>149</v>
      </c>
      <c r="EB316" s="24">
        <v>103</v>
      </c>
      <c r="EC316" s="24">
        <v>1215.4000000000001</v>
      </c>
      <c r="ED316" s="24">
        <v>40972</v>
      </c>
      <c r="EE316" s="24">
        <v>44783</v>
      </c>
      <c r="EF316" s="24">
        <v>153.80000000000001</v>
      </c>
      <c r="EI316" s="24">
        <v>2023</v>
      </c>
      <c r="EJ316" s="24">
        <v>1</v>
      </c>
      <c r="EK316" s="24" t="s">
        <v>33</v>
      </c>
      <c r="EL316" s="24" t="s">
        <v>240</v>
      </c>
      <c r="EM316" s="24" t="s">
        <v>210</v>
      </c>
      <c r="EN316" s="24">
        <v>2</v>
      </c>
      <c r="EO316" s="24"/>
      <c r="EP316" s="24"/>
      <c r="EQ316" s="24"/>
      <c r="ER316" s="24"/>
      <c r="ES316" s="24">
        <v>2021</v>
      </c>
      <c r="ET316" s="24">
        <v>5</v>
      </c>
      <c r="EU316" s="24" t="s">
        <v>33</v>
      </c>
      <c r="EV316" s="24">
        <v>56558</v>
      </c>
      <c r="EY316" s="24"/>
      <c r="EZ316" s="24"/>
      <c r="FA316" s="24"/>
      <c r="FB316" s="24"/>
      <c r="FE316" s="24"/>
      <c r="FF316" s="24"/>
      <c r="FG316" s="24"/>
      <c r="FH316" s="24"/>
      <c r="FN316" s="24"/>
      <c r="FO316" s="24"/>
      <c r="FP316" s="24"/>
      <c r="FQ316" s="24"/>
      <c r="FW316" s="24">
        <v>2020</v>
      </c>
      <c r="FX316" s="24">
        <v>28</v>
      </c>
      <c r="FY316" s="24" t="s">
        <v>32</v>
      </c>
      <c r="FZ316" s="24">
        <v>557</v>
      </c>
      <c r="GA316" s="24">
        <v>538</v>
      </c>
      <c r="GB316" s="24"/>
      <c r="GC316" s="24"/>
      <c r="GD316" s="313">
        <v>2020</v>
      </c>
      <c r="GE316" s="313">
        <v>28</v>
      </c>
      <c r="GF316" s="313" t="s">
        <v>32</v>
      </c>
      <c r="GG316" s="313">
        <v>547</v>
      </c>
      <c r="GH316" s="313">
        <v>537</v>
      </c>
      <c r="GK316" s="24"/>
      <c r="GL316" s="24"/>
      <c r="GM316" s="24"/>
      <c r="GN316" s="24"/>
      <c r="GO316" s="24"/>
      <c r="GP316" s="24"/>
      <c r="GQ316" s="24"/>
      <c r="GR316" s="24"/>
      <c r="GS316" s="24"/>
      <c r="GX316">
        <v>2020</v>
      </c>
      <c r="GY316">
        <v>28</v>
      </c>
      <c r="GZ316" t="s">
        <v>32</v>
      </c>
      <c r="HA316">
        <v>7091</v>
      </c>
      <c r="HB316">
        <v>7021</v>
      </c>
      <c r="HC316">
        <v>0</v>
      </c>
      <c r="HD316">
        <v>3</v>
      </c>
      <c r="HE316">
        <v>0</v>
      </c>
      <c r="HF316">
        <v>1</v>
      </c>
      <c r="HG316">
        <v>0</v>
      </c>
      <c r="HH316">
        <v>0</v>
      </c>
      <c r="HI316">
        <v>31</v>
      </c>
      <c r="HL316">
        <v>2020</v>
      </c>
      <c r="HM316">
        <v>28</v>
      </c>
      <c r="HN316" t="s">
        <v>32</v>
      </c>
      <c r="HO316">
        <v>7400</v>
      </c>
      <c r="HP316">
        <v>7399</v>
      </c>
      <c r="HQ316">
        <v>0</v>
      </c>
      <c r="HR316">
        <v>0</v>
      </c>
      <c r="HS316">
        <v>0</v>
      </c>
      <c r="HT316">
        <v>0</v>
      </c>
      <c r="HU316">
        <v>0</v>
      </c>
      <c r="HV316">
        <v>0</v>
      </c>
      <c r="HW316">
        <v>0</v>
      </c>
      <c r="HZ316" s="24">
        <v>2020</v>
      </c>
      <c r="IA316" s="24">
        <v>28</v>
      </c>
      <c r="IB316" s="24" t="s">
        <v>32</v>
      </c>
      <c r="IC316" s="24">
        <v>526</v>
      </c>
      <c r="ID316" s="24">
        <v>505</v>
      </c>
      <c r="IG316" s="24">
        <v>2020</v>
      </c>
      <c r="IH316" s="24">
        <v>28</v>
      </c>
      <c r="II316" s="24" t="s">
        <v>32</v>
      </c>
      <c r="IJ316" s="24">
        <v>520</v>
      </c>
      <c r="IK316" s="24">
        <v>520</v>
      </c>
    </row>
    <row r="317" spans="9:245" x14ac:dyDescent="0.4">
      <c r="I317" s="305">
        <v>2020</v>
      </c>
      <c r="J317" s="306">
        <v>28</v>
      </c>
      <c r="K317" s="306" t="s">
        <v>32</v>
      </c>
      <c r="L317" s="306">
        <v>7613</v>
      </c>
      <c r="M317" s="306">
        <v>7458</v>
      </c>
      <c r="N317" s="306">
        <v>18</v>
      </c>
      <c r="O317" s="306">
        <v>62</v>
      </c>
      <c r="P317" s="306">
        <v>16</v>
      </c>
      <c r="Q317" s="306">
        <v>1</v>
      </c>
      <c r="R317" s="24"/>
      <c r="S317" s="24"/>
      <c r="T317" s="24"/>
      <c r="W317" s="313">
        <v>2020</v>
      </c>
      <c r="X317" s="313">
        <v>28</v>
      </c>
      <c r="Y317" s="313" t="s">
        <v>33</v>
      </c>
      <c r="Z317" s="313">
        <v>192844</v>
      </c>
      <c r="AA317" s="313">
        <v>191193</v>
      </c>
      <c r="AB317" s="313">
        <v>85</v>
      </c>
      <c r="AC317" s="313"/>
      <c r="AI317" s="24"/>
      <c r="AJ317" s="24"/>
      <c r="AK317" s="24"/>
      <c r="AL317" s="24"/>
      <c r="AM317" s="24"/>
      <c r="AN317" s="24"/>
      <c r="AO317" s="24"/>
      <c r="AP317" s="24"/>
      <c r="AQ317" s="24"/>
      <c r="AR317" s="24"/>
      <c r="AT317" s="24"/>
      <c r="AU317" s="24"/>
      <c r="AV317" s="24"/>
      <c r="AW317" s="24"/>
      <c r="AX317" s="24"/>
      <c r="AY317" s="24"/>
      <c r="AZ317" s="24"/>
      <c r="BA317" s="24"/>
      <c r="BB317" s="24"/>
      <c r="BC317" s="24"/>
      <c r="BD317" s="24"/>
      <c r="BE317" s="24"/>
      <c r="BF317" s="24"/>
      <c r="BG317" s="24"/>
      <c r="BI317" s="24">
        <v>2021</v>
      </c>
      <c r="BJ317" s="24">
        <v>45</v>
      </c>
      <c r="BK317" s="24" t="s">
        <v>33</v>
      </c>
      <c r="BL317" s="24" t="s">
        <v>272</v>
      </c>
      <c r="BM317" s="24">
        <v>48221</v>
      </c>
      <c r="BN317" s="24">
        <v>48204</v>
      </c>
      <c r="BO317" s="24">
        <v>173684</v>
      </c>
      <c r="BR317" s="24"/>
      <c r="BS317" s="24"/>
      <c r="BT317" s="24"/>
      <c r="BU317" s="24"/>
      <c r="BV317" s="24"/>
      <c r="CF317" s="24"/>
      <c r="CG317" s="24"/>
      <c r="CH317" s="24"/>
      <c r="CI317" s="24"/>
      <c r="CJ317" s="24"/>
      <c r="DD317" s="24"/>
      <c r="DE317" s="24"/>
      <c r="DF317" s="24"/>
      <c r="DG317" s="24"/>
      <c r="DH317" s="24"/>
      <c r="DJ317" s="24">
        <v>2020</v>
      </c>
      <c r="DK317" s="24">
        <v>31</v>
      </c>
      <c r="DL317" s="24" t="s">
        <v>33</v>
      </c>
      <c r="DM317" s="24">
        <v>445</v>
      </c>
      <c r="DP317" s="316">
        <v>2018</v>
      </c>
      <c r="DQ317" s="316">
        <v>4</v>
      </c>
      <c r="DR317" s="316" t="s">
        <v>33</v>
      </c>
      <c r="DS317" s="316">
        <v>5525</v>
      </c>
      <c r="DT317" s="316"/>
      <c r="DW317" s="24">
        <v>2021</v>
      </c>
      <c r="DX317" s="24">
        <v>21</v>
      </c>
      <c r="DY317" s="24" t="s">
        <v>32</v>
      </c>
      <c r="DZ317" s="24">
        <v>1</v>
      </c>
      <c r="EA317" s="24" t="s">
        <v>149</v>
      </c>
      <c r="EB317" s="24">
        <v>0</v>
      </c>
      <c r="EC317" s="24">
        <v>43</v>
      </c>
      <c r="ED317" s="24">
        <v>1499</v>
      </c>
      <c r="EE317" s="24">
        <v>1495</v>
      </c>
      <c r="EF317" s="24">
        <v>4.2</v>
      </c>
      <c r="EI317" s="24">
        <v>2023</v>
      </c>
      <c r="EJ317" s="24">
        <v>1</v>
      </c>
      <c r="EK317" s="24" t="s">
        <v>33</v>
      </c>
      <c r="EL317" s="24" t="s">
        <v>233</v>
      </c>
      <c r="EM317" s="24" t="s">
        <v>210</v>
      </c>
      <c r="EN317" s="24">
        <v>1</v>
      </c>
      <c r="EO317" s="24"/>
      <c r="EP317" s="24"/>
      <c r="EQ317" s="24"/>
      <c r="ER317" s="24"/>
      <c r="ES317" s="24">
        <v>2021</v>
      </c>
      <c r="ET317" s="24">
        <v>5</v>
      </c>
      <c r="EU317" s="24" t="s">
        <v>213</v>
      </c>
      <c r="EV317" s="24">
        <v>10</v>
      </c>
      <c r="EY317" s="24"/>
      <c r="EZ317" s="24"/>
      <c r="FA317" s="24"/>
      <c r="FB317" s="24"/>
      <c r="FE317" s="24"/>
      <c r="FF317" s="24"/>
      <c r="FG317" s="24"/>
      <c r="FH317" s="24"/>
      <c r="FN317" s="24"/>
      <c r="FO317" s="24"/>
      <c r="FP317" s="24"/>
      <c r="FQ317" s="24"/>
      <c r="FW317" s="24">
        <v>2020</v>
      </c>
      <c r="FX317" s="24">
        <v>28</v>
      </c>
      <c r="FY317" s="24" t="s">
        <v>33</v>
      </c>
      <c r="FZ317" s="24">
        <v>8066</v>
      </c>
      <c r="GA317" s="24">
        <v>7765</v>
      </c>
      <c r="GB317" s="24"/>
      <c r="GC317" s="24"/>
      <c r="GD317" s="313">
        <v>2020</v>
      </c>
      <c r="GE317" s="313">
        <v>28</v>
      </c>
      <c r="GF317" s="313" t="s">
        <v>33</v>
      </c>
      <c r="GG317" s="313">
        <v>8099</v>
      </c>
      <c r="GH317" s="313">
        <v>7895</v>
      </c>
      <c r="GK317" s="24"/>
      <c r="GL317" s="24"/>
      <c r="GM317" s="24"/>
      <c r="GN317" s="24"/>
      <c r="GO317" s="24"/>
      <c r="GP317" s="24"/>
      <c r="GQ317" s="24"/>
      <c r="GR317" s="24"/>
      <c r="GS317" s="24"/>
      <c r="GX317">
        <v>2020</v>
      </c>
      <c r="GY317">
        <v>28</v>
      </c>
      <c r="GZ317" t="s">
        <v>33</v>
      </c>
      <c r="HA317">
        <v>190996</v>
      </c>
      <c r="HB317">
        <v>188563</v>
      </c>
      <c r="HC317">
        <v>119</v>
      </c>
      <c r="HD317">
        <v>113</v>
      </c>
      <c r="HE317">
        <v>0</v>
      </c>
      <c r="HF317">
        <v>435</v>
      </c>
      <c r="HG317">
        <v>0</v>
      </c>
      <c r="HH317">
        <v>0</v>
      </c>
      <c r="HI317">
        <v>647</v>
      </c>
      <c r="HL317">
        <v>2020</v>
      </c>
      <c r="HM317">
        <v>28</v>
      </c>
      <c r="HN317" t="s">
        <v>33</v>
      </c>
      <c r="HO317">
        <v>192386</v>
      </c>
      <c r="HP317">
        <v>191896</v>
      </c>
      <c r="HQ317">
        <v>63</v>
      </c>
      <c r="HR317">
        <v>9</v>
      </c>
      <c r="HS317">
        <v>0</v>
      </c>
      <c r="HT317">
        <v>324</v>
      </c>
      <c r="HU317">
        <v>0</v>
      </c>
      <c r="HV317">
        <v>0</v>
      </c>
      <c r="HW317">
        <v>79</v>
      </c>
      <c r="HZ317" s="24">
        <v>2020</v>
      </c>
      <c r="IA317" s="24">
        <v>28</v>
      </c>
      <c r="IB317" s="24" t="s">
        <v>33</v>
      </c>
      <c r="IC317" s="24">
        <v>7874</v>
      </c>
      <c r="ID317" s="24">
        <v>7452</v>
      </c>
      <c r="IG317" s="24">
        <v>2020</v>
      </c>
      <c r="IH317" s="24">
        <v>28</v>
      </c>
      <c r="II317" s="24" t="s">
        <v>33</v>
      </c>
      <c r="IJ317" s="24">
        <v>7540</v>
      </c>
      <c r="IK317" s="24">
        <v>7396</v>
      </c>
    </row>
    <row r="318" spans="9:245" x14ac:dyDescent="0.4">
      <c r="I318" s="305">
        <v>2020</v>
      </c>
      <c r="J318" s="306">
        <v>28</v>
      </c>
      <c r="K318" s="306" t="s">
        <v>33</v>
      </c>
      <c r="L318" s="306">
        <v>192769</v>
      </c>
      <c r="M318" s="306">
        <v>190415</v>
      </c>
      <c r="N318" s="306">
        <v>245</v>
      </c>
      <c r="O318" s="306">
        <v>686</v>
      </c>
      <c r="P318" s="306">
        <v>185</v>
      </c>
      <c r="Q318" s="306"/>
      <c r="R318" s="24"/>
      <c r="S318" s="24"/>
      <c r="T318" s="24"/>
      <c r="W318" s="24">
        <v>2020</v>
      </c>
      <c r="X318" s="24">
        <v>27</v>
      </c>
      <c r="Y318" s="24" t="s">
        <v>32</v>
      </c>
      <c r="Z318" s="24">
        <v>5670</v>
      </c>
      <c r="AA318" s="24">
        <v>5599</v>
      </c>
      <c r="AB318" s="24">
        <v>3</v>
      </c>
      <c r="AC318" s="24"/>
      <c r="AI318" s="24"/>
      <c r="AJ318" s="24"/>
      <c r="AK318" s="24"/>
      <c r="AL318" s="24"/>
      <c r="AM318" s="24"/>
      <c r="AN318" s="24"/>
      <c r="AO318" s="24"/>
      <c r="AP318" s="24"/>
      <c r="AQ318" s="24"/>
      <c r="AR318" s="24"/>
      <c r="AT318" s="24"/>
      <c r="AU318" s="24"/>
      <c r="AV318" s="24"/>
      <c r="AW318" s="24"/>
      <c r="AX318" s="24"/>
      <c r="AY318" s="24"/>
      <c r="AZ318" s="24"/>
      <c r="BA318" s="24"/>
      <c r="BB318" s="24"/>
      <c r="BC318" s="24"/>
      <c r="BD318" s="24"/>
      <c r="BE318" s="24"/>
      <c r="BF318" s="24"/>
      <c r="BG318" s="24"/>
      <c r="BI318" s="24">
        <v>2021</v>
      </c>
      <c r="BJ318" s="24">
        <v>44</v>
      </c>
      <c r="BK318" s="24" t="s">
        <v>33</v>
      </c>
      <c r="BL318" s="24" t="s">
        <v>272</v>
      </c>
      <c r="BM318" s="24">
        <v>44586</v>
      </c>
      <c r="BN318" s="24">
        <v>44573</v>
      </c>
      <c r="BO318" s="24">
        <v>159940</v>
      </c>
      <c r="BR318" s="24"/>
      <c r="BS318" s="24"/>
      <c r="BT318" s="24"/>
      <c r="BU318" s="24"/>
      <c r="BV318" s="24"/>
      <c r="CF318" s="24"/>
      <c r="CG318" s="24"/>
      <c r="CH318" s="24"/>
      <c r="CI318" s="24"/>
      <c r="CJ318" s="24"/>
      <c r="DD318" s="24"/>
      <c r="DE318" s="24"/>
      <c r="DF318" s="24"/>
      <c r="DG318" s="24"/>
      <c r="DH318" s="24"/>
      <c r="DJ318" s="24">
        <v>2020</v>
      </c>
      <c r="DK318" s="24">
        <v>30</v>
      </c>
      <c r="DL318" s="24" t="s">
        <v>32</v>
      </c>
      <c r="DM318" s="24">
        <v>3</v>
      </c>
      <c r="DP318" s="316">
        <v>2018</v>
      </c>
      <c r="DQ318" s="316">
        <v>3</v>
      </c>
      <c r="DR318" s="316" t="s">
        <v>33</v>
      </c>
      <c r="DS318" s="316">
        <v>5877</v>
      </c>
      <c r="DT318" s="316"/>
      <c r="DW318" s="24">
        <v>2021</v>
      </c>
      <c r="DX318" s="24">
        <v>21</v>
      </c>
      <c r="DY318" s="24" t="s">
        <v>33</v>
      </c>
      <c r="DZ318" s="24">
        <v>9</v>
      </c>
      <c r="EA318" s="24" t="s">
        <v>562</v>
      </c>
      <c r="EB318" s="24">
        <v>108.7</v>
      </c>
      <c r="EC318" s="24">
        <v>0</v>
      </c>
      <c r="ED318" s="24"/>
      <c r="EE318" s="24">
        <v>3270</v>
      </c>
      <c r="EF318" s="24">
        <v>38.9</v>
      </c>
      <c r="EI318" s="24">
        <v>2023</v>
      </c>
      <c r="EJ318" s="24">
        <v>1</v>
      </c>
      <c r="EK318" s="24" t="s">
        <v>33</v>
      </c>
      <c r="EL318" s="24" t="s">
        <v>244</v>
      </c>
      <c r="EM318" s="24" t="s">
        <v>210</v>
      </c>
      <c r="EN318" s="24">
        <v>17</v>
      </c>
      <c r="EO318" s="24"/>
      <c r="EP318" s="24"/>
      <c r="EQ318" s="24"/>
      <c r="ER318" s="24"/>
      <c r="ES318" s="24">
        <v>2021</v>
      </c>
      <c r="ET318" s="24">
        <v>4</v>
      </c>
      <c r="EU318" s="24" t="s">
        <v>32</v>
      </c>
      <c r="EV318" s="24">
        <v>2593</v>
      </c>
      <c r="EY318" s="24"/>
      <c r="EZ318" s="24"/>
      <c r="FA318" s="24"/>
      <c r="FB318" s="24"/>
      <c r="FE318" s="24"/>
      <c r="FF318" s="24"/>
      <c r="FG318" s="24"/>
      <c r="FH318" s="24"/>
      <c r="FN318" s="24"/>
      <c r="FO318" s="24"/>
      <c r="FP318" s="24"/>
      <c r="FQ318" s="24"/>
      <c r="FW318" s="24">
        <v>2020</v>
      </c>
      <c r="FX318" s="24">
        <v>27</v>
      </c>
      <c r="FY318" s="24" t="s">
        <v>32</v>
      </c>
      <c r="FZ318" s="24">
        <v>688</v>
      </c>
      <c r="GA318" s="24">
        <v>661</v>
      </c>
      <c r="GB318" s="24"/>
      <c r="GC318" s="24"/>
      <c r="GD318" s="24">
        <v>2020</v>
      </c>
      <c r="GE318" s="24">
        <v>27</v>
      </c>
      <c r="GF318" s="24" t="s">
        <v>32</v>
      </c>
      <c r="GG318" s="24">
        <v>691</v>
      </c>
      <c r="GH318" s="24">
        <v>667</v>
      </c>
      <c r="GK318" s="24"/>
      <c r="GL318" s="24"/>
      <c r="GM318" s="24"/>
      <c r="GN318" s="24"/>
      <c r="GO318" s="24"/>
      <c r="GP318" s="24"/>
      <c r="GQ318" s="24"/>
      <c r="GR318" s="24"/>
      <c r="GS318" s="24"/>
      <c r="GX318">
        <v>2020</v>
      </c>
      <c r="GY318">
        <v>27</v>
      </c>
      <c r="GZ318" t="s">
        <v>32</v>
      </c>
      <c r="HA318">
        <v>6014</v>
      </c>
      <c r="HB318">
        <v>5952</v>
      </c>
      <c r="HC318">
        <v>0</v>
      </c>
      <c r="HD318">
        <v>0</v>
      </c>
      <c r="HE318">
        <v>0</v>
      </c>
      <c r="HF318">
        <v>3</v>
      </c>
      <c r="HG318">
        <v>0</v>
      </c>
      <c r="HH318">
        <v>0</v>
      </c>
      <c r="HI318">
        <v>27</v>
      </c>
      <c r="HL318">
        <v>2020</v>
      </c>
      <c r="HM318">
        <v>27</v>
      </c>
      <c r="HN318" t="s">
        <v>32</v>
      </c>
      <c r="HO318">
        <v>5622</v>
      </c>
      <c r="HP318">
        <v>5593</v>
      </c>
      <c r="HQ318">
        <v>0</v>
      </c>
      <c r="HR318">
        <v>0</v>
      </c>
      <c r="HS318">
        <v>0</v>
      </c>
      <c r="HT318">
        <v>22</v>
      </c>
      <c r="HU318">
        <v>0</v>
      </c>
      <c r="HV318">
        <v>0</v>
      </c>
      <c r="HW318">
        <v>0</v>
      </c>
      <c r="HZ318" s="24">
        <v>2020</v>
      </c>
      <c r="IA318" s="24">
        <v>27</v>
      </c>
      <c r="IB318" s="24" t="s">
        <v>32</v>
      </c>
      <c r="IC318" s="24">
        <v>735</v>
      </c>
      <c r="ID318" s="24">
        <v>707</v>
      </c>
      <c r="IG318" s="24">
        <v>2020</v>
      </c>
      <c r="IH318" s="24">
        <v>27</v>
      </c>
      <c r="II318" s="24" t="s">
        <v>32</v>
      </c>
      <c r="IJ318" s="24">
        <v>671</v>
      </c>
      <c r="IK318" s="24">
        <v>670</v>
      </c>
    </row>
    <row r="319" spans="9:245" x14ac:dyDescent="0.4">
      <c r="I319" s="305">
        <v>2020</v>
      </c>
      <c r="J319" s="306">
        <v>27</v>
      </c>
      <c r="K319" s="306" t="s">
        <v>32</v>
      </c>
      <c r="L319" s="306">
        <v>5499</v>
      </c>
      <c r="M319" s="306">
        <v>5442</v>
      </c>
      <c r="N319" s="306">
        <v>2</v>
      </c>
      <c r="O319" s="306">
        <v>40</v>
      </c>
      <c r="P319" s="306">
        <v>5</v>
      </c>
      <c r="Q319" s="306"/>
      <c r="R319" s="24"/>
      <c r="S319" s="24"/>
      <c r="T319" s="24"/>
      <c r="W319" s="24">
        <v>2020</v>
      </c>
      <c r="X319" s="24">
        <v>27</v>
      </c>
      <c r="Y319" s="24" t="s">
        <v>33</v>
      </c>
      <c r="Z319" s="24">
        <v>172018</v>
      </c>
      <c r="AA319" s="24">
        <v>171358</v>
      </c>
      <c r="AB319" s="24">
        <v>94</v>
      </c>
      <c r="AC319" s="24">
        <v>4</v>
      </c>
      <c r="AI319" s="24"/>
      <c r="AJ319" s="24"/>
      <c r="AK319" s="24"/>
      <c r="AL319" s="24"/>
      <c r="AM319" s="24"/>
      <c r="AN319" s="24"/>
      <c r="AO319" s="24"/>
      <c r="AP319" s="24"/>
      <c r="AQ319" s="24"/>
      <c r="AR319" s="24"/>
      <c r="AT319" s="24"/>
      <c r="AU319" s="24"/>
      <c r="AV319" s="24"/>
      <c r="AW319" s="24"/>
      <c r="AX319" s="24"/>
      <c r="AY319" s="24"/>
      <c r="AZ319" s="24"/>
      <c r="BA319" s="24"/>
      <c r="BB319" s="24"/>
      <c r="BC319" s="24"/>
      <c r="BD319" s="24"/>
      <c r="BE319" s="24"/>
      <c r="BF319" s="24"/>
      <c r="BG319" s="24"/>
      <c r="BI319" s="24">
        <v>2021</v>
      </c>
      <c r="BJ319" s="24">
        <v>44</v>
      </c>
      <c r="BK319" s="24" t="s">
        <v>33</v>
      </c>
      <c r="BL319" s="24" t="s">
        <v>273</v>
      </c>
      <c r="BM319" s="24">
        <v>88311</v>
      </c>
      <c r="BN319" s="24">
        <v>87928</v>
      </c>
      <c r="BO319" s="24">
        <v>90394</v>
      </c>
      <c r="BR319" s="24"/>
      <c r="BS319" s="24"/>
      <c r="BT319" s="24"/>
      <c r="BU319" s="24"/>
      <c r="BV319" s="24"/>
      <c r="CF319" s="24"/>
      <c r="CG319" s="24"/>
      <c r="CH319" s="24"/>
      <c r="CI319" s="24"/>
      <c r="CJ319" s="24"/>
      <c r="DD319" s="24"/>
      <c r="DE319" s="24"/>
      <c r="DF319" s="24"/>
      <c r="DG319" s="24"/>
      <c r="DH319" s="24"/>
      <c r="DJ319" s="24">
        <v>2020</v>
      </c>
      <c r="DK319" s="24">
        <v>30</v>
      </c>
      <c r="DL319" s="24" t="s">
        <v>33</v>
      </c>
      <c r="DM319" s="24">
        <v>425</v>
      </c>
      <c r="DP319" s="24">
        <v>2018</v>
      </c>
      <c r="DQ319" s="24">
        <v>2</v>
      </c>
      <c r="DR319" s="24" t="s">
        <v>33</v>
      </c>
      <c r="DS319" s="24">
        <v>5464</v>
      </c>
      <c r="DT319" s="24"/>
      <c r="DW319" s="24">
        <v>2021</v>
      </c>
      <c r="DX319" s="24">
        <v>21</v>
      </c>
      <c r="DY319" s="24" t="s">
        <v>33</v>
      </c>
      <c r="DZ319" s="24">
        <v>41</v>
      </c>
      <c r="EA319" s="24" t="s">
        <v>149</v>
      </c>
      <c r="EB319" s="24">
        <v>86.3</v>
      </c>
      <c r="EC319" s="24">
        <v>1123.0999999999999</v>
      </c>
      <c r="ED319" s="24">
        <v>38654</v>
      </c>
      <c r="EE319" s="24">
        <v>40614</v>
      </c>
      <c r="EF319" s="24">
        <v>168.5</v>
      </c>
      <c r="EI319" s="24">
        <v>2023</v>
      </c>
      <c r="EJ319" s="24">
        <v>1</v>
      </c>
      <c r="EK319" s="24" t="s">
        <v>33</v>
      </c>
      <c r="EL319" s="24" t="s">
        <v>236</v>
      </c>
      <c r="EM319" s="24" t="s">
        <v>210</v>
      </c>
      <c r="EN319" s="24">
        <v>1</v>
      </c>
      <c r="EO319" s="24"/>
      <c r="EP319" s="24"/>
      <c r="EQ319" s="24"/>
      <c r="ER319" s="24"/>
      <c r="ES319" s="24">
        <v>2021</v>
      </c>
      <c r="ET319" s="24">
        <v>4</v>
      </c>
      <c r="EU319" s="24" t="s">
        <v>33</v>
      </c>
      <c r="EV319" s="24">
        <v>64499</v>
      </c>
      <c r="EY319" s="24"/>
      <c r="EZ319" s="24"/>
      <c r="FA319" s="24"/>
      <c r="FB319" s="24"/>
      <c r="FE319" s="24"/>
      <c r="FF319" s="24"/>
      <c r="FG319" s="24"/>
      <c r="FH319" s="24"/>
      <c r="FN319" s="24"/>
      <c r="FO319" s="24"/>
      <c r="FP319" s="24"/>
      <c r="FQ319" s="24"/>
      <c r="FW319" s="24">
        <v>2020</v>
      </c>
      <c r="FX319" s="24">
        <v>27</v>
      </c>
      <c r="FY319" s="24" t="s">
        <v>33</v>
      </c>
      <c r="FZ319" s="24">
        <v>5977</v>
      </c>
      <c r="GA319" s="24">
        <v>5750</v>
      </c>
      <c r="GB319" s="24"/>
      <c r="GC319" s="24"/>
      <c r="GD319" s="24">
        <v>2020</v>
      </c>
      <c r="GE319" s="24">
        <v>27</v>
      </c>
      <c r="GF319" s="24" t="s">
        <v>33</v>
      </c>
      <c r="GG319" s="24">
        <v>6079</v>
      </c>
      <c r="GH319" s="24">
        <v>5917</v>
      </c>
      <c r="GK319" s="24"/>
      <c r="GL319" s="24"/>
      <c r="GM319" s="24"/>
      <c r="GN319" s="24"/>
      <c r="GO319" s="24"/>
      <c r="GP319" s="24"/>
      <c r="GQ319" s="24"/>
      <c r="GR319" s="24"/>
      <c r="GS319" s="24"/>
      <c r="GX319">
        <v>2020</v>
      </c>
      <c r="GY319">
        <v>27</v>
      </c>
      <c r="GZ319" t="s">
        <v>33</v>
      </c>
      <c r="HA319">
        <v>172560</v>
      </c>
      <c r="HB319">
        <v>171455</v>
      </c>
      <c r="HC319">
        <v>75</v>
      </c>
      <c r="HD319">
        <v>24</v>
      </c>
      <c r="HE319">
        <v>0</v>
      </c>
      <c r="HF319">
        <v>124</v>
      </c>
      <c r="HG319">
        <v>0</v>
      </c>
      <c r="HH319">
        <v>0</v>
      </c>
      <c r="HI319">
        <v>459</v>
      </c>
      <c r="HL319">
        <v>2020</v>
      </c>
      <c r="HM319">
        <v>27</v>
      </c>
      <c r="HN319" t="s">
        <v>33</v>
      </c>
      <c r="HO319">
        <v>171624</v>
      </c>
      <c r="HP319">
        <v>171412</v>
      </c>
      <c r="HQ319">
        <v>56</v>
      </c>
      <c r="HR319">
        <v>4</v>
      </c>
      <c r="HS319">
        <v>0</v>
      </c>
      <c r="HT319">
        <v>84</v>
      </c>
      <c r="HU319">
        <v>0</v>
      </c>
      <c r="HV319">
        <v>0</v>
      </c>
      <c r="HW319">
        <v>22</v>
      </c>
      <c r="HZ319" s="24">
        <v>2020</v>
      </c>
      <c r="IA319" s="24">
        <v>27</v>
      </c>
      <c r="IB319" s="24" t="s">
        <v>33</v>
      </c>
      <c r="IC319" s="24">
        <v>6574</v>
      </c>
      <c r="ID319" s="24">
        <v>6329</v>
      </c>
      <c r="IG319" s="24">
        <v>2020</v>
      </c>
      <c r="IH319" s="24">
        <v>27</v>
      </c>
      <c r="II319" s="24" t="s">
        <v>33</v>
      </c>
      <c r="IJ319" s="24">
        <v>5668</v>
      </c>
      <c r="IK319" s="24">
        <v>5594</v>
      </c>
    </row>
    <row r="320" spans="9:245" x14ac:dyDescent="0.4">
      <c r="I320" s="305">
        <v>2020</v>
      </c>
      <c r="J320" s="306">
        <v>27</v>
      </c>
      <c r="K320" s="306" t="s">
        <v>33</v>
      </c>
      <c r="L320" s="306">
        <v>172076</v>
      </c>
      <c r="M320" s="306">
        <v>170960</v>
      </c>
      <c r="N320" s="306">
        <v>259</v>
      </c>
      <c r="O320" s="306">
        <v>395</v>
      </c>
      <c r="P320" s="306">
        <v>150</v>
      </c>
      <c r="Q320" s="306">
        <v>4</v>
      </c>
      <c r="R320" s="24"/>
      <c r="S320" s="24"/>
      <c r="T320" s="24"/>
      <c r="W320" s="24">
        <v>2020</v>
      </c>
      <c r="X320" s="24">
        <v>26</v>
      </c>
      <c r="Y320" s="24" t="s">
        <v>32</v>
      </c>
      <c r="Z320" s="24">
        <v>5435</v>
      </c>
      <c r="AA320" s="24">
        <v>5413</v>
      </c>
      <c r="AB320" s="24">
        <v>8</v>
      </c>
      <c r="AC320" s="24"/>
      <c r="AI320" s="24"/>
      <c r="AJ320" s="24"/>
      <c r="AK320" s="24"/>
      <c r="AL320" s="24"/>
      <c r="AM320" s="24"/>
      <c r="AN320" s="24"/>
      <c r="AO320" s="24"/>
      <c r="AP320" s="24"/>
      <c r="AQ320" s="24"/>
      <c r="AR320" s="24"/>
      <c r="AT320" s="24"/>
      <c r="AU320" s="24"/>
      <c r="AV320" s="24"/>
      <c r="AW320" s="24"/>
      <c r="AX320" s="24"/>
      <c r="AY320" s="24"/>
      <c r="AZ320" s="24"/>
      <c r="BA320" s="24"/>
      <c r="BB320" s="24"/>
      <c r="BC320" s="24"/>
      <c r="BD320" s="24"/>
      <c r="BE320" s="24"/>
      <c r="BF320" s="24"/>
      <c r="BG320" s="24"/>
      <c r="BI320" s="24">
        <v>2021</v>
      </c>
      <c r="BJ320" s="24">
        <v>44</v>
      </c>
      <c r="BK320" s="24" t="s">
        <v>32</v>
      </c>
      <c r="BL320" s="24" t="s">
        <v>272</v>
      </c>
      <c r="BM320" s="24">
        <v>2158</v>
      </c>
      <c r="BN320" s="24">
        <v>2157</v>
      </c>
      <c r="BO320" s="24">
        <v>7030</v>
      </c>
      <c r="BR320" s="24"/>
      <c r="BS320" s="24"/>
      <c r="BT320" s="24"/>
      <c r="BU320" s="24"/>
      <c r="BV320" s="24"/>
      <c r="CF320" s="24"/>
      <c r="CG320" s="24"/>
      <c r="CH320" s="24"/>
      <c r="CI320" s="24"/>
      <c r="CJ320" s="24"/>
      <c r="DD320" s="24"/>
      <c r="DE320" s="24"/>
      <c r="DF320" s="24"/>
      <c r="DG320" s="24"/>
      <c r="DH320" s="24"/>
      <c r="DJ320" s="24">
        <v>2020</v>
      </c>
      <c r="DK320" s="24">
        <v>30</v>
      </c>
      <c r="DL320" s="24" t="s">
        <v>213</v>
      </c>
      <c r="DM320" s="24">
        <v>1</v>
      </c>
      <c r="DP320" s="24">
        <v>2018</v>
      </c>
      <c r="DQ320" s="24">
        <v>1</v>
      </c>
      <c r="DR320" s="24" t="s">
        <v>33</v>
      </c>
      <c r="DS320" s="24">
        <v>4197</v>
      </c>
      <c r="DT320" s="24"/>
      <c r="DW320" s="24">
        <v>2021</v>
      </c>
      <c r="DX320" s="24">
        <v>20</v>
      </c>
      <c r="DY320" s="24" t="s">
        <v>32</v>
      </c>
      <c r="DZ320" s="24">
        <v>1</v>
      </c>
      <c r="EA320" s="24" t="s">
        <v>149</v>
      </c>
      <c r="EB320" s="24">
        <v>0</v>
      </c>
      <c r="EC320" s="24">
        <v>51.3</v>
      </c>
      <c r="ED320" s="24">
        <v>1846</v>
      </c>
      <c r="EE320" s="24">
        <v>1827</v>
      </c>
      <c r="EF320" s="24">
        <v>6.1</v>
      </c>
      <c r="EI320" s="24">
        <v>2023</v>
      </c>
      <c r="EJ320" s="24">
        <v>1</v>
      </c>
      <c r="EK320" s="24" t="s">
        <v>237</v>
      </c>
      <c r="EL320" s="24" t="s">
        <v>557</v>
      </c>
      <c r="EM320" s="24" t="s">
        <v>210</v>
      </c>
      <c r="EN320" s="24">
        <v>22</v>
      </c>
      <c r="EO320" s="24"/>
      <c r="EP320" s="24"/>
      <c r="EQ320" s="24"/>
      <c r="ER320" s="24"/>
      <c r="ES320" s="24">
        <v>2021</v>
      </c>
      <c r="ET320" s="24">
        <v>4</v>
      </c>
      <c r="EU320" s="24" t="s">
        <v>213</v>
      </c>
      <c r="EV320" s="24">
        <v>10</v>
      </c>
      <c r="EY320" s="24"/>
      <c r="EZ320" s="24"/>
      <c r="FA320" s="24"/>
      <c r="FB320" s="24"/>
      <c r="FE320" s="24"/>
      <c r="FF320" s="24"/>
      <c r="FG320" s="24"/>
      <c r="FH320" s="24"/>
      <c r="FN320" s="24"/>
      <c r="FO320" s="24"/>
      <c r="FP320" s="24"/>
      <c r="FQ320" s="24"/>
      <c r="FW320" s="24">
        <v>2020</v>
      </c>
      <c r="FX320" s="24">
        <v>26</v>
      </c>
      <c r="FY320" s="24" t="s">
        <v>32</v>
      </c>
      <c r="FZ320" s="24">
        <v>836</v>
      </c>
      <c r="GA320" s="24">
        <v>821</v>
      </c>
      <c r="GB320" s="24"/>
      <c r="GC320" s="24"/>
      <c r="GD320" s="24">
        <v>2020</v>
      </c>
      <c r="GE320" s="24">
        <v>26</v>
      </c>
      <c r="GF320" s="24" t="s">
        <v>32</v>
      </c>
      <c r="GG320" s="24">
        <v>845</v>
      </c>
      <c r="GH320" s="24">
        <v>833</v>
      </c>
      <c r="GK320" s="24"/>
      <c r="GL320" s="24"/>
      <c r="GM320" s="24"/>
      <c r="GN320" s="24"/>
      <c r="GO320" s="24"/>
      <c r="GP320" s="24"/>
      <c r="GQ320" s="24"/>
      <c r="GR320" s="24"/>
      <c r="GS320" s="24"/>
      <c r="GX320">
        <v>2020</v>
      </c>
      <c r="GY320">
        <v>26</v>
      </c>
      <c r="GZ320" t="s">
        <v>32</v>
      </c>
      <c r="HA320">
        <v>5333</v>
      </c>
      <c r="HB320">
        <v>5308</v>
      </c>
      <c r="HC320">
        <v>0</v>
      </c>
      <c r="HD320">
        <v>0</v>
      </c>
      <c r="HE320">
        <v>0</v>
      </c>
      <c r="HF320">
        <v>2</v>
      </c>
      <c r="HG320">
        <v>0</v>
      </c>
      <c r="HH320">
        <v>0</v>
      </c>
      <c r="HI320">
        <v>8</v>
      </c>
      <c r="HL320">
        <v>2020</v>
      </c>
      <c r="HM320">
        <v>26</v>
      </c>
      <c r="HN320" t="s">
        <v>32</v>
      </c>
      <c r="HO320">
        <v>5358</v>
      </c>
      <c r="HP320">
        <v>5355</v>
      </c>
      <c r="HQ320">
        <v>0</v>
      </c>
      <c r="HR320">
        <v>0</v>
      </c>
      <c r="HS320">
        <v>0</v>
      </c>
      <c r="HT320">
        <v>0</v>
      </c>
      <c r="HU320">
        <v>0</v>
      </c>
      <c r="HV320">
        <v>0</v>
      </c>
      <c r="HW320">
        <v>0</v>
      </c>
      <c r="HZ320" s="24">
        <v>2020</v>
      </c>
      <c r="IA320" s="24">
        <v>26</v>
      </c>
      <c r="IB320" s="24" t="s">
        <v>32</v>
      </c>
      <c r="IC320" s="24">
        <v>789</v>
      </c>
      <c r="ID320" s="24">
        <v>778</v>
      </c>
      <c r="IG320" s="24">
        <v>2020</v>
      </c>
      <c r="IH320" s="24">
        <v>26</v>
      </c>
      <c r="II320" s="24" t="s">
        <v>32</v>
      </c>
      <c r="IJ320" s="24">
        <v>798</v>
      </c>
      <c r="IK320" s="24">
        <v>797</v>
      </c>
    </row>
    <row r="321" spans="9:245" x14ac:dyDescent="0.4">
      <c r="I321" s="305">
        <v>2020</v>
      </c>
      <c r="J321" s="306">
        <v>26</v>
      </c>
      <c r="K321" s="306" t="s">
        <v>32</v>
      </c>
      <c r="L321" s="306">
        <v>5420</v>
      </c>
      <c r="M321" s="306">
        <v>5389</v>
      </c>
      <c r="N321" s="306">
        <v>4</v>
      </c>
      <c r="O321" s="306">
        <v>20</v>
      </c>
      <c r="P321" s="306">
        <v>11</v>
      </c>
      <c r="Q321" s="306"/>
      <c r="R321" s="24"/>
      <c r="S321" s="24"/>
      <c r="T321" s="24"/>
      <c r="W321" s="24">
        <v>2020</v>
      </c>
      <c r="X321" s="24">
        <v>26</v>
      </c>
      <c r="Y321" s="24" t="s">
        <v>33</v>
      </c>
      <c r="Z321" s="24">
        <v>207168</v>
      </c>
      <c r="AA321" s="24">
        <v>206308</v>
      </c>
      <c r="AB321" s="24">
        <v>124</v>
      </c>
      <c r="AC321" s="24">
        <v>42</v>
      </c>
      <c r="AI321" s="24"/>
      <c r="AJ321" s="24"/>
      <c r="AK321" s="24"/>
      <c r="AL321" s="24"/>
      <c r="AM321" s="24"/>
      <c r="AN321" s="24"/>
      <c r="AO321" s="24"/>
      <c r="AP321" s="24"/>
      <c r="AQ321" s="24"/>
      <c r="AR321" s="24"/>
      <c r="AT321" s="24"/>
      <c r="AU321" s="24"/>
      <c r="AV321" s="24"/>
      <c r="AW321" s="24"/>
      <c r="AX321" s="24"/>
      <c r="AY321" s="24"/>
      <c r="AZ321" s="24"/>
      <c r="BA321" s="24"/>
      <c r="BB321" s="24"/>
      <c r="BC321" s="24"/>
      <c r="BD321" s="24"/>
      <c r="BE321" s="24"/>
      <c r="BF321" s="24"/>
      <c r="BG321" s="24"/>
      <c r="BI321" s="24">
        <v>2021</v>
      </c>
      <c r="BJ321" s="24">
        <v>44</v>
      </c>
      <c r="BK321" s="24" t="s">
        <v>32</v>
      </c>
      <c r="BL321" s="24" t="s">
        <v>273</v>
      </c>
      <c r="BM321" s="24">
        <v>5413</v>
      </c>
      <c r="BN321" s="24">
        <v>5391</v>
      </c>
      <c r="BO321" s="24">
        <v>5475</v>
      </c>
      <c r="BR321" s="24"/>
      <c r="BS321" s="24"/>
      <c r="BT321" s="24"/>
      <c r="BU321" s="24"/>
      <c r="BV321" s="24"/>
      <c r="CF321" s="24"/>
      <c r="CG321" s="24"/>
      <c r="CH321" s="24"/>
      <c r="CI321" s="24"/>
      <c r="CJ321" s="24"/>
      <c r="DD321" s="24"/>
      <c r="DE321" s="24"/>
      <c r="DF321" s="24"/>
      <c r="DG321" s="24"/>
      <c r="DH321" s="24"/>
      <c r="DJ321" s="24">
        <v>2020</v>
      </c>
      <c r="DK321" s="24">
        <v>29</v>
      </c>
      <c r="DL321" s="24" t="s">
        <v>32</v>
      </c>
      <c r="DM321" s="24">
        <v>0</v>
      </c>
      <c r="DP321" s="24">
        <v>2017</v>
      </c>
      <c r="DQ321" s="24">
        <v>50</v>
      </c>
      <c r="DR321" s="24" t="s">
        <v>33</v>
      </c>
      <c r="DS321" s="24">
        <v>4473</v>
      </c>
      <c r="DT321" s="24"/>
      <c r="DW321" s="24">
        <v>2021</v>
      </c>
      <c r="DX321" s="24">
        <v>20</v>
      </c>
      <c r="DY321" s="24" t="s">
        <v>33</v>
      </c>
      <c r="DZ321" s="24">
        <v>9</v>
      </c>
      <c r="EA321" s="24" t="s">
        <v>562</v>
      </c>
      <c r="EB321" s="24">
        <v>76.7</v>
      </c>
      <c r="EC321" s="24">
        <v>0</v>
      </c>
      <c r="ED321" s="24"/>
      <c r="EE321" s="24">
        <v>5573</v>
      </c>
      <c r="EF321" s="24">
        <v>50.4</v>
      </c>
      <c r="EI321" s="24">
        <v>2023</v>
      </c>
      <c r="EJ321" s="24">
        <v>1</v>
      </c>
      <c r="EK321" s="24" t="s">
        <v>237</v>
      </c>
      <c r="EL321" s="24" t="s">
        <v>557</v>
      </c>
      <c r="EM321" s="24" t="s">
        <v>215</v>
      </c>
      <c r="EN321" s="24">
        <v>2</v>
      </c>
      <c r="EO321" s="24"/>
      <c r="EP321" s="24"/>
      <c r="EQ321" s="24"/>
      <c r="ER321" s="24"/>
      <c r="ES321" s="24">
        <v>2021</v>
      </c>
      <c r="ET321" s="24">
        <v>3</v>
      </c>
      <c r="EU321" s="24" t="s">
        <v>32</v>
      </c>
      <c r="EV321" s="24">
        <v>2857</v>
      </c>
      <c r="EY321" s="24"/>
      <c r="EZ321" s="24"/>
      <c r="FA321" s="24"/>
      <c r="FB321" s="24"/>
      <c r="FE321" s="24"/>
      <c r="FF321" s="24"/>
      <c r="FG321" s="24"/>
      <c r="FH321" s="24"/>
      <c r="FN321" s="24"/>
      <c r="FO321" s="24"/>
      <c r="FP321" s="24"/>
      <c r="FQ321" s="24"/>
      <c r="FW321" s="24">
        <v>2020</v>
      </c>
      <c r="FX321" s="24">
        <v>26</v>
      </c>
      <c r="FY321" s="24" t="s">
        <v>33</v>
      </c>
      <c r="FZ321" s="24">
        <v>12210</v>
      </c>
      <c r="GA321" s="24">
        <v>11864</v>
      </c>
      <c r="GB321" s="24"/>
      <c r="GC321" s="24"/>
      <c r="GD321" s="24">
        <v>2020</v>
      </c>
      <c r="GE321" s="24">
        <v>26</v>
      </c>
      <c r="GF321" s="24" t="s">
        <v>33</v>
      </c>
      <c r="GG321" s="24">
        <v>12206</v>
      </c>
      <c r="GH321" s="24">
        <v>11973</v>
      </c>
      <c r="GK321" s="24"/>
      <c r="GL321" s="24"/>
      <c r="GM321" s="24"/>
      <c r="GN321" s="24"/>
      <c r="GO321" s="24"/>
      <c r="GP321" s="24"/>
      <c r="GQ321" s="24"/>
      <c r="GR321" s="24"/>
      <c r="GS321" s="24"/>
      <c r="GX321">
        <v>2020</v>
      </c>
      <c r="GY321">
        <v>26</v>
      </c>
      <c r="GZ321" t="s">
        <v>33</v>
      </c>
      <c r="HA321">
        <v>205361</v>
      </c>
      <c r="HB321">
        <v>204091</v>
      </c>
      <c r="HC321">
        <v>126</v>
      </c>
      <c r="HD321">
        <v>59</v>
      </c>
      <c r="HE321">
        <v>0</v>
      </c>
      <c r="HF321">
        <v>184</v>
      </c>
      <c r="HG321">
        <v>0</v>
      </c>
      <c r="HH321">
        <v>0</v>
      </c>
      <c r="HI321">
        <v>429</v>
      </c>
      <c r="HL321">
        <v>2020</v>
      </c>
      <c r="HM321">
        <v>26</v>
      </c>
      <c r="HN321" t="s">
        <v>33</v>
      </c>
      <c r="HO321">
        <v>206503</v>
      </c>
      <c r="HP321">
        <v>206190</v>
      </c>
      <c r="HQ321">
        <v>103</v>
      </c>
      <c r="HR321">
        <v>1</v>
      </c>
      <c r="HS321">
        <v>0</v>
      </c>
      <c r="HT321">
        <v>79</v>
      </c>
      <c r="HU321">
        <v>0</v>
      </c>
      <c r="HV321">
        <v>0</v>
      </c>
      <c r="HW321">
        <v>39</v>
      </c>
      <c r="HZ321" s="24">
        <v>2020</v>
      </c>
      <c r="IA321" s="24">
        <v>26</v>
      </c>
      <c r="IB321" s="24" t="s">
        <v>33</v>
      </c>
      <c r="IC321" s="24">
        <v>11737</v>
      </c>
      <c r="ID321" s="24">
        <v>11357</v>
      </c>
      <c r="IG321" s="24">
        <v>2020</v>
      </c>
      <c r="IH321" s="24">
        <v>26</v>
      </c>
      <c r="II321" s="24" t="s">
        <v>33</v>
      </c>
      <c r="IJ321" s="24">
        <v>11521</v>
      </c>
      <c r="IK321" s="24">
        <v>11452</v>
      </c>
    </row>
    <row r="322" spans="9:245" x14ac:dyDescent="0.4">
      <c r="I322" s="305">
        <v>2020</v>
      </c>
      <c r="J322" s="306">
        <v>26</v>
      </c>
      <c r="K322" s="306" t="s">
        <v>33</v>
      </c>
      <c r="L322" s="306">
        <v>207200</v>
      </c>
      <c r="M322" s="306">
        <v>205713</v>
      </c>
      <c r="N322" s="306">
        <v>315</v>
      </c>
      <c r="O322" s="306">
        <v>532</v>
      </c>
      <c r="P322" s="306">
        <v>185</v>
      </c>
      <c r="Q322" s="306">
        <v>46</v>
      </c>
      <c r="R322" s="24"/>
      <c r="S322" s="24"/>
      <c r="T322" s="24"/>
      <c r="W322" s="24">
        <v>2020</v>
      </c>
      <c r="X322" s="24">
        <v>25</v>
      </c>
      <c r="Y322" s="24" t="s">
        <v>32</v>
      </c>
      <c r="Z322" s="24">
        <v>6083</v>
      </c>
      <c r="AA322" s="24">
        <v>5808</v>
      </c>
      <c r="AB322" s="24">
        <v>1</v>
      </c>
      <c r="AC322" s="24">
        <v>4</v>
      </c>
      <c r="AI322" s="24"/>
      <c r="AJ322" s="24"/>
      <c r="AK322" s="24"/>
      <c r="AL322" s="24"/>
      <c r="AM322" s="24"/>
      <c r="AN322" s="24"/>
      <c r="AO322" s="24"/>
      <c r="AP322" s="24"/>
      <c r="AQ322" s="24"/>
      <c r="AR322" s="24"/>
      <c r="AT322" s="24"/>
      <c r="AU322" s="24"/>
      <c r="AV322" s="24"/>
      <c r="AW322" s="24"/>
      <c r="AX322" s="24"/>
      <c r="AY322" s="24"/>
      <c r="AZ322" s="24"/>
      <c r="BA322" s="24"/>
      <c r="BB322" s="24"/>
      <c r="BC322" s="24"/>
      <c r="BD322" s="24"/>
      <c r="BE322" s="24"/>
      <c r="BF322" s="24"/>
      <c r="BG322" s="24"/>
      <c r="BI322" s="24">
        <v>2021</v>
      </c>
      <c r="BJ322" s="24">
        <v>43</v>
      </c>
      <c r="BK322" s="24" t="s">
        <v>32</v>
      </c>
      <c r="BL322" s="24" t="s">
        <v>272</v>
      </c>
      <c r="BM322" s="24">
        <v>2290</v>
      </c>
      <c r="BN322" s="24">
        <v>2290</v>
      </c>
      <c r="BO322" s="24">
        <v>7614</v>
      </c>
      <c r="BR322" s="24"/>
      <c r="BS322" s="24"/>
      <c r="BT322" s="24"/>
      <c r="BU322" s="24"/>
      <c r="BV322" s="24"/>
      <c r="CF322" s="24"/>
      <c r="CG322" s="24"/>
      <c r="CH322" s="24"/>
      <c r="CI322" s="24"/>
      <c r="CJ322" s="24"/>
      <c r="DD322" s="24"/>
      <c r="DE322" s="24"/>
      <c r="DF322" s="24"/>
      <c r="DG322" s="24"/>
      <c r="DH322" s="24"/>
      <c r="DJ322" s="24">
        <v>2020</v>
      </c>
      <c r="DK322" s="24">
        <v>29</v>
      </c>
      <c r="DL322" s="24" t="s">
        <v>33</v>
      </c>
      <c r="DM322" s="24">
        <v>268</v>
      </c>
      <c r="DP322" s="326">
        <v>2017</v>
      </c>
      <c r="DQ322" s="326">
        <v>49</v>
      </c>
      <c r="DR322" s="326" t="s">
        <v>33</v>
      </c>
      <c r="DS322" s="326">
        <v>5409</v>
      </c>
      <c r="DT322" s="326"/>
      <c r="DW322" s="24">
        <v>2021</v>
      </c>
      <c r="DX322" s="24">
        <v>20</v>
      </c>
      <c r="DY322" s="24" t="s">
        <v>33</v>
      </c>
      <c r="DZ322" s="24">
        <v>39</v>
      </c>
      <c r="EA322" s="24" t="s">
        <v>149</v>
      </c>
      <c r="EB322" s="24">
        <v>131.19999999999999</v>
      </c>
      <c r="EC322" s="24">
        <v>1119.2</v>
      </c>
      <c r="ED322" s="24">
        <v>39632</v>
      </c>
      <c r="EE322" s="24">
        <v>43659</v>
      </c>
      <c r="EF322" s="24">
        <v>199.4</v>
      </c>
      <c r="EI322" s="24">
        <v>2023</v>
      </c>
      <c r="EJ322" s="24">
        <v>1</v>
      </c>
      <c r="EK322" s="24" t="s">
        <v>237</v>
      </c>
      <c r="EL322" s="24" t="s">
        <v>554</v>
      </c>
      <c r="EM322" s="24" t="s">
        <v>210</v>
      </c>
      <c r="EN322" s="24">
        <v>4</v>
      </c>
      <c r="EO322" s="24"/>
      <c r="EP322" s="24"/>
      <c r="EQ322" s="24"/>
      <c r="ER322" s="24"/>
      <c r="ES322" s="24">
        <v>2021</v>
      </c>
      <c r="ET322" s="24">
        <v>3</v>
      </c>
      <c r="EU322" s="24" t="s">
        <v>33</v>
      </c>
      <c r="EV322" s="24">
        <v>61091</v>
      </c>
      <c r="EY322" s="24"/>
      <c r="EZ322" s="24"/>
      <c r="FA322" s="24"/>
      <c r="FB322" s="24"/>
      <c r="FE322" s="24"/>
      <c r="FF322" s="24"/>
      <c r="FG322" s="24"/>
      <c r="FH322" s="24"/>
      <c r="FN322" s="24"/>
      <c r="FO322" s="24"/>
      <c r="FP322" s="24"/>
      <c r="FQ322" s="24"/>
      <c r="FW322" s="24">
        <v>2020</v>
      </c>
      <c r="FX322" s="24">
        <v>25</v>
      </c>
      <c r="FY322" s="24" t="s">
        <v>32</v>
      </c>
      <c r="FZ322" s="24">
        <v>717</v>
      </c>
      <c r="GA322" s="24">
        <v>687</v>
      </c>
      <c r="GB322" s="24"/>
      <c r="GC322" s="24"/>
      <c r="GD322" s="24">
        <v>2020</v>
      </c>
      <c r="GE322" s="24">
        <v>25</v>
      </c>
      <c r="GF322" s="24" t="s">
        <v>32</v>
      </c>
      <c r="GG322" s="24">
        <v>692</v>
      </c>
      <c r="GH322" s="24">
        <v>658</v>
      </c>
      <c r="GK322" s="24"/>
      <c r="GL322" s="24"/>
      <c r="GM322" s="24"/>
      <c r="GN322" s="24"/>
      <c r="GO322" s="24"/>
      <c r="GP322" s="24"/>
      <c r="GQ322" s="24"/>
      <c r="GR322" s="24"/>
      <c r="GS322" s="24"/>
      <c r="GX322">
        <v>2020</v>
      </c>
      <c r="GY322">
        <v>25</v>
      </c>
      <c r="GZ322" t="s">
        <v>32</v>
      </c>
      <c r="HA322">
        <v>6040</v>
      </c>
      <c r="HB322">
        <v>5905</v>
      </c>
      <c r="HC322">
        <v>0</v>
      </c>
      <c r="HD322">
        <v>0</v>
      </c>
      <c r="HE322">
        <v>0</v>
      </c>
      <c r="HF322">
        <v>4</v>
      </c>
      <c r="HG322">
        <v>0</v>
      </c>
      <c r="HH322">
        <v>0</v>
      </c>
      <c r="HI322">
        <v>19</v>
      </c>
      <c r="HL322">
        <v>2020</v>
      </c>
      <c r="HM322">
        <v>25</v>
      </c>
      <c r="HN322" t="s">
        <v>32</v>
      </c>
      <c r="HO322">
        <v>6022</v>
      </c>
      <c r="HP322">
        <v>6017</v>
      </c>
      <c r="HQ322">
        <v>0</v>
      </c>
      <c r="HR322">
        <v>0</v>
      </c>
      <c r="HS322">
        <v>0</v>
      </c>
      <c r="HT322">
        <v>1</v>
      </c>
      <c r="HU322">
        <v>0</v>
      </c>
      <c r="HV322">
        <v>0</v>
      </c>
      <c r="HW322">
        <v>1</v>
      </c>
      <c r="HZ322" s="24">
        <v>2020</v>
      </c>
      <c r="IA322" s="24">
        <v>25</v>
      </c>
      <c r="IB322" s="24" t="s">
        <v>32</v>
      </c>
      <c r="IC322" s="24">
        <v>698</v>
      </c>
      <c r="ID322" s="24">
        <v>669</v>
      </c>
      <c r="IG322" s="24">
        <v>2020</v>
      </c>
      <c r="IH322" s="24">
        <v>25</v>
      </c>
      <c r="II322" s="24" t="s">
        <v>32</v>
      </c>
      <c r="IJ322" s="24">
        <v>668</v>
      </c>
      <c r="IK322" s="24">
        <v>667</v>
      </c>
    </row>
    <row r="323" spans="9:245" x14ac:dyDescent="0.4">
      <c r="I323" s="305">
        <v>2020</v>
      </c>
      <c r="J323" s="306">
        <v>25</v>
      </c>
      <c r="K323" s="306" t="s">
        <v>32</v>
      </c>
      <c r="L323" s="306">
        <v>6114</v>
      </c>
      <c r="M323" s="306">
        <v>5950</v>
      </c>
      <c r="N323" s="306">
        <v>7</v>
      </c>
      <c r="O323" s="306">
        <v>59</v>
      </c>
      <c r="P323" s="306">
        <v>8</v>
      </c>
      <c r="Q323" s="306">
        <v>2</v>
      </c>
      <c r="R323" s="24"/>
      <c r="S323" s="24"/>
      <c r="T323" s="24"/>
      <c r="W323" s="24">
        <v>2020</v>
      </c>
      <c r="X323" s="24">
        <v>25</v>
      </c>
      <c r="Y323" s="24" t="s">
        <v>33</v>
      </c>
      <c r="Z323" s="24">
        <v>207377</v>
      </c>
      <c r="AA323" s="24">
        <v>191210</v>
      </c>
      <c r="AB323" s="24">
        <v>215</v>
      </c>
      <c r="AC323" s="24">
        <v>28</v>
      </c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I323" s="24">
        <v>2021</v>
      </c>
      <c r="BJ323" s="24">
        <v>43</v>
      </c>
      <c r="BK323" s="24" t="s">
        <v>32</v>
      </c>
      <c r="BL323" s="24" t="s">
        <v>273</v>
      </c>
      <c r="BM323" s="24">
        <v>5985</v>
      </c>
      <c r="BN323" s="24">
        <v>5951</v>
      </c>
      <c r="BO323" s="24">
        <v>6036</v>
      </c>
      <c r="BR323" s="24"/>
      <c r="BS323" s="24"/>
      <c r="BT323" s="24"/>
      <c r="BU323" s="24"/>
      <c r="BV323" s="24"/>
      <c r="CF323" s="24"/>
      <c r="CG323" s="24"/>
      <c r="CH323" s="24"/>
      <c r="CI323" s="24"/>
      <c r="CJ323" s="24"/>
      <c r="DD323" s="24"/>
      <c r="DE323" s="24"/>
      <c r="DF323" s="24"/>
      <c r="DG323" s="24"/>
      <c r="DH323" s="24"/>
      <c r="DJ323" s="24">
        <v>2020</v>
      </c>
      <c r="DK323" s="24">
        <v>28</v>
      </c>
      <c r="DL323" s="24" t="s">
        <v>32</v>
      </c>
      <c r="DM323" s="24">
        <v>4</v>
      </c>
      <c r="DP323" s="24">
        <v>2017</v>
      </c>
      <c r="DQ323" s="24">
        <v>48</v>
      </c>
      <c r="DR323" s="24" t="s">
        <v>33</v>
      </c>
      <c r="DS323" s="24">
        <v>5180</v>
      </c>
      <c r="DT323" s="24"/>
      <c r="DW323" s="24">
        <v>2021</v>
      </c>
      <c r="DX323" s="24">
        <v>19</v>
      </c>
      <c r="DY323" s="24" t="s">
        <v>32</v>
      </c>
      <c r="DZ323" s="24">
        <v>1</v>
      </c>
      <c r="EA323" s="24" t="s">
        <v>149</v>
      </c>
      <c r="EB323" s="24">
        <v>0</v>
      </c>
      <c r="EC323" s="24">
        <v>51.2</v>
      </c>
      <c r="ED323" s="24">
        <v>1893</v>
      </c>
      <c r="EE323" s="24">
        <v>1859</v>
      </c>
      <c r="EF323" s="24">
        <v>6.3</v>
      </c>
      <c r="EI323" s="24">
        <v>2023</v>
      </c>
      <c r="EJ323" s="24">
        <v>1</v>
      </c>
      <c r="EK323" s="24" t="s">
        <v>237</v>
      </c>
      <c r="EL323" s="24" t="s">
        <v>235</v>
      </c>
      <c r="EM323" s="24" t="s">
        <v>210</v>
      </c>
      <c r="EN323" s="24">
        <v>1</v>
      </c>
      <c r="EO323" s="24"/>
      <c r="EP323" s="24"/>
      <c r="EQ323" s="24"/>
      <c r="ER323" s="24"/>
      <c r="ES323" s="24">
        <v>2021</v>
      </c>
      <c r="ET323" s="24">
        <v>3</v>
      </c>
      <c r="EU323" s="24" t="s">
        <v>213</v>
      </c>
      <c r="EV323" s="24">
        <v>12</v>
      </c>
      <c r="EY323" s="24"/>
      <c r="EZ323" s="24"/>
      <c r="FA323" s="24"/>
      <c r="FB323" s="24"/>
      <c r="FE323" s="24"/>
      <c r="FF323" s="24"/>
      <c r="FG323" s="24"/>
      <c r="FH323" s="24"/>
      <c r="FN323" s="24"/>
      <c r="FO323" s="24"/>
      <c r="FP323" s="24"/>
      <c r="FQ323" s="24"/>
      <c r="FW323" s="24">
        <v>2020</v>
      </c>
      <c r="FX323" s="24">
        <v>25</v>
      </c>
      <c r="FY323" s="24" t="s">
        <v>33</v>
      </c>
      <c r="FZ323" s="24">
        <v>8107</v>
      </c>
      <c r="GA323" s="24">
        <v>7386</v>
      </c>
      <c r="GB323" s="24"/>
      <c r="GC323" s="24"/>
      <c r="GD323" s="24">
        <v>2020</v>
      </c>
      <c r="GE323" s="24">
        <v>25</v>
      </c>
      <c r="GF323" s="24" t="s">
        <v>33</v>
      </c>
      <c r="GG323" s="24">
        <v>8128</v>
      </c>
      <c r="GH323" s="24">
        <v>7568</v>
      </c>
      <c r="GK323" s="24"/>
      <c r="GL323" s="24"/>
      <c r="GM323" s="24"/>
      <c r="GN323" s="24"/>
      <c r="GO323" s="24"/>
      <c r="GP323" s="24"/>
      <c r="GQ323" s="24"/>
      <c r="GR323" s="24"/>
      <c r="GS323" s="24"/>
      <c r="GX323">
        <v>2020</v>
      </c>
      <c r="GY323">
        <v>25</v>
      </c>
      <c r="GZ323" t="s">
        <v>33</v>
      </c>
      <c r="HA323">
        <v>205652</v>
      </c>
      <c r="HB323">
        <v>194963</v>
      </c>
      <c r="HC323">
        <v>70</v>
      </c>
      <c r="HD323">
        <v>432</v>
      </c>
      <c r="HE323">
        <v>0</v>
      </c>
      <c r="HF323">
        <v>349</v>
      </c>
      <c r="HG323">
        <v>0</v>
      </c>
      <c r="HH323">
        <v>0</v>
      </c>
      <c r="HI323">
        <v>2040</v>
      </c>
      <c r="HL323">
        <v>2020</v>
      </c>
      <c r="HM323">
        <v>25</v>
      </c>
      <c r="HN323" t="s">
        <v>33</v>
      </c>
      <c r="HO323">
        <v>206633</v>
      </c>
      <c r="HP323">
        <v>206257</v>
      </c>
      <c r="HQ323">
        <v>51</v>
      </c>
      <c r="HR323">
        <v>12</v>
      </c>
      <c r="HS323">
        <v>0</v>
      </c>
      <c r="HT323">
        <v>201</v>
      </c>
      <c r="HU323">
        <v>0</v>
      </c>
      <c r="HV323">
        <v>0</v>
      </c>
      <c r="HW323">
        <v>55</v>
      </c>
      <c r="HZ323" s="24">
        <v>2020</v>
      </c>
      <c r="IA323" s="24">
        <v>25</v>
      </c>
      <c r="IB323" s="24" t="s">
        <v>33</v>
      </c>
      <c r="IC323" s="24">
        <v>8195</v>
      </c>
      <c r="ID323" s="24">
        <v>7448</v>
      </c>
      <c r="IG323" s="24">
        <v>2020</v>
      </c>
      <c r="IH323" s="24">
        <v>25</v>
      </c>
      <c r="II323" s="24" t="s">
        <v>33</v>
      </c>
      <c r="IJ323" s="24">
        <v>7420</v>
      </c>
      <c r="IK323" s="24">
        <v>7345</v>
      </c>
    </row>
    <row r="324" spans="9:245" x14ac:dyDescent="0.4">
      <c r="I324" s="305">
        <v>2020</v>
      </c>
      <c r="J324" s="306">
        <v>25</v>
      </c>
      <c r="K324" s="306" t="s">
        <v>33</v>
      </c>
      <c r="L324" s="306">
        <v>206823</v>
      </c>
      <c r="M324" s="306">
        <v>189945</v>
      </c>
      <c r="N324" s="306">
        <v>441</v>
      </c>
      <c r="O324" s="306">
        <v>2635</v>
      </c>
      <c r="P324" s="306">
        <v>301</v>
      </c>
      <c r="Q324" s="306">
        <v>26</v>
      </c>
      <c r="R324" s="24"/>
      <c r="S324" s="24"/>
      <c r="T324" s="24"/>
      <c r="W324" s="24">
        <v>2020</v>
      </c>
      <c r="X324" s="24">
        <v>24</v>
      </c>
      <c r="Y324" s="24" t="s">
        <v>32</v>
      </c>
      <c r="Z324" s="24">
        <v>5716</v>
      </c>
      <c r="AA324" s="24">
        <v>5224</v>
      </c>
      <c r="AB324" s="24">
        <v>12</v>
      </c>
      <c r="AC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I324" s="24">
        <v>2021</v>
      </c>
      <c r="BJ324" s="24">
        <v>43</v>
      </c>
      <c r="BK324" s="24" t="s">
        <v>33</v>
      </c>
      <c r="BL324" s="24" t="s">
        <v>272</v>
      </c>
      <c r="BM324" s="24">
        <v>44873</v>
      </c>
      <c r="BN324" s="24">
        <v>44844</v>
      </c>
      <c r="BO324" s="24">
        <v>160513</v>
      </c>
      <c r="BR324" s="24"/>
      <c r="BS324" s="24"/>
      <c r="BT324" s="24"/>
      <c r="BU324" s="24"/>
      <c r="BV324" s="24"/>
      <c r="CF324" s="24"/>
      <c r="CG324" s="24"/>
      <c r="CH324" s="24"/>
      <c r="CI324" s="24"/>
      <c r="CJ324" s="24"/>
      <c r="DD324" s="24"/>
      <c r="DE324" s="24"/>
      <c r="DF324" s="24"/>
      <c r="DG324" s="24"/>
      <c r="DH324" s="24"/>
      <c r="DJ324" s="24">
        <v>2020</v>
      </c>
      <c r="DK324" s="24">
        <v>28</v>
      </c>
      <c r="DL324" s="24" t="s">
        <v>33</v>
      </c>
      <c r="DM324" s="24">
        <v>176</v>
      </c>
      <c r="DP324" s="24"/>
      <c r="DQ324" s="24"/>
      <c r="DR324" s="24"/>
      <c r="DS324" s="24"/>
      <c r="DW324" s="24">
        <v>2021</v>
      </c>
      <c r="DX324" s="24">
        <v>19</v>
      </c>
      <c r="DY324" s="24" t="s">
        <v>33</v>
      </c>
      <c r="DZ324" s="24">
        <v>9</v>
      </c>
      <c r="EA324" s="24" t="s">
        <v>562</v>
      </c>
      <c r="EB324" s="24">
        <v>72.599999999999994</v>
      </c>
      <c r="EC324" s="24">
        <v>0</v>
      </c>
      <c r="ED324" s="24">
        <v>7</v>
      </c>
      <c r="EE324" s="24">
        <v>3754</v>
      </c>
      <c r="EF324" s="24">
        <v>46.9</v>
      </c>
      <c r="EI324" s="24">
        <v>2023</v>
      </c>
      <c r="EJ324" s="24">
        <v>1</v>
      </c>
      <c r="EK324" s="24" t="s">
        <v>211</v>
      </c>
      <c r="EL324" s="24" t="s">
        <v>212</v>
      </c>
      <c r="EM324" s="24" t="s">
        <v>210</v>
      </c>
      <c r="EN324" s="24">
        <v>5</v>
      </c>
      <c r="EO324" s="24"/>
      <c r="EP324" s="24"/>
      <c r="EQ324" s="24"/>
      <c r="ER324" s="24"/>
      <c r="ES324" s="24">
        <v>2021</v>
      </c>
      <c r="ET324" s="24">
        <v>2</v>
      </c>
      <c r="EU324" s="24" t="s">
        <v>32</v>
      </c>
      <c r="EV324" s="24">
        <v>4139</v>
      </c>
      <c r="EY324" s="24"/>
      <c r="EZ324" s="24"/>
      <c r="FA324" s="24"/>
      <c r="FB324" s="24"/>
      <c r="FE324" s="24"/>
      <c r="FF324" s="24"/>
      <c r="FG324" s="24"/>
      <c r="FH324" s="24"/>
      <c r="FN324" s="24"/>
      <c r="FO324" s="24"/>
      <c r="FP324" s="24"/>
      <c r="FQ324" s="24"/>
      <c r="FW324" s="24">
        <v>2020</v>
      </c>
      <c r="FX324" s="24">
        <v>24</v>
      </c>
      <c r="FY324" s="24" t="s">
        <v>32</v>
      </c>
      <c r="FZ324" s="24">
        <v>615</v>
      </c>
      <c r="GA324" s="24">
        <v>537</v>
      </c>
      <c r="GB324" s="24"/>
      <c r="GC324" s="24"/>
      <c r="GD324" s="24">
        <v>2020</v>
      </c>
      <c r="GE324" s="24">
        <v>24</v>
      </c>
      <c r="GF324" s="24" t="s">
        <v>32</v>
      </c>
      <c r="GG324" s="24">
        <v>630</v>
      </c>
      <c r="GH324" s="24">
        <v>524</v>
      </c>
      <c r="GK324" s="24"/>
      <c r="GL324" s="24"/>
      <c r="GM324" s="24"/>
      <c r="GN324" s="24"/>
      <c r="GO324" s="24"/>
      <c r="GP324" s="24"/>
      <c r="GQ324" s="24"/>
      <c r="GR324" s="24"/>
      <c r="GS324" s="24"/>
      <c r="GX324">
        <v>2020</v>
      </c>
      <c r="GY324">
        <v>24</v>
      </c>
      <c r="GZ324" t="s">
        <v>32</v>
      </c>
      <c r="HA324">
        <v>5834</v>
      </c>
      <c r="HB324">
        <v>5405</v>
      </c>
      <c r="HC324">
        <v>0</v>
      </c>
      <c r="HD324">
        <v>18</v>
      </c>
      <c r="HE324">
        <v>0</v>
      </c>
      <c r="HF324">
        <v>3</v>
      </c>
      <c r="HG324">
        <v>0</v>
      </c>
      <c r="HH324">
        <v>0</v>
      </c>
      <c r="HI324">
        <v>35</v>
      </c>
      <c r="HL324">
        <v>2020</v>
      </c>
      <c r="HM324">
        <v>24</v>
      </c>
      <c r="HN324" t="s">
        <v>32</v>
      </c>
      <c r="HO324">
        <v>5659</v>
      </c>
      <c r="HP324">
        <v>5654</v>
      </c>
      <c r="HQ324">
        <v>0</v>
      </c>
      <c r="HR324">
        <v>0</v>
      </c>
      <c r="HS324">
        <v>0</v>
      </c>
      <c r="HT324">
        <v>0</v>
      </c>
      <c r="HU324">
        <v>0</v>
      </c>
      <c r="HV324">
        <v>0</v>
      </c>
      <c r="HW324">
        <v>0</v>
      </c>
      <c r="HZ324" s="24">
        <v>2020</v>
      </c>
      <c r="IA324" s="24">
        <v>24</v>
      </c>
      <c r="IB324" s="24" t="s">
        <v>32</v>
      </c>
      <c r="IC324" s="24">
        <v>675</v>
      </c>
      <c r="ID324" s="24">
        <v>594</v>
      </c>
      <c r="IG324" s="24">
        <v>2020</v>
      </c>
      <c r="IH324" s="24">
        <v>24</v>
      </c>
      <c r="II324" s="24" t="s">
        <v>32</v>
      </c>
      <c r="IJ324" s="24">
        <v>593</v>
      </c>
      <c r="IK324" s="24">
        <v>593</v>
      </c>
    </row>
    <row r="325" spans="9:245" x14ac:dyDescent="0.4">
      <c r="I325" s="305">
        <v>2020</v>
      </c>
      <c r="J325" s="306">
        <v>24</v>
      </c>
      <c r="K325" s="306" t="s">
        <v>32</v>
      </c>
      <c r="L325" s="306">
        <v>5706</v>
      </c>
      <c r="M325" s="306">
        <v>5300</v>
      </c>
      <c r="N325" s="306">
        <v>19</v>
      </c>
      <c r="O325" s="306">
        <v>136</v>
      </c>
      <c r="P325" s="306">
        <v>15</v>
      </c>
      <c r="Q325" s="306"/>
      <c r="R325" s="24"/>
      <c r="S325" s="24"/>
      <c r="T325" s="24"/>
      <c r="W325" s="24">
        <v>2020</v>
      </c>
      <c r="X325" s="24">
        <v>24</v>
      </c>
      <c r="Y325" s="24" t="s">
        <v>33</v>
      </c>
      <c r="Z325" s="24">
        <v>214071</v>
      </c>
      <c r="AA325" s="24">
        <v>185825</v>
      </c>
      <c r="AB325" s="24">
        <v>318</v>
      </c>
      <c r="AC325" s="24">
        <v>17</v>
      </c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I325" s="24">
        <v>2021</v>
      </c>
      <c r="BJ325" s="24">
        <v>43</v>
      </c>
      <c r="BK325" s="24" t="s">
        <v>33</v>
      </c>
      <c r="BL325" s="24" t="s">
        <v>273</v>
      </c>
      <c r="BM325" s="24">
        <v>87740</v>
      </c>
      <c r="BN325" s="24">
        <v>87227</v>
      </c>
      <c r="BO325" s="24">
        <v>89765</v>
      </c>
      <c r="BR325" s="24"/>
      <c r="BS325" s="24"/>
      <c r="BT325" s="24"/>
      <c r="BU325" s="24"/>
      <c r="BV325" s="24"/>
      <c r="CF325" s="24"/>
      <c r="CG325" s="24"/>
      <c r="CH325" s="24"/>
      <c r="CI325" s="24"/>
      <c r="CJ325" s="24"/>
      <c r="DD325" s="24"/>
      <c r="DE325" s="24"/>
      <c r="DF325" s="24"/>
      <c r="DG325" s="24"/>
      <c r="DH325" s="24"/>
      <c r="DJ325" s="24">
        <v>2020</v>
      </c>
      <c r="DK325" s="24">
        <v>27</v>
      </c>
      <c r="DL325" s="24" t="s">
        <v>32</v>
      </c>
      <c r="DM325" s="24">
        <v>4</v>
      </c>
      <c r="DP325" s="24"/>
      <c r="DQ325" s="24"/>
      <c r="DR325" s="24"/>
      <c r="DS325" s="24"/>
      <c r="DW325" s="24">
        <v>2021</v>
      </c>
      <c r="DX325" s="24">
        <v>19</v>
      </c>
      <c r="DY325" s="24" t="s">
        <v>33</v>
      </c>
      <c r="DZ325" s="24">
        <v>39</v>
      </c>
      <c r="EA325" s="24" t="s">
        <v>149</v>
      </c>
      <c r="EB325" s="24">
        <v>146.1</v>
      </c>
      <c r="EC325" s="24">
        <v>1122.7</v>
      </c>
      <c r="ED325" s="24">
        <v>39752</v>
      </c>
      <c r="EE325" s="24">
        <v>44915</v>
      </c>
      <c r="EF325" s="24">
        <v>208.5</v>
      </c>
      <c r="EI325" s="24">
        <v>2023</v>
      </c>
      <c r="EJ325" s="24">
        <v>1</v>
      </c>
      <c r="EK325" s="24" t="s">
        <v>211</v>
      </c>
      <c r="EL325" s="24" t="s">
        <v>212</v>
      </c>
      <c r="EM325" s="24" t="s">
        <v>234</v>
      </c>
      <c r="EN325" s="24">
        <v>14</v>
      </c>
      <c r="EO325" s="24"/>
      <c r="EP325" s="24"/>
      <c r="EQ325" s="24"/>
      <c r="ER325" s="24"/>
      <c r="ES325" s="24">
        <v>2021</v>
      </c>
      <c r="ET325" s="24">
        <v>2</v>
      </c>
      <c r="EU325" s="24" t="s">
        <v>33</v>
      </c>
      <c r="EV325" s="24">
        <v>73656</v>
      </c>
      <c r="EY325" s="24"/>
      <c r="EZ325" s="24"/>
      <c r="FA325" s="24"/>
      <c r="FB325" s="24"/>
      <c r="FE325" s="24"/>
      <c r="FF325" s="24"/>
      <c r="FG325" s="24"/>
      <c r="FH325" s="24"/>
      <c r="FN325" s="24"/>
      <c r="FO325" s="24"/>
      <c r="FP325" s="24"/>
      <c r="FQ325" s="24"/>
      <c r="FW325" s="24">
        <v>2020</v>
      </c>
      <c r="FX325" s="24">
        <v>24</v>
      </c>
      <c r="FY325" s="24" t="s">
        <v>33</v>
      </c>
      <c r="FZ325" s="24">
        <v>7927</v>
      </c>
      <c r="GA325" s="24">
        <v>6850</v>
      </c>
      <c r="GB325" s="24"/>
      <c r="GC325" s="24"/>
      <c r="GD325" s="24">
        <v>2020</v>
      </c>
      <c r="GE325" s="24">
        <v>24</v>
      </c>
      <c r="GF325" s="24" t="s">
        <v>33</v>
      </c>
      <c r="GG325" s="24">
        <v>7858</v>
      </c>
      <c r="GH325" s="24">
        <v>6967</v>
      </c>
      <c r="GK325" s="24"/>
      <c r="GL325" s="24"/>
      <c r="GM325" s="24"/>
      <c r="GN325" s="24"/>
      <c r="GO325" s="24"/>
      <c r="GP325" s="24"/>
      <c r="GQ325" s="24"/>
      <c r="GR325" s="24"/>
      <c r="GS325" s="24"/>
      <c r="GX325">
        <v>2020</v>
      </c>
      <c r="GY325">
        <v>24</v>
      </c>
      <c r="GZ325" t="s">
        <v>33</v>
      </c>
      <c r="HA325">
        <v>212197</v>
      </c>
      <c r="HB325">
        <v>173453</v>
      </c>
      <c r="HC325">
        <v>167</v>
      </c>
      <c r="HD325">
        <v>2677</v>
      </c>
      <c r="HE325">
        <v>0</v>
      </c>
      <c r="HF325">
        <v>2938</v>
      </c>
      <c r="HG325">
        <v>0</v>
      </c>
      <c r="HH325">
        <v>0</v>
      </c>
      <c r="HI325">
        <v>5830</v>
      </c>
      <c r="HL325">
        <v>2020</v>
      </c>
      <c r="HM325">
        <v>24</v>
      </c>
      <c r="HN325" t="s">
        <v>33</v>
      </c>
      <c r="HO325">
        <v>213685</v>
      </c>
      <c r="HP325">
        <v>210584</v>
      </c>
      <c r="HQ325">
        <v>146</v>
      </c>
      <c r="HR325">
        <v>71</v>
      </c>
      <c r="HS325">
        <v>0</v>
      </c>
      <c r="HT325">
        <v>2782</v>
      </c>
      <c r="HU325">
        <v>0</v>
      </c>
      <c r="HV325">
        <v>0</v>
      </c>
      <c r="HW325">
        <v>186</v>
      </c>
      <c r="HZ325" s="24">
        <v>2020</v>
      </c>
      <c r="IA325" s="24">
        <v>24</v>
      </c>
      <c r="IB325" s="24" t="s">
        <v>33</v>
      </c>
      <c r="IC325" s="24">
        <v>7840</v>
      </c>
      <c r="ID325" s="24">
        <v>6461</v>
      </c>
      <c r="IG325" s="24">
        <v>2020</v>
      </c>
      <c r="IH325" s="24">
        <v>24</v>
      </c>
      <c r="II325" s="24" t="s">
        <v>33</v>
      </c>
      <c r="IJ325" s="24">
        <v>7172</v>
      </c>
      <c r="IK325" s="24">
        <v>7097</v>
      </c>
    </row>
    <row r="326" spans="9:245" x14ac:dyDescent="0.4">
      <c r="I326" s="305">
        <v>2020</v>
      </c>
      <c r="J326" s="306">
        <v>24</v>
      </c>
      <c r="K326" s="306" t="s">
        <v>33</v>
      </c>
      <c r="L326" s="306">
        <v>214413</v>
      </c>
      <c r="M326" s="306">
        <v>184717</v>
      </c>
      <c r="N326" s="306">
        <v>427</v>
      </c>
      <c r="O326" s="306">
        <v>4954</v>
      </c>
      <c r="P326" s="306">
        <v>403</v>
      </c>
      <c r="Q326" s="306">
        <v>28</v>
      </c>
      <c r="R326" s="24"/>
      <c r="S326" s="24"/>
      <c r="T326" s="24"/>
      <c r="W326" s="24">
        <v>2020</v>
      </c>
      <c r="X326" s="24">
        <v>23</v>
      </c>
      <c r="Y326" s="24" t="s">
        <v>32</v>
      </c>
      <c r="Z326" s="24">
        <v>5517</v>
      </c>
      <c r="AA326" s="24">
        <v>5496</v>
      </c>
      <c r="AB326" s="24">
        <v>2</v>
      </c>
      <c r="AC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I326" s="24">
        <v>2021</v>
      </c>
      <c r="BJ326" s="24">
        <v>42</v>
      </c>
      <c r="BK326" s="24" t="s">
        <v>32</v>
      </c>
      <c r="BL326" s="24" t="s">
        <v>273</v>
      </c>
      <c r="BM326" s="24">
        <v>5558</v>
      </c>
      <c r="BN326" s="24">
        <v>5542</v>
      </c>
      <c r="BO326" s="24">
        <v>5619</v>
      </c>
      <c r="BR326" s="24"/>
      <c r="BS326" s="24"/>
      <c r="BT326" s="24"/>
      <c r="BU326" s="24"/>
      <c r="BV326" s="24"/>
      <c r="CF326" s="24"/>
      <c r="CG326" s="24"/>
      <c r="CH326" s="24"/>
      <c r="CI326" s="24"/>
      <c r="CJ326" s="24"/>
      <c r="DD326" s="24"/>
      <c r="DE326" s="24"/>
      <c r="DF326" s="24"/>
      <c r="DG326" s="24"/>
      <c r="DH326" s="24"/>
      <c r="DJ326" s="24">
        <v>2020</v>
      </c>
      <c r="DK326" s="24">
        <v>27</v>
      </c>
      <c r="DL326" s="24" t="s">
        <v>33</v>
      </c>
      <c r="DM326" s="24">
        <v>743</v>
      </c>
      <c r="DP326" s="24"/>
      <c r="DQ326" s="24"/>
      <c r="DR326" s="24"/>
      <c r="DS326" s="24"/>
      <c r="DW326" s="24">
        <v>2021</v>
      </c>
      <c r="DX326" s="24">
        <v>18</v>
      </c>
      <c r="DY326" s="24" t="s">
        <v>32</v>
      </c>
      <c r="DZ326" s="24">
        <v>1</v>
      </c>
      <c r="EA326" s="24" t="s">
        <v>149</v>
      </c>
      <c r="EB326" s="24">
        <v>0</v>
      </c>
      <c r="EC326" s="24">
        <v>52.2</v>
      </c>
      <c r="ED326" s="24">
        <v>1949</v>
      </c>
      <c r="EE326" s="24">
        <v>1926</v>
      </c>
      <c r="EF326" s="24">
        <v>7.3</v>
      </c>
      <c r="EI326" s="24">
        <v>2023</v>
      </c>
      <c r="EJ326" s="24">
        <v>1</v>
      </c>
      <c r="EK326" s="24" t="s">
        <v>211</v>
      </c>
      <c r="EL326" s="24" t="s">
        <v>212</v>
      </c>
      <c r="EM326" s="24" t="s">
        <v>215</v>
      </c>
      <c r="EN326" s="24">
        <v>2</v>
      </c>
      <c r="EO326" s="24"/>
      <c r="EP326" s="24"/>
      <c r="EQ326" s="24"/>
      <c r="ER326" s="24"/>
      <c r="ES326" s="24">
        <v>2021</v>
      </c>
      <c r="ET326" s="24">
        <v>2</v>
      </c>
      <c r="EU326" s="24" t="s">
        <v>213</v>
      </c>
      <c r="EV326" s="24">
        <v>10</v>
      </c>
      <c r="EY326" s="24"/>
      <c r="EZ326" s="24"/>
      <c r="FA326" s="24"/>
      <c r="FB326" s="24"/>
      <c r="FE326" s="24"/>
      <c r="FF326" s="24"/>
      <c r="FG326" s="24"/>
      <c r="FH326" s="24"/>
      <c r="FN326" s="24"/>
      <c r="FO326" s="24"/>
      <c r="FP326" s="24"/>
      <c r="FQ326" s="24"/>
      <c r="FW326" s="24">
        <v>2020</v>
      </c>
      <c r="FX326" s="24">
        <v>23</v>
      </c>
      <c r="FY326" s="24" t="s">
        <v>32</v>
      </c>
      <c r="FZ326" s="24">
        <v>644</v>
      </c>
      <c r="GA326" s="24">
        <v>639</v>
      </c>
      <c r="GB326" s="24"/>
      <c r="GC326" s="24"/>
      <c r="GD326" s="24">
        <v>2020</v>
      </c>
      <c r="GE326" s="24">
        <v>23</v>
      </c>
      <c r="GF326" s="24" t="s">
        <v>32</v>
      </c>
      <c r="GG326" s="24">
        <v>626</v>
      </c>
      <c r="GH326" s="24">
        <v>623</v>
      </c>
      <c r="GK326" s="24"/>
      <c r="GL326" s="24"/>
      <c r="GM326" s="24"/>
      <c r="GN326" s="24"/>
      <c r="GO326" s="24"/>
      <c r="GP326" s="24"/>
      <c r="GQ326" s="24"/>
      <c r="GR326" s="24"/>
      <c r="GS326" s="24"/>
      <c r="GX326">
        <v>2020</v>
      </c>
      <c r="GY326">
        <v>23</v>
      </c>
      <c r="GZ326" t="s">
        <v>32</v>
      </c>
      <c r="HA326">
        <v>5503</v>
      </c>
      <c r="HB326">
        <v>5464</v>
      </c>
      <c r="HC326">
        <v>0</v>
      </c>
      <c r="HD326">
        <v>1</v>
      </c>
      <c r="HE326">
        <v>0</v>
      </c>
      <c r="HF326">
        <v>1</v>
      </c>
      <c r="HG326">
        <v>0</v>
      </c>
      <c r="HH326">
        <v>0</v>
      </c>
      <c r="HI326">
        <v>12</v>
      </c>
      <c r="HL326">
        <v>2020</v>
      </c>
      <c r="HM326">
        <v>23</v>
      </c>
      <c r="HN326" t="s">
        <v>32</v>
      </c>
      <c r="HO326">
        <v>5466</v>
      </c>
      <c r="HP326">
        <v>5461</v>
      </c>
      <c r="HQ326">
        <v>0</v>
      </c>
      <c r="HR326">
        <v>0</v>
      </c>
      <c r="HS326">
        <v>0</v>
      </c>
      <c r="HT326">
        <v>1</v>
      </c>
      <c r="HU326">
        <v>0</v>
      </c>
      <c r="HV326">
        <v>0</v>
      </c>
      <c r="HW326">
        <v>0</v>
      </c>
      <c r="HZ326" s="24">
        <v>2020</v>
      </c>
      <c r="IA326" s="24">
        <v>23</v>
      </c>
      <c r="IB326" s="24" t="s">
        <v>32</v>
      </c>
      <c r="IC326" s="24">
        <v>610</v>
      </c>
      <c r="ID326" s="24">
        <v>605</v>
      </c>
      <c r="IG326" s="24">
        <v>2020</v>
      </c>
      <c r="IH326" s="24">
        <v>23</v>
      </c>
      <c r="II326" s="24" t="s">
        <v>32</v>
      </c>
      <c r="IJ326" s="24">
        <v>607</v>
      </c>
      <c r="IK326" s="24">
        <v>606</v>
      </c>
    </row>
    <row r="327" spans="9:245" x14ac:dyDescent="0.4">
      <c r="I327" s="305">
        <v>2020</v>
      </c>
      <c r="J327" s="306">
        <v>23</v>
      </c>
      <c r="K327" s="306" t="s">
        <v>32</v>
      </c>
      <c r="L327" s="306">
        <v>5531</v>
      </c>
      <c r="M327" s="306">
        <v>5489</v>
      </c>
      <c r="N327" s="306">
        <v>8</v>
      </c>
      <c r="O327" s="306">
        <v>19</v>
      </c>
      <c r="P327" s="306">
        <v>3</v>
      </c>
      <c r="Q327" s="306"/>
      <c r="R327" s="24"/>
      <c r="S327" s="24"/>
      <c r="T327" s="24"/>
      <c r="W327" s="24">
        <v>2020</v>
      </c>
      <c r="X327" s="24">
        <v>23</v>
      </c>
      <c r="Y327" s="24" t="s">
        <v>33</v>
      </c>
      <c r="Z327" s="24">
        <v>197613</v>
      </c>
      <c r="AA327" s="24">
        <v>196133</v>
      </c>
      <c r="AB327" s="24">
        <v>105</v>
      </c>
      <c r="AC327" s="24">
        <v>11</v>
      </c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I327" s="24">
        <v>2021</v>
      </c>
      <c r="BJ327" s="24">
        <v>42</v>
      </c>
      <c r="BK327" s="24" t="s">
        <v>32</v>
      </c>
      <c r="BL327" s="24" t="s">
        <v>272</v>
      </c>
      <c r="BM327" s="24">
        <v>2284</v>
      </c>
      <c r="BN327" s="24">
        <v>2283</v>
      </c>
      <c r="BO327" s="24">
        <v>7558</v>
      </c>
      <c r="BR327" s="24"/>
      <c r="BS327" s="24"/>
      <c r="BT327" s="24"/>
      <c r="BU327" s="24"/>
      <c r="BV327" s="24"/>
      <c r="CF327" s="24"/>
      <c r="CG327" s="24"/>
      <c r="CH327" s="24"/>
      <c r="CI327" s="24"/>
      <c r="CJ327" s="24"/>
      <c r="DD327" s="24"/>
      <c r="DE327" s="24"/>
      <c r="DF327" s="24"/>
      <c r="DG327" s="24"/>
      <c r="DH327" s="24"/>
      <c r="DJ327" s="24">
        <v>2020</v>
      </c>
      <c r="DK327" s="24">
        <v>26</v>
      </c>
      <c r="DL327" s="24" t="s">
        <v>32</v>
      </c>
      <c r="DM327" s="24">
        <v>7</v>
      </c>
      <c r="DP327" s="24"/>
      <c r="DQ327" s="24"/>
      <c r="DR327" s="24"/>
      <c r="DS327" s="24"/>
      <c r="DW327" s="24">
        <v>2021</v>
      </c>
      <c r="DX327" s="24">
        <v>18</v>
      </c>
      <c r="DY327" s="24" t="s">
        <v>33</v>
      </c>
      <c r="DZ327" s="24">
        <v>9</v>
      </c>
      <c r="EA327" s="24" t="s">
        <v>562</v>
      </c>
      <c r="EB327" s="24">
        <v>73.3</v>
      </c>
      <c r="EC327" s="24">
        <v>0</v>
      </c>
      <c r="ED327" s="24">
        <v>1</v>
      </c>
      <c r="EE327" s="24">
        <v>3883</v>
      </c>
      <c r="EF327" s="24">
        <v>50</v>
      </c>
      <c r="EI327" s="24">
        <v>2023</v>
      </c>
      <c r="EJ327" s="24">
        <v>1</v>
      </c>
      <c r="EK327" s="24" t="s">
        <v>211</v>
      </c>
      <c r="EL327" s="24" t="s">
        <v>247</v>
      </c>
      <c r="EM327" s="24" t="s">
        <v>234</v>
      </c>
      <c r="EN327" s="24">
        <v>6</v>
      </c>
      <c r="EO327" s="24"/>
      <c r="EP327" s="24"/>
      <c r="EQ327" s="24"/>
      <c r="ER327" s="24"/>
      <c r="ES327" s="24">
        <v>2021</v>
      </c>
      <c r="ET327" s="24">
        <v>1</v>
      </c>
      <c r="EU327" s="24" t="s">
        <v>32</v>
      </c>
      <c r="EV327" s="24">
        <v>2025</v>
      </c>
      <c r="EY327" s="24"/>
      <c r="EZ327" s="24"/>
      <c r="FA327" s="24"/>
      <c r="FB327" s="24"/>
      <c r="FE327" s="24"/>
      <c r="FF327" s="24"/>
      <c r="FG327" s="24"/>
      <c r="FH327" s="24"/>
      <c r="FN327" s="24"/>
      <c r="FO327" s="24"/>
      <c r="FP327" s="24"/>
      <c r="FQ327" s="24"/>
      <c r="FW327" s="24">
        <v>2020</v>
      </c>
      <c r="FX327" s="24">
        <v>23</v>
      </c>
      <c r="FY327" s="24" t="s">
        <v>33</v>
      </c>
      <c r="FZ327" s="24">
        <v>7934</v>
      </c>
      <c r="GA327" s="24">
        <v>7699</v>
      </c>
      <c r="GB327" s="24"/>
      <c r="GC327" s="24"/>
      <c r="GD327" s="24">
        <v>2020</v>
      </c>
      <c r="GE327" s="24">
        <v>23</v>
      </c>
      <c r="GF327" s="24" t="s">
        <v>33</v>
      </c>
      <c r="GG327" s="24">
        <v>7914</v>
      </c>
      <c r="GH327" s="24">
        <v>7776</v>
      </c>
      <c r="GK327" s="24"/>
      <c r="GL327" s="24"/>
      <c r="GM327" s="24"/>
      <c r="GN327" s="24"/>
      <c r="GO327" s="24"/>
      <c r="GP327" s="24"/>
      <c r="GQ327" s="24"/>
      <c r="GR327" s="24"/>
      <c r="GS327" s="24"/>
      <c r="GX327">
        <v>2020</v>
      </c>
      <c r="GY327">
        <v>23</v>
      </c>
      <c r="GZ327" t="s">
        <v>33</v>
      </c>
      <c r="HA327">
        <v>201215</v>
      </c>
      <c r="HB327">
        <v>198967</v>
      </c>
      <c r="HC327">
        <v>112</v>
      </c>
      <c r="HD327">
        <v>136</v>
      </c>
      <c r="HE327">
        <v>0</v>
      </c>
      <c r="HF327">
        <v>687</v>
      </c>
      <c r="HG327">
        <v>0</v>
      </c>
      <c r="HH327">
        <v>0</v>
      </c>
      <c r="HI327">
        <v>512</v>
      </c>
      <c r="HL327">
        <v>2020</v>
      </c>
      <c r="HM327">
        <v>23</v>
      </c>
      <c r="HN327" t="s">
        <v>33</v>
      </c>
      <c r="HO327">
        <v>197171</v>
      </c>
      <c r="HP327">
        <v>196438</v>
      </c>
      <c r="HQ327">
        <v>92</v>
      </c>
      <c r="HR327">
        <v>52</v>
      </c>
      <c r="HS327">
        <v>0</v>
      </c>
      <c r="HT327">
        <v>501</v>
      </c>
      <c r="HU327">
        <v>0</v>
      </c>
      <c r="HV327">
        <v>0</v>
      </c>
      <c r="HW327">
        <v>112</v>
      </c>
      <c r="HZ327" s="24">
        <v>2020</v>
      </c>
      <c r="IA327" s="24">
        <v>23</v>
      </c>
      <c r="IB327" s="24" t="s">
        <v>33</v>
      </c>
      <c r="IC327" s="24">
        <v>7884</v>
      </c>
      <c r="ID327" s="24">
        <v>7538</v>
      </c>
      <c r="IG327" s="24">
        <v>2020</v>
      </c>
      <c r="IH327" s="24">
        <v>23</v>
      </c>
      <c r="II327" s="24" t="s">
        <v>33</v>
      </c>
      <c r="IJ327" s="24">
        <v>7222</v>
      </c>
      <c r="IK327" s="24">
        <v>7148</v>
      </c>
    </row>
    <row r="328" spans="9:245" x14ac:dyDescent="0.4">
      <c r="I328" s="305">
        <v>2020</v>
      </c>
      <c r="J328" s="306">
        <v>23</v>
      </c>
      <c r="K328" s="306" t="s">
        <v>33</v>
      </c>
      <c r="L328" s="306">
        <v>197840</v>
      </c>
      <c r="M328" s="306">
        <v>195715</v>
      </c>
      <c r="N328" s="306">
        <v>197</v>
      </c>
      <c r="O328" s="306">
        <v>734</v>
      </c>
      <c r="P328" s="306">
        <v>199</v>
      </c>
      <c r="Q328" s="306">
        <v>21</v>
      </c>
      <c r="R328" s="24"/>
      <c r="S328" s="24"/>
      <c r="T328" s="24"/>
      <c r="W328" s="314">
        <v>2020</v>
      </c>
      <c r="X328" s="314">
        <v>22</v>
      </c>
      <c r="Y328" s="314" t="s">
        <v>32</v>
      </c>
      <c r="Z328" s="314">
        <v>5509</v>
      </c>
      <c r="AA328" s="314">
        <v>5479</v>
      </c>
      <c r="AB328" s="314">
        <v>11</v>
      </c>
      <c r="AC328" s="31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I328" s="24">
        <v>2021</v>
      </c>
      <c r="BJ328" s="24">
        <v>42</v>
      </c>
      <c r="BK328" s="24" t="s">
        <v>33</v>
      </c>
      <c r="BL328" s="24" t="s">
        <v>272</v>
      </c>
      <c r="BM328" s="24">
        <v>47202</v>
      </c>
      <c r="BN328" s="24">
        <v>47167</v>
      </c>
      <c r="BO328" s="24">
        <v>169091</v>
      </c>
      <c r="BR328" s="24"/>
      <c r="BS328" s="24"/>
      <c r="BT328" s="24"/>
      <c r="BU328" s="24"/>
      <c r="BV328" s="24"/>
      <c r="CF328" s="24"/>
      <c r="CG328" s="24"/>
      <c r="CH328" s="24"/>
      <c r="CI328" s="24"/>
      <c r="CJ328" s="24"/>
      <c r="DD328" s="24"/>
      <c r="DE328" s="24"/>
      <c r="DF328" s="24"/>
      <c r="DG328" s="24"/>
      <c r="DH328" s="24"/>
      <c r="DJ328" s="24">
        <v>2020</v>
      </c>
      <c r="DK328" s="24">
        <v>26</v>
      </c>
      <c r="DL328" s="24" t="s">
        <v>33</v>
      </c>
      <c r="DM328" s="24">
        <v>644</v>
      </c>
      <c r="DP328" s="24"/>
      <c r="DQ328" s="24"/>
      <c r="DR328" s="24"/>
      <c r="DS328" s="24"/>
      <c r="DW328" s="24">
        <v>2021</v>
      </c>
      <c r="DX328" s="24">
        <v>18</v>
      </c>
      <c r="DY328" s="24" t="s">
        <v>33</v>
      </c>
      <c r="DZ328" s="24">
        <v>40</v>
      </c>
      <c r="EA328" s="24" t="s">
        <v>149</v>
      </c>
      <c r="EB328" s="24">
        <v>84.2</v>
      </c>
      <c r="EC328" s="24">
        <v>1337.1</v>
      </c>
      <c r="ED328" s="24">
        <v>47062</v>
      </c>
      <c r="EE328" s="24">
        <v>48418</v>
      </c>
      <c r="EF328" s="24">
        <v>266.8</v>
      </c>
      <c r="EI328" s="24">
        <v>2023</v>
      </c>
      <c r="EJ328" s="24">
        <v>1</v>
      </c>
      <c r="EK328" s="24" t="s">
        <v>213</v>
      </c>
      <c r="EL328" s="24" t="s">
        <v>214</v>
      </c>
      <c r="EM328" s="24" t="s">
        <v>215</v>
      </c>
      <c r="EN328" s="24">
        <v>24</v>
      </c>
      <c r="EO328" s="24"/>
      <c r="EP328" s="24"/>
      <c r="EQ328" s="24"/>
      <c r="ER328" s="24"/>
      <c r="ES328" s="24">
        <v>2021</v>
      </c>
      <c r="ET328" s="24">
        <v>1</v>
      </c>
      <c r="EU328" s="24" t="s">
        <v>33</v>
      </c>
      <c r="EV328" s="24">
        <v>49365</v>
      </c>
      <c r="EY328" s="24"/>
      <c r="EZ328" s="24"/>
      <c r="FA328" s="24"/>
      <c r="FB328" s="24"/>
      <c r="FE328" s="24"/>
      <c r="FF328" s="24"/>
      <c r="FG328" s="24"/>
      <c r="FH328" s="24"/>
      <c r="FN328" s="24"/>
      <c r="FO328" s="24"/>
      <c r="FP328" s="24"/>
      <c r="FQ328" s="24"/>
      <c r="FW328" s="24">
        <v>2020</v>
      </c>
      <c r="FX328" s="24">
        <v>22</v>
      </c>
      <c r="FY328" s="24" t="s">
        <v>32</v>
      </c>
      <c r="FZ328" s="24">
        <v>584</v>
      </c>
      <c r="GA328" s="24">
        <v>569</v>
      </c>
      <c r="GB328" s="24"/>
      <c r="GC328" s="24"/>
      <c r="GD328" s="314">
        <v>2020</v>
      </c>
      <c r="GE328" s="314">
        <v>22</v>
      </c>
      <c r="GF328" s="314" t="s">
        <v>32</v>
      </c>
      <c r="GG328" s="314">
        <v>598</v>
      </c>
      <c r="GH328" s="314">
        <v>587</v>
      </c>
      <c r="GK328" s="24"/>
      <c r="GL328" s="24"/>
      <c r="GM328" s="24"/>
      <c r="GN328" s="24"/>
      <c r="GO328" s="24"/>
      <c r="GP328" s="24"/>
      <c r="GQ328" s="24"/>
      <c r="GR328" s="24"/>
      <c r="GS328" s="24"/>
      <c r="GX328">
        <v>2020</v>
      </c>
      <c r="GY328">
        <v>22</v>
      </c>
      <c r="GZ328" t="s">
        <v>32</v>
      </c>
      <c r="HA328">
        <v>5408</v>
      </c>
      <c r="HB328">
        <v>5361</v>
      </c>
      <c r="HC328">
        <v>0</v>
      </c>
      <c r="HD328">
        <v>0</v>
      </c>
      <c r="HE328">
        <v>0</v>
      </c>
      <c r="HF328">
        <v>3</v>
      </c>
      <c r="HG328">
        <v>0</v>
      </c>
      <c r="HH328">
        <v>0</v>
      </c>
      <c r="HI328">
        <v>20</v>
      </c>
      <c r="HL328">
        <v>2020</v>
      </c>
      <c r="HM328">
        <v>22</v>
      </c>
      <c r="HN328" t="s">
        <v>32</v>
      </c>
      <c r="HO328">
        <v>5483</v>
      </c>
      <c r="HP328">
        <v>5482</v>
      </c>
      <c r="HQ328">
        <v>0</v>
      </c>
      <c r="HR328">
        <v>0</v>
      </c>
      <c r="HS328">
        <v>0</v>
      </c>
      <c r="HT328">
        <v>0</v>
      </c>
      <c r="HU328">
        <v>0</v>
      </c>
      <c r="HV328">
        <v>0</v>
      </c>
      <c r="HW328">
        <v>0</v>
      </c>
      <c r="HZ328" s="24">
        <v>2020</v>
      </c>
      <c r="IA328" s="24">
        <v>22</v>
      </c>
      <c r="IB328" s="24" t="s">
        <v>32</v>
      </c>
      <c r="IC328" s="24">
        <v>600</v>
      </c>
      <c r="ID328" s="24">
        <v>585</v>
      </c>
      <c r="IG328" s="24">
        <v>2020</v>
      </c>
      <c r="IH328" s="24">
        <v>22</v>
      </c>
      <c r="II328" s="24" t="s">
        <v>32</v>
      </c>
      <c r="IJ328" s="24">
        <v>586</v>
      </c>
      <c r="IK328" s="24">
        <v>586</v>
      </c>
    </row>
    <row r="329" spans="9:245" x14ac:dyDescent="0.4">
      <c r="I329" s="305">
        <v>2020</v>
      </c>
      <c r="J329" s="306">
        <v>22</v>
      </c>
      <c r="K329" s="306" t="s">
        <v>32</v>
      </c>
      <c r="L329" s="306">
        <v>5526</v>
      </c>
      <c r="M329" s="306">
        <v>5461</v>
      </c>
      <c r="N329" s="306">
        <v>10</v>
      </c>
      <c r="O329" s="306">
        <v>45</v>
      </c>
      <c r="P329" s="306">
        <v>15</v>
      </c>
      <c r="Q329" s="306"/>
      <c r="R329" s="24"/>
      <c r="S329" s="24"/>
      <c r="T329" s="24"/>
      <c r="W329" s="314">
        <v>2020</v>
      </c>
      <c r="X329" s="314">
        <v>22</v>
      </c>
      <c r="Y329" s="314" t="s">
        <v>33</v>
      </c>
      <c r="Z329" s="314">
        <v>198361</v>
      </c>
      <c r="AA329" s="314">
        <v>195229</v>
      </c>
      <c r="AB329" s="314">
        <v>65</v>
      </c>
      <c r="AC329" s="314">
        <v>14</v>
      </c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I329" s="24">
        <v>2021</v>
      </c>
      <c r="BJ329" s="24">
        <v>42</v>
      </c>
      <c r="BK329" s="24" t="s">
        <v>33</v>
      </c>
      <c r="BL329" s="24" t="s">
        <v>273</v>
      </c>
      <c r="BM329" s="24">
        <v>89022</v>
      </c>
      <c r="BN329" s="24">
        <v>88533</v>
      </c>
      <c r="BO329" s="24">
        <v>91338</v>
      </c>
      <c r="BR329" s="24"/>
      <c r="BS329" s="24"/>
      <c r="BT329" s="24"/>
      <c r="BU329" s="24"/>
      <c r="BV329" s="24"/>
      <c r="CF329" s="24"/>
      <c r="CG329" s="24"/>
      <c r="CH329" s="24"/>
      <c r="CI329" s="24"/>
      <c r="CJ329" s="24"/>
      <c r="DD329" s="24"/>
      <c r="DE329" s="24"/>
      <c r="DF329" s="24"/>
      <c r="DG329" s="24"/>
      <c r="DH329" s="24"/>
      <c r="DJ329" s="24">
        <v>2020</v>
      </c>
      <c r="DK329" s="24">
        <v>26</v>
      </c>
      <c r="DL329" s="24" t="s">
        <v>213</v>
      </c>
      <c r="DM329" s="24">
        <v>0</v>
      </c>
      <c r="DP329" s="24"/>
      <c r="DQ329" s="24"/>
      <c r="DR329" s="24"/>
      <c r="DS329" s="24"/>
      <c r="DW329" s="24">
        <v>2021</v>
      </c>
      <c r="DX329" s="24">
        <v>17</v>
      </c>
      <c r="DY329" s="24" t="s">
        <v>32</v>
      </c>
      <c r="DZ329" s="24">
        <v>1</v>
      </c>
      <c r="EA329" s="24" t="s">
        <v>149</v>
      </c>
      <c r="EB329" s="24">
        <v>0</v>
      </c>
      <c r="EC329" s="24">
        <v>52.4</v>
      </c>
      <c r="ED329" s="24">
        <v>2021</v>
      </c>
      <c r="EE329" s="24">
        <v>1989</v>
      </c>
      <c r="EF329" s="24">
        <v>7.7</v>
      </c>
      <c r="EI329" s="24">
        <v>2022</v>
      </c>
      <c r="EJ329" s="24">
        <v>52</v>
      </c>
      <c r="EK329" s="24" t="s">
        <v>208</v>
      </c>
      <c r="EL329" s="24" t="s">
        <v>351</v>
      </c>
      <c r="EM329" s="24" t="s">
        <v>234</v>
      </c>
      <c r="EN329" s="24">
        <v>5</v>
      </c>
      <c r="EO329" s="24"/>
      <c r="EP329" s="24"/>
      <c r="EQ329" s="24"/>
      <c r="ER329" s="24"/>
      <c r="ES329" s="24">
        <v>2021</v>
      </c>
      <c r="ET329" s="24">
        <v>1</v>
      </c>
      <c r="EU329" s="24" t="s">
        <v>213</v>
      </c>
      <c r="EV329" s="24">
        <v>11</v>
      </c>
      <c r="EY329" s="24"/>
      <c r="EZ329" s="24"/>
      <c r="FA329" s="24"/>
      <c r="FB329" s="24"/>
      <c r="FE329" s="24"/>
      <c r="FF329" s="24"/>
      <c r="FG329" s="24"/>
      <c r="FH329" s="24"/>
      <c r="FN329" s="24"/>
      <c r="FO329" s="24"/>
      <c r="FP329" s="24"/>
      <c r="FQ329" s="24"/>
      <c r="FW329" s="24">
        <v>2020</v>
      </c>
      <c r="FX329" s="24">
        <v>22</v>
      </c>
      <c r="FY329" s="24" t="s">
        <v>33</v>
      </c>
      <c r="FZ329" s="24">
        <v>6545</v>
      </c>
      <c r="GA329" s="24">
        <v>6242</v>
      </c>
      <c r="GB329" s="24"/>
      <c r="GC329" s="24"/>
      <c r="GD329" s="314">
        <v>2020</v>
      </c>
      <c r="GE329" s="314">
        <v>22</v>
      </c>
      <c r="GF329" s="314" t="s">
        <v>33</v>
      </c>
      <c r="GG329" s="314">
        <v>6515</v>
      </c>
      <c r="GH329" s="314">
        <v>6310</v>
      </c>
      <c r="GK329" s="24"/>
      <c r="GL329" s="24"/>
      <c r="GM329" s="24"/>
      <c r="GN329" s="24"/>
      <c r="GO329" s="24"/>
      <c r="GP329" s="24"/>
      <c r="GQ329" s="24"/>
      <c r="GR329" s="24"/>
      <c r="GS329" s="24"/>
      <c r="GX329">
        <v>2020</v>
      </c>
      <c r="GY329">
        <v>22</v>
      </c>
      <c r="GZ329" t="s">
        <v>33</v>
      </c>
      <c r="HA329">
        <v>193798</v>
      </c>
      <c r="HB329">
        <v>190088</v>
      </c>
      <c r="HC329">
        <v>78</v>
      </c>
      <c r="HD329">
        <v>201</v>
      </c>
      <c r="HE329">
        <v>1</v>
      </c>
      <c r="HF329">
        <v>1770</v>
      </c>
      <c r="HG329">
        <v>0</v>
      </c>
      <c r="HH329">
        <v>0</v>
      </c>
      <c r="HI329">
        <v>761</v>
      </c>
      <c r="HL329">
        <v>2020</v>
      </c>
      <c r="HM329">
        <v>22</v>
      </c>
      <c r="HN329" t="s">
        <v>33</v>
      </c>
      <c r="HO329">
        <v>197988</v>
      </c>
      <c r="HP329">
        <v>196051</v>
      </c>
      <c r="HQ329">
        <v>115</v>
      </c>
      <c r="HR329">
        <v>122</v>
      </c>
      <c r="HS329">
        <v>1</v>
      </c>
      <c r="HT329">
        <v>1720</v>
      </c>
      <c r="HU329">
        <v>0</v>
      </c>
      <c r="HV329">
        <v>0</v>
      </c>
      <c r="HW329">
        <v>198</v>
      </c>
      <c r="HZ329" s="24">
        <v>2020</v>
      </c>
      <c r="IA329" s="24">
        <v>22</v>
      </c>
      <c r="IB329" s="24" t="s">
        <v>33</v>
      </c>
      <c r="IC329" s="24">
        <v>6495</v>
      </c>
      <c r="ID329" s="24">
        <v>6149</v>
      </c>
      <c r="IG329" s="24">
        <v>2020</v>
      </c>
      <c r="IH329" s="24">
        <v>22</v>
      </c>
      <c r="II329" s="24" t="s">
        <v>33</v>
      </c>
      <c r="IJ329" s="24">
        <v>5940</v>
      </c>
      <c r="IK329" s="24">
        <v>5763</v>
      </c>
    </row>
    <row r="330" spans="9:245" x14ac:dyDescent="0.4">
      <c r="I330" s="305">
        <v>2020</v>
      </c>
      <c r="J330" s="306">
        <v>22</v>
      </c>
      <c r="K330" s="306" t="s">
        <v>33</v>
      </c>
      <c r="L330" s="306">
        <v>198663</v>
      </c>
      <c r="M330" s="306">
        <v>194714</v>
      </c>
      <c r="N330" s="306">
        <v>471</v>
      </c>
      <c r="O330" s="306">
        <v>1066</v>
      </c>
      <c r="P330" s="306">
        <v>96</v>
      </c>
      <c r="Q330" s="306">
        <v>14</v>
      </c>
      <c r="R330" s="24"/>
      <c r="S330" s="24"/>
      <c r="T330" s="24"/>
      <c r="W330" s="314">
        <v>2020</v>
      </c>
      <c r="X330" s="314">
        <v>21</v>
      </c>
      <c r="Y330" s="314" t="s">
        <v>32</v>
      </c>
      <c r="Z330" s="314">
        <v>7301</v>
      </c>
      <c r="AA330" s="314">
        <v>7270</v>
      </c>
      <c r="AB330" s="314"/>
      <c r="AC330" s="31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I330" s="24">
        <v>2021</v>
      </c>
      <c r="BJ330" s="24">
        <v>41</v>
      </c>
      <c r="BK330" s="24" t="s">
        <v>32</v>
      </c>
      <c r="BL330" s="24" t="s">
        <v>273</v>
      </c>
      <c r="BM330" s="24">
        <v>5640</v>
      </c>
      <c r="BN330" s="24">
        <v>5616</v>
      </c>
      <c r="BO330" s="24">
        <v>5763</v>
      </c>
      <c r="BR330" s="24"/>
      <c r="BS330" s="24"/>
      <c r="BT330" s="24"/>
      <c r="BU330" s="24"/>
      <c r="BV330" s="24"/>
      <c r="CF330" s="24"/>
      <c r="CG330" s="24"/>
      <c r="CH330" s="24"/>
      <c r="CI330" s="24"/>
      <c r="CJ330" s="24"/>
      <c r="DD330" s="24"/>
      <c r="DE330" s="24"/>
      <c r="DF330" s="24"/>
      <c r="DG330" s="24"/>
      <c r="DH330" s="24"/>
      <c r="DJ330" s="24">
        <v>2020</v>
      </c>
      <c r="DK330" s="24">
        <v>25</v>
      </c>
      <c r="DL330" s="24" t="s">
        <v>32</v>
      </c>
      <c r="DM330" s="24">
        <v>7</v>
      </c>
      <c r="DP330" s="24"/>
      <c r="DQ330" s="24"/>
      <c r="DR330" s="24"/>
      <c r="DS330" s="24"/>
      <c r="DW330" s="24">
        <v>2021</v>
      </c>
      <c r="DX330" s="24">
        <v>17</v>
      </c>
      <c r="DY330" s="24" t="s">
        <v>33</v>
      </c>
      <c r="DZ330" s="24">
        <v>9</v>
      </c>
      <c r="EA330" s="24" t="s">
        <v>562</v>
      </c>
      <c r="EB330" s="24">
        <v>65</v>
      </c>
      <c r="EC330" s="24">
        <v>0</v>
      </c>
      <c r="ED330" s="24">
        <v>9</v>
      </c>
      <c r="EE330" s="24">
        <v>3307</v>
      </c>
      <c r="EF330" s="24">
        <v>49.8</v>
      </c>
      <c r="EI330" s="24">
        <v>2022</v>
      </c>
      <c r="EJ330" s="24">
        <v>52</v>
      </c>
      <c r="EK330" s="24" t="s">
        <v>208</v>
      </c>
      <c r="EL330" s="24" t="s">
        <v>235</v>
      </c>
      <c r="EM330" s="24" t="s">
        <v>234</v>
      </c>
      <c r="EN330" s="24">
        <v>18</v>
      </c>
      <c r="EO330" s="24"/>
      <c r="EP330" s="24"/>
      <c r="EQ330" s="24"/>
      <c r="ER330" s="24"/>
      <c r="ES330" s="24">
        <v>2020</v>
      </c>
      <c r="ET330" s="24">
        <v>52</v>
      </c>
      <c r="EU330" s="24" t="s">
        <v>32</v>
      </c>
      <c r="EV330" s="24">
        <v>1473</v>
      </c>
      <c r="EY330" s="24"/>
      <c r="EZ330" s="24"/>
      <c r="FA330" s="24"/>
      <c r="FB330" s="24"/>
      <c r="FE330" s="24"/>
      <c r="FF330" s="24"/>
      <c r="FG330" s="24"/>
      <c r="FH330" s="24"/>
      <c r="FN330" s="24"/>
      <c r="FO330" s="24"/>
      <c r="FP330" s="24"/>
      <c r="FQ330" s="24"/>
      <c r="FW330" s="24">
        <v>2020</v>
      </c>
      <c r="FX330" s="24">
        <v>21</v>
      </c>
      <c r="FY330" s="24" t="s">
        <v>32</v>
      </c>
      <c r="FZ330" s="24">
        <v>627</v>
      </c>
      <c r="GA330" s="24">
        <v>614</v>
      </c>
      <c r="GB330" s="24"/>
      <c r="GC330" s="24"/>
      <c r="GD330" s="314">
        <v>2020</v>
      </c>
      <c r="GE330" s="314">
        <v>21</v>
      </c>
      <c r="GF330" s="314" t="s">
        <v>32</v>
      </c>
      <c r="GG330" s="314">
        <v>603</v>
      </c>
      <c r="GH330" s="314">
        <v>595</v>
      </c>
      <c r="GK330" s="24"/>
      <c r="GL330" s="24"/>
      <c r="GM330" s="24"/>
      <c r="GN330" s="24"/>
      <c r="GO330" s="24"/>
      <c r="GP330" s="24"/>
      <c r="GQ330" s="24"/>
      <c r="GR330" s="24"/>
      <c r="GS330" s="24"/>
      <c r="GX330">
        <v>2020</v>
      </c>
      <c r="GY330">
        <v>21</v>
      </c>
      <c r="GZ330" t="s">
        <v>32</v>
      </c>
      <c r="HA330">
        <v>7275</v>
      </c>
      <c r="HB330">
        <v>7200</v>
      </c>
      <c r="HC330">
        <v>0</v>
      </c>
      <c r="HD330">
        <v>0</v>
      </c>
      <c r="HE330">
        <v>0</v>
      </c>
      <c r="HF330">
        <v>5</v>
      </c>
      <c r="HG330">
        <v>0</v>
      </c>
      <c r="HH330">
        <v>0</v>
      </c>
      <c r="HI330">
        <v>9</v>
      </c>
      <c r="HL330">
        <v>2020</v>
      </c>
      <c r="HM330">
        <v>21</v>
      </c>
      <c r="HN330" t="s">
        <v>32</v>
      </c>
      <c r="HO330">
        <v>7207</v>
      </c>
      <c r="HP330">
        <v>7197</v>
      </c>
      <c r="HQ330">
        <v>0</v>
      </c>
      <c r="HR330">
        <v>0</v>
      </c>
      <c r="HS330">
        <v>0</v>
      </c>
      <c r="HT330">
        <v>4</v>
      </c>
      <c r="HU330">
        <v>0</v>
      </c>
      <c r="HV330">
        <v>0</v>
      </c>
      <c r="HW330">
        <v>0</v>
      </c>
      <c r="HZ330" s="24">
        <v>2020</v>
      </c>
      <c r="IA330" s="24">
        <v>21</v>
      </c>
      <c r="IB330" s="24" t="s">
        <v>32</v>
      </c>
      <c r="IC330" s="24">
        <v>558</v>
      </c>
      <c r="ID330" s="24">
        <v>545</v>
      </c>
      <c r="IG330" s="24">
        <v>2020</v>
      </c>
      <c r="IH330" s="24">
        <v>21</v>
      </c>
      <c r="II330" s="24" t="s">
        <v>32</v>
      </c>
      <c r="IJ330" s="24">
        <v>570</v>
      </c>
      <c r="IK330" s="24">
        <v>568</v>
      </c>
    </row>
    <row r="331" spans="9:245" x14ac:dyDescent="0.4">
      <c r="I331" s="305">
        <v>2020</v>
      </c>
      <c r="J331" s="306">
        <v>21</v>
      </c>
      <c r="K331" s="306" t="s">
        <v>32</v>
      </c>
      <c r="L331" s="306">
        <v>7416</v>
      </c>
      <c r="M331" s="306">
        <v>7347</v>
      </c>
      <c r="N331" s="306">
        <v>6</v>
      </c>
      <c r="O331" s="306">
        <v>45</v>
      </c>
      <c r="P331" s="306">
        <v>4</v>
      </c>
      <c r="Q331" s="306"/>
      <c r="R331" s="24"/>
      <c r="S331" s="24"/>
      <c r="T331" s="24"/>
      <c r="W331" s="314">
        <v>2020</v>
      </c>
      <c r="X331" s="314">
        <v>21</v>
      </c>
      <c r="Y331" s="314" t="s">
        <v>33</v>
      </c>
      <c r="Z331" s="314">
        <v>201915</v>
      </c>
      <c r="AA331" s="314">
        <v>200853</v>
      </c>
      <c r="AB331" s="314">
        <v>92</v>
      </c>
      <c r="AC331" s="314">
        <v>4</v>
      </c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I331" s="24">
        <v>2021</v>
      </c>
      <c r="BJ331" s="24">
        <v>41</v>
      </c>
      <c r="BK331" s="24" t="s">
        <v>33</v>
      </c>
      <c r="BL331" s="24" t="s">
        <v>273</v>
      </c>
      <c r="BM331" s="24">
        <v>77660</v>
      </c>
      <c r="BN331" s="24">
        <v>77154</v>
      </c>
      <c r="BO331" s="24">
        <v>79348</v>
      </c>
      <c r="BR331" s="24"/>
      <c r="BS331" s="24"/>
      <c r="BT331" s="24"/>
      <c r="BU331" s="24"/>
      <c r="BV331" s="24"/>
      <c r="CF331" s="24"/>
      <c r="CG331" s="24"/>
      <c r="CH331" s="24"/>
      <c r="CI331" s="24"/>
      <c r="CJ331" s="24"/>
      <c r="DD331" s="24"/>
      <c r="DE331" s="24"/>
      <c r="DF331" s="24"/>
      <c r="DG331" s="24"/>
      <c r="DH331" s="24"/>
      <c r="DJ331" s="24">
        <v>2020</v>
      </c>
      <c r="DK331" s="24">
        <v>25</v>
      </c>
      <c r="DL331" s="24" t="s">
        <v>33</v>
      </c>
      <c r="DM331" s="24">
        <v>696</v>
      </c>
      <c r="DP331" s="24"/>
      <c r="DQ331" s="24"/>
      <c r="DR331" s="24"/>
      <c r="DS331" s="24"/>
      <c r="DW331" s="24">
        <v>2021</v>
      </c>
      <c r="DX331" s="24">
        <v>17</v>
      </c>
      <c r="DY331" s="24" t="s">
        <v>33</v>
      </c>
      <c r="DZ331" s="24">
        <v>41</v>
      </c>
      <c r="EA331" s="24" t="s">
        <v>149</v>
      </c>
      <c r="EB331" s="24">
        <v>50.6</v>
      </c>
      <c r="EC331" s="24">
        <v>1254.8</v>
      </c>
      <c r="ED331" s="24">
        <v>41679</v>
      </c>
      <c r="EE331" s="24">
        <v>44344</v>
      </c>
      <c r="EF331" s="24">
        <v>247.1</v>
      </c>
      <c r="EI331" s="24">
        <v>2022</v>
      </c>
      <c r="EJ331" s="24">
        <v>52</v>
      </c>
      <c r="EK331" s="24" t="s">
        <v>208</v>
      </c>
      <c r="EL331" s="24" t="s">
        <v>209</v>
      </c>
      <c r="EM331" s="24" t="s">
        <v>210</v>
      </c>
      <c r="EN331" s="24">
        <v>3</v>
      </c>
      <c r="EO331" s="24"/>
      <c r="EP331" s="24"/>
      <c r="EQ331" s="24"/>
      <c r="ER331" s="24"/>
      <c r="ES331" s="24">
        <v>2020</v>
      </c>
      <c r="ET331" s="24">
        <v>52</v>
      </c>
      <c r="EU331" s="24" t="s">
        <v>33</v>
      </c>
      <c r="EV331" s="24">
        <v>33729</v>
      </c>
      <c r="EY331" s="24"/>
      <c r="EZ331" s="24"/>
      <c r="FA331" s="24"/>
      <c r="FB331" s="24"/>
      <c r="FE331" s="24"/>
      <c r="FF331" s="24"/>
      <c r="FG331" s="24"/>
      <c r="FH331" s="24"/>
      <c r="FN331" s="24"/>
      <c r="FO331" s="24"/>
      <c r="FP331" s="24"/>
      <c r="FQ331" s="24"/>
      <c r="FW331" s="24">
        <v>2020</v>
      </c>
      <c r="FX331" s="24">
        <v>21</v>
      </c>
      <c r="FY331" s="24" t="s">
        <v>33</v>
      </c>
      <c r="FZ331" s="24">
        <v>6764</v>
      </c>
      <c r="GA331" s="24">
        <v>6550</v>
      </c>
      <c r="GB331" s="24"/>
      <c r="GC331" s="24"/>
      <c r="GD331" s="314">
        <v>2020</v>
      </c>
      <c r="GE331" s="314">
        <v>21</v>
      </c>
      <c r="GF331" s="314" t="s">
        <v>33</v>
      </c>
      <c r="GG331" s="314">
        <v>6803</v>
      </c>
      <c r="GH331" s="314">
        <v>6683</v>
      </c>
      <c r="GK331" s="24"/>
      <c r="GL331" s="24"/>
      <c r="GM331" s="24"/>
      <c r="GN331" s="24"/>
      <c r="GO331" s="24"/>
      <c r="GP331" s="24"/>
      <c r="GQ331" s="24"/>
      <c r="GR331" s="24"/>
      <c r="GS331" s="24"/>
      <c r="GX331">
        <v>2020</v>
      </c>
      <c r="GY331">
        <v>21</v>
      </c>
      <c r="GZ331" t="s">
        <v>33</v>
      </c>
      <c r="HA331">
        <v>202840</v>
      </c>
      <c r="HB331">
        <v>201095</v>
      </c>
      <c r="HC331">
        <v>88</v>
      </c>
      <c r="HD331">
        <v>80</v>
      </c>
      <c r="HE331">
        <v>0</v>
      </c>
      <c r="HF331">
        <v>528</v>
      </c>
      <c r="HG331">
        <v>0</v>
      </c>
      <c r="HH331">
        <v>0</v>
      </c>
      <c r="HI331">
        <v>490</v>
      </c>
      <c r="HL331">
        <v>2020</v>
      </c>
      <c r="HM331">
        <v>21</v>
      </c>
      <c r="HN331" t="s">
        <v>33</v>
      </c>
      <c r="HO331">
        <v>201558</v>
      </c>
      <c r="HP331">
        <v>201065</v>
      </c>
      <c r="HQ331">
        <v>82</v>
      </c>
      <c r="HR331">
        <v>27</v>
      </c>
      <c r="HS331">
        <v>0</v>
      </c>
      <c r="HT331">
        <v>316</v>
      </c>
      <c r="HU331">
        <v>0</v>
      </c>
      <c r="HV331">
        <v>0</v>
      </c>
      <c r="HW331">
        <v>72</v>
      </c>
      <c r="HZ331" s="24">
        <v>2020</v>
      </c>
      <c r="IA331" s="24">
        <v>21</v>
      </c>
      <c r="IB331" s="24" t="s">
        <v>33</v>
      </c>
      <c r="IC331" s="24">
        <v>6731</v>
      </c>
      <c r="ID331" s="24">
        <v>6366</v>
      </c>
      <c r="IG331" s="24">
        <v>2020</v>
      </c>
      <c r="IH331" s="24">
        <v>21</v>
      </c>
      <c r="II331" s="24" t="s">
        <v>33</v>
      </c>
      <c r="IJ331" s="24">
        <v>5806</v>
      </c>
      <c r="IK331" s="24">
        <v>5755</v>
      </c>
    </row>
    <row r="332" spans="9:245" x14ac:dyDescent="0.4">
      <c r="I332" s="305">
        <v>2020</v>
      </c>
      <c r="J332" s="306">
        <v>21</v>
      </c>
      <c r="K332" s="306" t="s">
        <v>33</v>
      </c>
      <c r="L332" s="306">
        <v>201321</v>
      </c>
      <c r="M332" s="306">
        <v>199611</v>
      </c>
      <c r="N332" s="306">
        <v>311</v>
      </c>
      <c r="O332" s="306">
        <v>560</v>
      </c>
      <c r="P332" s="306">
        <v>156</v>
      </c>
      <c r="Q332" s="306">
        <v>13</v>
      </c>
      <c r="R332" s="24"/>
      <c r="S332" s="24"/>
      <c r="T332" s="24"/>
      <c r="W332" s="314">
        <v>2020</v>
      </c>
      <c r="X332" s="314">
        <v>20</v>
      </c>
      <c r="Y332" s="314" t="s">
        <v>32</v>
      </c>
      <c r="Z332" s="314">
        <v>7967</v>
      </c>
      <c r="AA332" s="314">
        <v>7915</v>
      </c>
      <c r="AB332" s="314">
        <v>1</v>
      </c>
      <c r="AC332" s="314">
        <v>1</v>
      </c>
      <c r="AI332" s="24"/>
      <c r="AJ332" s="24"/>
      <c r="AK332" s="253"/>
      <c r="AL332" s="253"/>
      <c r="AM332" s="253"/>
      <c r="AN332" s="253"/>
      <c r="AO332" s="24"/>
      <c r="AP332" s="24"/>
      <c r="AQ332" s="24"/>
      <c r="AR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I332" s="24">
        <v>2021</v>
      </c>
      <c r="BJ332" s="24">
        <v>41</v>
      </c>
      <c r="BK332" s="24" t="s">
        <v>32</v>
      </c>
      <c r="BL332" s="24" t="s">
        <v>272</v>
      </c>
      <c r="BM332" s="24">
        <v>2349</v>
      </c>
      <c r="BN332" s="24">
        <v>2348</v>
      </c>
      <c r="BO332" s="24">
        <v>7825</v>
      </c>
      <c r="BR332" s="24"/>
      <c r="BS332" s="24"/>
      <c r="BT332" s="24"/>
      <c r="BU332" s="24"/>
      <c r="BV332" s="24"/>
      <c r="CF332" s="24"/>
      <c r="CG332" s="24"/>
      <c r="CH332" s="24"/>
      <c r="CI332" s="24"/>
      <c r="CJ332" s="24"/>
      <c r="DD332" s="24"/>
      <c r="DE332" s="24"/>
      <c r="DF332" s="24"/>
      <c r="DG332" s="24"/>
      <c r="DH332" s="24"/>
      <c r="DJ332" s="24">
        <v>2020</v>
      </c>
      <c r="DK332" s="24">
        <v>24</v>
      </c>
      <c r="DL332" s="24" t="s">
        <v>32</v>
      </c>
      <c r="DM332" s="24">
        <v>5</v>
      </c>
      <c r="DP332" s="24"/>
      <c r="DQ332" s="24"/>
      <c r="DR332" s="24"/>
      <c r="DS332" s="24"/>
      <c r="DW332" s="24">
        <v>2021</v>
      </c>
      <c r="DX332" s="24">
        <v>16</v>
      </c>
      <c r="DY332" s="24" t="s">
        <v>32</v>
      </c>
      <c r="DZ332" s="24">
        <v>1</v>
      </c>
      <c r="EA332" s="24" t="s">
        <v>149</v>
      </c>
      <c r="EB332" s="24">
        <v>0</v>
      </c>
      <c r="EC332" s="24">
        <v>45.2</v>
      </c>
      <c r="ED332" s="24">
        <v>1786</v>
      </c>
      <c r="EE332" s="24">
        <v>1744</v>
      </c>
      <c r="EF332" s="24">
        <v>7.6</v>
      </c>
      <c r="EI332" s="24">
        <v>2022</v>
      </c>
      <c r="EJ332" s="24">
        <v>52</v>
      </c>
      <c r="EK332" s="24" t="s">
        <v>208</v>
      </c>
      <c r="EL332" s="24" t="s">
        <v>245</v>
      </c>
      <c r="EM332" s="24" t="s">
        <v>234</v>
      </c>
      <c r="EN332" s="24">
        <v>3</v>
      </c>
      <c r="EO332" s="24"/>
      <c r="EP332" s="24"/>
      <c r="EQ332" s="24"/>
      <c r="ER332" s="24"/>
      <c r="ES332" s="24">
        <v>2020</v>
      </c>
      <c r="ET332" s="24">
        <v>52</v>
      </c>
      <c r="EU332" s="24" t="s">
        <v>213</v>
      </c>
      <c r="EV332" s="24">
        <v>2</v>
      </c>
      <c r="EY332" s="24"/>
      <c r="EZ332" s="24"/>
      <c r="FA332" s="24"/>
      <c r="FB332" s="24"/>
      <c r="FE332" s="24"/>
      <c r="FF332" s="24"/>
      <c r="FG332" s="24"/>
      <c r="FH332" s="24"/>
      <c r="FN332" s="24"/>
      <c r="FO332" s="24"/>
      <c r="FP332" s="24"/>
      <c r="FQ332" s="24"/>
      <c r="FW332" s="24">
        <v>2020</v>
      </c>
      <c r="FX332" s="24">
        <v>20</v>
      </c>
      <c r="FY332" s="24" t="s">
        <v>32</v>
      </c>
      <c r="FZ332" s="24">
        <v>663</v>
      </c>
      <c r="GA332" s="24">
        <v>620</v>
      </c>
      <c r="GB332" s="24"/>
      <c r="GC332" s="24"/>
      <c r="GD332" s="314">
        <v>2020</v>
      </c>
      <c r="GE332" s="314">
        <v>20</v>
      </c>
      <c r="GF332" s="314" t="s">
        <v>32</v>
      </c>
      <c r="GG332" s="314">
        <v>702</v>
      </c>
      <c r="GH332" s="314">
        <v>687</v>
      </c>
      <c r="GK332" s="24"/>
      <c r="GL332" s="24"/>
      <c r="GM332" s="24"/>
      <c r="GN332" s="24"/>
      <c r="GO332" s="24"/>
      <c r="GP332" s="24"/>
      <c r="GQ332" s="24"/>
      <c r="GR332" s="24"/>
      <c r="GS332" s="24"/>
      <c r="GX332">
        <v>2020</v>
      </c>
      <c r="GY332">
        <v>20</v>
      </c>
      <c r="GZ332" t="s">
        <v>32</v>
      </c>
      <c r="HA332">
        <v>7836</v>
      </c>
      <c r="HB332">
        <v>7738</v>
      </c>
      <c r="HC332">
        <v>0</v>
      </c>
      <c r="HD332">
        <v>2</v>
      </c>
      <c r="HE332">
        <v>0</v>
      </c>
      <c r="HF332">
        <v>13</v>
      </c>
      <c r="HG332">
        <v>0</v>
      </c>
      <c r="HH332">
        <v>0</v>
      </c>
      <c r="HI332">
        <v>15</v>
      </c>
      <c r="HL332">
        <v>2020</v>
      </c>
      <c r="HM332">
        <v>20</v>
      </c>
      <c r="HN332" t="s">
        <v>32</v>
      </c>
      <c r="HO332">
        <v>7921</v>
      </c>
      <c r="HP332">
        <v>7900</v>
      </c>
      <c r="HQ332">
        <v>0</v>
      </c>
      <c r="HR332">
        <v>0</v>
      </c>
      <c r="HS332">
        <v>0</v>
      </c>
      <c r="HT332">
        <v>17</v>
      </c>
      <c r="HU332">
        <v>0</v>
      </c>
      <c r="HV332">
        <v>0</v>
      </c>
      <c r="HW332">
        <v>0</v>
      </c>
      <c r="HZ332" s="24">
        <v>2020</v>
      </c>
      <c r="IA332" s="24">
        <v>20</v>
      </c>
      <c r="IB332" s="24" t="s">
        <v>32</v>
      </c>
      <c r="IC332" s="24">
        <v>701</v>
      </c>
      <c r="ID332" s="24">
        <v>667</v>
      </c>
      <c r="IG332" s="24">
        <v>2020</v>
      </c>
      <c r="IH332" s="24">
        <v>20</v>
      </c>
      <c r="II332" s="24" t="s">
        <v>32</v>
      </c>
      <c r="IJ332" s="24">
        <v>676</v>
      </c>
      <c r="IK332" s="24">
        <v>671</v>
      </c>
    </row>
    <row r="333" spans="9:245" x14ac:dyDescent="0.4">
      <c r="I333" s="305">
        <v>2020</v>
      </c>
      <c r="J333" s="306">
        <v>20</v>
      </c>
      <c r="K333" s="306" t="s">
        <v>32</v>
      </c>
      <c r="L333" s="306">
        <v>7856</v>
      </c>
      <c r="M333" s="306">
        <v>7744</v>
      </c>
      <c r="N333" s="306">
        <v>16</v>
      </c>
      <c r="O333" s="306">
        <v>68</v>
      </c>
      <c r="P333" s="306">
        <v>10</v>
      </c>
      <c r="Q333" s="306">
        <v>3</v>
      </c>
      <c r="R333" s="24"/>
      <c r="S333" s="24"/>
      <c r="T333" s="24"/>
      <c r="W333" s="314">
        <v>2020</v>
      </c>
      <c r="X333" s="314">
        <v>20</v>
      </c>
      <c r="Y333" s="314" t="s">
        <v>33</v>
      </c>
      <c r="Z333" s="314">
        <v>201380</v>
      </c>
      <c r="AA333" s="314">
        <v>194189</v>
      </c>
      <c r="AB333" s="314">
        <v>147</v>
      </c>
      <c r="AC333" s="314">
        <v>19</v>
      </c>
      <c r="AI333" s="24"/>
      <c r="AJ333" s="24"/>
      <c r="AK333" s="253"/>
      <c r="AL333" s="253"/>
      <c r="AM333" s="253"/>
      <c r="AN333" s="253"/>
      <c r="AO333" s="24"/>
      <c r="AP333" s="24"/>
      <c r="AQ333" s="24"/>
      <c r="AR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I333" s="24">
        <v>2021</v>
      </c>
      <c r="BJ333" s="24">
        <v>41</v>
      </c>
      <c r="BK333" s="24" t="s">
        <v>33</v>
      </c>
      <c r="BL333" s="24" t="s">
        <v>272</v>
      </c>
      <c r="BM333" s="24">
        <v>45705</v>
      </c>
      <c r="BN333" s="24">
        <v>45687</v>
      </c>
      <c r="BO333" s="24">
        <v>164377</v>
      </c>
      <c r="BR333" s="24"/>
      <c r="BS333" s="24"/>
      <c r="BT333" s="24"/>
      <c r="BU333" s="24"/>
      <c r="BV333" s="24"/>
      <c r="CF333" s="24"/>
      <c r="CG333" s="24"/>
      <c r="CH333" s="24"/>
      <c r="CI333" s="24"/>
      <c r="CJ333" s="24"/>
      <c r="DD333" s="24"/>
      <c r="DE333" s="24"/>
      <c r="DF333" s="24"/>
      <c r="DG333" s="24"/>
      <c r="DH333" s="24"/>
      <c r="DJ333" s="24">
        <v>2020</v>
      </c>
      <c r="DK333" s="24">
        <v>24</v>
      </c>
      <c r="DL333" s="24" t="s">
        <v>33</v>
      </c>
      <c r="DM333" s="24">
        <v>440</v>
      </c>
      <c r="DP333" s="24"/>
      <c r="DQ333" s="24"/>
      <c r="DR333" s="24"/>
      <c r="DS333" s="24"/>
      <c r="DW333" s="24">
        <v>2021</v>
      </c>
      <c r="DX333" s="24">
        <v>16</v>
      </c>
      <c r="DY333" s="24" t="s">
        <v>33</v>
      </c>
      <c r="DZ333" s="24">
        <v>9</v>
      </c>
      <c r="EA333" s="24" t="s">
        <v>562</v>
      </c>
      <c r="EB333" s="24">
        <v>56.6</v>
      </c>
      <c r="EC333" s="24">
        <v>0</v>
      </c>
      <c r="ED333" s="24"/>
      <c r="EE333" s="24">
        <v>2252</v>
      </c>
      <c r="EF333" s="24">
        <v>48.5</v>
      </c>
      <c r="EI333" s="24">
        <v>2022</v>
      </c>
      <c r="EJ333" s="24">
        <v>52</v>
      </c>
      <c r="EK333" s="24" t="s">
        <v>566</v>
      </c>
      <c r="EL333" s="24" t="s">
        <v>247</v>
      </c>
      <c r="EM333" s="24" t="s">
        <v>210</v>
      </c>
      <c r="EN333" s="24">
        <v>2</v>
      </c>
      <c r="EO333" s="24"/>
      <c r="EP333" s="24"/>
      <c r="EQ333" s="24"/>
      <c r="ER333" s="24"/>
      <c r="ES333" s="24">
        <v>2020</v>
      </c>
      <c r="ET333" s="24">
        <v>51</v>
      </c>
      <c r="EU333" s="24" t="s">
        <v>32</v>
      </c>
      <c r="EV333" s="24">
        <v>2257</v>
      </c>
      <c r="EY333" s="24"/>
      <c r="EZ333" s="24"/>
      <c r="FA333" s="24"/>
      <c r="FB333" s="24"/>
      <c r="FE333" s="24"/>
      <c r="FF333" s="24"/>
      <c r="FG333" s="24"/>
      <c r="FH333" s="24"/>
      <c r="FN333" s="24"/>
      <c r="FO333" s="24"/>
      <c r="FP333" s="24"/>
      <c r="FQ333" s="24"/>
      <c r="FW333" s="24">
        <v>2020</v>
      </c>
      <c r="FX333" s="24">
        <v>20</v>
      </c>
      <c r="FY333" s="24" t="s">
        <v>33</v>
      </c>
      <c r="FZ333" s="24">
        <v>7062</v>
      </c>
      <c r="GA333" s="24">
        <v>6707</v>
      </c>
      <c r="GB333" s="24"/>
      <c r="GC333" s="24"/>
      <c r="GD333" s="314">
        <v>2020</v>
      </c>
      <c r="GE333" s="314">
        <v>20</v>
      </c>
      <c r="GF333" s="314" t="s">
        <v>33</v>
      </c>
      <c r="GG333" s="314">
        <v>6985</v>
      </c>
      <c r="GH333" s="314">
        <v>6806</v>
      </c>
      <c r="GK333" s="24"/>
      <c r="GL333" s="24"/>
      <c r="GM333" s="24"/>
      <c r="GN333" s="24"/>
      <c r="GO333" s="24"/>
      <c r="GP333" s="24"/>
      <c r="GQ333" s="24"/>
      <c r="GR333" s="24"/>
      <c r="GS333" s="24"/>
      <c r="GX333">
        <v>2020</v>
      </c>
      <c r="GY333">
        <v>20</v>
      </c>
      <c r="GZ333" t="s">
        <v>33</v>
      </c>
      <c r="HA333">
        <v>202168</v>
      </c>
      <c r="HB333">
        <v>193642</v>
      </c>
      <c r="HC333">
        <v>280</v>
      </c>
      <c r="HD333">
        <v>203</v>
      </c>
      <c r="HE333">
        <v>0</v>
      </c>
      <c r="HF333">
        <v>5703</v>
      </c>
      <c r="HG333">
        <v>0</v>
      </c>
      <c r="HH333">
        <v>0</v>
      </c>
      <c r="HI333">
        <v>1347</v>
      </c>
      <c r="HL333">
        <v>2020</v>
      </c>
      <c r="HM333">
        <v>20</v>
      </c>
      <c r="HN333" t="s">
        <v>33</v>
      </c>
      <c r="HO333">
        <v>201094</v>
      </c>
      <c r="HP333">
        <v>195221</v>
      </c>
      <c r="HQ333">
        <v>280</v>
      </c>
      <c r="HR333">
        <v>161</v>
      </c>
      <c r="HS333">
        <v>0</v>
      </c>
      <c r="HT333">
        <v>5341</v>
      </c>
      <c r="HU333">
        <v>0</v>
      </c>
      <c r="HV333">
        <v>0</v>
      </c>
      <c r="HW333">
        <v>698</v>
      </c>
      <c r="HZ333" s="24">
        <v>2020</v>
      </c>
      <c r="IA333" s="24">
        <v>20</v>
      </c>
      <c r="IB333" s="24" t="s">
        <v>33</v>
      </c>
      <c r="IC333" s="24">
        <v>7391</v>
      </c>
      <c r="ID333" s="24">
        <v>6808</v>
      </c>
      <c r="IG333" s="24">
        <v>2020</v>
      </c>
      <c r="IH333" s="24">
        <v>20</v>
      </c>
      <c r="II333" s="24" t="s">
        <v>33</v>
      </c>
      <c r="IJ333" s="24">
        <v>6367</v>
      </c>
      <c r="IK333" s="24">
        <v>6302</v>
      </c>
    </row>
    <row r="334" spans="9:245" x14ac:dyDescent="0.4">
      <c r="I334" s="305">
        <v>2020</v>
      </c>
      <c r="J334" s="306">
        <v>20</v>
      </c>
      <c r="K334" s="306" t="s">
        <v>33</v>
      </c>
      <c r="L334" s="306">
        <v>201930</v>
      </c>
      <c r="M334" s="306">
        <v>193764</v>
      </c>
      <c r="N334" s="306">
        <v>393</v>
      </c>
      <c r="O334" s="306">
        <v>1919</v>
      </c>
      <c r="P334" s="306">
        <v>283</v>
      </c>
      <c r="Q334" s="306">
        <v>21</v>
      </c>
      <c r="R334" s="24"/>
      <c r="S334" s="24"/>
      <c r="T334" s="24"/>
      <c r="W334" s="24">
        <v>2020</v>
      </c>
      <c r="X334" s="24">
        <v>19</v>
      </c>
      <c r="Y334" s="24" t="s">
        <v>32</v>
      </c>
      <c r="Z334" s="24">
        <v>7257</v>
      </c>
      <c r="AA334" s="24">
        <v>6746</v>
      </c>
      <c r="AB334" s="24">
        <v>58</v>
      </c>
      <c r="AC334" s="24">
        <v>1</v>
      </c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I334" s="24">
        <v>2021</v>
      </c>
      <c r="BJ334" s="24">
        <v>40</v>
      </c>
      <c r="BK334" s="24" t="s">
        <v>33</v>
      </c>
      <c r="BL334" s="24" t="s">
        <v>273</v>
      </c>
      <c r="BM334" s="24">
        <v>95571</v>
      </c>
      <c r="BN334" s="24">
        <v>94212</v>
      </c>
      <c r="BO334" s="24">
        <v>98766</v>
      </c>
      <c r="BR334" s="24"/>
      <c r="BS334" s="24"/>
      <c r="BT334" s="24"/>
      <c r="BU334" s="24"/>
      <c r="BV334" s="24"/>
      <c r="CF334" s="24"/>
      <c r="CG334" s="24"/>
      <c r="CH334" s="24"/>
      <c r="CI334" s="24"/>
      <c r="CJ334" s="24"/>
      <c r="DD334" s="24"/>
      <c r="DE334" s="24"/>
      <c r="DF334" s="24"/>
      <c r="DG334" s="24"/>
      <c r="DH334" s="24"/>
      <c r="DJ334" s="24">
        <v>2020</v>
      </c>
      <c r="DK334" s="24">
        <v>23</v>
      </c>
      <c r="DL334" s="24" t="s">
        <v>32</v>
      </c>
      <c r="DM334" s="24">
        <v>1</v>
      </c>
      <c r="DP334" s="24"/>
      <c r="DQ334" s="24"/>
      <c r="DR334" s="24"/>
      <c r="DS334" s="24"/>
      <c r="DW334" s="24">
        <v>2021</v>
      </c>
      <c r="DX334" s="24">
        <v>16</v>
      </c>
      <c r="DY334" s="24" t="s">
        <v>33</v>
      </c>
      <c r="DZ334" s="24">
        <v>40</v>
      </c>
      <c r="EA334" s="24" t="s">
        <v>149</v>
      </c>
      <c r="EB334" s="24">
        <v>87.9</v>
      </c>
      <c r="EC334" s="24">
        <v>1015.3</v>
      </c>
      <c r="ED334" s="24">
        <v>34345</v>
      </c>
      <c r="EE334" s="24">
        <v>36333</v>
      </c>
      <c r="EF334" s="24">
        <v>259.7</v>
      </c>
      <c r="EI334" s="24">
        <v>2022</v>
      </c>
      <c r="EJ334" s="24">
        <v>52</v>
      </c>
      <c r="EK334" s="24" t="s">
        <v>558</v>
      </c>
      <c r="EL334" s="24" t="s">
        <v>555</v>
      </c>
      <c r="EM334" s="24" t="s">
        <v>210</v>
      </c>
      <c r="EN334" s="24">
        <v>13</v>
      </c>
      <c r="EO334" s="24"/>
      <c r="EP334" s="24"/>
      <c r="EQ334" s="24"/>
      <c r="ER334" s="24"/>
      <c r="ES334" s="24">
        <v>2020</v>
      </c>
      <c r="ET334" s="24">
        <v>51</v>
      </c>
      <c r="EU334" s="24" t="s">
        <v>33</v>
      </c>
      <c r="EV334" s="24">
        <v>55132</v>
      </c>
      <c r="EY334" s="24"/>
      <c r="EZ334" s="24"/>
      <c r="FA334" s="24"/>
      <c r="FB334" s="24"/>
      <c r="FE334" s="24"/>
      <c r="FF334" s="24"/>
      <c r="FG334" s="24"/>
      <c r="FH334" s="24"/>
      <c r="FN334" s="24"/>
      <c r="FO334" s="24"/>
      <c r="FP334" s="24"/>
      <c r="FQ334" s="24"/>
      <c r="FW334" s="24">
        <v>2020</v>
      </c>
      <c r="FX334" s="24">
        <v>19</v>
      </c>
      <c r="FY334" s="24" t="s">
        <v>32</v>
      </c>
      <c r="FZ334" s="24">
        <v>627</v>
      </c>
      <c r="GA334" s="24">
        <v>479</v>
      </c>
      <c r="GB334" s="24"/>
      <c r="GC334" s="24"/>
      <c r="GD334" s="24">
        <v>2020</v>
      </c>
      <c r="GE334" s="24">
        <v>19</v>
      </c>
      <c r="GF334" s="24" t="s">
        <v>32</v>
      </c>
      <c r="GG334" s="24">
        <v>610</v>
      </c>
      <c r="GH334" s="24">
        <v>475</v>
      </c>
      <c r="GK334" s="24"/>
      <c r="GL334" s="24"/>
      <c r="GM334" s="24"/>
      <c r="GN334" s="24"/>
      <c r="GO334" s="24"/>
      <c r="GP334" s="24"/>
      <c r="GQ334" s="24"/>
      <c r="GR334" s="24"/>
      <c r="GS334" s="24"/>
      <c r="GX334">
        <v>2020</v>
      </c>
      <c r="GY334">
        <v>19</v>
      </c>
      <c r="GZ334" t="s">
        <v>32</v>
      </c>
      <c r="HA334">
        <v>7413</v>
      </c>
      <c r="HB334">
        <v>6955</v>
      </c>
      <c r="HC334">
        <v>0</v>
      </c>
      <c r="HD334">
        <v>2</v>
      </c>
      <c r="HE334">
        <v>0</v>
      </c>
      <c r="HF334">
        <v>69</v>
      </c>
      <c r="HG334">
        <v>0</v>
      </c>
      <c r="HH334">
        <v>0</v>
      </c>
      <c r="HI334">
        <v>56</v>
      </c>
      <c r="HL334">
        <v>2020</v>
      </c>
      <c r="HM334">
        <v>19</v>
      </c>
      <c r="HN334" t="s">
        <v>32</v>
      </c>
      <c r="HO334">
        <v>7185</v>
      </c>
      <c r="HP334">
        <v>7100</v>
      </c>
      <c r="HQ334">
        <v>0</v>
      </c>
      <c r="HR334">
        <v>2</v>
      </c>
      <c r="HS334">
        <v>0</v>
      </c>
      <c r="HT334">
        <v>49</v>
      </c>
      <c r="HU334">
        <v>0</v>
      </c>
      <c r="HV334">
        <v>0</v>
      </c>
      <c r="HW334">
        <v>1</v>
      </c>
      <c r="HZ334" s="24">
        <v>2020</v>
      </c>
      <c r="IA334" s="24">
        <v>19</v>
      </c>
      <c r="IB334" s="24" t="s">
        <v>32</v>
      </c>
      <c r="IC334" s="24">
        <v>662</v>
      </c>
      <c r="ID334" s="24">
        <v>506</v>
      </c>
      <c r="IG334" s="24">
        <v>2020</v>
      </c>
      <c r="IH334" s="24">
        <v>19</v>
      </c>
      <c r="II334" s="24" t="s">
        <v>32</v>
      </c>
      <c r="IJ334" s="24">
        <v>594</v>
      </c>
      <c r="IK334" s="24">
        <v>580</v>
      </c>
    </row>
    <row r="335" spans="9:245" x14ac:dyDescent="0.4">
      <c r="I335" s="305">
        <v>2020</v>
      </c>
      <c r="J335" s="306">
        <v>19</v>
      </c>
      <c r="K335" s="306" t="s">
        <v>32</v>
      </c>
      <c r="L335" s="306">
        <v>7213</v>
      </c>
      <c r="M335" s="306">
        <v>6748</v>
      </c>
      <c r="N335" s="306">
        <v>16</v>
      </c>
      <c r="O335" s="306">
        <v>168</v>
      </c>
      <c r="P335" s="306">
        <v>59</v>
      </c>
      <c r="Q335" s="306">
        <v>1</v>
      </c>
      <c r="R335" s="24"/>
      <c r="S335" s="24"/>
      <c r="T335" s="24"/>
      <c r="W335" s="24">
        <v>2020</v>
      </c>
      <c r="X335" s="24">
        <v>19</v>
      </c>
      <c r="Y335" s="24" t="s">
        <v>33</v>
      </c>
      <c r="Z335" s="24">
        <v>182982</v>
      </c>
      <c r="AA335" s="24">
        <v>173631</v>
      </c>
      <c r="AB335" s="24">
        <v>154</v>
      </c>
      <c r="AC335" s="24">
        <v>85</v>
      </c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I335" s="24">
        <v>2021</v>
      </c>
      <c r="BJ335" s="24">
        <v>40</v>
      </c>
      <c r="BK335" s="24" t="s">
        <v>32</v>
      </c>
      <c r="BL335" s="24" t="s">
        <v>272</v>
      </c>
      <c r="BM335" s="24">
        <v>2322</v>
      </c>
      <c r="BN335" s="24">
        <v>2321</v>
      </c>
      <c r="BO335" s="24">
        <v>7742</v>
      </c>
      <c r="BR335" s="24"/>
      <c r="BS335" s="24"/>
      <c r="BT335" s="24"/>
      <c r="BU335" s="24"/>
      <c r="BV335" s="24"/>
      <c r="CF335" s="24"/>
      <c r="CG335" s="24"/>
      <c r="CH335" s="24"/>
      <c r="CI335" s="24"/>
      <c r="CJ335" s="24"/>
      <c r="DD335" s="24"/>
      <c r="DE335" s="24"/>
      <c r="DF335" s="24"/>
      <c r="DG335" s="24"/>
      <c r="DH335" s="24"/>
      <c r="DJ335" s="24">
        <v>2020</v>
      </c>
      <c r="DK335" s="24">
        <v>23</v>
      </c>
      <c r="DL335" s="24" t="s">
        <v>33</v>
      </c>
      <c r="DM335" s="24">
        <v>364</v>
      </c>
      <c r="DP335" s="24"/>
      <c r="DQ335" s="24"/>
      <c r="DR335" s="24"/>
      <c r="DS335" s="24"/>
      <c r="DW335" s="24">
        <v>2021</v>
      </c>
      <c r="DX335" s="24">
        <v>15</v>
      </c>
      <c r="DY335" s="24" t="s">
        <v>32</v>
      </c>
      <c r="DZ335" s="24">
        <v>1</v>
      </c>
      <c r="EA335" s="24" t="s">
        <v>149</v>
      </c>
      <c r="EB335" s="24">
        <v>0</v>
      </c>
      <c r="EC335" s="24">
        <v>52</v>
      </c>
      <c r="ED335" s="24">
        <v>2129</v>
      </c>
      <c r="EE335" s="24">
        <v>2099</v>
      </c>
      <c r="EF335" s="24">
        <v>7.2</v>
      </c>
      <c r="EI335" s="24">
        <v>2022</v>
      </c>
      <c r="EJ335" s="24">
        <v>52</v>
      </c>
      <c r="EK335" s="24" t="s">
        <v>558</v>
      </c>
      <c r="EL335" s="24" t="s">
        <v>557</v>
      </c>
      <c r="EM335" s="24" t="s">
        <v>210</v>
      </c>
      <c r="EN335" s="24">
        <v>174</v>
      </c>
      <c r="EO335" s="24"/>
      <c r="EP335" s="24"/>
      <c r="EQ335" s="24"/>
      <c r="ER335" s="24"/>
      <c r="ES335" s="24">
        <v>2020</v>
      </c>
      <c r="ET335" s="24">
        <v>51</v>
      </c>
      <c r="EU335" s="24" t="s">
        <v>213</v>
      </c>
      <c r="EV335" s="24">
        <v>10</v>
      </c>
      <c r="EY335" s="24"/>
      <c r="EZ335" s="24"/>
      <c r="FA335" s="24"/>
      <c r="FB335" s="24"/>
      <c r="FE335" s="24"/>
      <c r="FF335" s="24"/>
      <c r="FG335" s="24"/>
      <c r="FH335" s="24"/>
      <c r="FN335" s="24"/>
      <c r="FO335" s="24"/>
      <c r="FP335" s="24"/>
      <c r="FQ335" s="24"/>
      <c r="FW335" s="24">
        <v>2020</v>
      </c>
      <c r="FX335" s="24">
        <v>19</v>
      </c>
      <c r="FY335" s="24" t="s">
        <v>33</v>
      </c>
      <c r="FZ335" s="24">
        <v>5430</v>
      </c>
      <c r="GA335" s="24">
        <v>4659</v>
      </c>
      <c r="GB335" s="24"/>
      <c r="GC335" s="24"/>
      <c r="GD335" s="24">
        <v>2020</v>
      </c>
      <c r="GE335" s="24">
        <v>19</v>
      </c>
      <c r="GF335" s="24" t="s">
        <v>33</v>
      </c>
      <c r="GG335" s="24">
        <v>5500</v>
      </c>
      <c r="GH335" s="24">
        <v>4770</v>
      </c>
      <c r="GK335" s="24"/>
      <c r="GL335" s="24"/>
      <c r="GM335" s="24"/>
      <c r="GN335" s="24"/>
      <c r="GO335" s="24"/>
      <c r="GP335" s="24"/>
      <c r="GQ335" s="24"/>
      <c r="GR335" s="24"/>
      <c r="GS335" s="24"/>
      <c r="GX335">
        <v>2020</v>
      </c>
      <c r="GY335">
        <v>19</v>
      </c>
      <c r="GZ335" t="s">
        <v>33</v>
      </c>
      <c r="HA335">
        <v>184652</v>
      </c>
      <c r="HB335">
        <v>175514</v>
      </c>
      <c r="HC335">
        <v>188</v>
      </c>
      <c r="HD335">
        <v>185</v>
      </c>
      <c r="HE335">
        <v>1</v>
      </c>
      <c r="HF335">
        <v>1685</v>
      </c>
      <c r="HG335">
        <v>0</v>
      </c>
      <c r="HH335">
        <v>0</v>
      </c>
      <c r="HI335">
        <v>947</v>
      </c>
      <c r="HL335">
        <v>2020</v>
      </c>
      <c r="HM335">
        <v>19</v>
      </c>
      <c r="HN335" t="s">
        <v>33</v>
      </c>
      <c r="HO335">
        <v>182418</v>
      </c>
      <c r="HP335">
        <v>181018</v>
      </c>
      <c r="HQ335">
        <v>163</v>
      </c>
      <c r="HR335">
        <v>79</v>
      </c>
      <c r="HS335">
        <v>1</v>
      </c>
      <c r="HT335">
        <v>1106</v>
      </c>
      <c r="HU335">
        <v>0</v>
      </c>
      <c r="HV335">
        <v>0</v>
      </c>
      <c r="HW335">
        <v>243</v>
      </c>
      <c r="HZ335" s="24">
        <v>2020</v>
      </c>
      <c r="IA335" s="24">
        <v>19</v>
      </c>
      <c r="IB335" s="24" t="s">
        <v>33</v>
      </c>
      <c r="IC335" s="24">
        <v>5306</v>
      </c>
      <c r="ID335" s="24">
        <v>4373</v>
      </c>
      <c r="IG335" s="24">
        <v>2020</v>
      </c>
      <c r="IH335" s="24">
        <v>19</v>
      </c>
      <c r="II335" s="24" t="s">
        <v>33</v>
      </c>
      <c r="IJ335" s="24">
        <v>4778</v>
      </c>
      <c r="IK335" s="24">
        <v>4697</v>
      </c>
    </row>
    <row r="336" spans="9:245" x14ac:dyDescent="0.4">
      <c r="I336" s="305">
        <v>2020</v>
      </c>
      <c r="J336" s="306">
        <v>19</v>
      </c>
      <c r="K336" s="306" t="s">
        <v>33</v>
      </c>
      <c r="L336" s="306">
        <v>183010</v>
      </c>
      <c r="M336" s="306">
        <v>173089</v>
      </c>
      <c r="N336" s="306">
        <v>355</v>
      </c>
      <c r="O336" s="306">
        <v>2411</v>
      </c>
      <c r="P336" s="306">
        <v>196</v>
      </c>
      <c r="Q336" s="306">
        <v>84</v>
      </c>
      <c r="R336" s="24"/>
      <c r="S336" s="24"/>
      <c r="T336" s="24"/>
      <c r="W336" s="315">
        <v>2020</v>
      </c>
      <c r="X336" s="315">
        <v>18</v>
      </c>
      <c r="Y336" s="315" t="s">
        <v>32</v>
      </c>
      <c r="Z336" s="315">
        <v>5962</v>
      </c>
      <c r="AA336" s="315">
        <v>4931</v>
      </c>
      <c r="AB336" s="315">
        <v>39</v>
      </c>
      <c r="AC336" s="315"/>
      <c r="AI336" s="24"/>
      <c r="AJ336" s="24"/>
      <c r="AK336" s="254"/>
      <c r="AL336" s="254"/>
      <c r="AM336" s="254"/>
      <c r="AN336" s="254"/>
      <c r="AO336" s="24"/>
      <c r="AP336" s="24"/>
      <c r="AQ336" s="24"/>
      <c r="AR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I336" s="24">
        <v>2021</v>
      </c>
      <c r="BJ336" s="24">
        <v>40</v>
      </c>
      <c r="BK336" s="24" t="s">
        <v>32</v>
      </c>
      <c r="BL336" s="24" t="s">
        <v>273</v>
      </c>
      <c r="BM336" s="24">
        <v>5520</v>
      </c>
      <c r="BN336" s="24">
        <v>5485</v>
      </c>
      <c r="BO336" s="24">
        <v>5598</v>
      </c>
      <c r="BR336" s="24"/>
      <c r="BS336" s="24"/>
      <c r="BT336" s="24"/>
      <c r="BU336" s="24"/>
      <c r="BV336" s="24"/>
      <c r="CF336" s="24"/>
      <c r="CG336" s="24"/>
      <c r="CH336" s="24"/>
      <c r="CI336" s="24"/>
      <c r="CJ336" s="24"/>
      <c r="DD336" s="24"/>
      <c r="DE336" s="24"/>
      <c r="DF336" s="24"/>
      <c r="DG336" s="24"/>
      <c r="DH336" s="24"/>
      <c r="DJ336" s="24">
        <v>2020</v>
      </c>
      <c r="DK336" s="24">
        <v>22</v>
      </c>
      <c r="DL336" s="24" t="s">
        <v>32</v>
      </c>
      <c r="DM336" s="24">
        <v>6</v>
      </c>
      <c r="DP336" s="24"/>
      <c r="DQ336" s="24"/>
      <c r="DR336" s="24"/>
      <c r="DS336" s="24"/>
      <c r="DW336" s="24">
        <v>2021</v>
      </c>
      <c r="DX336" s="24">
        <v>15</v>
      </c>
      <c r="DY336" s="24" t="s">
        <v>33</v>
      </c>
      <c r="DZ336" s="24">
        <v>9</v>
      </c>
      <c r="EA336" s="24" t="s">
        <v>562</v>
      </c>
      <c r="EB336" s="24">
        <v>70.3</v>
      </c>
      <c r="EC336" s="24">
        <v>0</v>
      </c>
      <c r="ED336" s="24"/>
      <c r="EE336" s="24">
        <v>2773</v>
      </c>
      <c r="EF336" s="24">
        <v>38.6</v>
      </c>
      <c r="EI336" s="24">
        <v>2022</v>
      </c>
      <c r="EJ336" s="24">
        <v>52</v>
      </c>
      <c r="EK336" s="24" t="s">
        <v>558</v>
      </c>
      <c r="EL336" s="24" t="s">
        <v>557</v>
      </c>
      <c r="EM336" s="24" t="s">
        <v>234</v>
      </c>
      <c r="EN336" s="24">
        <v>4</v>
      </c>
      <c r="EO336" s="24"/>
      <c r="EP336" s="24"/>
      <c r="EQ336" s="24"/>
      <c r="ER336" s="24"/>
      <c r="ES336" s="24">
        <v>2020</v>
      </c>
      <c r="ET336" s="24">
        <v>50</v>
      </c>
      <c r="EU336" s="24" t="s">
        <v>32</v>
      </c>
      <c r="EV336" s="24">
        <v>2390</v>
      </c>
      <c r="EY336" s="24"/>
      <c r="EZ336" s="24"/>
      <c r="FA336" s="24"/>
      <c r="FB336" s="24"/>
      <c r="FE336" s="24"/>
      <c r="FF336" s="24"/>
      <c r="FG336" s="24"/>
      <c r="FH336" s="24"/>
      <c r="FN336" s="24"/>
      <c r="FO336" s="24"/>
      <c r="FP336" s="24"/>
      <c r="FQ336" s="24"/>
      <c r="FW336" s="24">
        <v>2020</v>
      </c>
      <c r="FX336" s="24">
        <v>18</v>
      </c>
      <c r="FY336" s="24" t="s">
        <v>32</v>
      </c>
      <c r="FZ336" s="24">
        <v>602</v>
      </c>
      <c r="GA336" s="24">
        <v>451</v>
      </c>
      <c r="GB336" s="24"/>
      <c r="GC336" s="24"/>
      <c r="GD336" s="315">
        <v>2020</v>
      </c>
      <c r="GE336" s="315">
        <v>18</v>
      </c>
      <c r="GF336" s="315" t="s">
        <v>32</v>
      </c>
      <c r="GG336" s="315">
        <v>547</v>
      </c>
      <c r="GH336" s="315">
        <v>398</v>
      </c>
      <c r="GK336" s="24"/>
      <c r="GL336" s="24"/>
      <c r="GM336" s="24"/>
      <c r="GN336" s="24"/>
      <c r="GO336" s="24"/>
      <c r="GP336" s="24"/>
      <c r="GQ336" s="24"/>
      <c r="GR336" s="24"/>
      <c r="GS336" s="24"/>
      <c r="GX336">
        <v>2020</v>
      </c>
      <c r="GY336">
        <v>18</v>
      </c>
      <c r="GZ336" t="s">
        <v>32</v>
      </c>
      <c r="HA336">
        <v>5857</v>
      </c>
      <c r="HB336">
        <v>4895</v>
      </c>
      <c r="HC336">
        <v>0</v>
      </c>
      <c r="HD336">
        <v>0</v>
      </c>
      <c r="HE336">
        <v>0</v>
      </c>
      <c r="HF336">
        <v>24</v>
      </c>
      <c r="HG336">
        <v>0</v>
      </c>
      <c r="HH336">
        <v>0</v>
      </c>
      <c r="HI336">
        <v>69</v>
      </c>
      <c r="HL336">
        <v>2020</v>
      </c>
      <c r="HM336">
        <v>18</v>
      </c>
      <c r="HN336" t="s">
        <v>32</v>
      </c>
      <c r="HO336">
        <v>5945</v>
      </c>
      <c r="HP336">
        <v>5918</v>
      </c>
      <c r="HQ336">
        <v>0</v>
      </c>
      <c r="HR336">
        <v>0</v>
      </c>
      <c r="HS336">
        <v>0</v>
      </c>
      <c r="HT336">
        <v>0</v>
      </c>
      <c r="HU336">
        <v>0</v>
      </c>
      <c r="HV336">
        <v>0</v>
      </c>
      <c r="HW336">
        <v>1</v>
      </c>
      <c r="HZ336" s="24">
        <v>2020</v>
      </c>
      <c r="IA336" s="24">
        <v>18</v>
      </c>
      <c r="IB336" s="24" t="s">
        <v>32</v>
      </c>
      <c r="IC336" s="24">
        <v>545</v>
      </c>
      <c r="ID336" s="24">
        <v>390</v>
      </c>
      <c r="IG336" s="24">
        <v>2020</v>
      </c>
      <c r="IH336" s="24">
        <v>18</v>
      </c>
      <c r="II336" s="24" t="s">
        <v>32</v>
      </c>
      <c r="IJ336" s="24">
        <v>529</v>
      </c>
      <c r="IK336" s="24">
        <v>528</v>
      </c>
    </row>
    <row r="337" spans="9:245" x14ac:dyDescent="0.4">
      <c r="I337" s="305">
        <v>2020</v>
      </c>
      <c r="J337" s="306">
        <v>18</v>
      </c>
      <c r="K337" s="306" t="s">
        <v>32</v>
      </c>
      <c r="L337" s="306">
        <v>6079</v>
      </c>
      <c r="M337" s="306">
        <v>5114</v>
      </c>
      <c r="N337" s="306">
        <v>33</v>
      </c>
      <c r="O337" s="306">
        <v>242</v>
      </c>
      <c r="P337" s="306">
        <v>45</v>
      </c>
      <c r="Q337" s="306">
        <v>2</v>
      </c>
      <c r="R337" s="24"/>
      <c r="S337" s="24"/>
      <c r="T337" s="24"/>
      <c r="W337" s="315">
        <v>2020</v>
      </c>
      <c r="X337" s="315">
        <v>18</v>
      </c>
      <c r="Y337" s="315" t="s">
        <v>33</v>
      </c>
      <c r="Z337" s="315">
        <v>175146</v>
      </c>
      <c r="AA337" s="315">
        <v>156586</v>
      </c>
      <c r="AB337" s="315">
        <v>168</v>
      </c>
      <c r="AC337" s="315">
        <v>19</v>
      </c>
      <c r="AI337" s="24"/>
      <c r="AJ337" s="24"/>
      <c r="AK337" s="254"/>
      <c r="AL337" s="254"/>
      <c r="AM337" s="254"/>
      <c r="AN337" s="254"/>
      <c r="AO337" s="24"/>
      <c r="AP337" s="24"/>
      <c r="AQ337" s="24"/>
      <c r="AR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I337" s="24">
        <v>2021</v>
      </c>
      <c r="BJ337" s="24">
        <v>40</v>
      </c>
      <c r="BK337" s="24" t="s">
        <v>33</v>
      </c>
      <c r="BL337" s="24" t="s">
        <v>272</v>
      </c>
      <c r="BM337" s="24">
        <v>50233</v>
      </c>
      <c r="BN337" s="24">
        <v>50199</v>
      </c>
      <c r="BO337" s="24">
        <v>179643</v>
      </c>
      <c r="BR337" s="24"/>
      <c r="BS337" s="24"/>
      <c r="BT337" s="24"/>
      <c r="BU337" s="24"/>
      <c r="BV337" s="24"/>
      <c r="CF337" s="24"/>
      <c r="CG337" s="24"/>
      <c r="CH337" s="24"/>
      <c r="CI337" s="24"/>
      <c r="CJ337" s="24"/>
      <c r="DD337" s="24"/>
      <c r="DE337" s="24"/>
      <c r="DF337" s="24"/>
      <c r="DG337" s="24"/>
      <c r="DH337" s="24"/>
      <c r="DJ337" s="24">
        <v>2020</v>
      </c>
      <c r="DK337" s="24">
        <v>22</v>
      </c>
      <c r="DL337" s="24" t="s">
        <v>33</v>
      </c>
      <c r="DM337" s="24">
        <v>498</v>
      </c>
      <c r="DP337" s="24"/>
      <c r="DQ337" s="24"/>
      <c r="DR337" s="24"/>
      <c r="DS337" s="24"/>
      <c r="DW337" s="24">
        <v>2021</v>
      </c>
      <c r="DX337" s="24">
        <v>15</v>
      </c>
      <c r="DY337" s="24" t="s">
        <v>33</v>
      </c>
      <c r="DZ337" s="24">
        <v>40</v>
      </c>
      <c r="EA337" s="24" t="s">
        <v>149</v>
      </c>
      <c r="EB337" s="24">
        <v>100.7</v>
      </c>
      <c r="EC337" s="24">
        <v>1222</v>
      </c>
      <c r="ED337" s="24">
        <v>42586</v>
      </c>
      <c r="EE337" s="24">
        <v>45657</v>
      </c>
      <c r="EF337" s="24">
        <v>269.10000000000002</v>
      </c>
      <c r="EI337" s="24">
        <v>2022</v>
      </c>
      <c r="EJ337" s="24">
        <v>52</v>
      </c>
      <c r="EK337" s="24" t="s">
        <v>558</v>
      </c>
      <c r="EL337" s="24" t="s">
        <v>557</v>
      </c>
      <c r="EM337" s="24" t="s">
        <v>215</v>
      </c>
      <c r="EN337" s="24">
        <v>9</v>
      </c>
      <c r="EO337" s="24"/>
      <c r="EP337" s="24"/>
      <c r="EQ337" s="24"/>
      <c r="ER337" s="24"/>
      <c r="ES337" s="24">
        <v>2020</v>
      </c>
      <c r="ET337" s="24">
        <v>50</v>
      </c>
      <c r="EU337" s="24" t="s">
        <v>33</v>
      </c>
      <c r="EV337" s="24">
        <v>49934</v>
      </c>
      <c r="EY337" s="24"/>
      <c r="EZ337" s="24"/>
      <c r="FA337" s="24"/>
      <c r="FB337" s="24"/>
      <c r="FE337" s="24"/>
      <c r="FF337" s="24"/>
      <c r="FG337" s="24"/>
      <c r="FH337" s="24"/>
      <c r="FN337" s="24"/>
      <c r="FO337" s="24"/>
      <c r="FP337" s="24"/>
      <c r="FQ337" s="24"/>
      <c r="FW337" s="24">
        <v>2020</v>
      </c>
      <c r="FX337" s="24">
        <v>18</v>
      </c>
      <c r="FY337" s="24" t="s">
        <v>33</v>
      </c>
      <c r="FZ337" s="24">
        <v>4341</v>
      </c>
      <c r="GA337" s="24">
        <v>3483</v>
      </c>
      <c r="GB337" s="24"/>
      <c r="GC337" s="24"/>
      <c r="GD337" s="315">
        <v>2020</v>
      </c>
      <c r="GE337" s="315">
        <v>18</v>
      </c>
      <c r="GF337" s="315" t="s">
        <v>33</v>
      </c>
      <c r="GG337" s="315">
        <v>4227</v>
      </c>
      <c r="GH337" s="315">
        <v>3457</v>
      </c>
      <c r="GK337" s="24"/>
      <c r="GL337" s="24"/>
      <c r="GM337" s="24"/>
      <c r="GN337" s="24"/>
      <c r="GO337" s="24"/>
      <c r="GP337" s="24"/>
      <c r="GQ337" s="24"/>
      <c r="GR337" s="24"/>
      <c r="GS337" s="24"/>
      <c r="GX337">
        <v>2020</v>
      </c>
      <c r="GY337">
        <v>18</v>
      </c>
      <c r="GZ337" t="s">
        <v>33</v>
      </c>
      <c r="HA337">
        <v>176997</v>
      </c>
      <c r="HB337">
        <v>152795</v>
      </c>
      <c r="HC337">
        <v>161</v>
      </c>
      <c r="HD337">
        <v>37</v>
      </c>
      <c r="HE337">
        <v>0</v>
      </c>
      <c r="HF337">
        <v>1279</v>
      </c>
      <c r="HG337">
        <v>0</v>
      </c>
      <c r="HH337">
        <v>0</v>
      </c>
      <c r="HI337">
        <v>2650</v>
      </c>
      <c r="HL337">
        <v>2020</v>
      </c>
      <c r="HM337">
        <v>18</v>
      </c>
      <c r="HN337" t="s">
        <v>33</v>
      </c>
      <c r="HO337">
        <v>174745</v>
      </c>
      <c r="HP337">
        <v>174313</v>
      </c>
      <c r="HQ337">
        <v>122</v>
      </c>
      <c r="HR337">
        <v>3</v>
      </c>
      <c r="HS337">
        <v>0</v>
      </c>
      <c r="HT337">
        <v>230</v>
      </c>
      <c r="HU337">
        <v>0</v>
      </c>
      <c r="HV337">
        <v>0</v>
      </c>
      <c r="HW337">
        <v>52</v>
      </c>
      <c r="HZ337" s="24">
        <v>2020</v>
      </c>
      <c r="IA337" s="24">
        <v>18</v>
      </c>
      <c r="IB337" s="24" t="s">
        <v>33</v>
      </c>
      <c r="IC337" s="24">
        <v>4657</v>
      </c>
      <c r="ID337" s="24">
        <v>3530</v>
      </c>
      <c r="IG337" s="24">
        <v>2020</v>
      </c>
      <c r="IH337" s="24">
        <v>18</v>
      </c>
      <c r="II337" s="24" t="s">
        <v>33</v>
      </c>
      <c r="IJ337" s="24">
        <v>3744</v>
      </c>
      <c r="IK337" s="24">
        <v>3715</v>
      </c>
    </row>
    <row r="338" spans="9:245" x14ac:dyDescent="0.4">
      <c r="I338" s="305">
        <v>2020</v>
      </c>
      <c r="J338" s="306">
        <v>18</v>
      </c>
      <c r="K338" s="306" t="s">
        <v>33</v>
      </c>
      <c r="L338" s="306">
        <v>175510</v>
      </c>
      <c r="M338" s="306">
        <v>156225</v>
      </c>
      <c r="N338" s="306">
        <v>574</v>
      </c>
      <c r="O338" s="306">
        <v>3806</v>
      </c>
      <c r="P338" s="306">
        <v>229</v>
      </c>
      <c r="Q338" s="306">
        <v>15</v>
      </c>
      <c r="R338" s="24"/>
      <c r="S338" s="24"/>
      <c r="T338" s="24"/>
      <c r="W338" s="24">
        <v>2020</v>
      </c>
      <c r="X338" s="24">
        <v>17</v>
      </c>
      <c r="Y338" s="24" t="s">
        <v>32</v>
      </c>
      <c r="Z338" s="24">
        <v>6642</v>
      </c>
      <c r="AA338" s="24">
        <v>6550</v>
      </c>
      <c r="AB338" s="24">
        <v>46</v>
      </c>
      <c r="AC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I338" s="24">
        <v>2021</v>
      </c>
      <c r="BJ338" s="24">
        <v>39</v>
      </c>
      <c r="BK338" s="24" t="s">
        <v>33</v>
      </c>
      <c r="BL338" s="24" t="s">
        <v>272</v>
      </c>
      <c r="BM338" s="24">
        <v>47328</v>
      </c>
      <c r="BN338" s="24">
        <v>47300</v>
      </c>
      <c r="BO338" s="24">
        <v>170012</v>
      </c>
      <c r="BR338" s="24"/>
      <c r="BS338" s="24"/>
      <c r="BT338" s="24"/>
      <c r="BU338" s="24"/>
      <c r="BV338" s="24"/>
      <c r="CF338" s="24"/>
      <c r="CG338" s="24"/>
      <c r="CH338" s="24"/>
      <c r="CI338" s="24"/>
      <c r="CJ338" s="24"/>
      <c r="DD338" s="24"/>
      <c r="DE338" s="24"/>
      <c r="DF338" s="24"/>
      <c r="DG338" s="24"/>
      <c r="DH338" s="24"/>
      <c r="DJ338" s="24">
        <v>2020</v>
      </c>
      <c r="DK338" s="24">
        <v>21</v>
      </c>
      <c r="DL338" s="24" t="s">
        <v>32</v>
      </c>
      <c r="DM338" s="24">
        <v>15</v>
      </c>
      <c r="DP338" s="24"/>
      <c r="DQ338" s="24"/>
      <c r="DR338" s="24"/>
      <c r="DS338" s="24"/>
      <c r="DW338" s="24">
        <v>2021</v>
      </c>
      <c r="DX338" s="24">
        <v>14</v>
      </c>
      <c r="DY338" s="24" t="s">
        <v>32</v>
      </c>
      <c r="DZ338" s="24">
        <v>1</v>
      </c>
      <c r="EA338" s="24" t="s">
        <v>149</v>
      </c>
      <c r="EB338" s="24">
        <v>0</v>
      </c>
      <c r="EC338" s="24">
        <v>36</v>
      </c>
      <c r="ED338" s="24">
        <v>1527</v>
      </c>
      <c r="EE338" s="24">
        <v>1507</v>
      </c>
      <c r="EF338" s="24">
        <v>6.2</v>
      </c>
      <c r="EI338" s="24">
        <v>2022</v>
      </c>
      <c r="EJ338" s="24">
        <v>52</v>
      </c>
      <c r="EK338" s="24" t="s">
        <v>558</v>
      </c>
      <c r="EL338" s="24" t="s">
        <v>554</v>
      </c>
      <c r="EM338" s="24" t="s">
        <v>210</v>
      </c>
      <c r="EN338" s="24">
        <v>8</v>
      </c>
      <c r="EO338" s="24"/>
      <c r="EP338" s="24"/>
      <c r="EQ338" s="24"/>
      <c r="ER338" s="24"/>
      <c r="ES338" s="24">
        <v>2020</v>
      </c>
      <c r="ET338" s="24">
        <v>50</v>
      </c>
      <c r="EU338" s="24" t="s">
        <v>213</v>
      </c>
      <c r="EV338" s="24">
        <v>9</v>
      </c>
      <c r="EY338" s="24"/>
      <c r="EZ338" s="24"/>
      <c r="FA338" s="24"/>
      <c r="FB338" s="24"/>
      <c r="FE338" s="24"/>
      <c r="FF338" s="24"/>
      <c r="FG338" s="24"/>
      <c r="FH338" s="24"/>
      <c r="FN338" s="24"/>
      <c r="FO338" s="24"/>
      <c r="FP338" s="24"/>
      <c r="FQ338" s="24"/>
      <c r="FW338" s="24">
        <v>2020</v>
      </c>
      <c r="FX338" s="24">
        <v>17</v>
      </c>
      <c r="FY338" s="24" t="s">
        <v>32</v>
      </c>
      <c r="FZ338" s="24">
        <v>554</v>
      </c>
      <c r="GA338" s="24">
        <v>529</v>
      </c>
      <c r="GB338" s="24"/>
      <c r="GC338" s="24"/>
      <c r="GD338" s="24">
        <v>2020</v>
      </c>
      <c r="GE338" s="24">
        <v>17</v>
      </c>
      <c r="GF338" s="24" t="s">
        <v>32</v>
      </c>
      <c r="GG338" s="24">
        <v>603</v>
      </c>
      <c r="GH338" s="24">
        <v>587</v>
      </c>
      <c r="GK338" s="24"/>
      <c r="GL338" s="24"/>
      <c r="GM338" s="24"/>
      <c r="GN338" s="24"/>
      <c r="GO338" s="24"/>
      <c r="GP338" s="24"/>
      <c r="GQ338" s="24"/>
      <c r="GR338" s="24"/>
      <c r="GS338" s="24"/>
      <c r="GX338">
        <v>2020</v>
      </c>
      <c r="GY338">
        <v>17</v>
      </c>
      <c r="GZ338" t="s">
        <v>32</v>
      </c>
      <c r="HA338">
        <v>6727</v>
      </c>
      <c r="HB338">
        <v>6612</v>
      </c>
      <c r="HC338">
        <v>0</v>
      </c>
      <c r="HD338">
        <v>0</v>
      </c>
      <c r="HE338">
        <v>0</v>
      </c>
      <c r="HF338">
        <v>0</v>
      </c>
      <c r="HG338">
        <v>0</v>
      </c>
      <c r="HH338">
        <v>0</v>
      </c>
      <c r="HI338">
        <v>70</v>
      </c>
      <c r="HL338">
        <v>2020</v>
      </c>
      <c r="HM338">
        <v>17</v>
      </c>
      <c r="HN338" t="s">
        <v>32</v>
      </c>
      <c r="HO338">
        <v>6625</v>
      </c>
      <c r="HP338">
        <v>6616</v>
      </c>
      <c r="HQ338">
        <v>0</v>
      </c>
      <c r="HR338">
        <v>0</v>
      </c>
      <c r="HS338">
        <v>0</v>
      </c>
      <c r="HT338">
        <v>2</v>
      </c>
      <c r="HU338">
        <v>0</v>
      </c>
      <c r="HV338">
        <v>0</v>
      </c>
      <c r="HW338">
        <v>0</v>
      </c>
      <c r="HZ338" s="24">
        <v>2020</v>
      </c>
      <c r="IA338" s="24">
        <v>17</v>
      </c>
      <c r="IB338" s="24" t="s">
        <v>32</v>
      </c>
      <c r="IC338" s="24">
        <v>593</v>
      </c>
      <c r="ID338" s="24">
        <v>568</v>
      </c>
      <c r="IG338" s="24">
        <v>2020</v>
      </c>
      <c r="IH338" s="24">
        <v>17</v>
      </c>
      <c r="II338" s="24" t="s">
        <v>32</v>
      </c>
      <c r="IJ338" s="24">
        <v>591</v>
      </c>
      <c r="IK338" s="24">
        <v>591</v>
      </c>
    </row>
    <row r="339" spans="9:245" x14ac:dyDescent="0.4">
      <c r="I339" s="305">
        <v>2020</v>
      </c>
      <c r="J339" s="306">
        <v>17</v>
      </c>
      <c r="K339" s="306" t="s">
        <v>32</v>
      </c>
      <c r="L339" s="306">
        <v>6611</v>
      </c>
      <c r="M339" s="306">
        <v>6495</v>
      </c>
      <c r="N339" s="306">
        <v>10</v>
      </c>
      <c r="O339" s="306">
        <v>50</v>
      </c>
      <c r="P339" s="306">
        <v>46</v>
      </c>
      <c r="Q339" s="306">
        <v>6</v>
      </c>
      <c r="R339" s="24"/>
      <c r="S339" s="24"/>
      <c r="T339" s="24"/>
      <c r="W339" s="24">
        <v>2020</v>
      </c>
      <c r="X339" s="24">
        <v>17</v>
      </c>
      <c r="Y339" s="24" t="s">
        <v>33</v>
      </c>
      <c r="Z339" s="24">
        <v>161447</v>
      </c>
      <c r="AA339" s="24">
        <v>159405</v>
      </c>
      <c r="AB339" s="24">
        <v>128</v>
      </c>
      <c r="AC339" s="24">
        <v>146</v>
      </c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I339" s="24">
        <v>2021</v>
      </c>
      <c r="BJ339" s="24">
        <v>39</v>
      </c>
      <c r="BK339" s="24" t="s">
        <v>32</v>
      </c>
      <c r="BL339" s="24" t="s">
        <v>272</v>
      </c>
      <c r="BM339" s="24">
        <v>2461</v>
      </c>
      <c r="BN339" s="24">
        <v>2454</v>
      </c>
      <c r="BO339" s="24">
        <v>8360</v>
      </c>
      <c r="BR339" s="24"/>
      <c r="BS339" s="24"/>
      <c r="BT339" s="24"/>
      <c r="BU339" s="24"/>
      <c r="BV339" s="24"/>
      <c r="CF339" s="24"/>
      <c r="CG339" s="24"/>
      <c r="CH339" s="24"/>
      <c r="CI339" s="24"/>
      <c r="CJ339" s="24"/>
      <c r="DD339" s="24"/>
      <c r="DE339" s="24"/>
      <c r="DF339" s="24"/>
      <c r="DG339" s="24"/>
      <c r="DH339" s="24"/>
      <c r="DJ339" s="24">
        <v>2020</v>
      </c>
      <c r="DK339" s="24">
        <v>21</v>
      </c>
      <c r="DL339" s="24" t="s">
        <v>33</v>
      </c>
      <c r="DM339" s="24">
        <v>702</v>
      </c>
      <c r="DP339" s="24"/>
      <c r="DQ339" s="24"/>
      <c r="DR339" s="24"/>
      <c r="DS339" s="24"/>
      <c r="DW339" s="24">
        <v>2021</v>
      </c>
      <c r="DX339" s="24">
        <v>14</v>
      </c>
      <c r="DY339" s="24" t="s">
        <v>33</v>
      </c>
      <c r="DZ339" s="24">
        <v>8</v>
      </c>
      <c r="EA339" s="24" t="s">
        <v>562</v>
      </c>
      <c r="EB339" s="24">
        <v>67.2</v>
      </c>
      <c r="EC339" s="24">
        <v>0</v>
      </c>
      <c r="ED339" s="24"/>
      <c r="EE339" s="24">
        <v>2842</v>
      </c>
      <c r="EF339" s="24">
        <v>31.6</v>
      </c>
      <c r="EI339" s="24">
        <v>2022</v>
      </c>
      <c r="EJ339" s="24">
        <v>52</v>
      </c>
      <c r="EK339" s="24" t="s">
        <v>558</v>
      </c>
      <c r="EL339" s="24" t="s">
        <v>554</v>
      </c>
      <c r="EM339" s="24" t="s">
        <v>215</v>
      </c>
      <c r="EN339" s="24">
        <v>2</v>
      </c>
      <c r="EO339" s="24"/>
      <c r="EP339" s="24"/>
      <c r="EQ339" s="24"/>
      <c r="ER339" s="24"/>
      <c r="ES339" s="24">
        <v>2020</v>
      </c>
      <c r="ET339" s="24">
        <v>49</v>
      </c>
      <c r="EU339" s="24" t="s">
        <v>32</v>
      </c>
      <c r="EV339" s="24">
        <v>2250</v>
      </c>
      <c r="EY339" s="24"/>
      <c r="EZ339" s="24"/>
      <c r="FA339" s="24"/>
      <c r="FB339" s="24"/>
      <c r="FE339" s="24"/>
      <c r="FF339" s="24"/>
      <c r="FG339" s="24"/>
      <c r="FH339" s="24"/>
      <c r="FN339" s="24"/>
      <c r="FO339" s="24"/>
      <c r="FP339" s="24"/>
      <c r="FQ339" s="24"/>
      <c r="FW339" s="24">
        <v>2020</v>
      </c>
      <c r="FX339" s="24">
        <v>17</v>
      </c>
      <c r="FY339" s="24" t="s">
        <v>33</v>
      </c>
      <c r="FZ339" s="24">
        <v>3309</v>
      </c>
      <c r="GA339" s="24">
        <v>3183</v>
      </c>
      <c r="GB339" s="24"/>
      <c r="GC339" s="24"/>
      <c r="GD339" s="24">
        <v>2020</v>
      </c>
      <c r="GE339" s="24">
        <v>17</v>
      </c>
      <c r="GF339" s="24" t="s">
        <v>33</v>
      </c>
      <c r="GG339" s="24">
        <v>3366</v>
      </c>
      <c r="GH339" s="24">
        <v>3261</v>
      </c>
      <c r="GK339" s="24"/>
      <c r="GL339" s="24"/>
      <c r="GM339" s="24"/>
      <c r="GN339" s="24"/>
      <c r="GO339" s="24"/>
      <c r="GP339" s="24"/>
      <c r="GQ339" s="24"/>
      <c r="GR339" s="24"/>
      <c r="GS339" s="24"/>
      <c r="GX339">
        <v>2020</v>
      </c>
      <c r="GY339">
        <v>17</v>
      </c>
      <c r="GZ339" t="s">
        <v>33</v>
      </c>
      <c r="HA339">
        <v>162523</v>
      </c>
      <c r="HB339">
        <v>160213</v>
      </c>
      <c r="HC339">
        <v>154</v>
      </c>
      <c r="HD339">
        <v>29</v>
      </c>
      <c r="HE339">
        <v>0</v>
      </c>
      <c r="HF339">
        <v>666</v>
      </c>
      <c r="HG339">
        <v>0</v>
      </c>
      <c r="HH339">
        <v>0</v>
      </c>
      <c r="HI339">
        <v>507</v>
      </c>
      <c r="HL339">
        <v>2020</v>
      </c>
      <c r="HM339">
        <v>17</v>
      </c>
      <c r="HN339" t="s">
        <v>33</v>
      </c>
      <c r="HO339">
        <v>161083</v>
      </c>
      <c r="HP339">
        <v>160307</v>
      </c>
      <c r="HQ339">
        <v>124</v>
      </c>
      <c r="HR339">
        <v>12</v>
      </c>
      <c r="HS339">
        <v>0</v>
      </c>
      <c r="HT339">
        <v>602</v>
      </c>
      <c r="HU339">
        <v>0</v>
      </c>
      <c r="HV339">
        <v>0</v>
      </c>
      <c r="HW339">
        <v>64</v>
      </c>
      <c r="HZ339" s="24">
        <v>2020</v>
      </c>
      <c r="IA339" s="24">
        <v>17</v>
      </c>
      <c r="IB339" s="24" t="s">
        <v>33</v>
      </c>
      <c r="IC339" s="24">
        <v>3410</v>
      </c>
      <c r="ID339" s="24">
        <v>3219</v>
      </c>
      <c r="IG339" s="24">
        <v>2020</v>
      </c>
      <c r="IH339" s="24">
        <v>17</v>
      </c>
      <c r="II339" s="24" t="s">
        <v>33</v>
      </c>
      <c r="IJ339" s="24">
        <v>2939</v>
      </c>
      <c r="IK339" s="24">
        <v>2913</v>
      </c>
    </row>
    <row r="340" spans="9:245" x14ac:dyDescent="0.4">
      <c r="I340" s="305">
        <v>2020</v>
      </c>
      <c r="J340" s="306">
        <v>17</v>
      </c>
      <c r="K340" s="306" t="s">
        <v>33</v>
      </c>
      <c r="L340" s="306">
        <v>161443</v>
      </c>
      <c r="M340" s="306">
        <v>158958</v>
      </c>
      <c r="N340" s="306">
        <v>325</v>
      </c>
      <c r="O340" s="306">
        <v>833</v>
      </c>
      <c r="P340" s="306">
        <v>167</v>
      </c>
      <c r="Q340" s="306">
        <v>174</v>
      </c>
      <c r="R340" s="24"/>
      <c r="S340" s="24"/>
      <c r="T340" s="24"/>
      <c r="W340" s="24">
        <v>2020</v>
      </c>
      <c r="X340" s="24">
        <v>16</v>
      </c>
      <c r="Y340" s="24" t="s">
        <v>32</v>
      </c>
      <c r="Z340" s="24">
        <v>6746</v>
      </c>
      <c r="AA340" s="24">
        <v>6653</v>
      </c>
      <c r="AB340" s="24">
        <v>63</v>
      </c>
      <c r="AC340" s="24">
        <v>1</v>
      </c>
      <c r="AI340" s="24"/>
      <c r="AJ340" s="24"/>
      <c r="AK340" s="255"/>
      <c r="AL340" s="255"/>
      <c r="AM340" s="255"/>
      <c r="AN340" s="255"/>
      <c r="AO340" s="24"/>
      <c r="AP340" s="24"/>
      <c r="AQ340" s="24"/>
      <c r="AR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I340" s="24">
        <v>2021</v>
      </c>
      <c r="BJ340" s="24">
        <v>39</v>
      </c>
      <c r="BK340" s="24" t="s">
        <v>32</v>
      </c>
      <c r="BL340" s="24" t="s">
        <v>273</v>
      </c>
      <c r="BM340" s="24">
        <v>5635</v>
      </c>
      <c r="BN340" s="24">
        <v>5612</v>
      </c>
      <c r="BO340" s="24">
        <v>5742</v>
      </c>
      <c r="BV340" s="24"/>
      <c r="CF340" s="24"/>
      <c r="CG340" s="24"/>
      <c r="CH340" s="24"/>
      <c r="CI340" s="24"/>
      <c r="CJ340" s="24"/>
      <c r="DD340" s="24"/>
      <c r="DE340" s="24"/>
      <c r="DF340" s="24"/>
      <c r="DG340" s="24"/>
      <c r="DH340" s="24"/>
      <c r="DJ340" s="24">
        <v>2020</v>
      </c>
      <c r="DK340" s="24">
        <v>21</v>
      </c>
      <c r="DL340" s="24" t="s">
        <v>213</v>
      </c>
      <c r="DM340" s="24">
        <v>1</v>
      </c>
      <c r="DP340" s="24"/>
      <c r="DQ340" s="24"/>
      <c r="DR340" s="24"/>
      <c r="DS340" s="24"/>
      <c r="DW340" s="24">
        <v>2021</v>
      </c>
      <c r="DX340" s="24">
        <v>14</v>
      </c>
      <c r="DY340" s="24" t="s">
        <v>33</v>
      </c>
      <c r="DZ340" s="24">
        <v>40</v>
      </c>
      <c r="EA340" s="24" t="s">
        <v>149</v>
      </c>
      <c r="EB340" s="24">
        <v>100</v>
      </c>
      <c r="EC340" s="24">
        <v>976.3</v>
      </c>
      <c r="ED340" s="24">
        <v>34359</v>
      </c>
      <c r="EE340" s="24">
        <v>37527</v>
      </c>
      <c r="EF340" s="24">
        <v>248</v>
      </c>
      <c r="EI340" s="24">
        <v>2022</v>
      </c>
      <c r="EJ340" s="24">
        <v>52</v>
      </c>
      <c r="EK340" s="24" t="s">
        <v>558</v>
      </c>
      <c r="EL340" s="24" t="s">
        <v>235</v>
      </c>
      <c r="EM340" s="24" t="s">
        <v>210</v>
      </c>
      <c r="EN340" s="24">
        <v>39</v>
      </c>
      <c r="EO340" s="24"/>
      <c r="EP340" s="24"/>
      <c r="EQ340" s="24"/>
      <c r="ER340" s="24"/>
      <c r="ES340" s="24">
        <v>2020</v>
      </c>
      <c r="ET340" s="24">
        <v>49</v>
      </c>
      <c r="EU340" s="24" t="s">
        <v>33</v>
      </c>
      <c r="EV340" s="24">
        <v>50722</v>
      </c>
      <c r="EY340" s="24"/>
      <c r="EZ340" s="24"/>
      <c r="FA340" s="24"/>
      <c r="FB340" s="24"/>
      <c r="FE340" s="24"/>
      <c r="FF340" s="24"/>
      <c r="FG340" s="24"/>
      <c r="FH340" s="24"/>
      <c r="FN340" s="24"/>
      <c r="FO340" s="24"/>
      <c r="FP340" s="24"/>
      <c r="FQ340" s="24"/>
      <c r="FW340" s="24">
        <v>2020</v>
      </c>
      <c r="FX340" s="24">
        <v>16</v>
      </c>
      <c r="FY340" s="24" t="s">
        <v>32</v>
      </c>
      <c r="FZ340" s="24">
        <v>503</v>
      </c>
      <c r="GA340" s="24">
        <v>470</v>
      </c>
      <c r="GB340" s="24"/>
      <c r="GC340" s="24"/>
      <c r="GD340" s="24">
        <v>2020</v>
      </c>
      <c r="GE340" s="24">
        <v>16</v>
      </c>
      <c r="GF340" s="24" t="s">
        <v>32</v>
      </c>
      <c r="GG340" s="24">
        <v>485</v>
      </c>
      <c r="GH340" s="24">
        <v>466</v>
      </c>
      <c r="GK340" s="24"/>
      <c r="GL340" s="24"/>
      <c r="GM340" s="24"/>
      <c r="GN340" s="24"/>
      <c r="GO340" s="24"/>
      <c r="GP340" s="24"/>
      <c r="GQ340" s="24"/>
      <c r="GR340" s="24"/>
      <c r="GS340" s="24"/>
      <c r="GX340">
        <v>2020</v>
      </c>
      <c r="GY340">
        <v>16</v>
      </c>
      <c r="GZ340" t="s">
        <v>32</v>
      </c>
      <c r="HA340">
        <v>6696</v>
      </c>
      <c r="HB340">
        <v>6593</v>
      </c>
      <c r="HC340">
        <v>0</v>
      </c>
      <c r="HD340">
        <v>0</v>
      </c>
      <c r="HE340">
        <v>0</v>
      </c>
      <c r="HF340">
        <v>2</v>
      </c>
      <c r="HG340">
        <v>0</v>
      </c>
      <c r="HH340">
        <v>0</v>
      </c>
      <c r="HI340">
        <v>68</v>
      </c>
      <c r="HL340">
        <v>2020</v>
      </c>
      <c r="HM340">
        <v>16</v>
      </c>
      <c r="HN340" t="s">
        <v>32</v>
      </c>
      <c r="HO340">
        <v>6708</v>
      </c>
      <c r="HP340">
        <v>6694</v>
      </c>
      <c r="HQ340">
        <v>0</v>
      </c>
      <c r="HR340">
        <v>0</v>
      </c>
      <c r="HS340">
        <v>0</v>
      </c>
      <c r="HT340">
        <v>1</v>
      </c>
      <c r="HU340">
        <v>0</v>
      </c>
      <c r="HV340">
        <v>0</v>
      </c>
      <c r="HW340">
        <v>0</v>
      </c>
      <c r="HZ340" s="24">
        <v>2020</v>
      </c>
      <c r="IA340" s="24">
        <v>16</v>
      </c>
      <c r="IB340" s="24" t="s">
        <v>32</v>
      </c>
      <c r="IC340" s="24">
        <v>479</v>
      </c>
      <c r="ID340" s="24">
        <v>454</v>
      </c>
      <c r="IG340" s="24">
        <v>2020</v>
      </c>
      <c r="IH340" s="24">
        <v>16</v>
      </c>
      <c r="II340" s="24" t="s">
        <v>32</v>
      </c>
      <c r="IJ340" s="24">
        <v>463</v>
      </c>
      <c r="IK340" s="24">
        <v>463</v>
      </c>
    </row>
    <row r="341" spans="9:245" x14ac:dyDescent="0.4">
      <c r="I341" s="305">
        <v>2020</v>
      </c>
      <c r="J341" s="306">
        <v>16</v>
      </c>
      <c r="K341" s="306" t="s">
        <v>32</v>
      </c>
      <c r="L341" s="306">
        <v>6729</v>
      </c>
      <c r="M341" s="306">
        <v>6615</v>
      </c>
      <c r="N341" s="306">
        <v>9</v>
      </c>
      <c r="O341" s="306">
        <v>69</v>
      </c>
      <c r="P341" s="306">
        <v>67</v>
      </c>
      <c r="Q341" s="306">
        <v>3</v>
      </c>
      <c r="R341" s="24"/>
      <c r="S341" s="24"/>
      <c r="T341" s="24"/>
      <c r="W341" s="24">
        <v>2020</v>
      </c>
      <c r="X341" s="24">
        <v>16</v>
      </c>
      <c r="Y341" s="24" t="s">
        <v>33</v>
      </c>
      <c r="Z341" s="24">
        <v>161344</v>
      </c>
      <c r="AA341" s="24">
        <v>154384</v>
      </c>
      <c r="AB341" s="24">
        <v>194</v>
      </c>
      <c r="AC341" s="24">
        <v>19</v>
      </c>
      <c r="AI341" s="24"/>
      <c r="AJ341" s="24"/>
      <c r="AK341" s="255"/>
      <c r="AL341" s="255"/>
      <c r="AM341" s="255"/>
      <c r="AN341" s="255"/>
      <c r="AO341" s="24"/>
      <c r="AP341" s="24"/>
      <c r="AQ341" s="24"/>
      <c r="AR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I341" s="24">
        <v>2021</v>
      </c>
      <c r="BJ341" s="24">
        <v>39</v>
      </c>
      <c r="BK341" s="24" t="s">
        <v>33</v>
      </c>
      <c r="BL341" s="24" t="s">
        <v>273</v>
      </c>
      <c r="BM341" s="24">
        <v>81861</v>
      </c>
      <c r="BN341" s="24">
        <v>81257</v>
      </c>
      <c r="BO341" s="24">
        <v>83859</v>
      </c>
      <c r="BV341" s="24"/>
      <c r="CF341" s="24"/>
      <c r="CG341" s="24"/>
      <c r="CH341" s="24"/>
      <c r="CI341" s="24"/>
      <c r="CJ341" s="24"/>
      <c r="DD341" s="24"/>
      <c r="DE341" s="24"/>
      <c r="DF341" s="24"/>
      <c r="DG341" s="24"/>
      <c r="DH341" s="24"/>
      <c r="DJ341" s="24">
        <v>2020</v>
      </c>
      <c r="DK341" s="24">
        <v>20</v>
      </c>
      <c r="DL341" s="24" t="s">
        <v>32</v>
      </c>
      <c r="DM341" s="24">
        <v>17</v>
      </c>
      <c r="DP341" s="24"/>
      <c r="DQ341" s="24"/>
      <c r="DR341" s="24"/>
      <c r="DS341" s="24"/>
      <c r="DW341" s="24">
        <v>2021</v>
      </c>
      <c r="DX341" s="24">
        <v>13</v>
      </c>
      <c r="DY341" s="24" t="s">
        <v>32</v>
      </c>
      <c r="DZ341" s="24">
        <v>1</v>
      </c>
      <c r="EA341" s="24" t="s">
        <v>149</v>
      </c>
      <c r="EB341" s="24">
        <v>0</v>
      </c>
      <c r="EC341" s="24">
        <v>18.100000000000001</v>
      </c>
      <c r="ED341" s="24">
        <v>712</v>
      </c>
      <c r="EE341" s="24">
        <v>705</v>
      </c>
      <c r="EF341" s="24">
        <v>3.1</v>
      </c>
      <c r="EI341" s="24">
        <v>2022</v>
      </c>
      <c r="EJ341" s="24">
        <v>52</v>
      </c>
      <c r="EK341" s="24" t="s">
        <v>558</v>
      </c>
      <c r="EL341" s="24" t="s">
        <v>247</v>
      </c>
      <c r="EM341" s="24" t="s">
        <v>210</v>
      </c>
      <c r="EN341" s="24">
        <v>9</v>
      </c>
      <c r="EO341" s="24"/>
      <c r="EP341" s="24"/>
      <c r="EQ341" s="24"/>
      <c r="ER341" s="24"/>
      <c r="ES341" s="24">
        <v>2020</v>
      </c>
      <c r="ET341" s="24">
        <v>49</v>
      </c>
      <c r="EU341" s="24" t="s">
        <v>213</v>
      </c>
      <c r="EV341" s="24">
        <v>22</v>
      </c>
      <c r="EY341" s="24"/>
      <c r="EZ341" s="24"/>
      <c r="FA341" s="24"/>
      <c r="FB341" s="24"/>
      <c r="FE341" s="24"/>
      <c r="FF341" s="24"/>
      <c r="FG341" s="24"/>
      <c r="FH341" s="24"/>
      <c r="FN341" s="24"/>
      <c r="FO341" s="24"/>
      <c r="FP341" s="24"/>
      <c r="FQ341" s="24"/>
      <c r="FW341" s="24">
        <v>2020</v>
      </c>
      <c r="FX341" s="24">
        <v>16</v>
      </c>
      <c r="FY341" s="24" t="s">
        <v>33</v>
      </c>
      <c r="FZ341" s="24">
        <v>3017</v>
      </c>
      <c r="GA341" s="24">
        <v>2840</v>
      </c>
      <c r="GB341" s="24"/>
      <c r="GC341" s="24"/>
      <c r="GD341" s="24">
        <v>2020</v>
      </c>
      <c r="GE341" s="24">
        <v>16</v>
      </c>
      <c r="GF341" s="24" t="s">
        <v>33</v>
      </c>
      <c r="GG341" s="24">
        <v>2932</v>
      </c>
      <c r="GH341" s="24">
        <v>2838</v>
      </c>
      <c r="GK341" s="24"/>
      <c r="GL341" s="24"/>
      <c r="GM341" s="24"/>
      <c r="GN341" s="24"/>
      <c r="GO341" s="24"/>
      <c r="GP341" s="24"/>
      <c r="GQ341" s="24"/>
      <c r="GR341" s="24"/>
      <c r="GS341" s="24"/>
      <c r="GX341">
        <v>2020</v>
      </c>
      <c r="GY341">
        <v>16</v>
      </c>
      <c r="GZ341" t="s">
        <v>33</v>
      </c>
      <c r="HA341">
        <v>157919</v>
      </c>
      <c r="HB341">
        <v>150783</v>
      </c>
      <c r="HC341">
        <v>117</v>
      </c>
      <c r="HD341">
        <v>119</v>
      </c>
      <c r="HE341">
        <v>0</v>
      </c>
      <c r="HF341">
        <v>3910</v>
      </c>
      <c r="HG341">
        <v>0</v>
      </c>
      <c r="HH341">
        <v>0</v>
      </c>
      <c r="HI341">
        <v>1035</v>
      </c>
      <c r="HL341">
        <v>2020</v>
      </c>
      <c r="HM341">
        <v>16</v>
      </c>
      <c r="HN341" t="s">
        <v>33</v>
      </c>
      <c r="HO341">
        <v>160883</v>
      </c>
      <c r="HP341">
        <v>156516</v>
      </c>
      <c r="HQ341">
        <v>199</v>
      </c>
      <c r="HR341">
        <v>80</v>
      </c>
      <c r="HS341">
        <v>0</v>
      </c>
      <c r="HT341">
        <v>4128</v>
      </c>
      <c r="HU341">
        <v>0</v>
      </c>
      <c r="HV341">
        <v>0</v>
      </c>
      <c r="HW341">
        <v>332</v>
      </c>
      <c r="HZ341" s="24">
        <v>2020</v>
      </c>
      <c r="IA341" s="24">
        <v>16</v>
      </c>
      <c r="IB341" s="24" t="s">
        <v>33</v>
      </c>
      <c r="IC341" s="24">
        <v>2937</v>
      </c>
      <c r="ID341" s="24">
        <v>2652</v>
      </c>
      <c r="IG341" s="24">
        <v>2020</v>
      </c>
      <c r="IH341" s="24">
        <v>16</v>
      </c>
      <c r="II341" s="24" t="s">
        <v>33</v>
      </c>
      <c r="IJ341" s="24">
        <v>2416</v>
      </c>
      <c r="IK341" s="24">
        <v>2372</v>
      </c>
    </row>
    <row r="342" spans="9:245" x14ac:dyDescent="0.4">
      <c r="I342" s="305">
        <v>2020</v>
      </c>
      <c r="J342" s="306">
        <v>16</v>
      </c>
      <c r="K342" s="306" t="s">
        <v>33</v>
      </c>
      <c r="L342" s="306">
        <v>161319</v>
      </c>
      <c r="M342" s="306">
        <v>153714</v>
      </c>
      <c r="N342" s="306">
        <v>388</v>
      </c>
      <c r="O342" s="306">
        <v>1678</v>
      </c>
      <c r="P342" s="306">
        <v>268</v>
      </c>
      <c r="Q342" s="306">
        <v>48</v>
      </c>
      <c r="R342" s="24"/>
      <c r="S342" s="24"/>
      <c r="T342" s="24"/>
      <c r="W342" s="316">
        <v>2020</v>
      </c>
      <c r="X342" s="316">
        <v>15</v>
      </c>
      <c r="Y342" s="316" t="s">
        <v>32</v>
      </c>
      <c r="Z342" s="316">
        <v>5922</v>
      </c>
      <c r="AA342" s="316">
        <v>5780</v>
      </c>
      <c r="AB342" s="316">
        <v>111</v>
      </c>
      <c r="AC342" s="316">
        <v>3</v>
      </c>
      <c r="AI342" s="24"/>
      <c r="AJ342" s="24"/>
      <c r="AK342" s="255"/>
      <c r="AL342" s="255"/>
      <c r="AM342" s="255"/>
      <c r="AN342" s="255"/>
      <c r="AO342" s="24"/>
      <c r="AP342" s="24"/>
      <c r="AQ342" s="24"/>
      <c r="AR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I342" s="24">
        <v>2021</v>
      </c>
      <c r="BJ342" s="24">
        <v>38</v>
      </c>
      <c r="BK342" s="24" t="s">
        <v>33</v>
      </c>
      <c r="BL342" s="24" t="s">
        <v>273</v>
      </c>
      <c r="BM342" s="24">
        <v>90032</v>
      </c>
      <c r="BN342" s="24">
        <v>89534</v>
      </c>
      <c r="BO342" s="24">
        <v>92330</v>
      </c>
      <c r="CF342" s="24"/>
      <c r="CG342" s="24"/>
      <c r="CH342" s="24"/>
      <c r="CI342" s="24"/>
      <c r="CJ342" s="24"/>
      <c r="DD342" s="24"/>
      <c r="DE342" s="24"/>
      <c r="DF342" s="24"/>
      <c r="DG342" s="24"/>
      <c r="DH342" s="24"/>
      <c r="DJ342" s="24">
        <v>2020</v>
      </c>
      <c r="DK342" s="24">
        <v>20</v>
      </c>
      <c r="DL342" s="24" t="s">
        <v>33</v>
      </c>
      <c r="DM342" s="24">
        <v>718</v>
      </c>
      <c r="DP342" s="24"/>
      <c r="DQ342" s="24"/>
      <c r="DR342" s="24"/>
      <c r="DS342" s="24"/>
      <c r="DW342" s="24">
        <v>2021</v>
      </c>
      <c r="DX342" s="24">
        <v>13</v>
      </c>
      <c r="DY342" s="24" t="s">
        <v>33</v>
      </c>
      <c r="DZ342" s="24">
        <v>9</v>
      </c>
      <c r="EA342" s="24" t="s">
        <v>562</v>
      </c>
      <c r="EB342" s="24">
        <v>69.3</v>
      </c>
      <c r="EC342" s="24">
        <v>0</v>
      </c>
      <c r="ED342" s="24">
        <v>6</v>
      </c>
      <c r="EE342" s="24">
        <v>2869</v>
      </c>
      <c r="EF342" s="24">
        <v>28.7</v>
      </c>
      <c r="EI342" s="24">
        <v>2022</v>
      </c>
      <c r="EJ342" s="24">
        <v>52</v>
      </c>
      <c r="EK342" s="24" t="s">
        <v>558</v>
      </c>
      <c r="EL342" s="24" t="s">
        <v>245</v>
      </c>
      <c r="EM342" s="24" t="s">
        <v>210</v>
      </c>
      <c r="EN342" s="24">
        <v>11</v>
      </c>
      <c r="EO342" s="24"/>
      <c r="EP342" s="24"/>
      <c r="EQ342" s="24"/>
      <c r="ER342" s="24"/>
      <c r="ES342" s="24">
        <v>2020</v>
      </c>
      <c r="ET342" s="24">
        <v>48</v>
      </c>
      <c r="EU342" s="24" t="s">
        <v>32</v>
      </c>
      <c r="EV342" s="24">
        <v>2359</v>
      </c>
      <c r="EY342" s="24"/>
      <c r="EZ342" s="24"/>
      <c r="FA342" s="24"/>
      <c r="FB342" s="24"/>
      <c r="FE342" s="24"/>
      <c r="FF342" s="24"/>
      <c r="FG342" s="24"/>
      <c r="FH342" s="24"/>
      <c r="FN342" s="24"/>
      <c r="FO342" s="24"/>
      <c r="FP342" s="24"/>
      <c r="FQ342" s="24"/>
      <c r="FW342" s="24">
        <v>2020</v>
      </c>
      <c r="FX342" s="24">
        <v>15</v>
      </c>
      <c r="FY342" s="24" t="s">
        <v>32</v>
      </c>
      <c r="FZ342" s="24">
        <v>496</v>
      </c>
      <c r="GA342" s="24">
        <v>493</v>
      </c>
      <c r="GB342" s="24"/>
      <c r="GC342" s="24"/>
      <c r="GD342" s="316">
        <v>2020</v>
      </c>
      <c r="GE342" s="316">
        <v>15</v>
      </c>
      <c r="GF342" s="316" t="s">
        <v>32</v>
      </c>
      <c r="GG342" s="316">
        <v>523</v>
      </c>
      <c r="GH342" s="316">
        <v>501</v>
      </c>
      <c r="GK342" s="24"/>
      <c r="GL342" s="24"/>
      <c r="GM342" s="24"/>
      <c r="GN342" s="24"/>
      <c r="GO342" s="24"/>
      <c r="GP342" s="24"/>
      <c r="GQ342" s="24"/>
      <c r="GR342" s="24"/>
      <c r="GS342" s="24"/>
      <c r="GX342">
        <v>2020</v>
      </c>
      <c r="GY342">
        <v>15</v>
      </c>
      <c r="GZ342" t="s">
        <v>32</v>
      </c>
      <c r="HA342">
        <v>6057</v>
      </c>
      <c r="HB342">
        <v>5899</v>
      </c>
      <c r="HC342">
        <v>0</v>
      </c>
      <c r="HD342">
        <v>0</v>
      </c>
      <c r="HE342">
        <v>0</v>
      </c>
      <c r="HF342">
        <v>5</v>
      </c>
      <c r="HG342">
        <v>0</v>
      </c>
      <c r="HH342">
        <v>0</v>
      </c>
      <c r="HI342">
        <v>113</v>
      </c>
      <c r="HL342">
        <v>2020</v>
      </c>
      <c r="HM342">
        <v>15</v>
      </c>
      <c r="HN342" t="s">
        <v>32</v>
      </c>
      <c r="HO342">
        <v>5883</v>
      </c>
      <c r="HP342">
        <v>5881</v>
      </c>
      <c r="HQ342">
        <v>0</v>
      </c>
      <c r="HR342">
        <v>0</v>
      </c>
      <c r="HS342">
        <v>0</v>
      </c>
      <c r="HT342">
        <v>2</v>
      </c>
      <c r="HU342">
        <v>0</v>
      </c>
      <c r="HV342">
        <v>0</v>
      </c>
      <c r="HW342">
        <v>1</v>
      </c>
      <c r="HZ342" s="24">
        <v>2020</v>
      </c>
      <c r="IA342" s="24">
        <v>15</v>
      </c>
      <c r="IB342" s="24" t="s">
        <v>32</v>
      </c>
      <c r="IC342" s="24">
        <v>548</v>
      </c>
      <c r="ID342" s="24">
        <v>537</v>
      </c>
      <c r="IG342" s="24">
        <v>2020</v>
      </c>
      <c r="IH342" s="24">
        <v>15</v>
      </c>
      <c r="II342" s="24" t="s">
        <v>32</v>
      </c>
      <c r="IJ342" s="24">
        <v>509</v>
      </c>
      <c r="IK342" s="24">
        <v>509</v>
      </c>
    </row>
    <row r="343" spans="9:245" x14ac:dyDescent="0.4">
      <c r="I343" s="305">
        <v>2020</v>
      </c>
      <c r="J343" s="306">
        <v>15</v>
      </c>
      <c r="K343" s="306" t="s">
        <v>32</v>
      </c>
      <c r="L343" s="306">
        <v>5908</v>
      </c>
      <c r="M343" s="306">
        <v>5756</v>
      </c>
      <c r="N343" s="306">
        <v>12</v>
      </c>
      <c r="O343" s="306">
        <v>62</v>
      </c>
      <c r="P343" s="306">
        <v>94</v>
      </c>
      <c r="Q343" s="306">
        <v>3</v>
      </c>
      <c r="R343" s="24"/>
      <c r="S343" s="24"/>
      <c r="T343" s="24"/>
      <c r="W343" s="316">
        <v>2020</v>
      </c>
      <c r="X343" s="316">
        <v>15</v>
      </c>
      <c r="Y343" s="316" t="s">
        <v>33</v>
      </c>
      <c r="Z343" s="316">
        <v>127538</v>
      </c>
      <c r="AA343" s="316">
        <v>122548</v>
      </c>
      <c r="AB343" s="316">
        <v>231</v>
      </c>
      <c r="AC343" s="316">
        <v>21</v>
      </c>
      <c r="AI343" s="24"/>
      <c r="AJ343" s="24"/>
      <c r="AK343" s="255"/>
      <c r="AL343" s="255"/>
      <c r="AM343" s="255"/>
      <c r="AN343" s="255"/>
      <c r="AO343" s="24"/>
      <c r="AP343" s="24"/>
      <c r="AQ343" s="24"/>
      <c r="AR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I343" s="24">
        <v>2021</v>
      </c>
      <c r="BJ343" s="24">
        <v>38</v>
      </c>
      <c r="BK343" s="24" t="s">
        <v>32</v>
      </c>
      <c r="BL343" s="24" t="s">
        <v>273</v>
      </c>
      <c r="BM343" s="24">
        <v>6325</v>
      </c>
      <c r="BN343" s="24">
        <v>6296</v>
      </c>
      <c r="BO343" s="24">
        <v>6899</v>
      </c>
      <c r="CF343" s="24"/>
      <c r="CG343" s="24"/>
      <c r="CH343" s="24"/>
      <c r="CI343" s="24"/>
      <c r="CJ343" s="24"/>
      <c r="DD343" s="24"/>
      <c r="DE343" s="24"/>
      <c r="DF343" s="24"/>
      <c r="DG343" s="24"/>
      <c r="DH343" s="24"/>
      <c r="DJ343" s="24">
        <v>2020</v>
      </c>
      <c r="DK343" s="24">
        <v>20</v>
      </c>
      <c r="DL343" s="24" t="s">
        <v>213</v>
      </c>
      <c r="DM343" s="24">
        <v>4</v>
      </c>
      <c r="DP343" s="24"/>
      <c r="DQ343" s="24"/>
      <c r="DR343" s="24"/>
      <c r="DS343" s="24"/>
      <c r="DW343" s="24">
        <v>2021</v>
      </c>
      <c r="DX343" s="24">
        <v>13</v>
      </c>
      <c r="DY343" s="24" t="s">
        <v>33</v>
      </c>
      <c r="DZ343" s="24">
        <v>42</v>
      </c>
      <c r="EA343" s="24" t="s">
        <v>149</v>
      </c>
      <c r="EB343" s="24">
        <v>129</v>
      </c>
      <c r="EC343" s="24">
        <v>1220.8</v>
      </c>
      <c r="ED343" s="24">
        <v>42331</v>
      </c>
      <c r="EE343" s="24">
        <v>46200</v>
      </c>
      <c r="EF343" s="24">
        <v>248.2</v>
      </c>
      <c r="EI343" s="24">
        <v>2022</v>
      </c>
      <c r="EJ343" s="24">
        <v>52</v>
      </c>
      <c r="EK343" s="24" t="s">
        <v>33</v>
      </c>
      <c r="EL343" s="24" t="s">
        <v>557</v>
      </c>
      <c r="EM343" s="24" t="s">
        <v>210</v>
      </c>
      <c r="EN343" s="24">
        <v>8</v>
      </c>
      <c r="EO343" s="24"/>
      <c r="EP343" s="24"/>
      <c r="EQ343" s="24"/>
      <c r="ER343" s="24"/>
      <c r="ES343" s="24">
        <v>2020</v>
      </c>
      <c r="ET343" s="24">
        <v>48</v>
      </c>
      <c r="EU343" s="24" t="s">
        <v>33</v>
      </c>
      <c r="EV343" s="24">
        <v>52346</v>
      </c>
      <c r="EY343" s="24"/>
      <c r="EZ343" s="24"/>
      <c r="FA343" s="24"/>
      <c r="FB343" s="24"/>
      <c r="FE343" s="24"/>
      <c r="FF343" s="24"/>
      <c r="FG343" s="24"/>
      <c r="FH343" s="24"/>
      <c r="FN343" s="24"/>
      <c r="FO343" s="24"/>
      <c r="FP343" s="24"/>
      <c r="FQ343" s="24"/>
      <c r="FW343" s="24">
        <v>2020</v>
      </c>
      <c r="FX343" s="24">
        <v>15</v>
      </c>
      <c r="FY343" s="24" t="s">
        <v>33</v>
      </c>
      <c r="FZ343" s="24">
        <v>2481</v>
      </c>
      <c r="GA343" s="24">
        <v>2308</v>
      </c>
      <c r="GB343" s="24"/>
      <c r="GC343" s="24"/>
      <c r="GD343" s="316">
        <v>2020</v>
      </c>
      <c r="GE343" s="316">
        <v>15</v>
      </c>
      <c r="GF343" s="316" t="s">
        <v>33</v>
      </c>
      <c r="GG343" s="316">
        <v>2498</v>
      </c>
      <c r="GH343" s="316">
        <v>2363</v>
      </c>
      <c r="GK343" s="24"/>
      <c r="GL343" s="24"/>
      <c r="GM343" s="24"/>
      <c r="GN343" s="24"/>
      <c r="GO343" s="24"/>
      <c r="GP343" s="24"/>
      <c r="GQ343" s="24"/>
      <c r="GR343" s="24"/>
      <c r="GS343" s="24"/>
      <c r="GX343">
        <v>2020</v>
      </c>
      <c r="GY343">
        <v>15</v>
      </c>
      <c r="GZ343" t="s">
        <v>33</v>
      </c>
      <c r="HA343">
        <v>133992</v>
      </c>
      <c r="HB343">
        <v>128186</v>
      </c>
      <c r="HC343">
        <v>109</v>
      </c>
      <c r="HD343">
        <v>46</v>
      </c>
      <c r="HE343">
        <v>0</v>
      </c>
      <c r="HF343">
        <v>2785</v>
      </c>
      <c r="HG343">
        <v>0</v>
      </c>
      <c r="HH343">
        <v>0</v>
      </c>
      <c r="HI343">
        <v>861</v>
      </c>
      <c r="HL343">
        <v>2020</v>
      </c>
      <c r="HM343">
        <v>15</v>
      </c>
      <c r="HN343" t="s">
        <v>33</v>
      </c>
      <c r="HO343">
        <v>126978</v>
      </c>
      <c r="HP343">
        <v>124579</v>
      </c>
      <c r="HQ343">
        <v>61</v>
      </c>
      <c r="HR343">
        <v>23</v>
      </c>
      <c r="HS343">
        <v>0</v>
      </c>
      <c r="HT343">
        <v>2242</v>
      </c>
      <c r="HU343">
        <v>0</v>
      </c>
      <c r="HV343">
        <v>0</v>
      </c>
      <c r="HW343">
        <v>188</v>
      </c>
      <c r="HZ343" s="24">
        <v>2020</v>
      </c>
      <c r="IA343" s="24">
        <v>15</v>
      </c>
      <c r="IB343" s="24" t="s">
        <v>33</v>
      </c>
      <c r="IC343" s="24">
        <v>2478</v>
      </c>
      <c r="ID343" s="24">
        <v>2215</v>
      </c>
      <c r="IG343" s="24">
        <v>2020</v>
      </c>
      <c r="IH343" s="24">
        <v>15</v>
      </c>
      <c r="II343" s="24" t="s">
        <v>33</v>
      </c>
      <c r="IJ343" s="24">
        <v>2055</v>
      </c>
      <c r="IK343" s="24">
        <v>2013</v>
      </c>
    </row>
    <row r="344" spans="9:245" x14ac:dyDescent="0.4">
      <c r="I344" s="305">
        <v>2020</v>
      </c>
      <c r="J344" s="306">
        <v>15</v>
      </c>
      <c r="K344" s="306" t="s">
        <v>33</v>
      </c>
      <c r="L344" s="306">
        <v>127823</v>
      </c>
      <c r="M344" s="306">
        <v>122418</v>
      </c>
      <c r="N344" s="306">
        <v>402</v>
      </c>
      <c r="O344" s="306">
        <v>1376</v>
      </c>
      <c r="P344" s="306">
        <v>269</v>
      </c>
      <c r="Q344" s="306">
        <v>22</v>
      </c>
      <c r="R344" s="24"/>
      <c r="S344" s="24"/>
      <c r="T344" s="24"/>
      <c r="W344" s="316">
        <v>2020</v>
      </c>
      <c r="X344" s="316">
        <v>14</v>
      </c>
      <c r="Y344" s="316" t="s">
        <v>32</v>
      </c>
      <c r="Z344" s="316">
        <v>4175</v>
      </c>
      <c r="AA344" s="316">
        <v>4137</v>
      </c>
      <c r="AB344" s="316">
        <v>22</v>
      </c>
      <c r="AC344" s="316"/>
      <c r="AI344" s="24"/>
      <c r="AJ344" s="24"/>
      <c r="AK344" s="255"/>
      <c r="AL344" s="255"/>
      <c r="AM344" s="255"/>
      <c r="AN344" s="255"/>
      <c r="AO344" s="24"/>
      <c r="AP344" s="24"/>
      <c r="AQ344" s="24"/>
      <c r="AR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I344" s="24">
        <v>2021</v>
      </c>
      <c r="BJ344" s="24">
        <v>38</v>
      </c>
      <c r="BK344" s="24" t="s">
        <v>32</v>
      </c>
      <c r="BL344" s="24" t="s">
        <v>272</v>
      </c>
      <c r="BM344" s="24">
        <v>2750</v>
      </c>
      <c r="BN344" s="24">
        <v>2741</v>
      </c>
      <c r="BO344" s="24">
        <v>9348</v>
      </c>
      <c r="CF344" s="24"/>
      <c r="CG344" s="24"/>
      <c r="CH344" s="24"/>
      <c r="CI344" s="24"/>
      <c r="CJ344" s="24"/>
      <c r="DD344" s="24"/>
      <c r="DE344" s="24"/>
      <c r="DF344" s="24"/>
      <c r="DG344" s="24"/>
      <c r="DH344" s="24"/>
      <c r="DJ344" s="24">
        <v>2020</v>
      </c>
      <c r="DK344" s="24">
        <v>19</v>
      </c>
      <c r="DL344" s="24" t="s">
        <v>32</v>
      </c>
      <c r="DM344" s="24">
        <v>24</v>
      </c>
      <c r="DP344" s="24"/>
      <c r="DQ344" s="24"/>
      <c r="DR344" s="24"/>
      <c r="DS344" s="24"/>
      <c r="DW344" s="24">
        <v>2021</v>
      </c>
      <c r="DX344" s="24">
        <v>12</v>
      </c>
      <c r="DY344" s="24" t="s">
        <v>32</v>
      </c>
      <c r="DZ344" s="24">
        <v>1</v>
      </c>
      <c r="EA344" s="24" t="s">
        <v>149</v>
      </c>
      <c r="EB344" s="24">
        <v>0</v>
      </c>
      <c r="EC344" s="24">
        <v>7.8</v>
      </c>
      <c r="ED344" s="24">
        <v>237</v>
      </c>
      <c r="EE344" s="24">
        <v>233</v>
      </c>
      <c r="EF344" s="24">
        <v>0</v>
      </c>
      <c r="EI344" s="24">
        <v>2022</v>
      </c>
      <c r="EJ344" s="24">
        <v>52</v>
      </c>
      <c r="EK344" s="24" t="s">
        <v>33</v>
      </c>
      <c r="EL344" s="24" t="s">
        <v>233</v>
      </c>
      <c r="EM344" s="24" t="s">
        <v>210</v>
      </c>
      <c r="EN344" s="24">
        <v>8</v>
      </c>
      <c r="EO344" s="24"/>
      <c r="EP344" s="24"/>
      <c r="EQ344" s="24"/>
      <c r="ER344" s="24"/>
      <c r="ES344" s="24">
        <v>2020</v>
      </c>
      <c r="ET344" s="24">
        <v>48</v>
      </c>
      <c r="EU344" s="24" t="s">
        <v>213</v>
      </c>
      <c r="EV344" s="24">
        <v>12</v>
      </c>
      <c r="EY344" s="24"/>
      <c r="EZ344" s="24"/>
      <c r="FA344" s="24"/>
      <c r="FB344" s="24"/>
      <c r="FE344" s="24"/>
      <c r="FF344" s="24"/>
      <c r="FG344" s="24"/>
      <c r="FH344" s="24"/>
      <c r="FN344" s="24"/>
      <c r="FO344" s="24"/>
      <c r="FP344" s="24"/>
      <c r="FQ344" s="24"/>
      <c r="FW344" s="24">
        <v>2020</v>
      </c>
      <c r="FX344" s="24">
        <v>14</v>
      </c>
      <c r="FY344" s="24" t="s">
        <v>32</v>
      </c>
      <c r="FZ344" s="24">
        <v>549</v>
      </c>
      <c r="GA344" s="24">
        <v>538</v>
      </c>
      <c r="GB344" s="24"/>
      <c r="GC344" s="24"/>
      <c r="GD344" s="316">
        <v>2020</v>
      </c>
      <c r="GE344" s="316">
        <v>14</v>
      </c>
      <c r="GF344" s="316" t="s">
        <v>32</v>
      </c>
      <c r="GG344" s="316">
        <v>540</v>
      </c>
      <c r="GH344" s="316">
        <v>532</v>
      </c>
      <c r="GK344" s="24"/>
      <c r="GL344" s="24"/>
      <c r="GM344" s="24"/>
      <c r="GN344" s="24"/>
      <c r="GO344" s="24"/>
      <c r="GP344" s="24"/>
      <c r="GQ344" s="24"/>
      <c r="GR344" s="24"/>
      <c r="GS344" s="24"/>
      <c r="GX344">
        <v>2020</v>
      </c>
      <c r="GY344">
        <v>14</v>
      </c>
      <c r="GZ344" t="s">
        <v>32</v>
      </c>
      <c r="HA344">
        <v>4072</v>
      </c>
      <c r="HB344">
        <v>4023</v>
      </c>
      <c r="HC344">
        <v>0</v>
      </c>
      <c r="HD344">
        <v>0</v>
      </c>
      <c r="HE344">
        <v>0</v>
      </c>
      <c r="HF344">
        <v>0</v>
      </c>
      <c r="HG344">
        <v>0</v>
      </c>
      <c r="HH344">
        <v>0</v>
      </c>
      <c r="HI344">
        <v>34</v>
      </c>
      <c r="HL344">
        <v>2020</v>
      </c>
      <c r="HM344">
        <v>14</v>
      </c>
      <c r="HN344" t="s">
        <v>32</v>
      </c>
      <c r="HO344">
        <v>4137</v>
      </c>
      <c r="HP344">
        <v>4136</v>
      </c>
      <c r="HQ344">
        <v>0</v>
      </c>
      <c r="HR344">
        <v>0</v>
      </c>
      <c r="HS344">
        <v>0</v>
      </c>
      <c r="HT344">
        <v>0</v>
      </c>
      <c r="HU344">
        <v>0</v>
      </c>
      <c r="HV344">
        <v>0</v>
      </c>
      <c r="HW344">
        <v>0</v>
      </c>
      <c r="HZ344" s="24">
        <v>2020</v>
      </c>
      <c r="IA344" s="24">
        <v>14</v>
      </c>
      <c r="IB344" s="24" t="s">
        <v>32</v>
      </c>
      <c r="IC344" s="24">
        <v>512</v>
      </c>
      <c r="ID344" s="24">
        <v>501</v>
      </c>
      <c r="IG344" s="24">
        <v>2020</v>
      </c>
      <c r="IH344" s="24">
        <v>14</v>
      </c>
      <c r="II344" s="24" t="s">
        <v>32</v>
      </c>
      <c r="IJ344" s="24">
        <v>517</v>
      </c>
      <c r="IK344" s="24">
        <v>517</v>
      </c>
    </row>
    <row r="345" spans="9:245" x14ac:dyDescent="0.4">
      <c r="I345" s="305">
        <v>2020</v>
      </c>
      <c r="J345" s="306">
        <v>14</v>
      </c>
      <c r="K345" s="306" t="s">
        <v>32</v>
      </c>
      <c r="L345" s="306">
        <v>4195</v>
      </c>
      <c r="M345" s="306">
        <v>4145</v>
      </c>
      <c r="N345" s="306">
        <v>15</v>
      </c>
      <c r="O345" s="306">
        <v>22</v>
      </c>
      <c r="P345" s="306">
        <v>24</v>
      </c>
      <c r="Q345" s="306">
        <v>1</v>
      </c>
      <c r="R345" s="24"/>
      <c r="S345" s="24"/>
      <c r="T345" s="24"/>
      <c r="W345" s="316">
        <v>2020</v>
      </c>
      <c r="X345" s="316">
        <v>14</v>
      </c>
      <c r="Y345" s="316" t="s">
        <v>33</v>
      </c>
      <c r="Z345" s="316">
        <v>117444</v>
      </c>
      <c r="AA345" s="316">
        <v>110368</v>
      </c>
      <c r="AB345" s="316">
        <v>181</v>
      </c>
      <c r="AC345" s="316">
        <v>11</v>
      </c>
      <c r="AI345" s="24"/>
      <c r="AJ345" s="24"/>
      <c r="AK345" s="255"/>
      <c r="AL345" s="255"/>
      <c r="AM345" s="255"/>
      <c r="AN345" s="255"/>
      <c r="AO345" s="24"/>
      <c r="AP345" s="24"/>
      <c r="AQ345" s="24"/>
      <c r="AR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I345" s="24">
        <v>2021</v>
      </c>
      <c r="BJ345" s="24">
        <v>38</v>
      </c>
      <c r="BK345" s="24" t="s">
        <v>33</v>
      </c>
      <c r="BL345" s="24" t="s">
        <v>272</v>
      </c>
      <c r="BM345" s="24">
        <v>53309</v>
      </c>
      <c r="BN345" s="24">
        <v>53270</v>
      </c>
      <c r="BO345" s="24">
        <v>192549</v>
      </c>
      <c r="CF345" s="24"/>
      <c r="CG345" s="24"/>
      <c r="CH345" s="24"/>
      <c r="CI345" s="24"/>
      <c r="CJ345" s="24"/>
      <c r="DD345" s="24"/>
      <c r="DE345" s="24"/>
      <c r="DF345" s="24"/>
      <c r="DG345" s="24"/>
      <c r="DH345" s="24"/>
      <c r="DJ345" s="24">
        <v>2020</v>
      </c>
      <c r="DK345" s="24">
        <v>19</v>
      </c>
      <c r="DL345" s="24" t="s">
        <v>33</v>
      </c>
      <c r="DM345" s="24">
        <v>475</v>
      </c>
      <c r="DP345" s="24"/>
      <c r="DQ345" s="24"/>
      <c r="DR345" s="24"/>
      <c r="DS345" s="24"/>
      <c r="DW345" s="24">
        <v>2021</v>
      </c>
      <c r="DX345" s="24">
        <v>12</v>
      </c>
      <c r="DY345" s="24" t="s">
        <v>33</v>
      </c>
      <c r="DZ345" s="24">
        <v>8</v>
      </c>
      <c r="EA345" s="24" t="s">
        <v>562</v>
      </c>
      <c r="EB345" s="24">
        <v>81</v>
      </c>
      <c r="EC345" s="24">
        <v>0</v>
      </c>
      <c r="ED345" s="24"/>
      <c r="EE345" s="24">
        <v>2950</v>
      </c>
      <c r="EF345" s="24">
        <v>42.6</v>
      </c>
      <c r="EI345" s="24">
        <v>2022</v>
      </c>
      <c r="EJ345" s="24">
        <v>52</v>
      </c>
      <c r="EK345" s="24" t="s">
        <v>33</v>
      </c>
      <c r="EL345" s="24" t="s">
        <v>233</v>
      </c>
      <c r="EM345" s="24" t="s">
        <v>234</v>
      </c>
      <c r="EN345" s="24">
        <v>1</v>
      </c>
      <c r="EO345" s="24"/>
      <c r="EP345" s="24"/>
      <c r="EQ345" s="24"/>
      <c r="ER345" s="24"/>
      <c r="ES345" s="24">
        <v>2020</v>
      </c>
      <c r="ET345" s="24">
        <v>47</v>
      </c>
      <c r="EU345" s="24" t="s">
        <v>32</v>
      </c>
      <c r="EV345" s="24">
        <v>1957</v>
      </c>
      <c r="EY345" s="24"/>
      <c r="EZ345" s="24"/>
      <c r="FA345" s="24"/>
      <c r="FB345" s="24"/>
      <c r="FE345" s="24"/>
      <c r="FF345" s="24"/>
      <c r="FG345" s="24"/>
      <c r="FH345" s="24"/>
      <c r="FN345" s="24"/>
      <c r="FO345" s="24"/>
      <c r="FP345" s="24"/>
      <c r="FQ345" s="24"/>
      <c r="FW345" s="24">
        <v>2020</v>
      </c>
      <c r="FX345" s="24">
        <v>14</v>
      </c>
      <c r="FY345" s="24" t="s">
        <v>33</v>
      </c>
      <c r="FZ345" s="24">
        <v>2575</v>
      </c>
      <c r="GA345" s="24">
        <v>2406</v>
      </c>
      <c r="GB345" s="24"/>
      <c r="GC345" s="24"/>
      <c r="GD345" s="316">
        <v>2020</v>
      </c>
      <c r="GE345" s="316">
        <v>14</v>
      </c>
      <c r="GF345" s="316" t="s">
        <v>33</v>
      </c>
      <c r="GG345" s="316">
        <v>2548</v>
      </c>
      <c r="GH345" s="316">
        <v>2439</v>
      </c>
      <c r="GK345" s="24"/>
      <c r="GL345" s="24"/>
      <c r="GM345" s="24"/>
      <c r="GN345" s="24"/>
      <c r="GO345" s="24"/>
      <c r="GP345" s="24"/>
      <c r="GQ345" s="24"/>
      <c r="GR345" s="24"/>
      <c r="GS345" s="24"/>
      <c r="GX345">
        <v>2020</v>
      </c>
      <c r="GY345">
        <v>14</v>
      </c>
      <c r="GZ345" t="s">
        <v>33</v>
      </c>
      <c r="HA345">
        <v>116742</v>
      </c>
      <c r="HB345">
        <v>109423</v>
      </c>
      <c r="HC345">
        <v>48</v>
      </c>
      <c r="HD345">
        <v>207</v>
      </c>
      <c r="HE345">
        <v>0</v>
      </c>
      <c r="HF345">
        <v>2419</v>
      </c>
      <c r="HG345">
        <v>0</v>
      </c>
      <c r="HH345">
        <v>0</v>
      </c>
      <c r="HI345">
        <v>1415</v>
      </c>
      <c r="HL345">
        <v>2020</v>
      </c>
      <c r="HM345">
        <v>14</v>
      </c>
      <c r="HN345" t="s">
        <v>33</v>
      </c>
      <c r="HO345">
        <v>117129</v>
      </c>
      <c r="HP345">
        <v>112376</v>
      </c>
      <c r="HQ345">
        <v>47</v>
      </c>
      <c r="HR345">
        <v>175</v>
      </c>
      <c r="HS345">
        <v>0</v>
      </c>
      <c r="HT345">
        <v>2256</v>
      </c>
      <c r="HU345">
        <v>0</v>
      </c>
      <c r="HV345">
        <v>0</v>
      </c>
      <c r="HW345">
        <v>625</v>
      </c>
      <c r="HZ345" s="24">
        <v>2020</v>
      </c>
      <c r="IA345" s="24">
        <v>14</v>
      </c>
      <c r="IB345" s="24" t="s">
        <v>33</v>
      </c>
      <c r="IC345" s="24">
        <v>2564</v>
      </c>
      <c r="ID345" s="24">
        <v>2327</v>
      </c>
      <c r="IG345" s="24">
        <v>2020</v>
      </c>
      <c r="IH345" s="24">
        <v>14</v>
      </c>
      <c r="II345" s="24" t="s">
        <v>33</v>
      </c>
      <c r="IJ345" s="24">
        <v>2194</v>
      </c>
      <c r="IK345" s="24">
        <v>2162</v>
      </c>
    </row>
    <row r="346" spans="9:245" x14ac:dyDescent="0.4">
      <c r="I346" s="305">
        <v>2020</v>
      </c>
      <c r="J346" s="306">
        <v>14</v>
      </c>
      <c r="K346" s="306" t="s">
        <v>33</v>
      </c>
      <c r="L346" s="306">
        <v>117494</v>
      </c>
      <c r="M346" s="306">
        <v>110087</v>
      </c>
      <c r="N346" s="306">
        <v>387</v>
      </c>
      <c r="O346" s="306">
        <v>1276</v>
      </c>
      <c r="P346" s="306">
        <v>225</v>
      </c>
      <c r="Q346" s="306">
        <v>24</v>
      </c>
      <c r="R346" s="24"/>
      <c r="S346" s="24"/>
      <c r="T346" s="24"/>
      <c r="W346" s="316">
        <v>2020</v>
      </c>
      <c r="X346" s="316">
        <v>13</v>
      </c>
      <c r="Y346" s="316" t="s">
        <v>32</v>
      </c>
      <c r="Z346" s="316">
        <v>6436</v>
      </c>
      <c r="AA346" s="316">
        <v>6304</v>
      </c>
      <c r="AB346" s="316">
        <v>27</v>
      </c>
      <c r="AC346" s="316">
        <v>1</v>
      </c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I346" s="24">
        <v>2021</v>
      </c>
      <c r="BJ346" s="24">
        <v>37</v>
      </c>
      <c r="BK346" s="24" t="s">
        <v>32</v>
      </c>
      <c r="BL346" s="24" t="s">
        <v>272</v>
      </c>
      <c r="BM346" s="24">
        <v>3325</v>
      </c>
      <c r="BN346" s="24">
        <v>3172</v>
      </c>
      <c r="BO346" s="24">
        <v>12206</v>
      </c>
      <c r="CF346" s="24"/>
      <c r="CG346" s="24"/>
      <c r="CH346" s="24"/>
      <c r="CI346" s="24"/>
      <c r="CJ346" s="24"/>
      <c r="DD346" s="24"/>
      <c r="DE346" s="24"/>
      <c r="DF346" s="24"/>
      <c r="DG346" s="24"/>
      <c r="DH346" s="24"/>
      <c r="DJ346" s="24">
        <v>2020</v>
      </c>
      <c r="DK346" s="24">
        <v>18</v>
      </c>
      <c r="DL346" s="24" t="s">
        <v>33</v>
      </c>
      <c r="DM346" s="24">
        <v>584</v>
      </c>
      <c r="DP346" s="24"/>
      <c r="DQ346" s="24"/>
      <c r="DR346" s="24"/>
      <c r="DS346" s="24"/>
      <c r="DW346" s="24">
        <v>2021</v>
      </c>
      <c r="DX346" s="24">
        <v>12</v>
      </c>
      <c r="DY346" s="24" t="s">
        <v>33</v>
      </c>
      <c r="DZ346" s="24">
        <v>41</v>
      </c>
      <c r="EA346" s="24" t="s">
        <v>149</v>
      </c>
      <c r="EB346" s="24">
        <v>157</v>
      </c>
      <c r="EC346" s="24">
        <v>1150</v>
      </c>
      <c r="ED346" s="24">
        <v>40541</v>
      </c>
      <c r="EE346" s="24">
        <v>45985</v>
      </c>
      <c r="EF346" s="24">
        <v>276.5</v>
      </c>
      <c r="EI346" s="24">
        <v>2022</v>
      </c>
      <c r="EJ346" s="24">
        <v>52</v>
      </c>
      <c r="EK346" s="24" t="s">
        <v>33</v>
      </c>
      <c r="EL346" s="24" t="s">
        <v>233</v>
      </c>
      <c r="EM346" s="24" t="s">
        <v>215</v>
      </c>
      <c r="EN346" s="24">
        <v>1</v>
      </c>
      <c r="EO346" s="24"/>
      <c r="EP346" s="24"/>
      <c r="EQ346" s="24"/>
      <c r="ER346" s="24"/>
      <c r="ES346" s="24">
        <v>2020</v>
      </c>
      <c r="ET346" s="24">
        <v>47</v>
      </c>
      <c r="EU346" s="24" t="s">
        <v>33</v>
      </c>
      <c r="EV346" s="24">
        <v>46836</v>
      </c>
      <c r="EY346" s="24"/>
      <c r="EZ346" s="24"/>
      <c r="FA346" s="24"/>
      <c r="FB346" s="24"/>
      <c r="FE346" s="24"/>
      <c r="FF346" s="24"/>
      <c r="FG346" s="24"/>
      <c r="FH346" s="24"/>
      <c r="FN346" s="24"/>
      <c r="FO346" s="24"/>
      <c r="FP346" s="24"/>
      <c r="FQ346" s="24"/>
      <c r="FW346" s="24">
        <v>2020</v>
      </c>
      <c r="FX346" s="24">
        <v>13</v>
      </c>
      <c r="FY346" s="24" t="s">
        <v>32</v>
      </c>
      <c r="FZ346" s="24">
        <v>507</v>
      </c>
      <c r="GA346" s="24">
        <v>472</v>
      </c>
      <c r="GB346" s="24"/>
      <c r="GC346" s="24"/>
      <c r="GD346" s="316">
        <v>2020</v>
      </c>
      <c r="GE346" s="316">
        <v>13</v>
      </c>
      <c r="GF346" s="316" t="s">
        <v>32</v>
      </c>
      <c r="GG346" s="316">
        <v>499</v>
      </c>
      <c r="GH346" s="316">
        <v>466</v>
      </c>
      <c r="GK346" s="24"/>
      <c r="GL346" s="24"/>
      <c r="GM346" s="24"/>
      <c r="GN346" s="24"/>
      <c r="GO346" s="24"/>
      <c r="GP346" s="24"/>
      <c r="GQ346" s="24"/>
      <c r="GR346" s="24"/>
      <c r="GS346" s="24"/>
      <c r="GX346">
        <v>2020</v>
      </c>
      <c r="GY346">
        <v>13</v>
      </c>
      <c r="GZ346" t="s">
        <v>32</v>
      </c>
      <c r="HA346">
        <v>6367</v>
      </c>
      <c r="HB346">
        <v>6201</v>
      </c>
      <c r="HC346">
        <v>0</v>
      </c>
      <c r="HD346">
        <v>0</v>
      </c>
      <c r="HE346">
        <v>0</v>
      </c>
      <c r="HF346">
        <v>16</v>
      </c>
      <c r="HG346">
        <v>0</v>
      </c>
      <c r="HH346">
        <v>0</v>
      </c>
      <c r="HI346">
        <v>72</v>
      </c>
      <c r="HL346">
        <v>2020</v>
      </c>
      <c r="HM346">
        <v>13</v>
      </c>
      <c r="HN346" t="s">
        <v>32</v>
      </c>
      <c r="HO346">
        <v>6421</v>
      </c>
      <c r="HP346">
        <v>6402</v>
      </c>
      <c r="HQ346">
        <v>0</v>
      </c>
      <c r="HR346">
        <v>0</v>
      </c>
      <c r="HS346">
        <v>0</v>
      </c>
      <c r="HT346">
        <v>18</v>
      </c>
      <c r="HU346">
        <v>0</v>
      </c>
      <c r="HV346">
        <v>0</v>
      </c>
      <c r="HW346">
        <v>0</v>
      </c>
      <c r="HZ346" s="24">
        <v>2020</v>
      </c>
      <c r="IA346" s="24">
        <v>13</v>
      </c>
      <c r="IB346" s="24" t="s">
        <v>32</v>
      </c>
      <c r="IC346" s="24">
        <v>507</v>
      </c>
      <c r="ID346" s="24">
        <v>472</v>
      </c>
      <c r="IG346" s="24">
        <v>2020</v>
      </c>
      <c r="IH346" s="24">
        <v>13</v>
      </c>
      <c r="II346" s="24" t="s">
        <v>32</v>
      </c>
      <c r="IJ346" s="24">
        <v>487</v>
      </c>
      <c r="IK346" s="24">
        <v>485</v>
      </c>
    </row>
    <row r="347" spans="9:245" x14ac:dyDescent="0.4">
      <c r="I347" s="305">
        <v>2020</v>
      </c>
      <c r="J347" s="306">
        <v>13</v>
      </c>
      <c r="K347" s="306" t="s">
        <v>32</v>
      </c>
      <c r="L347" s="306">
        <v>6465</v>
      </c>
      <c r="M347" s="306">
        <v>6293</v>
      </c>
      <c r="N347" s="306">
        <v>41</v>
      </c>
      <c r="O347" s="306">
        <v>97</v>
      </c>
      <c r="P347" s="306">
        <v>28</v>
      </c>
      <c r="Q347" s="306">
        <v>1</v>
      </c>
      <c r="R347" s="24"/>
      <c r="S347" s="24"/>
      <c r="T347" s="24"/>
      <c r="W347" s="316">
        <v>2020</v>
      </c>
      <c r="X347" s="316">
        <v>13</v>
      </c>
      <c r="Y347" s="316" t="s">
        <v>33</v>
      </c>
      <c r="Z347" s="316">
        <v>115089</v>
      </c>
      <c r="AA347" s="316">
        <v>109580</v>
      </c>
      <c r="AB347" s="316">
        <v>154</v>
      </c>
      <c r="AC347" s="316">
        <v>2</v>
      </c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I347" s="24">
        <v>2021</v>
      </c>
      <c r="BJ347" s="24">
        <v>37</v>
      </c>
      <c r="BK347" s="24" t="s">
        <v>33</v>
      </c>
      <c r="BL347" s="24" t="s">
        <v>272</v>
      </c>
      <c r="BM347" s="24">
        <v>50801</v>
      </c>
      <c r="BN347" s="24">
        <v>50648</v>
      </c>
      <c r="BO347" s="24">
        <v>181849</v>
      </c>
      <c r="CF347" s="24"/>
      <c r="CG347" s="24"/>
      <c r="CH347" s="24"/>
      <c r="CI347" s="24"/>
      <c r="CJ347" s="24"/>
      <c r="DD347" s="24"/>
      <c r="DE347" s="24"/>
      <c r="DF347" s="24"/>
      <c r="DG347" s="24"/>
      <c r="DH347" s="24"/>
      <c r="DJ347" s="24">
        <v>2020</v>
      </c>
      <c r="DK347" s="24">
        <v>18</v>
      </c>
      <c r="DL347" s="24" t="s">
        <v>213</v>
      </c>
      <c r="DM347" s="24">
        <v>3</v>
      </c>
      <c r="DP347" s="24"/>
      <c r="DQ347" s="24"/>
      <c r="DR347" s="24"/>
      <c r="DS347" s="24"/>
      <c r="DW347" s="24">
        <v>2021</v>
      </c>
      <c r="DX347" s="24">
        <v>11</v>
      </c>
      <c r="DY347" s="24" t="s">
        <v>32</v>
      </c>
      <c r="DZ347" s="24">
        <v>1</v>
      </c>
      <c r="EA347" s="24" t="s">
        <v>149</v>
      </c>
      <c r="EB347" s="24">
        <v>0</v>
      </c>
      <c r="EC347" s="24">
        <v>36.5</v>
      </c>
      <c r="ED347" s="24">
        <v>1405</v>
      </c>
      <c r="EE347" s="24">
        <v>1365</v>
      </c>
      <c r="EF347" s="24">
        <v>7.5</v>
      </c>
      <c r="EI347" s="24">
        <v>2022</v>
      </c>
      <c r="EJ347" s="24">
        <v>52</v>
      </c>
      <c r="EK347" s="24" t="s">
        <v>33</v>
      </c>
      <c r="EL347" s="24" t="s">
        <v>235</v>
      </c>
      <c r="EM347" s="24" t="s">
        <v>210</v>
      </c>
      <c r="EN347" s="24">
        <v>1</v>
      </c>
      <c r="EO347" s="24"/>
      <c r="EP347" s="24"/>
      <c r="EQ347" s="24"/>
      <c r="ER347" s="24"/>
      <c r="ES347" s="24">
        <v>2020</v>
      </c>
      <c r="ET347" s="24">
        <v>47</v>
      </c>
      <c r="EU347" s="24" t="s">
        <v>213</v>
      </c>
      <c r="EV347" s="24">
        <v>13</v>
      </c>
      <c r="EY347" s="24"/>
      <c r="EZ347" s="24"/>
      <c r="FA347" s="24"/>
      <c r="FB347" s="24"/>
      <c r="FE347" s="24"/>
      <c r="FF347" s="24"/>
      <c r="FG347" s="24"/>
      <c r="FH347" s="24"/>
      <c r="FN347" s="24"/>
      <c r="FO347" s="24"/>
      <c r="FP347" s="24"/>
      <c r="FQ347" s="24"/>
      <c r="FW347" s="24">
        <v>2020</v>
      </c>
      <c r="FX347" s="24">
        <v>13</v>
      </c>
      <c r="FY347" s="24" t="s">
        <v>33</v>
      </c>
      <c r="FZ347" s="24">
        <v>2542</v>
      </c>
      <c r="GA347" s="24">
        <v>2406</v>
      </c>
      <c r="GB347" s="24"/>
      <c r="GC347" s="24"/>
      <c r="GD347" s="316">
        <v>2020</v>
      </c>
      <c r="GE347" s="316">
        <v>13</v>
      </c>
      <c r="GF347" s="316" t="s">
        <v>33</v>
      </c>
      <c r="GG347" s="316">
        <v>2495</v>
      </c>
      <c r="GH347" s="316">
        <v>2393</v>
      </c>
      <c r="GK347" s="24"/>
      <c r="GL347" s="24"/>
      <c r="GM347" s="24"/>
      <c r="GN347" s="24"/>
      <c r="GO347" s="24"/>
      <c r="GP347" s="24"/>
      <c r="GQ347" s="24"/>
      <c r="GR347" s="24"/>
      <c r="GS347" s="24"/>
      <c r="GX347">
        <v>2020</v>
      </c>
      <c r="GY347">
        <v>13</v>
      </c>
      <c r="GZ347" t="s">
        <v>33</v>
      </c>
      <c r="HA347">
        <v>116298</v>
      </c>
      <c r="HB347">
        <v>110300</v>
      </c>
      <c r="HC347">
        <v>91</v>
      </c>
      <c r="HD347">
        <v>86</v>
      </c>
      <c r="HE347">
        <v>1</v>
      </c>
      <c r="HF347">
        <v>2599</v>
      </c>
      <c r="HG347">
        <v>0</v>
      </c>
      <c r="HH347">
        <v>0</v>
      </c>
      <c r="HI347">
        <v>1195</v>
      </c>
      <c r="HL347">
        <v>2020</v>
      </c>
      <c r="HM347">
        <v>13</v>
      </c>
      <c r="HN347" t="s">
        <v>33</v>
      </c>
      <c r="HO347">
        <v>114800</v>
      </c>
      <c r="HP347">
        <v>110971</v>
      </c>
      <c r="HQ347">
        <v>93</v>
      </c>
      <c r="HR347">
        <v>55</v>
      </c>
      <c r="HS347">
        <v>0</v>
      </c>
      <c r="HT347">
        <v>2522</v>
      </c>
      <c r="HU347">
        <v>0</v>
      </c>
      <c r="HV347">
        <v>0</v>
      </c>
      <c r="HW347">
        <v>453</v>
      </c>
      <c r="HZ347" s="24">
        <v>2020</v>
      </c>
      <c r="IA347" s="24">
        <v>13</v>
      </c>
      <c r="IB347" s="24" t="s">
        <v>33</v>
      </c>
      <c r="IC347" s="24">
        <v>2575</v>
      </c>
      <c r="ID347" s="24">
        <v>2385</v>
      </c>
      <c r="IG347" s="24">
        <v>2020</v>
      </c>
      <c r="IH347" s="24">
        <v>13</v>
      </c>
      <c r="II347" s="24" t="s">
        <v>33</v>
      </c>
      <c r="IJ347" s="24">
        <v>2206</v>
      </c>
      <c r="IK347" s="24">
        <v>2155</v>
      </c>
    </row>
    <row r="348" spans="9:245" x14ac:dyDescent="0.4">
      <c r="I348" s="305">
        <v>2020</v>
      </c>
      <c r="J348" s="306">
        <v>13</v>
      </c>
      <c r="K348" s="306" t="s">
        <v>33</v>
      </c>
      <c r="L348" s="306">
        <v>115494</v>
      </c>
      <c r="M348" s="306">
        <v>109453</v>
      </c>
      <c r="N348" s="306">
        <v>456</v>
      </c>
      <c r="O348" s="306">
        <v>870</v>
      </c>
      <c r="P348" s="306">
        <v>192</v>
      </c>
      <c r="Q348" s="306">
        <v>7</v>
      </c>
      <c r="R348" s="24"/>
      <c r="S348" s="24"/>
      <c r="T348" s="24"/>
      <c r="W348" s="316">
        <v>2020</v>
      </c>
      <c r="X348" s="316">
        <v>12</v>
      </c>
      <c r="Y348" s="316" t="s">
        <v>32</v>
      </c>
      <c r="Z348" s="316">
        <v>5572</v>
      </c>
      <c r="AA348" s="316">
        <v>5549</v>
      </c>
      <c r="AB348" s="316">
        <v>8</v>
      </c>
      <c r="AC348" s="316"/>
      <c r="AI348" s="24"/>
      <c r="AJ348" s="24"/>
      <c r="AK348" s="256"/>
      <c r="AL348" s="256"/>
      <c r="AM348" s="256"/>
      <c r="AN348" s="256"/>
      <c r="AO348" s="24"/>
      <c r="AP348" s="24"/>
      <c r="AQ348" s="24"/>
      <c r="AR348" s="24"/>
      <c r="AT348" s="24"/>
      <c r="AU348" s="24"/>
      <c r="AV348" s="24"/>
      <c r="AW348" s="24"/>
      <c r="AX348" s="24"/>
      <c r="AY348" s="24"/>
      <c r="AZ348" s="24"/>
      <c r="BA348" s="24"/>
      <c r="BB348" s="24"/>
      <c r="BC348" s="24"/>
      <c r="BD348" s="24"/>
      <c r="BE348" s="24"/>
      <c r="BF348" s="24"/>
      <c r="BG348" s="24"/>
      <c r="BI348" s="24">
        <v>2021</v>
      </c>
      <c r="BJ348" s="24">
        <v>37</v>
      </c>
      <c r="BK348" s="24" t="s">
        <v>32</v>
      </c>
      <c r="BL348" s="24" t="s">
        <v>273</v>
      </c>
      <c r="BM348" s="24">
        <v>8254</v>
      </c>
      <c r="BN348" s="24">
        <v>8179</v>
      </c>
      <c r="BO348" s="24">
        <v>11017</v>
      </c>
      <c r="CF348" s="24"/>
      <c r="CG348" s="24"/>
      <c r="CH348" s="24"/>
      <c r="CI348" s="24"/>
      <c r="CJ348" s="24"/>
      <c r="DD348" s="24"/>
      <c r="DE348" s="24"/>
      <c r="DF348" s="24"/>
      <c r="DG348" s="24"/>
      <c r="DH348" s="24"/>
      <c r="DJ348" s="24">
        <v>2020</v>
      </c>
      <c r="DK348" s="24">
        <v>17</v>
      </c>
      <c r="DL348" s="24" t="s">
        <v>32</v>
      </c>
      <c r="DM348" s="24">
        <v>3</v>
      </c>
      <c r="DP348" s="24"/>
      <c r="DQ348" s="24"/>
      <c r="DR348" s="24"/>
      <c r="DS348" s="24"/>
      <c r="DW348" s="24">
        <v>2021</v>
      </c>
      <c r="DX348" s="24">
        <v>11</v>
      </c>
      <c r="DY348" s="24" t="s">
        <v>33</v>
      </c>
      <c r="DZ348" s="24">
        <v>8</v>
      </c>
      <c r="EA348" s="24" t="s">
        <v>562</v>
      </c>
      <c r="EB348" s="24">
        <v>68.7</v>
      </c>
      <c r="EC348" s="24">
        <v>0</v>
      </c>
      <c r="ED348" s="24">
        <v>1</v>
      </c>
      <c r="EE348" s="24">
        <v>2388</v>
      </c>
      <c r="EF348" s="24">
        <v>52.5</v>
      </c>
      <c r="EI348" s="24">
        <v>2022</v>
      </c>
      <c r="EJ348" s="24">
        <v>52</v>
      </c>
      <c r="EK348" s="24" t="s">
        <v>33</v>
      </c>
      <c r="EL348" s="24" t="s">
        <v>247</v>
      </c>
      <c r="EM348" s="24" t="s">
        <v>210</v>
      </c>
      <c r="EN348" s="24">
        <v>8</v>
      </c>
      <c r="EO348" s="24"/>
      <c r="EP348" s="24"/>
      <c r="EQ348" s="24"/>
      <c r="ER348" s="24"/>
      <c r="ES348" s="24">
        <v>2020</v>
      </c>
      <c r="ET348" s="24">
        <v>46</v>
      </c>
      <c r="EU348" s="24" t="s">
        <v>32</v>
      </c>
      <c r="EV348" s="24">
        <v>2296</v>
      </c>
      <c r="EY348" s="24"/>
      <c r="EZ348" s="24"/>
      <c r="FA348" s="24"/>
      <c r="FB348" s="24"/>
      <c r="FE348" s="24"/>
      <c r="FF348" s="24"/>
      <c r="FG348" s="24"/>
      <c r="FH348" s="24"/>
      <c r="FN348" s="24"/>
      <c r="FO348" s="24"/>
      <c r="FP348" s="24"/>
      <c r="FQ348" s="24"/>
      <c r="FW348" s="24">
        <v>2020</v>
      </c>
      <c r="FX348" s="24">
        <v>12</v>
      </c>
      <c r="FY348" s="24" t="s">
        <v>32</v>
      </c>
      <c r="FZ348" s="24">
        <v>363</v>
      </c>
      <c r="GA348" s="24">
        <v>347</v>
      </c>
      <c r="GB348" s="24"/>
      <c r="GC348" s="24"/>
      <c r="GD348" s="316">
        <v>2020</v>
      </c>
      <c r="GE348" s="316">
        <v>12</v>
      </c>
      <c r="GF348" s="316" t="s">
        <v>32</v>
      </c>
      <c r="GG348" s="316">
        <v>374</v>
      </c>
      <c r="GH348" s="316">
        <v>366</v>
      </c>
      <c r="GK348" s="24"/>
      <c r="GL348" s="24"/>
      <c r="GM348" s="24"/>
      <c r="GN348" s="24"/>
      <c r="GO348" s="24"/>
      <c r="GP348" s="24"/>
      <c r="GQ348" s="24"/>
      <c r="GR348" s="24"/>
      <c r="GS348" s="24"/>
      <c r="GX348">
        <v>2020</v>
      </c>
      <c r="GY348">
        <v>12</v>
      </c>
      <c r="GZ348" t="s">
        <v>32</v>
      </c>
      <c r="HA348">
        <v>5498</v>
      </c>
      <c r="HB348">
        <v>5444</v>
      </c>
      <c r="HC348">
        <v>0</v>
      </c>
      <c r="HD348">
        <v>1</v>
      </c>
      <c r="HE348">
        <v>0</v>
      </c>
      <c r="HF348">
        <v>1</v>
      </c>
      <c r="HG348">
        <v>0</v>
      </c>
      <c r="HH348">
        <v>0</v>
      </c>
      <c r="HI348">
        <v>33</v>
      </c>
      <c r="HL348">
        <v>2020</v>
      </c>
      <c r="HM348">
        <v>12</v>
      </c>
      <c r="HN348" t="s">
        <v>32</v>
      </c>
      <c r="HO348">
        <v>5548</v>
      </c>
      <c r="HP348">
        <v>5542</v>
      </c>
      <c r="HQ348">
        <v>0</v>
      </c>
      <c r="HR348">
        <v>0</v>
      </c>
      <c r="HS348">
        <v>0</v>
      </c>
      <c r="HT348">
        <v>2</v>
      </c>
      <c r="HU348">
        <v>0</v>
      </c>
      <c r="HV348">
        <v>0</v>
      </c>
      <c r="HW348">
        <v>0</v>
      </c>
      <c r="HZ348" s="24">
        <v>2020</v>
      </c>
      <c r="IA348" s="24">
        <v>12</v>
      </c>
      <c r="IB348" s="24" t="s">
        <v>32</v>
      </c>
      <c r="IC348" s="24">
        <v>388</v>
      </c>
      <c r="ID348" s="24">
        <v>378</v>
      </c>
      <c r="IG348" s="24">
        <v>2020</v>
      </c>
      <c r="IH348" s="24">
        <v>12</v>
      </c>
      <c r="II348" s="24" t="s">
        <v>32</v>
      </c>
      <c r="IJ348" s="24">
        <v>370</v>
      </c>
      <c r="IK348" s="24">
        <v>370</v>
      </c>
    </row>
    <row r="349" spans="9:245" x14ac:dyDescent="0.4">
      <c r="I349" s="305">
        <v>2020</v>
      </c>
      <c r="J349" s="306">
        <v>12</v>
      </c>
      <c r="K349" s="306" t="s">
        <v>32</v>
      </c>
      <c r="L349" s="306">
        <v>5557</v>
      </c>
      <c r="M349" s="306">
        <v>5495</v>
      </c>
      <c r="N349" s="306">
        <v>35</v>
      </c>
      <c r="O349" s="306">
        <v>35</v>
      </c>
      <c r="P349" s="306">
        <v>10</v>
      </c>
      <c r="Q349" s="306"/>
      <c r="R349" s="24"/>
      <c r="S349" s="24"/>
      <c r="T349" s="24"/>
      <c r="W349" s="316">
        <v>2020</v>
      </c>
      <c r="X349" s="316">
        <v>12</v>
      </c>
      <c r="Y349" s="316" t="s">
        <v>33</v>
      </c>
      <c r="Z349" s="316">
        <v>99257</v>
      </c>
      <c r="AA349" s="316">
        <v>97680</v>
      </c>
      <c r="AB349" s="316">
        <v>43</v>
      </c>
      <c r="AC349" s="316">
        <v>4</v>
      </c>
      <c r="AI349" s="24"/>
      <c r="AJ349" s="24"/>
      <c r="AK349" s="256"/>
      <c r="AL349" s="256"/>
      <c r="AM349" s="256"/>
      <c r="AN349" s="256"/>
      <c r="AO349" s="24"/>
      <c r="AP349" s="24"/>
      <c r="AQ349" s="24"/>
      <c r="AR349" s="24"/>
      <c r="AT349" s="24"/>
      <c r="AU349" s="24"/>
      <c r="AV349" s="24"/>
      <c r="AW349" s="24"/>
      <c r="AX349" s="24"/>
      <c r="AY349" s="24"/>
      <c r="AZ349" s="24"/>
      <c r="BA349" s="24"/>
      <c r="BB349" s="24"/>
      <c r="BC349" s="24"/>
      <c r="BD349" s="24"/>
      <c r="BE349" s="24"/>
      <c r="BF349" s="24"/>
      <c r="BG349" s="24"/>
      <c r="BI349" s="24">
        <v>2021</v>
      </c>
      <c r="BJ349" s="24">
        <v>37</v>
      </c>
      <c r="BK349" s="24" t="s">
        <v>33</v>
      </c>
      <c r="BL349" s="24" t="s">
        <v>273</v>
      </c>
      <c r="BM349" s="24">
        <v>99987</v>
      </c>
      <c r="BN349" s="24">
        <v>99357</v>
      </c>
      <c r="BO349" s="24">
        <v>102766</v>
      </c>
      <c r="CF349" s="24"/>
      <c r="CG349" s="24"/>
      <c r="CH349" s="24"/>
      <c r="CI349" s="24"/>
      <c r="CJ349" s="24"/>
      <c r="DD349" s="24"/>
      <c r="DE349" s="24"/>
      <c r="DF349" s="24"/>
      <c r="DG349" s="24"/>
      <c r="DH349" s="24"/>
      <c r="DJ349" s="24">
        <v>2020</v>
      </c>
      <c r="DK349" s="24">
        <v>17</v>
      </c>
      <c r="DL349" s="24" t="s">
        <v>33</v>
      </c>
      <c r="DM349" s="24">
        <v>351</v>
      </c>
      <c r="DP349" s="24"/>
      <c r="DQ349" s="24"/>
      <c r="DR349" s="24"/>
      <c r="DS349" s="24"/>
      <c r="DW349" s="24">
        <v>2021</v>
      </c>
      <c r="DX349" s="24">
        <v>11</v>
      </c>
      <c r="DY349" s="24" t="s">
        <v>33</v>
      </c>
      <c r="DZ349" s="24">
        <v>40</v>
      </c>
      <c r="EA349" s="24" t="s">
        <v>149</v>
      </c>
      <c r="EB349" s="24">
        <v>109.5</v>
      </c>
      <c r="EC349" s="24">
        <v>1015.3</v>
      </c>
      <c r="ED349" s="24">
        <v>36413</v>
      </c>
      <c r="EE349" s="24">
        <v>40126</v>
      </c>
      <c r="EF349" s="24">
        <v>252.7</v>
      </c>
      <c r="EI349" s="24">
        <v>2022</v>
      </c>
      <c r="EJ349" s="24">
        <v>52</v>
      </c>
      <c r="EK349" s="24" t="s">
        <v>237</v>
      </c>
      <c r="EL349" s="24" t="s">
        <v>557</v>
      </c>
      <c r="EM349" s="24" t="s">
        <v>210</v>
      </c>
      <c r="EN349" s="24">
        <v>1</v>
      </c>
      <c r="EO349" s="24"/>
      <c r="EP349" s="24"/>
      <c r="EQ349" s="24"/>
      <c r="ER349" s="24"/>
      <c r="ES349" s="24">
        <v>2020</v>
      </c>
      <c r="ET349" s="24">
        <v>46</v>
      </c>
      <c r="EU349" s="24" t="s">
        <v>33</v>
      </c>
      <c r="EV349" s="24">
        <v>50921</v>
      </c>
      <c r="EY349" s="24"/>
      <c r="EZ349" s="24"/>
      <c r="FA349" s="24"/>
      <c r="FB349" s="24"/>
      <c r="FE349" s="24"/>
      <c r="FF349" s="24"/>
      <c r="FG349" s="24"/>
      <c r="FH349" s="24"/>
      <c r="FN349" s="24"/>
      <c r="FO349" s="24"/>
      <c r="FP349" s="24"/>
      <c r="FQ349" s="24"/>
      <c r="FW349" s="24">
        <v>2020</v>
      </c>
      <c r="FX349" s="24">
        <v>12</v>
      </c>
      <c r="FY349" s="24" t="s">
        <v>33</v>
      </c>
      <c r="FZ349" s="24">
        <v>2214</v>
      </c>
      <c r="GA349" s="24">
        <v>2176</v>
      </c>
      <c r="GB349" s="24"/>
      <c r="GC349" s="24"/>
      <c r="GD349" s="316">
        <v>2020</v>
      </c>
      <c r="GE349" s="316">
        <v>12</v>
      </c>
      <c r="GF349" s="316" t="s">
        <v>33</v>
      </c>
      <c r="GG349" s="316">
        <v>2212</v>
      </c>
      <c r="GH349" s="316">
        <v>2184</v>
      </c>
      <c r="GK349" s="24"/>
      <c r="GL349" s="24"/>
      <c r="GM349" s="24"/>
      <c r="GN349" s="24"/>
      <c r="GO349" s="24"/>
      <c r="GP349" s="24"/>
      <c r="GQ349" s="24"/>
      <c r="GR349" s="24"/>
      <c r="GS349" s="24"/>
      <c r="GX349">
        <v>2020</v>
      </c>
      <c r="GY349">
        <v>12</v>
      </c>
      <c r="GZ349" t="s">
        <v>33</v>
      </c>
      <c r="HA349">
        <v>100140</v>
      </c>
      <c r="HB349">
        <v>98232</v>
      </c>
      <c r="HC349">
        <v>40</v>
      </c>
      <c r="HD349">
        <v>70</v>
      </c>
      <c r="HE349">
        <v>0</v>
      </c>
      <c r="HF349">
        <v>555</v>
      </c>
      <c r="HG349">
        <v>0</v>
      </c>
      <c r="HH349">
        <v>0</v>
      </c>
      <c r="HI349">
        <v>624</v>
      </c>
      <c r="HL349">
        <v>2020</v>
      </c>
      <c r="HM349">
        <v>12</v>
      </c>
      <c r="HN349" t="s">
        <v>33</v>
      </c>
      <c r="HO349">
        <v>99029</v>
      </c>
      <c r="HP349">
        <v>98383</v>
      </c>
      <c r="HQ349">
        <v>55</v>
      </c>
      <c r="HR349">
        <v>28</v>
      </c>
      <c r="HS349">
        <v>0</v>
      </c>
      <c r="HT349">
        <v>525</v>
      </c>
      <c r="HU349">
        <v>0</v>
      </c>
      <c r="HV349">
        <v>0</v>
      </c>
      <c r="HW349">
        <v>65</v>
      </c>
      <c r="HZ349" s="24">
        <v>2020</v>
      </c>
      <c r="IA349" s="24">
        <v>12</v>
      </c>
      <c r="IB349" s="24" t="s">
        <v>33</v>
      </c>
      <c r="IC349" s="24">
        <v>2165</v>
      </c>
      <c r="ID349" s="24">
        <v>2039</v>
      </c>
      <c r="IG349" s="24">
        <v>2020</v>
      </c>
      <c r="IH349" s="24">
        <v>12</v>
      </c>
      <c r="II349" s="24" t="s">
        <v>33</v>
      </c>
      <c r="IJ349" s="24">
        <v>1918</v>
      </c>
      <c r="IK349" s="24">
        <v>1896</v>
      </c>
    </row>
    <row r="350" spans="9:245" x14ac:dyDescent="0.4">
      <c r="I350" s="305">
        <v>2020</v>
      </c>
      <c r="J350" s="306">
        <v>12</v>
      </c>
      <c r="K350" s="306" t="s">
        <v>33</v>
      </c>
      <c r="L350" s="306">
        <v>99893</v>
      </c>
      <c r="M350" s="306">
        <v>97795</v>
      </c>
      <c r="N350" s="306">
        <v>390</v>
      </c>
      <c r="O350" s="306">
        <v>329</v>
      </c>
      <c r="P350" s="306">
        <v>50</v>
      </c>
      <c r="Q350" s="306">
        <v>4</v>
      </c>
      <c r="R350" s="24"/>
      <c r="S350" s="24"/>
      <c r="T350" s="24"/>
      <c r="W350" s="316">
        <v>2020</v>
      </c>
      <c r="X350" s="316">
        <v>11</v>
      </c>
      <c r="Y350" s="316" t="s">
        <v>32</v>
      </c>
      <c r="Z350" s="316">
        <v>6725</v>
      </c>
      <c r="AA350" s="316">
        <v>6201</v>
      </c>
      <c r="AB350" s="316">
        <v>12</v>
      </c>
      <c r="AC350" s="316"/>
      <c r="AI350" s="24"/>
      <c r="AJ350" s="24"/>
      <c r="AK350" s="24"/>
      <c r="AL350" s="24"/>
      <c r="AM350" s="24"/>
      <c r="AN350" s="24"/>
      <c r="AO350" s="24"/>
      <c r="AP350" s="24"/>
      <c r="AQ350" s="24"/>
      <c r="AR350" s="24"/>
      <c r="AT350" s="24"/>
      <c r="AU350" s="24"/>
      <c r="AV350" s="24"/>
      <c r="AW350" s="24"/>
      <c r="AX350" s="24"/>
      <c r="AY350" s="24"/>
      <c r="AZ350" s="24"/>
      <c r="BA350" s="24"/>
      <c r="BB350" s="24"/>
      <c r="BC350" s="24"/>
      <c r="BD350" s="24"/>
      <c r="BE350" s="24"/>
      <c r="BF350" s="24"/>
      <c r="BG350" s="24"/>
      <c r="BI350" s="24">
        <v>2021</v>
      </c>
      <c r="BJ350" s="24">
        <v>36</v>
      </c>
      <c r="BK350" s="24" t="s">
        <v>33</v>
      </c>
      <c r="BL350" s="24" t="s">
        <v>273</v>
      </c>
      <c r="BM350" s="24">
        <v>74359</v>
      </c>
      <c r="BN350" s="24">
        <v>73837</v>
      </c>
      <c r="BO350" s="24">
        <v>76752</v>
      </c>
      <c r="CF350" s="24"/>
      <c r="CG350" s="24"/>
      <c r="CH350" s="24"/>
      <c r="CI350" s="24"/>
      <c r="CJ350" s="24"/>
      <c r="DD350" s="24"/>
      <c r="DE350" s="24"/>
      <c r="DF350" s="24"/>
      <c r="DG350" s="24"/>
      <c r="DH350" s="24"/>
      <c r="DJ350" s="24">
        <v>2020</v>
      </c>
      <c r="DK350" s="24">
        <v>17</v>
      </c>
      <c r="DL350" s="24" t="s">
        <v>213</v>
      </c>
      <c r="DM350" s="24">
        <v>9</v>
      </c>
      <c r="DP350" s="24"/>
      <c r="DQ350" s="24"/>
      <c r="DR350" s="24"/>
      <c r="DS350" s="24"/>
      <c r="DW350" s="24">
        <v>2021</v>
      </c>
      <c r="DX350" s="24">
        <v>10</v>
      </c>
      <c r="DY350" s="24" t="s">
        <v>32</v>
      </c>
      <c r="DZ350" s="24">
        <v>1</v>
      </c>
      <c r="EA350" s="24" t="s">
        <v>149</v>
      </c>
      <c r="EB350" s="24">
        <v>0</v>
      </c>
      <c r="EC350" s="24">
        <v>34.700000000000003</v>
      </c>
      <c r="ED350" s="24">
        <v>1345</v>
      </c>
      <c r="EE350" s="24">
        <v>1302</v>
      </c>
      <c r="EF350" s="24">
        <v>7.2</v>
      </c>
      <c r="EI350" s="24">
        <v>2022</v>
      </c>
      <c r="EJ350" s="24">
        <v>52</v>
      </c>
      <c r="EK350" s="24" t="s">
        <v>237</v>
      </c>
      <c r="EL350" s="24" t="s">
        <v>557</v>
      </c>
      <c r="EM350" s="24" t="s">
        <v>215</v>
      </c>
      <c r="EN350" s="24">
        <v>1</v>
      </c>
      <c r="EO350" s="24"/>
      <c r="EP350" s="24"/>
      <c r="EQ350" s="24"/>
      <c r="ER350" s="24"/>
      <c r="ES350" s="24">
        <v>2020</v>
      </c>
      <c r="ET350" s="24">
        <v>46</v>
      </c>
      <c r="EU350" s="24" t="s">
        <v>213</v>
      </c>
      <c r="EV350" s="24">
        <v>20</v>
      </c>
      <c r="EY350" s="24"/>
      <c r="EZ350" s="24"/>
      <c r="FA350" s="24"/>
      <c r="FB350" s="24"/>
      <c r="FE350" s="24"/>
      <c r="FF350" s="24"/>
      <c r="FG350" s="24"/>
      <c r="FH350" s="24"/>
      <c r="FN350" s="24"/>
      <c r="FO350" s="24"/>
      <c r="FP350" s="24"/>
      <c r="FQ350" s="24"/>
      <c r="FW350" s="24">
        <v>2020</v>
      </c>
      <c r="FX350" s="24">
        <v>11</v>
      </c>
      <c r="FY350" s="24" t="s">
        <v>32</v>
      </c>
      <c r="FZ350" s="24">
        <v>477</v>
      </c>
      <c r="GA350" s="24">
        <v>468</v>
      </c>
      <c r="GB350" s="24"/>
      <c r="GC350" s="24"/>
      <c r="GD350" s="316">
        <v>2020</v>
      </c>
      <c r="GE350" s="316">
        <v>11</v>
      </c>
      <c r="GF350" s="316" t="s">
        <v>32</v>
      </c>
      <c r="GG350" s="316">
        <v>466</v>
      </c>
      <c r="GH350" s="316">
        <v>454</v>
      </c>
      <c r="GK350" s="24"/>
      <c r="GL350" s="24"/>
      <c r="GM350" s="24"/>
      <c r="GN350" s="24"/>
      <c r="GO350" s="24"/>
      <c r="GP350" s="24"/>
      <c r="GQ350" s="24"/>
      <c r="GR350" s="24"/>
      <c r="GS350" s="24"/>
      <c r="GX350">
        <v>2020</v>
      </c>
      <c r="GY350">
        <v>11</v>
      </c>
      <c r="GZ350" t="s">
        <v>32</v>
      </c>
      <c r="HA350">
        <v>7000</v>
      </c>
      <c r="HB350">
        <v>6460</v>
      </c>
      <c r="HC350">
        <v>0</v>
      </c>
      <c r="HD350">
        <v>0</v>
      </c>
      <c r="HE350">
        <v>0</v>
      </c>
      <c r="HF350">
        <v>0</v>
      </c>
      <c r="HG350">
        <v>0</v>
      </c>
      <c r="HH350">
        <v>0</v>
      </c>
      <c r="HI350">
        <v>24</v>
      </c>
      <c r="HL350">
        <v>2020</v>
      </c>
      <c r="HM350">
        <v>11</v>
      </c>
      <c r="HN350" t="s">
        <v>32</v>
      </c>
      <c r="HO350">
        <v>6628</v>
      </c>
      <c r="HP350">
        <v>6157</v>
      </c>
      <c r="HQ350">
        <v>0</v>
      </c>
      <c r="HR350">
        <v>0</v>
      </c>
      <c r="HS350">
        <v>0</v>
      </c>
      <c r="HT350">
        <v>419</v>
      </c>
      <c r="HU350">
        <v>0</v>
      </c>
      <c r="HV350">
        <v>0</v>
      </c>
      <c r="HW350">
        <v>2</v>
      </c>
      <c r="HZ350" s="24">
        <v>2020</v>
      </c>
      <c r="IA350" s="24">
        <v>11</v>
      </c>
      <c r="IB350" s="24" t="s">
        <v>32</v>
      </c>
      <c r="IC350" s="24">
        <v>457</v>
      </c>
      <c r="ID350" s="24">
        <v>442</v>
      </c>
      <c r="IG350" s="24">
        <v>2020</v>
      </c>
      <c r="IH350" s="24">
        <v>11</v>
      </c>
      <c r="II350" s="24" t="s">
        <v>32</v>
      </c>
      <c r="IJ350" s="24">
        <v>454</v>
      </c>
      <c r="IK350" s="24">
        <v>447</v>
      </c>
    </row>
    <row r="351" spans="9:245" x14ac:dyDescent="0.4">
      <c r="I351" s="305">
        <v>2020</v>
      </c>
      <c r="J351" s="306">
        <v>11</v>
      </c>
      <c r="K351" s="306" t="s">
        <v>32</v>
      </c>
      <c r="L351" s="306">
        <v>6689</v>
      </c>
      <c r="M351" s="306">
        <v>6157</v>
      </c>
      <c r="N351" s="306">
        <v>10</v>
      </c>
      <c r="O351" s="306">
        <v>90</v>
      </c>
      <c r="P351" s="306">
        <v>9</v>
      </c>
      <c r="Q351" s="306"/>
      <c r="R351" s="24"/>
      <c r="S351" s="24"/>
      <c r="T351" s="24"/>
      <c r="W351" s="316">
        <v>2020</v>
      </c>
      <c r="X351" s="316">
        <v>11</v>
      </c>
      <c r="Y351" s="316" t="s">
        <v>33</v>
      </c>
      <c r="Z351" s="316">
        <v>112423</v>
      </c>
      <c r="AA351" s="316">
        <v>111290</v>
      </c>
      <c r="AB351" s="316">
        <v>82</v>
      </c>
      <c r="AC351" s="316">
        <v>10</v>
      </c>
      <c r="AI351" s="24"/>
      <c r="AJ351" s="24"/>
      <c r="AK351" s="24"/>
      <c r="AL351" s="24"/>
      <c r="AM351" s="24"/>
      <c r="AN351" s="24"/>
      <c r="AO351" s="24"/>
      <c r="AP351" s="24"/>
      <c r="AQ351" s="24"/>
      <c r="AR351" s="24"/>
      <c r="AT351" s="24"/>
      <c r="AU351" s="24"/>
      <c r="AV351" s="24"/>
      <c r="AW351" s="24"/>
      <c r="AX351" s="24"/>
      <c r="AY351" s="24"/>
      <c r="AZ351" s="24"/>
      <c r="BA351" s="24"/>
      <c r="BB351" s="24"/>
      <c r="BC351" s="24"/>
      <c r="BD351" s="24"/>
      <c r="BE351" s="24"/>
      <c r="BF351" s="24"/>
      <c r="BG351" s="24"/>
      <c r="BI351" s="24">
        <v>2021</v>
      </c>
      <c r="BJ351" s="24">
        <v>36</v>
      </c>
      <c r="BK351" s="24" t="s">
        <v>32</v>
      </c>
      <c r="BL351" s="24" t="s">
        <v>273</v>
      </c>
      <c r="BM351" s="24">
        <v>6092</v>
      </c>
      <c r="BN351" s="24">
        <v>6066</v>
      </c>
      <c r="BO351" s="24">
        <v>6248</v>
      </c>
      <c r="CF351" s="24"/>
      <c r="CG351" s="24"/>
      <c r="CH351" s="24"/>
      <c r="CI351" s="24"/>
      <c r="CJ351" s="24"/>
      <c r="DD351" s="24"/>
      <c r="DE351" s="24"/>
      <c r="DF351" s="24"/>
      <c r="DG351" s="24"/>
      <c r="DH351" s="24"/>
      <c r="DJ351" s="24">
        <v>2020</v>
      </c>
      <c r="DK351" s="24">
        <v>16</v>
      </c>
      <c r="DL351" s="24" t="s">
        <v>32</v>
      </c>
      <c r="DM351" s="24">
        <v>5</v>
      </c>
      <c r="DP351" s="24"/>
      <c r="DQ351" s="24"/>
      <c r="DR351" s="24"/>
      <c r="DS351" s="24"/>
      <c r="DW351" s="24">
        <v>2021</v>
      </c>
      <c r="DX351" s="24">
        <v>10</v>
      </c>
      <c r="DY351" s="24" t="s">
        <v>33</v>
      </c>
      <c r="DZ351" s="24">
        <v>9</v>
      </c>
      <c r="EA351" s="24" t="s">
        <v>562</v>
      </c>
      <c r="EB351" s="24">
        <v>69.2</v>
      </c>
      <c r="EC351" s="24">
        <v>0</v>
      </c>
      <c r="ED351" s="24"/>
      <c r="EE351" s="24">
        <v>2421</v>
      </c>
      <c r="EF351" s="24">
        <v>53.5</v>
      </c>
      <c r="EI351" s="24">
        <v>2022</v>
      </c>
      <c r="EJ351" s="24">
        <v>52</v>
      </c>
      <c r="EK351" s="24" t="s">
        <v>237</v>
      </c>
      <c r="EL351" s="24" t="s">
        <v>233</v>
      </c>
      <c r="EM351" s="24" t="s">
        <v>210</v>
      </c>
      <c r="EN351" s="24">
        <v>1</v>
      </c>
      <c r="EO351" s="24"/>
      <c r="EP351" s="24"/>
      <c r="EQ351" s="24"/>
      <c r="ER351" s="24"/>
      <c r="ES351" s="24">
        <v>2020</v>
      </c>
      <c r="ET351" s="24">
        <v>45</v>
      </c>
      <c r="EU351" s="24" t="s">
        <v>32</v>
      </c>
      <c r="EV351" s="24">
        <v>2307</v>
      </c>
      <c r="EY351" s="24"/>
      <c r="EZ351" s="24"/>
      <c r="FA351" s="24"/>
      <c r="FB351" s="24"/>
      <c r="FE351" s="24"/>
      <c r="FF351" s="24"/>
      <c r="FG351" s="24"/>
      <c r="FH351" s="24"/>
      <c r="FN351" s="24"/>
      <c r="FO351" s="24"/>
      <c r="FP351" s="24"/>
      <c r="FQ351" s="24"/>
      <c r="FW351" s="24">
        <v>2020</v>
      </c>
      <c r="FX351" s="24">
        <v>11</v>
      </c>
      <c r="FY351" s="24" t="s">
        <v>33</v>
      </c>
      <c r="FZ351" s="24">
        <v>3298</v>
      </c>
      <c r="GA351" s="24">
        <v>3176</v>
      </c>
      <c r="GB351" s="24"/>
      <c r="GC351" s="24"/>
      <c r="GD351" s="316">
        <v>2020</v>
      </c>
      <c r="GE351" s="316">
        <v>11</v>
      </c>
      <c r="GF351" s="316" t="s">
        <v>33</v>
      </c>
      <c r="GG351" s="316">
        <v>3298</v>
      </c>
      <c r="GH351" s="316">
        <v>3256</v>
      </c>
      <c r="GK351" s="24"/>
      <c r="GL351" s="24"/>
      <c r="GM351" s="24"/>
      <c r="GN351" s="24"/>
      <c r="GO351" s="24"/>
      <c r="GP351" s="24"/>
      <c r="GQ351" s="24"/>
      <c r="GR351" s="24"/>
      <c r="GS351" s="24"/>
      <c r="GX351">
        <v>2020</v>
      </c>
      <c r="GY351">
        <v>11</v>
      </c>
      <c r="GZ351" t="s">
        <v>33</v>
      </c>
      <c r="HA351">
        <v>111092</v>
      </c>
      <c r="HB351">
        <v>109574</v>
      </c>
      <c r="HC351">
        <v>33</v>
      </c>
      <c r="HD351">
        <v>32</v>
      </c>
      <c r="HE351">
        <v>0</v>
      </c>
      <c r="HF351">
        <v>391</v>
      </c>
      <c r="HG351">
        <v>0</v>
      </c>
      <c r="HH351">
        <v>0</v>
      </c>
      <c r="HI351">
        <v>383</v>
      </c>
      <c r="HL351">
        <v>2020</v>
      </c>
      <c r="HM351">
        <v>11</v>
      </c>
      <c r="HN351" t="s">
        <v>33</v>
      </c>
      <c r="HO351">
        <v>112297</v>
      </c>
      <c r="HP351">
        <v>111855</v>
      </c>
      <c r="HQ351">
        <v>55</v>
      </c>
      <c r="HR351">
        <v>11</v>
      </c>
      <c r="HS351">
        <v>0</v>
      </c>
      <c r="HT351">
        <v>291</v>
      </c>
      <c r="HU351">
        <v>0</v>
      </c>
      <c r="HV351">
        <v>0</v>
      </c>
      <c r="HW351">
        <v>44</v>
      </c>
      <c r="HZ351" s="24">
        <v>2020</v>
      </c>
      <c r="IA351" s="24">
        <v>11</v>
      </c>
      <c r="IB351" s="24" t="s">
        <v>33</v>
      </c>
      <c r="IC351" s="24">
        <v>3113</v>
      </c>
      <c r="ID351" s="24">
        <v>2989</v>
      </c>
      <c r="IG351" s="24">
        <v>2020</v>
      </c>
      <c r="IH351" s="24">
        <v>11</v>
      </c>
      <c r="II351" s="24" t="s">
        <v>33</v>
      </c>
      <c r="IJ351" s="24">
        <v>2927</v>
      </c>
      <c r="IK351" s="24">
        <v>2906</v>
      </c>
    </row>
    <row r="352" spans="9:245" x14ac:dyDescent="0.4">
      <c r="I352" s="305">
        <v>2020</v>
      </c>
      <c r="J352" s="306">
        <v>11</v>
      </c>
      <c r="K352" s="306" t="s">
        <v>33</v>
      </c>
      <c r="L352" s="306">
        <v>113017</v>
      </c>
      <c r="M352" s="306">
        <v>111511</v>
      </c>
      <c r="N352" s="306">
        <v>235</v>
      </c>
      <c r="O352" s="306">
        <v>251</v>
      </c>
      <c r="P352" s="306">
        <v>105</v>
      </c>
      <c r="Q352" s="306">
        <v>11</v>
      </c>
      <c r="R352" s="24"/>
      <c r="S352" s="24"/>
      <c r="T352" s="24"/>
      <c r="W352" s="316">
        <v>2020</v>
      </c>
      <c r="X352" s="316">
        <v>10</v>
      </c>
      <c r="Y352" s="316" t="s">
        <v>32</v>
      </c>
      <c r="Z352" s="316">
        <v>8859</v>
      </c>
      <c r="AA352" s="316">
        <v>8674</v>
      </c>
      <c r="AB352" s="316">
        <v>10</v>
      </c>
      <c r="AC352" s="316">
        <v>2</v>
      </c>
      <c r="AI352" s="24"/>
      <c r="AJ352" s="24"/>
      <c r="AK352" s="24"/>
      <c r="AL352" s="24"/>
      <c r="AM352" s="24"/>
      <c r="AN352" s="24"/>
      <c r="AO352" s="24"/>
      <c r="AP352" s="24"/>
      <c r="AQ352" s="24"/>
      <c r="AR352" s="24"/>
      <c r="AT352" s="24"/>
      <c r="AU352" s="24"/>
      <c r="AV352" s="24"/>
      <c r="AW352" s="24"/>
      <c r="AX352" s="24"/>
      <c r="AY352" s="24"/>
      <c r="AZ352" s="24"/>
      <c r="BA352" s="24"/>
      <c r="BB352" s="24"/>
      <c r="BC352" s="24"/>
      <c r="BD352" s="24"/>
      <c r="BE352" s="24"/>
      <c r="BF352" s="24"/>
      <c r="BG352" s="24"/>
      <c r="BI352" s="24">
        <v>2021</v>
      </c>
      <c r="BJ352" s="24">
        <v>36</v>
      </c>
      <c r="BK352" s="24" t="s">
        <v>33</v>
      </c>
      <c r="BL352" s="24" t="s">
        <v>272</v>
      </c>
      <c r="BM352" s="24">
        <v>43939</v>
      </c>
      <c r="BN352" s="24">
        <v>43880</v>
      </c>
      <c r="BO352" s="24">
        <v>159020</v>
      </c>
      <c r="CF352" s="24"/>
      <c r="CG352" s="24"/>
      <c r="CH352" s="24"/>
      <c r="CI352" s="24"/>
      <c r="CJ352" s="24"/>
      <c r="DD352" s="24"/>
      <c r="DE352" s="24"/>
      <c r="DF352" s="24"/>
      <c r="DG352" s="24"/>
      <c r="DH352" s="24"/>
      <c r="DJ352" s="24">
        <v>2020</v>
      </c>
      <c r="DK352" s="24">
        <v>16</v>
      </c>
      <c r="DL352" s="24" t="s">
        <v>33</v>
      </c>
      <c r="DM352" s="24">
        <v>795</v>
      </c>
      <c r="DP352" s="24"/>
      <c r="DQ352" s="24"/>
      <c r="DR352" s="24"/>
      <c r="DS352" s="24"/>
      <c r="DW352" s="24">
        <v>2021</v>
      </c>
      <c r="DX352" s="24">
        <v>10</v>
      </c>
      <c r="DY352" s="24" t="s">
        <v>33</v>
      </c>
      <c r="DZ352" s="24">
        <v>41</v>
      </c>
      <c r="EA352" s="24" t="s">
        <v>149</v>
      </c>
      <c r="EB352" s="24">
        <v>127.2</v>
      </c>
      <c r="EC352" s="24">
        <v>1126.8</v>
      </c>
      <c r="ED352" s="24">
        <v>42077</v>
      </c>
      <c r="EE352" s="24">
        <v>45860</v>
      </c>
      <c r="EF352" s="24">
        <v>257.39999999999998</v>
      </c>
      <c r="EI352" s="24">
        <v>2022</v>
      </c>
      <c r="EJ352" s="24">
        <v>52</v>
      </c>
      <c r="EK352" s="24" t="s">
        <v>237</v>
      </c>
      <c r="EL352" s="24" t="s">
        <v>235</v>
      </c>
      <c r="EM352" s="24" t="s">
        <v>210</v>
      </c>
      <c r="EN352" s="24">
        <v>2</v>
      </c>
      <c r="EO352" s="24"/>
      <c r="EP352" s="24"/>
      <c r="EQ352" s="24"/>
      <c r="ER352" s="24"/>
      <c r="ES352" s="24">
        <v>2020</v>
      </c>
      <c r="ET352" s="24">
        <v>45</v>
      </c>
      <c r="EU352" s="24" t="s">
        <v>33</v>
      </c>
      <c r="EV352" s="24">
        <v>59305</v>
      </c>
      <c r="EY352" s="24"/>
      <c r="EZ352" s="24"/>
      <c r="FA352" s="24"/>
      <c r="FB352" s="24"/>
      <c r="FE352" s="24"/>
      <c r="FF352" s="24"/>
      <c r="FG352" s="24"/>
      <c r="FH352" s="24"/>
      <c r="FN352" s="24"/>
      <c r="FO352" s="24"/>
      <c r="FP352" s="24"/>
      <c r="FQ352" s="24"/>
      <c r="FW352" s="24">
        <v>2020</v>
      </c>
      <c r="FX352" s="24">
        <v>10</v>
      </c>
      <c r="FY352" s="24" t="s">
        <v>32</v>
      </c>
      <c r="FZ352" s="24">
        <v>1001</v>
      </c>
      <c r="GA352" s="24">
        <v>951</v>
      </c>
      <c r="GB352" s="24"/>
      <c r="GC352" s="24"/>
      <c r="GD352" s="316">
        <v>2020</v>
      </c>
      <c r="GE352" s="316">
        <v>10</v>
      </c>
      <c r="GF352" s="316" t="s">
        <v>32</v>
      </c>
      <c r="GG352" s="316">
        <v>940</v>
      </c>
      <c r="GH352" s="316">
        <v>859</v>
      </c>
      <c r="GK352" s="24"/>
      <c r="GL352" s="24"/>
      <c r="GM352" s="24"/>
      <c r="GN352" s="24"/>
      <c r="GO352" s="24"/>
      <c r="GP352" s="24"/>
      <c r="GQ352" s="24"/>
      <c r="GR352" s="24"/>
      <c r="GS352" s="24"/>
      <c r="GX352">
        <v>2020</v>
      </c>
      <c r="GY352">
        <v>10</v>
      </c>
      <c r="GZ352" t="s">
        <v>32</v>
      </c>
      <c r="HA352">
        <v>8527</v>
      </c>
      <c r="HB352">
        <v>8370</v>
      </c>
      <c r="HC352">
        <v>0</v>
      </c>
      <c r="HD352">
        <v>7</v>
      </c>
      <c r="HE352">
        <v>0</v>
      </c>
      <c r="HF352">
        <v>23</v>
      </c>
      <c r="HG352">
        <v>0</v>
      </c>
      <c r="HH352">
        <v>0</v>
      </c>
      <c r="HI352">
        <v>44</v>
      </c>
      <c r="HL352">
        <v>2020</v>
      </c>
      <c r="HM352">
        <v>10</v>
      </c>
      <c r="HN352" t="s">
        <v>32</v>
      </c>
      <c r="HO352">
        <v>8802</v>
      </c>
      <c r="HP352">
        <v>8717</v>
      </c>
      <c r="HQ352">
        <v>0</v>
      </c>
      <c r="HR352">
        <v>7</v>
      </c>
      <c r="HS352">
        <v>0</v>
      </c>
      <c r="HT352">
        <v>63</v>
      </c>
      <c r="HU352">
        <v>0</v>
      </c>
      <c r="HV352">
        <v>0</v>
      </c>
      <c r="HW352">
        <v>8</v>
      </c>
      <c r="HZ352" s="24">
        <v>2020</v>
      </c>
      <c r="IA352" s="24">
        <v>10</v>
      </c>
      <c r="IB352" s="24" t="s">
        <v>32</v>
      </c>
      <c r="IC352" s="24">
        <v>915</v>
      </c>
      <c r="ID352" s="24">
        <v>868</v>
      </c>
      <c r="IG352" s="24">
        <v>2020</v>
      </c>
      <c r="IH352" s="24">
        <v>10</v>
      </c>
      <c r="II352" s="24" t="s">
        <v>32</v>
      </c>
      <c r="IJ352" s="24">
        <v>913</v>
      </c>
      <c r="IK352" s="24">
        <v>877</v>
      </c>
    </row>
    <row r="353" spans="9:245" x14ac:dyDescent="0.4">
      <c r="I353" s="305">
        <v>2020</v>
      </c>
      <c r="J353" s="306">
        <v>10</v>
      </c>
      <c r="K353" s="306" t="s">
        <v>32</v>
      </c>
      <c r="L353" s="306">
        <v>8984</v>
      </c>
      <c r="M353" s="306">
        <v>8763</v>
      </c>
      <c r="N353" s="306">
        <v>64</v>
      </c>
      <c r="O353" s="306">
        <v>70</v>
      </c>
      <c r="P353" s="306">
        <v>14</v>
      </c>
      <c r="Q353" s="306"/>
      <c r="R353" s="24"/>
      <c r="S353" s="24"/>
      <c r="T353" s="24"/>
      <c r="W353" s="316">
        <v>2020</v>
      </c>
      <c r="X353" s="316">
        <v>10</v>
      </c>
      <c r="Y353" s="316" t="s">
        <v>33</v>
      </c>
      <c r="Z353" s="316">
        <v>226085</v>
      </c>
      <c r="AA353" s="316">
        <v>211682</v>
      </c>
      <c r="AB353" s="316">
        <v>253</v>
      </c>
      <c r="AC353" s="316">
        <v>6</v>
      </c>
      <c r="AI353" s="24"/>
      <c r="AJ353" s="24"/>
      <c r="AK353" s="24"/>
      <c r="AL353" s="24"/>
      <c r="AM353" s="24"/>
      <c r="AN353" s="24"/>
      <c r="AO353" s="24"/>
      <c r="AP353" s="24"/>
      <c r="AQ353" s="24"/>
      <c r="AR353" s="24"/>
      <c r="AT353" s="24"/>
      <c r="AU353" s="24"/>
      <c r="AV353" s="24"/>
      <c r="AW353" s="24"/>
      <c r="AX353" s="24"/>
      <c r="AY353" s="24"/>
      <c r="AZ353" s="24"/>
      <c r="BA353" s="24"/>
      <c r="BB353" s="24"/>
      <c r="BC353" s="24"/>
      <c r="BD353" s="24"/>
      <c r="BE353" s="24"/>
      <c r="BF353" s="24"/>
      <c r="BG353" s="24"/>
      <c r="BI353" s="24">
        <v>2021</v>
      </c>
      <c r="BJ353" s="24">
        <v>36</v>
      </c>
      <c r="BK353" s="24" t="s">
        <v>32</v>
      </c>
      <c r="BL353" s="24" t="s">
        <v>272</v>
      </c>
      <c r="BM353" s="24">
        <v>2321</v>
      </c>
      <c r="BN353" s="24">
        <v>2314</v>
      </c>
      <c r="BO353" s="24">
        <v>7833</v>
      </c>
      <c r="CF353" s="24"/>
      <c r="CG353" s="24"/>
      <c r="CH353" s="24"/>
      <c r="CI353" s="24"/>
      <c r="CJ353" s="24"/>
      <c r="DD353" s="24"/>
      <c r="DE353" s="24"/>
      <c r="DF353" s="24"/>
      <c r="DG353" s="24"/>
      <c r="DH353" s="24"/>
      <c r="DJ353" s="24">
        <v>2020</v>
      </c>
      <c r="DK353" s="24">
        <v>16</v>
      </c>
      <c r="DL353" s="24" t="s">
        <v>213</v>
      </c>
      <c r="DM353" s="24">
        <v>1</v>
      </c>
      <c r="DP353" s="24"/>
      <c r="DQ353" s="24"/>
      <c r="DR353" s="24"/>
      <c r="DS353" s="24"/>
      <c r="DW353" s="24">
        <v>2021</v>
      </c>
      <c r="DX353" s="24">
        <v>9</v>
      </c>
      <c r="DY353" s="24" t="s">
        <v>32</v>
      </c>
      <c r="DZ353" s="24">
        <v>1</v>
      </c>
      <c r="EA353" s="24" t="s">
        <v>149</v>
      </c>
      <c r="EB353" s="24">
        <v>0</v>
      </c>
      <c r="EC353" s="24">
        <v>7.4</v>
      </c>
      <c r="ED353" s="24">
        <v>292</v>
      </c>
      <c r="EE353" s="24">
        <v>290</v>
      </c>
      <c r="EF353" s="24">
        <v>2.4</v>
      </c>
      <c r="EI353" s="24">
        <v>2022</v>
      </c>
      <c r="EJ353" s="24">
        <v>52</v>
      </c>
      <c r="EK353" s="24" t="s">
        <v>211</v>
      </c>
      <c r="EL353" s="24" t="s">
        <v>212</v>
      </c>
      <c r="EM353" s="24" t="s">
        <v>210</v>
      </c>
      <c r="EN353" s="24">
        <v>12</v>
      </c>
      <c r="EO353" s="24"/>
      <c r="EP353" s="24"/>
      <c r="EQ353" s="24"/>
      <c r="ER353" s="24"/>
      <c r="ES353" s="24">
        <v>2020</v>
      </c>
      <c r="ET353" s="24">
        <v>45</v>
      </c>
      <c r="EU353" s="24" t="s">
        <v>213</v>
      </c>
      <c r="EV353" s="24">
        <v>21</v>
      </c>
      <c r="EY353" s="24"/>
      <c r="EZ353" s="24"/>
      <c r="FA353" s="24"/>
      <c r="FB353" s="24"/>
      <c r="FE353" s="24"/>
      <c r="FF353" s="24"/>
      <c r="FG353" s="24"/>
      <c r="FH353" s="24"/>
      <c r="FN353" s="24"/>
      <c r="FO353" s="24"/>
      <c r="FP353" s="24"/>
      <c r="FQ353" s="24"/>
      <c r="FW353" s="24">
        <v>2020</v>
      </c>
      <c r="FX353" s="24">
        <v>10</v>
      </c>
      <c r="FY353" s="24" t="s">
        <v>33</v>
      </c>
      <c r="FZ353" s="24">
        <v>9724</v>
      </c>
      <c r="GA353" s="24">
        <v>9345</v>
      </c>
      <c r="GB353" s="24"/>
      <c r="GC353" s="24"/>
      <c r="GD353" s="316">
        <v>2020</v>
      </c>
      <c r="GE353" s="316">
        <v>10</v>
      </c>
      <c r="GF353" s="316" t="s">
        <v>33</v>
      </c>
      <c r="GG353" s="316">
        <v>9693</v>
      </c>
      <c r="GH353" s="316">
        <v>9374</v>
      </c>
      <c r="GK353" s="24"/>
      <c r="GL353" s="24"/>
      <c r="GM353" s="24"/>
      <c r="GN353" s="24"/>
      <c r="GO353" s="24"/>
      <c r="GP353" s="24"/>
      <c r="GQ353" s="24"/>
      <c r="GR353" s="24"/>
      <c r="GS353" s="24"/>
      <c r="GX353">
        <v>2020</v>
      </c>
      <c r="GY353">
        <v>10</v>
      </c>
      <c r="GZ353" t="s">
        <v>33</v>
      </c>
      <c r="HA353">
        <v>184370</v>
      </c>
      <c r="HB353">
        <v>180359</v>
      </c>
      <c r="HC353">
        <v>123</v>
      </c>
      <c r="HD353">
        <v>29</v>
      </c>
      <c r="HE353">
        <v>0</v>
      </c>
      <c r="HF353">
        <v>1339</v>
      </c>
      <c r="HG353">
        <v>0</v>
      </c>
      <c r="HH353">
        <v>0</v>
      </c>
      <c r="HI353">
        <v>694</v>
      </c>
      <c r="HL353">
        <v>2020</v>
      </c>
      <c r="HM353">
        <v>10</v>
      </c>
      <c r="HN353" t="s">
        <v>33</v>
      </c>
      <c r="HO353">
        <v>225868</v>
      </c>
      <c r="HP353">
        <v>212789</v>
      </c>
      <c r="HQ353">
        <v>191</v>
      </c>
      <c r="HR353">
        <v>23</v>
      </c>
      <c r="HS353">
        <v>0</v>
      </c>
      <c r="HT353">
        <v>4276</v>
      </c>
      <c r="HU353">
        <v>0</v>
      </c>
      <c r="HV353">
        <v>0</v>
      </c>
      <c r="HW353">
        <v>1907</v>
      </c>
      <c r="HZ353" s="24">
        <v>2020</v>
      </c>
      <c r="IA353" s="24">
        <v>10</v>
      </c>
      <c r="IB353" s="24" t="s">
        <v>33</v>
      </c>
      <c r="IC353" s="24">
        <v>8968</v>
      </c>
      <c r="ID353" s="24">
        <v>8692</v>
      </c>
      <c r="IG353" s="24">
        <v>2020</v>
      </c>
      <c r="IH353" s="24">
        <v>10</v>
      </c>
      <c r="II353" s="24" t="s">
        <v>33</v>
      </c>
      <c r="IJ353" s="24">
        <v>8730</v>
      </c>
      <c r="IK353" s="24">
        <v>8590</v>
      </c>
    </row>
    <row r="354" spans="9:245" x14ac:dyDescent="0.4">
      <c r="I354" s="305">
        <v>2020</v>
      </c>
      <c r="J354" s="306">
        <v>10</v>
      </c>
      <c r="K354" s="306" t="s">
        <v>33</v>
      </c>
      <c r="L354" s="306">
        <v>226541</v>
      </c>
      <c r="M354" s="306">
        <v>211582</v>
      </c>
      <c r="N354" s="306">
        <v>279</v>
      </c>
      <c r="O354" s="306">
        <v>1751</v>
      </c>
      <c r="P354" s="306">
        <v>306</v>
      </c>
      <c r="Q354" s="306">
        <v>6</v>
      </c>
      <c r="R354" s="24"/>
      <c r="S354" s="24"/>
      <c r="T354" s="24"/>
      <c r="W354" s="24">
        <v>2020</v>
      </c>
      <c r="X354" s="24">
        <v>9</v>
      </c>
      <c r="Y354" s="24" t="s">
        <v>32</v>
      </c>
      <c r="Z354" s="24">
        <v>7953</v>
      </c>
      <c r="AA354" s="24">
        <v>7920</v>
      </c>
      <c r="AB354" s="24">
        <v>2</v>
      </c>
      <c r="AC354" s="24"/>
      <c r="AI354" s="24"/>
      <c r="AJ354" s="24"/>
      <c r="AK354" s="24"/>
      <c r="AL354" s="24"/>
      <c r="AM354" s="24"/>
      <c r="AN354" s="24"/>
      <c r="AO354" s="24"/>
      <c r="AP354" s="24"/>
      <c r="AQ354" s="24"/>
      <c r="AR354" s="24"/>
      <c r="AT354" s="24"/>
      <c r="BA354" s="24"/>
      <c r="BB354" s="24"/>
      <c r="BC354" s="24"/>
      <c r="BD354" s="24"/>
      <c r="BE354" s="24"/>
      <c r="BF354" s="24"/>
      <c r="BG354" s="24"/>
      <c r="BI354" s="24">
        <v>2021</v>
      </c>
      <c r="BJ354" s="24">
        <v>35</v>
      </c>
      <c r="BK354" s="24" t="s">
        <v>32</v>
      </c>
      <c r="BL354" s="24" t="s">
        <v>272</v>
      </c>
      <c r="BM354" s="24">
        <v>2524</v>
      </c>
      <c r="BN354" s="24">
        <v>2512</v>
      </c>
      <c r="BO354" s="24">
        <v>8522</v>
      </c>
      <c r="CF354" s="24"/>
      <c r="CG354" s="24"/>
      <c r="CH354" s="24"/>
      <c r="CI354" s="24"/>
      <c r="CJ354" s="24"/>
      <c r="DD354" s="24"/>
      <c r="DE354" s="24"/>
      <c r="DF354" s="24"/>
      <c r="DG354" s="24"/>
      <c r="DH354" s="24"/>
      <c r="DJ354" s="24">
        <v>2020</v>
      </c>
      <c r="DK354" s="24">
        <v>15</v>
      </c>
      <c r="DL354" s="24" t="s">
        <v>32</v>
      </c>
      <c r="DM354" s="24">
        <v>4</v>
      </c>
      <c r="DP354" s="24"/>
      <c r="DQ354" s="24"/>
      <c r="DR354" s="24"/>
      <c r="DS354" s="24"/>
      <c r="DW354" s="24">
        <v>2021</v>
      </c>
      <c r="DX354" s="24">
        <v>9</v>
      </c>
      <c r="DY354" s="24" t="s">
        <v>33</v>
      </c>
      <c r="DZ354" s="24">
        <v>9</v>
      </c>
      <c r="EA354" s="24" t="s">
        <v>562</v>
      </c>
      <c r="EB354" s="24">
        <v>45.3</v>
      </c>
      <c r="EC354" s="24">
        <v>0</v>
      </c>
      <c r="ED354" s="24"/>
      <c r="EE354" s="24">
        <v>1993</v>
      </c>
      <c r="EF354" s="24">
        <v>38.700000000000003</v>
      </c>
      <c r="EI354" s="24">
        <v>2022</v>
      </c>
      <c r="EJ354" s="24">
        <v>52</v>
      </c>
      <c r="EK354" s="24" t="s">
        <v>211</v>
      </c>
      <c r="EL354" s="24" t="s">
        <v>212</v>
      </c>
      <c r="EM354" s="24" t="s">
        <v>234</v>
      </c>
      <c r="EN354" s="24">
        <v>5</v>
      </c>
      <c r="EO354" s="24"/>
      <c r="EP354" s="24"/>
      <c r="EQ354" s="24"/>
      <c r="ER354" s="24"/>
      <c r="ES354" s="24">
        <v>2020</v>
      </c>
      <c r="ET354" s="24">
        <v>44</v>
      </c>
      <c r="EU354" s="24" t="s">
        <v>32</v>
      </c>
      <c r="EV354" s="24">
        <v>2768</v>
      </c>
      <c r="EY354" s="24"/>
      <c r="EZ354" s="24"/>
      <c r="FA354" s="24"/>
      <c r="FB354" s="24"/>
      <c r="FE354" s="24"/>
      <c r="FF354" s="24"/>
      <c r="FG354" s="24"/>
      <c r="FH354" s="24"/>
      <c r="FN354" s="24"/>
      <c r="FO354" s="24"/>
      <c r="FP354" s="24"/>
      <c r="FQ354" s="24"/>
      <c r="FW354" s="24">
        <v>2020</v>
      </c>
      <c r="FX354" s="24">
        <v>9</v>
      </c>
      <c r="FY354" s="24" t="s">
        <v>32</v>
      </c>
      <c r="FZ354" s="24">
        <v>1071</v>
      </c>
      <c r="GA354" s="24">
        <v>1064</v>
      </c>
      <c r="GB354" s="24"/>
      <c r="GC354" s="24"/>
      <c r="GD354" s="24">
        <v>2020</v>
      </c>
      <c r="GE354" s="24">
        <v>9</v>
      </c>
      <c r="GF354" s="24" t="s">
        <v>32</v>
      </c>
      <c r="GG354" s="24">
        <v>1103</v>
      </c>
      <c r="GH354" s="24">
        <v>1103</v>
      </c>
      <c r="GK354" s="24"/>
      <c r="GL354" s="24"/>
      <c r="GM354" s="24"/>
      <c r="GN354" s="24"/>
      <c r="GO354" s="24"/>
      <c r="GX354">
        <v>2020</v>
      </c>
      <c r="GY354">
        <v>9</v>
      </c>
      <c r="GZ354" t="s">
        <v>32</v>
      </c>
      <c r="HA354">
        <v>7983</v>
      </c>
      <c r="HB354">
        <v>7929</v>
      </c>
      <c r="HC354">
        <v>0</v>
      </c>
      <c r="HD354">
        <v>2</v>
      </c>
      <c r="HE354">
        <v>0</v>
      </c>
      <c r="HF354">
        <v>0</v>
      </c>
      <c r="HG354">
        <v>0</v>
      </c>
      <c r="HH354">
        <v>0</v>
      </c>
      <c r="HI354">
        <v>17</v>
      </c>
      <c r="HL354">
        <v>2020</v>
      </c>
      <c r="HM354">
        <v>9</v>
      </c>
      <c r="HN354" t="s">
        <v>32</v>
      </c>
      <c r="HO354">
        <v>7909</v>
      </c>
      <c r="HP354">
        <v>7903</v>
      </c>
      <c r="HQ354">
        <v>0</v>
      </c>
      <c r="HR354">
        <v>0</v>
      </c>
      <c r="HS354">
        <v>0</v>
      </c>
      <c r="HT354">
        <v>5</v>
      </c>
      <c r="HU354">
        <v>0</v>
      </c>
      <c r="HV354">
        <v>0</v>
      </c>
      <c r="HW354">
        <v>0</v>
      </c>
      <c r="HZ354" s="24">
        <v>2020</v>
      </c>
      <c r="IA354" s="24">
        <v>9</v>
      </c>
      <c r="IB354" s="24" t="s">
        <v>32</v>
      </c>
      <c r="IC354" s="24">
        <v>1104</v>
      </c>
      <c r="ID354" s="24">
        <v>1095</v>
      </c>
      <c r="IG354" s="24">
        <v>2020</v>
      </c>
      <c r="IH354" s="24">
        <v>9</v>
      </c>
      <c r="II354" s="24" t="s">
        <v>32</v>
      </c>
      <c r="IJ354" s="24">
        <v>1082</v>
      </c>
      <c r="IK354" s="24">
        <v>1082</v>
      </c>
    </row>
    <row r="355" spans="9:245" x14ac:dyDescent="0.4">
      <c r="I355" s="305">
        <v>2020</v>
      </c>
      <c r="J355" s="306">
        <v>9</v>
      </c>
      <c r="K355" s="306" t="s">
        <v>32</v>
      </c>
      <c r="L355" s="306">
        <v>7901</v>
      </c>
      <c r="M355" s="306">
        <v>7846</v>
      </c>
      <c r="N355" s="306">
        <v>8</v>
      </c>
      <c r="O355" s="306">
        <v>39</v>
      </c>
      <c r="P355" s="306">
        <v>2</v>
      </c>
      <c r="Q355" s="306"/>
      <c r="R355" s="24"/>
      <c r="S355" s="24"/>
      <c r="T355" s="24"/>
      <c r="W355" s="24">
        <v>2020</v>
      </c>
      <c r="X355" s="24">
        <v>9</v>
      </c>
      <c r="Y355" s="24" t="s">
        <v>33</v>
      </c>
      <c r="Z355" s="24">
        <v>246812</v>
      </c>
      <c r="AA355" s="24">
        <v>236741</v>
      </c>
      <c r="AB355" s="24">
        <v>152</v>
      </c>
      <c r="AC355" s="24">
        <v>14</v>
      </c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T355" s="24"/>
      <c r="BA355" s="24"/>
      <c r="BB355" s="24"/>
      <c r="BC355" s="24"/>
      <c r="BD355" s="24"/>
      <c r="BE355" s="24"/>
      <c r="BF355" s="24"/>
      <c r="BG355" s="24"/>
      <c r="BI355" s="24">
        <v>2021</v>
      </c>
      <c r="BJ355" s="24">
        <v>35</v>
      </c>
      <c r="BK355" s="24" t="s">
        <v>33</v>
      </c>
      <c r="BL355" s="24" t="s">
        <v>272</v>
      </c>
      <c r="BM355" s="24">
        <v>50397</v>
      </c>
      <c r="BN355" s="24">
        <v>50374</v>
      </c>
      <c r="BO355" s="24">
        <v>184221</v>
      </c>
      <c r="CF355" s="24"/>
      <c r="CG355" s="24"/>
      <c r="CH355" s="24"/>
      <c r="CI355" s="24"/>
      <c r="CJ355" s="24"/>
      <c r="DD355" s="24"/>
      <c r="DE355" s="24"/>
      <c r="DF355" s="24"/>
      <c r="DG355" s="24"/>
      <c r="DH355" s="24"/>
      <c r="DJ355" s="24">
        <v>2020</v>
      </c>
      <c r="DK355" s="24">
        <v>15</v>
      </c>
      <c r="DL355" s="24" t="s">
        <v>33</v>
      </c>
      <c r="DM355" s="24">
        <v>587</v>
      </c>
      <c r="DP355" s="24"/>
      <c r="DQ355" s="24"/>
      <c r="DR355" s="24"/>
      <c r="DS355" s="24"/>
      <c r="DW355" s="24">
        <v>2021</v>
      </c>
      <c r="DX355" s="24">
        <v>9</v>
      </c>
      <c r="DY355" s="24" t="s">
        <v>33</v>
      </c>
      <c r="DZ355" s="24">
        <v>40</v>
      </c>
      <c r="EA355" s="24" t="s">
        <v>149</v>
      </c>
      <c r="EB355" s="24">
        <v>16</v>
      </c>
      <c r="EC355" s="24">
        <v>489.8</v>
      </c>
      <c r="ED355" s="24">
        <v>17928</v>
      </c>
      <c r="EE355" s="24">
        <v>17874</v>
      </c>
      <c r="EF355" s="24">
        <v>162.4</v>
      </c>
      <c r="EI355" s="24">
        <v>2022</v>
      </c>
      <c r="EJ355" s="24">
        <v>52</v>
      </c>
      <c r="EK355" s="24" t="s">
        <v>211</v>
      </c>
      <c r="EL355" s="24" t="s">
        <v>212</v>
      </c>
      <c r="EM355" s="24" t="s">
        <v>215</v>
      </c>
      <c r="EN355" s="24">
        <v>1</v>
      </c>
      <c r="EO355" s="24"/>
      <c r="EP355" s="24"/>
      <c r="EQ355" s="24"/>
      <c r="ER355" s="24"/>
      <c r="ES355" s="24">
        <v>2020</v>
      </c>
      <c r="ET355" s="24">
        <v>44</v>
      </c>
      <c r="EU355" s="24" t="s">
        <v>33</v>
      </c>
      <c r="EV355" s="24">
        <v>51680</v>
      </c>
      <c r="EY355" s="24"/>
      <c r="EZ355" s="24"/>
      <c r="FA355" s="24"/>
      <c r="FB355" s="24"/>
      <c r="FE355" s="24"/>
      <c r="FF355" s="24"/>
      <c r="FG355" s="24"/>
      <c r="FH355" s="24"/>
      <c r="FN355" s="24"/>
      <c r="FO355" s="24"/>
      <c r="FP355" s="24"/>
      <c r="FQ355" s="24"/>
      <c r="FW355" s="24">
        <v>2020</v>
      </c>
      <c r="FX355" s="24">
        <v>9</v>
      </c>
      <c r="FY355" s="24" t="s">
        <v>33</v>
      </c>
      <c r="FZ355" s="24">
        <v>11819</v>
      </c>
      <c r="GA355" s="24">
        <v>11506</v>
      </c>
      <c r="GB355" s="24"/>
      <c r="GC355" s="24"/>
      <c r="GD355" s="24">
        <v>2020</v>
      </c>
      <c r="GE355" s="24">
        <v>9</v>
      </c>
      <c r="GF355" s="24" t="s">
        <v>33</v>
      </c>
      <c r="GG355" s="24">
        <v>11827</v>
      </c>
      <c r="GH355" s="24">
        <v>11618</v>
      </c>
      <c r="GK355" s="24"/>
      <c r="GL355" s="24"/>
      <c r="GM355" s="24"/>
      <c r="GN355" s="24"/>
      <c r="GO355" s="24"/>
      <c r="GX355">
        <v>2020</v>
      </c>
      <c r="GY355">
        <v>9</v>
      </c>
      <c r="GZ355" t="s">
        <v>33</v>
      </c>
      <c r="HA355">
        <v>281505</v>
      </c>
      <c r="HB355">
        <v>260541</v>
      </c>
      <c r="HC355">
        <v>277</v>
      </c>
      <c r="HD355">
        <v>34</v>
      </c>
      <c r="HE355">
        <v>0</v>
      </c>
      <c r="HF355">
        <v>8427</v>
      </c>
      <c r="HG355">
        <v>0</v>
      </c>
      <c r="HH355">
        <v>0</v>
      </c>
      <c r="HI355">
        <v>3194</v>
      </c>
      <c r="HL355">
        <v>2020</v>
      </c>
      <c r="HM355">
        <v>9</v>
      </c>
      <c r="HN355" t="s">
        <v>33</v>
      </c>
      <c r="HO355">
        <v>245984</v>
      </c>
      <c r="HP355">
        <v>238072</v>
      </c>
      <c r="HQ355">
        <v>232</v>
      </c>
      <c r="HR355">
        <v>15</v>
      </c>
      <c r="HS355">
        <v>0</v>
      </c>
      <c r="HT355">
        <v>5060</v>
      </c>
      <c r="HU355">
        <v>0</v>
      </c>
      <c r="HV355">
        <v>0</v>
      </c>
      <c r="HW355">
        <v>1009</v>
      </c>
      <c r="HZ355" s="24">
        <v>2020</v>
      </c>
      <c r="IA355" s="24">
        <v>9</v>
      </c>
      <c r="IB355" s="24" t="s">
        <v>33</v>
      </c>
      <c r="IC355" s="24">
        <v>11929</v>
      </c>
      <c r="ID355" s="24">
        <v>11286</v>
      </c>
      <c r="IG355" s="24">
        <v>2020</v>
      </c>
      <c r="IH355" s="24">
        <v>9</v>
      </c>
      <c r="II355" s="24" t="s">
        <v>33</v>
      </c>
      <c r="IJ355" s="24">
        <v>10887</v>
      </c>
      <c r="IK355" s="24">
        <v>10753</v>
      </c>
    </row>
    <row r="356" spans="9:245" x14ac:dyDescent="0.4">
      <c r="I356" s="305">
        <v>2020</v>
      </c>
      <c r="J356" s="306">
        <v>9</v>
      </c>
      <c r="K356" s="306" t="s">
        <v>33</v>
      </c>
      <c r="L356" s="306">
        <v>247486</v>
      </c>
      <c r="M356" s="306">
        <v>236689</v>
      </c>
      <c r="N356" s="306">
        <v>399</v>
      </c>
      <c r="O356" s="306">
        <v>1773</v>
      </c>
      <c r="P356" s="306">
        <v>206</v>
      </c>
      <c r="Q356" s="306">
        <v>14</v>
      </c>
      <c r="R356" s="24"/>
      <c r="S356" s="24"/>
      <c r="T356" s="24"/>
      <c r="W356" s="24">
        <v>2020</v>
      </c>
      <c r="X356" s="24">
        <v>8</v>
      </c>
      <c r="Y356" s="24" t="s">
        <v>32</v>
      </c>
      <c r="Z356" s="24">
        <v>9148</v>
      </c>
      <c r="AA356" s="24">
        <v>9090</v>
      </c>
      <c r="AB356" s="24">
        <v>7</v>
      </c>
      <c r="AC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T356" s="24"/>
      <c r="BA356" s="24"/>
      <c r="BB356" s="24"/>
      <c r="BC356" s="24"/>
      <c r="BD356" s="24"/>
      <c r="BE356" s="24"/>
      <c r="BF356" s="24"/>
      <c r="BG356" s="24"/>
      <c r="BI356" s="24">
        <v>2021</v>
      </c>
      <c r="BJ356" s="24">
        <v>35</v>
      </c>
      <c r="BK356" s="24" t="s">
        <v>32</v>
      </c>
      <c r="BL356" s="24" t="s">
        <v>273</v>
      </c>
      <c r="BM356" s="24">
        <v>6656</v>
      </c>
      <c r="BN356" s="24">
        <v>6633</v>
      </c>
      <c r="BO356" s="24">
        <v>6778</v>
      </c>
      <c r="CF356" s="24"/>
      <c r="CG356" s="24"/>
      <c r="CH356" s="24"/>
      <c r="CI356" s="24"/>
      <c r="CJ356" s="24"/>
      <c r="DD356" s="24"/>
      <c r="DE356" s="24"/>
      <c r="DF356" s="24"/>
      <c r="DG356" s="24"/>
      <c r="DH356" s="24"/>
      <c r="DJ356" s="24">
        <v>2020</v>
      </c>
      <c r="DK356" s="24">
        <v>14</v>
      </c>
      <c r="DL356" s="24" t="s">
        <v>32</v>
      </c>
      <c r="DM356" s="24">
        <v>3</v>
      </c>
      <c r="DP356" s="24"/>
      <c r="DQ356" s="24"/>
      <c r="DR356" s="24"/>
      <c r="DS356" s="24"/>
      <c r="DW356" s="24"/>
      <c r="DX356" s="24"/>
      <c r="DY356" s="24"/>
      <c r="DZ356" s="24"/>
      <c r="EA356" s="24"/>
      <c r="EB356" s="24"/>
      <c r="EC356" s="24"/>
      <c r="ED356" s="24"/>
      <c r="EE356" s="24"/>
      <c r="EF356" s="24"/>
      <c r="EI356" s="24">
        <v>2022</v>
      </c>
      <c r="EJ356" s="24">
        <v>52</v>
      </c>
      <c r="EK356" s="24" t="s">
        <v>211</v>
      </c>
      <c r="EL356" s="24" t="s">
        <v>247</v>
      </c>
      <c r="EM356" s="24" t="s">
        <v>210</v>
      </c>
      <c r="EN356" s="24">
        <v>4</v>
      </c>
      <c r="EO356" s="24"/>
      <c r="EP356" s="24"/>
      <c r="EQ356" s="24"/>
      <c r="ER356" s="24"/>
      <c r="ES356" s="24">
        <v>2020</v>
      </c>
      <c r="ET356" s="24">
        <v>44</v>
      </c>
      <c r="EU356" s="24" t="s">
        <v>213</v>
      </c>
      <c r="EV356" s="24">
        <v>15</v>
      </c>
      <c r="EY356" s="24"/>
      <c r="EZ356" s="24"/>
      <c r="FA356" s="24"/>
      <c r="FB356" s="24"/>
      <c r="FE356" s="24"/>
      <c r="FF356" s="24"/>
      <c r="FG356" s="24"/>
      <c r="FH356" s="24"/>
      <c r="FN356" s="24"/>
      <c r="FO356" s="24"/>
      <c r="FP356" s="24"/>
      <c r="FQ356" s="24"/>
      <c r="FW356" s="24">
        <v>2020</v>
      </c>
      <c r="FX356" s="24">
        <v>8</v>
      </c>
      <c r="FY356" s="24" t="s">
        <v>32</v>
      </c>
      <c r="FZ356" s="24">
        <v>1319</v>
      </c>
      <c r="GA356" s="24">
        <v>1306</v>
      </c>
      <c r="GB356" s="24"/>
      <c r="GC356" s="24"/>
      <c r="GD356" s="24">
        <v>2020</v>
      </c>
      <c r="GE356" s="24">
        <v>8</v>
      </c>
      <c r="GF356" s="24" t="s">
        <v>32</v>
      </c>
      <c r="GG356" s="24">
        <v>1297</v>
      </c>
      <c r="GH356" s="24">
        <v>1275</v>
      </c>
      <c r="GK356" s="24"/>
      <c r="GL356" s="24"/>
      <c r="GM356" s="24"/>
      <c r="GN356" s="24"/>
      <c r="GO356" s="24"/>
      <c r="GX356">
        <v>2020</v>
      </c>
      <c r="GY356">
        <v>8</v>
      </c>
      <c r="GZ356" t="s">
        <v>32</v>
      </c>
      <c r="HA356">
        <v>9049</v>
      </c>
      <c r="HB356">
        <v>8991</v>
      </c>
      <c r="HC356">
        <v>0</v>
      </c>
      <c r="HD356">
        <v>3</v>
      </c>
      <c r="HE356">
        <v>0</v>
      </c>
      <c r="HF356">
        <v>1</v>
      </c>
      <c r="HG356">
        <v>0</v>
      </c>
      <c r="HH356">
        <v>0</v>
      </c>
      <c r="HI356">
        <v>33</v>
      </c>
      <c r="HL356">
        <v>2020</v>
      </c>
      <c r="HM356">
        <v>8</v>
      </c>
      <c r="HN356" t="s">
        <v>32</v>
      </c>
      <c r="HO356">
        <v>9131</v>
      </c>
      <c r="HP356">
        <v>9107</v>
      </c>
      <c r="HQ356">
        <v>0</v>
      </c>
      <c r="HR356">
        <v>1</v>
      </c>
      <c r="HS356">
        <v>0</v>
      </c>
      <c r="HT356">
        <v>15</v>
      </c>
      <c r="HU356">
        <v>0</v>
      </c>
      <c r="HV356">
        <v>0</v>
      </c>
      <c r="HW356">
        <v>1</v>
      </c>
      <c r="HZ356" s="24">
        <v>2020</v>
      </c>
      <c r="IA356" s="24">
        <v>8</v>
      </c>
      <c r="IB356" s="24" t="s">
        <v>32</v>
      </c>
      <c r="IC356" s="24">
        <v>1294</v>
      </c>
      <c r="ID356" s="24">
        <v>1282</v>
      </c>
      <c r="IG356" s="24">
        <v>2020</v>
      </c>
      <c r="IH356" s="24">
        <v>8</v>
      </c>
      <c r="II356" s="24" t="s">
        <v>32</v>
      </c>
      <c r="IJ356" s="24">
        <v>1285</v>
      </c>
      <c r="IK356" s="24">
        <v>1270</v>
      </c>
    </row>
    <row r="357" spans="9:245" x14ac:dyDescent="0.4">
      <c r="I357" s="305">
        <v>2020</v>
      </c>
      <c r="J357" s="306">
        <v>8</v>
      </c>
      <c r="K357" s="306" t="s">
        <v>32</v>
      </c>
      <c r="L357" s="306">
        <v>9225</v>
      </c>
      <c r="M357" s="306">
        <v>9165</v>
      </c>
      <c r="N357" s="306">
        <v>20</v>
      </c>
      <c r="O357" s="306">
        <v>26</v>
      </c>
      <c r="P357" s="306">
        <v>6</v>
      </c>
      <c r="Q357" s="306"/>
      <c r="R357" s="24"/>
      <c r="S357" s="24"/>
      <c r="T357" s="24"/>
      <c r="W357" s="24">
        <v>2020</v>
      </c>
      <c r="X357" s="24">
        <v>8</v>
      </c>
      <c r="Y357" s="24" t="s">
        <v>33</v>
      </c>
      <c r="Z357" s="24">
        <v>234459</v>
      </c>
      <c r="AA357" s="24">
        <v>196499</v>
      </c>
      <c r="AB357" s="24">
        <v>411</v>
      </c>
      <c r="AC357" s="24">
        <v>3</v>
      </c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T357" s="24"/>
      <c r="BA357" s="24"/>
      <c r="BB357" s="24"/>
      <c r="BC357" s="24"/>
      <c r="BD357" s="24"/>
      <c r="BE357" s="24"/>
      <c r="BF357" s="24"/>
      <c r="BG357" s="24"/>
      <c r="BI357" s="24">
        <v>2021</v>
      </c>
      <c r="BJ357" s="24">
        <v>35</v>
      </c>
      <c r="BK357" s="24" t="s">
        <v>33</v>
      </c>
      <c r="BL357" s="24" t="s">
        <v>273</v>
      </c>
      <c r="BM357" s="24">
        <v>93795</v>
      </c>
      <c r="BN357" s="24">
        <v>93221</v>
      </c>
      <c r="BO357" s="24">
        <v>96797</v>
      </c>
      <c r="CF357" s="24"/>
      <c r="CG357" s="24"/>
      <c r="CH357" s="24"/>
      <c r="CI357" s="24"/>
      <c r="CJ357" s="24"/>
      <c r="DD357" s="24"/>
      <c r="DE357" s="24"/>
      <c r="DF357" s="24"/>
      <c r="DG357" s="24"/>
      <c r="DH357" s="24"/>
      <c r="DJ357" s="24">
        <v>2020</v>
      </c>
      <c r="DK357" s="24">
        <v>14</v>
      </c>
      <c r="DL357" s="24" t="s">
        <v>33</v>
      </c>
      <c r="DM357" s="24">
        <v>720</v>
      </c>
      <c r="DP357" s="24"/>
      <c r="DQ357" s="24"/>
      <c r="DR357" s="24"/>
      <c r="DS357" s="24"/>
      <c r="DW357" s="24"/>
      <c r="DX357" s="24"/>
      <c r="DY357" s="24"/>
      <c r="DZ357" s="24"/>
      <c r="EA357" s="24"/>
      <c r="EB357" s="24"/>
      <c r="EC357" s="24"/>
      <c r="ED357" s="24"/>
      <c r="EE357" s="24"/>
      <c r="EF357" s="24"/>
      <c r="EI357" s="24">
        <v>2022</v>
      </c>
      <c r="EJ357" s="24">
        <v>52</v>
      </c>
      <c r="EK357" s="24" t="s">
        <v>211</v>
      </c>
      <c r="EL357" s="24" t="s">
        <v>247</v>
      </c>
      <c r="EM357" s="24" t="s">
        <v>234</v>
      </c>
      <c r="EN357" s="24">
        <v>8</v>
      </c>
      <c r="EO357" s="24"/>
      <c r="EP357" s="24"/>
      <c r="EQ357" s="24"/>
      <c r="ER357" s="24"/>
      <c r="ES357" s="24">
        <v>2020</v>
      </c>
      <c r="ET357" s="24">
        <v>43</v>
      </c>
      <c r="EU357" s="24" t="s">
        <v>32</v>
      </c>
      <c r="EV357" s="24">
        <v>2483</v>
      </c>
      <c r="EY357" s="24"/>
      <c r="EZ357" s="24"/>
      <c r="FA357" s="24"/>
      <c r="FB357" s="24"/>
      <c r="FE357" s="24"/>
      <c r="FF357" s="24"/>
      <c r="FG357" s="24"/>
      <c r="FH357" s="24"/>
      <c r="FN357" s="24"/>
      <c r="FO357" s="24"/>
      <c r="FP357" s="24"/>
      <c r="FQ357" s="24"/>
      <c r="FW357" s="24">
        <v>2020</v>
      </c>
      <c r="FX357" s="24">
        <v>8</v>
      </c>
      <c r="FY357" s="24" t="s">
        <v>33</v>
      </c>
      <c r="FZ357" s="24">
        <v>10981</v>
      </c>
      <c r="GA357" s="24">
        <v>10332</v>
      </c>
      <c r="GB357" s="24"/>
      <c r="GC357" s="24"/>
      <c r="GD357" s="24">
        <v>2020</v>
      </c>
      <c r="GE357" s="24">
        <v>8</v>
      </c>
      <c r="GF357" s="24" t="s">
        <v>33</v>
      </c>
      <c r="GG357" s="24">
        <v>11016</v>
      </c>
      <c r="GH357" s="24">
        <v>10451</v>
      </c>
      <c r="GK357" s="24"/>
      <c r="GL357" s="24"/>
      <c r="GM357" s="24"/>
      <c r="GN357" s="24"/>
      <c r="GO357" s="24"/>
      <c r="GX357">
        <v>2020</v>
      </c>
      <c r="GY357">
        <v>8</v>
      </c>
      <c r="GZ357" t="s">
        <v>33</v>
      </c>
      <c r="HA357">
        <v>234803</v>
      </c>
      <c r="HB357">
        <v>227659</v>
      </c>
      <c r="HC357">
        <v>234</v>
      </c>
      <c r="HD357">
        <v>46</v>
      </c>
      <c r="HE357">
        <v>0</v>
      </c>
      <c r="HF357">
        <v>4301</v>
      </c>
      <c r="HG357">
        <v>0</v>
      </c>
      <c r="HH357">
        <v>0</v>
      </c>
      <c r="HI357">
        <v>1149</v>
      </c>
      <c r="HL357">
        <v>2020</v>
      </c>
      <c r="HM357">
        <v>8</v>
      </c>
      <c r="HN357" t="s">
        <v>33</v>
      </c>
      <c r="HO357">
        <v>234164</v>
      </c>
      <c r="HP357">
        <v>229940</v>
      </c>
      <c r="HQ357">
        <v>220</v>
      </c>
      <c r="HR357">
        <v>28</v>
      </c>
      <c r="HS357">
        <v>0</v>
      </c>
      <c r="HT357">
        <v>3828</v>
      </c>
      <c r="HU357">
        <v>0</v>
      </c>
      <c r="HV357">
        <v>0</v>
      </c>
      <c r="HW357">
        <v>557</v>
      </c>
      <c r="HZ357" s="24">
        <v>2020</v>
      </c>
      <c r="IA357" s="24">
        <v>8</v>
      </c>
      <c r="IB357" s="24" t="s">
        <v>33</v>
      </c>
      <c r="IC357" s="24">
        <v>11248</v>
      </c>
      <c r="ID357" s="24">
        <v>10591</v>
      </c>
      <c r="IG357" s="24">
        <v>2020</v>
      </c>
      <c r="IH357" s="24">
        <v>8</v>
      </c>
      <c r="II357" s="24" t="s">
        <v>33</v>
      </c>
      <c r="IJ357" s="24">
        <v>9942</v>
      </c>
      <c r="IK357" s="24">
        <v>9729</v>
      </c>
    </row>
    <row r="358" spans="9:245" x14ac:dyDescent="0.4">
      <c r="I358" s="305">
        <v>2020</v>
      </c>
      <c r="J358" s="306">
        <v>8</v>
      </c>
      <c r="K358" s="306" t="s">
        <v>33</v>
      </c>
      <c r="L358" s="306">
        <v>234519</v>
      </c>
      <c r="M358" s="306">
        <v>196143</v>
      </c>
      <c r="N358" s="306">
        <v>449</v>
      </c>
      <c r="O358" s="306">
        <v>4953</v>
      </c>
      <c r="P358" s="306">
        <v>445</v>
      </c>
      <c r="Q358" s="306">
        <v>4</v>
      </c>
      <c r="R358" s="24"/>
      <c r="S358" s="24"/>
      <c r="T358" s="24"/>
      <c r="W358" s="24">
        <v>2020</v>
      </c>
      <c r="X358" s="24">
        <v>7</v>
      </c>
      <c r="Y358" s="24" t="s">
        <v>32</v>
      </c>
      <c r="Z358" s="24">
        <v>11359</v>
      </c>
      <c r="AA358" s="24">
        <v>11096</v>
      </c>
      <c r="AB358" s="24">
        <v>19</v>
      </c>
      <c r="AC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T358" s="24"/>
      <c r="BA358" s="24"/>
      <c r="BB358" s="24"/>
      <c r="BG358" s="24"/>
      <c r="BI358" s="24">
        <v>2021</v>
      </c>
      <c r="BJ358" s="24">
        <v>34</v>
      </c>
      <c r="BK358" s="24" t="s">
        <v>33</v>
      </c>
      <c r="BL358" s="24" t="s">
        <v>272</v>
      </c>
      <c r="BM358" s="24">
        <v>52513</v>
      </c>
      <c r="BN358" s="24">
        <v>52490</v>
      </c>
      <c r="BO358" s="24">
        <v>193375</v>
      </c>
      <c r="CF358" s="24"/>
      <c r="CG358" s="24"/>
      <c r="CH358" s="24"/>
      <c r="CI358" s="24"/>
      <c r="CJ358" s="24"/>
      <c r="DD358" s="24"/>
      <c r="DE358" s="24"/>
      <c r="DF358" s="24"/>
      <c r="DG358" s="24"/>
      <c r="DH358" s="24"/>
      <c r="DJ358" s="24">
        <v>2020</v>
      </c>
      <c r="DK358" s="24">
        <v>13</v>
      </c>
      <c r="DL358" s="24" t="s">
        <v>32</v>
      </c>
      <c r="DM358" s="24">
        <v>5</v>
      </c>
      <c r="DP358" s="24"/>
      <c r="DQ358" s="24"/>
      <c r="DR358" s="24"/>
      <c r="DS358" s="24"/>
      <c r="DW358" s="24"/>
      <c r="DX358" s="24"/>
      <c r="DY358" s="24"/>
      <c r="DZ358" s="24"/>
      <c r="EA358" s="24"/>
      <c r="EB358" s="24"/>
      <c r="EC358" s="24"/>
      <c r="ED358" s="24"/>
      <c r="EE358" s="24"/>
      <c r="EF358" s="24"/>
      <c r="EI358" s="24">
        <v>2022</v>
      </c>
      <c r="EJ358" s="24">
        <v>52</v>
      </c>
      <c r="EK358" s="24" t="s">
        <v>213</v>
      </c>
      <c r="EL358" s="24" t="s">
        <v>214</v>
      </c>
      <c r="EM358" s="24" t="s">
        <v>215</v>
      </c>
      <c r="EN358" s="24">
        <v>33</v>
      </c>
      <c r="EO358" s="24"/>
      <c r="EP358" s="24"/>
      <c r="EQ358" s="24"/>
      <c r="ER358" s="24"/>
      <c r="ES358" s="24">
        <v>2020</v>
      </c>
      <c r="ET358" s="24">
        <v>43</v>
      </c>
      <c r="EU358" s="24" t="s">
        <v>33</v>
      </c>
      <c r="EV358" s="24">
        <v>57441</v>
      </c>
      <c r="EY358" s="24"/>
      <c r="EZ358" s="24"/>
      <c r="FA358" s="24"/>
      <c r="FB358" s="24"/>
      <c r="FE358" s="24"/>
      <c r="FF358" s="24"/>
      <c r="FG358" s="24"/>
      <c r="FH358" s="24"/>
      <c r="FN358" s="24"/>
      <c r="FO358" s="24"/>
      <c r="FP358" s="24"/>
      <c r="FQ358" s="24"/>
      <c r="FW358" s="24">
        <v>2020</v>
      </c>
      <c r="FX358" s="24">
        <v>7</v>
      </c>
      <c r="FY358" s="24" t="s">
        <v>32</v>
      </c>
      <c r="FZ358" s="24">
        <v>1042</v>
      </c>
      <c r="GA358" s="24">
        <v>1020</v>
      </c>
      <c r="GB358" s="24"/>
      <c r="GC358" s="24"/>
      <c r="GD358" s="24">
        <v>2020</v>
      </c>
      <c r="GE358" s="24">
        <v>7</v>
      </c>
      <c r="GF358" s="24" t="s">
        <v>32</v>
      </c>
      <c r="GG358" s="24">
        <v>1074</v>
      </c>
      <c r="GH358" s="24">
        <v>1044</v>
      </c>
      <c r="GK358" s="24"/>
      <c r="GL358" s="24"/>
      <c r="GM358" s="24"/>
      <c r="GN358" s="24"/>
      <c r="GO358" s="24"/>
      <c r="GX358">
        <v>2020</v>
      </c>
      <c r="GY358">
        <v>7</v>
      </c>
      <c r="GZ358" t="s">
        <v>32</v>
      </c>
      <c r="HA358">
        <v>10961</v>
      </c>
      <c r="HB358">
        <v>10760</v>
      </c>
      <c r="HC358">
        <v>0</v>
      </c>
      <c r="HD358">
        <v>2</v>
      </c>
      <c r="HE358">
        <v>0</v>
      </c>
      <c r="HF358">
        <v>44</v>
      </c>
      <c r="HG358">
        <v>0</v>
      </c>
      <c r="HH358">
        <v>0</v>
      </c>
      <c r="HI358">
        <v>25</v>
      </c>
      <c r="HL358">
        <v>2020</v>
      </c>
      <c r="HM358">
        <v>7</v>
      </c>
      <c r="HN358" t="s">
        <v>32</v>
      </c>
      <c r="HO358">
        <v>11342</v>
      </c>
      <c r="HP358">
        <v>11240</v>
      </c>
      <c r="HQ358">
        <v>0</v>
      </c>
      <c r="HR358">
        <v>1</v>
      </c>
      <c r="HS358">
        <v>0</v>
      </c>
      <c r="HT358">
        <v>70</v>
      </c>
      <c r="HU358">
        <v>0</v>
      </c>
      <c r="HV358">
        <v>0</v>
      </c>
      <c r="HW358">
        <v>2</v>
      </c>
      <c r="HZ358" s="24">
        <v>2020</v>
      </c>
      <c r="IA358" s="24">
        <v>7</v>
      </c>
      <c r="IB358" s="24" t="s">
        <v>32</v>
      </c>
      <c r="IC358" s="24">
        <v>1040</v>
      </c>
      <c r="ID358" s="24">
        <v>1022</v>
      </c>
      <c r="IG358" s="24">
        <v>2020</v>
      </c>
      <c r="IH358" s="24">
        <v>7</v>
      </c>
      <c r="II358" s="24" t="s">
        <v>32</v>
      </c>
      <c r="IJ358" s="24">
        <v>1051</v>
      </c>
      <c r="IK358" s="24">
        <v>1045</v>
      </c>
    </row>
    <row r="359" spans="9:245" x14ac:dyDescent="0.4">
      <c r="I359" s="305">
        <v>2020</v>
      </c>
      <c r="J359" s="306">
        <v>7</v>
      </c>
      <c r="K359" s="306" t="s">
        <v>32</v>
      </c>
      <c r="L359" s="306">
        <v>11246</v>
      </c>
      <c r="M359" s="306">
        <v>10960</v>
      </c>
      <c r="N359" s="306">
        <v>12</v>
      </c>
      <c r="O359" s="306">
        <v>106</v>
      </c>
      <c r="P359" s="306">
        <v>19</v>
      </c>
      <c r="Q359" s="306"/>
      <c r="R359" s="24"/>
      <c r="S359" s="24"/>
      <c r="T359" s="24"/>
      <c r="W359" s="24">
        <v>2020</v>
      </c>
      <c r="X359" s="24">
        <v>7</v>
      </c>
      <c r="Y359" s="24" t="s">
        <v>33</v>
      </c>
      <c r="Z359" s="24">
        <v>210388</v>
      </c>
      <c r="AA359" s="24">
        <v>175732</v>
      </c>
      <c r="AB359" s="24">
        <v>536</v>
      </c>
      <c r="AC359" s="24">
        <v>2</v>
      </c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T359" s="24"/>
      <c r="BA359" s="24"/>
      <c r="BB359" s="24"/>
      <c r="BG359" s="24"/>
      <c r="BI359" s="24">
        <v>2021</v>
      </c>
      <c r="BJ359" s="24">
        <v>34</v>
      </c>
      <c r="BK359" s="24" t="s">
        <v>32</v>
      </c>
      <c r="BL359" s="24" t="s">
        <v>272</v>
      </c>
      <c r="BM359" s="24">
        <v>2440</v>
      </c>
      <c r="BN359" s="24">
        <v>2437</v>
      </c>
      <c r="BO359" s="24">
        <v>8276</v>
      </c>
      <c r="CF359" s="24"/>
      <c r="CG359" s="24"/>
      <c r="CH359" s="24"/>
      <c r="CI359" s="24"/>
      <c r="CJ359" s="24"/>
      <c r="DD359" s="24"/>
      <c r="DE359" s="24"/>
      <c r="DF359" s="24"/>
      <c r="DG359" s="24"/>
      <c r="DH359" s="24"/>
      <c r="DJ359" s="24">
        <v>2020</v>
      </c>
      <c r="DK359" s="24">
        <v>13</v>
      </c>
      <c r="DL359" s="24" t="s">
        <v>33</v>
      </c>
      <c r="DM359" s="24">
        <v>405</v>
      </c>
      <c r="DP359" s="24"/>
      <c r="DQ359" s="24"/>
      <c r="DR359" s="24"/>
      <c r="DS359" s="24"/>
      <c r="DW359" s="24"/>
      <c r="DX359" s="24"/>
      <c r="DY359" s="24"/>
      <c r="DZ359" s="24"/>
      <c r="EA359" s="24"/>
      <c r="EB359" s="24"/>
      <c r="EC359" s="24"/>
      <c r="ED359" s="24"/>
      <c r="EE359" s="24"/>
      <c r="EF359" s="24"/>
      <c r="EI359" s="24">
        <v>2022</v>
      </c>
      <c r="EJ359" s="24">
        <v>51</v>
      </c>
      <c r="EK359" s="24" t="s">
        <v>208</v>
      </c>
      <c r="EL359" s="24" t="s">
        <v>351</v>
      </c>
      <c r="EM359" s="24" t="s">
        <v>210</v>
      </c>
      <c r="EN359" s="24">
        <v>11</v>
      </c>
      <c r="EO359" s="24"/>
      <c r="EP359" s="24"/>
      <c r="EQ359" s="24"/>
      <c r="ER359" s="24"/>
      <c r="ES359" s="24">
        <v>2020</v>
      </c>
      <c r="ET359" s="24">
        <v>43</v>
      </c>
      <c r="EU359" s="24" t="s">
        <v>213</v>
      </c>
      <c r="EV359" s="24">
        <v>29</v>
      </c>
      <c r="EY359" s="24"/>
      <c r="EZ359" s="24"/>
      <c r="FA359" s="24"/>
      <c r="FB359" s="24"/>
      <c r="FE359" s="24"/>
      <c r="FF359" s="24"/>
      <c r="FG359" s="24"/>
      <c r="FH359" s="24"/>
      <c r="FN359" s="24"/>
      <c r="FO359" s="24"/>
      <c r="FP359" s="24"/>
      <c r="FQ359" s="24"/>
      <c r="FW359" s="24">
        <v>2020</v>
      </c>
      <c r="FX359" s="24">
        <v>7</v>
      </c>
      <c r="FY359" s="24" t="s">
        <v>33</v>
      </c>
      <c r="FZ359" s="24">
        <v>10995</v>
      </c>
      <c r="GA359" s="24">
        <v>10188</v>
      </c>
      <c r="GB359" s="24"/>
      <c r="GC359" s="24"/>
      <c r="GD359" s="24">
        <v>2020</v>
      </c>
      <c r="GE359" s="24">
        <v>7</v>
      </c>
      <c r="GF359" s="24" t="s">
        <v>33</v>
      </c>
      <c r="GG359" s="24">
        <v>10988</v>
      </c>
      <c r="GH359" s="24">
        <v>10226</v>
      </c>
      <c r="GK359" s="24"/>
      <c r="GL359" s="24"/>
      <c r="GM359" s="24"/>
      <c r="GN359" s="24"/>
      <c r="GO359" s="24"/>
      <c r="GX359">
        <v>2020</v>
      </c>
      <c r="GY359">
        <v>7</v>
      </c>
      <c r="GZ359" t="s">
        <v>33</v>
      </c>
      <c r="HA359">
        <v>211456</v>
      </c>
      <c r="HB359">
        <v>209382</v>
      </c>
      <c r="HC359">
        <v>178</v>
      </c>
      <c r="HD359">
        <v>12</v>
      </c>
      <c r="HE359">
        <v>0</v>
      </c>
      <c r="HF359">
        <v>595</v>
      </c>
      <c r="HG359">
        <v>0</v>
      </c>
      <c r="HH359">
        <v>0</v>
      </c>
      <c r="HI359">
        <v>639</v>
      </c>
      <c r="HL359">
        <v>2020</v>
      </c>
      <c r="HM359">
        <v>7</v>
      </c>
      <c r="HN359" t="s">
        <v>33</v>
      </c>
      <c r="HO359">
        <v>210138</v>
      </c>
      <c r="HP359">
        <v>209247</v>
      </c>
      <c r="HQ359">
        <v>204</v>
      </c>
      <c r="HR359">
        <v>7</v>
      </c>
      <c r="HS359">
        <v>0</v>
      </c>
      <c r="HT359">
        <v>464</v>
      </c>
      <c r="HU359">
        <v>0</v>
      </c>
      <c r="HV359">
        <v>0</v>
      </c>
      <c r="HW359">
        <v>183</v>
      </c>
      <c r="HZ359" s="24">
        <v>2020</v>
      </c>
      <c r="IA359" s="24">
        <v>7</v>
      </c>
      <c r="IB359" s="24" t="s">
        <v>33</v>
      </c>
      <c r="IC359" s="24">
        <v>10898</v>
      </c>
      <c r="ID359" s="24">
        <v>10313</v>
      </c>
      <c r="IG359" s="24">
        <v>2020</v>
      </c>
      <c r="IH359" s="24">
        <v>7</v>
      </c>
      <c r="II359" s="24" t="s">
        <v>33</v>
      </c>
      <c r="IJ359" s="24">
        <v>9921</v>
      </c>
      <c r="IK359" s="24">
        <v>9672</v>
      </c>
    </row>
    <row r="360" spans="9:245" x14ac:dyDescent="0.4">
      <c r="I360" s="305">
        <v>2020</v>
      </c>
      <c r="J360" s="306">
        <v>7</v>
      </c>
      <c r="K360" s="306" t="s">
        <v>33</v>
      </c>
      <c r="L360" s="306">
        <v>210216</v>
      </c>
      <c r="M360" s="306">
        <v>175308</v>
      </c>
      <c r="N360" s="306">
        <v>474</v>
      </c>
      <c r="O360" s="306">
        <v>4497</v>
      </c>
      <c r="P360" s="306">
        <v>543</v>
      </c>
      <c r="Q360" s="306"/>
      <c r="R360" s="24"/>
      <c r="S360" s="24"/>
      <c r="T360" s="24"/>
      <c r="W360" s="24">
        <v>2020</v>
      </c>
      <c r="X360" s="24">
        <v>6</v>
      </c>
      <c r="Y360" s="24" t="s">
        <v>32</v>
      </c>
      <c r="Z360" s="24">
        <v>7994</v>
      </c>
      <c r="AA360" s="24">
        <v>7898</v>
      </c>
      <c r="AB360" s="24">
        <v>19</v>
      </c>
      <c r="AC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T360" s="24"/>
      <c r="BA360" s="24"/>
      <c r="BB360" s="24"/>
      <c r="BG360" s="24"/>
      <c r="BI360" s="24">
        <v>2021</v>
      </c>
      <c r="BJ360" s="24">
        <v>34</v>
      </c>
      <c r="BK360" s="24" t="s">
        <v>33</v>
      </c>
      <c r="BL360" s="24" t="s">
        <v>273</v>
      </c>
      <c r="BM360" s="24">
        <v>90630</v>
      </c>
      <c r="BN360" s="24">
        <v>89606</v>
      </c>
      <c r="BO360" s="24">
        <v>92603</v>
      </c>
      <c r="CF360" s="24"/>
      <c r="CG360" s="24"/>
      <c r="CH360" s="24"/>
      <c r="CI360" s="24"/>
      <c r="CJ360" s="24"/>
      <c r="DD360" s="24"/>
      <c r="DE360" s="24"/>
      <c r="DF360" s="24"/>
      <c r="DG360" s="24"/>
      <c r="DH360" s="24"/>
      <c r="DJ360" s="24">
        <v>2020</v>
      </c>
      <c r="DK360" s="24">
        <v>13</v>
      </c>
      <c r="DL360" s="24" t="s">
        <v>213</v>
      </c>
      <c r="DM360" s="24">
        <v>2</v>
      </c>
      <c r="DP360" s="24"/>
      <c r="DQ360" s="24"/>
      <c r="DR360" s="24"/>
      <c r="DS360" s="24"/>
      <c r="EI360" s="24">
        <v>2022</v>
      </c>
      <c r="EJ360" s="24">
        <v>51</v>
      </c>
      <c r="EK360" s="24" t="s">
        <v>208</v>
      </c>
      <c r="EL360" s="24" t="s">
        <v>351</v>
      </c>
      <c r="EM360" s="24" t="s">
        <v>234</v>
      </c>
      <c r="EN360" s="24">
        <v>1</v>
      </c>
      <c r="EO360" s="24"/>
      <c r="EP360" s="24"/>
      <c r="EQ360" s="24"/>
      <c r="ER360" s="24"/>
      <c r="ES360" s="24">
        <v>2020</v>
      </c>
      <c r="ET360" s="24">
        <v>42</v>
      </c>
      <c r="EU360" s="24" t="s">
        <v>32</v>
      </c>
      <c r="EV360" s="24">
        <v>2545</v>
      </c>
      <c r="EY360" s="24"/>
      <c r="EZ360" s="24"/>
      <c r="FA360" s="24"/>
      <c r="FB360" s="24"/>
      <c r="FE360" s="24"/>
      <c r="FF360" s="24"/>
      <c r="FG360" s="24"/>
      <c r="FH360" s="24"/>
      <c r="FN360" s="24"/>
      <c r="FO360" s="24"/>
      <c r="FP360" s="24"/>
      <c r="FQ360" s="24"/>
      <c r="FW360" s="24">
        <v>2020</v>
      </c>
      <c r="FX360" s="24">
        <v>6</v>
      </c>
      <c r="FY360" s="24" t="s">
        <v>32</v>
      </c>
      <c r="FZ360" s="24">
        <v>1139</v>
      </c>
      <c r="GA360" s="24">
        <v>1098</v>
      </c>
      <c r="GB360" s="24"/>
      <c r="GC360" s="24"/>
      <c r="GD360" s="24">
        <v>2020</v>
      </c>
      <c r="GE360" s="24">
        <v>6</v>
      </c>
      <c r="GF360" s="24" t="s">
        <v>32</v>
      </c>
      <c r="GG360" s="24">
        <v>1153</v>
      </c>
      <c r="GH360" s="24">
        <v>1118</v>
      </c>
      <c r="GK360" s="24"/>
      <c r="GL360" s="24"/>
      <c r="GM360" s="24"/>
      <c r="GN360" s="24"/>
      <c r="GO360" s="24"/>
      <c r="GX360">
        <v>2020</v>
      </c>
      <c r="GY360">
        <v>6</v>
      </c>
      <c r="GZ360" t="s">
        <v>32</v>
      </c>
      <c r="HA360">
        <v>8517</v>
      </c>
      <c r="HB360">
        <v>8284</v>
      </c>
      <c r="HC360">
        <v>0</v>
      </c>
      <c r="HD360">
        <v>1</v>
      </c>
      <c r="HE360">
        <v>0</v>
      </c>
      <c r="HF360">
        <v>66</v>
      </c>
      <c r="HG360">
        <v>0</v>
      </c>
      <c r="HH360">
        <v>0</v>
      </c>
      <c r="HI360">
        <v>52</v>
      </c>
      <c r="HL360">
        <v>2020</v>
      </c>
      <c r="HM360">
        <v>6</v>
      </c>
      <c r="HN360" t="s">
        <v>32</v>
      </c>
      <c r="HO360">
        <v>7972</v>
      </c>
      <c r="HP360">
        <v>7931</v>
      </c>
      <c r="HQ360">
        <v>0</v>
      </c>
      <c r="HR360">
        <v>0</v>
      </c>
      <c r="HS360">
        <v>0</v>
      </c>
      <c r="HT360">
        <v>30</v>
      </c>
      <c r="HU360">
        <v>0</v>
      </c>
      <c r="HV360">
        <v>0</v>
      </c>
      <c r="HW360">
        <v>14</v>
      </c>
      <c r="HZ360" s="24">
        <v>2020</v>
      </c>
      <c r="IA360" s="24">
        <v>6</v>
      </c>
      <c r="IB360" s="24" t="s">
        <v>32</v>
      </c>
      <c r="IC360" s="24">
        <v>1196</v>
      </c>
      <c r="ID360" s="24">
        <v>1153</v>
      </c>
      <c r="IG360" s="24">
        <v>2020</v>
      </c>
      <c r="IH360" s="24">
        <v>6</v>
      </c>
      <c r="II360" s="24" t="s">
        <v>32</v>
      </c>
      <c r="IJ360" s="24">
        <v>1135</v>
      </c>
      <c r="IK360" s="24">
        <v>1120</v>
      </c>
    </row>
    <row r="361" spans="9:245" x14ac:dyDescent="0.4">
      <c r="I361" s="305">
        <v>2020</v>
      </c>
      <c r="J361" s="306">
        <v>6</v>
      </c>
      <c r="K361" s="306" t="s">
        <v>32</v>
      </c>
      <c r="L361" s="306">
        <v>8006</v>
      </c>
      <c r="M361" s="306">
        <v>7853</v>
      </c>
      <c r="N361" s="306">
        <v>44</v>
      </c>
      <c r="O361" s="306">
        <v>68</v>
      </c>
      <c r="P361" s="306">
        <v>25</v>
      </c>
      <c r="Q361" s="306"/>
      <c r="R361" s="24"/>
      <c r="S361" s="24"/>
      <c r="T361" s="24"/>
      <c r="W361" s="24">
        <v>2020</v>
      </c>
      <c r="X361" s="24">
        <v>6</v>
      </c>
      <c r="Y361" s="24" t="s">
        <v>33</v>
      </c>
      <c r="Z361" s="24">
        <v>250616</v>
      </c>
      <c r="AA361" s="24">
        <v>206917</v>
      </c>
      <c r="AB361" s="24">
        <v>666</v>
      </c>
      <c r="AC361" s="24">
        <v>31</v>
      </c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T361" s="24"/>
      <c r="BA361" s="24"/>
      <c r="BB361" s="24"/>
      <c r="BG361" s="24"/>
      <c r="BI361" s="24">
        <v>2021</v>
      </c>
      <c r="BJ361" s="24">
        <v>34</v>
      </c>
      <c r="BK361" s="24" t="s">
        <v>32</v>
      </c>
      <c r="BL361" s="24" t="s">
        <v>273</v>
      </c>
      <c r="BM361" s="24">
        <v>6652</v>
      </c>
      <c r="BN361" s="24">
        <v>6629</v>
      </c>
      <c r="BO361" s="24">
        <v>6878</v>
      </c>
      <c r="CF361" s="24"/>
      <c r="CG361" s="24"/>
      <c r="CH361" s="24"/>
      <c r="CI361" s="24"/>
      <c r="CJ361" s="24"/>
      <c r="DD361" s="24"/>
      <c r="DE361" s="24"/>
      <c r="DF361" s="24"/>
      <c r="DG361" s="24"/>
      <c r="DH361" s="24"/>
      <c r="DJ361" s="24">
        <v>2020</v>
      </c>
      <c r="DK361" s="24">
        <v>12</v>
      </c>
      <c r="DL361" s="24" t="s">
        <v>32</v>
      </c>
      <c r="DM361" s="24">
        <v>32</v>
      </c>
      <c r="DP361" s="24"/>
      <c r="DQ361" s="24"/>
      <c r="DR361" s="24"/>
      <c r="DS361" s="24"/>
      <c r="EI361" s="24">
        <v>2022</v>
      </c>
      <c r="EJ361" s="24">
        <v>51</v>
      </c>
      <c r="EK361" s="24" t="s">
        <v>208</v>
      </c>
      <c r="EL361" s="24" t="s">
        <v>235</v>
      </c>
      <c r="EM361" s="24" t="s">
        <v>210</v>
      </c>
      <c r="EN361" s="24">
        <v>23</v>
      </c>
      <c r="EO361" s="24"/>
      <c r="EP361" s="24"/>
      <c r="EQ361" s="24"/>
      <c r="ER361" s="24"/>
      <c r="ES361" s="24">
        <v>2020</v>
      </c>
      <c r="ET361" s="24">
        <v>42</v>
      </c>
      <c r="EU361" s="24" t="s">
        <v>33</v>
      </c>
      <c r="EV361" s="24">
        <v>62395</v>
      </c>
      <c r="EY361" s="24"/>
      <c r="EZ361" s="24"/>
      <c r="FA361" s="24"/>
      <c r="FB361" s="24"/>
      <c r="FE361" s="24"/>
      <c r="FF361" s="24"/>
      <c r="FG361" s="24"/>
      <c r="FH361" s="24"/>
      <c r="FN361" s="24"/>
      <c r="FO361" s="24"/>
      <c r="FP361" s="24"/>
      <c r="FQ361" s="24"/>
      <c r="FW361" s="24">
        <v>2020</v>
      </c>
      <c r="FX361" s="24">
        <v>6</v>
      </c>
      <c r="FY361" s="24" t="s">
        <v>33</v>
      </c>
      <c r="FZ361" s="24">
        <v>13713</v>
      </c>
      <c r="GA361" s="24">
        <v>12566</v>
      </c>
      <c r="GB361" s="24"/>
      <c r="GC361" s="24"/>
      <c r="GD361" s="24">
        <v>2020</v>
      </c>
      <c r="GE361" s="24">
        <v>6</v>
      </c>
      <c r="GF361" s="24" t="s">
        <v>33</v>
      </c>
      <c r="GG361" s="24">
        <v>13649</v>
      </c>
      <c r="GH361" s="24">
        <v>12677</v>
      </c>
      <c r="GK361" s="24"/>
      <c r="GL361" s="24"/>
      <c r="GM361" s="24"/>
      <c r="GN361" s="24"/>
      <c r="GO361" s="24"/>
      <c r="GX361">
        <v>2020</v>
      </c>
      <c r="GY361">
        <v>6</v>
      </c>
      <c r="GZ361" t="s">
        <v>33</v>
      </c>
      <c r="HA361">
        <v>246317</v>
      </c>
      <c r="HB361">
        <v>241076</v>
      </c>
      <c r="HC361">
        <v>203</v>
      </c>
      <c r="HD361">
        <v>26</v>
      </c>
      <c r="HE361">
        <v>1</v>
      </c>
      <c r="HF361">
        <v>1986</v>
      </c>
      <c r="HG361">
        <v>0</v>
      </c>
      <c r="HH361">
        <v>0</v>
      </c>
      <c r="HI361">
        <v>1240</v>
      </c>
      <c r="HL361">
        <v>2020</v>
      </c>
      <c r="HM361">
        <v>6</v>
      </c>
      <c r="HN361" t="s">
        <v>33</v>
      </c>
      <c r="HO361">
        <v>250304</v>
      </c>
      <c r="HP361">
        <v>248244</v>
      </c>
      <c r="HQ361">
        <v>188</v>
      </c>
      <c r="HR361">
        <v>3</v>
      </c>
      <c r="HS361">
        <v>0</v>
      </c>
      <c r="HT361">
        <v>1566</v>
      </c>
      <c r="HU361">
        <v>0</v>
      </c>
      <c r="HV361">
        <v>0</v>
      </c>
      <c r="HW361">
        <v>421</v>
      </c>
      <c r="HZ361" s="24">
        <v>2020</v>
      </c>
      <c r="IA361" s="24">
        <v>6</v>
      </c>
      <c r="IB361" s="24" t="s">
        <v>33</v>
      </c>
      <c r="IC361" s="24">
        <v>13507</v>
      </c>
      <c r="ID361" s="24">
        <v>12498</v>
      </c>
      <c r="IG361" s="24">
        <v>2020</v>
      </c>
      <c r="IH361" s="24">
        <v>6</v>
      </c>
      <c r="II361" s="24" t="s">
        <v>33</v>
      </c>
      <c r="IJ361" s="24">
        <v>12156</v>
      </c>
      <c r="IK361" s="24">
        <v>11888</v>
      </c>
    </row>
    <row r="362" spans="9:245" x14ac:dyDescent="0.4">
      <c r="I362" s="305">
        <v>2020</v>
      </c>
      <c r="J362" s="306">
        <v>6</v>
      </c>
      <c r="K362" s="306" t="s">
        <v>33</v>
      </c>
      <c r="L362" s="306">
        <v>251188</v>
      </c>
      <c r="M362" s="306">
        <v>206326</v>
      </c>
      <c r="N362" s="306">
        <v>547</v>
      </c>
      <c r="O362" s="306">
        <v>6010</v>
      </c>
      <c r="P362" s="306">
        <v>743</v>
      </c>
      <c r="Q362" s="306">
        <v>31</v>
      </c>
      <c r="R362" s="24"/>
      <c r="S362" s="24"/>
      <c r="T362" s="24"/>
      <c r="W362" s="317">
        <v>2020</v>
      </c>
      <c r="X362" s="317">
        <v>5</v>
      </c>
      <c r="Y362" s="317" t="s">
        <v>32</v>
      </c>
      <c r="Z362" s="317">
        <v>7912</v>
      </c>
      <c r="AA362" s="317">
        <v>7770</v>
      </c>
      <c r="AB362" s="317">
        <v>4</v>
      </c>
      <c r="AC362" s="317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T362" s="24"/>
      <c r="BA362" s="24"/>
      <c r="BB362" s="24"/>
      <c r="BG362" s="24"/>
      <c r="BI362" s="24">
        <v>2021</v>
      </c>
      <c r="BJ362" s="24">
        <v>33</v>
      </c>
      <c r="BK362" s="24" t="s">
        <v>32</v>
      </c>
      <c r="BL362" s="24" t="s">
        <v>273</v>
      </c>
      <c r="BM362" s="24">
        <v>5919</v>
      </c>
      <c r="BN362" s="24">
        <v>5898</v>
      </c>
      <c r="BO362" s="24">
        <v>6077</v>
      </c>
      <c r="CF362" s="24"/>
      <c r="CG362" s="24"/>
      <c r="CH362" s="24"/>
      <c r="CI362" s="24"/>
      <c r="CJ362" s="24"/>
      <c r="DD362" s="24"/>
      <c r="DE362" s="24"/>
      <c r="DF362" s="24"/>
      <c r="DG362" s="24"/>
      <c r="DH362" s="24"/>
      <c r="DJ362" s="24">
        <v>2020</v>
      </c>
      <c r="DK362" s="24">
        <v>12</v>
      </c>
      <c r="DL362" s="24" t="s">
        <v>33</v>
      </c>
      <c r="DM362" s="24">
        <v>1211</v>
      </c>
      <c r="DP362" s="24"/>
      <c r="DQ362" s="24"/>
      <c r="DR362" s="24"/>
      <c r="DS362" s="24"/>
      <c r="EI362" s="24">
        <v>2022</v>
      </c>
      <c r="EJ362" s="24">
        <v>51</v>
      </c>
      <c r="EK362" s="24" t="s">
        <v>208</v>
      </c>
      <c r="EL362" s="24" t="s">
        <v>235</v>
      </c>
      <c r="EM362" s="24" t="s">
        <v>234</v>
      </c>
      <c r="EN362" s="24">
        <v>7</v>
      </c>
      <c r="EO362" s="24"/>
      <c r="EP362" s="24"/>
      <c r="EQ362" s="24"/>
      <c r="ER362" s="24"/>
      <c r="ES362" s="24">
        <v>2020</v>
      </c>
      <c r="ET362" s="24">
        <v>42</v>
      </c>
      <c r="EU362" s="24" t="s">
        <v>213</v>
      </c>
      <c r="EV362" s="24">
        <v>19</v>
      </c>
      <c r="EY362" s="24"/>
      <c r="EZ362" s="24"/>
      <c r="FA362" s="24"/>
      <c r="FB362" s="24"/>
      <c r="FE362" s="24"/>
      <c r="FF362" s="24"/>
      <c r="FG362" s="24"/>
      <c r="FH362" s="24"/>
      <c r="FN362" s="24"/>
      <c r="FO362" s="24"/>
      <c r="FP362" s="24"/>
      <c r="FQ362" s="24"/>
      <c r="FW362" s="24">
        <v>2020</v>
      </c>
      <c r="FX362" s="24">
        <v>5</v>
      </c>
      <c r="FY362" s="24" t="s">
        <v>32</v>
      </c>
      <c r="FZ362" s="24">
        <v>1033</v>
      </c>
      <c r="GA362" s="24">
        <v>1009</v>
      </c>
      <c r="GB362" s="24"/>
      <c r="GC362" s="24"/>
      <c r="GD362" s="317">
        <v>2020</v>
      </c>
      <c r="GE362" s="317">
        <v>5</v>
      </c>
      <c r="GF362" s="317" t="s">
        <v>32</v>
      </c>
      <c r="GG362" s="317">
        <v>1030</v>
      </c>
      <c r="GH362" s="317">
        <v>966</v>
      </c>
      <c r="GK362" s="24"/>
      <c r="GL362" s="24"/>
      <c r="GM362" s="24"/>
      <c r="GN362" s="24"/>
      <c r="GO362" s="24"/>
      <c r="GX362">
        <v>2020</v>
      </c>
      <c r="GY362">
        <v>5</v>
      </c>
      <c r="GZ362" t="s">
        <v>32</v>
      </c>
      <c r="HA362">
        <v>7899</v>
      </c>
      <c r="HB362">
        <v>7777</v>
      </c>
      <c r="HC362">
        <v>0</v>
      </c>
      <c r="HD362">
        <v>1</v>
      </c>
      <c r="HE362">
        <v>0</v>
      </c>
      <c r="HF362">
        <v>2</v>
      </c>
      <c r="HG362">
        <v>0</v>
      </c>
      <c r="HH362">
        <v>0</v>
      </c>
      <c r="HI362">
        <v>40</v>
      </c>
      <c r="HL362">
        <v>2020</v>
      </c>
      <c r="HM362">
        <v>5</v>
      </c>
      <c r="HN362" t="s">
        <v>32</v>
      </c>
      <c r="HO362">
        <v>7905</v>
      </c>
      <c r="HP362">
        <v>7879</v>
      </c>
      <c r="HQ362">
        <v>0</v>
      </c>
      <c r="HR362">
        <v>1</v>
      </c>
      <c r="HS362">
        <v>0</v>
      </c>
      <c r="HT362">
        <v>13</v>
      </c>
      <c r="HU362">
        <v>0</v>
      </c>
      <c r="HV362">
        <v>0</v>
      </c>
      <c r="HW362">
        <v>8</v>
      </c>
      <c r="HZ362" s="24">
        <v>2020</v>
      </c>
      <c r="IA362" s="24">
        <v>5</v>
      </c>
      <c r="IB362" s="24" t="s">
        <v>32</v>
      </c>
      <c r="IC362" s="24">
        <v>1030</v>
      </c>
      <c r="ID362" s="24">
        <v>1002</v>
      </c>
      <c r="IG362" s="24">
        <v>2020</v>
      </c>
      <c r="IH362" s="24">
        <v>5</v>
      </c>
      <c r="II362" s="24" t="s">
        <v>32</v>
      </c>
      <c r="IJ362" s="24">
        <v>1011</v>
      </c>
      <c r="IK362" s="24">
        <v>1004</v>
      </c>
    </row>
    <row r="363" spans="9:245" x14ac:dyDescent="0.4">
      <c r="I363" s="305">
        <v>2020</v>
      </c>
      <c r="J363" s="306">
        <v>5</v>
      </c>
      <c r="K363" s="306" t="s">
        <v>32</v>
      </c>
      <c r="L363" s="306">
        <v>7941</v>
      </c>
      <c r="M363" s="306">
        <v>7821</v>
      </c>
      <c r="N363" s="306">
        <v>15</v>
      </c>
      <c r="O363" s="306">
        <v>62</v>
      </c>
      <c r="P363" s="306">
        <v>10</v>
      </c>
      <c r="Q363" s="306">
        <v>2</v>
      </c>
      <c r="R363" s="24"/>
      <c r="S363" s="24"/>
      <c r="T363" s="24"/>
      <c r="W363" s="317">
        <v>2020</v>
      </c>
      <c r="X363" s="317">
        <v>5</v>
      </c>
      <c r="Y363" s="317" t="s">
        <v>33</v>
      </c>
      <c r="Z363" s="317">
        <v>219159</v>
      </c>
      <c r="AA363" s="317">
        <v>186904</v>
      </c>
      <c r="AB363" s="317">
        <v>526</v>
      </c>
      <c r="AC363" s="317">
        <v>4</v>
      </c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T363" s="24"/>
      <c r="BA363" s="24"/>
      <c r="BB363" s="24"/>
      <c r="BG363" s="24"/>
      <c r="BI363" s="24">
        <v>2021</v>
      </c>
      <c r="BJ363" s="24">
        <v>33</v>
      </c>
      <c r="BK363" s="24" t="s">
        <v>32</v>
      </c>
      <c r="BL363" s="24" t="s">
        <v>272</v>
      </c>
      <c r="BM363" s="24">
        <v>2328</v>
      </c>
      <c r="BN363" s="24">
        <v>2326</v>
      </c>
      <c r="BO363" s="24">
        <v>7838</v>
      </c>
      <c r="CF363" s="24"/>
      <c r="CG363" s="24"/>
      <c r="CH363" s="24"/>
      <c r="CI363" s="24"/>
      <c r="CJ363" s="24"/>
      <c r="DD363" s="24"/>
      <c r="DE363" s="24"/>
      <c r="DF363" s="24"/>
      <c r="DG363" s="24"/>
      <c r="DJ363" s="24">
        <v>2020</v>
      </c>
      <c r="DK363" s="24">
        <v>12</v>
      </c>
      <c r="DL363" s="24" t="s">
        <v>213</v>
      </c>
      <c r="DM363" s="24">
        <v>3</v>
      </c>
      <c r="DP363" s="24"/>
      <c r="DQ363" s="24"/>
      <c r="DR363" s="24"/>
      <c r="DS363" s="24"/>
      <c r="EI363" s="24">
        <v>2022</v>
      </c>
      <c r="EJ363" s="24">
        <v>51</v>
      </c>
      <c r="EK363" s="24" t="s">
        <v>208</v>
      </c>
      <c r="EL363" s="24" t="s">
        <v>209</v>
      </c>
      <c r="EM363" s="24" t="s">
        <v>210</v>
      </c>
      <c r="EN363" s="24">
        <v>3</v>
      </c>
      <c r="EO363" s="24"/>
      <c r="EP363" s="24"/>
      <c r="EQ363" s="24"/>
      <c r="ER363" s="24"/>
      <c r="ES363" s="24">
        <v>2020</v>
      </c>
      <c r="ET363" s="24">
        <v>41</v>
      </c>
      <c r="EU363" s="24" t="s">
        <v>32</v>
      </c>
      <c r="EV363" s="24">
        <v>2609</v>
      </c>
      <c r="EY363" s="24"/>
      <c r="EZ363" s="24"/>
      <c r="FA363" s="24"/>
      <c r="FB363" s="24"/>
      <c r="FE363" s="24"/>
      <c r="FF363" s="24"/>
      <c r="FG363" s="24"/>
      <c r="FH363" s="24"/>
      <c r="FN363" s="24"/>
      <c r="FO363" s="24"/>
      <c r="FP363" s="24"/>
      <c r="FQ363" s="24"/>
      <c r="FW363" s="24">
        <v>2020</v>
      </c>
      <c r="FX363" s="24">
        <v>5</v>
      </c>
      <c r="FY363" s="24" t="s">
        <v>33</v>
      </c>
      <c r="FZ363" s="24">
        <v>10649</v>
      </c>
      <c r="GA363" s="24">
        <v>9720</v>
      </c>
      <c r="GB363" s="24"/>
      <c r="GC363" s="24"/>
      <c r="GD363" s="317">
        <v>2020</v>
      </c>
      <c r="GE363" s="317">
        <v>5</v>
      </c>
      <c r="GF363" s="317" t="s">
        <v>33</v>
      </c>
      <c r="GG363" s="317">
        <v>10598</v>
      </c>
      <c r="GH363" s="317">
        <v>9737</v>
      </c>
      <c r="GK363" s="24"/>
      <c r="GL363" s="24"/>
      <c r="GM363" s="24"/>
      <c r="GN363" s="24"/>
      <c r="GO363" s="24"/>
      <c r="GX363">
        <v>2020</v>
      </c>
      <c r="GY363">
        <v>5</v>
      </c>
      <c r="GZ363" t="s">
        <v>33</v>
      </c>
      <c r="HA363">
        <v>223236</v>
      </c>
      <c r="HB363">
        <v>220462</v>
      </c>
      <c r="HC363">
        <v>277</v>
      </c>
      <c r="HD363">
        <v>27</v>
      </c>
      <c r="HE363">
        <v>1</v>
      </c>
      <c r="HF363">
        <v>842</v>
      </c>
      <c r="HG363">
        <v>0</v>
      </c>
      <c r="HH363">
        <v>0</v>
      </c>
      <c r="HI363">
        <v>745</v>
      </c>
      <c r="HL363">
        <v>2020</v>
      </c>
      <c r="HM363">
        <v>5</v>
      </c>
      <c r="HN363" t="s">
        <v>33</v>
      </c>
      <c r="HO363">
        <v>218775</v>
      </c>
      <c r="HP363">
        <v>217972</v>
      </c>
      <c r="HQ363">
        <v>221</v>
      </c>
      <c r="HR363">
        <v>15</v>
      </c>
      <c r="HS363">
        <v>0</v>
      </c>
      <c r="HT363">
        <v>396</v>
      </c>
      <c r="HU363">
        <v>0</v>
      </c>
      <c r="HV363">
        <v>0</v>
      </c>
      <c r="HW363">
        <v>137</v>
      </c>
      <c r="HZ363" s="24">
        <v>2020</v>
      </c>
      <c r="IA363" s="24">
        <v>5</v>
      </c>
      <c r="IB363" s="24" t="s">
        <v>33</v>
      </c>
      <c r="IC363" s="24">
        <v>10845</v>
      </c>
      <c r="ID363" s="24">
        <v>10043</v>
      </c>
      <c r="IG363" s="24">
        <v>2020</v>
      </c>
      <c r="IH363" s="24">
        <v>5</v>
      </c>
      <c r="II363" s="24" t="s">
        <v>33</v>
      </c>
      <c r="IJ363" s="24">
        <v>9363</v>
      </c>
      <c r="IK363" s="24">
        <v>9121</v>
      </c>
    </row>
    <row r="364" spans="9:245" x14ac:dyDescent="0.4">
      <c r="I364" s="305">
        <v>2020</v>
      </c>
      <c r="J364" s="306">
        <v>5</v>
      </c>
      <c r="K364" s="306" t="s">
        <v>33</v>
      </c>
      <c r="L364" s="306">
        <v>219097</v>
      </c>
      <c r="M364" s="306">
        <v>186452</v>
      </c>
      <c r="N364" s="306">
        <v>356</v>
      </c>
      <c r="O364" s="306">
        <v>4397</v>
      </c>
      <c r="P364" s="306">
        <v>575</v>
      </c>
      <c r="Q364" s="306">
        <v>7</v>
      </c>
      <c r="R364" s="24"/>
      <c r="S364" s="24"/>
      <c r="T364" s="24"/>
      <c r="W364" s="317">
        <v>2020</v>
      </c>
      <c r="X364" s="317">
        <v>4</v>
      </c>
      <c r="Y364" s="317" t="s">
        <v>32</v>
      </c>
      <c r="Z364" s="317">
        <v>8462</v>
      </c>
      <c r="AA364" s="317">
        <v>8372</v>
      </c>
      <c r="AB364" s="317">
        <v>25</v>
      </c>
      <c r="AC364" s="317">
        <v>1</v>
      </c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T364" s="24"/>
      <c r="BA364" s="24"/>
      <c r="BB364" s="24"/>
      <c r="BG364" s="24"/>
      <c r="BI364" s="24">
        <v>2021</v>
      </c>
      <c r="BJ364" s="24">
        <v>33</v>
      </c>
      <c r="BK364" s="24" t="s">
        <v>33</v>
      </c>
      <c r="BL364" s="24" t="s">
        <v>272</v>
      </c>
      <c r="BM364" s="24">
        <v>50376</v>
      </c>
      <c r="BN364" s="24">
        <v>50358</v>
      </c>
      <c r="BO364" s="24">
        <v>187112</v>
      </c>
      <c r="CF364" s="24"/>
      <c r="CG364" s="24"/>
      <c r="CH364" s="24"/>
      <c r="CI364" s="24"/>
      <c r="CJ364" s="24"/>
      <c r="DD364" s="24"/>
      <c r="DE364" s="24"/>
      <c r="DF364" s="24"/>
      <c r="DG364" s="24"/>
      <c r="DJ364" s="24">
        <v>2020</v>
      </c>
      <c r="DK364" s="24">
        <v>11</v>
      </c>
      <c r="DL364" s="24" t="s">
        <v>32</v>
      </c>
      <c r="DM364" s="24">
        <v>6</v>
      </c>
      <c r="DP364" s="24"/>
      <c r="DQ364" s="24"/>
      <c r="DR364" s="24"/>
      <c r="DS364" s="24"/>
      <c r="EI364" s="24">
        <v>2022</v>
      </c>
      <c r="EJ364" s="24">
        <v>51</v>
      </c>
      <c r="EK364" s="24" t="s">
        <v>208</v>
      </c>
      <c r="EL364" s="24" t="s">
        <v>247</v>
      </c>
      <c r="EM364" s="24" t="s">
        <v>234</v>
      </c>
      <c r="EN364" s="24">
        <v>1</v>
      </c>
      <c r="EO364" s="24"/>
      <c r="EP364" s="24"/>
      <c r="EQ364" s="24"/>
      <c r="ER364" s="24"/>
      <c r="ES364" s="24">
        <v>2020</v>
      </c>
      <c r="ET364" s="24">
        <v>41</v>
      </c>
      <c r="EU364" s="24" t="s">
        <v>33</v>
      </c>
      <c r="EV364" s="24">
        <v>59799</v>
      </c>
      <c r="EY364" s="24"/>
      <c r="EZ364" s="24"/>
      <c r="FA364" s="24"/>
      <c r="FB364" s="24"/>
      <c r="FE364" s="24"/>
      <c r="FF364" s="24"/>
      <c r="FG364" s="24"/>
      <c r="FH364" s="24"/>
      <c r="FN364" s="24"/>
      <c r="FO364" s="24"/>
      <c r="FP364" s="24"/>
      <c r="FQ364" s="24"/>
      <c r="FW364" s="24">
        <v>2020</v>
      </c>
      <c r="FX364" s="24">
        <v>4</v>
      </c>
      <c r="FY364" s="24" t="s">
        <v>32</v>
      </c>
      <c r="FZ364" s="24">
        <v>972</v>
      </c>
      <c r="GA364" s="24">
        <v>933</v>
      </c>
      <c r="GB364" s="24"/>
      <c r="GC364" s="24"/>
      <c r="GD364" s="317">
        <v>2020</v>
      </c>
      <c r="GE364" s="317">
        <v>4</v>
      </c>
      <c r="GF364" s="317" t="s">
        <v>32</v>
      </c>
      <c r="GG364" s="317">
        <v>958</v>
      </c>
      <c r="GH364" s="317">
        <v>924</v>
      </c>
      <c r="GK364" s="24"/>
      <c r="GL364" s="24"/>
      <c r="GM364" s="24"/>
      <c r="GN364" s="24"/>
      <c r="GO364" s="24"/>
      <c r="GX364">
        <v>2020</v>
      </c>
      <c r="GY364">
        <v>4</v>
      </c>
      <c r="GZ364" t="s">
        <v>32</v>
      </c>
      <c r="HA364">
        <v>8244</v>
      </c>
      <c r="HB364">
        <v>8167</v>
      </c>
      <c r="HC364">
        <v>0</v>
      </c>
      <c r="HD364">
        <v>1</v>
      </c>
      <c r="HE364">
        <v>0</v>
      </c>
      <c r="HF364">
        <v>3</v>
      </c>
      <c r="HG364">
        <v>0</v>
      </c>
      <c r="HH364">
        <v>0</v>
      </c>
      <c r="HI364">
        <v>30</v>
      </c>
      <c r="HL364">
        <v>2020</v>
      </c>
      <c r="HM364">
        <v>4</v>
      </c>
      <c r="HN364" t="s">
        <v>32</v>
      </c>
      <c r="HO364">
        <v>8427</v>
      </c>
      <c r="HP364">
        <v>8381</v>
      </c>
      <c r="HQ364">
        <v>0</v>
      </c>
      <c r="HR364">
        <v>3</v>
      </c>
      <c r="HS364">
        <v>0</v>
      </c>
      <c r="HT364">
        <v>4</v>
      </c>
      <c r="HU364">
        <v>0</v>
      </c>
      <c r="HV364">
        <v>0</v>
      </c>
      <c r="HW364">
        <v>6</v>
      </c>
      <c r="HZ364" s="24">
        <v>2020</v>
      </c>
      <c r="IA364" s="24">
        <v>4</v>
      </c>
      <c r="IB364" s="24" t="s">
        <v>32</v>
      </c>
      <c r="IC364" s="24">
        <v>932</v>
      </c>
      <c r="ID364" s="24">
        <v>913</v>
      </c>
      <c r="IG364" s="24">
        <v>2020</v>
      </c>
      <c r="IH364" s="24">
        <v>4</v>
      </c>
      <c r="II364" s="24" t="s">
        <v>32</v>
      </c>
      <c r="IJ364" s="24">
        <v>922</v>
      </c>
      <c r="IK364" s="24">
        <v>916</v>
      </c>
    </row>
    <row r="365" spans="9:245" x14ac:dyDescent="0.4">
      <c r="I365" s="305">
        <v>2020</v>
      </c>
      <c r="J365" s="306">
        <v>4</v>
      </c>
      <c r="K365" s="306" t="s">
        <v>32</v>
      </c>
      <c r="L365" s="306">
        <v>8511</v>
      </c>
      <c r="M365" s="306">
        <v>8413</v>
      </c>
      <c r="N365" s="306">
        <v>21</v>
      </c>
      <c r="O365" s="306">
        <v>47</v>
      </c>
      <c r="P365" s="306">
        <v>31</v>
      </c>
      <c r="Q365" s="306">
        <v>1</v>
      </c>
      <c r="R365" s="24"/>
      <c r="S365" s="24"/>
      <c r="T365" s="24"/>
      <c r="W365" s="317">
        <v>2020</v>
      </c>
      <c r="X365" s="317">
        <v>4</v>
      </c>
      <c r="Y365" s="317" t="s">
        <v>33</v>
      </c>
      <c r="Z365" s="317">
        <v>213643</v>
      </c>
      <c r="AA365" s="317">
        <v>178544</v>
      </c>
      <c r="AB365" s="317">
        <v>563</v>
      </c>
      <c r="AC365" s="317">
        <v>16</v>
      </c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T365" s="24"/>
      <c r="BA365" s="24"/>
      <c r="BB365" s="24"/>
      <c r="BG365" s="24"/>
      <c r="BI365" s="24">
        <v>2021</v>
      </c>
      <c r="BJ365" s="24">
        <v>33</v>
      </c>
      <c r="BK365" s="24" t="s">
        <v>33</v>
      </c>
      <c r="BL365" s="24" t="s">
        <v>273</v>
      </c>
      <c r="BM365" s="24">
        <v>87583</v>
      </c>
      <c r="BN365" s="24">
        <v>87234</v>
      </c>
      <c r="BO365" s="24">
        <v>89460</v>
      </c>
      <c r="CF365" s="24"/>
      <c r="CG365" s="24"/>
      <c r="CH365" s="24"/>
      <c r="CI365" s="24"/>
      <c r="CJ365" s="24"/>
      <c r="DD365" s="24"/>
      <c r="DE365" s="24"/>
      <c r="DF365" s="24"/>
      <c r="DG365" s="24"/>
      <c r="DJ365" s="24">
        <v>2020</v>
      </c>
      <c r="DK365" s="24">
        <v>11</v>
      </c>
      <c r="DL365" s="24" t="s">
        <v>33</v>
      </c>
      <c r="DM365" s="24">
        <v>611</v>
      </c>
      <c r="DP365" s="24"/>
      <c r="DQ365" s="24"/>
      <c r="DR365" s="24"/>
      <c r="DS365" s="24"/>
      <c r="EI365" s="24">
        <v>2022</v>
      </c>
      <c r="EJ365" s="24">
        <v>51</v>
      </c>
      <c r="EK365" s="24" t="s">
        <v>208</v>
      </c>
      <c r="EL365" s="24" t="s">
        <v>245</v>
      </c>
      <c r="EM365" s="24" t="s">
        <v>234</v>
      </c>
      <c r="EN365" s="24">
        <v>2</v>
      </c>
      <c r="EO365" s="24"/>
      <c r="EP365" s="24"/>
      <c r="EQ365" s="24"/>
      <c r="ER365" s="24"/>
      <c r="ES365" s="24">
        <v>2020</v>
      </c>
      <c r="ET365" s="24">
        <v>41</v>
      </c>
      <c r="EU365" s="24" t="s">
        <v>213</v>
      </c>
      <c r="EV365" s="24">
        <v>19</v>
      </c>
      <c r="EY365" s="24"/>
      <c r="EZ365" s="24"/>
      <c r="FA365" s="24"/>
      <c r="FB365" s="24"/>
      <c r="FE365" s="24"/>
      <c r="FF365" s="24"/>
      <c r="FG365" s="24"/>
      <c r="FH365" s="24"/>
      <c r="FN365" s="24"/>
      <c r="FO365" s="24"/>
      <c r="FP365" s="24"/>
      <c r="FQ365" s="24"/>
      <c r="FW365" s="24">
        <v>2020</v>
      </c>
      <c r="FX365" s="24">
        <v>4</v>
      </c>
      <c r="FY365" s="24" t="s">
        <v>33</v>
      </c>
      <c r="FZ365" s="24">
        <v>11391</v>
      </c>
      <c r="GA365" s="24">
        <v>10685</v>
      </c>
      <c r="GB365" s="24"/>
      <c r="GC365" s="24"/>
      <c r="GD365" s="317">
        <v>2020</v>
      </c>
      <c r="GE365" s="317">
        <v>4</v>
      </c>
      <c r="GF365" s="317" t="s">
        <v>33</v>
      </c>
      <c r="GG365" s="317">
        <v>11422</v>
      </c>
      <c r="GH365" s="317">
        <v>10782</v>
      </c>
      <c r="GK365" s="24"/>
      <c r="GL365" s="24"/>
      <c r="GM365" s="24"/>
      <c r="GN365" s="24"/>
      <c r="GO365" s="24"/>
      <c r="GX365">
        <v>2020</v>
      </c>
      <c r="GY365">
        <v>4</v>
      </c>
      <c r="GZ365" t="s">
        <v>33</v>
      </c>
      <c r="HA365">
        <v>212156</v>
      </c>
      <c r="HB365">
        <v>210374</v>
      </c>
      <c r="HC365">
        <v>255</v>
      </c>
      <c r="HD365">
        <v>14</v>
      </c>
      <c r="HE365">
        <v>0</v>
      </c>
      <c r="HF365">
        <v>377</v>
      </c>
      <c r="HG365">
        <v>0</v>
      </c>
      <c r="HH365">
        <v>0</v>
      </c>
      <c r="HI365">
        <v>558</v>
      </c>
      <c r="HL365">
        <v>2020</v>
      </c>
      <c r="HM365">
        <v>4</v>
      </c>
      <c r="HN365" t="s">
        <v>33</v>
      </c>
      <c r="HO365">
        <v>213278</v>
      </c>
      <c r="HP365">
        <v>212715</v>
      </c>
      <c r="HQ365">
        <v>192</v>
      </c>
      <c r="HR365">
        <v>7</v>
      </c>
      <c r="HS365">
        <v>0</v>
      </c>
      <c r="HT365">
        <v>133</v>
      </c>
      <c r="HU365">
        <v>0</v>
      </c>
      <c r="HV365">
        <v>0</v>
      </c>
      <c r="HW365">
        <v>129</v>
      </c>
      <c r="HZ365" s="24">
        <v>2020</v>
      </c>
      <c r="IA365" s="24">
        <v>4</v>
      </c>
      <c r="IB365" s="24" t="s">
        <v>33</v>
      </c>
      <c r="IC365" s="24">
        <v>11246</v>
      </c>
      <c r="ID365" s="24">
        <v>10712</v>
      </c>
      <c r="IG365" s="24">
        <v>2020</v>
      </c>
      <c r="IH365" s="24">
        <v>4</v>
      </c>
      <c r="II365" s="24" t="s">
        <v>33</v>
      </c>
      <c r="IJ365" s="24">
        <v>10113</v>
      </c>
      <c r="IK365" s="24">
        <v>9963</v>
      </c>
    </row>
    <row r="366" spans="9:245" x14ac:dyDescent="0.4">
      <c r="I366" s="305">
        <v>2020</v>
      </c>
      <c r="J366" s="306">
        <v>4</v>
      </c>
      <c r="K366" s="306" t="s">
        <v>33</v>
      </c>
      <c r="L366" s="306">
        <v>213587</v>
      </c>
      <c r="M366" s="306">
        <v>178167</v>
      </c>
      <c r="N366" s="306">
        <v>402</v>
      </c>
      <c r="O366" s="306">
        <v>4510</v>
      </c>
      <c r="P366" s="306">
        <v>616</v>
      </c>
      <c r="Q366" s="306">
        <v>14</v>
      </c>
      <c r="R366" s="24"/>
      <c r="S366" s="24"/>
      <c r="T366" s="24"/>
      <c r="W366" s="24">
        <v>2020</v>
      </c>
      <c r="X366" s="24">
        <v>3</v>
      </c>
      <c r="Y366" s="24" t="s">
        <v>32</v>
      </c>
      <c r="Z366" s="24">
        <v>8381</v>
      </c>
      <c r="AA366" s="24">
        <v>8216</v>
      </c>
      <c r="AB366" s="24">
        <v>12</v>
      </c>
      <c r="AC366" s="24">
        <v>1</v>
      </c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BI366" s="24">
        <v>2021</v>
      </c>
      <c r="BJ366" s="24">
        <v>32</v>
      </c>
      <c r="BK366" s="24" t="s">
        <v>33</v>
      </c>
      <c r="BL366" s="24" t="s">
        <v>272</v>
      </c>
      <c r="BM366" s="24">
        <v>48518</v>
      </c>
      <c r="BN366" s="24">
        <v>48497</v>
      </c>
      <c r="BO366" s="24">
        <v>178586</v>
      </c>
      <c r="CF366" s="24"/>
      <c r="CG366" s="24"/>
      <c r="CH366" s="24"/>
      <c r="CI366" s="24"/>
      <c r="CJ366" s="24"/>
      <c r="DD366" s="24"/>
      <c r="DE366" s="24"/>
      <c r="DF366" s="24"/>
      <c r="DG366" s="24"/>
      <c r="DJ366" s="24">
        <v>2020</v>
      </c>
      <c r="DK366" s="24">
        <v>11</v>
      </c>
      <c r="DL366" s="24" t="s">
        <v>213</v>
      </c>
      <c r="DM366" s="24">
        <v>2</v>
      </c>
      <c r="DP366" s="24"/>
      <c r="DQ366" s="24"/>
      <c r="DR366" s="24"/>
      <c r="DS366" s="24"/>
      <c r="EI366" s="24">
        <v>2022</v>
      </c>
      <c r="EJ366" s="24">
        <v>51</v>
      </c>
      <c r="EK366" s="24" t="s">
        <v>566</v>
      </c>
      <c r="EL366" s="24" t="s">
        <v>235</v>
      </c>
      <c r="EM366" s="24" t="s">
        <v>210</v>
      </c>
      <c r="EN366" s="24">
        <v>2</v>
      </c>
      <c r="EO366" s="24"/>
      <c r="EP366" s="24"/>
      <c r="EQ366" s="24"/>
      <c r="ER366" s="24"/>
      <c r="ES366" s="24">
        <v>2020</v>
      </c>
      <c r="ET366" s="24">
        <v>40</v>
      </c>
      <c r="EU366" s="24" t="s">
        <v>32</v>
      </c>
      <c r="EV366" s="24">
        <v>2819</v>
      </c>
      <c r="EY366" s="24"/>
      <c r="EZ366" s="24"/>
      <c r="FA366" s="24"/>
      <c r="FB366" s="24"/>
      <c r="FE366" s="24"/>
      <c r="FF366" s="24"/>
      <c r="FG366" s="24"/>
      <c r="FH366" s="24"/>
      <c r="FN366" s="24"/>
      <c r="FO366" s="24"/>
      <c r="FP366" s="24"/>
      <c r="FQ366" s="24"/>
      <c r="FW366" s="24">
        <v>2020</v>
      </c>
      <c r="FX366" s="24">
        <v>3</v>
      </c>
      <c r="FY366" s="24" t="s">
        <v>32</v>
      </c>
      <c r="FZ366" s="24">
        <v>1197</v>
      </c>
      <c r="GA366" s="24">
        <v>1139</v>
      </c>
      <c r="GB366" s="24"/>
      <c r="GC366" s="24"/>
      <c r="GD366" s="24">
        <v>2020</v>
      </c>
      <c r="GE366" s="24">
        <v>3</v>
      </c>
      <c r="GF366" s="24" t="s">
        <v>32</v>
      </c>
      <c r="GG366" s="24">
        <v>1161</v>
      </c>
      <c r="GH366" s="24">
        <v>1090</v>
      </c>
      <c r="GK366" s="24"/>
      <c r="GL366" s="24"/>
      <c r="GM366" s="24"/>
      <c r="GN366" s="24"/>
      <c r="GO366" s="24"/>
      <c r="GX366">
        <v>2020</v>
      </c>
      <c r="GY366">
        <v>3</v>
      </c>
      <c r="GZ366" t="s">
        <v>32</v>
      </c>
      <c r="HA366">
        <v>8730</v>
      </c>
      <c r="HB366">
        <v>8529</v>
      </c>
      <c r="HC366">
        <v>0</v>
      </c>
      <c r="HD366">
        <v>0</v>
      </c>
      <c r="HE366">
        <v>0</v>
      </c>
      <c r="HF366">
        <v>8</v>
      </c>
      <c r="HG366">
        <v>0</v>
      </c>
      <c r="HH366">
        <v>0</v>
      </c>
      <c r="HI366">
        <v>70</v>
      </c>
      <c r="HL366">
        <v>2020</v>
      </c>
      <c r="HM366">
        <v>3</v>
      </c>
      <c r="HN366" t="s">
        <v>32</v>
      </c>
      <c r="HO366">
        <v>8330</v>
      </c>
      <c r="HP366">
        <v>8281</v>
      </c>
      <c r="HQ366">
        <v>3</v>
      </c>
      <c r="HR366">
        <v>0</v>
      </c>
      <c r="HS366">
        <v>0</v>
      </c>
      <c r="HT366">
        <v>27</v>
      </c>
      <c r="HU366">
        <v>0</v>
      </c>
      <c r="HV366">
        <v>0</v>
      </c>
      <c r="HW366">
        <v>2</v>
      </c>
      <c r="HZ366" s="24">
        <v>2020</v>
      </c>
      <c r="IA366" s="24">
        <v>3</v>
      </c>
      <c r="IB366" s="24" t="s">
        <v>32</v>
      </c>
      <c r="IC366" s="24">
        <v>1161</v>
      </c>
      <c r="ID366" s="24">
        <v>1087</v>
      </c>
      <c r="IG366" s="24">
        <v>2020</v>
      </c>
      <c r="IH366" s="24">
        <v>3</v>
      </c>
      <c r="II366" s="24" t="s">
        <v>32</v>
      </c>
      <c r="IJ366" s="24">
        <v>1131</v>
      </c>
      <c r="IK366" s="24">
        <v>1110</v>
      </c>
    </row>
    <row r="367" spans="9:245" x14ac:dyDescent="0.4">
      <c r="I367" s="305">
        <v>2020</v>
      </c>
      <c r="J367" s="306">
        <v>3</v>
      </c>
      <c r="K367" s="306" t="s">
        <v>32</v>
      </c>
      <c r="L367" s="306">
        <v>8427</v>
      </c>
      <c r="M367" s="306">
        <v>8222</v>
      </c>
      <c r="N367" s="306">
        <v>27</v>
      </c>
      <c r="O367" s="306">
        <v>81</v>
      </c>
      <c r="P367" s="306">
        <v>12</v>
      </c>
      <c r="Q367" s="306">
        <v>2</v>
      </c>
      <c r="R367" s="24"/>
      <c r="S367" s="24"/>
      <c r="T367" s="24"/>
      <c r="W367" s="24">
        <v>2020</v>
      </c>
      <c r="X367" s="24">
        <v>3</v>
      </c>
      <c r="Y367" s="24" t="s">
        <v>33</v>
      </c>
      <c r="Z367" s="24">
        <v>211016</v>
      </c>
      <c r="AA367" s="24">
        <v>178477</v>
      </c>
      <c r="AB367" s="24">
        <v>438</v>
      </c>
      <c r="AC367" s="24">
        <v>12</v>
      </c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BI367" s="24">
        <v>2021</v>
      </c>
      <c r="BJ367" s="24">
        <v>32</v>
      </c>
      <c r="BK367" s="24" t="s">
        <v>32</v>
      </c>
      <c r="BL367" s="24" t="s">
        <v>273</v>
      </c>
      <c r="BM367" s="24">
        <v>5487</v>
      </c>
      <c r="BN367" s="24">
        <v>5439</v>
      </c>
      <c r="BO367" s="24">
        <v>5600</v>
      </c>
      <c r="CF367" s="24"/>
      <c r="CG367" s="24"/>
      <c r="CH367" s="24"/>
      <c r="CI367" s="24"/>
      <c r="CJ367" s="24"/>
      <c r="DD367" s="24"/>
      <c r="DE367" s="24"/>
      <c r="DF367" s="24"/>
      <c r="DG367" s="24"/>
      <c r="DJ367" s="24">
        <v>2020</v>
      </c>
      <c r="DK367" s="24">
        <v>10</v>
      </c>
      <c r="DL367" s="24" t="s">
        <v>32</v>
      </c>
      <c r="DM367" s="24">
        <v>12</v>
      </c>
      <c r="DP367" s="24"/>
      <c r="DQ367" s="24"/>
      <c r="DR367" s="24"/>
      <c r="DS367" s="24"/>
      <c r="EI367" s="24">
        <v>2022</v>
      </c>
      <c r="EJ367" s="24">
        <v>51</v>
      </c>
      <c r="EK367" s="24" t="s">
        <v>558</v>
      </c>
      <c r="EL367" s="24" t="s">
        <v>555</v>
      </c>
      <c r="EM367" s="24" t="s">
        <v>210</v>
      </c>
      <c r="EN367" s="24">
        <v>4</v>
      </c>
      <c r="EO367" s="24"/>
      <c r="EP367" s="24"/>
      <c r="EQ367" s="24"/>
      <c r="ER367" s="24"/>
      <c r="ES367" s="24">
        <v>2020</v>
      </c>
      <c r="ET367" s="24">
        <v>40</v>
      </c>
      <c r="EU367" s="24" t="s">
        <v>33</v>
      </c>
      <c r="EV367" s="24">
        <v>66629</v>
      </c>
      <c r="EY367" s="24"/>
      <c r="EZ367" s="24"/>
      <c r="FA367" s="24"/>
      <c r="FB367" s="24"/>
      <c r="FE367" s="24"/>
      <c r="FF367" s="24"/>
      <c r="FG367" s="24"/>
      <c r="FH367" s="24"/>
      <c r="FN367" s="24"/>
      <c r="FO367" s="24"/>
      <c r="FP367" s="24"/>
      <c r="FQ367" s="24"/>
      <c r="FW367" s="24">
        <v>2020</v>
      </c>
      <c r="FX367" s="24">
        <v>3</v>
      </c>
      <c r="FY367" s="24" t="s">
        <v>33</v>
      </c>
      <c r="FZ367" s="24">
        <v>10424</v>
      </c>
      <c r="GA367" s="24">
        <v>9731</v>
      </c>
      <c r="GB367" s="24"/>
      <c r="GC367" s="24"/>
      <c r="GD367" s="24">
        <v>2020</v>
      </c>
      <c r="GE367" s="24">
        <v>3</v>
      </c>
      <c r="GF367" s="24" t="s">
        <v>33</v>
      </c>
      <c r="GG367" s="24">
        <v>10310</v>
      </c>
      <c r="GH367" s="24">
        <v>9704</v>
      </c>
      <c r="GK367" s="24"/>
      <c r="GL367" s="24"/>
      <c r="GM367" s="24"/>
      <c r="GN367" s="24"/>
      <c r="GO367" s="24"/>
      <c r="GX367">
        <v>2020</v>
      </c>
      <c r="GY367">
        <v>3</v>
      </c>
      <c r="GZ367" t="s">
        <v>33</v>
      </c>
      <c r="HA367">
        <v>211048</v>
      </c>
      <c r="HB367">
        <v>208571</v>
      </c>
      <c r="HC367">
        <v>245</v>
      </c>
      <c r="HD367">
        <v>24</v>
      </c>
      <c r="HE367">
        <v>0</v>
      </c>
      <c r="HF367">
        <v>416</v>
      </c>
      <c r="HG367">
        <v>0</v>
      </c>
      <c r="HH367">
        <v>0</v>
      </c>
      <c r="HI367">
        <v>563</v>
      </c>
      <c r="HL367">
        <v>2020</v>
      </c>
      <c r="HM367">
        <v>3</v>
      </c>
      <c r="HN367" t="s">
        <v>33</v>
      </c>
      <c r="HO367">
        <v>210274</v>
      </c>
      <c r="HP367">
        <v>209750</v>
      </c>
      <c r="HQ367">
        <v>176</v>
      </c>
      <c r="HR367">
        <v>1</v>
      </c>
      <c r="HS367">
        <v>0</v>
      </c>
      <c r="HT367">
        <v>169</v>
      </c>
      <c r="HU367">
        <v>0</v>
      </c>
      <c r="HV367">
        <v>0</v>
      </c>
      <c r="HW367">
        <v>87</v>
      </c>
      <c r="HZ367" s="24">
        <v>2020</v>
      </c>
      <c r="IA367" s="24">
        <v>3</v>
      </c>
      <c r="IB367" s="24" t="s">
        <v>33</v>
      </c>
      <c r="IC367" s="24">
        <v>10551</v>
      </c>
      <c r="ID367" s="24">
        <v>10003</v>
      </c>
      <c r="IG367" s="24">
        <v>2020</v>
      </c>
      <c r="IH367" s="24">
        <v>3</v>
      </c>
      <c r="II367" s="24" t="s">
        <v>33</v>
      </c>
      <c r="IJ367" s="24">
        <v>9079</v>
      </c>
      <c r="IK367" s="24">
        <v>8907</v>
      </c>
    </row>
    <row r="368" spans="9:245" x14ac:dyDescent="0.4">
      <c r="I368" s="305">
        <v>2020</v>
      </c>
      <c r="J368" s="306">
        <v>3</v>
      </c>
      <c r="K368" s="306" t="s">
        <v>33</v>
      </c>
      <c r="L368" s="306">
        <v>212027</v>
      </c>
      <c r="M368" s="306">
        <v>178323</v>
      </c>
      <c r="N368" s="306">
        <v>328</v>
      </c>
      <c r="O368" s="306">
        <v>3815</v>
      </c>
      <c r="P368" s="306">
        <v>520</v>
      </c>
      <c r="Q368" s="306">
        <v>8</v>
      </c>
      <c r="R368" s="24"/>
      <c r="S368" s="24"/>
      <c r="T368" s="24"/>
      <c r="W368" s="318">
        <v>2020</v>
      </c>
      <c r="X368" s="318">
        <v>2</v>
      </c>
      <c r="Y368" s="318" t="s">
        <v>32</v>
      </c>
      <c r="Z368" s="318">
        <v>7182</v>
      </c>
      <c r="AA368" s="318">
        <v>7128</v>
      </c>
      <c r="AB368" s="318">
        <v>9</v>
      </c>
      <c r="AC368" s="318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BI368" s="24">
        <v>2021</v>
      </c>
      <c r="BJ368" s="24">
        <v>32</v>
      </c>
      <c r="BK368" s="24" t="s">
        <v>33</v>
      </c>
      <c r="BL368" s="24" t="s">
        <v>273</v>
      </c>
      <c r="BM368" s="24">
        <v>86480</v>
      </c>
      <c r="BN368" s="24">
        <v>86084</v>
      </c>
      <c r="BO368" s="24">
        <v>88231</v>
      </c>
      <c r="CF368" s="24"/>
      <c r="CG368" s="24"/>
      <c r="CH368" s="24"/>
      <c r="CI368" s="24"/>
      <c r="CJ368" s="24"/>
      <c r="DD368" s="24"/>
      <c r="DE368" s="24"/>
      <c r="DF368" s="24"/>
      <c r="DG368" s="24"/>
      <c r="DJ368" s="24">
        <v>2020</v>
      </c>
      <c r="DK368" s="24">
        <v>10</v>
      </c>
      <c r="DL368" s="24" t="s">
        <v>33</v>
      </c>
      <c r="DM368" s="24">
        <v>417</v>
      </c>
      <c r="DP368" s="24"/>
      <c r="DQ368" s="24"/>
      <c r="DR368" s="24"/>
      <c r="DS368" s="24"/>
      <c r="EI368" s="24">
        <v>2022</v>
      </c>
      <c r="EJ368" s="24">
        <v>51</v>
      </c>
      <c r="EK368" s="24" t="s">
        <v>558</v>
      </c>
      <c r="EL368" s="24" t="s">
        <v>557</v>
      </c>
      <c r="EM368" s="24" t="s">
        <v>210</v>
      </c>
      <c r="EN368" s="24">
        <v>50</v>
      </c>
      <c r="EO368" s="24"/>
      <c r="EP368" s="24"/>
      <c r="EQ368" s="24"/>
      <c r="ER368" s="24"/>
      <c r="ES368" s="24">
        <v>2020</v>
      </c>
      <c r="ET368" s="24">
        <v>40</v>
      </c>
      <c r="EU368" s="24" t="s">
        <v>213</v>
      </c>
      <c r="EV368" s="24">
        <v>29</v>
      </c>
      <c r="EY368" s="24"/>
      <c r="EZ368" s="24"/>
      <c r="FA368" s="24"/>
      <c r="FB368" s="24"/>
      <c r="FE368" s="24"/>
      <c r="FF368" s="24"/>
      <c r="FG368" s="24"/>
      <c r="FH368" s="24"/>
      <c r="FN368" s="24"/>
      <c r="FO368" s="24"/>
      <c r="FP368" s="24"/>
      <c r="FQ368" s="24"/>
      <c r="FW368" s="24">
        <v>2020</v>
      </c>
      <c r="FX368" s="24">
        <v>2</v>
      </c>
      <c r="FY368" s="24" t="s">
        <v>32</v>
      </c>
      <c r="FZ368" s="24">
        <v>1024</v>
      </c>
      <c r="GA368" s="24">
        <v>1014</v>
      </c>
      <c r="GB368" s="24"/>
      <c r="GC368" s="24"/>
      <c r="GD368" s="318">
        <v>2020</v>
      </c>
      <c r="GE368" s="318">
        <v>2</v>
      </c>
      <c r="GF368" s="318" t="s">
        <v>32</v>
      </c>
      <c r="GG368" s="318">
        <v>1055</v>
      </c>
      <c r="GH368" s="318">
        <v>1034</v>
      </c>
      <c r="GK368" s="24"/>
      <c r="GL368" s="24"/>
      <c r="GM368" s="24"/>
      <c r="GN368" s="24"/>
      <c r="GO368" s="24"/>
      <c r="GX368">
        <v>2020</v>
      </c>
      <c r="GY368">
        <v>2</v>
      </c>
      <c r="GZ368" t="s">
        <v>32</v>
      </c>
      <c r="HA368">
        <v>7268</v>
      </c>
      <c r="HB368">
        <v>7201</v>
      </c>
      <c r="HC368">
        <v>0</v>
      </c>
      <c r="HD368">
        <v>1</v>
      </c>
      <c r="HE368">
        <v>0</v>
      </c>
      <c r="HF368">
        <v>5</v>
      </c>
      <c r="HG368">
        <v>0</v>
      </c>
      <c r="HH368">
        <v>0</v>
      </c>
      <c r="HI368">
        <v>40</v>
      </c>
      <c r="HL368">
        <v>2020</v>
      </c>
      <c r="HM368">
        <v>2</v>
      </c>
      <c r="HN368" t="s">
        <v>32</v>
      </c>
      <c r="HO368">
        <v>7166</v>
      </c>
      <c r="HP368">
        <v>7140</v>
      </c>
      <c r="HQ368">
        <v>0</v>
      </c>
      <c r="HR368">
        <v>1</v>
      </c>
      <c r="HS368">
        <v>0</v>
      </c>
      <c r="HT368">
        <v>12</v>
      </c>
      <c r="HU368">
        <v>0</v>
      </c>
      <c r="HV368">
        <v>0</v>
      </c>
      <c r="HW368">
        <v>2</v>
      </c>
      <c r="HZ368" s="24">
        <v>2020</v>
      </c>
      <c r="IA368" s="24">
        <v>2</v>
      </c>
      <c r="IB368" s="24" t="s">
        <v>32</v>
      </c>
      <c r="IC368" s="24">
        <v>1091</v>
      </c>
      <c r="ID368" s="24">
        <v>1081</v>
      </c>
      <c r="IG368" s="24">
        <v>2020</v>
      </c>
      <c r="IH368" s="24">
        <v>2</v>
      </c>
      <c r="II368" s="24" t="s">
        <v>32</v>
      </c>
      <c r="IJ368" s="24">
        <v>1018</v>
      </c>
      <c r="IK368" s="24">
        <v>1005</v>
      </c>
    </row>
    <row r="369" spans="9:245" x14ac:dyDescent="0.4">
      <c r="I369" s="305">
        <v>2020</v>
      </c>
      <c r="J369" s="306">
        <v>2</v>
      </c>
      <c r="K369" s="306" t="s">
        <v>32</v>
      </c>
      <c r="L369" s="306">
        <v>7220</v>
      </c>
      <c r="M369" s="306">
        <v>7153</v>
      </c>
      <c r="N369" s="306">
        <v>19</v>
      </c>
      <c r="O369" s="306">
        <v>24</v>
      </c>
      <c r="P369" s="306">
        <v>8</v>
      </c>
      <c r="Q369" s="306"/>
      <c r="R369" s="24"/>
      <c r="S369" s="24"/>
      <c r="T369" s="24"/>
      <c r="W369" s="318">
        <v>2020</v>
      </c>
      <c r="X369" s="318">
        <v>2</v>
      </c>
      <c r="Y369" s="318" t="s">
        <v>33</v>
      </c>
      <c r="Z369" s="318">
        <v>199815</v>
      </c>
      <c r="AA369" s="318">
        <v>167367</v>
      </c>
      <c r="AB369" s="318">
        <v>405</v>
      </c>
      <c r="AC369" s="318">
        <v>7</v>
      </c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BI369" s="24">
        <v>2021</v>
      </c>
      <c r="BJ369" s="24">
        <v>32</v>
      </c>
      <c r="BK369" s="24" t="s">
        <v>32</v>
      </c>
      <c r="BL369" s="24" t="s">
        <v>272</v>
      </c>
      <c r="BM369" s="24">
        <v>2039</v>
      </c>
      <c r="BN369" s="24">
        <v>2035</v>
      </c>
      <c r="BO369" s="24">
        <v>6967</v>
      </c>
      <c r="CF369" s="24"/>
      <c r="CG369" s="24"/>
      <c r="CH369" s="24"/>
      <c r="CI369" s="24"/>
      <c r="CJ369" s="24"/>
      <c r="DD369" s="24"/>
      <c r="DE369" s="24"/>
      <c r="DF369" s="24"/>
      <c r="DG369" s="24"/>
      <c r="DJ369" s="24">
        <v>2020</v>
      </c>
      <c r="DK369" s="24">
        <v>10</v>
      </c>
      <c r="DL369" s="24" t="s">
        <v>213</v>
      </c>
      <c r="DM369" s="24">
        <v>16</v>
      </c>
      <c r="DP369" s="24"/>
      <c r="DQ369" s="24"/>
      <c r="DR369" s="24"/>
      <c r="DS369" s="24"/>
      <c r="EI369" s="24">
        <v>2022</v>
      </c>
      <c r="EJ369" s="24">
        <v>51</v>
      </c>
      <c r="EK369" s="24" t="s">
        <v>558</v>
      </c>
      <c r="EL369" s="24" t="s">
        <v>557</v>
      </c>
      <c r="EM369" s="24" t="s">
        <v>234</v>
      </c>
      <c r="EN369" s="24">
        <v>1</v>
      </c>
      <c r="EO369" s="24"/>
      <c r="EP369" s="24"/>
      <c r="EQ369" s="24"/>
      <c r="ER369" s="24"/>
      <c r="ES369" s="24">
        <v>2020</v>
      </c>
      <c r="ET369" s="24">
        <v>39</v>
      </c>
      <c r="EU369" s="24" t="s">
        <v>32</v>
      </c>
      <c r="EV369" s="24">
        <v>2459</v>
      </c>
      <c r="EY369" s="24"/>
      <c r="EZ369" s="24"/>
      <c r="FA369" s="24"/>
      <c r="FB369" s="24"/>
      <c r="FE369" s="24"/>
      <c r="FF369" s="24"/>
      <c r="FG369" s="24"/>
      <c r="FH369" s="24"/>
      <c r="FN369" s="24"/>
      <c r="FO369" s="24"/>
      <c r="FP369" s="24"/>
      <c r="FQ369" s="24"/>
      <c r="FW369" s="24">
        <v>2020</v>
      </c>
      <c r="FX369" s="24">
        <v>2</v>
      </c>
      <c r="FY369" s="24" t="s">
        <v>33</v>
      </c>
      <c r="FZ369" s="24">
        <v>10518</v>
      </c>
      <c r="GA369" s="24">
        <v>9957</v>
      </c>
      <c r="GB369" s="24"/>
      <c r="GC369" s="24"/>
      <c r="GD369" s="318">
        <v>2020</v>
      </c>
      <c r="GE369" s="318">
        <v>2</v>
      </c>
      <c r="GF369" s="318" t="s">
        <v>33</v>
      </c>
      <c r="GG369" s="318">
        <v>10373</v>
      </c>
      <c r="GH369" s="318">
        <v>9893</v>
      </c>
      <c r="GK369" s="24"/>
      <c r="GL369" s="24"/>
      <c r="GM369" s="24"/>
      <c r="GN369" s="24"/>
      <c r="GO369" s="24"/>
      <c r="GX369">
        <v>2020</v>
      </c>
      <c r="GY369">
        <v>2</v>
      </c>
      <c r="GZ369" t="s">
        <v>33</v>
      </c>
      <c r="HA369">
        <v>203479</v>
      </c>
      <c r="HB369">
        <v>201829</v>
      </c>
      <c r="HC369">
        <v>133</v>
      </c>
      <c r="HD369">
        <v>19</v>
      </c>
      <c r="HE369">
        <v>0</v>
      </c>
      <c r="HF369">
        <v>523</v>
      </c>
      <c r="HG369">
        <v>0</v>
      </c>
      <c r="HH369">
        <v>0</v>
      </c>
      <c r="HI369">
        <v>513</v>
      </c>
      <c r="HL369">
        <v>2020</v>
      </c>
      <c r="HM369">
        <v>2</v>
      </c>
      <c r="HN369" t="s">
        <v>33</v>
      </c>
      <c r="HO369">
        <v>199334</v>
      </c>
      <c r="HP369">
        <v>198800</v>
      </c>
      <c r="HQ369">
        <v>104</v>
      </c>
      <c r="HR369">
        <v>9</v>
      </c>
      <c r="HS369">
        <v>0</v>
      </c>
      <c r="HT369">
        <v>256</v>
      </c>
      <c r="HU369">
        <v>0</v>
      </c>
      <c r="HV369">
        <v>0</v>
      </c>
      <c r="HW369">
        <v>79</v>
      </c>
      <c r="HZ369" s="24">
        <v>2020</v>
      </c>
      <c r="IA369" s="24">
        <v>2</v>
      </c>
      <c r="IB369" s="24" t="s">
        <v>33</v>
      </c>
      <c r="IC369" s="24">
        <v>10467</v>
      </c>
      <c r="ID369" s="24">
        <v>10014</v>
      </c>
      <c r="IG369" s="24">
        <v>2020</v>
      </c>
      <c r="IH369" s="24">
        <v>2</v>
      </c>
      <c r="II369" s="24" t="s">
        <v>33</v>
      </c>
      <c r="IJ369" s="24">
        <v>9428</v>
      </c>
      <c r="IK369" s="24">
        <v>9350</v>
      </c>
    </row>
    <row r="370" spans="9:245" x14ac:dyDescent="0.4">
      <c r="I370" s="305">
        <v>2020</v>
      </c>
      <c r="J370" s="306">
        <v>2</v>
      </c>
      <c r="K370" s="306" t="s">
        <v>33</v>
      </c>
      <c r="L370" s="306">
        <v>200940</v>
      </c>
      <c r="M370" s="306">
        <v>168004</v>
      </c>
      <c r="N370" s="306">
        <v>365</v>
      </c>
      <c r="O370" s="306">
        <v>4207</v>
      </c>
      <c r="P370" s="306">
        <v>466</v>
      </c>
      <c r="Q370" s="306">
        <v>13</v>
      </c>
      <c r="R370" s="24"/>
      <c r="S370" s="24"/>
      <c r="T370" s="24"/>
      <c r="W370" s="318">
        <v>2020</v>
      </c>
      <c r="X370" s="318">
        <v>1</v>
      </c>
      <c r="Y370" s="318" t="s">
        <v>32</v>
      </c>
      <c r="Z370" s="318">
        <v>6958</v>
      </c>
      <c r="AA370" s="318">
        <v>6888</v>
      </c>
      <c r="AB370" s="318">
        <v>12</v>
      </c>
      <c r="AC370" s="318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BI370" s="24">
        <v>2021</v>
      </c>
      <c r="BJ370" s="24">
        <v>31</v>
      </c>
      <c r="BK370" s="24" t="s">
        <v>33</v>
      </c>
      <c r="BL370" s="24" t="s">
        <v>272</v>
      </c>
      <c r="BM370" s="24">
        <v>49602</v>
      </c>
      <c r="BN370" s="24">
        <v>49561</v>
      </c>
      <c r="BO370" s="24">
        <v>181993</v>
      </c>
      <c r="CF370" s="24"/>
      <c r="CG370" s="24"/>
      <c r="CH370" s="24"/>
      <c r="CI370" s="24"/>
      <c r="CJ370" s="24"/>
      <c r="DD370" s="24"/>
      <c r="DE370" s="24"/>
      <c r="DF370" s="24"/>
      <c r="DG370" s="24"/>
      <c r="DJ370" s="24">
        <v>2020</v>
      </c>
      <c r="DK370" s="24">
        <v>9</v>
      </c>
      <c r="DL370" s="24" t="s">
        <v>32</v>
      </c>
      <c r="DM370" s="24">
        <v>13</v>
      </c>
      <c r="DP370" s="24"/>
      <c r="DQ370" s="24"/>
      <c r="DR370" s="24"/>
      <c r="DS370" s="24"/>
      <c r="EI370" s="24">
        <v>2022</v>
      </c>
      <c r="EJ370" s="24">
        <v>51</v>
      </c>
      <c r="EK370" s="24" t="s">
        <v>558</v>
      </c>
      <c r="EL370" s="24" t="s">
        <v>557</v>
      </c>
      <c r="EM370" s="24" t="s">
        <v>215</v>
      </c>
      <c r="EN370" s="24">
        <v>8</v>
      </c>
      <c r="EO370" s="24"/>
      <c r="EP370" s="24"/>
      <c r="EQ370" s="24"/>
      <c r="ER370" s="24"/>
      <c r="ES370" s="24">
        <v>2020</v>
      </c>
      <c r="ET370" s="24">
        <v>39</v>
      </c>
      <c r="EU370" s="24" t="s">
        <v>33</v>
      </c>
      <c r="EV370" s="24">
        <v>62354</v>
      </c>
      <c r="EY370" s="24"/>
      <c r="EZ370" s="24"/>
      <c r="FA370" s="24"/>
      <c r="FB370" s="24"/>
      <c r="FE370" s="24"/>
      <c r="FF370" s="24"/>
      <c r="FG370" s="24"/>
      <c r="FH370" s="24"/>
      <c r="FN370" s="24"/>
      <c r="FO370" s="24"/>
      <c r="FP370" s="24"/>
      <c r="FQ370" s="24"/>
      <c r="FW370" s="24">
        <v>2020</v>
      </c>
      <c r="FX370" s="24">
        <v>1</v>
      </c>
      <c r="FY370" s="24" t="s">
        <v>32</v>
      </c>
      <c r="FZ370" s="24">
        <v>760</v>
      </c>
      <c r="GA370" s="24">
        <v>751</v>
      </c>
      <c r="GB370" s="24"/>
      <c r="GC370" s="24"/>
      <c r="GD370" s="318">
        <v>2020</v>
      </c>
      <c r="GE370" s="318">
        <v>1</v>
      </c>
      <c r="GF370" s="318" t="s">
        <v>32</v>
      </c>
      <c r="GG370" s="318">
        <v>765</v>
      </c>
      <c r="GH370" s="318">
        <v>743</v>
      </c>
      <c r="GK370" s="24"/>
      <c r="GL370" s="24"/>
      <c r="GM370" s="24"/>
      <c r="GN370" s="24"/>
      <c r="GO370" s="24"/>
      <c r="GX370">
        <v>2020</v>
      </c>
      <c r="GY370">
        <v>1</v>
      </c>
      <c r="GZ370" t="s">
        <v>32</v>
      </c>
      <c r="HA370">
        <v>7026</v>
      </c>
      <c r="HB370">
        <v>6953</v>
      </c>
      <c r="HC370">
        <v>0</v>
      </c>
      <c r="HD370">
        <v>3</v>
      </c>
      <c r="HE370">
        <v>0</v>
      </c>
      <c r="HF370">
        <v>4</v>
      </c>
      <c r="HG370">
        <v>0</v>
      </c>
      <c r="HH370">
        <v>0</v>
      </c>
      <c r="HI370">
        <v>21</v>
      </c>
      <c r="HL370">
        <v>2020</v>
      </c>
      <c r="HM370">
        <v>1</v>
      </c>
      <c r="HN370" t="s">
        <v>32</v>
      </c>
      <c r="HO370">
        <v>6914</v>
      </c>
      <c r="HP370">
        <v>6874</v>
      </c>
      <c r="HQ370">
        <v>0</v>
      </c>
      <c r="HR370">
        <v>4</v>
      </c>
      <c r="HS370">
        <v>0</v>
      </c>
      <c r="HT370">
        <v>22</v>
      </c>
      <c r="HU370">
        <v>0</v>
      </c>
      <c r="HV370">
        <v>0</v>
      </c>
      <c r="HW370">
        <v>12</v>
      </c>
      <c r="HZ370" s="24">
        <v>2020</v>
      </c>
      <c r="IA370" s="24">
        <v>1</v>
      </c>
      <c r="IB370" s="24" t="s">
        <v>32</v>
      </c>
      <c r="IC370" s="24">
        <v>755</v>
      </c>
      <c r="ID370" s="24">
        <v>746</v>
      </c>
      <c r="IG370" s="24">
        <v>2020</v>
      </c>
      <c r="IH370" s="24">
        <v>1</v>
      </c>
      <c r="II370" s="24" t="s">
        <v>32</v>
      </c>
      <c r="IJ370" s="24">
        <v>728</v>
      </c>
      <c r="IK370" s="24">
        <v>711</v>
      </c>
    </row>
    <row r="371" spans="9:245" x14ac:dyDescent="0.4">
      <c r="I371" s="305">
        <v>2020</v>
      </c>
      <c r="J371" s="306">
        <v>1</v>
      </c>
      <c r="K371" s="306" t="s">
        <v>32</v>
      </c>
      <c r="L371" s="306">
        <v>7051</v>
      </c>
      <c r="M371" s="306">
        <v>6980</v>
      </c>
      <c r="N371" s="306">
        <v>8</v>
      </c>
      <c r="O371" s="306">
        <v>37</v>
      </c>
      <c r="P371" s="306">
        <v>13</v>
      </c>
      <c r="Q371" s="306"/>
      <c r="R371" s="24"/>
      <c r="S371" s="24"/>
      <c r="T371" s="24"/>
      <c r="W371" s="318">
        <v>2020</v>
      </c>
      <c r="X371" s="318">
        <v>1</v>
      </c>
      <c r="Y371" s="318" t="s">
        <v>33</v>
      </c>
      <c r="Z371" s="318">
        <v>164312</v>
      </c>
      <c r="AA371" s="318">
        <v>121201</v>
      </c>
      <c r="AB371" s="318">
        <v>499</v>
      </c>
      <c r="AC371" s="318">
        <v>28</v>
      </c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BI371" s="24">
        <v>2021</v>
      </c>
      <c r="BJ371" s="24">
        <v>31</v>
      </c>
      <c r="BK371" s="24" t="s">
        <v>32</v>
      </c>
      <c r="BL371" s="24" t="s">
        <v>273</v>
      </c>
      <c r="BM371" s="24">
        <v>5487</v>
      </c>
      <c r="BN371" s="24">
        <v>5458</v>
      </c>
      <c r="BO371" s="24">
        <v>5674</v>
      </c>
      <c r="DD371" s="24"/>
      <c r="DE371" s="24"/>
      <c r="DF371" s="24"/>
      <c r="DG371" s="24"/>
      <c r="DJ371" s="24">
        <v>2020</v>
      </c>
      <c r="DK371" s="24">
        <v>9</v>
      </c>
      <c r="DL371" s="24" t="s">
        <v>33</v>
      </c>
      <c r="DM371" s="24">
        <v>840</v>
      </c>
      <c r="DP371" s="24"/>
      <c r="DQ371" s="24"/>
      <c r="DR371" s="24"/>
      <c r="DS371" s="24"/>
      <c r="EI371" s="24">
        <v>2022</v>
      </c>
      <c r="EJ371" s="24">
        <v>51</v>
      </c>
      <c r="EK371" s="24" t="s">
        <v>558</v>
      </c>
      <c r="EL371" s="24" t="s">
        <v>554</v>
      </c>
      <c r="EM371" s="24" t="s">
        <v>210</v>
      </c>
      <c r="EN371" s="24">
        <v>6</v>
      </c>
      <c r="EO371" s="24"/>
      <c r="EP371" s="24"/>
      <c r="EQ371" s="24"/>
      <c r="ER371" s="24"/>
      <c r="ES371" s="24">
        <v>2020</v>
      </c>
      <c r="ET371" s="24">
        <v>39</v>
      </c>
      <c r="EU371" s="24" t="s">
        <v>213</v>
      </c>
      <c r="EV371" s="24">
        <v>22</v>
      </c>
      <c r="FE371" s="24"/>
      <c r="FF371" s="24"/>
      <c r="FG371" s="24"/>
      <c r="FH371" s="24"/>
      <c r="FN371" s="24"/>
      <c r="FO371" s="24"/>
      <c r="FP371" s="24"/>
      <c r="FQ371" s="24"/>
      <c r="FW371" s="24">
        <v>2020</v>
      </c>
      <c r="FX371" s="24">
        <v>1</v>
      </c>
      <c r="FY371" s="24" t="s">
        <v>33</v>
      </c>
      <c r="FZ371" s="24">
        <v>9316</v>
      </c>
      <c r="GA371" s="24">
        <v>8711</v>
      </c>
      <c r="GB371" s="24"/>
      <c r="GC371" s="24"/>
      <c r="GD371" s="318">
        <v>2020</v>
      </c>
      <c r="GE371" s="318">
        <v>1</v>
      </c>
      <c r="GF371" s="318" t="s">
        <v>33</v>
      </c>
      <c r="GG371" s="318">
        <v>9275</v>
      </c>
      <c r="GH371" s="318">
        <v>8698</v>
      </c>
      <c r="GK371" s="24"/>
      <c r="GL371" s="24"/>
      <c r="GM371" s="24"/>
      <c r="GN371" s="24"/>
      <c r="GO371" s="24"/>
      <c r="GX371">
        <v>2020</v>
      </c>
      <c r="GY371">
        <v>1</v>
      </c>
      <c r="GZ371" t="s">
        <v>33</v>
      </c>
      <c r="HA371">
        <v>168117</v>
      </c>
      <c r="HB371">
        <v>167315</v>
      </c>
      <c r="HC371">
        <v>79</v>
      </c>
      <c r="HD371">
        <v>3</v>
      </c>
      <c r="HE371">
        <v>0</v>
      </c>
      <c r="HF371">
        <v>119</v>
      </c>
      <c r="HG371">
        <v>0</v>
      </c>
      <c r="HH371">
        <v>0</v>
      </c>
      <c r="HI371">
        <v>322</v>
      </c>
      <c r="HL371">
        <v>2020</v>
      </c>
      <c r="HM371">
        <v>1</v>
      </c>
      <c r="HN371" t="s">
        <v>33</v>
      </c>
      <c r="HO371">
        <v>164096</v>
      </c>
      <c r="HP371">
        <v>163856</v>
      </c>
      <c r="HQ371">
        <v>104</v>
      </c>
      <c r="HR371">
        <v>4</v>
      </c>
      <c r="HS371">
        <v>0</v>
      </c>
      <c r="HT371">
        <v>47</v>
      </c>
      <c r="HU371">
        <v>0</v>
      </c>
      <c r="HV371">
        <v>0</v>
      </c>
      <c r="HW371">
        <v>35</v>
      </c>
      <c r="HZ371" s="24">
        <v>2020</v>
      </c>
      <c r="IA371" s="24">
        <v>1</v>
      </c>
      <c r="IB371" s="24" t="s">
        <v>33</v>
      </c>
      <c r="IC371" s="24">
        <v>9300</v>
      </c>
      <c r="ID371" s="24">
        <v>9119</v>
      </c>
      <c r="IG371" s="24">
        <v>2020</v>
      </c>
      <c r="IH371" s="24">
        <v>1</v>
      </c>
      <c r="II371" s="24" t="s">
        <v>33</v>
      </c>
      <c r="IJ371" s="24">
        <v>8337</v>
      </c>
      <c r="IK371" s="24">
        <v>8286</v>
      </c>
    </row>
    <row r="372" spans="9:245" x14ac:dyDescent="0.4">
      <c r="I372" s="305">
        <v>2020</v>
      </c>
      <c r="J372" s="306">
        <v>1</v>
      </c>
      <c r="K372" s="306" t="s">
        <v>33</v>
      </c>
      <c r="L372" s="306">
        <v>166057</v>
      </c>
      <c r="M372" s="306">
        <v>122387</v>
      </c>
      <c r="N372" s="306">
        <v>412</v>
      </c>
      <c r="O372" s="306">
        <v>5163</v>
      </c>
      <c r="P372" s="306">
        <v>517</v>
      </c>
      <c r="Q372" s="306">
        <v>24</v>
      </c>
      <c r="R372" s="24"/>
      <c r="S372" s="24"/>
      <c r="T372" s="24"/>
      <c r="W372" s="318">
        <v>2019</v>
      </c>
      <c r="X372" s="318">
        <v>52</v>
      </c>
      <c r="Y372" s="318" t="s">
        <v>32</v>
      </c>
      <c r="Z372" s="318">
        <v>7443</v>
      </c>
      <c r="AA372" s="318">
        <v>7337</v>
      </c>
      <c r="AB372" s="318">
        <v>4</v>
      </c>
      <c r="AC372" s="318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BI372" s="24">
        <v>2021</v>
      </c>
      <c r="BJ372" s="24">
        <v>31</v>
      </c>
      <c r="BK372" s="24" t="s">
        <v>33</v>
      </c>
      <c r="BL372" s="24" t="s">
        <v>273</v>
      </c>
      <c r="BM372" s="24">
        <v>88291</v>
      </c>
      <c r="BN372" s="24">
        <v>87760</v>
      </c>
      <c r="BO372" s="24">
        <v>90150</v>
      </c>
      <c r="DD372" s="24"/>
      <c r="DE372" s="24"/>
      <c r="DF372" s="24"/>
      <c r="DG372" s="24"/>
      <c r="DJ372" s="24">
        <v>2020</v>
      </c>
      <c r="DK372" s="24">
        <v>9</v>
      </c>
      <c r="DL372" s="24" t="s">
        <v>213</v>
      </c>
      <c r="DM372" s="24">
        <v>19</v>
      </c>
      <c r="DP372" s="24"/>
      <c r="DQ372" s="24"/>
      <c r="DR372" s="24"/>
      <c r="DS372" s="24"/>
      <c r="EI372" s="24">
        <v>2022</v>
      </c>
      <c r="EJ372" s="24">
        <v>51</v>
      </c>
      <c r="EK372" s="24" t="s">
        <v>558</v>
      </c>
      <c r="EL372" s="24" t="s">
        <v>235</v>
      </c>
      <c r="EM372" s="24" t="s">
        <v>210</v>
      </c>
      <c r="EN372" s="24">
        <v>7</v>
      </c>
      <c r="EO372" s="24"/>
      <c r="EP372" s="24"/>
      <c r="EQ372" s="24"/>
      <c r="ER372" s="24"/>
      <c r="ES372" s="24">
        <v>2020</v>
      </c>
      <c r="ET372" s="24">
        <v>38</v>
      </c>
      <c r="EU372" s="24" t="s">
        <v>32</v>
      </c>
      <c r="EV372" s="24">
        <v>2548</v>
      </c>
      <c r="FE372" s="24"/>
      <c r="FF372" s="24"/>
      <c r="FG372" s="24"/>
      <c r="FH372" s="24"/>
      <c r="FN372" s="24"/>
      <c r="FO372" s="24"/>
      <c r="FP372" s="24"/>
      <c r="FQ372" s="24"/>
      <c r="FW372" s="24">
        <v>2019</v>
      </c>
      <c r="FX372" s="24">
        <v>52</v>
      </c>
      <c r="FY372" s="24" t="s">
        <v>32</v>
      </c>
      <c r="FZ372" s="24">
        <v>1169</v>
      </c>
      <c r="GA372" s="24">
        <v>1151</v>
      </c>
      <c r="GB372" s="24"/>
      <c r="GC372" s="24"/>
      <c r="GD372" s="318">
        <v>2019</v>
      </c>
      <c r="GE372" s="318">
        <v>52</v>
      </c>
      <c r="GF372" s="318" t="s">
        <v>32</v>
      </c>
      <c r="GG372" s="318">
        <v>1166</v>
      </c>
      <c r="GH372" s="318">
        <v>1131</v>
      </c>
      <c r="GK372" s="24"/>
      <c r="GL372" s="24"/>
      <c r="GM372" s="24"/>
      <c r="GN372" s="24"/>
      <c r="GO372" s="24"/>
      <c r="GX372">
        <v>2019</v>
      </c>
      <c r="GY372">
        <v>52</v>
      </c>
      <c r="GZ372" t="s">
        <v>32</v>
      </c>
      <c r="HA372">
        <v>7267</v>
      </c>
      <c r="HB372">
        <v>7207</v>
      </c>
      <c r="HC372">
        <v>0</v>
      </c>
      <c r="HD372">
        <v>1</v>
      </c>
      <c r="HE372">
        <v>0</v>
      </c>
      <c r="HF372">
        <v>3</v>
      </c>
      <c r="HG372">
        <v>0</v>
      </c>
      <c r="HH372">
        <v>0</v>
      </c>
      <c r="HI372">
        <v>19</v>
      </c>
      <c r="HL372">
        <v>2019</v>
      </c>
      <c r="HM372">
        <v>52</v>
      </c>
      <c r="HN372" t="s">
        <v>32</v>
      </c>
      <c r="HO372">
        <v>7413</v>
      </c>
      <c r="HP372">
        <v>7350</v>
      </c>
      <c r="HQ372">
        <v>1</v>
      </c>
      <c r="HR372">
        <v>2</v>
      </c>
      <c r="HS372">
        <v>0</v>
      </c>
      <c r="HT372">
        <v>40</v>
      </c>
      <c r="HU372">
        <v>0</v>
      </c>
      <c r="HV372">
        <v>0</v>
      </c>
      <c r="HW372">
        <v>3</v>
      </c>
      <c r="HZ372" s="24">
        <v>2019</v>
      </c>
      <c r="IA372" s="24">
        <v>52</v>
      </c>
      <c r="IB372" s="24" t="s">
        <v>32</v>
      </c>
      <c r="IC372" s="24">
        <v>1089</v>
      </c>
      <c r="ID372" s="24">
        <v>1075</v>
      </c>
      <c r="IG372" s="24">
        <v>2019</v>
      </c>
      <c r="IH372" s="24">
        <v>52</v>
      </c>
      <c r="II372" s="24" t="s">
        <v>32</v>
      </c>
      <c r="IJ372" s="24">
        <v>1150</v>
      </c>
      <c r="IK372" s="24">
        <v>1136</v>
      </c>
    </row>
    <row r="373" spans="9:245" x14ac:dyDescent="0.4">
      <c r="I373" s="305">
        <v>2019</v>
      </c>
      <c r="J373" s="306">
        <v>52</v>
      </c>
      <c r="K373" s="306" t="s">
        <v>32</v>
      </c>
      <c r="L373" s="306">
        <v>7618</v>
      </c>
      <c r="M373" s="306">
        <v>7550</v>
      </c>
      <c r="N373" s="306">
        <v>12</v>
      </c>
      <c r="O373" s="306">
        <v>25</v>
      </c>
      <c r="P373" s="306">
        <v>8</v>
      </c>
      <c r="Q373" s="306"/>
      <c r="R373" s="24"/>
      <c r="S373" s="24"/>
      <c r="T373" s="24"/>
      <c r="W373" s="318">
        <v>2019</v>
      </c>
      <c r="X373" s="318">
        <v>52</v>
      </c>
      <c r="Y373" s="318" t="s">
        <v>33</v>
      </c>
      <c r="Z373" s="318">
        <v>163094</v>
      </c>
      <c r="AA373" s="318">
        <v>136028</v>
      </c>
      <c r="AB373" s="318">
        <v>373</v>
      </c>
      <c r="AC373" s="318">
        <v>2</v>
      </c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BI373" s="24">
        <v>2021</v>
      </c>
      <c r="BJ373" s="24">
        <v>31</v>
      </c>
      <c r="BK373" s="24" t="s">
        <v>32</v>
      </c>
      <c r="BL373" s="24" t="s">
        <v>272</v>
      </c>
      <c r="BM373" s="24">
        <v>2064</v>
      </c>
      <c r="BN373" s="24">
        <v>2056</v>
      </c>
      <c r="BO373" s="24">
        <v>7034</v>
      </c>
      <c r="DD373" s="24"/>
      <c r="DE373" s="24"/>
      <c r="DF373" s="24"/>
      <c r="DG373" s="24"/>
      <c r="DJ373" s="24">
        <v>2020</v>
      </c>
      <c r="DK373" s="24">
        <v>8</v>
      </c>
      <c r="DL373" s="24" t="s">
        <v>32</v>
      </c>
      <c r="DM373" s="24">
        <v>3</v>
      </c>
      <c r="DP373" s="24"/>
      <c r="DQ373" s="24"/>
      <c r="DR373" s="24"/>
      <c r="DS373" s="24"/>
      <c r="EI373" s="24">
        <v>2022</v>
      </c>
      <c r="EJ373" s="24">
        <v>51</v>
      </c>
      <c r="EK373" s="24" t="s">
        <v>558</v>
      </c>
      <c r="EL373" s="24" t="s">
        <v>235</v>
      </c>
      <c r="EM373" s="24" t="s">
        <v>234</v>
      </c>
      <c r="EN373" s="24">
        <v>1</v>
      </c>
      <c r="EO373" s="24"/>
      <c r="EP373" s="24"/>
      <c r="EQ373" s="24"/>
      <c r="ER373" s="24"/>
      <c r="ES373" s="24">
        <v>2020</v>
      </c>
      <c r="ET373" s="24">
        <v>38</v>
      </c>
      <c r="EU373" s="24" t="s">
        <v>33</v>
      </c>
      <c r="EV373" s="24">
        <v>71693</v>
      </c>
      <c r="FE373" s="24"/>
      <c r="FF373" s="24"/>
      <c r="FG373" s="24"/>
      <c r="FH373" s="24"/>
      <c r="FN373" s="24"/>
      <c r="FO373" s="24"/>
      <c r="FP373" s="24"/>
      <c r="FQ373" s="24"/>
      <c r="FW373" s="24">
        <v>2019</v>
      </c>
      <c r="FX373" s="24">
        <v>52</v>
      </c>
      <c r="FY373" s="24" t="s">
        <v>33</v>
      </c>
      <c r="FZ373" s="24">
        <v>21803</v>
      </c>
      <c r="GA373" s="24">
        <v>20636</v>
      </c>
      <c r="GB373" s="24"/>
      <c r="GC373" s="24"/>
      <c r="GD373" s="318">
        <v>2019</v>
      </c>
      <c r="GE373" s="318">
        <v>52</v>
      </c>
      <c r="GF373" s="318" t="s">
        <v>33</v>
      </c>
      <c r="GG373" s="318">
        <v>21667</v>
      </c>
      <c r="GH373" s="318">
        <v>20543</v>
      </c>
      <c r="GK373" s="24"/>
      <c r="GL373" s="24"/>
      <c r="GM373" s="24"/>
      <c r="GN373" s="24"/>
      <c r="GO373" s="24"/>
      <c r="GX373">
        <v>2019</v>
      </c>
      <c r="GY373">
        <v>52</v>
      </c>
      <c r="GZ373" t="s">
        <v>33</v>
      </c>
      <c r="HA373">
        <v>159713</v>
      </c>
      <c r="HB373">
        <v>158659</v>
      </c>
      <c r="HC373">
        <v>136</v>
      </c>
      <c r="HD373">
        <v>4</v>
      </c>
      <c r="HE373">
        <v>0</v>
      </c>
      <c r="HF373">
        <v>203</v>
      </c>
      <c r="HG373">
        <v>0</v>
      </c>
      <c r="HH373">
        <v>0</v>
      </c>
      <c r="HI373">
        <v>345</v>
      </c>
      <c r="HL373">
        <v>2019</v>
      </c>
      <c r="HM373">
        <v>52</v>
      </c>
      <c r="HN373" t="s">
        <v>33</v>
      </c>
      <c r="HO373">
        <v>162863</v>
      </c>
      <c r="HP373">
        <v>162487</v>
      </c>
      <c r="HQ373">
        <v>133</v>
      </c>
      <c r="HR373">
        <v>4</v>
      </c>
      <c r="HS373">
        <v>0</v>
      </c>
      <c r="HT373">
        <v>135</v>
      </c>
      <c r="HU373">
        <v>0</v>
      </c>
      <c r="HV373">
        <v>0</v>
      </c>
      <c r="HW373">
        <v>55</v>
      </c>
      <c r="HZ373" s="24">
        <v>2019</v>
      </c>
      <c r="IA373" s="24">
        <v>52</v>
      </c>
      <c r="IB373" s="24" t="s">
        <v>33</v>
      </c>
      <c r="IC373" s="24">
        <v>20043</v>
      </c>
      <c r="ID373" s="24">
        <v>19600</v>
      </c>
      <c r="IG373" s="24">
        <v>2019</v>
      </c>
      <c r="IH373" s="24">
        <v>52</v>
      </c>
      <c r="II373" s="24" t="s">
        <v>33</v>
      </c>
      <c r="IJ373" s="24">
        <v>20939</v>
      </c>
      <c r="IK373" s="24">
        <v>20740</v>
      </c>
    </row>
    <row r="374" spans="9:245" x14ac:dyDescent="0.4">
      <c r="I374" s="305">
        <v>2019</v>
      </c>
      <c r="J374" s="306">
        <v>52</v>
      </c>
      <c r="K374" s="306" t="s">
        <v>33</v>
      </c>
      <c r="L374" s="306">
        <v>164691</v>
      </c>
      <c r="M374" s="306">
        <v>136902</v>
      </c>
      <c r="N374" s="306">
        <v>331</v>
      </c>
      <c r="O374" s="306">
        <v>3165</v>
      </c>
      <c r="P374" s="306">
        <v>418</v>
      </c>
      <c r="Q374" s="306">
        <v>16</v>
      </c>
      <c r="R374" s="24"/>
      <c r="S374" s="24"/>
      <c r="T374" s="24"/>
      <c r="W374" s="24">
        <v>2019</v>
      </c>
      <c r="X374" s="24">
        <v>51</v>
      </c>
      <c r="Y374" s="24" t="s">
        <v>32</v>
      </c>
      <c r="Z374" s="24">
        <v>6884</v>
      </c>
      <c r="AA374" s="24">
        <v>6696</v>
      </c>
      <c r="AB374" s="24">
        <v>15</v>
      </c>
      <c r="AC374" s="24">
        <v>1</v>
      </c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BI374" s="24">
        <v>2021</v>
      </c>
      <c r="BJ374" s="24">
        <v>30</v>
      </c>
      <c r="BK374" s="24" t="s">
        <v>33</v>
      </c>
      <c r="BL374" s="24" t="s">
        <v>273</v>
      </c>
      <c r="BM374" s="24">
        <v>92025</v>
      </c>
      <c r="BN374" s="24">
        <v>90082</v>
      </c>
      <c r="BO374" s="24">
        <v>94687</v>
      </c>
      <c r="DD374" s="24"/>
      <c r="DE374" s="24"/>
      <c r="DF374" s="24"/>
      <c r="DG374" s="24"/>
      <c r="DJ374" s="24">
        <v>2020</v>
      </c>
      <c r="DK374" s="24">
        <v>8</v>
      </c>
      <c r="DL374" s="24" t="s">
        <v>33</v>
      </c>
      <c r="DM374" s="24">
        <v>380</v>
      </c>
      <c r="DP374" s="24"/>
      <c r="DQ374" s="24"/>
      <c r="DR374" s="24"/>
      <c r="DS374" s="24"/>
      <c r="EI374" s="24">
        <v>2022</v>
      </c>
      <c r="EJ374" s="24">
        <v>51</v>
      </c>
      <c r="EK374" s="24" t="s">
        <v>558</v>
      </c>
      <c r="EL374" s="24" t="s">
        <v>247</v>
      </c>
      <c r="EM374" s="24" t="s">
        <v>210</v>
      </c>
      <c r="EN374" s="24">
        <v>4</v>
      </c>
      <c r="EO374" s="24"/>
      <c r="EP374" s="24"/>
      <c r="EQ374" s="24"/>
      <c r="ER374" s="24"/>
      <c r="ES374" s="24">
        <v>2020</v>
      </c>
      <c r="ET374" s="24">
        <v>38</v>
      </c>
      <c r="EU374" s="24" t="s">
        <v>213</v>
      </c>
      <c r="EV374" s="24">
        <v>32</v>
      </c>
      <c r="FE374" s="24"/>
      <c r="FF374" s="24"/>
      <c r="FG374" s="24"/>
      <c r="FH374" s="24"/>
      <c r="FN374" s="24"/>
      <c r="FO374" s="24"/>
      <c r="FP374" s="24"/>
      <c r="FQ374" s="24"/>
      <c r="FW374" s="24">
        <v>2019</v>
      </c>
      <c r="FX374" s="24">
        <v>51</v>
      </c>
      <c r="FY374" s="24" t="s">
        <v>32</v>
      </c>
      <c r="FZ374" s="24">
        <v>1328</v>
      </c>
      <c r="GA374" s="24">
        <v>1279</v>
      </c>
      <c r="GB374" s="24"/>
      <c r="GC374" s="24"/>
      <c r="GD374" s="24">
        <v>2019</v>
      </c>
      <c r="GE374" s="24">
        <v>51</v>
      </c>
      <c r="GF374" s="24" t="s">
        <v>32</v>
      </c>
      <c r="GG374" s="24">
        <v>1264</v>
      </c>
      <c r="GH374" s="24">
        <v>1212</v>
      </c>
      <c r="GK374" s="24"/>
      <c r="GL374" s="24"/>
      <c r="GM374" s="24"/>
      <c r="GN374" s="24"/>
      <c r="GO374" s="24"/>
      <c r="GX374">
        <v>2019</v>
      </c>
      <c r="GY374">
        <v>51</v>
      </c>
      <c r="GZ374" t="s">
        <v>32</v>
      </c>
      <c r="HA374">
        <v>7258</v>
      </c>
      <c r="HB374">
        <v>7114</v>
      </c>
      <c r="HC374">
        <v>0</v>
      </c>
      <c r="HD374">
        <v>0</v>
      </c>
      <c r="HE374">
        <v>0</v>
      </c>
      <c r="HF374">
        <v>14</v>
      </c>
      <c r="HG374">
        <v>0</v>
      </c>
      <c r="HH374">
        <v>0</v>
      </c>
      <c r="HI374">
        <v>36</v>
      </c>
      <c r="HL374">
        <v>2019</v>
      </c>
      <c r="HM374">
        <v>51</v>
      </c>
      <c r="HN374" t="s">
        <v>32</v>
      </c>
      <c r="HO374">
        <v>6848</v>
      </c>
      <c r="HP374">
        <v>6747</v>
      </c>
      <c r="HQ374">
        <v>0</v>
      </c>
      <c r="HR374">
        <v>12</v>
      </c>
      <c r="HS374">
        <v>0</v>
      </c>
      <c r="HT374">
        <v>33</v>
      </c>
      <c r="HU374">
        <v>0</v>
      </c>
      <c r="HV374">
        <v>0</v>
      </c>
      <c r="HW374">
        <v>11</v>
      </c>
      <c r="HZ374" s="24">
        <v>2019</v>
      </c>
      <c r="IA374" s="24">
        <v>51</v>
      </c>
      <c r="IB374" s="24" t="s">
        <v>32</v>
      </c>
      <c r="IC374" s="24">
        <v>1296</v>
      </c>
      <c r="ID374" s="24">
        <v>1244</v>
      </c>
      <c r="IG374" s="24">
        <v>2019</v>
      </c>
      <c r="IH374" s="24">
        <v>51</v>
      </c>
      <c r="II374" s="24" t="s">
        <v>32</v>
      </c>
      <c r="IJ374" s="24">
        <v>1235</v>
      </c>
      <c r="IK374" s="24">
        <v>1220</v>
      </c>
    </row>
    <row r="375" spans="9:245" x14ac:dyDescent="0.4">
      <c r="I375" s="305">
        <v>2019</v>
      </c>
      <c r="J375" s="306">
        <v>51</v>
      </c>
      <c r="K375" s="306" t="s">
        <v>32</v>
      </c>
      <c r="L375" s="306">
        <v>7040</v>
      </c>
      <c r="M375" s="306">
        <v>6892</v>
      </c>
      <c r="N375" s="306">
        <v>23</v>
      </c>
      <c r="O375" s="306">
        <v>71</v>
      </c>
      <c r="P375" s="306">
        <v>24</v>
      </c>
      <c r="Q375" s="306"/>
      <c r="R375" s="24"/>
      <c r="S375" s="24"/>
      <c r="T375" s="24"/>
      <c r="W375" s="24">
        <v>2019</v>
      </c>
      <c r="X375" s="24">
        <v>51</v>
      </c>
      <c r="Y375" s="24" t="s">
        <v>33</v>
      </c>
      <c r="Z375" s="24">
        <v>133249</v>
      </c>
      <c r="AA375" s="24">
        <v>98016</v>
      </c>
      <c r="AB375" s="24">
        <v>335</v>
      </c>
      <c r="AC375" s="24">
        <v>4</v>
      </c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BI375" s="24">
        <v>2021</v>
      </c>
      <c r="BJ375" s="24">
        <v>30</v>
      </c>
      <c r="BK375" s="24" t="s">
        <v>32</v>
      </c>
      <c r="BL375" s="24" t="s">
        <v>273</v>
      </c>
      <c r="BM375" s="24">
        <v>5934</v>
      </c>
      <c r="BN375" s="24">
        <v>5865</v>
      </c>
      <c r="BO375" s="24">
        <v>6044</v>
      </c>
      <c r="DD375" s="24"/>
      <c r="DE375" s="24"/>
      <c r="DF375" s="24"/>
      <c r="DG375" s="24"/>
      <c r="DJ375" s="24">
        <v>2020</v>
      </c>
      <c r="DK375" s="24">
        <v>7</v>
      </c>
      <c r="DL375" s="24" t="s">
        <v>32</v>
      </c>
      <c r="DM375" s="24">
        <v>0</v>
      </c>
      <c r="DP375" s="24"/>
      <c r="DQ375" s="24"/>
      <c r="DR375" s="24"/>
      <c r="DS375" s="24"/>
      <c r="EI375" s="24">
        <v>2022</v>
      </c>
      <c r="EJ375" s="24">
        <v>51</v>
      </c>
      <c r="EK375" s="24" t="s">
        <v>558</v>
      </c>
      <c r="EL375" s="24" t="s">
        <v>245</v>
      </c>
      <c r="EM375" s="24" t="s">
        <v>210</v>
      </c>
      <c r="EN375" s="24">
        <v>10</v>
      </c>
      <c r="EO375" s="24"/>
      <c r="EP375" s="24"/>
      <c r="EQ375" s="24"/>
      <c r="ER375" s="24"/>
      <c r="ES375" s="24">
        <v>2020</v>
      </c>
      <c r="ET375" s="24">
        <v>37</v>
      </c>
      <c r="EU375" s="24" t="s">
        <v>32</v>
      </c>
      <c r="EV375" s="24">
        <v>2827</v>
      </c>
      <c r="FE375" s="24"/>
      <c r="FF375" s="24"/>
      <c r="FG375" s="24"/>
      <c r="FH375" s="24"/>
      <c r="FN375" s="24"/>
      <c r="FO375" s="24"/>
      <c r="FP375" s="24"/>
      <c r="FQ375" s="24"/>
      <c r="FW375" s="24">
        <v>2019</v>
      </c>
      <c r="FX375" s="24">
        <v>51</v>
      </c>
      <c r="FY375" s="24" t="s">
        <v>33</v>
      </c>
      <c r="FZ375" s="24">
        <v>16140</v>
      </c>
      <c r="GA375" s="24">
        <v>15233</v>
      </c>
      <c r="GB375" s="24"/>
      <c r="GC375" s="24"/>
      <c r="GD375" s="24">
        <v>2019</v>
      </c>
      <c r="GE375" s="24">
        <v>51</v>
      </c>
      <c r="GF375" s="24" t="s">
        <v>33</v>
      </c>
      <c r="GG375" s="24">
        <v>16094</v>
      </c>
      <c r="GH375" s="24">
        <v>15280</v>
      </c>
      <c r="GK375" s="24"/>
      <c r="GL375" s="24"/>
      <c r="GM375" s="24"/>
      <c r="GN375" s="24"/>
      <c r="GO375" s="24"/>
      <c r="GX375">
        <v>2019</v>
      </c>
      <c r="GY375">
        <v>51</v>
      </c>
      <c r="GZ375" t="s">
        <v>33</v>
      </c>
      <c r="HA375">
        <v>139245</v>
      </c>
      <c r="HB375">
        <v>137795</v>
      </c>
      <c r="HC375">
        <v>121</v>
      </c>
      <c r="HD375">
        <v>35</v>
      </c>
      <c r="HE375">
        <v>0</v>
      </c>
      <c r="HF375">
        <v>335</v>
      </c>
      <c r="HG375">
        <v>0</v>
      </c>
      <c r="HH375">
        <v>0</v>
      </c>
      <c r="HI375">
        <v>339</v>
      </c>
      <c r="HL375">
        <v>2019</v>
      </c>
      <c r="HM375">
        <v>51</v>
      </c>
      <c r="HN375" t="s">
        <v>33</v>
      </c>
      <c r="HO375">
        <v>132980</v>
      </c>
      <c r="HP375">
        <v>132415</v>
      </c>
      <c r="HQ375">
        <v>106</v>
      </c>
      <c r="HR375">
        <v>17</v>
      </c>
      <c r="HS375">
        <v>0</v>
      </c>
      <c r="HT375">
        <v>228</v>
      </c>
      <c r="HU375">
        <v>0</v>
      </c>
      <c r="HV375">
        <v>0</v>
      </c>
      <c r="HW375">
        <v>83</v>
      </c>
      <c r="HZ375" s="24">
        <v>2019</v>
      </c>
      <c r="IA375" s="24">
        <v>51</v>
      </c>
      <c r="IB375" s="24" t="s">
        <v>33</v>
      </c>
      <c r="IC375" s="24">
        <v>17058</v>
      </c>
      <c r="ID375" s="24">
        <v>16521</v>
      </c>
      <c r="IG375" s="24">
        <v>2019</v>
      </c>
      <c r="IH375" s="24">
        <v>51</v>
      </c>
      <c r="II375" s="24" t="s">
        <v>33</v>
      </c>
      <c r="IJ375" s="24">
        <v>15406</v>
      </c>
      <c r="IK375" s="24">
        <v>15271</v>
      </c>
    </row>
    <row r="376" spans="9:245" x14ac:dyDescent="0.4">
      <c r="I376" s="305">
        <v>2019</v>
      </c>
      <c r="J376" s="306">
        <v>51</v>
      </c>
      <c r="K376" s="306" t="s">
        <v>33</v>
      </c>
      <c r="L376" s="306">
        <v>134462</v>
      </c>
      <c r="M376" s="306">
        <v>98722</v>
      </c>
      <c r="N376" s="306">
        <v>316</v>
      </c>
      <c r="O376" s="306">
        <v>4059</v>
      </c>
      <c r="P376" s="306">
        <v>403</v>
      </c>
      <c r="Q376" s="306">
        <v>3</v>
      </c>
      <c r="R376" s="24"/>
      <c r="S376" s="24"/>
      <c r="T376" s="24"/>
      <c r="W376" s="24">
        <v>2019</v>
      </c>
      <c r="X376" s="24">
        <v>50</v>
      </c>
      <c r="Y376" s="24" t="s">
        <v>32</v>
      </c>
      <c r="Z376" s="24">
        <v>8837</v>
      </c>
      <c r="AA376" s="24">
        <v>8557</v>
      </c>
      <c r="AB376" s="24">
        <v>5</v>
      </c>
      <c r="AC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BI376" s="24">
        <v>2021</v>
      </c>
      <c r="BJ376" s="24">
        <v>30</v>
      </c>
      <c r="BK376" s="24" t="s">
        <v>33</v>
      </c>
      <c r="BL376" s="24" t="s">
        <v>272</v>
      </c>
      <c r="BM376" s="24">
        <v>49202</v>
      </c>
      <c r="BN376" s="24">
        <v>48979</v>
      </c>
      <c r="BO376" s="24">
        <v>181511</v>
      </c>
      <c r="DD376" s="24"/>
      <c r="DE376" s="24"/>
      <c r="DF376" s="24"/>
      <c r="DG376" s="24"/>
      <c r="DJ376" s="24">
        <v>2020</v>
      </c>
      <c r="DK376" s="24">
        <v>7</v>
      </c>
      <c r="DL376" s="24" t="s">
        <v>33</v>
      </c>
      <c r="DM376" s="24">
        <v>599</v>
      </c>
      <c r="DP376" s="24"/>
      <c r="DQ376" s="24"/>
      <c r="DR376" s="24"/>
      <c r="DS376" s="24"/>
      <c r="EI376" s="24">
        <v>2022</v>
      </c>
      <c r="EJ376" s="24">
        <v>51</v>
      </c>
      <c r="EK376" s="24" t="s">
        <v>33</v>
      </c>
      <c r="EL376" s="24" t="s">
        <v>240</v>
      </c>
      <c r="EM376" s="24" t="s">
        <v>210</v>
      </c>
      <c r="EN376" s="24">
        <v>3</v>
      </c>
      <c r="EO376" s="24"/>
      <c r="EP376" s="24"/>
      <c r="EQ376" s="24"/>
      <c r="ER376" s="24"/>
      <c r="ES376" s="24">
        <v>2020</v>
      </c>
      <c r="ET376" s="24">
        <v>37</v>
      </c>
      <c r="EU376" s="24" t="s">
        <v>33</v>
      </c>
      <c r="EV376" s="24">
        <v>70239</v>
      </c>
      <c r="FE376" s="24"/>
      <c r="FF376" s="24"/>
      <c r="FG376" s="24"/>
      <c r="FH376" s="24"/>
      <c r="FN376" s="24"/>
      <c r="FO376" s="24"/>
      <c r="FP376" s="24"/>
      <c r="FQ376" s="24"/>
      <c r="FW376" s="24">
        <v>2019</v>
      </c>
      <c r="FX376" s="24">
        <v>50</v>
      </c>
      <c r="FY376" s="24" t="s">
        <v>32</v>
      </c>
      <c r="FZ376" s="24">
        <v>1094</v>
      </c>
      <c r="GA376" s="24">
        <v>1062</v>
      </c>
      <c r="GB376" s="24"/>
      <c r="GC376" s="24"/>
      <c r="GD376" s="24">
        <v>2019</v>
      </c>
      <c r="GE376" s="24">
        <v>50</v>
      </c>
      <c r="GF376" s="24" t="s">
        <v>32</v>
      </c>
      <c r="GG376" s="24">
        <v>1153</v>
      </c>
      <c r="GH376" s="24">
        <v>1107</v>
      </c>
      <c r="GK376" s="24"/>
      <c r="GL376" s="24"/>
      <c r="GM376" s="24"/>
      <c r="GN376" s="24"/>
      <c r="GO376" s="24"/>
      <c r="GX376">
        <v>2019</v>
      </c>
      <c r="GY376">
        <v>50</v>
      </c>
      <c r="GZ376" t="s">
        <v>32</v>
      </c>
      <c r="HA376">
        <v>8402</v>
      </c>
      <c r="HB376">
        <v>8244</v>
      </c>
      <c r="HC376">
        <v>0</v>
      </c>
      <c r="HD376">
        <v>6</v>
      </c>
      <c r="HE376">
        <v>0</v>
      </c>
      <c r="HF376">
        <v>31</v>
      </c>
      <c r="HG376">
        <v>0</v>
      </c>
      <c r="HH376">
        <v>0</v>
      </c>
      <c r="HI376">
        <v>51</v>
      </c>
      <c r="HL376">
        <v>2019</v>
      </c>
      <c r="HM376">
        <v>50</v>
      </c>
      <c r="HN376" t="s">
        <v>32</v>
      </c>
      <c r="HO376">
        <v>8803</v>
      </c>
      <c r="HP376">
        <v>8640</v>
      </c>
      <c r="HQ376">
        <v>0</v>
      </c>
      <c r="HR376">
        <v>31</v>
      </c>
      <c r="HS376">
        <v>0</v>
      </c>
      <c r="HT376">
        <v>97</v>
      </c>
      <c r="HU376">
        <v>0</v>
      </c>
      <c r="HV376">
        <v>0</v>
      </c>
      <c r="HW376">
        <v>13</v>
      </c>
      <c r="HZ376" s="24">
        <v>2019</v>
      </c>
      <c r="IA376" s="24">
        <v>50</v>
      </c>
      <c r="IB376" s="24" t="s">
        <v>32</v>
      </c>
      <c r="IC376" s="24">
        <v>1196</v>
      </c>
      <c r="ID376" s="24">
        <v>1165</v>
      </c>
      <c r="IG376" s="24">
        <v>2019</v>
      </c>
      <c r="IH376" s="24">
        <v>50</v>
      </c>
      <c r="II376" s="24" t="s">
        <v>32</v>
      </c>
      <c r="IJ376" s="24">
        <v>1122</v>
      </c>
      <c r="IK376" s="24">
        <v>1110</v>
      </c>
    </row>
    <row r="377" spans="9:245" x14ac:dyDescent="0.4">
      <c r="I377" s="305">
        <v>2019</v>
      </c>
      <c r="J377" s="306">
        <v>50</v>
      </c>
      <c r="K377" s="306" t="s">
        <v>32</v>
      </c>
      <c r="L377" s="306">
        <v>8872</v>
      </c>
      <c r="M377" s="306">
        <v>8705</v>
      </c>
      <c r="N377" s="306">
        <v>42</v>
      </c>
      <c r="O377" s="306">
        <v>58</v>
      </c>
      <c r="P377" s="306">
        <v>10</v>
      </c>
      <c r="Q377" s="306">
        <v>1</v>
      </c>
      <c r="R377" s="24"/>
      <c r="S377" s="24"/>
      <c r="T377" s="24"/>
      <c r="W377" s="24">
        <v>2019</v>
      </c>
      <c r="X377" s="24">
        <v>50</v>
      </c>
      <c r="Y377" s="24" t="s">
        <v>33</v>
      </c>
      <c r="Z377" s="24">
        <v>186439</v>
      </c>
      <c r="AA377" s="24">
        <v>140817</v>
      </c>
      <c r="AB377" s="24">
        <v>770</v>
      </c>
      <c r="AC377" s="24">
        <v>8</v>
      </c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BI377" s="24">
        <v>2021</v>
      </c>
      <c r="BJ377" s="24">
        <v>30</v>
      </c>
      <c r="BK377" s="24" t="s">
        <v>32</v>
      </c>
      <c r="BL377" s="24" t="s">
        <v>272</v>
      </c>
      <c r="BM377" s="24">
        <v>2224</v>
      </c>
      <c r="BN377" s="24">
        <v>2211</v>
      </c>
      <c r="BO377" s="24">
        <v>7495</v>
      </c>
      <c r="DD377" s="24"/>
      <c r="DE377" s="24"/>
      <c r="DF377" s="24"/>
      <c r="DG377" s="24"/>
      <c r="DJ377" s="24">
        <v>2020</v>
      </c>
      <c r="DK377" s="24">
        <v>7</v>
      </c>
      <c r="DL377" s="24" t="s">
        <v>213</v>
      </c>
      <c r="DM377" s="24">
        <v>3</v>
      </c>
      <c r="DP377" s="24"/>
      <c r="DQ377" s="24"/>
      <c r="DR377" s="24"/>
      <c r="DS377" s="24"/>
      <c r="EI377" s="24">
        <v>2022</v>
      </c>
      <c r="EJ377" s="24">
        <v>51</v>
      </c>
      <c r="EK377" s="24" t="s">
        <v>33</v>
      </c>
      <c r="EL377" s="24" t="s">
        <v>233</v>
      </c>
      <c r="EM377" s="24" t="s">
        <v>210</v>
      </c>
      <c r="EN377" s="24">
        <v>5</v>
      </c>
      <c r="EO377" s="24"/>
      <c r="EP377" s="24"/>
      <c r="EQ377" s="24"/>
      <c r="ER377" s="24"/>
      <c r="ES377" s="24">
        <v>2020</v>
      </c>
      <c r="ET377" s="24">
        <v>37</v>
      </c>
      <c r="EU377" s="24" t="s">
        <v>213</v>
      </c>
      <c r="EV377" s="24">
        <v>39</v>
      </c>
      <c r="FE377" s="24"/>
      <c r="FF377" s="24"/>
      <c r="FG377" s="24"/>
      <c r="FH377" s="24"/>
      <c r="FN377" s="24"/>
      <c r="FO377" s="24"/>
      <c r="FP377" s="24"/>
      <c r="FQ377" s="24"/>
      <c r="FW377" s="24">
        <v>2019</v>
      </c>
      <c r="FX377" s="24">
        <v>50</v>
      </c>
      <c r="FY377" s="24" t="s">
        <v>33</v>
      </c>
      <c r="FZ377" s="24">
        <v>13295</v>
      </c>
      <c r="GA377" s="24">
        <v>11706</v>
      </c>
      <c r="GB377" s="24"/>
      <c r="GC377" s="24"/>
      <c r="GD377" s="24">
        <v>2019</v>
      </c>
      <c r="GE377" s="24">
        <v>50</v>
      </c>
      <c r="GF377" s="24" t="s">
        <v>33</v>
      </c>
      <c r="GG377" s="24">
        <v>13217</v>
      </c>
      <c r="GH377" s="24">
        <v>11722</v>
      </c>
      <c r="GK377" s="24"/>
      <c r="GL377" s="24"/>
      <c r="GM377" s="24"/>
      <c r="GN377" s="24"/>
      <c r="GO377" s="24"/>
      <c r="GX377">
        <v>2019</v>
      </c>
      <c r="GY377">
        <v>50</v>
      </c>
      <c r="GZ377" t="s">
        <v>33</v>
      </c>
      <c r="HA377">
        <v>187047</v>
      </c>
      <c r="HB377">
        <v>183196</v>
      </c>
      <c r="HC377">
        <v>170</v>
      </c>
      <c r="HD377">
        <v>33</v>
      </c>
      <c r="HE377">
        <v>0</v>
      </c>
      <c r="HF377">
        <v>1686</v>
      </c>
      <c r="HG377">
        <v>0</v>
      </c>
      <c r="HH377">
        <v>0</v>
      </c>
      <c r="HI377">
        <v>926</v>
      </c>
      <c r="HL377">
        <v>2019</v>
      </c>
      <c r="HM377">
        <v>50</v>
      </c>
      <c r="HN377" t="s">
        <v>33</v>
      </c>
      <c r="HO377">
        <v>185953</v>
      </c>
      <c r="HP377">
        <v>184215</v>
      </c>
      <c r="HQ377">
        <v>153</v>
      </c>
      <c r="HR377">
        <v>19</v>
      </c>
      <c r="HS377">
        <v>0</v>
      </c>
      <c r="HT377">
        <v>1387</v>
      </c>
      <c r="HU377">
        <v>0</v>
      </c>
      <c r="HV377">
        <v>0</v>
      </c>
      <c r="HW377">
        <v>337</v>
      </c>
      <c r="HZ377" s="24">
        <v>2019</v>
      </c>
      <c r="IA377" s="24">
        <v>50</v>
      </c>
      <c r="IB377" s="24" t="s">
        <v>33</v>
      </c>
      <c r="IC377" s="24">
        <v>14090</v>
      </c>
      <c r="ID377" s="24">
        <v>12873</v>
      </c>
      <c r="IG377" s="24">
        <v>2019</v>
      </c>
      <c r="IH377" s="24">
        <v>50</v>
      </c>
      <c r="II377" s="24" t="s">
        <v>33</v>
      </c>
      <c r="IJ377" s="24">
        <v>12034</v>
      </c>
      <c r="IK377" s="24">
        <v>11504</v>
      </c>
    </row>
    <row r="378" spans="9:245" x14ac:dyDescent="0.4">
      <c r="I378" s="305">
        <v>2019</v>
      </c>
      <c r="J378" s="306">
        <v>50</v>
      </c>
      <c r="K378" s="306" t="s">
        <v>33</v>
      </c>
      <c r="L378" s="306">
        <v>187585</v>
      </c>
      <c r="M378" s="306">
        <v>141344</v>
      </c>
      <c r="N378" s="306">
        <v>460</v>
      </c>
      <c r="O378" s="306">
        <v>6359</v>
      </c>
      <c r="P378" s="306">
        <v>834</v>
      </c>
      <c r="Q378" s="306">
        <v>10</v>
      </c>
      <c r="R378" s="24"/>
      <c r="S378" s="24"/>
      <c r="T378" s="24"/>
      <c r="W378" s="24">
        <v>2019</v>
      </c>
      <c r="X378" s="24">
        <v>49</v>
      </c>
      <c r="Y378" s="24" t="s">
        <v>32</v>
      </c>
      <c r="Z378" s="24">
        <v>9204</v>
      </c>
      <c r="AA378" s="24">
        <v>8650</v>
      </c>
      <c r="AB378" s="24">
        <v>38</v>
      </c>
      <c r="AC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BI378" s="24">
        <v>2021</v>
      </c>
      <c r="BJ378" s="24">
        <v>29</v>
      </c>
      <c r="BK378" s="24" t="s">
        <v>32</v>
      </c>
      <c r="BL378" s="24" t="s">
        <v>273</v>
      </c>
      <c r="BM378" s="24">
        <v>6353</v>
      </c>
      <c r="BN378" s="24">
        <v>6311</v>
      </c>
      <c r="BO378" s="24">
        <v>6675</v>
      </c>
      <c r="DD378" s="24"/>
      <c r="DE378" s="24"/>
      <c r="DF378" s="24"/>
      <c r="DG378" s="24"/>
      <c r="DJ378" s="24">
        <v>2020</v>
      </c>
      <c r="DK378" s="24">
        <v>6</v>
      </c>
      <c r="DL378" s="24" t="s">
        <v>32</v>
      </c>
      <c r="DM378" s="24">
        <v>262</v>
      </c>
      <c r="DP378" s="24"/>
      <c r="DQ378" s="24"/>
      <c r="DR378" s="24"/>
      <c r="DS378" s="24"/>
      <c r="EI378" s="24">
        <v>2022</v>
      </c>
      <c r="EJ378" s="24">
        <v>51</v>
      </c>
      <c r="EK378" s="24" t="s">
        <v>33</v>
      </c>
      <c r="EL378" s="24" t="s">
        <v>233</v>
      </c>
      <c r="EM378" s="24" t="s">
        <v>234</v>
      </c>
      <c r="EN378" s="24">
        <v>1</v>
      </c>
      <c r="EO378" s="24"/>
      <c r="EP378" s="24"/>
      <c r="EQ378" s="24"/>
      <c r="ER378" s="24"/>
      <c r="ES378" s="24">
        <v>2020</v>
      </c>
      <c r="ET378" s="24">
        <v>36</v>
      </c>
      <c r="EU378" s="24" t="s">
        <v>32</v>
      </c>
      <c r="EV378" s="24">
        <v>2016</v>
      </c>
      <c r="FE378" s="24"/>
      <c r="FF378" s="24"/>
      <c r="FG378" s="24"/>
      <c r="FH378" s="24"/>
      <c r="FN378" s="24"/>
      <c r="FO378" s="24"/>
      <c r="FP378" s="24"/>
      <c r="FQ378" s="24"/>
      <c r="FW378" s="24">
        <v>2019</v>
      </c>
      <c r="FX378" s="24">
        <v>49</v>
      </c>
      <c r="FY378" s="24" t="s">
        <v>32</v>
      </c>
      <c r="FZ378" s="24">
        <v>1175</v>
      </c>
      <c r="GA378" s="24">
        <v>1027</v>
      </c>
      <c r="GB378" s="24"/>
      <c r="GC378" s="24"/>
      <c r="GD378" s="24">
        <v>2019</v>
      </c>
      <c r="GE378" s="24">
        <v>49</v>
      </c>
      <c r="GF378" s="24" t="s">
        <v>32</v>
      </c>
      <c r="GG378" s="24">
        <v>1160</v>
      </c>
      <c r="GH378" s="24">
        <v>993</v>
      </c>
      <c r="GK378" s="24"/>
      <c r="GL378" s="24"/>
      <c r="GM378" s="24"/>
      <c r="GN378" s="24"/>
      <c r="GO378" s="24"/>
      <c r="GX378">
        <v>2019</v>
      </c>
      <c r="GY378">
        <v>49</v>
      </c>
      <c r="GZ378" t="s">
        <v>32</v>
      </c>
      <c r="HA378">
        <v>9978</v>
      </c>
      <c r="HB378">
        <v>9430</v>
      </c>
      <c r="HC378">
        <v>25</v>
      </c>
      <c r="HD378">
        <v>5</v>
      </c>
      <c r="HE378">
        <v>0</v>
      </c>
      <c r="HF378">
        <v>142</v>
      </c>
      <c r="HG378">
        <v>0</v>
      </c>
      <c r="HH378">
        <v>0</v>
      </c>
      <c r="HI378">
        <v>89</v>
      </c>
      <c r="HL378">
        <v>2019</v>
      </c>
      <c r="HM378">
        <v>49</v>
      </c>
      <c r="HN378" t="s">
        <v>32</v>
      </c>
      <c r="HO378">
        <v>9157</v>
      </c>
      <c r="HP378">
        <v>8967</v>
      </c>
      <c r="HQ378">
        <v>11</v>
      </c>
      <c r="HR378">
        <v>3</v>
      </c>
      <c r="HS378">
        <v>0</v>
      </c>
      <c r="HT378">
        <v>158</v>
      </c>
      <c r="HU378">
        <v>0</v>
      </c>
      <c r="HV378">
        <v>0</v>
      </c>
      <c r="HW378">
        <v>23</v>
      </c>
      <c r="HZ378" s="24">
        <v>2019</v>
      </c>
      <c r="IA378" s="24">
        <v>49</v>
      </c>
      <c r="IB378" s="24" t="s">
        <v>32</v>
      </c>
      <c r="IC378" s="24">
        <v>1173</v>
      </c>
      <c r="ID378" s="24">
        <v>1024</v>
      </c>
      <c r="IG378" s="24">
        <v>2019</v>
      </c>
      <c r="IH378" s="24">
        <v>49</v>
      </c>
      <c r="II378" s="24" t="s">
        <v>32</v>
      </c>
      <c r="IJ378" s="24">
        <v>1142</v>
      </c>
      <c r="IK378" s="24">
        <v>1096</v>
      </c>
    </row>
    <row r="379" spans="9:245" x14ac:dyDescent="0.4">
      <c r="I379" s="305">
        <v>2019</v>
      </c>
      <c r="J379" s="306">
        <v>49</v>
      </c>
      <c r="K379" s="306" t="s">
        <v>32</v>
      </c>
      <c r="L379" s="306">
        <v>9402</v>
      </c>
      <c r="M379" s="306">
        <v>8869</v>
      </c>
      <c r="N379" s="306">
        <v>29</v>
      </c>
      <c r="O379" s="306">
        <v>217</v>
      </c>
      <c r="P379" s="306">
        <v>54</v>
      </c>
      <c r="Q379" s="306"/>
      <c r="R379" s="24"/>
      <c r="S379" s="24"/>
      <c r="T379" s="24"/>
      <c r="W379" s="24">
        <v>2019</v>
      </c>
      <c r="X379" s="24">
        <v>49</v>
      </c>
      <c r="Y379" s="24" t="s">
        <v>33</v>
      </c>
      <c r="Z379" s="24">
        <v>184092</v>
      </c>
      <c r="AA379" s="24">
        <v>135815</v>
      </c>
      <c r="AB379" s="24">
        <v>709</v>
      </c>
      <c r="AC379" s="24">
        <v>9</v>
      </c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BI379" s="24">
        <v>2021</v>
      </c>
      <c r="BJ379" s="24">
        <v>29</v>
      </c>
      <c r="BK379" s="24" t="s">
        <v>33</v>
      </c>
      <c r="BL379" s="24" t="s">
        <v>272</v>
      </c>
      <c r="BM379" s="24">
        <v>47563</v>
      </c>
      <c r="BN379" s="24">
        <v>47524</v>
      </c>
      <c r="BO379" s="24">
        <v>175478</v>
      </c>
      <c r="DD379" s="24"/>
      <c r="DE379" s="24"/>
      <c r="DF379" s="24"/>
      <c r="DG379" s="24"/>
      <c r="DJ379" s="24">
        <v>2020</v>
      </c>
      <c r="DK379" s="24">
        <v>6</v>
      </c>
      <c r="DL379" s="24" t="s">
        <v>33</v>
      </c>
      <c r="DM379" s="24">
        <v>2682</v>
      </c>
      <c r="DP379" s="24"/>
      <c r="DQ379" s="24"/>
      <c r="DR379" s="24"/>
      <c r="DS379" s="24"/>
      <c r="EI379" s="24">
        <v>2022</v>
      </c>
      <c r="EJ379" s="24">
        <v>51</v>
      </c>
      <c r="EK379" s="24" t="s">
        <v>33</v>
      </c>
      <c r="EL379" s="24" t="s">
        <v>233</v>
      </c>
      <c r="EM379" s="24" t="s">
        <v>215</v>
      </c>
      <c r="EN379" s="24">
        <v>1</v>
      </c>
      <c r="EO379" s="24"/>
      <c r="EP379" s="24"/>
      <c r="EQ379" s="24"/>
      <c r="ER379" s="24"/>
      <c r="ES379" s="24">
        <v>2020</v>
      </c>
      <c r="ET379" s="24">
        <v>36</v>
      </c>
      <c r="EU379" s="24" t="s">
        <v>33</v>
      </c>
      <c r="EV379" s="24">
        <v>60808</v>
      </c>
      <c r="FE379" s="24"/>
      <c r="FF379" s="24"/>
      <c r="FG379" s="24"/>
      <c r="FH379" s="24"/>
      <c r="FN379" s="24"/>
      <c r="FO379" s="24"/>
      <c r="FP379" s="24"/>
      <c r="FQ379" s="24"/>
      <c r="FW379" s="24">
        <v>2019</v>
      </c>
      <c r="FX379" s="24">
        <v>49</v>
      </c>
      <c r="FY379" s="24" t="s">
        <v>33</v>
      </c>
      <c r="FZ379" s="24">
        <v>13453</v>
      </c>
      <c r="GA379" s="24">
        <v>12167</v>
      </c>
      <c r="GB379" s="24"/>
      <c r="GC379" s="24"/>
      <c r="GD379" s="24">
        <v>2019</v>
      </c>
      <c r="GE379" s="24">
        <v>49</v>
      </c>
      <c r="GF379" s="24" t="s">
        <v>33</v>
      </c>
      <c r="GG379" s="24">
        <v>13659</v>
      </c>
      <c r="GH379" s="24">
        <v>12457</v>
      </c>
      <c r="GK379" s="24"/>
      <c r="GL379" s="24"/>
      <c r="GM379" s="24"/>
      <c r="GN379" s="24"/>
      <c r="GO379" s="24"/>
      <c r="GX379">
        <v>2019</v>
      </c>
      <c r="GY379">
        <v>49</v>
      </c>
      <c r="GZ379" t="s">
        <v>33</v>
      </c>
      <c r="HA379">
        <v>185199</v>
      </c>
      <c r="HB379">
        <v>182236</v>
      </c>
      <c r="HC379">
        <v>367</v>
      </c>
      <c r="HD379">
        <v>26</v>
      </c>
      <c r="HE379">
        <v>0</v>
      </c>
      <c r="HF379">
        <v>881</v>
      </c>
      <c r="HG379">
        <v>0</v>
      </c>
      <c r="HH379">
        <v>0</v>
      </c>
      <c r="HI379">
        <v>600</v>
      </c>
      <c r="HL379">
        <v>2019</v>
      </c>
      <c r="HM379">
        <v>49</v>
      </c>
      <c r="HN379" t="s">
        <v>33</v>
      </c>
      <c r="HO379">
        <v>183712</v>
      </c>
      <c r="HP379">
        <v>182589</v>
      </c>
      <c r="HQ379">
        <v>365</v>
      </c>
      <c r="HR379">
        <v>19</v>
      </c>
      <c r="HS379">
        <v>0</v>
      </c>
      <c r="HT379">
        <v>698</v>
      </c>
      <c r="HU379">
        <v>0</v>
      </c>
      <c r="HV379">
        <v>0</v>
      </c>
      <c r="HW379">
        <v>163</v>
      </c>
      <c r="HZ379" s="24">
        <v>2019</v>
      </c>
      <c r="IA379" s="24">
        <v>49</v>
      </c>
      <c r="IB379" s="24" t="s">
        <v>33</v>
      </c>
      <c r="IC379" s="24">
        <v>13155</v>
      </c>
      <c r="ID379" s="24">
        <v>12199</v>
      </c>
      <c r="IG379" s="24">
        <v>2019</v>
      </c>
      <c r="IH379" s="24">
        <v>49</v>
      </c>
      <c r="II379" s="24" t="s">
        <v>33</v>
      </c>
      <c r="IJ379" s="24">
        <v>11874</v>
      </c>
      <c r="IK379" s="24">
        <v>11563</v>
      </c>
    </row>
    <row r="380" spans="9:245" x14ac:dyDescent="0.4">
      <c r="I380" s="305">
        <v>2019</v>
      </c>
      <c r="J380" s="306">
        <v>49</v>
      </c>
      <c r="K380" s="306" t="s">
        <v>33</v>
      </c>
      <c r="L380" s="306">
        <v>184769</v>
      </c>
      <c r="M380" s="306">
        <v>136052</v>
      </c>
      <c r="N380" s="306">
        <v>476</v>
      </c>
      <c r="O380" s="306">
        <v>6828</v>
      </c>
      <c r="P380" s="306">
        <v>689</v>
      </c>
      <c r="Q380" s="306">
        <v>7</v>
      </c>
      <c r="R380" s="24"/>
      <c r="S380" s="24"/>
      <c r="T380" s="24"/>
      <c r="W380" s="24">
        <v>2019</v>
      </c>
      <c r="X380" s="24">
        <v>48</v>
      </c>
      <c r="Y380" s="24" t="s">
        <v>32</v>
      </c>
      <c r="Z380" s="24">
        <v>10544</v>
      </c>
      <c r="AA380" s="24">
        <v>10320</v>
      </c>
      <c r="AB380" s="24">
        <v>7</v>
      </c>
      <c r="AC380" s="24"/>
      <c r="AI380" s="24"/>
      <c r="AJ380" s="24"/>
      <c r="AK380" s="24"/>
      <c r="AL380" s="24"/>
      <c r="AM380" s="24"/>
      <c r="AN380" s="24"/>
      <c r="AO380" s="24"/>
      <c r="AP380" s="24"/>
      <c r="AQ380" s="24"/>
      <c r="AR380" s="24"/>
      <c r="BI380" s="24">
        <v>2021</v>
      </c>
      <c r="BJ380" s="24">
        <v>29</v>
      </c>
      <c r="BK380" s="24" t="s">
        <v>32</v>
      </c>
      <c r="BL380" s="24" t="s">
        <v>272</v>
      </c>
      <c r="BM380" s="24">
        <v>2159</v>
      </c>
      <c r="BN380" s="24">
        <v>2153</v>
      </c>
      <c r="BO380" s="24">
        <v>7052</v>
      </c>
      <c r="DD380" s="24"/>
      <c r="DE380" s="24"/>
      <c r="DF380" s="24"/>
      <c r="DG380" s="24"/>
      <c r="DJ380" s="24">
        <v>2020</v>
      </c>
      <c r="DK380" s="24">
        <v>6</v>
      </c>
      <c r="DL380" s="24" t="s">
        <v>213</v>
      </c>
      <c r="DM380" s="24">
        <v>7</v>
      </c>
      <c r="DP380" s="24"/>
      <c r="DQ380" s="24"/>
      <c r="DR380" s="24"/>
      <c r="DS380" s="24"/>
      <c r="EI380" s="24">
        <v>2022</v>
      </c>
      <c r="EJ380" s="24">
        <v>51</v>
      </c>
      <c r="EK380" s="24" t="s">
        <v>33</v>
      </c>
      <c r="EL380" s="24" t="s">
        <v>244</v>
      </c>
      <c r="EM380" s="24" t="s">
        <v>210</v>
      </c>
      <c r="EN380" s="24">
        <v>23</v>
      </c>
      <c r="EO380" s="24"/>
      <c r="EP380" s="24"/>
      <c r="EQ380" s="24"/>
      <c r="ER380" s="24"/>
      <c r="ES380" s="24">
        <v>2020</v>
      </c>
      <c r="ET380" s="24">
        <v>36</v>
      </c>
      <c r="EU380" s="24" t="s">
        <v>213</v>
      </c>
      <c r="EV380" s="24">
        <v>19</v>
      </c>
      <c r="FE380" s="24"/>
      <c r="FF380" s="24"/>
      <c r="FG380" s="24"/>
      <c r="FH380" s="24"/>
      <c r="FN380" s="24"/>
      <c r="FO380" s="24"/>
      <c r="FP380" s="24"/>
      <c r="FQ380" s="24"/>
      <c r="FW380" s="24">
        <v>2019</v>
      </c>
      <c r="FX380" s="24">
        <v>48</v>
      </c>
      <c r="FY380" s="24" t="s">
        <v>32</v>
      </c>
      <c r="FZ380" s="24">
        <v>1253</v>
      </c>
      <c r="GA380" s="24">
        <v>1211</v>
      </c>
      <c r="GB380" s="24"/>
      <c r="GC380" s="24"/>
      <c r="GD380" s="24">
        <v>2019</v>
      </c>
      <c r="GE380" s="24">
        <v>48</v>
      </c>
      <c r="GF380" s="24" t="s">
        <v>32</v>
      </c>
      <c r="GG380" s="24">
        <v>1268</v>
      </c>
      <c r="GH380" s="24">
        <v>1212</v>
      </c>
      <c r="GK380" s="24"/>
      <c r="GL380" s="24"/>
      <c r="GM380" s="24"/>
      <c r="GN380" s="24"/>
      <c r="GO380" s="24"/>
      <c r="GX380">
        <v>2019</v>
      </c>
      <c r="GY380">
        <v>48</v>
      </c>
      <c r="GZ380" t="s">
        <v>32</v>
      </c>
      <c r="HA380">
        <v>9550</v>
      </c>
      <c r="HB380">
        <v>9409</v>
      </c>
      <c r="HC380">
        <v>4</v>
      </c>
      <c r="HD380">
        <v>3</v>
      </c>
      <c r="HE380">
        <v>0</v>
      </c>
      <c r="HF380">
        <v>36</v>
      </c>
      <c r="HG380">
        <v>0</v>
      </c>
      <c r="HH380">
        <v>0</v>
      </c>
      <c r="HI380">
        <v>20</v>
      </c>
      <c r="HL380">
        <v>2019</v>
      </c>
      <c r="HM380">
        <v>48</v>
      </c>
      <c r="HN380" t="s">
        <v>32</v>
      </c>
      <c r="HO380">
        <v>10509</v>
      </c>
      <c r="HP380">
        <v>10371</v>
      </c>
      <c r="HQ380">
        <v>9</v>
      </c>
      <c r="HR380">
        <v>3</v>
      </c>
      <c r="HS380">
        <v>0</v>
      </c>
      <c r="HT380">
        <v>94</v>
      </c>
      <c r="HU380">
        <v>0</v>
      </c>
      <c r="HV380">
        <v>0</v>
      </c>
      <c r="HW380">
        <v>7</v>
      </c>
      <c r="HZ380" s="24">
        <v>2019</v>
      </c>
      <c r="IA380" s="24">
        <v>48</v>
      </c>
      <c r="IB380" s="24" t="s">
        <v>32</v>
      </c>
      <c r="IC380" s="24">
        <v>1167</v>
      </c>
      <c r="ID380" s="24">
        <v>1130</v>
      </c>
      <c r="IG380" s="24">
        <v>2019</v>
      </c>
      <c r="IH380" s="24">
        <v>48</v>
      </c>
      <c r="II380" s="24" t="s">
        <v>32</v>
      </c>
      <c r="IJ380" s="24">
        <v>1234</v>
      </c>
      <c r="IK380" s="24">
        <v>1198</v>
      </c>
    </row>
    <row r="381" spans="9:245" x14ac:dyDescent="0.4">
      <c r="I381" s="305">
        <v>2019</v>
      </c>
      <c r="J381" s="306">
        <v>48</v>
      </c>
      <c r="K381" s="306" t="s">
        <v>32</v>
      </c>
      <c r="L381" s="306">
        <v>10711</v>
      </c>
      <c r="M381" s="306">
        <v>10529</v>
      </c>
      <c r="N381" s="306">
        <v>9</v>
      </c>
      <c r="O381" s="306">
        <v>57</v>
      </c>
      <c r="P381" s="306">
        <v>2</v>
      </c>
      <c r="Q381" s="306">
        <v>2</v>
      </c>
      <c r="R381" s="24"/>
      <c r="S381" s="24"/>
      <c r="T381" s="24"/>
      <c r="W381" s="24">
        <v>2019</v>
      </c>
      <c r="X381" s="24">
        <v>48</v>
      </c>
      <c r="Y381" s="24" t="s">
        <v>33</v>
      </c>
      <c r="Z381" s="24">
        <v>267693</v>
      </c>
      <c r="AA381" s="24">
        <v>158790</v>
      </c>
      <c r="AB381" s="24">
        <v>1449</v>
      </c>
      <c r="AC381" s="24">
        <v>1</v>
      </c>
      <c r="AI381" s="24"/>
      <c r="AJ381" s="24"/>
      <c r="AK381" s="24"/>
      <c r="AL381" s="24"/>
      <c r="AM381" s="24"/>
      <c r="AN381" s="24"/>
      <c r="AO381" s="24"/>
      <c r="AP381" s="24"/>
      <c r="AQ381" s="24"/>
      <c r="AR381" s="24"/>
      <c r="BI381" s="24">
        <v>2021</v>
      </c>
      <c r="BJ381" s="24">
        <v>29</v>
      </c>
      <c r="BK381" s="24" t="s">
        <v>33</v>
      </c>
      <c r="BL381" s="24" t="s">
        <v>273</v>
      </c>
      <c r="BM381" s="24">
        <v>95064</v>
      </c>
      <c r="BN381" s="24">
        <v>94535</v>
      </c>
      <c r="BO381" s="24">
        <v>99595</v>
      </c>
      <c r="DD381" s="24"/>
      <c r="DE381" s="24"/>
      <c r="DF381" s="24"/>
      <c r="DG381" s="24"/>
      <c r="DJ381" s="24">
        <v>2020</v>
      </c>
      <c r="DK381" s="24">
        <v>5</v>
      </c>
      <c r="DL381" s="24" t="s">
        <v>32</v>
      </c>
      <c r="DM381" s="24">
        <v>334</v>
      </c>
      <c r="DP381" s="24"/>
      <c r="DQ381" s="24"/>
      <c r="DR381" s="24"/>
      <c r="DS381" s="24"/>
      <c r="EI381" s="24">
        <v>2022</v>
      </c>
      <c r="EJ381" s="24">
        <v>51</v>
      </c>
      <c r="EK381" s="24" t="s">
        <v>33</v>
      </c>
      <c r="EL381" s="24" t="s">
        <v>236</v>
      </c>
      <c r="EM381" s="24" t="s">
        <v>210</v>
      </c>
      <c r="EN381" s="24">
        <v>1</v>
      </c>
      <c r="EO381" s="24"/>
      <c r="EP381" s="24"/>
      <c r="EQ381" s="24"/>
      <c r="ER381" s="24"/>
      <c r="ES381" s="24">
        <v>2020</v>
      </c>
      <c r="ET381" s="24">
        <v>35</v>
      </c>
      <c r="EU381" s="24" t="s">
        <v>32</v>
      </c>
      <c r="EV381" s="24">
        <v>2275</v>
      </c>
      <c r="FE381" s="24"/>
      <c r="FF381" s="24"/>
      <c r="FG381" s="24"/>
      <c r="FH381" s="24"/>
      <c r="FN381" s="24"/>
      <c r="FO381" s="24"/>
      <c r="FP381" s="24"/>
      <c r="FQ381" s="24"/>
      <c r="FW381" s="24">
        <v>2019</v>
      </c>
      <c r="FX381" s="24">
        <v>48</v>
      </c>
      <c r="FY381" s="24" t="s">
        <v>33</v>
      </c>
      <c r="FZ381" s="24">
        <v>13992</v>
      </c>
      <c r="GA381" s="24">
        <v>11269</v>
      </c>
      <c r="GB381" s="24"/>
      <c r="GC381" s="24"/>
      <c r="GD381" s="24">
        <v>2019</v>
      </c>
      <c r="GE381" s="24">
        <v>48</v>
      </c>
      <c r="GF381" s="24" t="s">
        <v>33</v>
      </c>
      <c r="GG381" s="24">
        <v>13523</v>
      </c>
      <c r="GH381" s="24">
        <v>11128</v>
      </c>
      <c r="GK381" s="24"/>
      <c r="GL381" s="24"/>
      <c r="GM381" s="24"/>
      <c r="GN381" s="24"/>
      <c r="GO381" s="24"/>
      <c r="GX381">
        <v>2019</v>
      </c>
      <c r="GY381">
        <v>48</v>
      </c>
      <c r="GZ381" t="s">
        <v>33</v>
      </c>
      <c r="HA381">
        <v>251584</v>
      </c>
      <c r="HB381">
        <v>228256</v>
      </c>
      <c r="HC381">
        <v>913</v>
      </c>
      <c r="HD381">
        <v>68</v>
      </c>
      <c r="HE381">
        <v>0</v>
      </c>
      <c r="HF381">
        <v>13135</v>
      </c>
      <c r="HG381">
        <v>0</v>
      </c>
      <c r="HH381">
        <v>0</v>
      </c>
      <c r="HI381">
        <v>4021</v>
      </c>
      <c r="HL381">
        <v>2019</v>
      </c>
      <c r="HM381">
        <v>48</v>
      </c>
      <c r="HN381" t="s">
        <v>33</v>
      </c>
      <c r="HO381">
        <v>266739</v>
      </c>
      <c r="HP381">
        <v>242488</v>
      </c>
      <c r="HQ381">
        <v>1108</v>
      </c>
      <c r="HR381">
        <v>297</v>
      </c>
      <c r="HS381">
        <v>0</v>
      </c>
      <c r="HT381">
        <v>13863</v>
      </c>
      <c r="HU381">
        <v>0</v>
      </c>
      <c r="HV381">
        <v>0</v>
      </c>
      <c r="HW381">
        <v>4172</v>
      </c>
      <c r="HZ381" s="24">
        <v>2019</v>
      </c>
      <c r="IA381" s="24">
        <v>48</v>
      </c>
      <c r="IB381" s="24" t="s">
        <v>33</v>
      </c>
      <c r="IC381" s="24">
        <v>13748</v>
      </c>
      <c r="ID381" s="24">
        <v>11534</v>
      </c>
      <c r="IG381" s="24">
        <v>2019</v>
      </c>
      <c r="IH381" s="24">
        <v>48</v>
      </c>
      <c r="II381" s="24" t="s">
        <v>33</v>
      </c>
      <c r="IJ381" s="24">
        <v>11052</v>
      </c>
      <c r="IK381" s="24">
        <v>10356</v>
      </c>
    </row>
    <row r="382" spans="9:245" x14ac:dyDescent="0.4">
      <c r="I382" s="305">
        <v>2019</v>
      </c>
      <c r="J382" s="306">
        <v>48</v>
      </c>
      <c r="K382" s="306" t="s">
        <v>33</v>
      </c>
      <c r="L382" s="306">
        <v>269583</v>
      </c>
      <c r="M382" s="306">
        <v>159575</v>
      </c>
      <c r="N382" s="306">
        <v>1199</v>
      </c>
      <c r="O382" s="306">
        <v>16378</v>
      </c>
      <c r="P382" s="306">
        <v>1699</v>
      </c>
      <c r="Q382" s="306">
        <v>28</v>
      </c>
      <c r="R382" s="24"/>
      <c r="S382" s="24"/>
      <c r="T382" s="24"/>
      <c r="W382" s="24">
        <v>2019</v>
      </c>
      <c r="X382" s="24">
        <v>47</v>
      </c>
      <c r="Y382" s="24" t="s">
        <v>32</v>
      </c>
      <c r="Z382" s="24">
        <v>7266</v>
      </c>
      <c r="AA382" s="24">
        <v>7115</v>
      </c>
      <c r="AB382" s="24">
        <v>14</v>
      </c>
      <c r="AC382" s="24"/>
      <c r="AI382" s="24"/>
      <c r="AJ382" s="24"/>
      <c r="AK382" s="24"/>
      <c r="AL382" s="24"/>
      <c r="AM382" s="24"/>
      <c r="AN382" s="24"/>
      <c r="AO382" s="24"/>
      <c r="AP382" s="24"/>
      <c r="AQ382" s="24"/>
      <c r="AR382" s="24"/>
      <c r="BI382" s="24">
        <v>2021</v>
      </c>
      <c r="BJ382" s="24">
        <v>28</v>
      </c>
      <c r="BK382" s="24" t="s">
        <v>32</v>
      </c>
      <c r="BL382" s="24" t="s">
        <v>272</v>
      </c>
      <c r="BM382" s="24">
        <v>1943</v>
      </c>
      <c r="BN382" s="24">
        <v>1942</v>
      </c>
      <c r="BO382" s="24">
        <v>6880</v>
      </c>
      <c r="DD382" s="24"/>
      <c r="DE382" s="24"/>
      <c r="DF382" s="24"/>
      <c r="DG382" s="24"/>
      <c r="DJ382" s="24">
        <v>2020</v>
      </c>
      <c r="DK382" s="24">
        <v>5</v>
      </c>
      <c r="DL382" s="24" t="s">
        <v>33</v>
      </c>
      <c r="DM382" s="24">
        <v>4897</v>
      </c>
      <c r="DP382" s="24"/>
      <c r="DQ382" s="24"/>
      <c r="DR382" s="24"/>
      <c r="DS382" s="24"/>
      <c r="EI382" s="24">
        <v>2022</v>
      </c>
      <c r="EJ382" s="24">
        <v>51</v>
      </c>
      <c r="EK382" s="24" t="s">
        <v>237</v>
      </c>
      <c r="EL382" s="24" t="s">
        <v>555</v>
      </c>
      <c r="EM382" s="24" t="s">
        <v>210</v>
      </c>
      <c r="EN382" s="24">
        <v>1</v>
      </c>
      <c r="EO382" s="24"/>
      <c r="EP382" s="24"/>
      <c r="EQ382" s="24"/>
      <c r="ER382" s="24"/>
      <c r="ES382" s="24">
        <v>2020</v>
      </c>
      <c r="ET382" s="24">
        <v>35</v>
      </c>
      <c r="EU382" s="24" t="s">
        <v>33</v>
      </c>
      <c r="EV382" s="24">
        <v>74475</v>
      </c>
      <c r="FE382" s="24"/>
      <c r="FF382" s="24"/>
      <c r="FG382" s="24"/>
      <c r="FH382" s="24"/>
      <c r="FN382" s="24"/>
      <c r="FO382" s="24"/>
      <c r="FP382" s="24"/>
      <c r="FQ382" s="24"/>
      <c r="FW382" s="24">
        <v>2019</v>
      </c>
      <c r="FX382" s="24">
        <v>47</v>
      </c>
      <c r="FY382" s="24" t="s">
        <v>32</v>
      </c>
      <c r="FZ382" s="24">
        <v>897</v>
      </c>
      <c r="GA382" s="24">
        <v>849</v>
      </c>
      <c r="GB382" s="24"/>
      <c r="GC382" s="24"/>
      <c r="GD382" s="24">
        <v>2019</v>
      </c>
      <c r="GE382" s="24">
        <v>47</v>
      </c>
      <c r="GF382" s="24" t="s">
        <v>32</v>
      </c>
      <c r="GG382" s="24">
        <v>858</v>
      </c>
      <c r="GH382" s="24">
        <v>812</v>
      </c>
      <c r="GK382" s="24"/>
      <c r="GL382" s="24"/>
      <c r="GM382" s="24"/>
      <c r="GN382" s="24"/>
      <c r="GO382" s="24"/>
      <c r="GX382">
        <v>2019</v>
      </c>
      <c r="GY382">
        <v>47</v>
      </c>
      <c r="GZ382" t="s">
        <v>32</v>
      </c>
      <c r="HA382">
        <v>8278</v>
      </c>
      <c r="HB382">
        <v>8140</v>
      </c>
      <c r="HC382">
        <v>2</v>
      </c>
      <c r="HD382">
        <v>8</v>
      </c>
      <c r="HE382">
        <v>0</v>
      </c>
      <c r="HF382">
        <v>45</v>
      </c>
      <c r="HG382">
        <v>0</v>
      </c>
      <c r="HH382">
        <v>0</v>
      </c>
      <c r="HI382">
        <v>14</v>
      </c>
      <c r="HL382">
        <v>2019</v>
      </c>
      <c r="HM382">
        <v>47</v>
      </c>
      <c r="HN382" t="s">
        <v>32</v>
      </c>
      <c r="HO382">
        <v>7252</v>
      </c>
      <c r="HP382">
        <v>7144</v>
      </c>
      <c r="HQ382">
        <v>5</v>
      </c>
      <c r="HR382">
        <v>20</v>
      </c>
      <c r="HS382">
        <v>0</v>
      </c>
      <c r="HT382">
        <v>39</v>
      </c>
      <c r="HU382">
        <v>0</v>
      </c>
      <c r="HV382">
        <v>0</v>
      </c>
      <c r="HW382">
        <v>22</v>
      </c>
      <c r="HZ382" s="24">
        <v>2019</v>
      </c>
      <c r="IA382" s="24">
        <v>47</v>
      </c>
      <c r="IB382" s="24" t="s">
        <v>32</v>
      </c>
      <c r="IC382" s="24">
        <v>926</v>
      </c>
      <c r="ID382" s="24">
        <v>884</v>
      </c>
      <c r="IG382" s="24">
        <v>2019</v>
      </c>
      <c r="IH382" s="24">
        <v>47</v>
      </c>
      <c r="II382" s="24" t="s">
        <v>32</v>
      </c>
      <c r="IJ382" s="24">
        <v>843</v>
      </c>
      <c r="IK382" s="24">
        <v>821</v>
      </c>
    </row>
    <row r="383" spans="9:245" x14ac:dyDescent="0.4">
      <c r="I383" s="305">
        <v>2019</v>
      </c>
      <c r="J383" s="306">
        <v>47</v>
      </c>
      <c r="K383" s="306" t="s">
        <v>32</v>
      </c>
      <c r="L383" s="306">
        <v>7413</v>
      </c>
      <c r="M383" s="306">
        <v>7293</v>
      </c>
      <c r="N383" s="306">
        <v>18</v>
      </c>
      <c r="O383" s="306">
        <v>30</v>
      </c>
      <c r="P383" s="306">
        <v>21</v>
      </c>
      <c r="Q383" s="306"/>
      <c r="R383" s="24"/>
      <c r="S383" s="24"/>
      <c r="T383" s="24"/>
      <c r="W383" s="24">
        <v>2019</v>
      </c>
      <c r="X383" s="24">
        <v>47</v>
      </c>
      <c r="Y383" s="24" t="s">
        <v>33</v>
      </c>
      <c r="Z383" s="24">
        <v>118937</v>
      </c>
      <c r="AA383" s="24">
        <v>72205</v>
      </c>
      <c r="AB383" s="24">
        <v>349</v>
      </c>
      <c r="AC383" s="24">
        <v>3</v>
      </c>
      <c r="AI383" s="24"/>
      <c r="AJ383" s="24"/>
      <c r="AK383" s="24"/>
      <c r="AL383" s="24"/>
      <c r="AM383" s="24"/>
      <c r="AN383" s="24"/>
      <c r="AO383" s="24"/>
      <c r="AP383" s="24"/>
      <c r="AQ383" s="24"/>
      <c r="AR383" s="24"/>
      <c r="BI383" s="24">
        <v>2021</v>
      </c>
      <c r="BJ383" s="24">
        <v>28</v>
      </c>
      <c r="BK383" s="24" t="s">
        <v>32</v>
      </c>
      <c r="BL383" s="24" t="s">
        <v>273</v>
      </c>
      <c r="BM383" s="24">
        <v>4952</v>
      </c>
      <c r="BN383" s="24">
        <v>4931</v>
      </c>
      <c r="BO383" s="24">
        <v>5032</v>
      </c>
      <c r="DD383" s="24"/>
      <c r="DE383" s="24"/>
      <c r="DF383" s="24"/>
      <c r="DG383" s="24"/>
      <c r="DJ383" s="24">
        <v>2020</v>
      </c>
      <c r="DK383" s="24">
        <v>5</v>
      </c>
      <c r="DL383" s="24" t="s">
        <v>213</v>
      </c>
      <c r="DM383" s="24">
        <v>8</v>
      </c>
      <c r="DP383" s="24"/>
      <c r="DQ383" s="24"/>
      <c r="DR383" s="24"/>
      <c r="DS383" s="24"/>
      <c r="EI383" s="24">
        <v>2022</v>
      </c>
      <c r="EJ383" s="24">
        <v>51</v>
      </c>
      <c r="EK383" s="24" t="s">
        <v>237</v>
      </c>
      <c r="EL383" s="24" t="s">
        <v>557</v>
      </c>
      <c r="EM383" s="24" t="s">
        <v>210</v>
      </c>
      <c r="EN383" s="24">
        <v>15</v>
      </c>
      <c r="EO383" s="24"/>
      <c r="EP383" s="24"/>
      <c r="EQ383" s="24"/>
      <c r="ER383" s="24"/>
      <c r="ES383" s="24">
        <v>2020</v>
      </c>
      <c r="ET383" s="24">
        <v>35</v>
      </c>
      <c r="EU383" s="24" t="s">
        <v>213</v>
      </c>
      <c r="EV383" s="24">
        <v>35</v>
      </c>
      <c r="FE383" s="24"/>
      <c r="FF383" s="24"/>
      <c r="FG383" s="24"/>
      <c r="FH383" s="24"/>
      <c r="FN383" s="24"/>
      <c r="FO383" s="24"/>
      <c r="FP383" s="24"/>
      <c r="FQ383" s="24"/>
      <c r="FW383" s="24">
        <v>2019</v>
      </c>
      <c r="FX383" s="24">
        <v>47</v>
      </c>
      <c r="FY383" s="24" t="s">
        <v>33</v>
      </c>
      <c r="FZ383" s="24">
        <v>7580</v>
      </c>
      <c r="GA383" s="24">
        <v>6856</v>
      </c>
      <c r="GB383" s="24"/>
      <c r="GC383" s="24"/>
      <c r="GD383" s="24">
        <v>2019</v>
      </c>
      <c r="GE383" s="24">
        <v>47</v>
      </c>
      <c r="GF383" s="24" t="s">
        <v>33</v>
      </c>
      <c r="GG383" s="24">
        <v>7637</v>
      </c>
      <c r="GH383" s="24">
        <v>6990</v>
      </c>
      <c r="GK383" s="24"/>
      <c r="GL383" s="24"/>
      <c r="GM383" s="24"/>
      <c r="GN383" s="24"/>
      <c r="GO383" s="24"/>
      <c r="GX383">
        <v>2019</v>
      </c>
      <c r="GY383">
        <v>47</v>
      </c>
      <c r="GZ383" t="s">
        <v>33</v>
      </c>
      <c r="HA383">
        <v>137875</v>
      </c>
      <c r="HB383">
        <v>130410</v>
      </c>
      <c r="HC383">
        <v>446</v>
      </c>
      <c r="HD383">
        <v>281</v>
      </c>
      <c r="HE383">
        <v>0</v>
      </c>
      <c r="HF383">
        <v>2502</v>
      </c>
      <c r="HG383">
        <v>0</v>
      </c>
      <c r="HH383">
        <v>0</v>
      </c>
      <c r="HI383">
        <v>1617</v>
      </c>
      <c r="HL383">
        <v>2019</v>
      </c>
      <c r="HM383">
        <v>47</v>
      </c>
      <c r="HN383" t="s">
        <v>33</v>
      </c>
      <c r="HO383">
        <v>118702</v>
      </c>
      <c r="HP383">
        <v>117734</v>
      </c>
      <c r="HQ383">
        <v>455</v>
      </c>
      <c r="HR383">
        <v>11</v>
      </c>
      <c r="HS383">
        <v>0</v>
      </c>
      <c r="HT383">
        <v>546</v>
      </c>
      <c r="HU383">
        <v>0</v>
      </c>
      <c r="HV383">
        <v>0</v>
      </c>
      <c r="HW383">
        <v>137</v>
      </c>
      <c r="HZ383" s="24">
        <v>2019</v>
      </c>
      <c r="IA383" s="24">
        <v>47</v>
      </c>
      <c r="IB383" s="24" t="s">
        <v>33</v>
      </c>
      <c r="IC383" s="24">
        <v>8421</v>
      </c>
      <c r="ID383" s="24">
        <v>8008</v>
      </c>
      <c r="IG383" s="24">
        <v>2019</v>
      </c>
      <c r="IH383" s="24">
        <v>47</v>
      </c>
      <c r="II383" s="24" t="s">
        <v>33</v>
      </c>
      <c r="IJ383" s="24">
        <v>7031</v>
      </c>
      <c r="IK383" s="24">
        <v>6940</v>
      </c>
    </row>
    <row r="384" spans="9:245" x14ac:dyDescent="0.4">
      <c r="I384" s="305">
        <v>2019</v>
      </c>
      <c r="J384" s="306">
        <v>47</v>
      </c>
      <c r="K384" s="306" t="s">
        <v>33</v>
      </c>
      <c r="L384" s="306">
        <v>119188</v>
      </c>
      <c r="M384" s="306">
        <v>72193</v>
      </c>
      <c r="N384" s="306">
        <v>372</v>
      </c>
      <c r="O384" s="306">
        <v>5382</v>
      </c>
      <c r="P384" s="306">
        <v>446</v>
      </c>
      <c r="Q384" s="306">
        <v>8</v>
      </c>
      <c r="R384" s="24"/>
      <c r="S384" s="24"/>
      <c r="T384" s="24"/>
      <c r="W384" s="319">
        <v>2019</v>
      </c>
      <c r="X384" s="319">
        <v>46</v>
      </c>
      <c r="Y384" s="319" t="s">
        <v>32</v>
      </c>
      <c r="Z384" s="319">
        <v>8928</v>
      </c>
      <c r="AA384" s="319">
        <v>8726</v>
      </c>
      <c r="AB384" s="319">
        <v>20</v>
      </c>
      <c r="AC384" s="319"/>
      <c r="AI384" s="24"/>
      <c r="AJ384" s="24"/>
      <c r="AK384" s="24"/>
      <c r="AL384" s="24"/>
      <c r="AM384" s="24"/>
      <c r="AN384" s="24"/>
      <c r="AO384" s="24"/>
      <c r="AP384" s="24"/>
      <c r="AQ384" s="24"/>
      <c r="AR384" s="24"/>
      <c r="BI384" s="24">
        <v>2021</v>
      </c>
      <c r="BJ384" s="24">
        <v>28</v>
      </c>
      <c r="BK384" s="24" t="s">
        <v>33</v>
      </c>
      <c r="BL384" s="24" t="s">
        <v>273</v>
      </c>
      <c r="BM384" s="24">
        <v>92428</v>
      </c>
      <c r="BN384" s="24">
        <v>91906</v>
      </c>
      <c r="BO384" s="24">
        <v>94542</v>
      </c>
      <c r="DD384" s="24"/>
      <c r="DE384" s="24"/>
      <c r="DF384" s="24"/>
      <c r="DG384" s="24"/>
      <c r="DJ384" s="24">
        <v>2020</v>
      </c>
      <c r="DK384" s="24">
        <v>4</v>
      </c>
      <c r="DL384" s="24" t="s">
        <v>32</v>
      </c>
      <c r="DM384" s="24">
        <v>399</v>
      </c>
      <c r="DP384" s="24"/>
      <c r="DQ384" s="24"/>
      <c r="DR384" s="24"/>
      <c r="DS384" s="24"/>
      <c r="EI384" s="24">
        <v>2022</v>
      </c>
      <c r="EJ384" s="24">
        <v>51</v>
      </c>
      <c r="EK384" s="24" t="s">
        <v>237</v>
      </c>
      <c r="EL384" s="24" t="s">
        <v>557</v>
      </c>
      <c r="EM384" s="24" t="s">
        <v>234</v>
      </c>
      <c r="EN384" s="24">
        <v>1</v>
      </c>
      <c r="EO384" s="24"/>
      <c r="EP384" s="24"/>
      <c r="EQ384" s="24"/>
      <c r="ER384" s="24"/>
      <c r="ES384" s="24">
        <v>2020</v>
      </c>
      <c r="ET384" s="24">
        <v>34</v>
      </c>
      <c r="EU384" s="24" t="s">
        <v>32</v>
      </c>
      <c r="EV384" s="24">
        <v>2308</v>
      </c>
      <c r="FE384" s="24"/>
      <c r="FF384" s="24"/>
      <c r="FG384" s="24"/>
      <c r="FH384" s="24"/>
      <c r="FN384" s="24"/>
      <c r="FO384" s="24"/>
      <c r="FP384" s="24"/>
      <c r="FQ384" s="24"/>
      <c r="FW384" s="24">
        <v>2019</v>
      </c>
      <c r="FX384" s="24">
        <v>46</v>
      </c>
      <c r="FY384" s="24" t="s">
        <v>32</v>
      </c>
      <c r="FZ384" s="24">
        <v>972</v>
      </c>
      <c r="GA384" s="24">
        <v>916</v>
      </c>
      <c r="GB384" s="24"/>
      <c r="GC384" s="24"/>
      <c r="GD384" s="319">
        <v>2019</v>
      </c>
      <c r="GE384" s="319">
        <v>46</v>
      </c>
      <c r="GF384" s="319" t="s">
        <v>32</v>
      </c>
      <c r="GG384" s="319">
        <v>998</v>
      </c>
      <c r="GH384" s="319">
        <v>916</v>
      </c>
      <c r="GK384" s="24"/>
      <c r="GL384" s="24"/>
      <c r="GM384" s="24"/>
      <c r="GN384" s="24"/>
      <c r="GO384" s="24"/>
      <c r="GX384">
        <v>2019</v>
      </c>
      <c r="GY384">
        <v>46</v>
      </c>
      <c r="GZ384" t="s">
        <v>32</v>
      </c>
      <c r="HA384">
        <v>9192</v>
      </c>
      <c r="HB384">
        <v>8977</v>
      </c>
      <c r="HC384">
        <v>0</v>
      </c>
      <c r="HD384">
        <v>6</v>
      </c>
      <c r="HE384">
        <v>0</v>
      </c>
      <c r="HF384">
        <v>19</v>
      </c>
      <c r="HG384">
        <v>0</v>
      </c>
      <c r="HH384">
        <v>0</v>
      </c>
      <c r="HI384">
        <v>69</v>
      </c>
      <c r="HL384">
        <v>2019</v>
      </c>
      <c r="HM384">
        <v>46</v>
      </c>
      <c r="HN384" t="s">
        <v>32</v>
      </c>
      <c r="HO384">
        <v>8901</v>
      </c>
      <c r="HP384">
        <v>8783</v>
      </c>
      <c r="HQ384">
        <v>1</v>
      </c>
      <c r="HR384">
        <v>12</v>
      </c>
      <c r="HS384">
        <v>0</v>
      </c>
      <c r="HT384">
        <v>45</v>
      </c>
      <c r="HU384">
        <v>0</v>
      </c>
      <c r="HV384">
        <v>0</v>
      </c>
      <c r="HW384">
        <v>3</v>
      </c>
      <c r="HZ384" s="24">
        <v>2019</v>
      </c>
      <c r="IA384" s="24">
        <v>46</v>
      </c>
      <c r="IB384" s="24" t="s">
        <v>32</v>
      </c>
      <c r="IC384" s="24">
        <v>1081</v>
      </c>
      <c r="ID384" s="24">
        <v>1013</v>
      </c>
      <c r="IG384" s="319">
        <v>2019</v>
      </c>
      <c r="IH384" s="319">
        <v>46</v>
      </c>
      <c r="II384" s="319" t="s">
        <v>32</v>
      </c>
      <c r="IJ384" s="319">
        <v>979</v>
      </c>
      <c r="IK384" s="319">
        <v>953</v>
      </c>
    </row>
    <row r="385" spans="9:245" x14ac:dyDescent="0.4">
      <c r="I385" s="305">
        <v>2019</v>
      </c>
      <c r="J385" s="306">
        <v>46</v>
      </c>
      <c r="K385" s="306" t="s">
        <v>32</v>
      </c>
      <c r="L385" s="306">
        <v>8802</v>
      </c>
      <c r="M385" s="306">
        <v>8604</v>
      </c>
      <c r="N385" s="306">
        <v>38</v>
      </c>
      <c r="O385" s="306">
        <v>98</v>
      </c>
      <c r="P385" s="306">
        <v>33</v>
      </c>
      <c r="Q385" s="306"/>
      <c r="R385" s="24"/>
      <c r="S385" s="24"/>
      <c r="T385" s="24"/>
      <c r="W385" s="319">
        <v>2019</v>
      </c>
      <c r="X385" s="319">
        <v>46</v>
      </c>
      <c r="Y385" s="319" t="s">
        <v>33</v>
      </c>
      <c r="Z385" s="319">
        <v>162321</v>
      </c>
      <c r="AA385" s="319">
        <v>118525</v>
      </c>
      <c r="AB385" s="319">
        <v>414</v>
      </c>
      <c r="AC385" s="319">
        <v>29</v>
      </c>
      <c r="AI385" s="24"/>
      <c r="AJ385" s="24"/>
      <c r="AK385" s="24"/>
      <c r="AL385" s="24"/>
      <c r="AM385" s="24"/>
      <c r="AN385" s="24"/>
      <c r="AO385" s="24"/>
      <c r="AP385" s="24"/>
      <c r="AQ385" s="24"/>
      <c r="AR385" s="24"/>
      <c r="BI385" s="24">
        <v>2021</v>
      </c>
      <c r="BJ385" s="24">
        <v>28</v>
      </c>
      <c r="BK385" s="24" t="s">
        <v>33</v>
      </c>
      <c r="BL385" s="24" t="s">
        <v>272</v>
      </c>
      <c r="BM385" s="24">
        <v>49001</v>
      </c>
      <c r="BN385" s="24">
        <v>48962</v>
      </c>
      <c r="BO385" s="24">
        <v>178795</v>
      </c>
      <c r="DD385" s="24"/>
      <c r="DE385" s="24"/>
      <c r="DF385" s="24"/>
      <c r="DG385" s="24"/>
      <c r="DJ385" s="24">
        <v>2020</v>
      </c>
      <c r="DK385" s="24">
        <v>4</v>
      </c>
      <c r="DL385" s="24" t="s">
        <v>33</v>
      </c>
      <c r="DM385" s="24">
        <v>5029</v>
      </c>
      <c r="DP385" s="24"/>
      <c r="DQ385" s="24"/>
      <c r="DR385" s="24"/>
      <c r="DS385" s="24"/>
      <c r="EI385" s="24">
        <v>2022</v>
      </c>
      <c r="EJ385" s="24">
        <v>51</v>
      </c>
      <c r="EK385" s="24" t="s">
        <v>237</v>
      </c>
      <c r="EL385" s="24" t="s">
        <v>557</v>
      </c>
      <c r="EM385" s="24" t="s">
        <v>215</v>
      </c>
      <c r="EN385" s="24">
        <v>14</v>
      </c>
      <c r="EO385" s="24"/>
      <c r="EP385" s="24"/>
      <c r="EQ385" s="24"/>
      <c r="ER385" s="24"/>
      <c r="ES385" s="24">
        <v>2020</v>
      </c>
      <c r="ET385" s="24">
        <v>34</v>
      </c>
      <c r="EU385" s="24" t="s">
        <v>33</v>
      </c>
      <c r="EV385" s="24">
        <v>71773</v>
      </c>
      <c r="FE385" s="24"/>
      <c r="FF385" s="24"/>
      <c r="FG385" s="24"/>
      <c r="FH385" s="24"/>
      <c r="FN385" s="24"/>
      <c r="FO385" s="24"/>
      <c r="FP385" s="24"/>
      <c r="FQ385" s="24"/>
      <c r="FW385" s="24">
        <v>2019</v>
      </c>
      <c r="FX385" s="24">
        <v>46</v>
      </c>
      <c r="FY385" s="24" t="s">
        <v>33</v>
      </c>
      <c r="FZ385" s="24">
        <v>9394</v>
      </c>
      <c r="GA385" s="24">
        <v>8614</v>
      </c>
      <c r="GB385" s="24"/>
      <c r="GC385" s="24"/>
      <c r="GD385" s="319">
        <v>2019</v>
      </c>
      <c r="GE385" s="319">
        <v>46</v>
      </c>
      <c r="GF385" s="319" t="s">
        <v>33</v>
      </c>
      <c r="GG385" s="319">
        <v>9370</v>
      </c>
      <c r="GH385" s="319">
        <v>8644</v>
      </c>
      <c r="GK385" s="24"/>
      <c r="GL385" s="24"/>
      <c r="GM385" s="24"/>
      <c r="GN385" s="24"/>
      <c r="GO385" s="24"/>
      <c r="GX385">
        <v>2019</v>
      </c>
      <c r="GY385">
        <v>46</v>
      </c>
      <c r="GZ385" t="s">
        <v>33</v>
      </c>
      <c r="HA385">
        <v>162460</v>
      </c>
      <c r="HB385">
        <v>160094</v>
      </c>
      <c r="HC385">
        <v>389</v>
      </c>
      <c r="HD385">
        <v>9</v>
      </c>
      <c r="HE385">
        <v>0</v>
      </c>
      <c r="HF385">
        <v>652</v>
      </c>
      <c r="HG385">
        <v>0</v>
      </c>
      <c r="HH385">
        <v>0</v>
      </c>
      <c r="HI385">
        <v>556</v>
      </c>
      <c r="HL385">
        <v>2019</v>
      </c>
      <c r="HM385">
        <v>46</v>
      </c>
      <c r="HN385" t="s">
        <v>33</v>
      </c>
      <c r="HO385">
        <v>161995</v>
      </c>
      <c r="HP385">
        <v>160965</v>
      </c>
      <c r="HQ385">
        <v>405</v>
      </c>
      <c r="HR385">
        <v>4</v>
      </c>
      <c r="HS385">
        <v>0</v>
      </c>
      <c r="HT385">
        <v>556</v>
      </c>
      <c r="HU385">
        <v>0</v>
      </c>
      <c r="HV385">
        <v>0</v>
      </c>
      <c r="HW385">
        <v>160</v>
      </c>
      <c r="HZ385" s="24">
        <v>2019</v>
      </c>
      <c r="IA385" s="24">
        <v>46</v>
      </c>
      <c r="IB385" s="24" t="s">
        <v>33</v>
      </c>
      <c r="IC385" s="24">
        <v>9207</v>
      </c>
      <c r="ID385" s="24">
        <v>8674</v>
      </c>
      <c r="IG385" s="319">
        <v>2019</v>
      </c>
      <c r="IH385" s="319">
        <v>46</v>
      </c>
      <c r="II385" s="319" t="s">
        <v>33</v>
      </c>
      <c r="IJ385" s="319">
        <v>8609</v>
      </c>
      <c r="IK385" s="319">
        <v>8389</v>
      </c>
    </row>
    <row r="386" spans="9:245" x14ac:dyDescent="0.4">
      <c r="I386" s="305">
        <v>2019</v>
      </c>
      <c r="J386" s="306">
        <v>46</v>
      </c>
      <c r="K386" s="306" t="s">
        <v>33</v>
      </c>
      <c r="L386" s="306">
        <v>162479</v>
      </c>
      <c r="M386" s="306">
        <v>118501</v>
      </c>
      <c r="N386" s="306">
        <v>377</v>
      </c>
      <c r="O386" s="306">
        <v>5632</v>
      </c>
      <c r="P386" s="306">
        <v>411</v>
      </c>
      <c r="Q386" s="306">
        <v>32</v>
      </c>
      <c r="R386" s="24"/>
      <c r="S386" s="24"/>
      <c r="T386" s="24"/>
      <c r="W386" s="319">
        <v>2019</v>
      </c>
      <c r="X386" s="319">
        <v>45</v>
      </c>
      <c r="Y386" s="319" t="s">
        <v>32</v>
      </c>
      <c r="Z386" s="319">
        <v>6684</v>
      </c>
      <c r="AA386" s="319">
        <v>6590</v>
      </c>
      <c r="AB386" s="319">
        <v>4</v>
      </c>
      <c r="AC386" s="319"/>
      <c r="AI386" s="24"/>
      <c r="AJ386" s="24"/>
      <c r="AK386" s="24"/>
      <c r="AL386" s="24"/>
      <c r="AM386" s="24"/>
      <c r="AN386" s="24"/>
      <c r="AO386" s="24"/>
      <c r="AP386" s="24"/>
      <c r="AQ386" s="24"/>
      <c r="AR386" s="24"/>
      <c r="BI386" s="24">
        <v>2021</v>
      </c>
      <c r="BJ386" s="24">
        <v>27</v>
      </c>
      <c r="BK386" s="24" t="s">
        <v>32</v>
      </c>
      <c r="BL386" s="24" t="s">
        <v>272</v>
      </c>
      <c r="BM386" s="24">
        <v>1726</v>
      </c>
      <c r="BN386" s="24">
        <v>1726</v>
      </c>
      <c r="BO386" s="24">
        <v>6092</v>
      </c>
      <c r="DD386" s="24"/>
      <c r="DE386" s="24"/>
      <c r="DF386" s="24"/>
      <c r="DG386" s="24"/>
      <c r="DJ386" s="24">
        <v>2020</v>
      </c>
      <c r="DK386" s="24">
        <v>4</v>
      </c>
      <c r="DL386" s="24" t="s">
        <v>213</v>
      </c>
      <c r="DM386" s="24">
        <v>6</v>
      </c>
      <c r="DP386" s="24"/>
      <c r="DQ386" s="24"/>
      <c r="DR386" s="24"/>
      <c r="DS386" s="24"/>
      <c r="EI386" s="24">
        <v>2022</v>
      </c>
      <c r="EJ386" s="24">
        <v>51</v>
      </c>
      <c r="EK386" s="24" t="s">
        <v>237</v>
      </c>
      <c r="EL386" s="24" t="s">
        <v>240</v>
      </c>
      <c r="EM386" s="24" t="s">
        <v>210</v>
      </c>
      <c r="EN386" s="24">
        <v>1</v>
      </c>
      <c r="EO386" s="24"/>
      <c r="EP386" s="24"/>
      <c r="EQ386" s="24"/>
      <c r="ER386" s="24"/>
      <c r="ES386" s="24">
        <v>2020</v>
      </c>
      <c r="ET386" s="24">
        <v>34</v>
      </c>
      <c r="EU386" s="24" t="s">
        <v>213</v>
      </c>
      <c r="EV386" s="24">
        <v>50</v>
      </c>
      <c r="FE386" s="24"/>
      <c r="FF386" s="24"/>
      <c r="FG386" s="24"/>
      <c r="FH386" s="24"/>
      <c r="FN386" s="24"/>
      <c r="FO386" s="24"/>
      <c r="FP386" s="24"/>
      <c r="FQ386" s="24"/>
      <c r="FW386" s="24">
        <v>2019</v>
      </c>
      <c r="FX386" s="24">
        <v>45</v>
      </c>
      <c r="FY386" s="24" t="s">
        <v>32</v>
      </c>
      <c r="FZ386" s="24">
        <v>951</v>
      </c>
      <c r="GA386" s="24">
        <v>918</v>
      </c>
      <c r="GB386" s="24"/>
      <c r="GC386" s="24"/>
      <c r="GD386" s="319">
        <v>2019</v>
      </c>
      <c r="GE386" s="319">
        <v>45</v>
      </c>
      <c r="GF386" s="319" t="s">
        <v>32</v>
      </c>
      <c r="GG386" s="319">
        <v>944</v>
      </c>
      <c r="GH386" s="319">
        <v>914</v>
      </c>
      <c r="GK386" s="24"/>
      <c r="GL386" s="24"/>
      <c r="GM386" s="24"/>
      <c r="GN386" s="24"/>
      <c r="GO386" s="24"/>
      <c r="GX386">
        <v>2019</v>
      </c>
      <c r="GY386">
        <v>45</v>
      </c>
      <c r="GZ386" t="s">
        <v>32</v>
      </c>
      <c r="HA386">
        <v>6667</v>
      </c>
      <c r="HB386">
        <v>6547</v>
      </c>
      <c r="HC386">
        <v>0</v>
      </c>
      <c r="HD386">
        <v>0</v>
      </c>
      <c r="HE386">
        <v>0</v>
      </c>
      <c r="HF386">
        <v>7</v>
      </c>
      <c r="HG386">
        <v>0</v>
      </c>
      <c r="HH386">
        <v>0</v>
      </c>
      <c r="HI386">
        <v>14</v>
      </c>
      <c r="HL386">
        <v>2019</v>
      </c>
      <c r="HM386">
        <v>45</v>
      </c>
      <c r="HN386" t="s">
        <v>32</v>
      </c>
      <c r="HO386">
        <v>6679</v>
      </c>
      <c r="HP386">
        <v>6629</v>
      </c>
      <c r="HQ386">
        <v>0</v>
      </c>
      <c r="HR386">
        <v>2</v>
      </c>
      <c r="HS386">
        <v>0</v>
      </c>
      <c r="HT386">
        <v>4</v>
      </c>
      <c r="HU386">
        <v>0</v>
      </c>
      <c r="HV386">
        <v>0</v>
      </c>
      <c r="HW386">
        <v>2</v>
      </c>
      <c r="HZ386" s="24">
        <v>2019</v>
      </c>
      <c r="IA386" s="24">
        <v>45</v>
      </c>
      <c r="IB386" s="24" t="s">
        <v>32</v>
      </c>
      <c r="IC386" s="24">
        <v>941</v>
      </c>
      <c r="ID386" s="24">
        <v>911</v>
      </c>
      <c r="IG386" s="319">
        <v>2019</v>
      </c>
      <c r="IH386" s="319">
        <v>45</v>
      </c>
      <c r="II386" s="319" t="s">
        <v>32</v>
      </c>
      <c r="IJ386" s="319">
        <v>923</v>
      </c>
      <c r="IK386" s="319">
        <v>914</v>
      </c>
    </row>
    <row r="387" spans="9:245" x14ac:dyDescent="0.4">
      <c r="I387" s="305">
        <v>2019</v>
      </c>
      <c r="J387" s="306">
        <v>45</v>
      </c>
      <c r="K387" s="306" t="s">
        <v>32</v>
      </c>
      <c r="L387" s="306">
        <v>6762</v>
      </c>
      <c r="M387" s="306">
        <v>6631</v>
      </c>
      <c r="N387" s="306">
        <v>12</v>
      </c>
      <c r="O387" s="306">
        <v>43</v>
      </c>
      <c r="P387" s="306">
        <v>5</v>
      </c>
      <c r="Q387" s="306"/>
      <c r="R387" s="24"/>
      <c r="S387" s="24"/>
      <c r="T387" s="24"/>
      <c r="W387" s="319">
        <v>2019</v>
      </c>
      <c r="X387" s="319">
        <v>45</v>
      </c>
      <c r="Y387" s="319" t="s">
        <v>33</v>
      </c>
      <c r="Z387" s="319">
        <v>166762</v>
      </c>
      <c r="AA387" s="319">
        <v>113349</v>
      </c>
      <c r="AB387" s="319">
        <v>397</v>
      </c>
      <c r="AC387" s="319">
        <v>67</v>
      </c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BI387" s="24">
        <v>2021</v>
      </c>
      <c r="BJ387" s="24">
        <v>27</v>
      </c>
      <c r="BK387" s="24" t="s">
        <v>32</v>
      </c>
      <c r="BL387" s="24" t="s">
        <v>273</v>
      </c>
      <c r="BM387" s="24">
        <v>4664</v>
      </c>
      <c r="BN387" s="24">
        <v>4642</v>
      </c>
      <c r="BO387" s="24">
        <v>4805</v>
      </c>
      <c r="DD387" s="24"/>
      <c r="DE387" s="24"/>
      <c r="DF387" s="24"/>
      <c r="DG387" s="24"/>
      <c r="DJ387" s="24">
        <v>2020</v>
      </c>
      <c r="DK387" s="24">
        <v>3</v>
      </c>
      <c r="DL387" s="24" t="s">
        <v>32</v>
      </c>
      <c r="DM387" s="24">
        <v>292</v>
      </c>
      <c r="DP387" s="24"/>
      <c r="DQ387" s="24"/>
      <c r="DR387" s="24"/>
      <c r="DS387" s="24"/>
      <c r="EI387" s="24">
        <v>2022</v>
      </c>
      <c r="EJ387" s="24">
        <v>51</v>
      </c>
      <c r="EK387" s="24" t="s">
        <v>237</v>
      </c>
      <c r="EL387" s="24" t="s">
        <v>233</v>
      </c>
      <c r="EM387" s="24" t="s">
        <v>210</v>
      </c>
      <c r="EN387" s="24">
        <v>1</v>
      </c>
      <c r="EO387" s="24"/>
      <c r="EP387" s="24"/>
      <c r="EQ387" s="24"/>
      <c r="ER387" s="24"/>
      <c r="ES387" s="24">
        <v>2020</v>
      </c>
      <c r="ET387" s="24">
        <v>33</v>
      </c>
      <c r="EU387" s="24" t="s">
        <v>32</v>
      </c>
      <c r="EV387" s="24">
        <v>2197</v>
      </c>
      <c r="FE387" s="24"/>
      <c r="FF387" s="24"/>
      <c r="FG387" s="24"/>
      <c r="FH387" s="24"/>
      <c r="FN387" s="24"/>
      <c r="FO387" s="24"/>
      <c r="FP387" s="24"/>
      <c r="FQ387" s="24"/>
      <c r="FW387" s="24">
        <v>2019</v>
      </c>
      <c r="FX387" s="24">
        <v>45</v>
      </c>
      <c r="FY387" s="24" t="s">
        <v>33</v>
      </c>
      <c r="FZ387" s="24">
        <v>10004</v>
      </c>
      <c r="GA387" s="24">
        <v>8992</v>
      </c>
      <c r="GB387" s="24"/>
      <c r="GC387" s="24"/>
      <c r="GD387" s="319">
        <v>2019</v>
      </c>
      <c r="GE387" s="319">
        <v>45</v>
      </c>
      <c r="GF387" s="319" t="s">
        <v>33</v>
      </c>
      <c r="GG387" s="319">
        <v>10060</v>
      </c>
      <c r="GH387" s="319">
        <v>9180</v>
      </c>
      <c r="GK387" s="24"/>
      <c r="GL387" s="24"/>
      <c r="GM387" s="24"/>
      <c r="GN387" s="24"/>
      <c r="GO387" s="24"/>
      <c r="GX387">
        <v>2019</v>
      </c>
      <c r="GY387">
        <v>45</v>
      </c>
      <c r="GZ387" t="s">
        <v>33</v>
      </c>
      <c r="HA387">
        <v>166587</v>
      </c>
      <c r="HB387">
        <v>161623</v>
      </c>
      <c r="HC387">
        <v>403</v>
      </c>
      <c r="HD387">
        <v>36</v>
      </c>
      <c r="HE387">
        <v>0</v>
      </c>
      <c r="HF387">
        <v>3154</v>
      </c>
      <c r="HG387">
        <v>0</v>
      </c>
      <c r="HH387">
        <v>0</v>
      </c>
      <c r="HI387">
        <v>721</v>
      </c>
      <c r="HL387">
        <v>2019</v>
      </c>
      <c r="HM387">
        <v>45</v>
      </c>
      <c r="HN387" t="s">
        <v>33</v>
      </c>
      <c r="HO387">
        <v>166431</v>
      </c>
      <c r="HP387">
        <v>162933</v>
      </c>
      <c r="HQ387">
        <v>422</v>
      </c>
      <c r="HR387">
        <v>31</v>
      </c>
      <c r="HS387">
        <v>0</v>
      </c>
      <c r="HT387">
        <v>2940</v>
      </c>
      <c r="HU387">
        <v>0</v>
      </c>
      <c r="HV387">
        <v>0</v>
      </c>
      <c r="HW387">
        <v>243</v>
      </c>
      <c r="HZ387" s="24">
        <v>2019</v>
      </c>
      <c r="IA387" s="24">
        <v>45</v>
      </c>
      <c r="IB387" s="24" t="s">
        <v>33</v>
      </c>
      <c r="IC387" s="24">
        <v>10088</v>
      </c>
      <c r="ID387" s="24">
        <v>9555</v>
      </c>
      <c r="IG387" s="319">
        <v>2019</v>
      </c>
      <c r="IH387" s="319">
        <v>45</v>
      </c>
      <c r="II387" s="319" t="s">
        <v>33</v>
      </c>
      <c r="IJ387" s="319">
        <v>9288</v>
      </c>
      <c r="IK387" s="319">
        <v>9150</v>
      </c>
    </row>
    <row r="388" spans="9:245" x14ac:dyDescent="0.4">
      <c r="I388" s="305">
        <v>2019</v>
      </c>
      <c r="J388" s="306">
        <v>45</v>
      </c>
      <c r="K388" s="306" t="s">
        <v>33</v>
      </c>
      <c r="L388" s="306">
        <v>167227</v>
      </c>
      <c r="M388" s="306">
        <v>113380</v>
      </c>
      <c r="N388" s="306">
        <v>620</v>
      </c>
      <c r="O388" s="306">
        <v>8180</v>
      </c>
      <c r="P388" s="306">
        <v>476</v>
      </c>
      <c r="Q388" s="306">
        <v>82</v>
      </c>
      <c r="R388" s="24"/>
      <c r="S388" s="24"/>
      <c r="T388" s="24"/>
      <c r="W388" s="24">
        <v>2019</v>
      </c>
      <c r="X388" s="24">
        <v>44</v>
      </c>
      <c r="Y388" s="24" t="s">
        <v>32</v>
      </c>
      <c r="Z388" s="24">
        <v>7089</v>
      </c>
      <c r="AA388" s="24">
        <v>6925</v>
      </c>
      <c r="AB388" s="24">
        <v>6</v>
      </c>
      <c r="AC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BI388" s="24">
        <v>2021</v>
      </c>
      <c r="BJ388" s="24">
        <v>27</v>
      </c>
      <c r="BK388" s="24" t="s">
        <v>33</v>
      </c>
      <c r="BL388" s="24" t="s">
        <v>272</v>
      </c>
      <c r="BM388" s="24">
        <v>41282</v>
      </c>
      <c r="BN388" s="24">
        <v>41254</v>
      </c>
      <c r="BO388" s="24">
        <v>150452</v>
      </c>
      <c r="DD388" s="24"/>
      <c r="DE388" s="24"/>
      <c r="DF388" s="24"/>
      <c r="DG388" s="24"/>
      <c r="DJ388" s="24">
        <v>2020</v>
      </c>
      <c r="DK388" s="24">
        <v>3</v>
      </c>
      <c r="DL388" s="24" t="s">
        <v>33</v>
      </c>
      <c r="DM388" s="24">
        <v>3013</v>
      </c>
      <c r="DP388" s="24"/>
      <c r="DQ388" s="24"/>
      <c r="DR388" s="24"/>
      <c r="DS388" s="24"/>
      <c r="EI388" s="24">
        <v>2022</v>
      </c>
      <c r="EJ388" s="24">
        <v>51</v>
      </c>
      <c r="EK388" s="24" t="s">
        <v>237</v>
      </c>
      <c r="EL388" s="24" t="s">
        <v>233</v>
      </c>
      <c r="EM388" s="24" t="s">
        <v>215</v>
      </c>
      <c r="EN388" s="24">
        <v>2</v>
      </c>
      <c r="EO388" s="24"/>
      <c r="EP388" s="24"/>
      <c r="EQ388" s="24"/>
      <c r="ER388" s="24"/>
      <c r="ES388" s="24">
        <v>2020</v>
      </c>
      <c r="ET388" s="24">
        <v>33</v>
      </c>
      <c r="EU388" s="24" t="s">
        <v>33</v>
      </c>
      <c r="EV388" s="24">
        <v>71740</v>
      </c>
      <c r="FE388" s="24"/>
      <c r="FF388" s="24"/>
      <c r="FG388" s="24"/>
      <c r="FH388" s="24"/>
      <c r="FN388" s="24"/>
      <c r="FO388" s="24"/>
      <c r="FP388" s="24"/>
      <c r="FQ388" s="24"/>
      <c r="FW388" s="24">
        <v>2019</v>
      </c>
      <c r="FX388" s="24">
        <v>44</v>
      </c>
      <c r="FY388" s="24" t="s">
        <v>32</v>
      </c>
      <c r="FZ388" s="24">
        <v>970</v>
      </c>
      <c r="GA388" s="24">
        <v>926</v>
      </c>
      <c r="GB388" s="24"/>
      <c r="GC388" s="24"/>
      <c r="GD388" s="24">
        <v>2019</v>
      </c>
      <c r="GE388" s="24">
        <v>44</v>
      </c>
      <c r="GF388" s="24" t="s">
        <v>32</v>
      </c>
      <c r="GG388" s="24">
        <v>965</v>
      </c>
      <c r="GH388" s="24">
        <v>931</v>
      </c>
      <c r="GK388" s="24"/>
      <c r="GL388" s="24"/>
      <c r="GM388" s="24"/>
      <c r="GN388" s="24"/>
      <c r="GO388" s="24"/>
      <c r="GX388">
        <v>2019</v>
      </c>
      <c r="GY388">
        <v>44</v>
      </c>
      <c r="GZ388" t="s">
        <v>32</v>
      </c>
      <c r="HA388">
        <v>7043</v>
      </c>
      <c r="HB388">
        <v>6881</v>
      </c>
      <c r="HC388">
        <v>0</v>
      </c>
      <c r="HD388">
        <v>10</v>
      </c>
      <c r="HE388">
        <v>0</v>
      </c>
      <c r="HF388">
        <v>6</v>
      </c>
      <c r="HG388">
        <v>0</v>
      </c>
      <c r="HH388">
        <v>0</v>
      </c>
      <c r="HI388">
        <v>17</v>
      </c>
      <c r="HL388">
        <v>2019</v>
      </c>
      <c r="HM388">
        <v>44</v>
      </c>
      <c r="HN388" t="s">
        <v>32</v>
      </c>
      <c r="HO388">
        <v>7078</v>
      </c>
      <c r="HP388">
        <v>6972</v>
      </c>
      <c r="HQ388">
        <v>1</v>
      </c>
      <c r="HR388">
        <v>4</v>
      </c>
      <c r="HS388">
        <v>0</v>
      </c>
      <c r="HT388">
        <v>13</v>
      </c>
      <c r="HU388">
        <v>0</v>
      </c>
      <c r="HV388">
        <v>0</v>
      </c>
      <c r="HW388">
        <v>12</v>
      </c>
      <c r="HZ388" s="24">
        <v>2019</v>
      </c>
      <c r="IA388" s="24">
        <v>44</v>
      </c>
      <c r="IB388" s="24" t="s">
        <v>32</v>
      </c>
      <c r="IC388" s="24">
        <v>925</v>
      </c>
      <c r="ID388" s="24">
        <v>885</v>
      </c>
      <c r="IG388" s="24">
        <v>2019</v>
      </c>
      <c r="IH388" s="24">
        <v>44</v>
      </c>
      <c r="II388" s="24" t="s">
        <v>32</v>
      </c>
      <c r="IJ388" s="24">
        <v>945</v>
      </c>
      <c r="IK388" s="24">
        <v>935</v>
      </c>
    </row>
    <row r="389" spans="9:245" x14ac:dyDescent="0.4">
      <c r="I389" s="305">
        <v>2019</v>
      </c>
      <c r="J389" s="306">
        <v>44</v>
      </c>
      <c r="K389" s="306" t="s">
        <v>32</v>
      </c>
      <c r="L389" s="306">
        <v>7128</v>
      </c>
      <c r="M389" s="306">
        <v>6940</v>
      </c>
      <c r="N389" s="306">
        <v>12</v>
      </c>
      <c r="O389" s="306">
        <v>63</v>
      </c>
      <c r="P389" s="306">
        <v>15</v>
      </c>
      <c r="Q389" s="306"/>
      <c r="R389" s="24"/>
      <c r="S389" s="24"/>
      <c r="T389" s="24"/>
      <c r="W389" s="24">
        <v>2019</v>
      </c>
      <c r="X389" s="24">
        <v>44</v>
      </c>
      <c r="Y389" s="24" t="s">
        <v>33</v>
      </c>
      <c r="Z389" s="24">
        <v>159598</v>
      </c>
      <c r="AA389" s="24">
        <v>103364</v>
      </c>
      <c r="AB389" s="24">
        <v>701</v>
      </c>
      <c r="AC389" s="24">
        <v>3</v>
      </c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BI389" s="24">
        <v>2021</v>
      </c>
      <c r="BJ389" s="24">
        <v>27</v>
      </c>
      <c r="BK389" s="24" t="s">
        <v>33</v>
      </c>
      <c r="BL389" s="24" t="s">
        <v>273</v>
      </c>
      <c r="BM389" s="24">
        <v>75043</v>
      </c>
      <c r="BN389" s="24">
        <v>74631</v>
      </c>
      <c r="BO389" s="24">
        <v>76679</v>
      </c>
      <c r="DD389" s="24"/>
      <c r="DE389" s="24"/>
      <c r="DF389" s="24"/>
      <c r="DG389" s="24"/>
      <c r="DJ389" s="24">
        <v>2020</v>
      </c>
      <c r="DK389" s="24">
        <v>3</v>
      </c>
      <c r="DL389" s="24" t="s">
        <v>213</v>
      </c>
      <c r="DM389" s="24">
        <v>4</v>
      </c>
      <c r="DP389" s="24"/>
      <c r="DQ389" s="24"/>
      <c r="DR389" s="24"/>
      <c r="DS389" s="24"/>
      <c r="EI389" s="24">
        <v>2022</v>
      </c>
      <c r="EJ389" s="24">
        <v>51</v>
      </c>
      <c r="EK389" s="24" t="s">
        <v>237</v>
      </c>
      <c r="EL389" s="24" t="s">
        <v>554</v>
      </c>
      <c r="EM389" s="24" t="s">
        <v>210</v>
      </c>
      <c r="EN389" s="24">
        <v>1</v>
      </c>
      <c r="EO389" s="24"/>
      <c r="EP389" s="24"/>
      <c r="EQ389" s="24"/>
      <c r="ER389" s="24"/>
      <c r="ES389" s="24">
        <v>2020</v>
      </c>
      <c r="ET389" s="24">
        <v>33</v>
      </c>
      <c r="EU389" s="24" t="s">
        <v>213</v>
      </c>
      <c r="EV389" s="24">
        <v>39</v>
      </c>
      <c r="FE389" s="24"/>
      <c r="FF389" s="24"/>
      <c r="FG389" s="24"/>
      <c r="FH389" s="24"/>
      <c r="FN389" s="24"/>
      <c r="FO389" s="24"/>
      <c r="FP389" s="24"/>
      <c r="FQ389" s="24"/>
      <c r="FW389" s="24">
        <v>2019</v>
      </c>
      <c r="FX389" s="24">
        <v>44</v>
      </c>
      <c r="FY389" s="24" t="s">
        <v>33</v>
      </c>
      <c r="FZ389" s="24">
        <v>9754</v>
      </c>
      <c r="GA389" s="24">
        <v>8271</v>
      </c>
      <c r="GB389" s="24"/>
      <c r="GC389" s="24"/>
      <c r="GD389" s="24">
        <v>2019</v>
      </c>
      <c r="GE389" s="24">
        <v>44</v>
      </c>
      <c r="GF389" s="24" t="s">
        <v>33</v>
      </c>
      <c r="GG389" s="24">
        <v>9659</v>
      </c>
      <c r="GH389" s="24">
        <v>8336</v>
      </c>
      <c r="GK389" s="24"/>
      <c r="GL389" s="24"/>
      <c r="GM389" s="24"/>
      <c r="GN389" s="24"/>
      <c r="GO389" s="24"/>
      <c r="GX389">
        <v>2019</v>
      </c>
      <c r="GY389">
        <v>44</v>
      </c>
      <c r="GZ389" t="s">
        <v>33</v>
      </c>
      <c r="HA389">
        <v>163486</v>
      </c>
      <c r="HB389">
        <v>160190</v>
      </c>
      <c r="HC389">
        <v>503</v>
      </c>
      <c r="HD389">
        <v>18</v>
      </c>
      <c r="HE389">
        <v>0</v>
      </c>
      <c r="HF389">
        <v>1435</v>
      </c>
      <c r="HG389">
        <v>0</v>
      </c>
      <c r="HH389">
        <v>0</v>
      </c>
      <c r="HI389">
        <v>576</v>
      </c>
      <c r="HL389">
        <v>2019</v>
      </c>
      <c r="HM389">
        <v>44</v>
      </c>
      <c r="HN389" t="s">
        <v>33</v>
      </c>
      <c r="HO389">
        <v>159311</v>
      </c>
      <c r="HP389">
        <v>157672</v>
      </c>
      <c r="HQ389">
        <v>410</v>
      </c>
      <c r="HR389">
        <v>10</v>
      </c>
      <c r="HS389">
        <v>0</v>
      </c>
      <c r="HT389">
        <v>1195</v>
      </c>
      <c r="HU389">
        <v>0</v>
      </c>
      <c r="HV389">
        <v>0</v>
      </c>
      <c r="HW389">
        <v>144</v>
      </c>
      <c r="HZ389" s="24">
        <v>2019</v>
      </c>
      <c r="IA389" s="24">
        <v>44</v>
      </c>
      <c r="IB389" s="24" t="s">
        <v>33</v>
      </c>
      <c r="IC389" s="24">
        <v>9838</v>
      </c>
      <c r="ID389" s="24">
        <v>8924</v>
      </c>
      <c r="IG389" s="24">
        <v>2019</v>
      </c>
      <c r="IH389" s="24">
        <v>44</v>
      </c>
      <c r="II389" s="24" t="s">
        <v>33</v>
      </c>
      <c r="IJ389" s="24">
        <v>8767</v>
      </c>
      <c r="IK389" s="24">
        <v>8514</v>
      </c>
    </row>
    <row r="390" spans="9:245" x14ac:dyDescent="0.4">
      <c r="I390" s="305">
        <v>2019</v>
      </c>
      <c r="J390" s="306">
        <v>44</v>
      </c>
      <c r="K390" s="306" t="s">
        <v>33</v>
      </c>
      <c r="L390" s="306">
        <v>160549</v>
      </c>
      <c r="M390" s="306">
        <v>103668</v>
      </c>
      <c r="N390" s="306">
        <v>624</v>
      </c>
      <c r="O390" s="306">
        <v>8318</v>
      </c>
      <c r="P390" s="306">
        <v>810</v>
      </c>
      <c r="Q390" s="306">
        <v>3</v>
      </c>
      <c r="R390" s="24"/>
      <c r="S390" s="24"/>
      <c r="T390" s="24"/>
      <c r="W390" s="320">
        <v>2019</v>
      </c>
      <c r="X390" s="320">
        <v>43</v>
      </c>
      <c r="Y390" s="320" t="s">
        <v>32</v>
      </c>
      <c r="Z390" s="320">
        <v>7225</v>
      </c>
      <c r="AA390" s="320">
        <v>7011</v>
      </c>
      <c r="AB390" s="320">
        <v>12</v>
      </c>
      <c r="AC390" s="320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BI390" s="24">
        <v>2021</v>
      </c>
      <c r="BJ390" s="24">
        <v>26</v>
      </c>
      <c r="BK390" s="24" t="s">
        <v>32</v>
      </c>
      <c r="BL390" s="24" t="s">
        <v>273</v>
      </c>
      <c r="BM390" s="24">
        <v>5119</v>
      </c>
      <c r="BN390" s="24">
        <v>5095</v>
      </c>
      <c r="BO390" s="24">
        <v>5227</v>
      </c>
      <c r="DD390" s="24"/>
      <c r="DE390" s="24"/>
      <c r="DF390" s="24"/>
      <c r="DG390" s="24"/>
      <c r="DJ390" s="24">
        <v>2020</v>
      </c>
      <c r="DK390" s="24">
        <v>2</v>
      </c>
      <c r="DL390" s="24" t="s">
        <v>32</v>
      </c>
      <c r="DM390" s="24">
        <v>703</v>
      </c>
      <c r="DP390" s="24"/>
      <c r="DQ390" s="24"/>
      <c r="DR390" s="24"/>
      <c r="DS390" s="24"/>
      <c r="EI390" s="24">
        <v>2022</v>
      </c>
      <c r="EJ390" s="24">
        <v>51</v>
      </c>
      <c r="EK390" s="24" t="s">
        <v>237</v>
      </c>
      <c r="EL390" s="24" t="s">
        <v>235</v>
      </c>
      <c r="EM390" s="24" t="s">
        <v>210</v>
      </c>
      <c r="EN390" s="24">
        <v>1</v>
      </c>
      <c r="EO390" s="24"/>
      <c r="EP390" s="24"/>
      <c r="EQ390" s="24"/>
      <c r="ER390" s="24"/>
      <c r="ES390" s="24">
        <v>2020</v>
      </c>
      <c r="ET390" s="24">
        <v>32</v>
      </c>
      <c r="EU390" s="24" t="s">
        <v>32</v>
      </c>
      <c r="EV390" s="24">
        <v>2241</v>
      </c>
      <c r="FE390" s="24"/>
      <c r="FF390" s="24"/>
      <c r="FG390" s="24"/>
      <c r="FH390" s="24"/>
      <c r="FN390" s="24"/>
      <c r="FO390" s="24"/>
      <c r="FP390" s="24"/>
      <c r="FQ390" s="24"/>
      <c r="FW390" s="24">
        <v>2019</v>
      </c>
      <c r="FX390" s="24">
        <v>43</v>
      </c>
      <c r="FY390" s="24" t="s">
        <v>32</v>
      </c>
      <c r="FZ390" s="24">
        <v>973</v>
      </c>
      <c r="GA390" s="24">
        <v>900</v>
      </c>
      <c r="GB390" s="24"/>
      <c r="GC390" s="24"/>
      <c r="GD390" s="320">
        <v>2019</v>
      </c>
      <c r="GE390" s="320">
        <v>43</v>
      </c>
      <c r="GF390" s="320" t="s">
        <v>32</v>
      </c>
      <c r="GG390" s="320">
        <v>1017</v>
      </c>
      <c r="GH390" s="320">
        <v>966</v>
      </c>
      <c r="GK390" s="24"/>
      <c r="GL390" s="24"/>
      <c r="GM390" s="24"/>
      <c r="GN390" s="24"/>
      <c r="GO390" s="24"/>
      <c r="GX390">
        <v>2019</v>
      </c>
      <c r="GY390">
        <v>43</v>
      </c>
      <c r="GZ390" t="s">
        <v>32</v>
      </c>
      <c r="HA390">
        <v>6956</v>
      </c>
      <c r="HB390">
        <v>6698</v>
      </c>
      <c r="HC390">
        <v>11</v>
      </c>
      <c r="HD390">
        <v>6</v>
      </c>
      <c r="HE390">
        <v>0</v>
      </c>
      <c r="HF390">
        <v>35</v>
      </c>
      <c r="HG390">
        <v>0</v>
      </c>
      <c r="HH390">
        <v>0</v>
      </c>
      <c r="HI390">
        <v>38</v>
      </c>
      <c r="HL390">
        <v>2019</v>
      </c>
      <c r="HM390">
        <v>43</v>
      </c>
      <c r="HN390" t="s">
        <v>32</v>
      </c>
      <c r="HO390">
        <v>7214</v>
      </c>
      <c r="HP390">
        <v>7077</v>
      </c>
      <c r="HQ390">
        <v>20</v>
      </c>
      <c r="HR390">
        <v>4</v>
      </c>
      <c r="HS390">
        <v>0</v>
      </c>
      <c r="HT390">
        <v>26</v>
      </c>
      <c r="HU390">
        <v>0</v>
      </c>
      <c r="HV390">
        <v>0</v>
      </c>
      <c r="HW390">
        <v>18</v>
      </c>
      <c r="HZ390" s="24">
        <v>2019</v>
      </c>
      <c r="IA390" s="24">
        <v>43</v>
      </c>
      <c r="IB390" s="24" t="s">
        <v>32</v>
      </c>
      <c r="IC390" s="24">
        <v>971</v>
      </c>
      <c r="ID390" s="24">
        <v>895</v>
      </c>
      <c r="IG390" s="320">
        <v>2019</v>
      </c>
      <c r="IH390" s="320">
        <v>43</v>
      </c>
      <c r="II390" s="320" t="s">
        <v>32</v>
      </c>
      <c r="IJ390" s="320">
        <v>999</v>
      </c>
      <c r="IK390" s="320">
        <v>975</v>
      </c>
    </row>
    <row r="391" spans="9:245" x14ac:dyDescent="0.4">
      <c r="I391" s="305">
        <v>2019</v>
      </c>
      <c r="J391" s="306">
        <v>43</v>
      </c>
      <c r="K391" s="306" t="s">
        <v>32</v>
      </c>
      <c r="L391" s="306">
        <v>6943</v>
      </c>
      <c r="M391" s="306">
        <v>6699</v>
      </c>
      <c r="N391" s="306">
        <v>12</v>
      </c>
      <c r="O391" s="306">
        <v>70</v>
      </c>
      <c r="P391" s="306">
        <v>17</v>
      </c>
      <c r="Q391" s="306"/>
      <c r="R391" s="24"/>
      <c r="S391" s="24"/>
      <c r="T391" s="24"/>
      <c r="W391" s="320">
        <v>2019</v>
      </c>
      <c r="X391" s="320">
        <v>43</v>
      </c>
      <c r="Y391" s="320" t="s">
        <v>33</v>
      </c>
      <c r="Z391" s="320">
        <v>159345</v>
      </c>
      <c r="AA391" s="320">
        <v>115297</v>
      </c>
      <c r="AB391" s="320">
        <v>798</v>
      </c>
      <c r="AC391" s="320">
        <v>30</v>
      </c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BI391" s="24">
        <v>2021</v>
      </c>
      <c r="BJ391" s="24">
        <v>26</v>
      </c>
      <c r="BK391" s="24" t="s">
        <v>32</v>
      </c>
      <c r="BL391" s="24" t="s">
        <v>272</v>
      </c>
      <c r="BM391" s="24">
        <v>2175</v>
      </c>
      <c r="BN391" s="24">
        <v>2173</v>
      </c>
      <c r="BO391" s="24">
        <v>7490</v>
      </c>
      <c r="DD391" s="24"/>
      <c r="DE391" s="24"/>
      <c r="DF391" s="24"/>
      <c r="DG391" s="24"/>
      <c r="DJ391" s="24">
        <v>2020</v>
      </c>
      <c r="DK391" s="24">
        <v>2</v>
      </c>
      <c r="DL391" s="24" t="s">
        <v>33</v>
      </c>
      <c r="DM391" s="24">
        <v>5504</v>
      </c>
      <c r="DP391" s="24"/>
      <c r="DQ391" s="24"/>
      <c r="DR391" s="24"/>
      <c r="DS391" s="24"/>
      <c r="EI391" s="24">
        <v>2022</v>
      </c>
      <c r="EJ391" s="24">
        <v>51</v>
      </c>
      <c r="EK391" s="24" t="s">
        <v>237</v>
      </c>
      <c r="EL391" s="24" t="s">
        <v>247</v>
      </c>
      <c r="EM391" s="24" t="s">
        <v>210</v>
      </c>
      <c r="EN391" s="24">
        <v>4</v>
      </c>
      <c r="EO391" s="24"/>
      <c r="EP391" s="24"/>
      <c r="EQ391" s="24"/>
      <c r="ER391" s="24"/>
      <c r="ES391" s="24">
        <v>2020</v>
      </c>
      <c r="ET391" s="24">
        <v>32</v>
      </c>
      <c r="EU391" s="24" t="s">
        <v>33</v>
      </c>
      <c r="EV391" s="24">
        <v>68868</v>
      </c>
      <c r="FW391" s="24">
        <v>2019</v>
      </c>
      <c r="FX391" s="24">
        <v>43</v>
      </c>
      <c r="FY391" s="24" t="s">
        <v>33</v>
      </c>
      <c r="FZ391" s="24">
        <v>10701</v>
      </c>
      <c r="GA391" s="24">
        <v>9179</v>
      </c>
      <c r="GB391" s="24"/>
      <c r="GC391" s="24"/>
      <c r="GD391" s="320">
        <v>2019</v>
      </c>
      <c r="GE391" s="320">
        <v>43</v>
      </c>
      <c r="GF391" s="320" t="s">
        <v>33</v>
      </c>
      <c r="GG391" s="320">
        <v>11797</v>
      </c>
      <c r="GH391" s="320">
        <v>10324</v>
      </c>
      <c r="GK391" s="24"/>
      <c r="GL391" s="24"/>
      <c r="GM391" s="24"/>
      <c r="GN391" s="24"/>
      <c r="GO391" s="24"/>
      <c r="GX391">
        <v>2019</v>
      </c>
      <c r="GY391">
        <v>43</v>
      </c>
      <c r="GZ391" t="s">
        <v>33</v>
      </c>
      <c r="HA391">
        <v>148578</v>
      </c>
      <c r="HB391">
        <v>144664</v>
      </c>
      <c r="HC391">
        <v>550</v>
      </c>
      <c r="HD391">
        <v>27</v>
      </c>
      <c r="HE391">
        <v>0</v>
      </c>
      <c r="HF391">
        <v>1723</v>
      </c>
      <c r="HG391">
        <v>0</v>
      </c>
      <c r="HH391">
        <v>0</v>
      </c>
      <c r="HI391">
        <v>874</v>
      </c>
      <c r="HL391">
        <v>2019</v>
      </c>
      <c r="HM391">
        <v>43</v>
      </c>
      <c r="HN391" t="s">
        <v>33</v>
      </c>
      <c r="HO391">
        <v>159100</v>
      </c>
      <c r="HP391">
        <v>157039</v>
      </c>
      <c r="HQ391">
        <v>527</v>
      </c>
      <c r="HR391">
        <v>15</v>
      </c>
      <c r="HS391">
        <v>0</v>
      </c>
      <c r="HT391">
        <v>1581</v>
      </c>
      <c r="HU391">
        <v>0</v>
      </c>
      <c r="HV391">
        <v>0</v>
      </c>
      <c r="HW391">
        <v>327</v>
      </c>
      <c r="HZ391" s="24">
        <v>2019</v>
      </c>
      <c r="IA391" s="24">
        <v>43</v>
      </c>
      <c r="IB391" s="24" t="s">
        <v>33</v>
      </c>
      <c r="IC391" s="24">
        <v>10413</v>
      </c>
      <c r="ID391" s="24">
        <v>9314</v>
      </c>
      <c r="IG391" s="320">
        <v>2019</v>
      </c>
      <c r="IH391" s="320">
        <v>43</v>
      </c>
      <c r="II391" s="320" t="s">
        <v>33</v>
      </c>
      <c r="IJ391" s="320">
        <v>10657</v>
      </c>
      <c r="IK391" s="320">
        <v>10132</v>
      </c>
    </row>
    <row r="392" spans="9:245" x14ac:dyDescent="0.4">
      <c r="I392" s="305">
        <v>2019</v>
      </c>
      <c r="J392" s="306">
        <v>43</v>
      </c>
      <c r="K392" s="306" t="s">
        <v>33</v>
      </c>
      <c r="L392" s="306">
        <v>149886</v>
      </c>
      <c r="M392" s="306">
        <v>107425</v>
      </c>
      <c r="N392" s="306">
        <v>626</v>
      </c>
      <c r="O392" s="306">
        <v>6155</v>
      </c>
      <c r="P392" s="306">
        <v>833</v>
      </c>
      <c r="Q392" s="306">
        <v>31</v>
      </c>
      <c r="R392" s="24"/>
      <c r="S392" s="24"/>
      <c r="T392" s="24"/>
      <c r="W392" s="320">
        <v>2019</v>
      </c>
      <c r="X392" s="320">
        <v>42</v>
      </c>
      <c r="Y392" s="320" t="s">
        <v>32</v>
      </c>
      <c r="Z392" s="320">
        <v>8068</v>
      </c>
      <c r="AA392" s="320">
        <v>7243</v>
      </c>
      <c r="AB392" s="320">
        <v>24</v>
      </c>
      <c r="AC392" s="320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BI392" s="24">
        <v>2021</v>
      </c>
      <c r="BJ392" s="24">
        <v>26</v>
      </c>
      <c r="BK392" s="24" t="s">
        <v>33</v>
      </c>
      <c r="BL392" s="24" t="s">
        <v>273</v>
      </c>
      <c r="BM392" s="24">
        <v>88983</v>
      </c>
      <c r="BN392" s="24">
        <v>88282</v>
      </c>
      <c r="BO392" s="24">
        <v>90868</v>
      </c>
      <c r="DD392" s="24"/>
      <c r="DE392" s="24"/>
      <c r="DF392" s="24"/>
      <c r="DG392" s="24"/>
      <c r="DJ392" s="24">
        <v>2020</v>
      </c>
      <c r="DK392" s="24">
        <v>2</v>
      </c>
      <c r="DL392" s="24" t="s">
        <v>213</v>
      </c>
      <c r="DM392" s="24">
        <v>11</v>
      </c>
      <c r="DP392" s="24"/>
      <c r="DQ392" s="24"/>
      <c r="DR392" s="24"/>
      <c r="DS392" s="24"/>
      <c r="EI392" s="24">
        <v>2022</v>
      </c>
      <c r="EJ392" s="24">
        <v>51</v>
      </c>
      <c r="EK392" s="24" t="s">
        <v>211</v>
      </c>
      <c r="EL392" s="24" t="s">
        <v>232</v>
      </c>
      <c r="EM392" s="24" t="s">
        <v>234</v>
      </c>
      <c r="EN392" s="24">
        <v>2</v>
      </c>
      <c r="EO392" s="24"/>
      <c r="EP392" s="24"/>
      <c r="EQ392" s="24"/>
      <c r="ER392" s="24"/>
      <c r="ES392" s="24">
        <v>2020</v>
      </c>
      <c r="ET392" s="24">
        <v>32</v>
      </c>
      <c r="EU392" s="24" t="s">
        <v>213</v>
      </c>
      <c r="EV392" s="24">
        <v>41</v>
      </c>
      <c r="FW392" s="24">
        <v>2019</v>
      </c>
      <c r="FX392" s="24">
        <v>42</v>
      </c>
      <c r="FY392" s="24" t="s">
        <v>32</v>
      </c>
      <c r="FZ392" s="24">
        <v>1153</v>
      </c>
      <c r="GA392" s="24">
        <v>786</v>
      </c>
      <c r="GB392" s="24"/>
      <c r="GC392" s="24"/>
      <c r="GD392" s="320">
        <v>2019</v>
      </c>
      <c r="GE392" s="320">
        <v>42</v>
      </c>
      <c r="GF392" s="320" t="s">
        <v>32</v>
      </c>
      <c r="GG392" s="320">
        <v>1077</v>
      </c>
      <c r="GH392" s="320">
        <v>745</v>
      </c>
      <c r="GK392" s="24"/>
      <c r="GL392" s="24"/>
      <c r="GM392" s="24"/>
      <c r="GN392" s="24"/>
      <c r="GO392" s="24"/>
      <c r="GX392">
        <v>2019</v>
      </c>
      <c r="GY392">
        <v>42</v>
      </c>
      <c r="GZ392" t="s">
        <v>32</v>
      </c>
      <c r="HA392">
        <v>8577</v>
      </c>
      <c r="HB392">
        <v>7676</v>
      </c>
      <c r="HC392">
        <v>99</v>
      </c>
      <c r="HD392">
        <v>18</v>
      </c>
      <c r="HE392">
        <v>0</v>
      </c>
      <c r="HF392">
        <v>438</v>
      </c>
      <c r="HG392">
        <v>0</v>
      </c>
      <c r="HH392">
        <v>0</v>
      </c>
      <c r="HI392">
        <v>109</v>
      </c>
      <c r="HL392">
        <v>2019</v>
      </c>
      <c r="HM392">
        <v>42</v>
      </c>
      <c r="HN392" t="s">
        <v>32</v>
      </c>
      <c r="HO392">
        <v>8045</v>
      </c>
      <c r="HP392">
        <v>7411</v>
      </c>
      <c r="HQ392">
        <v>95</v>
      </c>
      <c r="HR392">
        <v>15</v>
      </c>
      <c r="HS392">
        <v>0</v>
      </c>
      <c r="HT392">
        <v>469</v>
      </c>
      <c r="HU392">
        <v>0</v>
      </c>
      <c r="HV392">
        <v>0</v>
      </c>
      <c r="HW392">
        <v>64</v>
      </c>
      <c r="HZ392" s="24">
        <v>2019</v>
      </c>
      <c r="IA392" s="24">
        <v>42</v>
      </c>
      <c r="IB392" s="24" t="s">
        <v>32</v>
      </c>
      <c r="IC392" s="24">
        <v>1125</v>
      </c>
      <c r="ID392" s="24">
        <v>793</v>
      </c>
      <c r="IG392" s="320">
        <v>2019</v>
      </c>
      <c r="IH392" s="320">
        <v>42</v>
      </c>
      <c r="II392" s="320" t="s">
        <v>32</v>
      </c>
      <c r="IJ392" s="320">
        <v>1050</v>
      </c>
      <c r="IK392" s="320">
        <v>805</v>
      </c>
    </row>
    <row r="393" spans="9:245" x14ac:dyDescent="0.4">
      <c r="I393" s="305">
        <v>2019</v>
      </c>
      <c r="J393" s="306">
        <v>42</v>
      </c>
      <c r="K393" s="306" t="s">
        <v>32</v>
      </c>
      <c r="L393" s="306">
        <v>8636</v>
      </c>
      <c r="M393" s="306">
        <v>7693</v>
      </c>
      <c r="N393" s="306">
        <v>40</v>
      </c>
      <c r="O393" s="306">
        <v>259</v>
      </c>
      <c r="P393" s="306">
        <v>45</v>
      </c>
      <c r="Q393" s="306"/>
      <c r="R393" s="24"/>
      <c r="S393" s="24"/>
      <c r="T393" s="24"/>
      <c r="W393" s="320">
        <v>2019</v>
      </c>
      <c r="X393" s="320">
        <v>42</v>
      </c>
      <c r="Y393" s="320" t="s">
        <v>33</v>
      </c>
      <c r="Z393" s="320">
        <v>154052</v>
      </c>
      <c r="AA393" s="320">
        <v>100256</v>
      </c>
      <c r="AB393" s="320">
        <v>631</v>
      </c>
      <c r="AC393" s="320">
        <v>13</v>
      </c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BI393" s="24">
        <v>2021</v>
      </c>
      <c r="BJ393" s="24">
        <v>26</v>
      </c>
      <c r="BK393" s="24" t="s">
        <v>33</v>
      </c>
      <c r="BL393" s="24" t="s">
        <v>272</v>
      </c>
      <c r="BM393" s="24">
        <v>48122</v>
      </c>
      <c r="BN393" s="24">
        <v>48053</v>
      </c>
      <c r="BO393" s="24">
        <v>177755</v>
      </c>
      <c r="DD393" s="24"/>
      <c r="DE393" s="24"/>
      <c r="DF393" s="24"/>
      <c r="DG393" s="24"/>
      <c r="DJ393" s="24">
        <v>2020</v>
      </c>
      <c r="DK393" s="24">
        <v>1</v>
      </c>
      <c r="DL393" s="24" t="s">
        <v>32</v>
      </c>
      <c r="DM393" s="24">
        <v>297</v>
      </c>
      <c r="DP393" s="24"/>
      <c r="DQ393" s="24"/>
      <c r="DR393" s="24"/>
      <c r="DS393" s="24"/>
      <c r="EI393" s="24">
        <v>2022</v>
      </c>
      <c r="EJ393" s="24">
        <v>51</v>
      </c>
      <c r="EK393" s="24" t="s">
        <v>211</v>
      </c>
      <c r="EL393" s="24" t="s">
        <v>212</v>
      </c>
      <c r="EM393" s="24" t="s">
        <v>210</v>
      </c>
      <c r="EN393" s="24">
        <v>12</v>
      </c>
      <c r="EO393" s="24"/>
      <c r="EP393" s="24"/>
      <c r="EQ393" s="24"/>
      <c r="ER393" s="24"/>
      <c r="ES393" s="24">
        <v>2020</v>
      </c>
      <c r="ET393" s="24">
        <v>31</v>
      </c>
      <c r="EU393" s="24" t="s">
        <v>32</v>
      </c>
      <c r="EV393" s="24">
        <v>2241</v>
      </c>
      <c r="FW393" s="24">
        <v>2019</v>
      </c>
      <c r="FX393" s="24">
        <v>42</v>
      </c>
      <c r="FY393" s="24" t="s">
        <v>33</v>
      </c>
      <c r="FZ393" s="24">
        <v>11216</v>
      </c>
      <c r="GA393" s="24">
        <v>9517</v>
      </c>
      <c r="GB393" s="24"/>
      <c r="GC393" s="24"/>
      <c r="GD393" s="320">
        <v>2019</v>
      </c>
      <c r="GE393" s="320">
        <v>42</v>
      </c>
      <c r="GF393" s="320" t="s">
        <v>33</v>
      </c>
      <c r="GG393" s="320">
        <v>9984</v>
      </c>
      <c r="GH393" s="320">
        <v>8861</v>
      </c>
      <c r="GK393" s="24"/>
      <c r="GL393" s="24"/>
      <c r="GM393" s="24"/>
      <c r="GN393" s="24"/>
      <c r="GO393" s="24"/>
      <c r="GX393">
        <v>2019</v>
      </c>
      <c r="GY393">
        <v>42</v>
      </c>
      <c r="GZ393" t="s">
        <v>33</v>
      </c>
      <c r="HA393">
        <v>165011</v>
      </c>
      <c r="HB393">
        <v>161088</v>
      </c>
      <c r="HC393">
        <v>454</v>
      </c>
      <c r="HD393">
        <v>35</v>
      </c>
      <c r="HE393">
        <v>0</v>
      </c>
      <c r="HF393">
        <v>1450</v>
      </c>
      <c r="HG393">
        <v>0</v>
      </c>
      <c r="HH393">
        <v>0</v>
      </c>
      <c r="HI393">
        <v>717</v>
      </c>
      <c r="HL393">
        <v>2019</v>
      </c>
      <c r="HM393">
        <v>42</v>
      </c>
      <c r="HN393" t="s">
        <v>33</v>
      </c>
      <c r="HO393">
        <v>153770</v>
      </c>
      <c r="HP393">
        <v>152249</v>
      </c>
      <c r="HQ393">
        <v>348</v>
      </c>
      <c r="HR393">
        <v>32</v>
      </c>
      <c r="HS393">
        <v>0</v>
      </c>
      <c r="HT393">
        <v>1105</v>
      </c>
      <c r="HU393">
        <v>0</v>
      </c>
      <c r="HV393">
        <v>0</v>
      </c>
      <c r="HW393">
        <v>139</v>
      </c>
      <c r="HZ393" s="24">
        <v>2019</v>
      </c>
      <c r="IA393" s="24">
        <v>42</v>
      </c>
      <c r="IB393" s="24" t="s">
        <v>33</v>
      </c>
      <c r="IC393" s="24">
        <v>11343</v>
      </c>
      <c r="ID393" s="24">
        <v>10074</v>
      </c>
      <c r="IG393" s="320">
        <v>2019</v>
      </c>
      <c r="IH393" s="320">
        <v>42</v>
      </c>
      <c r="II393" s="320" t="s">
        <v>33</v>
      </c>
      <c r="IJ393" s="320">
        <v>8975</v>
      </c>
      <c r="IK393" s="320">
        <v>8690</v>
      </c>
    </row>
    <row r="394" spans="9:245" x14ac:dyDescent="0.4">
      <c r="I394" s="305">
        <v>2019</v>
      </c>
      <c r="J394" s="306">
        <v>42</v>
      </c>
      <c r="K394" s="306" t="s">
        <v>33</v>
      </c>
      <c r="L394" s="306">
        <v>166284</v>
      </c>
      <c r="M394" s="306">
        <v>108657</v>
      </c>
      <c r="N394" s="306">
        <v>804</v>
      </c>
      <c r="O394" s="306">
        <v>7659</v>
      </c>
      <c r="P394" s="306">
        <v>720</v>
      </c>
      <c r="Q394" s="306">
        <v>46</v>
      </c>
      <c r="R394" s="24"/>
      <c r="S394" s="24"/>
      <c r="T394" s="24"/>
      <c r="W394" s="320">
        <v>2019</v>
      </c>
      <c r="X394" s="320">
        <v>41</v>
      </c>
      <c r="Y394" s="320" t="s">
        <v>32</v>
      </c>
      <c r="Z394" s="320">
        <v>8114</v>
      </c>
      <c r="AA394" s="320">
        <v>7650</v>
      </c>
      <c r="AB394" s="320">
        <v>32</v>
      </c>
      <c r="AC394" s="320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BI394" s="24">
        <v>2021</v>
      </c>
      <c r="BJ394" s="24">
        <v>25</v>
      </c>
      <c r="BK394" s="24" t="s">
        <v>33</v>
      </c>
      <c r="BL394" s="24" t="s">
        <v>273</v>
      </c>
      <c r="BM394" s="24">
        <v>93239</v>
      </c>
      <c r="BN394" s="24">
        <v>92893</v>
      </c>
      <c r="BO394" s="24">
        <v>96287</v>
      </c>
      <c r="DD394" s="24"/>
      <c r="DE394" s="24"/>
      <c r="DF394" s="24"/>
      <c r="DG394" s="24"/>
      <c r="DJ394" s="24">
        <v>2020</v>
      </c>
      <c r="DK394" s="24">
        <v>1</v>
      </c>
      <c r="DL394" s="24" t="s">
        <v>33</v>
      </c>
      <c r="DM394" s="24">
        <v>2760</v>
      </c>
      <c r="DP394" s="24"/>
      <c r="DQ394" s="24"/>
      <c r="DR394" s="24"/>
      <c r="DS394" s="24"/>
      <c r="EI394" s="24">
        <v>2022</v>
      </c>
      <c r="EJ394" s="24">
        <v>51</v>
      </c>
      <c r="EK394" s="24" t="s">
        <v>211</v>
      </c>
      <c r="EL394" s="24" t="s">
        <v>212</v>
      </c>
      <c r="EM394" s="24" t="s">
        <v>234</v>
      </c>
      <c r="EN394" s="24">
        <v>14</v>
      </c>
      <c r="EO394" s="24"/>
      <c r="EP394" s="24"/>
      <c r="EQ394" s="24"/>
      <c r="ER394" s="24"/>
      <c r="ES394" s="24">
        <v>2020</v>
      </c>
      <c r="ET394" s="24">
        <v>31</v>
      </c>
      <c r="EU394" s="24" t="s">
        <v>33</v>
      </c>
      <c r="EV394" s="24">
        <v>75196</v>
      </c>
      <c r="FW394" s="24">
        <v>2019</v>
      </c>
      <c r="FX394" s="24">
        <v>41</v>
      </c>
      <c r="FY394" s="24" t="s">
        <v>32</v>
      </c>
      <c r="FZ394" s="24">
        <v>971</v>
      </c>
      <c r="GA394" s="24">
        <v>763</v>
      </c>
      <c r="GB394" s="24"/>
      <c r="GC394" s="24"/>
      <c r="GD394" s="320">
        <v>2019</v>
      </c>
      <c r="GE394" s="320">
        <v>41</v>
      </c>
      <c r="GF394" s="320" t="s">
        <v>32</v>
      </c>
      <c r="GG394" s="320">
        <v>1011</v>
      </c>
      <c r="GH394" s="320">
        <v>829</v>
      </c>
      <c r="GK394" s="24"/>
      <c r="GL394" s="24"/>
      <c r="GM394" s="24"/>
      <c r="GN394" s="24"/>
      <c r="GO394" s="24"/>
      <c r="GX394">
        <v>2019</v>
      </c>
      <c r="GY394">
        <v>41</v>
      </c>
      <c r="GZ394" t="s">
        <v>32</v>
      </c>
      <c r="HA394">
        <v>8143</v>
      </c>
      <c r="HB394">
        <v>7569</v>
      </c>
      <c r="HC394">
        <v>58</v>
      </c>
      <c r="HD394">
        <v>9</v>
      </c>
      <c r="HE394">
        <v>0</v>
      </c>
      <c r="HF394">
        <v>189</v>
      </c>
      <c r="HG394">
        <v>0</v>
      </c>
      <c r="HH394">
        <v>0</v>
      </c>
      <c r="HI394">
        <v>92</v>
      </c>
      <c r="HL394">
        <v>2019</v>
      </c>
      <c r="HM394">
        <v>41</v>
      </c>
      <c r="HN394" t="s">
        <v>32</v>
      </c>
      <c r="HO394">
        <v>8096</v>
      </c>
      <c r="HP394">
        <v>7813</v>
      </c>
      <c r="HQ394">
        <v>58</v>
      </c>
      <c r="HR394">
        <v>5</v>
      </c>
      <c r="HS394">
        <v>0</v>
      </c>
      <c r="HT394">
        <v>154</v>
      </c>
      <c r="HU394">
        <v>0</v>
      </c>
      <c r="HV394">
        <v>0</v>
      </c>
      <c r="HW394">
        <v>12</v>
      </c>
      <c r="HZ394" s="24">
        <v>2019</v>
      </c>
      <c r="IA394" s="24">
        <v>41</v>
      </c>
      <c r="IB394" s="24" t="s">
        <v>32</v>
      </c>
      <c r="IC394" s="24">
        <v>988</v>
      </c>
      <c r="ID394" s="24">
        <v>756</v>
      </c>
      <c r="IG394" s="320">
        <v>2019</v>
      </c>
      <c r="IH394" s="320">
        <v>41</v>
      </c>
      <c r="II394" s="320" t="s">
        <v>32</v>
      </c>
      <c r="IJ394" s="320">
        <v>1004</v>
      </c>
      <c r="IK394" s="320">
        <v>953</v>
      </c>
    </row>
    <row r="395" spans="9:245" x14ac:dyDescent="0.4">
      <c r="I395" s="305">
        <v>2019</v>
      </c>
      <c r="J395" s="306">
        <v>41</v>
      </c>
      <c r="K395" s="306" t="s">
        <v>32</v>
      </c>
      <c r="L395" s="306">
        <v>8187</v>
      </c>
      <c r="M395" s="306">
        <v>7648</v>
      </c>
      <c r="N395" s="306">
        <v>44</v>
      </c>
      <c r="O395" s="306">
        <v>169</v>
      </c>
      <c r="P395" s="306">
        <v>47</v>
      </c>
      <c r="Q395" s="306"/>
      <c r="R395" s="24"/>
      <c r="S395" s="24"/>
      <c r="T395" s="24"/>
      <c r="W395" s="320">
        <v>2019</v>
      </c>
      <c r="X395" s="320">
        <v>41</v>
      </c>
      <c r="Y395" s="320" t="s">
        <v>33</v>
      </c>
      <c r="Z395" s="320">
        <v>180734</v>
      </c>
      <c r="AA395" s="320">
        <v>124261</v>
      </c>
      <c r="AB395" s="320">
        <v>562</v>
      </c>
      <c r="AC395" s="320">
        <v>42</v>
      </c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BI395" s="24">
        <v>2021</v>
      </c>
      <c r="BJ395" s="24">
        <v>25</v>
      </c>
      <c r="BK395" s="24" t="s">
        <v>32</v>
      </c>
      <c r="BL395" s="24" t="s">
        <v>273</v>
      </c>
      <c r="BM395" s="24">
        <v>5144</v>
      </c>
      <c r="BN395" s="24">
        <v>5128</v>
      </c>
      <c r="BO395" s="24">
        <v>5212</v>
      </c>
      <c r="DD395" s="24"/>
      <c r="DE395" s="24"/>
      <c r="DF395" s="24"/>
      <c r="DG395" s="24"/>
      <c r="DJ395" s="24">
        <v>2020</v>
      </c>
      <c r="DK395" s="24">
        <v>1</v>
      </c>
      <c r="DL395" s="24" t="s">
        <v>213</v>
      </c>
      <c r="DM395" s="24">
        <v>7</v>
      </c>
      <c r="DP395" s="24"/>
      <c r="DQ395" s="24"/>
      <c r="DR395" s="24"/>
      <c r="DS395" s="24"/>
      <c r="EI395" s="24">
        <v>2022</v>
      </c>
      <c r="EJ395" s="24">
        <v>51</v>
      </c>
      <c r="EK395" s="24" t="s">
        <v>211</v>
      </c>
      <c r="EL395" s="24" t="s">
        <v>212</v>
      </c>
      <c r="EM395" s="24" t="s">
        <v>215</v>
      </c>
      <c r="EN395" s="24">
        <v>2</v>
      </c>
      <c r="EO395" s="24"/>
      <c r="EP395" s="24"/>
      <c r="EQ395" s="24"/>
      <c r="ER395" s="24"/>
      <c r="ES395" s="24">
        <v>2020</v>
      </c>
      <c r="ET395" s="24">
        <v>31</v>
      </c>
      <c r="EU395" s="24" t="s">
        <v>213</v>
      </c>
      <c r="EV395" s="24">
        <v>34</v>
      </c>
      <c r="FW395" s="24">
        <v>2019</v>
      </c>
      <c r="FX395" s="24">
        <v>41</v>
      </c>
      <c r="FY395" s="24" t="s">
        <v>33</v>
      </c>
      <c r="FZ395" s="24">
        <v>12236</v>
      </c>
      <c r="GA395" s="24">
        <v>10922</v>
      </c>
      <c r="GB395" s="24"/>
      <c r="GC395" s="24"/>
      <c r="GD395" s="320">
        <v>2019</v>
      </c>
      <c r="GE395" s="320">
        <v>41</v>
      </c>
      <c r="GF395" s="320" t="s">
        <v>33</v>
      </c>
      <c r="GG395" s="320">
        <v>12165</v>
      </c>
      <c r="GH395" s="320">
        <v>11024</v>
      </c>
      <c r="GK395" s="24"/>
      <c r="GL395" s="24"/>
      <c r="GM395" s="24"/>
      <c r="GN395" s="24"/>
      <c r="GO395" s="24"/>
      <c r="GX395">
        <v>2019</v>
      </c>
      <c r="GY395">
        <v>41</v>
      </c>
      <c r="GZ395" t="s">
        <v>33</v>
      </c>
      <c r="HA395">
        <v>180201</v>
      </c>
      <c r="HB395">
        <v>177137</v>
      </c>
      <c r="HC395">
        <v>414</v>
      </c>
      <c r="HD395">
        <v>15</v>
      </c>
      <c r="HE395">
        <v>0</v>
      </c>
      <c r="HF395">
        <v>1018</v>
      </c>
      <c r="HG395">
        <v>0</v>
      </c>
      <c r="HH395">
        <v>0</v>
      </c>
      <c r="HI395">
        <v>716</v>
      </c>
      <c r="HL395">
        <v>2019</v>
      </c>
      <c r="HM395">
        <v>41</v>
      </c>
      <c r="HN395" t="s">
        <v>33</v>
      </c>
      <c r="HO395">
        <v>180401</v>
      </c>
      <c r="HP395">
        <v>179427</v>
      </c>
      <c r="HQ395">
        <v>354</v>
      </c>
      <c r="HR395">
        <v>5</v>
      </c>
      <c r="HS395">
        <v>0</v>
      </c>
      <c r="HT395">
        <v>508</v>
      </c>
      <c r="HU395">
        <v>0</v>
      </c>
      <c r="HV395">
        <v>0</v>
      </c>
      <c r="HW395">
        <v>120</v>
      </c>
      <c r="HZ395" s="24">
        <v>2019</v>
      </c>
      <c r="IA395" s="24">
        <v>41</v>
      </c>
      <c r="IB395" s="24" t="s">
        <v>33</v>
      </c>
      <c r="IC395" s="24">
        <v>12015</v>
      </c>
      <c r="ID395" s="24">
        <v>11220</v>
      </c>
      <c r="IG395" s="320">
        <v>2019</v>
      </c>
      <c r="IH395" s="320">
        <v>41</v>
      </c>
      <c r="II395" s="320" t="s">
        <v>33</v>
      </c>
      <c r="IJ395" s="320">
        <v>11205</v>
      </c>
      <c r="IK395" s="320">
        <v>10975</v>
      </c>
    </row>
    <row r="396" spans="9:245" x14ac:dyDescent="0.4">
      <c r="I396" s="305">
        <v>2019</v>
      </c>
      <c r="J396" s="306">
        <v>41</v>
      </c>
      <c r="K396" s="306" t="s">
        <v>33</v>
      </c>
      <c r="L396" s="306">
        <v>182057</v>
      </c>
      <c r="M396" s="306">
        <v>124665</v>
      </c>
      <c r="N396" s="306">
        <v>733</v>
      </c>
      <c r="O396" s="306">
        <v>7770</v>
      </c>
      <c r="P396" s="306">
        <v>680</v>
      </c>
      <c r="Q396" s="306">
        <v>47</v>
      </c>
      <c r="R396" s="24"/>
      <c r="S396" s="24"/>
      <c r="T396" s="24"/>
      <c r="W396" s="24">
        <v>2019</v>
      </c>
      <c r="X396" s="24">
        <v>40</v>
      </c>
      <c r="Y396" s="24" t="s">
        <v>32</v>
      </c>
      <c r="Z396" s="24">
        <v>9596</v>
      </c>
      <c r="AA396" s="24">
        <v>9016</v>
      </c>
      <c r="AB396" s="24">
        <v>10</v>
      </c>
      <c r="AC396" s="24">
        <v>3</v>
      </c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BI396" s="24">
        <v>2021</v>
      </c>
      <c r="BJ396" s="24">
        <v>25</v>
      </c>
      <c r="BK396" s="24" t="s">
        <v>33</v>
      </c>
      <c r="BL396" s="24" t="s">
        <v>272</v>
      </c>
      <c r="BM396" s="24">
        <v>44797</v>
      </c>
      <c r="BN396" s="24">
        <v>44772</v>
      </c>
      <c r="BO396" s="24">
        <v>164143</v>
      </c>
      <c r="DD396" s="24"/>
      <c r="DE396" s="24"/>
      <c r="DF396" s="24"/>
      <c r="DG396" s="24"/>
      <c r="DJ396" s="24">
        <v>2019</v>
      </c>
      <c r="DK396" s="24">
        <v>52</v>
      </c>
      <c r="DL396" s="24" t="s">
        <v>32</v>
      </c>
      <c r="DM396" s="24">
        <v>105</v>
      </c>
      <c r="DP396" s="24"/>
      <c r="DQ396" s="24"/>
      <c r="DR396" s="24"/>
      <c r="DS396" s="24"/>
      <c r="EI396" s="24">
        <v>2022</v>
      </c>
      <c r="EJ396" s="24">
        <v>51</v>
      </c>
      <c r="EK396" s="24" t="s">
        <v>211</v>
      </c>
      <c r="EL396" s="24" t="s">
        <v>247</v>
      </c>
      <c r="EM396" s="24" t="s">
        <v>210</v>
      </c>
      <c r="EN396" s="24">
        <v>3</v>
      </c>
      <c r="EO396" s="24"/>
      <c r="EP396" s="24"/>
      <c r="EQ396" s="24"/>
      <c r="ER396" s="24"/>
      <c r="ES396" s="24">
        <v>2020</v>
      </c>
      <c r="ET396" s="24">
        <v>30</v>
      </c>
      <c r="EU396" s="24" t="s">
        <v>32</v>
      </c>
      <c r="EV396" s="24">
        <v>2100</v>
      </c>
      <c r="FW396" s="24">
        <v>2019</v>
      </c>
      <c r="FX396" s="24">
        <v>40</v>
      </c>
      <c r="FY396" s="24" t="s">
        <v>32</v>
      </c>
      <c r="FZ396" s="24">
        <v>979</v>
      </c>
      <c r="GA396" s="24">
        <v>793</v>
      </c>
      <c r="GB396" s="24"/>
      <c r="GC396" s="24"/>
      <c r="GD396" s="24">
        <v>2019</v>
      </c>
      <c r="GE396" s="24">
        <v>40</v>
      </c>
      <c r="GF396" s="24" t="s">
        <v>32</v>
      </c>
      <c r="GG396" s="24">
        <v>943</v>
      </c>
      <c r="GH396" s="24">
        <v>811</v>
      </c>
      <c r="GK396" s="24"/>
      <c r="GL396" s="24"/>
      <c r="GM396" s="24"/>
      <c r="GN396" s="24"/>
      <c r="GO396" s="24"/>
      <c r="GX396">
        <v>2019</v>
      </c>
      <c r="GY396">
        <v>40</v>
      </c>
      <c r="GZ396" t="s">
        <v>32</v>
      </c>
      <c r="HA396">
        <v>9993</v>
      </c>
      <c r="HB396">
        <v>9204</v>
      </c>
      <c r="HC396">
        <v>127</v>
      </c>
      <c r="HD396">
        <v>46</v>
      </c>
      <c r="HE396">
        <v>0</v>
      </c>
      <c r="HF396">
        <v>373</v>
      </c>
      <c r="HG396">
        <v>0</v>
      </c>
      <c r="HH396">
        <v>0</v>
      </c>
      <c r="HI396">
        <v>180</v>
      </c>
      <c r="HL396">
        <v>2019</v>
      </c>
      <c r="HM396">
        <v>40</v>
      </c>
      <c r="HN396" t="s">
        <v>32</v>
      </c>
      <c r="HO396">
        <v>9587</v>
      </c>
      <c r="HP396">
        <v>9080</v>
      </c>
      <c r="HQ396">
        <v>75</v>
      </c>
      <c r="HR396">
        <v>41</v>
      </c>
      <c r="HS396">
        <v>0</v>
      </c>
      <c r="HT396">
        <v>261</v>
      </c>
      <c r="HU396">
        <v>0</v>
      </c>
      <c r="HV396">
        <v>0</v>
      </c>
      <c r="HW396">
        <v>56</v>
      </c>
      <c r="HZ396" s="24">
        <v>2019</v>
      </c>
      <c r="IA396" s="24">
        <v>40</v>
      </c>
      <c r="IB396" s="24" t="s">
        <v>32</v>
      </c>
      <c r="IC396" s="24">
        <v>985</v>
      </c>
      <c r="ID396" s="24">
        <v>783</v>
      </c>
      <c r="IG396" s="24">
        <v>2019</v>
      </c>
      <c r="IH396" s="24">
        <v>40</v>
      </c>
      <c r="II396" s="24" t="s">
        <v>32</v>
      </c>
      <c r="IJ396" s="24">
        <v>928</v>
      </c>
      <c r="IK396" s="24">
        <v>823</v>
      </c>
    </row>
    <row r="397" spans="9:245" x14ac:dyDescent="0.4">
      <c r="I397" s="305">
        <v>2019</v>
      </c>
      <c r="J397" s="306">
        <v>40</v>
      </c>
      <c r="K397" s="306" t="s">
        <v>32</v>
      </c>
      <c r="L397" s="306">
        <v>9902</v>
      </c>
      <c r="M397" s="306">
        <v>9131</v>
      </c>
      <c r="N397" s="306">
        <v>55</v>
      </c>
      <c r="O397" s="306">
        <v>288</v>
      </c>
      <c r="P397" s="306">
        <v>18</v>
      </c>
      <c r="Q397" s="306">
        <v>12</v>
      </c>
      <c r="R397" s="24"/>
      <c r="S397" s="24"/>
      <c r="T397" s="24"/>
      <c r="W397" s="24">
        <v>2019</v>
      </c>
      <c r="X397" s="24">
        <v>40</v>
      </c>
      <c r="Y397" s="24" t="s">
        <v>33</v>
      </c>
      <c r="Z397" s="24">
        <v>182549</v>
      </c>
      <c r="AA397" s="24">
        <v>119112</v>
      </c>
      <c r="AB397" s="24">
        <v>564</v>
      </c>
      <c r="AC397" s="24">
        <v>55</v>
      </c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BI397" s="24">
        <v>2021</v>
      </c>
      <c r="BJ397" s="24">
        <v>25</v>
      </c>
      <c r="BK397" s="24" t="s">
        <v>32</v>
      </c>
      <c r="BL397" s="24" t="s">
        <v>272</v>
      </c>
      <c r="BM397" s="24">
        <v>2098</v>
      </c>
      <c r="BN397" s="24">
        <v>2096</v>
      </c>
      <c r="BO397" s="24">
        <v>7190</v>
      </c>
      <c r="DD397" s="24"/>
      <c r="DE397" s="24"/>
      <c r="DF397" s="24"/>
      <c r="DG397" s="24"/>
      <c r="DJ397" s="24">
        <v>2019</v>
      </c>
      <c r="DK397" s="24">
        <v>52</v>
      </c>
      <c r="DL397" s="24" t="s">
        <v>33</v>
      </c>
      <c r="DM397" s="24">
        <v>2221</v>
      </c>
      <c r="DP397" s="24"/>
      <c r="DQ397" s="24"/>
      <c r="DR397" s="24"/>
      <c r="DS397" s="24"/>
      <c r="EI397" s="24">
        <v>2022</v>
      </c>
      <c r="EJ397" s="24">
        <v>51</v>
      </c>
      <c r="EK397" s="24" t="s">
        <v>211</v>
      </c>
      <c r="EL397" s="24" t="s">
        <v>247</v>
      </c>
      <c r="EM397" s="24" t="s">
        <v>234</v>
      </c>
      <c r="EN397" s="24">
        <v>23</v>
      </c>
      <c r="EO397" s="24"/>
      <c r="EP397" s="24"/>
      <c r="EQ397" s="24"/>
      <c r="ER397" s="24"/>
      <c r="ES397" s="24">
        <v>2020</v>
      </c>
      <c r="ET397" s="24">
        <v>30</v>
      </c>
      <c r="EU397" s="24" t="s">
        <v>33</v>
      </c>
      <c r="EV397" s="24">
        <v>71342</v>
      </c>
      <c r="FW397" s="24">
        <v>2019</v>
      </c>
      <c r="FX397" s="24">
        <v>40</v>
      </c>
      <c r="FY397" s="24" t="s">
        <v>33</v>
      </c>
      <c r="FZ397" s="24">
        <v>12870</v>
      </c>
      <c r="GA397" s="24">
        <v>11816</v>
      </c>
      <c r="GB397" s="24"/>
      <c r="GC397" s="24"/>
      <c r="GD397" s="24">
        <v>2019</v>
      </c>
      <c r="GE397" s="24">
        <v>40</v>
      </c>
      <c r="GF397" s="24" t="s">
        <v>33</v>
      </c>
      <c r="GG397" s="24">
        <v>12813</v>
      </c>
      <c r="GH397" s="24">
        <v>11919</v>
      </c>
      <c r="GK397" s="24"/>
      <c r="GL397" s="24"/>
      <c r="GM397" s="24"/>
      <c r="GN397" s="24"/>
      <c r="GO397" s="24"/>
      <c r="GX397">
        <v>2019</v>
      </c>
      <c r="GY397">
        <v>40</v>
      </c>
      <c r="GZ397" t="s">
        <v>33</v>
      </c>
      <c r="HA397">
        <v>183034</v>
      </c>
      <c r="HB397">
        <v>180282</v>
      </c>
      <c r="HC397">
        <v>427</v>
      </c>
      <c r="HD397">
        <v>10</v>
      </c>
      <c r="HE397">
        <v>0</v>
      </c>
      <c r="HF397">
        <v>699</v>
      </c>
      <c r="HG397">
        <v>0</v>
      </c>
      <c r="HH397">
        <v>0</v>
      </c>
      <c r="HI397">
        <v>801</v>
      </c>
      <c r="HL397">
        <v>2019</v>
      </c>
      <c r="HM397">
        <v>40</v>
      </c>
      <c r="HN397" t="s">
        <v>33</v>
      </c>
      <c r="HO397">
        <v>182235</v>
      </c>
      <c r="HP397">
        <v>181161</v>
      </c>
      <c r="HQ397">
        <v>374</v>
      </c>
      <c r="HR397">
        <v>4</v>
      </c>
      <c r="HS397">
        <v>0</v>
      </c>
      <c r="HT397">
        <v>600</v>
      </c>
      <c r="HU397">
        <v>0</v>
      </c>
      <c r="HV397">
        <v>0</v>
      </c>
      <c r="HW397">
        <v>211</v>
      </c>
      <c r="HZ397" s="24">
        <v>2019</v>
      </c>
      <c r="IA397" s="24">
        <v>40</v>
      </c>
      <c r="IB397" s="24" t="s">
        <v>33</v>
      </c>
      <c r="IC397" s="24">
        <v>12934</v>
      </c>
      <c r="ID397" s="24">
        <v>12359</v>
      </c>
      <c r="IG397" s="24">
        <v>2019</v>
      </c>
      <c r="IH397" s="24">
        <v>40</v>
      </c>
      <c r="II397" s="24" t="s">
        <v>33</v>
      </c>
      <c r="IJ397" s="24">
        <v>11647</v>
      </c>
      <c r="IK397" s="24">
        <v>11529</v>
      </c>
    </row>
    <row r="398" spans="9:245" x14ac:dyDescent="0.4">
      <c r="I398" s="305">
        <v>2019</v>
      </c>
      <c r="J398" s="306">
        <v>40</v>
      </c>
      <c r="K398" s="306" t="s">
        <v>33</v>
      </c>
      <c r="L398" s="306">
        <v>183841</v>
      </c>
      <c r="M398" s="306">
        <v>119627</v>
      </c>
      <c r="N398" s="306">
        <v>657</v>
      </c>
      <c r="O398" s="306">
        <v>7889</v>
      </c>
      <c r="P398" s="306">
        <v>694</v>
      </c>
      <c r="Q398" s="306">
        <v>59</v>
      </c>
      <c r="R398" s="24"/>
      <c r="S398" s="24"/>
      <c r="T398" s="24"/>
      <c r="W398" s="24">
        <v>2019</v>
      </c>
      <c r="X398" s="24">
        <v>39</v>
      </c>
      <c r="Y398" s="24" t="s">
        <v>32</v>
      </c>
      <c r="Z398" s="24">
        <v>7992</v>
      </c>
      <c r="AA398" s="24">
        <v>7800</v>
      </c>
      <c r="AB398" s="24">
        <v>9</v>
      </c>
      <c r="AC398" s="24">
        <v>3</v>
      </c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BI398" s="24">
        <v>2021</v>
      </c>
      <c r="BJ398" s="24">
        <v>24</v>
      </c>
      <c r="BK398" s="24" t="s">
        <v>33</v>
      </c>
      <c r="BL398" s="24" t="s">
        <v>273</v>
      </c>
      <c r="BM398" s="24">
        <v>87213</v>
      </c>
      <c r="BN398" s="24">
        <v>86842</v>
      </c>
      <c r="BO398" s="24">
        <v>89452</v>
      </c>
      <c r="DD398" s="24"/>
      <c r="DE398" s="24"/>
      <c r="DF398" s="24"/>
      <c r="DG398" s="24"/>
      <c r="DJ398" s="24">
        <v>2019</v>
      </c>
      <c r="DK398" s="24">
        <v>52</v>
      </c>
      <c r="DL398" s="24" t="s">
        <v>213</v>
      </c>
      <c r="DM398" s="24">
        <v>3</v>
      </c>
      <c r="DP398" s="24"/>
      <c r="DQ398" s="24"/>
      <c r="DR398" s="24"/>
      <c r="DS398" s="24"/>
      <c r="EI398" s="24">
        <v>2022</v>
      </c>
      <c r="EJ398" s="24">
        <v>51</v>
      </c>
      <c r="EK398" s="24" t="s">
        <v>213</v>
      </c>
      <c r="EL398" s="24" t="s">
        <v>214</v>
      </c>
      <c r="EM398" s="24" t="s">
        <v>215</v>
      </c>
      <c r="EN398" s="24">
        <v>51</v>
      </c>
      <c r="EO398" s="24"/>
      <c r="EP398" s="24"/>
      <c r="EQ398" s="24"/>
      <c r="ER398" s="24"/>
      <c r="ES398" s="24">
        <v>2020</v>
      </c>
      <c r="ET398" s="24">
        <v>30</v>
      </c>
      <c r="EU398" s="24" t="s">
        <v>213</v>
      </c>
      <c r="EV398" s="24">
        <v>30</v>
      </c>
      <c r="FW398" s="24">
        <v>2019</v>
      </c>
      <c r="FX398" s="24">
        <v>39</v>
      </c>
      <c r="FY398" s="24" t="s">
        <v>32</v>
      </c>
      <c r="FZ398" s="24">
        <v>991</v>
      </c>
      <c r="GA398" s="24">
        <v>931</v>
      </c>
      <c r="GB398" s="24"/>
      <c r="GC398" s="24"/>
      <c r="GD398" s="24">
        <v>2019</v>
      </c>
      <c r="GE398" s="24">
        <v>39</v>
      </c>
      <c r="GF398" s="24" t="s">
        <v>32</v>
      </c>
      <c r="GG398" s="24">
        <v>973</v>
      </c>
      <c r="GH398" s="24">
        <v>938</v>
      </c>
      <c r="GK398" s="24"/>
      <c r="GL398" s="24"/>
      <c r="GM398" s="24"/>
      <c r="GN398" s="24"/>
      <c r="GO398" s="24"/>
      <c r="GX398">
        <v>2019</v>
      </c>
      <c r="GY398">
        <v>39</v>
      </c>
      <c r="GZ398" t="s">
        <v>32</v>
      </c>
      <c r="HA398">
        <v>7799</v>
      </c>
      <c r="HB398">
        <v>7587</v>
      </c>
      <c r="HC398">
        <v>14</v>
      </c>
      <c r="HD398">
        <v>2</v>
      </c>
      <c r="HE398">
        <v>0</v>
      </c>
      <c r="HF398">
        <v>73</v>
      </c>
      <c r="HG398">
        <v>0</v>
      </c>
      <c r="HH398">
        <v>0</v>
      </c>
      <c r="HI398">
        <v>51</v>
      </c>
      <c r="HL398">
        <v>2019</v>
      </c>
      <c r="HM398">
        <v>39</v>
      </c>
      <c r="HN398" t="s">
        <v>32</v>
      </c>
      <c r="HO398">
        <v>7986</v>
      </c>
      <c r="HP398">
        <v>7830</v>
      </c>
      <c r="HQ398">
        <v>16</v>
      </c>
      <c r="HR398">
        <v>1</v>
      </c>
      <c r="HS398">
        <v>0</v>
      </c>
      <c r="HT398">
        <v>59</v>
      </c>
      <c r="HU398">
        <v>0</v>
      </c>
      <c r="HV398">
        <v>0</v>
      </c>
      <c r="HW398">
        <v>21</v>
      </c>
      <c r="HZ398" s="24">
        <v>2019</v>
      </c>
      <c r="IA398" s="24">
        <v>39</v>
      </c>
      <c r="IB398" s="24" t="s">
        <v>32</v>
      </c>
      <c r="IC398" s="24">
        <v>932</v>
      </c>
      <c r="ID398" s="24">
        <v>882</v>
      </c>
      <c r="IG398" s="24">
        <v>2019</v>
      </c>
      <c r="IH398" s="24">
        <v>39</v>
      </c>
      <c r="II398" s="24" t="s">
        <v>32</v>
      </c>
      <c r="IJ398" s="24">
        <v>953</v>
      </c>
      <c r="IK398" s="24">
        <v>924</v>
      </c>
    </row>
    <row r="399" spans="9:245" x14ac:dyDescent="0.4">
      <c r="I399" s="305">
        <v>2019</v>
      </c>
      <c r="J399" s="306">
        <v>39</v>
      </c>
      <c r="K399" s="306" t="s">
        <v>32</v>
      </c>
      <c r="L399" s="306">
        <v>8156</v>
      </c>
      <c r="M399" s="306">
        <v>7856</v>
      </c>
      <c r="N399" s="306">
        <v>23</v>
      </c>
      <c r="O399" s="306">
        <v>135</v>
      </c>
      <c r="P399" s="306">
        <v>22</v>
      </c>
      <c r="Q399" s="306">
        <v>3</v>
      </c>
      <c r="R399" s="24"/>
      <c r="S399" s="24"/>
      <c r="T399" s="24"/>
      <c r="W399" s="24">
        <v>2019</v>
      </c>
      <c r="X399" s="24">
        <v>39</v>
      </c>
      <c r="Y399" s="24" t="s">
        <v>33</v>
      </c>
      <c r="Z399" s="24">
        <v>188279</v>
      </c>
      <c r="AA399" s="24">
        <v>129903</v>
      </c>
      <c r="AB399" s="24">
        <v>586</v>
      </c>
      <c r="AC399" s="24">
        <v>72</v>
      </c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BI399" s="24">
        <v>2021</v>
      </c>
      <c r="BJ399" s="24">
        <v>24</v>
      </c>
      <c r="BK399" s="24" t="s">
        <v>32</v>
      </c>
      <c r="BL399" s="24" t="s">
        <v>273</v>
      </c>
      <c r="BM399" s="24">
        <v>5527</v>
      </c>
      <c r="BN399" s="24">
        <v>5505</v>
      </c>
      <c r="BO399" s="24">
        <v>5606</v>
      </c>
      <c r="DD399" s="24"/>
      <c r="DE399" s="24"/>
      <c r="DF399" s="24"/>
      <c r="DG399" s="24"/>
      <c r="DJ399" s="24">
        <v>2019</v>
      </c>
      <c r="DK399" s="24">
        <v>51</v>
      </c>
      <c r="DL399" s="24" t="s">
        <v>32</v>
      </c>
      <c r="DM399" s="24">
        <v>117</v>
      </c>
      <c r="DP399" s="24"/>
      <c r="DQ399" s="24"/>
      <c r="DR399" s="24"/>
      <c r="DS399" s="24"/>
      <c r="EI399" s="24">
        <v>2022</v>
      </c>
      <c r="EJ399" s="24">
        <v>50</v>
      </c>
      <c r="EK399" s="24" t="s">
        <v>208</v>
      </c>
      <c r="EL399" s="24" t="s">
        <v>351</v>
      </c>
      <c r="EM399" s="24" t="s">
        <v>210</v>
      </c>
      <c r="EN399" s="24">
        <v>24</v>
      </c>
      <c r="EO399" s="24"/>
      <c r="EP399" s="24"/>
      <c r="EQ399" s="24"/>
      <c r="ER399" s="24"/>
      <c r="ES399" s="24">
        <v>2020</v>
      </c>
      <c r="ET399" s="24">
        <v>29</v>
      </c>
      <c r="EU399" s="24" t="s">
        <v>32</v>
      </c>
      <c r="EV399" s="24">
        <v>2092</v>
      </c>
      <c r="FW399" s="24">
        <v>2019</v>
      </c>
      <c r="FX399" s="24">
        <v>39</v>
      </c>
      <c r="FY399" s="24" t="s">
        <v>33</v>
      </c>
      <c r="FZ399" s="24">
        <v>12448</v>
      </c>
      <c r="GA399" s="24">
        <v>11383</v>
      </c>
      <c r="GB399" s="24"/>
      <c r="GC399" s="24"/>
      <c r="GD399" s="24">
        <v>2019</v>
      </c>
      <c r="GE399" s="24">
        <v>39</v>
      </c>
      <c r="GF399" s="24" t="s">
        <v>33</v>
      </c>
      <c r="GG399" s="24">
        <v>12480</v>
      </c>
      <c r="GH399" s="24">
        <v>11503</v>
      </c>
      <c r="GK399" s="24"/>
      <c r="GL399" s="24"/>
      <c r="GM399" s="24"/>
      <c r="GN399" s="24"/>
      <c r="GO399" s="24"/>
      <c r="GX399">
        <v>2019</v>
      </c>
      <c r="GY399">
        <v>39</v>
      </c>
      <c r="GZ399" t="s">
        <v>33</v>
      </c>
      <c r="HA399">
        <v>189659</v>
      </c>
      <c r="HB399">
        <v>187980</v>
      </c>
      <c r="HC399">
        <v>402</v>
      </c>
      <c r="HD399">
        <v>9</v>
      </c>
      <c r="HE399">
        <v>1</v>
      </c>
      <c r="HF399">
        <v>266</v>
      </c>
      <c r="HG399">
        <v>0</v>
      </c>
      <c r="HH399">
        <v>0</v>
      </c>
      <c r="HI399">
        <v>501</v>
      </c>
      <c r="HL399">
        <v>2019</v>
      </c>
      <c r="HM399">
        <v>39</v>
      </c>
      <c r="HN399" t="s">
        <v>33</v>
      </c>
      <c r="HO399">
        <v>188050</v>
      </c>
      <c r="HP399">
        <v>187212</v>
      </c>
      <c r="HQ399">
        <v>434</v>
      </c>
      <c r="HR399">
        <v>5</v>
      </c>
      <c r="HS399">
        <v>0</v>
      </c>
      <c r="HT399">
        <v>186</v>
      </c>
      <c r="HU399">
        <v>0</v>
      </c>
      <c r="HV399">
        <v>0</v>
      </c>
      <c r="HW399">
        <v>112</v>
      </c>
      <c r="HZ399" s="24">
        <v>2019</v>
      </c>
      <c r="IA399" s="24">
        <v>39</v>
      </c>
      <c r="IB399" s="24" t="s">
        <v>33</v>
      </c>
      <c r="IC399" s="24">
        <v>12368</v>
      </c>
      <c r="ID399" s="24">
        <v>11908</v>
      </c>
      <c r="IG399" s="24">
        <v>2019</v>
      </c>
      <c r="IH399" s="24">
        <v>39</v>
      </c>
      <c r="II399" s="24" t="s">
        <v>33</v>
      </c>
      <c r="IJ399" s="24">
        <v>11407</v>
      </c>
      <c r="IK399" s="24">
        <v>11232</v>
      </c>
    </row>
    <row r="400" spans="9:245" x14ac:dyDescent="0.4">
      <c r="I400" s="305">
        <v>2019</v>
      </c>
      <c r="J400" s="306">
        <v>39</v>
      </c>
      <c r="K400" s="306" t="s">
        <v>33</v>
      </c>
      <c r="L400" s="306">
        <v>189608</v>
      </c>
      <c r="M400" s="306">
        <v>130733</v>
      </c>
      <c r="N400" s="306">
        <v>616</v>
      </c>
      <c r="O400" s="306">
        <v>7731</v>
      </c>
      <c r="P400" s="306">
        <v>616</v>
      </c>
      <c r="Q400" s="306">
        <v>76</v>
      </c>
      <c r="R400" s="24"/>
      <c r="S400" s="24"/>
      <c r="T400" s="24"/>
      <c r="W400" s="321">
        <v>2019</v>
      </c>
      <c r="X400" s="321">
        <v>38</v>
      </c>
      <c r="Y400" s="321" t="s">
        <v>32</v>
      </c>
      <c r="Z400" s="321">
        <v>7558</v>
      </c>
      <c r="AA400" s="321">
        <v>7079</v>
      </c>
      <c r="AB400" s="321">
        <v>7</v>
      </c>
      <c r="AC400" s="321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BI400" s="24">
        <v>2021</v>
      </c>
      <c r="BJ400" s="24">
        <v>24</v>
      </c>
      <c r="BK400" s="24" t="s">
        <v>33</v>
      </c>
      <c r="BL400" s="24" t="s">
        <v>272</v>
      </c>
      <c r="BM400" s="24">
        <v>43937</v>
      </c>
      <c r="BN400" s="24">
        <v>43915</v>
      </c>
      <c r="BO400" s="24">
        <v>156711</v>
      </c>
      <c r="DD400" s="24"/>
      <c r="DE400" s="24"/>
      <c r="DF400" s="24"/>
      <c r="DG400" s="24"/>
      <c r="DJ400" s="24">
        <v>2019</v>
      </c>
      <c r="DK400" s="24">
        <v>51</v>
      </c>
      <c r="DL400" s="24" t="s">
        <v>33</v>
      </c>
      <c r="DM400" s="24">
        <v>2219</v>
      </c>
      <c r="DP400" s="24"/>
      <c r="DQ400" s="24"/>
      <c r="DR400" s="24"/>
      <c r="DS400" s="24"/>
      <c r="EI400" s="24">
        <v>2022</v>
      </c>
      <c r="EJ400" s="24">
        <v>50</v>
      </c>
      <c r="EK400" s="24" t="s">
        <v>208</v>
      </c>
      <c r="EL400" s="24" t="s">
        <v>235</v>
      </c>
      <c r="EM400" s="24" t="s">
        <v>210</v>
      </c>
      <c r="EN400" s="24">
        <v>34</v>
      </c>
      <c r="EO400" s="24"/>
      <c r="EP400" s="24"/>
      <c r="EQ400" s="24"/>
      <c r="ER400" s="24"/>
      <c r="ES400" s="24">
        <v>2020</v>
      </c>
      <c r="ET400" s="24">
        <v>29</v>
      </c>
      <c r="EU400" s="24" t="s">
        <v>33</v>
      </c>
      <c r="EV400" s="24">
        <v>69045</v>
      </c>
      <c r="FW400" s="24">
        <v>2019</v>
      </c>
      <c r="FX400" s="24">
        <v>38</v>
      </c>
      <c r="FY400" s="24" t="s">
        <v>32</v>
      </c>
      <c r="FZ400" s="24">
        <v>942</v>
      </c>
      <c r="GA400" s="24">
        <v>821</v>
      </c>
      <c r="GB400" s="24"/>
      <c r="GC400" s="24"/>
      <c r="GD400" s="321">
        <v>2019</v>
      </c>
      <c r="GE400" s="321">
        <v>38</v>
      </c>
      <c r="GF400" s="321" t="s">
        <v>32</v>
      </c>
      <c r="GG400" s="321">
        <v>924</v>
      </c>
      <c r="GH400" s="321">
        <v>826</v>
      </c>
      <c r="GK400" s="24"/>
      <c r="GL400" s="24"/>
      <c r="GM400" s="24"/>
      <c r="GN400" s="24"/>
      <c r="GO400" s="24"/>
      <c r="GX400">
        <v>2019</v>
      </c>
      <c r="GY400">
        <v>38</v>
      </c>
      <c r="GZ400" t="s">
        <v>32</v>
      </c>
      <c r="HA400">
        <v>7877</v>
      </c>
      <c r="HB400">
        <v>7309</v>
      </c>
      <c r="HC400">
        <v>124</v>
      </c>
      <c r="HD400">
        <v>23</v>
      </c>
      <c r="HE400">
        <v>0</v>
      </c>
      <c r="HF400">
        <v>199</v>
      </c>
      <c r="HG400">
        <v>0</v>
      </c>
      <c r="HH400">
        <v>0</v>
      </c>
      <c r="HI400">
        <v>69</v>
      </c>
      <c r="HL400">
        <v>2019</v>
      </c>
      <c r="HM400">
        <v>38</v>
      </c>
      <c r="HN400" t="s">
        <v>32</v>
      </c>
      <c r="HO400">
        <v>7525</v>
      </c>
      <c r="HP400">
        <v>7129</v>
      </c>
      <c r="HQ400">
        <v>111</v>
      </c>
      <c r="HR400">
        <v>20</v>
      </c>
      <c r="HS400">
        <v>0</v>
      </c>
      <c r="HT400">
        <v>184</v>
      </c>
      <c r="HU400">
        <v>0</v>
      </c>
      <c r="HV400">
        <v>0</v>
      </c>
      <c r="HW400">
        <v>31</v>
      </c>
      <c r="HZ400" s="24">
        <v>2019</v>
      </c>
      <c r="IA400" s="24">
        <v>38</v>
      </c>
      <c r="IB400" s="24" t="s">
        <v>32</v>
      </c>
      <c r="IC400" s="24">
        <v>956</v>
      </c>
      <c r="ID400" s="24">
        <v>832</v>
      </c>
      <c r="IG400" s="321">
        <v>2019</v>
      </c>
      <c r="IH400" s="321">
        <v>38</v>
      </c>
      <c r="II400" s="321" t="s">
        <v>32</v>
      </c>
      <c r="IJ400" s="321">
        <v>909</v>
      </c>
      <c r="IK400" s="321">
        <v>821</v>
      </c>
    </row>
    <row r="401" spans="9:245" x14ac:dyDescent="0.4">
      <c r="I401" s="305">
        <v>2019</v>
      </c>
      <c r="J401" s="306">
        <v>38</v>
      </c>
      <c r="K401" s="306" t="s">
        <v>32</v>
      </c>
      <c r="L401" s="306">
        <v>7684</v>
      </c>
      <c r="M401" s="306">
        <v>7141</v>
      </c>
      <c r="N401" s="306">
        <v>19</v>
      </c>
      <c r="O401" s="306">
        <v>167</v>
      </c>
      <c r="P401" s="306">
        <v>16</v>
      </c>
      <c r="Q401" s="306"/>
      <c r="R401" s="24"/>
      <c r="S401" s="24"/>
      <c r="T401" s="24"/>
      <c r="W401" s="321">
        <v>2019</v>
      </c>
      <c r="X401" s="321">
        <v>38</v>
      </c>
      <c r="Y401" s="321" t="s">
        <v>33</v>
      </c>
      <c r="Z401" s="321">
        <v>202385</v>
      </c>
      <c r="AA401" s="321">
        <v>153841</v>
      </c>
      <c r="AB401" s="321">
        <v>801</v>
      </c>
      <c r="AC401" s="321">
        <v>3</v>
      </c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BI401" s="24">
        <v>2021</v>
      </c>
      <c r="BJ401" s="24">
        <v>24</v>
      </c>
      <c r="BK401" s="24" t="s">
        <v>32</v>
      </c>
      <c r="BL401" s="24" t="s">
        <v>272</v>
      </c>
      <c r="BM401" s="24">
        <v>2140</v>
      </c>
      <c r="BN401" s="24">
        <v>2140</v>
      </c>
      <c r="BO401" s="24">
        <v>7360</v>
      </c>
      <c r="DD401" s="24"/>
      <c r="DE401" s="24"/>
      <c r="DF401" s="24"/>
      <c r="DG401" s="24"/>
      <c r="DJ401" s="24">
        <v>2019</v>
      </c>
      <c r="DK401" s="24">
        <v>51</v>
      </c>
      <c r="DL401" s="24" t="s">
        <v>213</v>
      </c>
      <c r="DM401" s="24">
        <v>7</v>
      </c>
      <c r="DP401" s="24"/>
      <c r="DQ401" s="24"/>
      <c r="DR401" s="24"/>
      <c r="DS401" s="24"/>
      <c r="EI401" s="24">
        <v>2022</v>
      </c>
      <c r="EJ401" s="24">
        <v>50</v>
      </c>
      <c r="EK401" s="24" t="s">
        <v>208</v>
      </c>
      <c r="EL401" s="24" t="s">
        <v>235</v>
      </c>
      <c r="EM401" s="24" t="s">
        <v>234</v>
      </c>
      <c r="EN401" s="24">
        <v>8</v>
      </c>
      <c r="EO401" s="24"/>
      <c r="EP401" s="24"/>
      <c r="EQ401" s="24"/>
      <c r="ER401" s="24"/>
      <c r="ES401" s="24">
        <v>2020</v>
      </c>
      <c r="ET401" s="24">
        <v>29</v>
      </c>
      <c r="EU401" s="24" t="s">
        <v>213</v>
      </c>
      <c r="EV401" s="24">
        <v>27</v>
      </c>
      <c r="FW401" s="24">
        <v>2019</v>
      </c>
      <c r="FX401" s="24">
        <v>38</v>
      </c>
      <c r="FY401" s="24" t="s">
        <v>33</v>
      </c>
      <c r="FZ401" s="24">
        <v>13181</v>
      </c>
      <c r="GA401" s="24">
        <v>11098</v>
      </c>
      <c r="GB401" s="24"/>
      <c r="GC401" s="24"/>
      <c r="GD401" s="321">
        <v>2019</v>
      </c>
      <c r="GE401" s="321">
        <v>38</v>
      </c>
      <c r="GF401" s="321" t="s">
        <v>33</v>
      </c>
      <c r="GG401" s="321">
        <v>12946</v>
      </c>
      <c r="GH401" s="321">
        <v>11151</v>
      </c>
      <c r="GK401" s="24"/>
      <c r="GL401" s="24"/>
      <c r="GM401" s="24"/>
      <c r="GN401" s="24"/>
      <c r="GO401" s="24"/>
      <c r="GX401">
        <v>2019</v>
      </c>
      <c r="GY401">
        <v>38</v>
      </c>
      <c r="GZ401" t="s">
        <v>33</v>
      </c>
      <c r="HA401">
        <v>203329</v>
      </c>
      <c r="HB401">
        <v>196529</v>
      </c>
      <c r="HC401">
        <v>634</v>
      </c>
      <c r="HD401">
        <v>17</v>
      </c>
      <c r="HE401">
        <v>0</v>
      </c>
      <c r="HF401">
        <v>3325</v>
      </c>
      <c r="HG401">
        <v>0</v>
      </c>
      <c r="HH401">
        <v>0</v>
      </c>
      <c r="HI401">
        <v>1364</v>
      </c>
      <c r="HL401">
        <v>2019</v>
      </c>
      <c r="HM401">
        <v>38</v>
      </c>
      <c r="HN401" t="s">
        <v>33</v>
      </c>
      <c r="HO401">
        <v>202047</v>
      </c>
      <c r="HP401">
        <v>198365</v>
      </c>
      <c r="HQ401">
        <v>524</v>
      </c>
      <c r="HR401">
        <v>17</v>
      </c>
      <c r="HS401">
        <v>0</v>
      </c>
      <c r="HT401">
        <v>2947</v>
      </c>
      <c r="HU401">
        <v>0</v>
      </c>
      <c r="HV401">
        <v>0</v>
      </c>
      <c r="HW401">
        <v>467</v>
      </c>
      <c r="HZ401" s="24">
        <v>2019</v>
      </c>
      <c r="IA401" s="24">
        <v>38</v>
      </c>
      <c r="IB401" s="24" t="s">
        <v>33</v>
      </c>
      <c r="IC401" s="24">
        <v>13053</v>
      </c>
      <c r="ID401" s="24">
        <v>11248</v>
      </c>
      <c r="IG401" s="321">
        <v>2019</v>
      </c>
      <c r="IH401" s="321">
        <v>38</v>
      </c>
      <c r="II401" s="321" t="s">
        <v>33</v>
      </c>
      <c r="IJ401" s="321">
        <v>11642</v>
      </c>
      <c r="IK401" s="321">
        <v>10766</v>
      </c>
    </row>
    <row r="402" spans="9:245" x14ac:dyDescent="0.4">
      <c r="I402" s="305">
        <v>2019</v>
      </c>
      <c r="J402" s="306">
        <v>38</v>
      </c>
      <c r="K402" s="306" t="s">
        <v>33</v>
      </c>
      <c r="L402" s="306">
        <v>204505</v>
      </c>
      <c r="M402" s="306">
        <v>154572</v>
      </c>
      <c r="N402" s="306">
        <v>816</v>
      </c>
      <c r="O402" s="306">
        <v>7161</v>
      </c>
      <c r="P402" s="306">
        <v>927</v>
      </c>
      <c r="Q402" s="306">
        <v>3</v>
      </c>
      <c r="R402" s="24"/>
      <c r="S402" s="24"/>
      <c r="T402" s="24"/>
      <c r="W402" s="24">
        <v>2019</v>
      </c>
      <c r="X402" s="24">
        <v>37</v>
      </c>
      <c r="Y402" s="24" t="s">
        <v>32</v>
      </c>
      <c r="Z402" s="24">
        <v>8430</v>
      </c>
      <c r="AA402" s="24">
        <v>7800</v>
      </c>
      <c r="AB402" s="24">
        <v>20</v>
      </c>
      <c r="AC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BI402" s="24">
        <v>2021</v>
      </c>
      <c r="BJ402" s="24">
        <v>23</v>
      </c>
      <c r="BK402" s="24" t="s">
        <v>32</v>
      </c>
      <c r="BL402" s="24" t="s">
        <v>272</v>
      </c>
      <c r="BM402" s="24">
        <v>2033</v>
      </c>
      <c r="BN402" s="24">
        <v>2029</v>
      </c>
      <c r="BO402" s="24">
        <v>7081</v>
      </c>
      <c r="DD402" s="24"/>
      <c r="DE402" s="24"/>
      <c r="DF402" s="24"/>
      <c r="DG402" s="24"/>
      <c r="DJ402" s="24">
        <v>2019</v>
      </c>
      <c r="DK402" s="24">
        <v>50</v>
      </c>
      <c r="DL402" s="24" t="s">
        <v>32</v>
      </c>
      <c r="DM402" s="24">
        <v>27</v>
      </c>
      <c r="DP402" s="24"/>
      <c r="DQ402" s="24"/>
      <c r="DR402" s="24"/>
      <c r="DS402" s="24"/>
      <c r="EI402" s="24">
        <v>2022</v>
      </c>
      <c r="EJ402" s="24">
        <v>50</v>
      </c>
      <c r="EK402" s="24" t="s">
        <v>208</v>
      </c>
      <c r="EL402" s="24" t="s">
        <v>235</v>
      </c>
      <c r="EM402" s="24" t="s">
        <v>215</v>
      </c>
      <c r="EN402" s="24">
        <v>4</v>
      </c>
      <c r="EO402" s="24"/>
      <c r="EP402" s="24"/>
      <c r="EQ402" s="24"/>
      <c r="ER402" s="24"/>
      <c r="ES402" s="24">
        <v>2020</v>
      </c>
      <c r="ET402" s="24">
        <v>28</v>
      </c>
      <c r="EU402" s="24" t="s">
        <v>32</v>
      </c>
      <c r="EV402" s="24">
        <v>2278</v>
      </c>
      <c r="FW402" s="24">
        <v>2019</v>
      </c>
      <c r="FX402" s="24">
        <v>37</v>
      </c>
      <c r="FY402" s="24" t="s">
        <v>32</v>
      </c>
      <c r="FZ402" s="24">
        <v>877</v>
      </c>
      <c r="GA402" s="24">
        <v>835</v>
      </c>
      <c r="GB402" s="24"/>
      <c r="GC402" s="24"/>
      <c r="GD402" s="24">
        <v>2019</v>
      </c>
      <c r="GE402" s="24">
        <v>37</v>
      </c>
      <c r="GF402" s="24" t="s">
        <v>32</v>
      </c>
      <c r="GG402" s="24">
        <v>885</v>
      </c>
      <c r="GH402" s="24">
        <v>841</v>
      </c>
      <c r="GK402" s="24"/>
      <c r="GL402" s="24"/>
      <c r="GM402" s="24"/>
      <c r="GN402" s="24"/>
      <c r="GO402" s="24"/>
      <c r="GX402">
        <v>2019</v>
      </c>
      <c r="GY402">
        <v>37</v>
      </c>
      <c r="GZ402" t="s">
        <v>32</v>
      </c>
      <c r="HA402">
        <v>8594</v>
      </c>
      <c r="HB402">
        <v>7938</v>
      </c>
      <c r="HC402">
        <v>0</v>
      </c>
      <c r="HD402">
        <v>46</v>
      </c>
      <c r="HE402">
        <v>0</v>
      </c>
      <c r="HF402">
        <v>206</v>
      </c>
      <c r="HG402">
        <v>0</v>
      </c>
      <c r="HH402">
        <v>0</v>
      </c>
      <c r="HI402">
        <v>86</v>
      </c>
      <c r="HL402">
        <v>2019</v>
      </c>
      <c r="HM402">
        <v>37</v>
      </c>
      <c r="HN402" t="s">
        <v>32</v>
      </c>
      <c r="HO402">
        <v>8426</v>
      </c>
      <c r="HP402">
        <v>7930</v>
      </c>
      <c r="HQ402">
        <v>0</v>
      </c>
      <c r="HR402">
        <v>36</v>
      </c>
      <c r="HS402">
        <v>0</v>
      </c>
      <c r="HT402">
        <v>206</v>
      </c>
      <c r="HU402">
        <v>0</v>
      </c>
      <c r="HV402">
        <v>0</v>
      </c>
      <c r="HW402">
        <v>48</v>
      </c>
      <c r="HZ402" s="24">
        <v>2019</v>
      </c>
      <c r="IA402" s="24">
        <v>37</v>
      </c>
      <c r="IB402" s="24" t="s">
        <v>32</v>
      </c>
      <c r="IC402" s="24">
        <v>876</v>
      </c>
      <c r="ID402" s="24">
        <v>834</v>
      </c>
      <c r="IG402" s="24">
        <v>2019</v>
      </c>
      <c r="IH402" s="24">
        <v>37</v>
      </c>
      <c r="II402" s="24" t="s">
        <v>32</v>
      </c>
      <c r="IJ402" s="24">
        <v>865</v>
      </c>
      <c r="IK402" s="24">
        <v>832</v>
      </c>
    </row>
    <row r="403" spans="9:245" x14ac:dyDescent="0.4">
      <c r="I403" s="305">
        <v>2019</v>
      </c>
      <c r="J403" s="306">
        <v>37</v>
      </c>
      <c r="K403" s="306" t="s">
        <v>32</v>
      </c>
      <c r="L403" s="306">
        <v>8594</v>
      </c>
      <c r="M403" s="306">
        <v>7933</v>
      </c>
      <c r="N403" s="306">
        <v>24</v>
      </c>
      <c r="O403" s="306">
        <v>221</v>
      </c>
      <c r="P403" s="306">
        <v>19</v>
      </c>
      <c r="Q403" s="306"/>
      <c r="R403" s="24"/>
      <c r="S403" s="24"/>
      <c r="T403" s="24"/>
      <c r="W403" s="24">
        <v>2019</v>
      </c>
      <c r="X403" s="24">
        <v>37</v>
      </c>
      <c r="Y403" s="24" t="s">
        <v>33</v>
      </c>
      <c r="Z403" s="24">
        <v>217221</v>
      </c>
      <c r="AA403" s="24">
        <v>145691</v>
      </c>
      <c r="AB403" s="24">
        <v>1270</v>
      </c>
      <c r="AC403" s="24">
        <v>14</v>
      </c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BI403" s="24">
        <v>2021</v>
      </c>
      <c r="BJ403" s="24">
        <v>23</v>
      </c>
      <c r="BK403" s="24" t="s">
        <v>33</v>
      </c>
      <c r="BL403" s="24" t="s">
        <v>273</v>
      </c>
      <c r="BM403" s="24">
        <v>94166</v>
      </c>
      <c r="BN403" s="24">
        <v>93732</v>
      </c>
      <c r="BO403" s="24">
        <v>96042</v>
      </c>
      <c r="DD403" s="24"/>
      <c r="DE403" s="24"/>
      <c r="DF403" s="24"/>
      <c r="DG403" s="24"/>
      <c r="DJ403" s="24">
        <v>2019</v>
      </c>
      <c r="DK403" s="24">
        <v>50</v>
      </c>
      <c r="DL403" s="24" t="s">
        <v>33</v>
      </c>
      <c r="DM403" s="24">
        <v>1469</v>
      </c>
      <c r="DP403" s="24"/>
      <c r="DQ403" s="24"/>
      <c r="DR403" s="24"/>
      <c r="DS403" s="24"/>
      <c r="EI403" s="24">
        <v>2022</v>
      </c>
      <c r="EJ403" s="24">
        <v>50</v>
      </c>
      <c r="EK403" s="24" t="s">
        <v>208</v>
      </c>
      <c r="EL403" s="24" t="s">
        <v>209</v>
      </c>
      <c r="EM403" s="24" t="s">
        <v>210</v>
      </c>
      <c r="EN403" s="24">
        <v>6</v>
      </c>
      <c r="EO403" s="24"/>
      <c r="EP403" s="24"/>
      <c r="EQ403" s="24"/>
      <c r="ER403" s="24"/>
      <c r="ES403" s="24">
        <v>2020</v>
      </c>
      <c r="ET403" s="24">
        <v>28</v>
      </c>
      <c r="EU403" s="24" t="s">
        <v>33</v>
      </c>
      <c r="EV403" s="24">
        <v>82911</v>
      </c>
      <c r="FW403" s="24">
        <v>2019</v>
      </c>
      <c r="FX403" s="24">
        <v>37</v>
      </c>
      <c r="FY403" s="24" t="s">
        <v>33</v>
      </c>
      <c r="FZ403" s="24">
        <v>13175</v>
      </c>
      <c r="GA403" s="24">
        <v>9979</v>
      </c>
      <c r="GB403" s="24"/>
      <c r="GC403" s="24"/>
      <c r="GD403" s="24">
        <v>2019</v>
      </c>
      <c r="GE403" s="24">
        <v>37</v>
      </c>
      <c r="GF403" s="24" t="s">
        <v>33</v>
      </c>
      <c r="GG403" s="24">
        <v>12963</v>
      </c>
      <c r="GH403" s="24">
        <v>10052</v>
      </c>
      <c r="GK403" s="24"/>
      <c r="GL403" s="24"/>
      <c r="GM403" s="24"/>
      <c r="GN403" s="24"/>
      <c r="GO403" s="24"/>
      <c r="GX403">
        <v>2019</v>
      </c>
      <c r="GY403">
        <v>37</v>
      </c>
      <c r="GZ403" t="s">
        <v>33</v>
      </c>
      <c r="HA403">
        <v>217806</v>
      </c>
      <c r="HB403">
        <v>206509</v>
      </c>
      <c r="HC403">
        <v>976</v>
      </c>
      <c r="HD403">
        <v>64</v>
      </c>
      <c r="HE403">
        <v>0</v>
      </c>
      <c r="HF403">
        <v>7773</v>
      </c>
      <c r="HG403">
        <v>0</v>
      </c>
      <c r="HH403">
        <v>0</v>
      </c>
      <c r="HI403">
        <v>2286</v>
      </c>
      <c r="HL403">
        <v>2019</v>
      </c>
      <c r="HM403">
        <v>37</v>
      </c>
      <c r="HN403" t="s">
        <v>33</v>
      </c>
      <c r="HO403">
        <v>216794</v>
      </c>
      <c r="HP403">
        <v>208892</v>
      </c>
      <c r="HQ403">
        <v>736</v>
      </c>
      <c r="HR403">
        <v>55</v>
      </c>
      <c r="HS403">
        <v>0</v>
      </c>
      <c r="HT403">
        <v>7137</v>
      </c>
      <c r="HU403">
        <v>0</v>
      </c>
      <c r="HV403">
        <v>0</v>
      </c>
      <c r="HW403">
        <v>1239</v>
      </c>
      <c r="HZ403" s="24">
        <v>2019</v>
      </c>
      <c r="IA403" s="24">
        <v>37</v>
      </c>
      <c r="IB403" s="24" t="s">
        <v>33</v>
      </c>
      <c r="IC403" s="24">
        <v>13145</v>
      </c>
      <c r="ID403" s="24">
        <v>10277</v>
      </c>
      <c r="IG403" s="24">
        <v>2019</v>
      </c>
      <c r="IH403" s="24">
        <v>37</v>
      </c>
      <c r="II403" s="24" t="s">
        <v>33</v>
      </c>
      <c r="IJ403" s="24">
        <v>11537</v>
      </c>
      <c r="IK403" s="24">
        <v>9691</v>
      </c>
    </row>
    <row r="404" spans="9:245" x14ac:dyDescent="0.4">
      <c r="I404" s="305">
        <v>2019</v>
      </c>
      <c r="J404" s="306">
        <v>37</v>
      </c>
      <c r="K404" s="306" t="s">
        <v>33</v>
      </c>
      <c r="L404" s="306">
        <v>219418</v>
      </c>
      <c r="M404" s="306">
        <v>146550</v>
      </c>
      <c r="N404" s="306">
        <v>979</v>
      </c>
      <c r="O404" s="306">
        <v>10139</v>
      </c>
      <c r="P404" s="306">
        <v>1353</v>
      </c>
      <c r="Q404" s="306">
        <v>3</v>
      </c>
      <c r="R404" s="24"/>
      <c r="S404" s="24"/>
      <c r="T404" s="24"/>
      <c r="W404" s="322">
        <v>2019</v>
      </c>
      <c r="X404" s="322">
        <v>36</v>
      </c>
      <c r="Y404" s="322" t="s">
        <v>32</v>
      </c>
      <c r="Z404" s="322">
        <v>7650</v>
      </c>
      <c r="AA404" s="322">
        <v>7407</v>
      </c>
      <c r="AB404" s="322">
        <v>5</v>
      </c>
      <c r="AC404" s="322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BI404" s="24">
        <v>2021</v>
      </c>
      <c r="BJ404" s="24">
        <v>23</v>
      </c>
      <c r="BK404" s="24" t="s">
        <v>32</v>
      </c>
      <c r="BL404" s="24" t="s">
        <v>273</v>
      </c>
      <c r="BM404" s="24">
        <v>5402</v>
      </c>
      <c r="BN404" s="24">
        <v>5374</v>
      </c>
      <c r="BO404" s="24">
        <v>5481</v>
      </c>
      <c r="DD404" s="24"/>
      <c r="DE404" s="24"/>
      <c r="DF404" s="24"/>
      <c r="DG404" s="24"/>
      <c r="DJ404" s="24">
        <v>2019</v>
      </c>
      <c r="DK404" s="24">
        <v>50</v>
      </c>
      <c r="DL404" s="24" t="s">
        <v>213</v>
      </c>
      <c r="DM404" s="24">
        <v>4</v>
      </c>
      <c r="DP404" s="24"/>
      <c r="DQ404" s="24"/>
      <c r="DR404" s="24"/>
      <c r="DS404" s="24"/>
      <c r="EI404" s="24">
        <v>2022</v>
      </c>
      <c r="EJ404" s="24">
        <v>50</v>
      </c>
      <c r="EK404" s="24" t="s">
        <v>208</v>
      </c>
      <c r="EL404" s="24" t="s">
        <v>209</v>
      </c>
      <c r="EM404" s="24" t="s">
        <v>234</v>
      </c>
      <c r="EN404" s="24">
        <v>1</v>
      </c>
      <c r="EO404" s="24"/>
      <c r="EP404" s="24"/>
      <c r="EQ404" s="24"/>
      <c r="ER404" s="24"/>
      <c r="ES404" s="24">
        <v>2020</v>
      </c>
      <c r="ET404" s="24">
        <v>28</v>
      </c>
      <c r="EU404" s="24" t="s">
        <v>213</v>
      </c>
      <c r="EV404" s="24">
        <v>24</v>
      </c>
      <c r="FW404" s="24">
        <v>2019</v>
      </c>
      <c r="FX404" s="24">
        <v>36</v>
      </c>
      <c r="FY404" s="24" t="s">
        <v>32</v>
      </c>
      <c r="FZ404" s="24">
        <v>1075</v>
      </c>
      <c r="GA404" s="24">
        <v>975</v>
      </c>
      <c r="GB404" s="24"/>
      <c r="GC404" s="24"/>
      <c r="GD404" s="322">
        <v>2019</v>
      </c>
      <c r="GE404" s="322">
        <v>36</v>
      </c>
      <c r="GF404" s="322" t="s">
        <v>32</v>
      </c>
      <c r="GG404" s="322">
        <v>1062</v>
      </c>
      <c r="GH404" s="322">
        <v>971</v>
      </c>
      <c r="GK404" s="24"/>
      <c r="GL404" s="24"/>
      <c r="GM404" s="24"/>
      <c r="GN404" s="24"/>
      <c r="GO404" s="24"/>
      <c r="GX404">
        <v>2019</v>
      </c>
      <c r="GY404">
        <v>36</v>
      </c>
      <c r="GZ404" t="s">
        <v>32</v>
      </c>
      <c r="HA404">
        <v>7743</v>
      </c>
      <c r="HB404">
        <v>7482</v>
      </c>
      <c r="HC404">
        <v>0</v>
      </c>
      <c r="HD404">
        <v>4</v>
      </c>
      <c r="HE404">
        <v>0</v>
      </c>
      <c r="HF404">
        <v>80</v>
      </c>
      <c r="HG404">
        <v>0</v>
      </c>
      <c r="HH404">
        <v>0</v>
      </c>
      <c r="HI404">
        <v>26</v>
      </c>
      <c r="HL404">
        <v>2019</v>
      </c>
      <c r="HM404">
        <v>36</v>
      </c>
      <c r="HN404" t="s">
        <v>32</v>
      </c>
      <c r="HO404">
        <v>7618</v>
      </c>
      <c r="HP404">
        <v>7455</v>
      </c>
      <c r="HQ404">
        <v>0</v>
      </c>
      <c r="HR404">
        <v>2</v>
      </c>
      <c r="HS404">
        <v>0</v>
      </c>
      <c r="HT404">
        <v>77</v>
      </c>
      <c r="HU404">
        <v>0</v>
      </c>
      <c r="HV404">
        <v>0</v>
      </c>
      <c r="HW404">
        <v>2</v>
      </c>
      <c r="HZ404" s="24">
        <v>2019</v>
      </c>
      <c r="IA404" s="24">
        <v>36</v>
      </c>
      <c r="IB404" s="24" t="s">
        <v>32</v>
      </c>
      <c r="IC404" s="24">
        <v>1126</v>
      </c>
      <c r="ID404" s="24">
        <v>1025</v>
      </c>
      <c r="IG404" s="322">
        <v>2019</v>
      </c>
      <c r="IH404" s="322">
        <v>36</v>
      </c>
      <c r="II404" s="322" t="s">
        <v>32</v>
      </c>
      <c r="IJ404" s="322">
        <v>1026</v>
      </c>
      <c r="IK404" s="322">
        <v>940</v>
      </c>
    </row>
    <row r="405" spans="9:245" x14ac:dyDescent="0.4">
      <c r="I405" s="305">
        <v>2019</v>
      </c>
      <c r="J405" s="306">
        <v>36</v>
      </c>
      <c r="K405" s="306" t="s">
        <v>32</v>
      </c>
      <c r="L405" s="306">
        <v>7751</v>
      </c>
      <c r="M405" s="306">
        <v>7486</v>
      </c>
      <c r="N405" s="306">
        <v>23</v>
      </c>
      <c r="O405" s="306">
        <v>59</v>
      </c>
      <c r="P405" s="306">
        <v>6</v>
      </c>
      <c r="Q405" s="306"/>
      <c r="R405" s="24"/>
      <c r="S405" s="24"/>
      <c r="T405" s="24"/>
      <c r="W405" s="322">
        <v>2019</v>
      </c>
      <c r="X405" s="322">
        <v>36</v>
      </c>
      <c r="Y405" s="322" t="s">
        <v>33</v>
      </c>
      <c r="Z405" s="322">
        <v>198583</v>
      </c>
      <c r="AA405" s="322">
        <v>138694</v>
      </c>
      <c r="AB405" s="322">
        <v>773</v>
      </c>
      <c r="AC405" s="322">
        <v>361</v>
      </c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BI405" s="24">
        <v>2021</v>
      </c>
      <c r="BJ405" s="24">
        <v>23</v>
      </c>
      <c r="BK405" s="24" t="s">
        <v>33</v>
      </c>
      <c r="BL405" s="24" t="s">
        <v>272</v>
      </c>
      <c r="BM405" s="24">
        <v>48678</v>
      </c>
      <c r="BN405" s="24">
        <v>48646</v>
      </c>
      <c r="BO405" s="24">
        <v>173977</v>
      </c>
      <c r="DD405" s="24"/>
      <c r="DE405" s="24"/>
      <c r="DF405" s="24"/>
      <c r="DG405" s="24"/>
      <c r="DJ405" s="24">
        <v>2019</v>
      </c>
      <c r="DK405" s="24">
        <v>49</v>
      </c>
      <c r="DL405" s="24" t="s">
        <v>32</v>
      </c>
      <c r="DM405" s="24">
        <v>18</v>
      </c>
      <c r="DP405" s="24"/>
      <c r="DQ405" s="24"/>
      <c r="DR405" s="24"/>
      <c r="DS405" s="24"/>
      <c r="EI405" s="24">
        <v>2022</v>
      </c>
      <c r="EJ405" s="24">
        <v>50</v>
      </c>
      <c r="EK405" s="24" t="s">
        <v>558</v>
      </c>
      <c r="EL405" s="24" t="s">
        <v>555</v>
      </c>
      <c r="EM405" s="24" t="s">
        <v>210</v>
      </c>
      <c r="EN405" s="24">
        <v>9</v>
      </c>
      <c r="EO405" s="24"/>
      <c r="EP405" s="24"/>
      <c r="EQ405" s="24"/>
      <c r="ER405" s="24"/>
      <c r="ES405" s="24">
        <v>2020</v>
      </c>
      <c r="ET405" s="24">
        <v>27</v>
      </c>
      <c r="EU405" s="24" t="s">
        <v>32</v>
      </c>
      <c r="EV405" s="24">
        <v>2156</v>
      </c>
      <c r="FW405" s="24">
        <v>2019</v>
      </c>
      <c r="FX405" s="24">
        <v>36</v>
      </c>
      <c r="FY405" s="24" t="s">
        <v>33</v>
      </c>
      <c r="FZ405" s="24">
        <v>12224</v>
      </c>
      <c r="GA405" s="24">
        <v>10730</v>
      </c>
      <c r="GB405" s="24"/>
      <c r="GC405" s="24"/>
      <c r="GD405" s="322">
        <v>2019</v>
      </c>
      <c r="GE405" s="322">
        <v>36</v>
      </c>
      <c r="GF405" s="322" t="s">
        <v>33</v>
      </c>
      <c r="GG405" s="322">
        <v>12102</v>
      </c>
      <c r="GH405" s="322">
        <v>10757</v>
      </c>
      <c r="GK405" s="24"/>
      <c r="GL405" s="24"/>
      <c r="GM405" s="24"/>
      <c r="GN405" s="24"/>
      <c r="GO405" s="24"/>
      <c r="GX405">
        <v>2019</v>
      </c>
      <c r="GY405">
        <v>36</v>
      </c>
      <c r="GZ405" t="s">
        <v>33</v>
      </c>
      <c r="HA405">
        <v>201562</v>
      </c>
      <c r="HB405">
        <v>195710</v>
      </c>
      <c r="HC405">
        <v>418</v>
      </c>
      <c r="HD405">
        <v>23</v>
      </c>
      <c r="HE405">
        <v>0</v>
      </c>
      <c r="HF405">
        <v>2798</v>
      </c>
      <c r="HG405">
        <v>0</v>
      </c>
      <c r="HH405">
        <v>1</v>
      </c>
      <c r="HI405">
        <v>1220</v>
      </c>
      <c r="HL405">
        <v>2019</v>
      </c>
      <c r="HM405">
        <v>36</v>
      </c>
      <c r="HN405" t="s">
        <v>33</v>
      </c>
      <c r="HO405">
        <v>198263</v>
      </c>
      <c r="HP405">
        <v>195358</v>
      </c>
      <c r="HQ405">
        <v>405</v>
      </c>
      <c r="HR405">
        <v>15</v>
      </c>
      <c r="HS405">
        <v>0</v>
      </c>
      <c r="HT405">
        <v>2253</v>
      </c>
      <c r="HU405">
        <v>0</v>
      </c>
      <c r="HV405">
        <v>1</v>
      </c>
      <c r="HW405">
        <v>579</v>
      </c>
      <c r="HZ405" s="24">
        <v>2019</v>
      </c>
      <c r="IA405" s="24">
        <v>36</v>
      </c>
      <c r="IB405" s="24" t="s">
        <v>33</v>
      </c>
      <c r="IC405" s="24">
        <v>12242</v>
      </c>
      <c r="ID405" s="24">
        <v>11023</v>
      </c>
      <c r="IG405" s="322">
        <v>2019</v>
      </c>
      <c r="IH405" s="322">
        <v>36</v>
      </c>
      <c r="II405" s="322" t="s">
        <v>33</v>
      </c>
      <c r="IJ405" s="322">
        <v>10892</v>
      </c>
      <c r="IK405" s="322">
        <v>10304</v>
      </c>
    </row>
    <row r="406" spans="9:245" x14ac:dyDescent="0.4">
      <c r="I406" s="305">
        <v>2019</v>
      </c>
      <c r="J406" s="306">
        <v>36</v>
      </c>
      <c r="K406" s="306" t="s">
        <v>33</v>
      </c>
      <c r="L406" s="306">
        <v>200670</v>
      </c>
      <c r="M406" s="306">
        <v>139914</v>
      </c>
      <c r="N406" s="306">
        <v>727</v>
      </c>
      <c r="O406" s="306">
        <v>7755</v>
      </c>
      <c r="P406" s="306">
        <v>872</v>
      </c>
      <c r="Q406" s="306">
        <v>375</v>
      </c>
      <c r="R406" s="24"/>
      <c r="S406" s="24"/>
      <c r="T406" s="24"/>
      <c r="W406" s="322">
        <v>2019</v>
      </c>
      <c r="X406" s="322">
        <v>35</v>
      </c>
      <c r="Y406" s="322" t="s">
        <v>32</v>
      </c>
      <c r="Z406" s="322">
        <v>7572</v>
      </c>
      <c r="AA406" s="322">
        <v>7484</v>
      </c>
      <c r="AB406" s="322">
        <v>3</v>
      </c>
      <c r="AC406" s="322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BI406" s="24">
        <v>2021</v>
      </c>
      <c r="BJ406" s="24">
        <v>22</v>
      </c>
      <c r="BK406" s="24" t="s">
        <v>32</v>
      </c>
      <c r="BL406" s="24" t="s">
        <v>272</v>
      </c>
      <c r="BM406" s="24">
        <v>2281</v>
      </c>
      <c r="BN406" s="24">
        <v>2275</v>
      </c>
      <c r="BO406" s="24">
        <v>7904</v>
      </c>
      <c r="DD406" s="24"/>
      <c r="DE406" s="24"/>
      <c r="DF406" s="24"/>
      <c r="DG406" s="24"/>
      <c r="DJ406" s="24">
        <v>2019</v>
      </c>
      <c r="DK406" s="24">
        <v>49</v>
      </c>
      <c r="DL406" s="24" t="s">
        <v>33</v>
      </c>
      <c r="DM406" s="24">
        <v>1294</v>
      </c>
      <c r="DP406" s="24"/>
      <c r="DQ406" s="24"/>
      <c r="DR406" s="24"/>
      <c r="DS406" s="24"/>
      <c r="EI406" s="24">
        <v>2022</v>
      </c>
      <c r="EJ406" s="24">
        <v>50</v>
      </c>
      <c r="EK406" s="24" t="s">
        <v>558</v>
      </c>
      <c r="EL406" s="24" t="s">
        <v>557</v>
      </c>
      <c r="EM406" s="24" t="s">
        <v>210</v>
      </c>
      <c r="EN406" s="24">
        <v>72</v>
      </c>
      <c r="EO406" s="24"/>
      <c r="EP406" s="24"/>
      <c r="EQ406" s="24"/>
      <c r="ER406" s="24"/>
      <c r="ES406" s="24">
        <v>2020</v>
      </c>
      <c r="ET406" s="24">
        <v>27</v>
      </c>
      <c r="EU406" s="24" t="s">
        <v>33</v>
      </c>
      <c r="EV406" s="24">
        <v>74348</v>
      </c>
      <c r="FW406" s="24">
        <v>2019</v>
      </c>
      <c r="FX406" s="24">
        <v>35</v>
      </c>
      <c r="FY406" s="24" t="s">
        <v>32</v>
      </c>
      <c r="FZ406" s="24">
        <v>1081</v>
      </c>
      <c r="GA406" s="24">
        <v>1057</v>
      </c>
      <c r="GB406" s="24"/>
      <c r="GC406" s="24"/>
      <c r="GD406" s="322">
        <v>2019</v>
      </c>
      <c r="GE406" s="322">
        <v>35</v>
      </c>
      <c r="GF406" s="322" t="s">
        <v>32</v>
      </c>
      <c r="GG406" s="322">
        <v>1072</v>
      </c>
      <c r="GH406" s="322">
        <v>1056</v>
      </c>
      <c r="GK406" s="24"/>
      <c r="GL406" s="24"/>
      <c r="GM406" s="24"/>
      <c r="GN406" s="24"/>
      <c r="GO406" s="24"/>
      <c r="GX406">
        <v>2019</v>
      </c>
      <c r="GY406">
        <v>35</v>
      </c>
      <c r="GZ406" t="s">
        <v>32</v>
      </c>
      <c r="HA406">
        <v>7406</v>
      </c>
      <c r="HB406">
        <v>7310</v>
      </c>
      <c r="HC406">
        <v>0</v>
      </c>
      <c r="HD406">
        <v>4</v>
      </c>
      <c r="HE406">
        <v>0</v>
      </c>
      <c r="HF406">
        <v>15</v>
      </c>
      <c r="HG406">
        <v>0</v>
      </c>
      <c r="HH406">
        <v>0</v>
      </c>
      <c r="HI406">
        <v>10</v>
      </c>
      <c r="HL406">
        <v>2019</v>
      </c>
      <c r="HM406">
        <v>35</v>
      </c>
      <c r="HN406" t="s">
        <v>32</v>
      </c>
      <c r="HO406">
        <v>7567</v>
      </c>
      <c r="HP406">
        <v>7502</v>
      </c>
      <c r="HQ406">
        <v>0</v>
      </c>
      <c r="HR406">
        <v>5</v>
      </c>
      <c r="HS406">
        <v>0</v>
      </c>
      <c r="HT406">
        <v>14</v>
      </c>
      <c r="HU406">
        <v>0</v>
      </c>
      <c r="HV406">
        <v>0</v>
      </c>
      <c r="HW406">
        <v>2</v>
      </c>
      <c r="HZ406" s="24">
        <v>2019</v>
      </c>
      <c r="IA406" s="24">
        <v>35</v>
      </c>
      <c r="IB406" s="24" t="s">
        <v>32</v>
      </c>
      <c r="IC406" s="24">
        <v>994</v>
      </c>
      <c r="ID406" s="24">
        <v>970</v>
      </c>
      <c r="IG406" s="322">
        <v>2019</v>
      </c>
      <c r="IH406" s="322">
        <v>35</v>
      </c>
      <c r="II406" s="322" t="s">
        <v>32</v>
      </c>
      <c r="IJ406" s="322">
        <v>1055</v>
      </c>
      <c r="IK406" s="322">
        <v>1039</v>
      </c>
    </row>
    <row r="407" spans="9:245" x14ac:dyDescent="0.4">
      <c r="I407" s="305">
        <v>2019</v>
      </c>
      <c r="J407" s="306">
        <v>35</v>
      </c>
      <c r="K407" s="306" t="s">
        <v>32</v>
      </c>
      <c r="L407" s="306">
        <v>7544</v>
      </c>
      <c r="M407" s="306">
        <v>7445</v>
      </c>
      <c r="N407" s="306">
        <v>8</v>
      </c>
      <c r="O407" s="306">
        <v>49</v>
      </c>
      <c r="P407" s="306">
        <v>10</v>
      </c>
      <c r="Q407" s="306"/>
      <c r="R407" s="24"/>
      <c r="S407" s="24"/>
      <c r="T407" s="24"/>
      <c r="W407" s="322">
        <v>2019</v>
      </c>
      <c r="X407" s="322">
        <v>35</v>
      </c>
      <c r="Y407" s="322" t="s">
        <v>33</v>
      </c>
      <c r="Z407" s="322">
        <v>180965</v>
      </c>
      <c r="AA407" s="322">
        <v>131362</v>
      </c>
      <c r="AB407" s="322">
        <v>591</v>
      </c>
      <c r="AC407" s="322">
        <v>20</v>
      </c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BI407" s="24">
        <v>2021</v>
      </c>
      <c r="BJ407" s="24">
        <v>22</v>
      </c>
      <c r="BK407" s="24" t="s">
        <v>32</v>
      </c>
      <c r="BL407" s="24" t="s">
        <v>273</v>
      </c>
      <c r="BM407" s="24">
        <v>5535</v>
      </c>
      <c r="BN407" s="24">
        <v>5510</v>
      </c>
      <c r="BO407" s="24">
        <v>5886</v>
      </c>
      <c r="DD407" s="24"/>
      <c r="DE407" s="24"/>
      <c r="DF407" s="24"/>
      <c r="DG407" s="24"/>
      <c r="DJ407" s="24">
        <v>2019</v>
      </c>
      <c r="DK407" s="24">
        <v>49</v>
      </c>
      <c r="DL407" s="24" t="s">
        <v>213</v>
      </c>
      <c r="DM407" s="24">
        <v>1</v>
      </c>
      <c r="DP407" s="24"/>
      <c r="DQ407" s="24"/>
      <c r="DR407" s="24"/>
      <c r="DS407" s="24"/>
      <c r="EI407" s="24">
        <v>2022</v>
      </c>
      <c r="EJ407" s="24">
        <v>50</v>
      </c>
      <c r="EK407" s="24" t="s">
        <v>558</v>
      </c>
      <c r="EL407" s="24" t="s">
        <v>233</v>
      </c>
      <c r="EM407" s="24" t="s">
        <v>234</v>
      </c>
      <c r="EN407" s="24">
        <v>2</v>
      </c>
      <c r="EO407" s="24"/>
      <c r="EP407" s="24"/>
      <c r="EQ407" s="24"/>
      <c r="ER407" s="24"/>
      <c r="ES407" s="24">
        <v>2020</v>
      </c>
      <c r="ET407" s="24">
        <v>27</v>
      </c>
      <c r="EU407" s="24" t="s">
        <v>213</v>
      </c>
      <c r="EV407" s="24">
        <v>38</v>
      </c>
      <c r="FW407" s="24">
        <v>2019</v>
      </c>
      <c r="FX407" s="24">
        <v>35</v>
      </c>
      <c r="FY407" s="24" t="s">
        <v>33</v>
      </c>
      <c r="FZ407" s="24">
        <v>11415</v>
      </c>
      <c r="GA407" s="24">
        <v>10478</v>
      </c>
      <c r="GB407" s="24"/>
      <c r="GC407" s="24"/>
      <c r="GD407" s="322">
        <v>2019</v>
      </c>
      <c r="GE407" s="322">
        <v>35</v>
      </c>
      <c r="GF407" s="322" t="s">
        <v>33</v>
      </c>
      <c r="GG407" s="322">
        <v>11495</v>
      </c>
      <c r="GH407" s="322">
        <v>10601</v>
      </c>
      <c r="GK407" s="24"/>
      <c r="GL407" s="24"/>
      <c r="GM407" s="24"/>
      <c r="GN407" s="24"/>
      <c r="GO407" s="24"/>
      <c r="GX407">
        <v>2019</v>
      </c>
      <c r="GY407">
        <v>35</v>
      </c>
      <c r="GZ407" t="s">
        <v>33</v>
      </c>
      <c r="HA407">
        <v>183843</v>
      </c>
      <c r="HB407">
        <v>182168</v>
      </c>
      <c r="HC407">
        <v>186</v>
      </c>
      <c r="HD407">
        <v>21</v>
      </c>
      <c r="HE407">
        <v>0</v>
      </c>
      <c r="HF407">
        <v>579</v>
      </c>
      <c r="HG407">
        <v>0</v>
      </c>
      <c r="HH407">
        <v>0</v>
      </c>
      <c r="HI407">
        <v>603</v>
      </c>
      <c r="HL407">
        <v>2019</v>
      </c>
      <c r="HM407">
        <v>35</v>
      </c>
      <c r="HN407" t="s">
        <v>33</v>
      </c>
      <c r="HO407">
        <v>180712</v>
      </c>
      <c r="HP407">
        <v>179860</v>
      </c>
      <c r="HQ407">
        <v>208</v>
      </c>
      <c r="HR407">
        <v>2</v>
      </c>
      <c r="HS407">
        <v>0</v>
      </c>
      <c r="HT407">
        <v>497</v>
      </c>
      <c r="HU407">
        <v>0</v>
      </c>
      <c r="HV407">
        <v>0</v>
      </c>
      <c r="HW407">
        <v>186</v>
      </c>
      <c r="HZ407" s="24">
        <v>2019</v>
      </c>
      <c r="IA407" s="24">
        <v>35</v>
      </c>
      <c r="IB407" s="24" t="s">
        <v>33</v>
      </c>
      <c r="IC407" s="24">
        <v>11135</v>
      </c>
      <c r="ID407" s="24">
        <v>10660</v>
      </c>
      <c r="IG407" s="322">
        <v>2019</v>
      </c>
      <c r="IH407" s="322">
        <v>35</v>
      </c>
      <c r="II407" s="322" t="s">
        <v>33</v>
      </c>
      <c r="IJ407" s="322">
        <v>10437</v>
      </c>
      <c r="IK407" s="322">
        <v>10207</v>
      </c>
    </row>
    <row r="408" spans="9:245" x14ac:dyDescent="0.4">
      <c r="I408" s="305">
        <v>2019</v>
      </c>
      <c r="J408" s="306">
        <v>35</v>
      </c>
      <c r="K408" s="306" t="s">
        <v>33</v>
      </c>
      <c r="L408" s="306">
        <v>182162</v>
      </c>
      <c r="M408" s="306">
        <v>132085</v>
      </c>
      <c r="N408" s="306">
        <v>551</v>
      </c>
      <c r="O408" s="306">
        <v>6350</v>
      </c>
      <c r="P408" s="306">
        <v>619</v>
      </c>
      <c r="Q408" s="306">
        <v>20</v>
      </c>
      <c r="R408" s="24"/>
      <c r="S408" s="24"/>
      <c r="T408" s="24"/>
      <c r="W408" s="24">
        <v>2019</v>
      </c>
      <c r="X408" s="24">
        <v>34</v>
      </c>
      <c r="Y408" s="24" t="s">
        <v>32</v>
      </c>
      <c r="Z408" s="24">
        <v>6182</v>
      </c>
      <c r="AA408" s="24">
        <v>6031</v>
      </c>
      <c r="AB408" s="24">
        <v>65</v>
      </c>
      <c r="AC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BI408" s="24">
        <v>2021</v>
      </c>
      <c r="BJ408" s="24">
        <v>22</v>
      </c>
      <c r="BK408" s="24" t="s">
        <v>33</v>
      </c>
      <c r="BL408" s="24" t="s">
        <v>272</v>
      </c>
      <c r="BM408" s="24">
        <v>42957</v>
      </c>
      <c r="BN408" s="24">
        <v>42922</v>
      </c>
      <c r="BO408" s="24">
        <v>153513</v>
      </c>
      <c r="DD408" s="24"/>
      <c r="DE408" s="24"/>
      <c r="DF408" s="24"/>
      <c r="DG408" s="24"/>
      <c r="DJ408" s="24">
        <v>2019</v>
      </c>
      <c r="DK408" s="24">
        <v>48</v>
      </c>
      <c r="DL408" s="24" t="s">
        <v>32</v>
      </c>
      <c r="DM408" s="24">
        <v>19</v>
      </c>
      <c r="DP408" s="24"/>
      <c r="DQ408" s="24"/>
      <c r="DR408" s="24"/>
      <c r="DS408" s="24"/>
      <c r="EI408" s="24">
        <v>2022</v>
      </c>
      <c r="EJ408" s="24">
        <v>50</v>
      </c>
      <c r="EK408" s="24" t="s">
        <v>558</v>
      </c>
      <c r="EL408" s="24" t="s">
        <v>233</v>
      </c>
      <c r="EM408" s="24" t="s">
        <v>215</v>
      </c>
      <c r="EN408" s="24">
        <v>51</v>
      </c>
      <c r="EO408" s="24"/>
      <c r="EP408" s="24"/>
      <c r="EQ408" s="24"/>
      <c r="ER408" s="24"/>
      <c r="ES408" s="24">
        <v>2020</v>
      </c>
      <c r="ET408" s="24">
        <v>26</v>
      </c>
      <c r="EU408" s="24" t="s">
        <v>32</v>
      </c>
      <c r="EV408" s="24">
        <v>2413</v>
      </c>
      <c r="FW408" s="24">
        <v>2019</v>
      </c>
      <c r="FX408" s="24">
        <v>34</v>
      </c>
      <c r="FY408" s="24" t="s">
        <v>32</v>
      </c>
      <c r="FZ408" s="24">
        <v>844</v>
      </c>
      <c r="GA408" s="24">
        <v>774</v>
      </c>
      <c r="GB408" s="24"/>
      <c r="GC408" s="24"/>
      <c r="GD408" s="24">
        <v>2019</v>
      </c>
      <c r="GE408" s="24">
        <v>34</v>
      </c>
      <c r="GF408" s="24" t="s">
        <v>32</v>
      </c>
      <c r="GG408" s="24">
        <v>869</v>
      </c>
      <c r="GH408" s="24">
        <v>801</v>
      </c>
      <c r="GK408" s="24"/>
      <c r="GL408" s="24"/>
      <c r="GM408" s="24"/>
      <c r="GN408" s="24"/>
      <c r="GO408" s="24"/>
      <c r="GX408">
        <v>2019</v>
      </c>
      <c r="GY408">
        <v>34</v>
      </c>
      <c r="GZ408" t="s">
        <v>32</v>
      </c>
      <c r="HA408">
        <v>6598</v>
      </c>
      <c r="HB408">
        <v>6394</v>
      </c>
      <c r="HC408">
        <v>0</v>
      </c>
      <c r="HD408">
        <v>4</v>
      </c>
      <c r="HE408">
        <v>0</v>
      </c>
      <c r="HF408">
        <v>0</v>
      </c>
      <c r="HG408">
        <v>0</v>
      </c>
      <c r="HH408">
        <v>0</v>
      </c>
      <c r="HI408">
        <v>25</v>
      </c>
      <c r="HL408">
        <v>2019</v>
      </c>
      <c r="HM408">
        <v>34</v>
      </c>
      <c r="HN408" t="s">
        <v>32</v>
      </c>
      <c r="HO408">
        <v>6174</v>
      </c>
      <c r="HP408">
        <v>6058</v>
      </c>
      <c r="HQ408">
        <v>0</v>
      </c>
      <c r="HR408">
        <v>3</v>
      </c>
      <c r="HS408">
        <v>0</v>
      </c>
      <c r="HT408">
        <v>0</v>
      </c>
      <c r="HU408">
        <v>0</v>
      </c>
      <c r="HV408">
        <v>0</v>
      </c>
      <c r="HW408">
        <v>4</v>
      </c>
      <c r="HZ408" s="24">
        <v>2019</v>
      </c>
      <c r="IA408" s="24">
        <v>34</v>
      </c>
      <c r="IB408" s="24" t="s">
        <v>32</v>
      </c>
      <c r="IC408" s="24">
        <v>940</v>
      </c>
      <c r="ID408" s="24">
        <v>868</v>
      </c>
      <c r="IG408" s="24">
        <v>2019</v>
      </c>
      <c r="IH408" s="24">
        <v>34</v>
      </c>
      <c r="II408" s="24" t="s">
        <v>32</v>
      </c>
      <c r="IJ408" s="24">
        <v>854</v>
      </c>
      <c r="IK408" s="24">
        <v>787</v>
      </c>
    </row>
    <row r="409" spans="9:245" x14ac:dyDescent="0.4">
      <c r="I409" s="305">
        <v>2019</v>
      </c>
      <c r="J409" s="306">
        <v>34</v>
      </c>
      <c r="K409" s="306" t="s">
        <v>32</v>
      </c>
      <c r="L409" s="306">
        <v>6230</v>
      </c>
      <c r="M409" s="306">
        <v>6032</v>
      </c>
      <c r="N409" s="306">
        <v>16</v>
      </c>
      <c r="O409" s="306">
        <v>99</v>
      </c>
      <c r="P409" s="306">
        <v>66</v>
      </c>
      <c r="Q409" s="306"/>
      <c r="R409" s="24"/>
      <c r="S409" s="24"/>
      <c r="T409" s="24"/>
      <c r="W409" s="24">
        <v>2019</v>
      </c>
      <c r="X409" s="24">
        <v>34</v>
      </c>
      <c r="Y409" s="24" t="s">
        <v>33</v>
      </c>
      <c r="Z409" s="24">
        <v>200026</v>
      </c>
      <c r="AA409" s="24">
        <v>141158</v>
      </c>
      <c r="AB409" s="24">
        <v>897</v>
      </c>
      <c r="AC409" s="24">
        <v>10</v>
      </c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BI409" s="24">
        <v>2021</v>
      </c>
      <c r="BJ409" s="24">
        <v>22</v>
      </c>
      <c r="BK409" s="24" t="s">
        <v>33</v>
      </c>
      <c r="BL409" s="24" t="s">
        <v>273</v>
      </c>
      <c r="BM409" s="24">
        <v>81030</v>
      </c>
      <c r="BN409" s="24">
        <v>80599</v>
      </c>
      <c r="BO409" s="24">
        <v>82694</v>
      </c>
      <c r="DD409" s="24"/>
      <c r="DE409" s="24"/>
      <c r="DF409" s="24"/>
      <c r="DG409" s="24"/>
      <c r="DJ409" s="24">
        <v>2019</v>
      </c>
      <c r="DK409" s="24">
        <v>48</v>
      </c>
      <c r="DL409" s="24" t="s">
        <v>33</v>
      </c>
      <c r="DM409" s="24">
        <v>3259</v>
      </c>
      <c r="DP409" s="24"/>
      <c r="DQ409" s="24"/>
      <c r="DR409" s="24"/>
      <c r="DS409" s="24"/>
      <c r="EI409" s="24">
        <v>2022</v>
      </c>
      <c r="EJ409" s="24">
        <v>50</v>
      </c>
      <c r="EK409" s="24" t="s">
        <v>558</v>
      </c>
      <c r="EL409" s="24" t="s">
        <v>554</v>
      </c>
      <c r="EM409" s="24" t="s">
        <v>210</v>
      </c>
      <c r="EN409" s="24">
        <v>6</v>
      </c>
      <c r="EO409" s="24"/>
      <c r="EP409" s="24"/>
      <c r="EQ409" s="24"/>
      <c r="ER409" s="24"/>
      <c r="ES409" s="24">
        <v>2020</v>
      </c>
      <c r="ET409" s="24">
        <v>26</v>
      </c>
      <c r="EU409" s="24" t="s">
        <v>33</v>
      </c>
      <c r="EV409" s="24">
        <v>72943</v>
      </c>
      <c r="FW409" s="24">
        <v>2019</v>
      </c>
      <c r="FX409" s="24">
        <v>34</v>
      </c>
      <c r="FY409" s="24" t="s">
        <v>33</v>
      </c>
      <c r="FZ409" s="24">
        <v>13297</v>
      </c>
      <c r="GA409" s="24">
        <v>11105</v>
      </c>
      <c r="GB409" s="24"/>
      <c r="GC409" s="24"/>
      <c r="GD409" s="24">
        <v>2019</v>
      </c>
      <c r="GE409" s="24">
        <v>34</v>
      </c>
      <c r="GF409" s="24" t="s">
        <v>33</v>
      </c>
      <c r="GG409" s="24">
        <v>13006</v>
      </c>
      <c r="GH409" s="24">
        <v>11177</v>
      </c>
      <c r="GK409" s="24"/>
      <c r="GL409" s="24"/>
      <c r="GM409" s="24"/>
      <c r="GN409" s="24"/>
      <c r="GO409" s="24"/>
      <c r="GX409">
        <v>2019</v>
      </c>
      <c r="GY409">
        <v>34</v>
      </c>
      <c r="GZ409" t="s">
        <v>33</v>
      </c>
      <c r="HA409">
        <v>201481</v>
      </c>
      <c r="HB409">
        <v>192355</v>
      </c>
      <c r="HC409">
        <v>534</v>
      </c>
      <c r="HD409">
        <v>65</v>
      </c>
      <c r="HE409">
        <v>0</v>
      </c>
      <c r="HF409">
        <v>2439</v>
      </c>
      <c r="HG409">
        <v>0</v>
      </c>
      <c r="HH409">
        <v>0</v>
      </c>
      <c r="HI409">
        <v>2302</v>
      </c>
      <c r="HL409">
        <v>2019</v>
      </c>
      <c r="HM409">
        <v>34</v>
      </c>
      <c r="HN409" t="s">
        <v>33</v>
      </c>
      <c r="HO409">
        <v>199778</v>
      </c>
      <c r="HP409">
        <v>197272</v>
      </c>
      <c r="HQ409">
        <v>388</v>
      </c>
      <c r="HR409">
        <v>7</v>
      </c>
      <c r="HS409">
        <v>0</v>
      </c>
      <c r="HT409">
        <v>2039</v>
      </c>
      <c r="HU409">
        <v>0</v>
      </c>
      <c r="HV409">
        <v>0</v>
      </c>
      <c r="HW409">
        <v>498</v>
      </c>
      <c r="HZ409" s="24">
        <v>2019</v>
      </c>
      <c r="IA409" s="24">
        <v>34</v>
      </c>
      <c r="IB409" s="24" t="s">
        <v>33</v>
      </c>
      <c r="IC409" s="24">
        <v>13585</v>
      </c>
      <c r="ID409" s="24">
        <v>11801</v>
      </c>
      <c r="IG409" s="24">
        <v>2019</v>
      </c>
      <c r="IH409" s="24">
        <v>34</v>
      </c>
      <c r="II409" s="24" t="s">
        <v>33</v>
      </c>
      <c r="IJ409" s="24">
        <v>11841</v>
      </c>
      <c r="IK409" s="24">
        <v>11250</v>
      </c>
    </row>
    <row r="410" spans="9:245" x14ac:dyDescent="0.4">
      <c r="I410" s="305">
        <v>2019</v>
      </c>
      <c r="J410" s="306">
        <v>34</v>
      </c>
      <c r="K410" s="306" t="s">
        <v>33</v>
      </c>
      <c r="L410" s="306">
        <v>202878</v>
      </c>
      <c r="M410" s="306">
        <v>141763</v>
      </c>
      <c r="N410" s="306">
        <v>612</v>
      </c>
      <c r="O410" s="306">
        <v>8143</v>
      </c>
      <c r="P410" s="306">
        <v>1081</v>
      </c>
      <c r="Q410" s="306">
        <v>13</v>
      </c>
      <c r="R410" s="24"/>
      <c r="S410" s="24"/>
      <c r="T410" s="24"/>
      <c r="W410" s="24">
        <v>2019</v>
      </c>
      <c r="X410" s="24">
        <v>33</v>
      </c>
      <c r="Y410" s="24" t="s">
        <v>32</v>
      </c>
      <c r="Z410" s="24">
        <v>6660</v>
      </c>
      <c r="AA410" s="24">
        <v>6553</v>
      </c>
      <c r="AB410" s="24">
        <v>7</v>
      </c>
      <c r="AC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BI410" s="24">
        <v>2021</v>
      </c>
      <c r="BJ410" s="24">
        <v>21</v>
      </c>
      <c r="BK410" s="24" t="s">
        <v>33</v>
      </c>
      <c r="BL410" s="24" t="s">
        <v>273</v>
      </c>
      <c r="BM410" s="24">
        <v>80049</v>
      </c>
      <c r="BN410" s="24">
        <v>79580</v>
      </c>
      <c r="BO410" s="24">
        <v>81680</v>
      </c>
      <c r="DD410" s="24"/>
      <c r="DE410" s="24"/>
      <c r="DF410" s="24"/>
      <c r="DG410" s="24"/>
      <c r="DJ410" s="24">
        <v>2019</v>
      </c>
      <c r="DK410" s="24">
        <v>48</v>
      </c>
      <c r="DL410" s="24" t="s">
        <v>213</v>
      </c>
      <c r="DM410" s="24">
        <v>9</v>
      </c>
      <c r="DP410" s="24"/>
      <c r="DQ410" s="24"/>
      <c r="DR410" s="24"/>
      <c r="DS410" s="24"/>
      <c r="EI410" s="24">
        <v>2022</v>
      </c>
      <c r="EJ410" s="24">
        <v>50</v>
      </c>
      <c r="EK410" s="24" t="s">
        <v>558</v>
      </c>
      <c r="EL410" s="24" t="s">
        <v>235</v>
      </c>
      <c r="EM410" s="24" t="s">
        <v>210</v>
      </c>
      <c r="EN410" s="24">
        <v>39</v>
      </c>
      <c r="EO410" s="24"/>
      <c r="EP410" s="24"/>
      <c r="EQ410" s="24"/>
      <c r="ER410" s="24"/>
      <c r="ES410" s="24">
        <v>2020</v>
      </c>
      <c r="ET410" s="24">
        <v>26</v>
      </c>
      <c r="EU410" s="24" t="s">
        <v>213</v>
      </c>
      <c r="EV410" s="24">
        <v>30</v>
      </c>
      <c r="FW410" s="24">
        <v>2019</v>
      </c>
      <c r="FX410" s="24">
        <v>33</v>
      </c>
      <c r="FY410" s="24" t="s">
        <v>32</v>
      </c>
      <c r="FZ410" s="24">
        <v>804</v>
      </c>
      <c r="GA410" s="24">
        <v>769</v>
      </c>
      <c r="GB410" s="24"/>
      <c r="GC410" s="24"/>
      <c r="GD410" s="24">
        <v>2019</v>
      </c>
      <c r="GE410" s="24">
        <v>33</v>
      </c>
      <c r="GF410" s="24" t="s">
        <v>32</v>
      </c>
      <c r="GG410" s="24">
        <v>801</v>
      </c>
      <c r="GH410" s="24">
        <v>785</v>
      </c>
      <c r="GK410" s="24"/>
      <c r="GL410" s="24"/>
      <c r="GM410" s="24"/>
      <c r="GN410" s="24"/>
      <c r="GO410" s="24"/>
      <c r="GX410">
        <v>2019</v>
      </c>
      <c r="GY410">
        <v>33</v>
      </c>
      <c r="GZ410" t="s">
        <v>32</v>
      </c>
      <c r="HA410">
        <v>6688</v>
      </c>
      <c r="HB410">
        <v>6539</v>
      </c>
      <c r="HC410">
        <v>0</v>
      </c>
      <c r="HD410">
        <v>4</v>
      </c>
      <c r="HE410">
        <v>0</v>
      </c>
      <c r="HF410">
        <v>22</v>
      </c>
      <c r="HG410">
        <v>0</v>
      </c>
      <c r="HH410">
        <v>0</v>
      </c>
      <c r="HI410">
        <v>31</v>
      </c>
      <c r="HL410">
        <v>2019</v>
      </c>
      <c r="HM410">
        <v>33</v>
      </c>
      <c r="HN410" t="s">
        <v>32</v>
      </c>
      <c r="HO410">
        <v>6651</v>
      </c>
      <c r="HP410">
        <v>6559</v>
      </c>
      <c r="HQ410">
        <v>0</v>
      </c>
      <c r="HR410">
        <v>3</v>
      </c>
      <c r="HS410">
        <v>0</v>
      </c>
      <c r="HT410">
        <v>20</v>
      </c>
      <c r="HU410">
        <v>0</v>
      </c>
      <c r="HV410">
        <v>0</v>
      </c>
      <c r="HW410">
        <v>5</v>
      </c>
      <c r="HZ410" s="24">
        <v>2019</v>
      </c>
      <c r="IA410" s="24">
        <v>33</v>
      </c>
      <c r="IB410" s="24" t="s">
        <v>32</v>
      </c>
      <c r="IC410" s="24">
        <v>810</v>
      </c>
      <c r="ID410" s="24">
        <v>776</v>
      </c>
      <c r="IG410" s="24">
        <v>2019</v>
      </c>
      <c r="IH410" s="24">
        <v>33</v>
      </c>
      <c r="II410" s="24" t="s">
        <v>32</v>
      </c>
      <c r="IJ410" s="24">
        <v>782</v>
      </c>
      <c r="IK410" s="24">
        <v>769</v>
      </c>
    </row>
    <row r="411" spans="9:245" x14ac:dyDescent="0.4">
      <c r="I411" s="305">
        <v>2019</v>
      </c>
      <c r="J411" s="306">
        <v>33</v>
      </c>
      <c r="K411" s="306" t="s">
        <v>32</v>
      </c>
      <c r="L411" s="306">
        <v>6828</v>
      </c>
      <c r="M411" s="306">
        <v>6672</v>
      </c>
      <c r="N411" s="306">
        <v>16</v>
      </c>
      <c r="O411" s="306">
        <v>52</v>
      </c>
      <c r="P411" s="306">
        <v>7</v>
      </c>
      <c r="Q411" s="306"/>
      <c r="R411" s="24"/>
      <c r="S411" s="24"/>
      <c r="T411" s="24"/>
      <c r="W411" s="24">
        <v>2019</v>
      </c>
      <c r="X411" s="24">
        <v>33</v>
      </c>
      <c r="Y411" s="24" t="s">
        <v>33</v>
      </c>
      <c r="Z411" s="24">
        <v>212300</v>
      </c>
      <c r="AA411" s="24">
        <v>144516</v>
      </c>
      <c r="AB411" s="24">
        <v>933</v>
      </c>
      <c r="AC411" s="24">
        <v>16</v>
      </c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BI411" s="24">
        <v>2021</v>
      </c>
      <c r="BJ411" s="24">
        <v>21</v>
      </c>
      <c r="BK411" s="24" t="s">
        <v>32</v>
      </c>
      <c r="BL411" s="24" t="s">
        <v>273</v>
      </c>
      <c r="BM411" s="24">
        <v>7478</v>
      </c>
      <c r="BN411" s="24">
        <v>7443</v>
      </c>
      <c r="BO411" s="24">
        <v>9764</v>
      </c>
      <c r="DD411" s="24"/>
      <c r="DE411" s="24"/>
      <c r="DF411" s="24"/>
      <c r="DG411" s="24"/>
      <c r="DJ411" s="24">
        <v>2019</v>
      </c>
      <c r="DK411" s="24">
        <v>47</v>
      </c>
      <c r="DL411" s="24" t="s">
        <v>32</v>
      </c>
      <c r="DM411" s="24">
        <v>41</v>
      </c>
      <c r="DP411" s="24"/>
      <c r="DQ411" s="24"/>
      <c r="DR411" s="24"/>
      <c r="DS411" s="24"/>
      <c r="EI411" s="24">
        <v>2022</v>
      </c>
      <c r="EJ411" s="24">
        <v>50</v>
      </c>
      <c r="EK411" s="24" t="s">
        <v>558</v>
      </c>
      <c r="EL411" s="24" t="s">
        <v>245</v>
      </c>
      <c r="EM411" s="24" t="s">
        <v>210</v>
      </c>
      <c r="EN411" s="24">
        <v>20</v>
      </c>
      <c r="EO411" s="24"/>
      <c r="EP411" s="24"/>
      <c r="EQ411" s="24"/>
      <c r="ER411" s="24"/>
      <c r="ES411" s="24">
        <v>2020</v>
      </c>
      <c r="ET411" s="24">
        <v>25</v>
      </c>
      <c r="EU411" s="24" t="s">
        <v>32</v>
      </c>
      <c r="EV411" s="24">
        <v>2398</v>
      </c>
      <c r="FW411" s="24">
        <v>2019</v>
      </c>
      <c r="FX411" s="24">
        <v>33</v>
      </c>
      <c r="FY411" s="24" t="s">
        <v>33</v>
      </c>
      <c r="FZ411" s="24">
        <v>11849</v>
      </c>
      <c r="GA411" s="24">
        <v>10155</v>
      </c>
      <c r="GB411" s="24"/>
      <c r="GC411" s="24"/>
      <c r="GD411" s="24">
        <v>2019</v>
      </c>
      <c r="GE411" s="24">
        <v>33</v>
      </c>
      <c r="GF411" s="24" t="s">
        <v>33</v>
      </c>
      <c r="GG411" s="24">
        <v>11787</v>
      </c>
      <c r="GH411" s="24">
        <v>10252</v>
      </c>
      <c r="GK411" s="24"/>
      <c r="GL411" s="24"/>
      <c r="GM411" s="24"/>
      <c r="GN411" s="24"/>
      <c r="GO411" s="24"/>
      <c r="GX411">
        <v>2019</v>
      </c>
      <c r="GY411">
        <v>33</v>
      </c>
      <c r="GZ411" t="s">
        <v>33</v>
      </c>
      <c r="HA411">
        <v>212980</v>
      </c>
      <c r="HB411">
        <v>207071</v>
      </c>
      <c r="HC411">
        <v>665</v>
      </c>
      <c r="HD411">
        <v>36</v>
      </c>
      <c r="HE411">
        <v>0</v>
      </c>
      <c r="HF411">
        <v>2696</v>
      </c>
      <c r="HG411">
        <v>0</v>
      </c>
      <c r="HH411">
        <v>0</v>
      </c>
      <c r="HI411">
        <v>1411</v>
      </c>
      <c r="HL411">
        <v>2019</v>
      </c>
      <c r="HM411">
        <v>33</v>
      </c>
      <c r="HN411" t="s">
        <v>33</v>
      </c>
      <c r="HO411">
        <v>212032</v>
      </c>
      <c r="HP411">
        <v>208928</v>
      </c>
      <c r="HQ411">
        <v>510</v>
      </c>
      <c r="HR411">
        <v>23</v>
      </c>
      <c r="HS411">
        <v>0</v>
      </c>
      <c r="HT411">
        <v>2455</v>
      </c>
      <c r="HU411">
        <v>0</v>
      </c>
      <c r="HV411">
        <v>0</v>
      </c>
      <c r="HW411">
        <v>647</v>
      </c>
      <c r="HZ411" s="24">
        <v>2019</v>
      </c>
      <c r="IA411" s="24">
        <v>33</v>
      </c>
      <c r="IB411" s="24" t="s">
        <v>33</v>
      </c>
      <c r="IC411" s="24">
        <v>11936</v>
      </c>
      <c r="ID411" s="24">
        <v>10619</v>
      </c>
      <c r="IG411" s="24">
        <v>2019</v>
      </c>
      <c r="IH411" s="24">
        <v>33</v>
      </c>
      <c r="II411" s="24" t="s">
        <v>33</v>
      </c>
      <c r="IJ411" s="24">
        <v>10559</v>
      </c>
      <c r="IK411" s="24">
        <v>10075</v>
      </c>
    </row>
    <row r="412" spans="9:245" x14ac:dyDescent="0.4">
      <c r="I412" s="305">
        <v>2019</v>
      </c>
      <c r="J412" s="306">
        <v>33</v>
      </c>
      <c r="K412" s="306" t="s">
        <v>33</v>
      </c>
      <c r="L412" s="306">
        <v>214472</v>
      </c>
      <c r="M412" s="306">
        <v>145722</v>
      </c>
      <c r="N412" s="306">
        <v>732</v>
      </c>
      <c r="O412" s="306">
        <v>9196</v>
      </c>
      <c r="P412" s="306">
        <v>1057</v>
      </c>
      <c r="Q412" s="306">
        <v>15</v>
      </c>
      <c r="R412" s="24"/>
      <c r="S412" s="24"/>
      <c r="T412" s="24"/>
      <c r="W412" s="323">
        <v>2019</v>
      </c>
      <c r="X412" s="323">
        <v>32</v>
      </c>
      <c r="Y412" s="323" t="s">
        <v>32</v>
      </c>
      <c r="Z412" s="323">
        <v>5859</v>
      </c>
      <c r="AA412" s="323">
        <v>5790</v>
      </c>
      <c r="AB412" s="323">
        <v>3</v>
      </c>
      <c r="AC412" s="323"/>
      <c r="AI412" s="24"/>
      <c r="AJ412" s="24"/>
      <c r="AK412" s="24"/>
      <c r="AL412" s="24"/>
      <c r="AM412" s="24"/>
      <c r="AN412" s="24"/>
      <c r="AO412" s="24"/>
      <c r="AP412" s="24"/>
      <c r="AQ412" s="24"/>
      <c r="AR412" s="24"/>
      <c r="BI412" s="24">
        <v>2021</v>
      </c>
      <c r="BJ412" s="24">
        <v>21</v>
      </c>
      <c r="BK412" s="24" t="s">
        <v>32</v>
      </c>
      <c r="BL412" s="24" t="s">
        <v>272</v>
      </c>
      <c r="BM412" s="24">
        <v>2940</v>
      </c>
      <c r="BN412" s="24">
        <v>2874</v>
      </c>
      <c r="BO412" s="24">
        <v>11253</v>
      </c>
      <c r="DD412" s="24"/>
      <c r="DE412" s="24"/>
      <c r="DF412" s="24"/>
      <c r="DG412" s="24"/>
      <c r="DJ412" s="24">
        <v>2019</v>
      </c>
      <c r="DK412" s="24">
        <v>47</v>
      </c>
      <c r="DL412" s="24" t="s">
        <v>33</v>
      </c>
      <c r="DM412" s="24">
        <v>1614</v>
      </c>
      <c r="DP412" s="24"/>
      <c r="DQ412" s="24"/>
      <c r="DR412" s="24"/>
      <c r="DS412" s="24"/>
      <c r="EI412" s="24">
        <v>2022</v>
      </c>
      <c r="EJ412" s="24">
        <v>50</v>
      </c>
      <c r="EK412" s="24" t="s">
        <v>33</v>
      </c>
      <c r="EL412" s="24" t="s">
        <v>233</v>
      </c>
      <c r="EM412" s="24" t="s">
        <v>234</v>
      </c>
      <c r="EN412" s="24">
        <v>4</v>
      </c>
      <c r="EO412" s="24"/>
      <c r="EP412" s="24"/>
      <c r="EQ412" s="24"/>
      <c r="ER412" s="24"/>
      <c r="ES412" s="24">
        <v>2020</v>
      </c>
      <c r="ET412" s="24">
        <v>25</v>
      </c>
      <c r="EU412" s="24" t="s">
        <v>33</v>
      </c>
      <c r="EV412" s="24">
        <v>75298</v>
      </c>
      <c r="FW412" s="24">
        <v>2019</v>
      </c>
      <c r="FX412" s="24">
        <v>32</v>
      </c>
      <c r="FY412" s="24" t="s">
        <v>32</v>
      </c>
      <c r="FZ412" s="24">
        <v>793</v>
      </c>
      <c r="GA412" s="24">
        <v>787</v>
      </c>
      <c r="GB412" s="24"/>
      <c r="GC412" s="24"/>
      <c r="GD412" s="323">
        <v>2019</v>
      </c>
      <c r="GE412" s="323">
        <v>32</v>
      </c>
      <c r="GF412" s="323" t="s">
        <v>32</v>
      </c>
      <c r="GG412" s="323">
        <v>795</v>
      </c>
      <c r="GH412" s="323">
        <v>790</v>
      </c>
      <c r="GK412" s="24"/>
      <c r="GL412" s="24"/>
      <c r="GM412" s="24"/>
      <c r="GN412" s="24"/>
      <c r="GO412" s="24"/>
      <c r="GX412">
        <v>2019</v>
      </c>
      <c r="GY412">
        <v>32</v>
      </c>
      <c r="GZ412" t="s">
        <v>32</v>
      </c>
      <c r="HA412">
        <v>6140</v>
      </c>
      <c r="HB412">
        <v>6034</v>
      </c>
      <c r="HC412">
        <v>0</v>
      </c>
      <c r="HD412">
        <v>5</v>
      </c>
      <c r="HE412">
        <v>0</v>
      </c>
      <c r="HF412">
        <v>6</v>
      </c>
      <c r="HG412">
        <v>0</v>
      </c>
      <c r="HH412">
        <v>0</v>
      </c>
      <c r="HI412">
        <v>32</v>
      </c>
      <c r="HL412">
        <v>2019</v>
      </c>
      <c r="HM412">
        <v>32</v>
      </c>
      <c r="HN412" t="s">
        <v>32</v>
      </c>
      <c r="HO412">
        <v>5844</v>
      </c>
      <c r="HP412">
        <v>5776</v>
      </c>
      <c r="HQ412">
        <v>0</v>
      </c>
      <c r="HR412">
        <v>5</v>
      </c>
      <c r="HS412">
        <v>0</v>
      </c>
      <c r="HT412">
        <v>4</v>
      </c>
      <c r="HU412">
        <v>0</v>
      </c>
      <c r="HV412">
        <v>0</v>
      </c>
      <c r="HW412">
        <v>2</v>
      </c>
      <c r="HZ412" s="24">
        <v>2019</v>
      </c>
      <c r="IA412" s="24">
        <v>32</v>
      </c>
      <c r="IB412" s="24" t="s">
        <v>32</v>
      </c>
      <c r="IC412" s="24">
        <v>799</v>
      </c>
      <c r="ID412" s="24">
        <v>792</v>
      </c>
      <c r="IG412" s="323">
        <v>2019</v>
      </c>
      <c r="IH412" s="323">
        <v>32</v>
      </c>
      <c r="II412" s="323" t="s">
        <v>32</v>
      </c>
      <c r="IJ412" s="323">
        <v>787</v>
      </c>
      <c r="IK412" s="323">
        <v>782</v>
      </c>
    </row>
    <row r="413" spans="9:245" x14ac:dyDescent="0.4">
      <c r="I413" s="305">
        <v>2019</v>
      </c>
      <c r="J413" s="306">
        <v>32</v>
      </c>
      <c r="K413" s="306" t="s">
        <v>32</v>
      </c>
      <c r="L413" s="306">
        <v>5962</v>
      </c>
      <c r="M413" s="306">
        <v>5858</v>
      </c>
      <c r="N413" s="306">
        <v>16</v>
      </c>
      <c r="O413" s="306">
        <v>24</v>
      </c>
      <c r="P413" s="306">
        <v>3</v>
      </c>
      <c r="Q413" s="306"/>
      <c r="R413" s="24"/>
      <c r="S413" s="24"/>
      <c r="T413" s="24"/>
      <c r="W413" s="323">
        <v>2019</v>
      </c>
      <c r="X413" s="323">
        <v>32</v>
      </c>
      <c r="Y413" s="323" t="s">
        <v>33</v>
      </c>
      <c r="Z413" s="323">
        <v>203406</v>
      </c>
      <c r="AA413" s="323">
        <v>139656</v>
      </c>
      <c r="AB413" s="323">
        <v>1283</v>
      </c>
      <c r="AC413" s="323">
        <v>4</v>
      </c>
      <c r="AI413" s="24"/>
      <c r="AJ413" s="24"/>
      <c r="AK413" s="24"/>
      <c r="AL413" s="24"/>
      <c r="AM413" s="24"/>
      <c r="AN413" s="24"/>
      <c r="AO413" s="24"/>
      <c r="AP413" s="24"/>
      <c r="AQ413" s="24"/>
      <c r="AR413" s="24"/>
      <c r="BI413" s="24">
        <v>2021</v>
      </c>
      <c r="BJ413" s="24">
        <v>21</v>
      </c>
      <c r="BK413" s="24" t="s">
        <v>33</v>
      </c>
      <c r="BL413" s="24" t="s">
        <v>272</v>
      </c>
      <c r="BM413" s="24">
        <v>43934</v>
      </c>
      <c r="BN413" s="24">
        <v>43867</v>
      </c>
      <c r="BO413" s="24">
        <v>157382</v>
      </c>
      <c r="DD413" s="24"/>
      <c r="DE413" s="24"/>
      <c r="DF413" s="24"/>
      <c r="DG413" s="24"/>
      <c r="DJ413" s="24">
        <v>2019</v>
      </c>
      <c r="DK413" s="24">
        <v>47</v>
      </c>
      <c r="DL413" s="24" t="s">
        <v>213</v>
      </c>
      <c r="DM413" s="24">
        <v>12</v>
      </c>
      <c r="DP413" s="24"/>
      <c r="DQ413" s="24"/>
      <c r="DR413" s="24"/>
      <c r="DS413" s="24"/>
      <c r="EI413" s="24">
        <v>2022</v>
      </c>
      <c r="EJ413" s="24">
        <v>50</v>
      </c>
      <c r="EK413" s="24" t="s">
        <v>33</v>
      </c>
      <c r="EL413" s="24" t="s">
        <v>233</v>
      </c>
      <c r="EM413" s="24" t="s">
        <v>215</v>
      </c>
      <c r="EN413" s="24">
        <v>1</v>
      </c>
      <c r="EO413" s="24"/>
      <c r="EP413" s="24"/>
      <c r="EQ413" s="24"/>
      <c r="ER413" s="24"/>
      <c r="ES413" s="24">
        <v>2020</v>
      </c>
      <c r="ET413" s="24">
        <v>25</v>
      </c>
      <c r="EU413" s="24" t="s">
        <v>213</v>
      </c>
      <c r="EV413" s="24">
        <v>22</v>
      </c>
      <c r="FW413" s="24">
        <v>2019</v>
      </c>
      <c r="FX413" s="24">
        <v>32</v>
      </c>
      <c r="FY413" s="24" t="s">
        <v>33</v>
      </c>
      <c r="FZ413" s="24">
        <v>12292</v>
      </c>
      <c r="GA413" s="24">
        <v>10524</v>
      </c>
      <c r="GB413" s="24"/>
      <c r="GC413" s="24"/>
      <c r="GD413" s="323">
        <v>2019</v>
      </c>
      <c r="GE413" s="323">
        <v>32</v>
      </c>
      <c r="GF413" s="323" t="s">
        <v>33</v>
      </c>
      <c r="GG413" s="323">
        <v>12156</v>
      </c>
      <c r="GH413" s="323">
        <v>10568</v>
      </c>
      <c r="GK413" s="24"/>
      <c r="GL413" s="24"/>
      <c r="GM413" s="24"/>
      <c r="GN413" s="24"/>
      <c r="GO413" s="24"/>
      <c r="GX413">
        <v>2019</v>
      </c>
      <c r="GY413">
        <v>32</v>
      </c>
      <c r="GZ413" t="s">
        <v>33</v>
      </c>
      <c r="HA413">
        <v>207807</v>
      </c>
      <c r="HB413">
        <v>203854</v>
      </c>
      <c r="HC413">
        <v>682</v>
      </c>
      <c r="HD413">
        <v>18</v>
      </c>
      <c r="HE413">
        <v>1</v>
      </c>
      <c r="HF413">
        <v>1690</v>
      </c>
      <c r="HG413">
        <v>0</v>
      </c>
      <c r="HH413">
        <v>0</v>
      </c>
      <c r="HI413">
        <v>1174</v>
      </c>
      <c r="HL413">
        <v>2019</v>
      </c>
      <c r="HM413">
        <v>32</v>
      </c>
      <c r="HN413" t="s">
        <v>33</v>
      </c>
      <c r="HO413">
        <v>203093</v>
      </c>
      <c r="HP413">
        <v>201208</v>
      </c>
      <c r="HQ413">
        <v>520</v>
      </c>
      <c r="HR413">
        <v>12</v>
      </c>
      <c r="HS413">
        <v>1</v>
      </c>
      <c r="HT413">
        <v>1168</v>
      </c>
      <c r="HU413">
        <v>0</v>
      </c>
      <c r="HV413">
        <v>0</v>
      </c>
      <c r="HW413">
        <v>388</v>
      </c>
      <c r="HZ413" s="24">
        <v>2019</v>
      </c>
      <c r="IA413" s="24">
        <v>32</v>
      </c>
      <c r="IB413" s="24" t="s">
        <v>33</v>
      </c>
      <c r="IC413" s="24">
        <v>12195</v>
      </c>
      <c r="ID413" s="24">
        <v>11084</v>
      </c>
      <c r="IG413" s="323">
        <v>2019</v>
      </c>
      <c r="IH413" s="323">
        <v>32</v>
      </c>
      <c r="II413" s="323" t="s">
        <v>33</v>
      </c>
      <c r="IJ413" s="323">
        <v>10367</v>
      </c>
      <c r="IK413" s="323">
        <v>10019</v>
      </c>
    </row>
    <row r="414" spans="9:245" x14ac:dyDescent="0.4">
      <c r="I414" s="305">
        <v>2019</v>
      </c>
      <c r="J414" s="306">
        <v>32</v>
      </c>
      <c r="K414" s="306" t="s">
        <v>33</v>
      </c>
      <c r="L414" s="306">
        <v>205298</v>
      </c>
      <c r="M414" s="306">
        <v>140779</v>
      </c>
      <c r="N414" s="306">
        <v>618</v>
      </c>
      <c r="O414" s="306">
        <v>8512</v>
      </c>
      <c r="P414" s="306">
        <v>1445</v>
      </c>
      <c r="Q414" s="306">
        <v>14</v>
      </c>
      <c r="R414" s="24"/>
      <c r="S414" s="24"/>
      <c r="T414" s="24"/>
      <c r="W414" s="24">
        <v>2019</v>
      </c>
      <c r="X414" s="24">
        <v>31</v>
      </c>
      <c r="Y414" s="24" t="s">
        <v>32</v>
      </c>
      <c r="Z414" s="24">
        <v>6221</v>
      </c>
      <c r="AA414" s="24">
        <v>5889</v>
      </c>
      <c r="AB414" s="24">
        <v>3</v>
      </c>
      <c r="AC414" s="24"/>
      <c r="AI414" s="24"/>
      <c r="AJ414" s="24"/>
      <c r="AK414" s="24"/>
      <c r="AL414" s="24"/>
      <c r="AM414" s="24"/>
      <c r="AN414" s="24"/>
      <c r="AO414" s="24"/>
      <c r="AP414" s="24"/>
      <c r="AQ414" s="24"/>
      <c r="AR414" s="24"/>
      <c r="BI414" s="24">
        <v>2021</v>
      </c>
      <c r="BJ414" s="24">
        <v>20</v>
      </c>
      <c r="BK414" s="24" t="s">
        <v>33</v>
      </c>
      <c r="BL414" s="24" t="s">
        <v>272</v>
      </c>
      <c r="BM414" s="24">
        <v>46266</v>
      </c>
      <c r="BN414" s="24">
        <v>46242</v>
      </c>
      <c r="BO414" s="24">
        <v>165248</v>
      </c>
      <c r="DD414" s="24"/>
      <c r="DE414" s="24"/>
      <c r="DF414" s="24"/>
      <c r="DG414" s="24"/>
      <c r="DJ414" s="24">
        <v>2019</v>
      </c>
      <c r="DK414" s="24">
        <v>46</v>
      </c>
      <c r="DL414" s="24" t="s">
        <v>32</v>
      </c>
      <c r="DM414" s="24">
        <v>127</v>
      </c>
      <c r="DP414" s="24"/>
      <c r="DQ414" s="24"/>
      <c r="DR414" s="24"/>
      <c r="DS414" s="24"/>
      <c r="EI414" s="24">
        <v>2022</v>
      </c>
      <c r="EJ414" s="24">
        <v>50</v>
      </c>
      <c r="EK414" s="24" t="s">
        <v>33</v>
      </c>
      <c r="EL414" s="24" t="s">
        <v>244</v>
      </c>
      <c r="EM414" s="24" t="s">
        <v>210</v>
      </c>
      <c r="EN414" s="24">
        <v>12</v>
      </c>
      <c r="EO414" s="24"/>
      <c r="EP414" s="24"/>
      <c r="EQ414" s="24"/>
      <c r="ER414" s="24"/>
      <c r="ES414" s="24">
        <v>2020</v>
      </c>
      <c r="ET414" s="24">
        <v>24</v>
      </c>
      <c r="EU414" s="24" t="s">
        <v>32</v>
      </c>
      <c r="EV414" s="24">
        <v>2362</v>
      </c>
      <c r="FW414" s="24">
        <v>2019</v>
      </c>
      <c r="FX414" s="24">
        <v>31</v>
      </c>
      <c r="FY414" s="24" t="s">
        <v>32</v>
      </c>
      <c r="FZ414" s="24">
        <v>674</v>
      </c>
      <c r="GA414" s="24">
        <v>563</v>
      </c>
      <c r="GB414" s="24"/>
      <c r="GC414" s="24"/>
      <c r="GD414" s="24">
        <v>2019</v>
      </c>
      <c r="GE414" s="24">
        <v>31</v>
      </c>
      <c r="GF414" s="24" t="s">
        <v>32</v>
      </c>
      <c r="GG414" s="24">
        <v>651</v>
      </c>
      <c r="GH414" s="24">
        <v>574</v>
      </c>
      <c r="GK414" s="24"/>
      <c r="GL414" s="24"/>
      <c r="GM414" s="24"/>
      <c r="GN414" s="24"/>
      <c r="GO414" s="24"/>
      <c r="GX414">
        <v>2019</v>
      </c>
      <c r="GY414">
        <v>31</v>
      </c>
      <c r="GZ414" t="s">
        <v>32</v>
      </c>
      <c r="HA414">
        <v>6094</v>
      </c>
      <c r="HB414">
        <v>5710</v>
      </c>
      <c r="HC414">
        <v>0</v>
      </c>
      <c r="HD414">
        <v>0</v>
      </c>
      <c r="HE414">
        <v>0</v>
      </c>
      <c r="HF414">
        <v>19</v>
      </c>
      <c r="HG414">
        <v>0</v>
      </c>
      <c r="HH414">
        <v>0</v>
      </c>
      <c r="HI414">
        <v>59</v>
      </c>
      <c r="HL414">
        <v>2019</v>
      </c>
      <c r="HM414">
        <v>31</v>
      </c>
      <c r="HN414" t="s">
        <v>32</v>
      </c>
      <c r="HO414">
        <v>6214</v>
      </c>
      <c r="HP414">
        <v>6179</v>
      </c>
      <c r="HQ414">
        <v>0</v>
      </c>
      <c r="HR414">
        <v>0</v>
      </c>
      <c r="HS414">
        <v>0</v>
      </c>
      <c r="HT414">
        <v>7</v>
      </c>
      <c r="HU414">
        <v>0</v>
      </c>
      <c r="HV414">
        <v>0</v>
      </c>
      <c r="HW414">
        <v>4</v>
      </c>
      <c r="HZ414" s="24">
        <v>2019</v>
      </c>
      <c r="IA414" s="24">
        <v>31</v>
      </c>
      <c r="IB414" s="24" t="s">
        <v>32</v>
      </c>
      <c r="IC414" s="24">
        <v>666</v>
      </c>
      <c r="ID414" s="24">
        <v>555</v>
      </c>
      <c r="IG414" s="24">
        <v>2019</v>
      </c>
      <c r="IH414" s="24">
        <v>31</v>
      </c>
      <c r="II414" s="24" t="s">
        <v>32</v>
      </c>
      <c r="IJ414" s="24">
        <v>632</v>
      </c>
      <c r="IK414" s="24">
        <v>629</v>
      </c>
    </row>
    <row r="415" spans="9:245" x14ac:dyDescent="0.4">
      <c r="I415" s="305">
        <v>2019</v>
      </c>
      <c r="J415" s="306">
        <v>31</v>
      </c>
      <c r="K415" s="306" t="s">
        <v>32</v>
      </c>
      <c r="L415" s="306">
        <v>6323</v>
      </c>
      <c r="M415" s="306">
        <v>5920</v>
      </c>
      <c r="N415" s="306">
        <v>25</v>
      </c>
      <c r="O415" s="306">
        <v>108</v>
      </c>
      <c r="P415" s="306">
        <v>8</v>
      </c>
      <c r="Q415" s="306"/>
      <c r="R415" s="24"/>
      <c r="S415" s="24"/>
      <c r="T415" s="24"/>
      <c r="W415" s="24">
        <v>2019</v>
      </c>
      <c r="X415" s="24">
        <v>31</v>
      </c>
      <c r="Y415" s="24" t="s">
        <v>33</v>
      </c>
      <c r="Z415" s="24">
        <v>201149</v>
      </c>
      <c r="AA415" s="24">
        <v>123106</v>
      </c>
      <c r="AB415" s="24">
        <v>911</v>
      </c>
      <c r="AC415" s="24">
        <v>6</v>
      </c>
      <c r="AI415" s="24"/>
      <c r="AJ415" s="24"/>
      <c r="AK415" s="24"/>
      <c r="AL415" s="24"/>
      <c r="AM415" s="24"/>
      <c r="AN415" s="24"/>
      <c r="AO415" s="24"/>
      <c r="AP415" s="24"/>
      <c r="AQ415" s="24"/>
      <c r="AR415" s="24"/>
      <c r="BI415" s="24">
        <v>2021</v>
      </c>
      <c r="BJ415" s="24">
        <v>20</v>
      </c>
      <c r="BK415" s="24" t="s">
        <v>33</v>
      </c>
      <c r="BL415" s="24" t="s">
        <v>273</v>
      </c>
      <c r="BM415" s="24">
        <v>84590</v>
      </c>
      <c r="BN415" s="24">
        <v>84078</v>
      </c>
      <c r="BO415" s="24">
        <v>86839</v>
      </c>
      <c r="DD415" s="24"/>
      <c r="DE415" s="24"/>
      <c r="DF415" s="24"/>
      <c r="DG415" s="24"/>
      <c r="DJ415" s="24">
        <v>2019</v>
      </c>
      <c r="DK415" s="24">
        <v>46</v>
      </c>
      <c r="DL415" s="24" t="s">
        <v>33</v>
      </c>
      <c r="DM415" s="24">
        <v>2264</v>
      </c>
      <c r="DP415" s="24"/>
      <c r="DQ415" s="24"/>
      <c r="DR415" s="24"/>
      <c r="DS415" s="24"/>
      <c r="EI415" s="24">
        <v>2022</v>
      </c>
      <c r="EJ415" s="24">
        <v>50</v>
      </c>
      <c r="EK415" s="24" t="s">
        <v>33</v>
      </c>
      <c r="EL415" s="24" t="s">
        <v>247</v>
      </c>
      <c r="EM415" s="24" t="s">
        <v>210</v>
      </c>
      <c r="EN415" s="24">
        <v>4</v>
      </c>
      <c r="EO415" s="24"/>
      <c r="EP415" s="24"/>
      <c r="EQ415" s="24"/>
      <c r="ER415" s="24"/>
      <c r="ES415" s="24">
        <v>2020</v>
      </c>
      <c r="ET415" s="24">
        <v>24</v>
      </c>
      <c r="EU415" s="24" t="s">
        <v>33</v>
      </c>
      <c r="EV415" s="24">
        <v>73809</v>
      </c>
      <c r="FW415" s="24">
        <v>2019</v>
      </c>
      <c r="FX415" s="24">
        <v>31</v>
      </c>
      <c r="FY415" s="24" t="s">
        <v>33</v>
      </c>
      <c r="FZ415" s="24">
        <v>11964</v>
      </c>
      <c r="GA415" s="24">
        <v>9271</v>
      </c>
      <c r="GB415" s="24"/>
      <c r="GC415" s="24"/>
      <c r="GD415" s="24">
        <v>2019</v>
      </c>
      <c r="GE415" s="24">
        <v>31</v>
      </c>
      <c r="GF415" s="24" t="s">
        <v>33</v>
      </c>
      <c r="GG415" s="24">
        <v>11930</v>
      </c>
      <c r="GH415" s="24">
        <v>9497</v>
      </c>
      <c r="GK415" s="24"/>
      <c r="GL415" s="24"/>
      <c r="GM415" s="24"/>
      <c r="GN415" s="24"/>
      <c r="GO415" s="24"/>
      <c r="GX415">
        <v>2019</v>
      </c>
      <c r="GY415">
        <v>31</v>
      </c>
      <c r="GZ415" t="s">
        <v>33</v>
      </c>
      <c r="HA415">
        <v>201260</v>
      </c>
      <c r="HB415">
        <v>180731</v>
      </c>
      <c r="HC415">
        <v>911</v>
      </c>
      <c r="HD415">
        <v>160</v>
      </c>
      <c r="HE415">
        <v>0</v>
      </c>
      <c r="HF415">
        <v>2153</v>
      </c>
      <c r="HG415">
        <v>0</v>
      </c>
      <c r="HH415">
        <v>0</v>
      </c>
      <c r="HI415">
        <v>5449</v>
      </c>
      <c r="HL415">
        <v>2019</v>
      </c>
      <c r="HM415">
        <v>31</v>
      </c>
      <c r="HN415" t="s">
        <v>33</v>
      </c>
      <c r="HO415">
        <v>200850</v>
      </c>
      <c r="HP415">
        <v>198551</v>
      </c>
      <c r="HQ415">
        <v>593</v>
      </c>
      <c r="HR415">
        <v>15</v>
      </c>
      <c r="HS415">
        <v>0</v>
      </c>
      <c r="HT415">
        <v>1739</v>
      </c>
      <c r="HU415">
        <v>0</v>
      </c>
      <c r="HV415">
        <v>0</v>
      </c>
      <c r="HW415">
        <v>661</v>
      </c>
      <c r="HZ415" s="24">
        <v>2019</v>
      </c>
      <c r="IA415" s="24">
        <v>31</v>
      </c>
      <c r="IB415" s="24" t="s">
        <v>33</v>
      </c>
      <c r="IC415" s="24">
        <v>11970</v>
      </c>
      <c r="ID415" s="24">
        <v>9656</v>
      </c>
      <c r="IG415" s="24">
        <v>2019</v>
      </c>
      <c r="IH415" s="24">
        <v>31</v>
      </c>
      <c r="II415" s="24" t="s">
        <v>33</v>
      </c>
      <c r="IJ415" s="24">
        <v>10873</v>
      </c>
      <c r="IK415" s="24">
        <v>10610</v>
      </c>
    </row>
    <row r="416" spans="9:245" x14ac:dyDescent="0.4">
      <c r="I416" s="305">
        <v>2019</v>
      </c>
      <c r="J416" s="306">
        <v>31</v>
      </c>
      <c r="K416" s="306" t="s">
        <v>33</v>
      </c>
      <c r="L416" s="306">
        <v>202122</v>
      </c>
      <c r="M416" s="306">
        <v>122589</v>
      </c>
      <c r="N416" s="306">
        <v>682</v>
      </c>
      <c r="O416" s="306">
        <v>11462</v>
      </c>
      <c r="P416" s="306">
        <v>1028</v>
      </c>
      <c r="Q416" s="306">
        <v>16</v>
      </c>
      <c r="R416" s="24"/>
      <c r="S416" s="24"/>
      <c r="T416" s="24"/>
      <c r="W416" s="24">
        <v>2019</v>
      </c>
      <c r="X416" s="24">
        <v>30</v>
      </c>
      <c r="Y416" s="24" t="s">
        <v>32</v>
      </c>
      <c r="Z416" s="24">
        <v>8337</v>
      </c>
      <c r="AA416" s="24">
        <v>7884</v>
      </c>
      <c r="AB416" s="24">
        <v>19</v>
      </c>
      <c r="AC416" s="24"/>
      <c r="AI416" s="24"/>
      <c r="AJ416" s="24"/>
      <c r="AK416" s="24"/>
      <c r="AL416" s="24"/>
      <c r="AM416" s="24"/>
      <c r="AN416" s="24"/>
      <c r="AO416" s="24"/>
      <c r="AP416" s="24"/>
      <c r="AQ416" s="24"/>
      <c r="AR416" s="24"/>
      <c r="BI416" s="24">
        <v>2021</v>
      </c>
      <c r="BJ416" s="24">
        <v>20</v>
      </c>
      <c r="BK416" s="24" t="s">
        <v>32</v>
      </c>
      <c r="BL416" s="24" t="s">
        <v>272</v>
      </c>
      <c r="BM416" s="24">
        <v>2339</v>
      </c>
      <c r="BN416" s="24">
        <v>2337</v>
      </c>
      <c r="BO416" s="24">
        <v>7765</v>
      </c>
      <c r="DD416" s="24"/>
      <c r="DE416" s="24"/>
      <c r="DF416" s="24"/>
      <c r="DG416" s="24"/>
      <c r="DJ416" s="24">
        <v>2019</v>
      </c>
      <c r="DK416" s="24">
        <v>46</v>
      </c>
      <c r="DL416" s="24" t="s">
        <v>213</v>
      </c>
      <c r="DM416" s="24">
        <v>22</v>
      </c>
      <c r="DP416" s="24"/>
      <c r="DQ416" s="24"/>
      <c r="DR416" s="24"/>
      <c r="DS416" s="24"/>
      <c r="EI416" s="24">
        <v>2022</v>
      </c>
      <c r="EJ416" s="24">
        <v>50</v>
      </c>
      <c r="EK416" s="24" t="s">
        <v>237</v>
      </c>
      <c r="EL416" s="24" t="s">
        <v>557</v>
      </c>
      <c r="EM416" s="24" t="s">
        <v>210</v>
      </c>
      <c r="EN416" s="24">
        <v>1</v>
      </c>
      <c r="EO416" s="24"/>
      <c r="EP416" s="24"/>
      <c r="EQ416" s="24"/>
      <c r="ER416" s="24"/>
      <c r="ES416" s="24">
        <v>2020</v>
      </c>
      <c r="ET416" s="24">
        <v>24</v>
      </c>
      <c r="EU416" s="24" t="s">
        <v>213</v>
      </c>
      <c r="EV416" s="24">
        <v>16</v>
      </c>
      <c r="FW416" s="24">
        <v>2019</v>
      </c>
      <c r="FX416" s="24">
        <v>30</v>
      </c>
      <c r="FY416" s="24" t="s">
        <v>32</v>
      </c>
      <c r="FZ416" s="24">
        <v>709</v>
      </c>
      <c r="GA416" s="24">
        <v>653</v>
      </c>
      <c r="GB416" s="24"/>
      <c r="GC416" s="24"/>
      <c r="GD416" s="24">
        <v>2019</v>
      </c>
      <c r="GE416" s="24">
        <v>30</v>
      </c>
      <c r="GF416" s="24" t="s">
        <v>32</v>
      </c>
      <c r="GG416" s="24">
        <v>683</v>
      </c>
      <c r="GH416" s="24">
        <v>643</v>
      </c>
      <c r="GK416" s="24"/>
      <c r="GL416" s="24"/>
      <c r="GM416" s="24"/>
      <c r="GN416" s="24"/>
      <c r="GO416" s="24"/>
      <c r="GX416">
        <v>2019</v>
      </c>
      <c r="GY416">
        <v>30</v>
      </c>
      <c r="GZ416" t="s">
        <v>32</v>
      </c>
      <c r="HA416">
        <v>8624</v>
      </c>
      <c r="HB416">
        <v>8027</v>
      </c>
      <c r="HC416">
        <v>0</v>
      </c>
      <c r="HD416">
        <v>18</v>
      </c>
      <c r="HE416">
        <v>0</v>
      </c>
      <c r="HF416">
        <v>203</v>
      </c>
      <c r="HG416">
        <v>0</v>
      </c>
      <c r="HH416">
        <v>0</v>
      </c>
      <c r="HI416">
        <v>123</v>
      </c>
      <c r="HL416">
        <v>2019</v>
      </c>
      <c r="HM416">
        <v>30</v>
      </c>
      <c r="HN416" t="s">
        <v>32</v>
      </c>
      <c r="HO416">
        <v>8309</v>
      </c>
      <c r="HP416">
        <v>8005</v>
      </c>
      <c r="HQ416">
        <v>0</v>
      </c>
      <c r="HR416">
        <v>8</v>
      </c>
      <c r="HS416">
        <v>0</v>
      </c>
      <c r="HT416">
        <v>178</v>
      </c>
      <c r="HU416">
        <v>0</v>
      </c>
      <c r="HV416">
        <v>0</v>
      </c>
      <c r="HW416">
        <v>15</v>
      </c>
      <c r="HZ416" s="24">
        <v>2019</v>
      </c>
      <c r="IA416" s="24">
        <v>30</v>
      </c>
      <c r="IB416" s="24" t="s">
        <v>32</v>
      </c>
      <c r="IC416" s="24">
        <v>676</v>
      </c>
      <c r="ID416" s="24">
        <v>623</v>
      </c>
      <c r="IG416" s="24">
        <v>2019</v>
      </c>
      <c r="IH416" s="24">
        <v>30</v>
      </c>
      <c r="II416" s="24" t="s">
        <v>32</v>
      </c>
      <c r="IJ416" s="24">
        <v>665</v>
      </c>
      <c r="IK416" s="24">
        <v>639</v>
      </c>
    </row>
    <row r="417" spans="9:245" x14ac:dyDescent="0.4">
      <c r="I417" s="305">
        <v>2019</v>
      </c>
      <c r="J417" s="306">
        <v>30</v>
      </c>
      <c r="K417" s="306" t="s">
        <v>32</v>
      </c>
      <c r="L417" s="306">
        <v>8683</v>
      </c>
      <c r="M417" s="306">
        <v>8092</v>
      </c>
      <c r="N417" s="306">
        <v>25</v>
      </c>
      <c r="O417" s="306">
        <v>162</v>
      </c>
      <c r="P417" s="306">
        <v>34</v>
      </c>
      <c r="Q417" s="306"/>
      <c r="R417" s="24"/>
      <c r="S417" s="24"/>
      <c r="T417" s="24"/>
      <c r="W417" s="24">
        <v>2019</v>
      </c>
      <c r="X417" s="24">
        <v>30</v>
      </c>
      <c r="Y417" s="24" t="s">
        <v>33</v>
      </c>
      <c r="Z417" s="24">
        <v>202336</v>
      </c>
      <c r="AA417" s="24">
        <v>140502</v>
      </c>
      <c r="AB417" s="24">
        <v>569</v>
      </c>
      <c r="AC417" s="24">
        <v>57</v>
      </c>
      <c r="AI417" s="24"/>
      <c r="AJ417" s="24"/>
      <c r="AK417" s="24"/>
      <c r="AL417" s="24"/>
      <c r="AM417" s="24"/>
      <c r="AN417" s="24"/>
      <c r="AO417" s="24"/>
      <c r="AP417" s="24"/>
      <c r="AQ417" s="24"/>
      <c r="AR417" s="24"/>
      <c r="BI417" s="24">
        <v>2021</v>
      </c>
      <c r="BJ417" s="24">
        <v>20</v>
      </c>
      <c r="BK417" s="24" t="s">
        <v>32</v>
      </c>
      <c r="BL417" s="24" t="s">
        <v>273</v>
      </c>
      <c r="BM417" s="24">
        <v>5949</v>
      </c>
      <c r="BN417" s="24">
        <v>5930</v>
      </c>
      <c r="BO417" s="24">
        <v>6062</v>
      </c>
      <c r="DD417" s="24"/>
      <c r="DE417" s="24"/>
      <c r="DF417" s="24"/>
      <c r="DG417" s="24"/>
      <c r="DJ417" s="24">
        <v>2019</v>
      </c>
      <c r="DK417" s="24">
        <v>45</v>
      </c>
      <c r="DL417" s="24" t="s">
        <v>32</v>
      </c>
      <c r="DM417" s="24">
        <v>315</v>
      </c>
      <c r="DP417" s="24"/>
      <c r="DQ417" s="24"/>
      <c r="DR417" s="24"/>
      <c r="DS417" s="24"/>
      <c r="EI417" s="24">
        <v>2022</v>
      </c>
      <c r="EJ417" s="24">
        <v>50</v>
      </c>
      <c r="EK417" s="24" t="s">
        <v>237</v>
      </c>
      <c r="EL417" s="24" t="s">
        <v>233</v>
      </c>
      <c r="EM417" s="24" t="s">
        <v>215</v>
      </c>
      <c r="EN417" s="24">
        <v>2</v>
      </c>
      <c r="EO417" s="24"/>
      <c r="EP417" s="24"/>
      <c r="EQ417" s="24"/>
      <c r="ER417" s="24"/>
      <c r="ES417" s="24">
        <v>2020</v>
      </c>
      <c r="ET417" s="24">
        <v>23</v>
      </c>
      <c r="EU417" s="24" t="s">
        <v>32</v>
      </c>
      <c r="EV417" s="24">
        <v>2428</v>
      </c>
      <c r="FW417" s="24">
        <v>2019</v>
      </c>
      <c r="FX417" s="24">
        <v>30</v>
      </c>
      <c r="FY417" s="24" t="s">
        <v>33</v>
      </c>
      <c r="FZ417" s="24">
        <v>13508</v>
      </c>
      <c r="GA417" s="24">
        <v>10927</v>
      </c>
      <c r="GB417" s="24"/>
      <c r="GC417" s="24"/>
      <c r="GD417" s="24">
        <v>2019</v>
      </c>
      <c r="GE417" s="24">
        <v>30</v>
      </c>
      <c r="GF417" s="24" t="s">
        <v>33</v>
      </c>
      <c r="GG417" s="24">
        <v>13359</v>
      </c>
      <c r="GH417" s="24">
        <v>11156</v>
      </c>
      <c r="GK417" s="24"/>
      <c r="GL417" s="24"/>
      <c r="GM417" s="24"/>
      <c r="GN417" s="24"/>
      <c r="GO417" s="24"/>
      <c r="GX417">
        <v>2019</v>
      </c>
      <c r="GY417">
        <v>30</v>
      </c>
      <c r="GZ417" t="s">
        <v>33</v>
      </c>
      <c r="HA417">
        <v>204519</v>
      </c>
      <c r="HB417">
        <v>197121</v>
      </c>
      <c r="HC417">
        <v>959</v>
      </c>
      <c r="HD417">
        <v>45</v>
      </c>
      <c r="HE417">
        <v>0</v>
      </c>
      <c r="HF417">
        <v>2042</v>
      </c>
      <c r="HG417">
        <v>0</v>
      </c>
      <c r="HH417">
        <v>0</v>
      </c>
      <c r="HI417">
        <v>1593</v>
      </c>
      <c r="HL417">
        <v>2019</v>
      </c>
      <c r="HM417">
        <v>30</v>
      </c>
      <c r="HN417" t="s">
        <v>33</v>
      </c>
      <c r="HO417">
        <v>202136</v>
      </c>
      <c r="HP417">
        <v>199577</v>
      </c>
      <c r="HQ417">
        <v>878</v>
      </c>
      <c r="HR417">
        <v>35</v>
      </c>
      <c r="HS417">
        <v>0</v>
      </c>
      <c r="HT417">
        <v>1708</v>
      </c>
      <c r="HU417">
        <v>0</v>
      </c>
      <c r="HV417">
        <v>0</v>
      </c>
      <c r="HW417">
        <v>338</v>
      </c>
      <c r="HZ417" s="24">
        <v>2019</v>
      </c>
      <c r="IA417" s="24">
        <v>30</v>
      </c>
      <c r="IB417" s="24" t="s">
        <v>33</v>
      </c>
      <c r="IC417" s="24">
        <v>13593</v>
      </c>
      <c r="ID417" s="24">
        <v>11291</v>
      </c>
      <c r="IG417" s="24">
        <v>2019</v>
      </c>
      <c r="IH417" s="24">
        <v>30</v>
      </c>
      <c r="II417" s="24" t="s">
        <v>33</v>
      </c>
      <c r="IJ417" s="24">
        <v>12398</v>
      </c>
      <c r="IK417" s="24">
        <v>11314</v>
      </c>
    </row>
    <row r="418" spans="9:245" x14ac:dyDescent="0.4">
      <c r="I418" s="305">
        <v>2019</v>
      </c>
      <c r="J418" s="306">
        <v>30</v>
      </c>
      <c r="K418" s="306" t="s">
        <v>33</v>
      </c>
      <c r="L418" s="306">
        <v>204365</v>
      </c>
      <c r="M418" s="306">
        <v>140541</v>
      </c>
      <c r="N418" s="306">
        <v>632</v>
      </c>
      <c r="O418" s="306">
        <v>8212</v>
      </c>
      <c r="P418" s="306">
        <v>682</v>
      </c>
      <c r="Q418" s="306">
        <v>67</v>
      </c>
      <c r="R418" s="24"/>
      <c r="S418" s="24"/>
      <c r="T418" s="24"/>
      <c r="W418" s="24">
        <v>2019</v>
      </c>
      <c r="X418" s="24">
        <v>29</v>
      </c>
      <c r="Y418" s="24" t="s">
        <v>32</v>
      </c>
      <c r="Z418" s="24">
        <v>6234</v>
      </c>
      <c r="AA418" s="24">
        <v>6206</v>
      </c>
      <c r="AB418" s="24">
        <v>2</v>
      </c>
      <c r="AC418" s="24"/>
      <c r="AI418" s="24"/>
      <c r="AJ418" s="24"/>
      <c r="AK418" s="24"/>
      <c r="AL418" s="24"/>
      <c r="AM418" s="24"/>
      <c r="AN418" s="24"/>
      <c r="AO418" s="24"/>
      <c r="AP418" s="24"/>
      <c r="AQ418" s="24"/>
      <c r="AR418" s="24"/>
      <c r="BI418" s="24">
        <v>2021</v>
      </c>
      <c r="BJ418" s="24">
        <v>19</v>
      </c>
      <c r="BK418" s="24" t="s">
        <v>32</v>
      </c>
      <c r="BL418" s="24" t="s">
        <v>273</v>
      </c>
      <c r="BM418" s="24">
        <v>5849</v>
      </c>
      <c r="BN418" s="24">
        <v>5826</v>
      </c>
      <c r="BO418" s="24">
        <v>5966</v>
      </c>
      <c r="DD418" s="24"/>
      <c r="DE418" s="24"/>
      <c r="DF418" s="24"/>
      <c r="DG418" s="24"/>
      <c r="DJ418" s="24">
        <v>2019</v>
      </c>
      <c r="DK418" s="24">
        <v>45</v>
      </c>
      <c r="DL418" s="24" t="s">
        <v>33</v>
      </c>
      <c r="DM418" s="24">
        <v>2490</v>
      </c>
      <c r="DP418" s="24"/>
      <c r="DQ418" s="24"/>
      <c r="DR418" s="24"/>
      <c r="DS418" s="24"/>
      <c r="EI418" s="24">
        <v>2022</v>
      </c>
      <c r="EJ418" s="24">
        <v>50</v>
      </c>
      <c r="EK418" s="24" t="s">
        <v>237</v>
      </c>
      <c r="EL418" s="24" t="s">
        <v>247</v>
      </c>
      <c r="EM418" s="24" t="s">
        <v>215</v>
      </c>
      <c r="EN418" s="24">
        <v>8</v>
      </c>
      <c r="EO418" s="24"/>
      <c r="EP418" s="24"/>
      <c r="EQ418" s="24"/>
      <c r="ER418" s="24"/>
      <c r="ES418" s="24">
        <v>2020</v>
      </c>
      <c r="ET418" s="24">
        <v>23</v>
      </c>
      <c r="EU418" s="24" t="s">
        <v>33</v>
      </c>
      <c r="EV418" s="24">
        <v>66318</v>
      </c>
      <c r="FW418" s="24">
        <v>2019</v>
      </c>
      <c r="FX418" s="24">
        <v>29</v>
      </c>
      <c r="FY418" s="24" t="s">
        <v>32</v>
      </c>
      <c r="FZ418" s="24">
        <v>678</v>
      </c>
      <c r="GA418" s="24">
        <v>673</v>
      </c>
      <c r="GB418" s="24"/>
      <c r="GC418" s="24"/>
      <c r="GD418" s="24">
        <v>2019</v>
      </c>
      <c r="GE418" s="24">
        <v>29</v>
      </c>
      <c r="GF418" s="24" t="s">
        <v>32</v>
      </c>
      <c r="GG418" s="24">
        <v>710</v>
      </c>
      <c r="GH418" s="24">
        <v>706</v>
      </c>
      <c r="GK418" s="24"/>
      <c r="GL418" s="24"/>
      <c r="GM418" s="24"/>
      <c r="GN418" s="24"/>
      <c r="GO418" s="24"/>
      <c r="GX418">
        <v>2019</v>
      </c>
      <c r="GY418">
        <v>29</v>
      </c>
      <c r="GZ418" t="s">
        <v>32</v>
      </c>
      <c r="HA418">
        <v>6387</v>
      </c>
      <c r="HB418">
        <v>6319</v>
      </c>
      <c r="HC418">
        <v>0</v>
      </c>
      <c r="HD418">
        <v>1</v>
      </c>
      <c r="HE418">
        <v>0</v>
      </c>
      <c r="HF418">
        <v>1</v>
      </c>
      <c r="HG418">
        <v>0</v>
      </c>
      <c r="HH418">
        <v>0</v>
      </c>
      <c r="HI418">
        <v>40</v>
      </c>
      <c r="HL418">
        <v>2019</v>
      </c>
      <c r="HM418">
        <v>29</v>
      </c>
      <c r="HN418" t="s">
        <v>32</v>
      </c>
      <c r="HO418">
        <v>6206</v>
      </c>
      <c r="HP418">
        <v>6181</v>
      </c>
      <c r="HQ418">
        <v>0</v>
      </c>
      <c r="HR418">
        <v>1</v>
      </c>
      <c r="HS418">
        <v>0</v>
      </c>
      <c r="HT418">
        <v>0</v>
      </c>
      <c r="HU418">
        <v>0</v>
      </c>
      <c r="HV418">
        <v>0</v>
      </c>
      <c r="HW418">
        <v>5</v>
      </c>
      <c r="HZ418" s="24">
        <v>2019</v>
      </c>
      <c r="IA418" s="24">
        <v>29</v>
      </c>
      <c r="IB418" s="24" t="s">
        <v>32</v>
      </c>
      <c r="IC418" s="24">
        <v>688</v>
      </c>
      <c r="ID418" s="24">
        <v>684</v>
      </c>
      <c r="IG418" s="24">
        <v>2019</v>
      </c>
      <c r="IH418" s="24">
        <v>29</v>
      </c>
      <c r="II418" s="24" t="s">
        <v>32</v>
      </c>
      <c r="IJ418" s="24">
        <v>647</v>
      </c>
      <c r="IK418" s="24">
        <v>644</v>
      </c>
    </row>
    <row r="419" spans="9:245" x14ac:dyDescent="0.4">
      <c r="I419" s="305">
        <v>2019</v>
      </c>
      <c r="J419" s="306">
        <v>29</v>
      </c>
      <c r="K419" s="306" t="s">
        <v>32</v>
      </c>
      <c r="L419" s="306">
        <v>6352</v>
      </c>
      <c r="M419" s="306">
        <v>6251</v>
      </c>
      <c r="N419" s="306">
        <v>44</v>
      </c>
      <c r="O419" s="306">
        <v>44</v>
      </c>
      <c r="P419" s="306">
        <v>2</v>
      </c>
      <c r="Q419" s="306"/>
      <c r="R419" s="24"/>
      <c r="S419" s="24"/>
      <c r="T419" s="24"/>
      <c r="W419" s="24">
        <v>2019</v>
      </c>
      <c r="X419" s="24">
        <v>29</v>
      </c>
      <c r="Y419" s="24" t="s">
        <v>33</v>
      </c>
      <c r="Z419" s="24">
        <v>230754</v>
      </c>
      <c r="AA419" s="24">
        <v>138691</v>
      </c>
      <c r="AB419" s="24">
        <v>1461</v>
      </c>
      <c r="AC419" s="24">
        <v>13</v>
      </c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BI419" s="24">
        <v>2021</v>
      </c>
      <c r="BJ419" s="24">
        <v>19</v>
      </c>
      <c r="BK419" s="24" t="s">
        <v>33</v>
      </c>
      <c r="BL419" s="24" t="s">
        <v>273</v>
      </c>
      <c r="BM419" s="24">
        <v>87356</v>
      </c>
      <c r="BN419" s="24">
        <v>86847</v>
      </c>
      <c r="BO419" s="24">
        <v>89257</v>
      </c>
      <c r="DD419" s="24"/>
      <c r="DE419" s="24"/>
      <c r="DF419" s="24"/>
      <c r="DG419" s="24"/>
      <c r="DJ419" s="24">
        <v>2019</v>
      </c>
      <c r="DK419" s="24">
        <v>45</v>
      </c>
      <c r="DL419" s="24" t="s">
        <v>213</v>
      </c>
      <c r="DM419" s="24">
        <v>7</v>
      </c>
      <c r="DP419" s="24"/>
      <c r="DQ419" s="24"/>
      <c r="DR419" s="24"/>
      <c r="DS419" s="24"/>
      <c r="EI419" s="24">
        <v>2022</v>
      </c>
      <c r="EJ419" s="24">
        <v>50</v>
      </c>
      <c r="EK419" s="24" t="s">
        <v>211</v>
      </c>
      <c r="EL419" s="24" t="s">
        <v>232</v>
      </c>
      <c r="EM419" s="24" t="s">
        <v>210</v>
      </c>
      <c r="EN419" s="24">
        <v>4</v>
      </c>
      <c r="EO419" s="24"/>
      <c r="EP419" s="24"/>
      <c r="EQ419" s="24"/>
      <c r="ER419" s="24"/>
      <c r="ES419" s="24">
        <v>2020</v>
      </c>
      <c r="ET419" s="24">
        <v>23</v>
      </c>
      <c r="EU419" s="24" t="s">
        <v>213</v>
      </c>
      <c r="EV419" s="24">
        <v>34</v>
      </c>
      <c r="FW419" s="24">
        <v>2019</v>
      </c>
      <c r="FX419" s="24">
        <v>29</v>
      </c>
      <c r="FY419" s="24" t="s">
        <v>33</v>
      </c>
      <c r="FZ419" s="24">
        <v>17041</v>
      </c>
      <c r="GA419" s="24">
        <v>10543</v>
      </c>
      <c r="GB419" s="24"/>
      <c r="GC419" s="24"/>
      <c r="GD419" s="24">
        <v>2019</v>
      </c>
      <c r="GE419" s="24">
        <v>29</v>
      </c>
      <c r="GF419" s="24" t="s">
        <v>33</v>
      </c>
      <c r="GG419" s="24">
        <v>17463</v>
      </c>
      <c r="GH419" s="24">
        <v>11196</v>
      </c>
      <c r="GK419" s="24"/>
      <c r="GL419" s="24"/>
      <c r="GM419" s="24"/>
      <c r="GN419" s="24"/>
      <c r="GO419" s="24"/>
      <c r="GX419">
        <v>2019</v>
      </c>
      <c r="GY419">
        <v>29</v>
      </c>
      <c r="GZ419" t="s">
        <v>33</v>
      </c>
      <c r="HA419">
        <v>230691</v>
      </c>
      <c r="HB419">
        <v>201825</v>
      </c>
      <c r="HC419">
        <v>1463</v>
      </c>
      <c r="HD419">
        <v>218</v>
      </c>
      <c r="HE419">
        <v>0</v>
      </c>
      <c r="HF419">
        <v>13649</v>
      </c>
      <c r="HG419">
        <v>0</v>
      </c>
      <c r="HH419">
        <v>0</v>
      </c>
      <c r="HI419">
        <v>7217</v>
      </c>
      <c r="HL419">
        <v>2019</v>
      </c>
      <c r="HM419">
        <v>29</v>
      </c>
      <c r="HN419" t="s">
        <v>33</v>
      </c>
      <c r="HO419">
        <v>230407</v>
      </c>
      <c r="HP419">
        <v>206202</v>
      </c>
      <c r="HQ419">
        <v>1380</v>
      </c>
      <c r="HR419">
        <v>197</v>
      </c>
      <c r="HS419">
        <v>0</v>
      </c>
      <c r="HT419">
        <v>14438</v>
      </c>
      <c r="HU419">
        <v>0</v>
      </c>
      <c r="HV419">
        <v>0</v>
      </c>
      <c r="HW419">
        <v>5927</v>
      </c>
      <c r="HZ419" s="24">
        <v>2019</v>
      </c>
      <c r="IA419" s="24">
        <v>29</v>
      </c>
      <c r="IB419" s="24" t="s">
        <v>33</v>
      </c>
      <c r="IC419" s="24">
        <v>16471</v>
      </c>
      <c r="ID419" s="24">
        <v>10749</v>
      </c>
      <c r="IG419" s="24">
        <v>2019</v>
      </c>
      <c r="IH419" s="24">
        <v>29</v>
      </c>
      <c r="II419" s="24" t="s">
        <v>33</v>
      </c>
      <c r="IJ419" s="24">
        <v>15720</v>
      </c>
      <c r="IK419" s="24">
        <v>10949</v>
      </c>
    </row>
    <row r="420" spans="9:245" x14ac:dyDescent="0.4">
      <c r="I420" s="305">
        <v>2019</v>
      </c>
      <c r="J420" s="306">
        <v>29</v>
      </c>
      <c r="K420" s="306" t="s">
        <v>33</v>
      </c>
      <c r="L420" s="306">
        <v>232473</v>
      </c>
      <c r="M420" s="306">
        <v>138373</v>
      </c>
      <c r="N420" s="306">
        <v>979</v>
      </c>
      <c r="O420" s="306">
        <v>12820</v>
      </c>
      <c r="P420" s="306">
        <v>1497</v>
      </c>
      <c r="Q420" s="306">
        <v>11</v>
      </c>
      <c r="R420" s="24"/>
      <c r="S420" s="24"/>
      <c r="T420" s="24"/>
      <c r="W420" s="24">
        <v>2019</v>
      </c>
      <c r="X420" s="24">
        <v>28</v>
      </c>
      <c r="Y420" s="24" t="s">
        <v>32</v>
      </c>
      <c r="Z420" s="24">
        <v>6516</v>
      </c>
      <c r="AA420" s="24">
        <v>6471</v>
      </c>
      <c r="AB420" s="24">
        <v>4</v>
      </c>
      <c r="AC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4"/>
      <c r="BI420" s="24">
        <v>2021</v>
      </c>
      <c r="BJ420" s="24">
        <v>19</v>
      </c>
      <c r="BK420" s="24" t="s">
        <v>33</v>
      </c>
      <c r="BL420" s="24" t="s">
        <v>272</v>
      </c>
      <c r="BM420" s="24">
        <v>45736</v>
      </c>
      <c r="BN420" s="24">
        <v>45710</v>
      </c>
      <c r="BO420" s="24">
        <v>160169</v>
      </c>
      <c r="DD420" s="24"/>
      <c r="DE420" s="24"/>
      <c r="DF420" s="24"/>
      <c r="DG420" s="24"/>
      <c r="DJ420" s="24">
        <v>2019</v>
      </c>
      <c r="DK420" s="24">
        <v>44</v>
      </c>
      <c r="DL420" s="24" t="s">
        <v>32</v>
      </c>
      <c r="DM420" s="24">
        <v>143</v>
      </c>
      <c r="DP420" s="24"/>
      <c r="DQ420" s="24"/>
      <c r="DR420" s="24"/>
      <c r="DS420" s="24"/>
      <c r="EI420" s="24">
        <v>2022</v>
      </c>
      <c r="EJ420" s="24">
        <v>50</v>
      </c>
      <c r="EK420" s="24" t="s">
        <v>211</v>
      </c>
      <c r="EL420" s="24" t="s">
        <v>212</v>
      </c>
      <c r="EM420" s="24" t="s">
        <v>210</v>
      </c>
      <c r="EN420" s="24">
        <v>32</v>
      </c>
      <c r="EO420" s="24"/>
      <c r="EP420" s="24"/>
      <c r="EQ420" s="24"/>
      <c r="ER420" s="24"/>
      <c r="ES420" s="24">
        <v>2020</v>
      </c>
      <c r="ET420" s="24">
        <v>22</v>
      </c>
      <c r="EU420" s="24" t="s">
        <v>32</v>
      </c>
      <c r="EV420" s="24">
        <v>2760</v>
      </c>
      <c r="FW420" s="24">
        <v>2019</v>
      </c>
      <c r="FX420" s="24">
        <v>28</v>
      </c>
      <c r="FY420" s="24" t="s">
        <v>32</v>
      </c>
      <c r="FZ420" s="24">
        <v>960</v>
      </c>
      <c r="GA420" s="24">
        <v>943</v>
      </c>
      <c r="GB420" s="24"/>
      <c r="GC420" s="24"/>
      <c r="GD420" s="24">
        <v>2019</v>
      </c>
      <c r="GE420" s="24">
        <v>28</v>
      </c>
      <c r="GF420" s="24" t="s">
        <v>32</v>
      </c>
      <c r="GG420" s="24">
        <v>904</v>
      </c>
      <c r="GH420" s="24">
        <v>894</v>
      </c>
      <c r="GK420" s="24"/>
      <c r="GL420" s="24"/>
      <c r="GM420" s="24"/>
      <c r="GN420" s="24"/>
      <c r="GO420" s="24"/>
      <c r="GX420">
        <v>2019</v>
      </c>
      <c r="GY420">
        <v>28</v>
      </c>
      <c r="GZ420" t="s">
        <v>32</v>
      </c>
      <c r="HA420">
        <v>6742</v>
      </c>
      <c r="HB420">
        <v>6621</v>
      </c>
      <c r="HC420">
        <v>0</v>
      </c>
      <c r="HD420">
        <v>1</v>
      </c>
      <c r="HE420">
        <v>0</v>
      </c>
      <c r="HF420">
        <v>24</v>
      </c>
      <c r="HG420">
        <v>0</v>
      </c>
      <c r="HH420">
        <v>0</v>
      </c>
      <c r="HI420">
        <v>67</v>
      </c>
      <c r="HL420">
        <v>2019</v>
      </c>
      <c r="HM420">
        <v>28</v>
      </c>
      <c r="HN420" t="s">
        <v>32</v>
      </c>
      <c r="HO420">
        <v>6491</v>
      </c>
      <c r="HP420">
        <v>6455</v>
      </c>
      <c r="HQ420">
        <v>0</v>
      </c>
      <c r="HR420">
        <v>1</v>
      </c>
      <c r="HS420">
        <v>0</v>
      </c>
      <c r="HT420">
        <v>2</v>
      </c>
      <c r="HU420">
        <v>0</v>
      </c>
      <c r="HV420">
        <v>0</v>
      </c>
      <c r="HW420">
        <v>4</v>
      </c>
      <c r="HZ420" s="24">
        <v>2019</v>
      </c>
      <c r="IA420" s="24">
        <v>28</v>
      </c>
      <c r="IB420" s="24" t="s">
        <v>32</v>
      </c>
      <c r="IC420" s="24">
        <v>886</v>
      </c>
      <c r="ID420" s="24">
        <v>868</v>
      </c>
      <c r="IG420" s="24">
        <v>2019</v>
      </c>
      <c r="IH420" s="24">
        <v>28</v>
      </c>
      <c r="II420" s="24" t="s">
        <v>32</v>
      </c>
      <c r="IJ420" s="24">
        <v>816</v>
      </c>
      <c r="IK420" s="24">
        <v>808</v>
      </c>
    </row>
    <row r="421" spans="9:245" x14ac:dyDescent="0.4">
      <c r="I421" s="305">
        <v>2019</v>
      </c>
      <c r="J421" s="306">
        <v>28</v>
      </c>
      <c r="K421" s="306" t="s">
        <v>32</v>
      </c>
      <c r="L421" s="306">
        <v>6672</v>
      </c>
      <c r="M421" s="306">
        <v>6575</v>
      </c>
      <c r="N421" s="306">
        <v>39</v>
      </c>
      <c r="O421" s="306">
        <v>44</v>
      </c>
      <c r="P421" s="306">
        <v>4</v>
      </c>
      <c r="Q421" s="306"/>
      <c r="R421" s="24"/>
      <c r="S421" s="24"/>
      <c r="T421" s="24"/>
      <c r="W421" s="24">
        <v>2019</v>
      </c>
      <c r="X421" s="24">
        <v>28</v>
      </c>
      <c r="Y421" s="24" t="s">
        <v>33</v>
      </c>
      <c r="Z421" s="24">
        <v>201545</v>
      </c>
      <c r="AA421" s="24">
        <v>128958</v>
      </c>
      <c r="AB421" s="24">
        <v>884</v>
      </c>
      <c r="AC421" s="24">
        <v>165</v>
      </c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BI421" s="24">
        <v>2021</v>
      </c>
      <c r="BJ421" s="24">
        <v>19</v>
      </c>
      <c r="BK421" s="24" t="s">
        <v>32</v>
      </c>
      <c r="BL421" s="24" t="s">
        <v>272</v>
      </c>
      <c r="BM421" s="24">
        <v>2113</v>
      </c>
      <c r="BN421" s="24">
        <v>2112</v>
      </c>
      <c r="BO421" s="24">
        <v>7140</v>
      </c>
      <c r="DD421" s="24"/>
      <c r="DE421" s="24"/>
      <c r="DF421" s="24"/>
      <c r="DG421" s="24"/>
      <c r="DJ421" s="24">
        <v>2019</v>
      </c>
      <c r="DK421" s="24">
        <v>44</v>
      </c>
      <c r="DL421" s="24" t="s">
        <v>33</v>
      </c>
      <c r="DM421" s="24">
        <v>2530</v>
      </c>
      <c r="DP421" s="24"/>
      <c r="DQ421" s="24"/>
      <c r="DR421" s="24"/>
      <c r="DS421" s="24"/>
      <c r="EI421" s="24">
        <v>2022</v>
      </c>
      <c r="EJ421" s="24">
        <v>50</v>
      </c>
      <c r="EK421" s="24" t="s">
        <v>211</v>
      </c>
      <c r="EL421" s="24" t="s">
        <v>212</v>
      </c>
      <c r="EM421" s="24" t="s">
        <v>234</v>
      </c>
      <c r="EN421" s="24">
        <v>27</v>
      </c>
      <c r="EO421" s="24"/>
      <c r="EP421" s="24"/>
      <c r="EQ421" s="24"/>
      <c r="ER421" s="24"/>
      <c r="ES421" s="24">
        <v>2020</v>
      </c>
      <c r="ET421" s="24">
        <v>22</v>
      </c>
      <c r="EU421" s="24" t="s">
        <v>33</v>
      </c>
      <c r="EV421" s="24">
        <v>65791</v>
      </c>
      <c r="FW421" s="24">
        <v>2019</v>
      </c>
      <c r="FX421" s="24">
        <v>28</v>
      </c>
      <c r="FY421" s="24" t="s">
        <v>33</v>
      </c>
      <c r="FZ421" s="24">
        <v>18844</v>
      </c>
      <c r="GA421" s="24">
        <v>11205</v>
      </c>
      <c r="GB421" s="24"/>
      <c r="GC421" s="24"/>
      <c r="GD421" s="24">
        <v>2019</v>
      </c>
      <c r="GE421" s="24">
        <v>28</v>
      </c>
      <c r="GF421" s="24" t="s">
        <v>33</v>
      </c>
      <c r="GG421" s="24">
        <v>19087</v>
      </c>
      <c r="GH421" s="24">
        <v>12256</v>
      </c>
      <c r="GK421" s="24"/>
      <c r="GL421" s="24"/>
      <c r="GM421" s="24"/>
      <c r="GN421" s="24"/>
      <c r="GO421" s="24"/>
      <c r="GX421">
        <v>2019</v>
      </c>
      <c r="GY421">
        <v>28</v>
      </c>
      <c r="GZ421" t="s">
        <v>33</v>
      </c>
      <c r="HA421">
        <v>203993</v>
      </c>
      <c r="HB421">
        <v>181849</v>
      </c>
      <c r="HC421">
        <v>1425</v>
      </c>
      <c r="HD421">
        <v>247</v>
      </c>
      <c r="HE421">
        <v>0</v>
      </c>
      <c r="HF421">
        <v>12315</v>
      </c>
      <c r="HG421">
        <v>0</v>
      </c>
      <c r="HH421">
        <v>0</v>
      </c>
      <c r="HI421">
        <v>5727</v>
      </c>
      <c r="HL421">
        <v>2019</v>
      </c>
      <c r="HM421">
        <v>28</v>
      </c>
      <c r="HN421" t="s">
        <v>33</v>
      </c>
      <c r="HO421">
        <v>201391</v>
      </c>
      <c r="HP421">
        <v>184514</v>
      </c>
      <c r="HQ421">
        <v>1199</v>
      </c>
      <c r="HR421">
        <v>228</v>
      </c>
      <c r="HS421">
        <v>0</v>
      </c>
      <c r="HT421">
        <v>10039</v>
      </c>
      <c r="HU421">
        <v>0</v>
      </c>
      <c r="HV421">
        <v>0</v>
      </c>
      <c r="HW421">
        <v>3554</v>
      </c>
      <c r="HZ421" s="24">
        <v>2019</v>
      </c>
      <c r="IA421" s="24">
        <v>28</v>
      </c>
      <c r="IB421" s="24" t="s">
        <v>33</v>
      </c>
      <c r="IC421" s="24">
        <v>18870</v>
      </c>
      <c r="ID421" s="24">
        <v>11637</v>
      </c>
      <c r="IG421" s="24">
        <v>2019</v>
      </c>
      <c r="IH421" s="24">
        <v>28</v>
      </c>
      <c r="II421" s="24" t="s">
        <v>33</v>
      </c>
      <c r="IJ421" s="24">
        <v>17817</v>
      </c>
      <c r="IK421" s="24">
        <v>11816</v>
      </c>
    </row>
    <row r="422" spans="9:245" x14ac:dyDescent="0.4">
      <c r="I422" s="305">
        <v>2019</v>
      </c>
      <c r="J422" s="306">
        <v>28</v>
      </c>
      <c r="K422" s="306" t="s">
        <v>33</v>
      </c>
      <c r="L422" s="306">
        <v>202466</v>
      </c>
      <c r="M422" s="306">
        <v>128125</v>
      </c>
      <c r="N422" s="306">
        <v>841</v>
      </c>
      <c r="O422" s="306">
        <v>11213</v>
      </c>
      <c r="P422" s="306">
        <v>1316</v>
      </c>
      <c r="Q422" s="306">
        <v>192</v>
      </c>
      <c r="R422" s="24"/>
      <c r="S422" s="24"/>
      <c r="T422" s="24"/>
      <c r="W422" s="24">
        <v>2019</v>
      </c>
      <c r="X422" s="24">
        <v>27</v>
      </c>
      <c r="Y422" s="24" t="s">
        <v>32</v>
      </c>
      <c r="Z422" s="24">
        <v>6593</v>
      </c>
      <c r="AA422" s="24">
        <v>6130</v>
      </c>
      <c r="AB422" s="24">
        <v>4</v>
      </c>
      <c r="AC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4"/>
      <c r="BI422" s="24">
        <v>2021</v>
      </c>
      <c r="BJ422" s="24">
        <v>18</v>
      </c>
      <c r="BK422" s="24" t="s">
        <v>32</v>
      </c>
      <c r="BL422" s="24" t="s">
        <v>273</v>
      </c>
      <c r="BM422" s="24">
        <v>6068</v>
      </c>
      <c r="BN422" s="24">
        <v>6047</v>
      </c>
      <c r="BO422" s="24">
        <v>6166</v>
      </c>
      <c r="DD422" s="24"/>
      <c r="DE422" s="24"/>
      <c r="DF422" s="24"/>
      <c r="DG422" s="24"/>
      <c r="DJ422" s="24">
        <v>2019</v>
      </c>
      <c r="DK422" s="24">
        <v>44</v>
      </c>
      <c r="DL422" s="24" t="s">
        <v>213</v>
      </c>
      <c r="DM422" s="24">
        <v>12</v>
      </c>
      <c r="DP422" s="24"/>
      <c r="DQ422" s="24"/>
      <c r="DR422" s="24"/>
      <c r="DS422" s="24"/>
      <c r="EI422" s="24">
        <v>2022</v>
      </c>
      <c r="EJ422" s="24">
        <v>50</v>
      </c>
      <c r="EK422" s="24" t="s">
        <v>211</v>
      </c>
      <c r="EL422" s="24" t="s">
        <v>212</v>
      </c>
      <c r="EM422" s="24" t="s">
        <v>215</v>
      </c>
      <c r="EN422" s="24">
        <v>4</v>
      </c>
      <c r="EO422" s="24"/>
      <c r="EP422" s="24"/>
      <c r="EQ422" s="24"/>
      <c r="ER422" s="24"/>
      <c r="ES422" s="24">
        <v>2020</v>
      </c>
      <c r="ET422" s="24">
        <v>22</v>
      </c>
      <c r="EU422" s="24" t="s">
        <v>213</v>
      </c>
      <c r="EV422" s="24">
        <v>35</v>
      </c>
      <c r="FW422" s="24">
        <v>2019</v>
      </c>
      <c r="FX422" s="24">
        <v>27</v>
      </c>
      <c r="FY422" s="24" t="s">
        <v>32</v>
      </c>
      <c r="FZ422" s="24">
        <v>824</v>
      </c>
      <c r="GA422" s="24">
        <v>767</v>
      </c>
      <c r="GB422" s="24"/>
      <c r="GC422" s="24"/>
      <c r="GD422" s="24">
        <v>2019</v>
      </c>
      <c r="GE422" s="24">
        <v>27</v>
      </c>
      <c r="GF422" s="24" t="s">
        <v>32</v>
      </c>
      <c r="GG422" s="24">
        <v>775</v>
      </c>
      <c r="GH422" s="24">
        <v>722</v>
      </c>
      <c r="GK422" s="24"/>
      <c r="GL422" s="24"/>
      <c r="GM422" s="24"/>
      <c r="GN422" s="24"/>
      <c r="GO422" s="24"/>
      <c r="GX422">
        <v>2019</v>
      </c>
      <c r="GY422">
        <v>27</v>
      </c>
      <c r="GZ422" t="s">
        <v>32</v>
      </c>
      <c r="HA422">
        <v>6012</v>
      </c>
      <c r="HB422">
        <v>5589</v>
      </c>
      <c r="HC422">
        <v>0</v>
      </c>
      <c r="HD422">
        <v>16</v>
      </c>
      <c r="HE422">
        <v>0</v>
      </c>
      <c r="HF422">
        <v>20</v>
      </c>
      <c r="HG422">
        <v>0</v>
      </c>
      <c r="HH422">
        <v>0</v>
      </c>
      <c r="HI422">
        <v>48</v>
      </c>
      <c r="HL422">
        <v>2019</v>
      </c>
      <c r="HM422">
        <v>27</v>
      </c>
      <c r="HN422" t="s">
        <v>32</v>
      </c>
      <c r="HO422">
        <v>6591</v>
      </c>
      <c r="HP422">
        <v>6535</v>
      </c>
      <c r="HQ422">
        <v>0</v>
      </c>
      <c r="HR422">
        <v>0</v>
      </c>
      <c r="HS422">
        <v>0</v>
      </c>
      <c r="HT422">
        <v>16</v>
      </c>
      <c r="HU422">
        <v>0</v>
      </c>
      <c r="HV422">
        <v>0</v>
      </c>
      <c r="HW422">
        <v>4</v>
      </c>
      <c r="HZ422" s="24">
        <v>2019</v>
      </c>
      <c r="IA422" s="24">
        <v>27</v>
      </c>
      <c r="IB422" s="24" t="s">
        <v>32</v>
      </c>
      <c r="IC422" s="24">
        <v>757</v>
      </c>
      <c r="ID422" s="24">
        <v>706</v>
      </c>
      <c r="IG422" s="24">
        <v>2019</v>
      </c>
      <c r="IH422" s="24">
        <v>27</v>
      </c>
      <c r="II422" s="24" t="s">
        <v>32</v>
      </c>
      <c r="IJ422" s="24">
        <v>765</v>
      </c>
      <c r="IK422" s="24">
        <v>760</v>
      </c>
    </row>
    <row r="423" spans="9:245" x14ac:dyDescent="0.4">
      <c r="I423" s="305">
        <v>2019</v>
      </c>
      <c r="J423" s="306">
        <v>27</v>
      </c>
      <c r="K423" s="306" t="s">
        <v>32</v>
      </c>
      <c r="L423" s="306">
        <v>6793</v>
      </c>
      <c r="M423" s="306">
        <v>6280</v>
      </c>
      <c r="N423" s="306">
        <v>34</v>
      </c>
      <c r="O423" s="306">
        <v>147</v>
      </c>
      <c r="P423" s="306">
        <v>11</v>
      </c>
      <c r="Q423" s="306"/>
      <c r="R423" s="24"/>
      <c r="S423" s="24"/>
      <c r="T423" s="24"/>
      <c r="W423" s="24">
        <v>2019</v>
      </c>
      <c r="X423" s="24">
        <v>27</v>
      </c>
      <c r="Y423" s="24" t="s">
        <v>33</v>
      </c>
      <c r="Z423" s="24">
        <v>208021</v>
      </c>
      <c r="AA423" s="24">
        <v>171454</v>
      </c>
      <c r="AB423" s="24">
        <v>891</v>
      </c>
      <c r="AC423" s="24">
        <v>91</v>
      </c>
      <c r="AI423" s="24"/>
      <c r="AJ423" s="24"/>
      <c r="AK423" s="24"/>
      <c r="AL423" s="24"/>
      <c r="AM423" s="24"/>
      <c r="AN423" s="24"/>
      <c r="AO423" s="24"/>
      <c r="AP423" s="24"/>
      <c r="AQ423" s="24"/>
      <c r="AR423" s="24"/>
      <c r="BI423" s="24">
        <v>2021</v>
      </c>
      <c r="BJ423" s="24">
        <v>18</v>
      </c>
      <c r="BK423" s="24" t="s">
        <v>33</v>
      </c>
      <c r="BL423" s="24" t="s">
        <v>273</v>
      </c>
      <c r="BM423" s="24">
        <v>87108</v>
      </c>
      <c r="BN423" s="24">
        <v>86649</v>
      </c>
      <c r="BO423" s="24">
        <v>89562</v>
      </c>
      <c r="DD423" s="24"/>
      <c r="DE423" s="24"/>
      <c r="DF423" s="24"/>
      <c r="DG423" s="24"/>
      <c r="DJ423" s="24">
        <v>2019</v>
      </c>
      <c r="DK423" s="24">
        <v>43</v>
      </c>
      <c r="DL423" s="24" t="s">
        <v>32</v>
      </c>
      <c r="DM423" s="24">
        <v>151</v>
      </c>
      <c r="DP423" s="24"/>
      <c r="DQ423" s="24"/>
      <c r="DR423" s="24"/>
      <c r="DS423" s="24"/>
      <c r="EI423" s="24">
        <v>2022</v>
      </c>
      <c r="EJ423" s="24">
        <v>50</v>
      </c>
      <c r="EK423" s="24" t="s">
        <v>211</v>
      </c>
      <c r="EL423" s="24" t="s">
        <v>247</v>
      </c>
      <c r="EM423" s="24" t="s">
        <v>234</v>
      </c>
      <c r="EN423" s="24">
        <v>34</v>
      </c>
      <c r="EO423" s="24"/>
      <c r="EP423" s="24"/>
      <c r="EQ423" s="24"/>
      <c r="ER423" s="24"/>
      <c r="ES423" s="24">
        <v>2020</v>
      </c>
      <c r="ET423" s="24">
        <v>21</v>
      </c>
      <c r="EU423" s="24" t="s">
        <v>32</v>
      </c>
      <c r="EV423" s="24">
        <v>2324</v>
      </c>
      <c r="FW423" s="24">
        <v>2019</v>
      </c>
      <c r="FX423" s="24">
        <v>27</v>
      </c>
      <c r="FY423" s="24" t="s">
        <v>33</v>
      </c>
      <c r="FZ423" s="24">
        <v>13642</v>
      </c>
      <c r="GA423" s="24">
        <v>10049</v>
      </c>
      <c r="GB423" s="24"/>
      <c r="GC423" s="24"/>
      <c r="GD423" s="24">
        <v>2019</v>
      </c>
      <c r="GE423" s="24">
        <v>27</v>
      </c>
      <c r="GF423" s="24" t="s">
        <v>33</v>
      </c>
      <c r="GG423" s="24">
        <v>13263</v>
      </c>
      <c r="GH423" s="24">
        <v>10067</v>
      </c>
      <c r="GK423" s="24"/>
      <c r="GL423" s="24"/>
      <c r="GM423" s="24"/>
      <c r="GN423" s="24"/>
      <c r="GO423" s="24"/>
      <c r="GX423">
        <v>2019</v>
      </c>
      <c r="GY423">
        <v>27</v>
      </c>
      <c r="GZ423" t="s">
        <v>33</v>
      </c>
      <c r="HA423">
        <v>194564</v>
      </c>
      <c r="HB423">
        <v>161783</v>
      </c>
      <c r="HC423">
        <v>1662</v>
      </c>
      <c r="HD423">
        <v>1055</v>
      </c>
      <c r="HE423">
        <v>1</v>
      </c>
      <c r="HF423">
        <v>13492</v>
      </c>
      <c r="HG423">
        <v>0</v>
      </c>
      <c r="HH423">
        <v>0</v>
      </c>
      <c r="HI423">
        <v>6371</v>
      </c>
      <c r="HL423">
        <v>2019</v>
      </c>
      <c r="HM423">
        <v>27</v>
      </c>
      <c r="HN423" t="s">
        <v>33</v>
      </c>
      <c r="HO423">
        <v>207805</v>
      </c>
      <c r="HP423">
        <v>190680</v>
      </c>
      <c r="HQ423">
        <v>1466</v>
      </c>
      <c r="HR423">
        <v>170</v>
      </c>
      <c r="HS423">
        <v>0</v>
      </c>
      <c r="HT423">
        <v>11738</v>
      </c>
      <c r="HU423">
        <v>0</v>
      </c>
      <c r="HV423">
        <v>0</v>
      </c>
      <c r="HW423">
        <v>2925</v>
      </c>
      <c r="HZ423" s="24">
        <v>2019</v>
      </c>
      <c r="IA423" s="24">
        <v>27</v>
      </c>
      <c r="IB423" s="24" t="s">
        <v>33</v>
      </c>
      <c r="IC423" s="24">
        <v>13284</v>
      </c>
      <c r="ID423" s="24">
        <v>9406</v>
      </c>
      <c r="IG423" s="24">
        <v>2019</v>
      </c>
      <c r="IH423" s="24">
        <v>27</v>
      </c>
      <c r="II423" s="24" t="s">
        <v>33</v>
      </c>
      <c r="IJ423" s="24">
        <v>12408</v>
      </c>
      <c r="IK423" s="24">
        <v>10187</v>
      </c>
    </row>
    <row r="424" spans="9:245" x14ac:dyDescent="0.4">
      <c r="I424" s="305">
        <v>2019</v>
      </c>
      <c r="J424" s="306">
        <v>27</v>
      </c>
      <c r="K424" s="306" t="s">
        <v>33</v>
      </c>
      <c r="L424" s="306">
        <v>209922</v>
      </c>
      <c r="M424" s="306">
        <v>171556</v>
      </c>
      <c r="N424" s="306">
        <v>1023</v>
      </c>
      <c r="O424" s="306">
        <v>7063</v>
      </c>
      <c r="P424" s="306">
        <v>1164</v>
      </c>
      <c r="Q424" s="306">
        <v>104</v>
      </c>
      <c r="R424" s="24"/>
      <c r="S424" s="24"/>
      <c r="T424" s="24"/>
      <c r="W424" s="24">
        <v>2019</v>
      </c>
      <c r="X424" s="24">
        <v>26</v>
      </c>
      <c r="Y424" s="24" t="s">
        <v>32</v>
      </c>
      <c r="Z424" s="24">
        <v>5541</v>
      </c>
      <c r="AA424" s="24">
        <v>5449</v>
      </c>
      <c r="AB424" s="24">
        <v>1</v>
      </c>
      <c r="AC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BI424" s="24">
        <v>2021</v>
      </c>
      <c r="BJ424" s="24">
        <v>18</v>
      </c>
      <c r="BK424" s="24" t="s">
        <v>33</v>
      </c>
      <c r="BL424" s="24" t="s">
        <v>272</v>
      </c>
      <c r="BM424" s="24">
        <v>46361</v>
      </c>
      <c r="BN424" s="24">
        <v>46338</v>
      </c>
      <c r="BO424" s="24">
        <v>164338</v>
      </c>
      <c r="DD424" s="24"/>
      <c r="DE424" s="24"/>
      <c r="DF424" s="24"/>
      <c r="DG424" s="24"/>
      <c r="DJ424" s="24">
        <v>2019</v>
      </c>
      <c r="DK424" s="24">
        <v>43</v>
      </c>
      <c r="DL424" s="24" t="s">
        <v>33</v>
      </c>
      <c r="DM424" s="24">
        <v>2415</v>
      </c>
      <c r="DP424" s="24"/>
      <c r="DQ424" s="24"/>
      <c r="DR424" s="24"/>
      <c r="DS424" s="24"/>
      <c r="EI424" s="24">
        <v>2022</v>
      </c>
      <c r="EJ424" s="24">
        <v>50</v>
      </c>
      <c r="EK424" s="24" t="s">
        <v>211</v>
      </c>
      <c r="EL424" s="24" t="s">
        <v>247</v>
      </c>
      <c r="EM424" s="24" t="s">
        <v>215</v>
      </c>
      <c r="EN424" s="24">
        <v>2</v>
      </c>
      <c r="EO424" s="24"/>
      <c r="EP424" s="24"/>
      <c r="EQ424" s="24"/>
      <c r="ER424" s="24"/>
      <c r="ES424" s="24">
        <v>2020</v>
      </c>
      <c r="ET424" s="24">
        <v>21</v>
      </c>
      <c r="EU424" s="24" t="s">
        <v>33</v>
      </c>
      <c r="EV424" s="24">
        <v>50588</v>
      </c>
      <c r="FW424" s="24">
        <v>2019</v>
      </c>
      <c r="FX424" s="24">
        <v>26</v>
      </c>
      <c r="FY424" s="24" t="s">
        <v>32</v>
      </c>
      <c r="FZ424" s="24">
        <v>768</v>
      </c>
      <c r="GA424" s="24">
        <v>755</v>
      </c>
      <c r="GB424" s="24"/>
      <c r="GC424" s="24"/>
      <c r="GD424" s="24">
        <v>2019</v>
      </c>
      <c r="GE424" s="24">
        <v>26</v>
      </c>
      <c r="GF424" s="24" t="s">
        <v>32</v>
      </c>
      <c r="GG424" s="24">
        <v>718</v>
      </c>
      <c r="GH424" s="24">
        <v>711</v>
      </c>
      <c r="GK424" s="24"/>
      <c r="GL424" s="24"/>
      <c r="GM424" s="24"/>
      <c r="GN424" s="24"/>
      <c r="GO424" s="24"/>
      <c r="GX424">
        <v>2019</v>
      </c>
      <c r="GY424">
        <v>26</v>
      </c>
      <c r="GZ424" t="s">
        <v>32</v>
      </c>
      <c r="HA424">
        <v>6384</v>
      </c>
      <c r="HB424">
        <v>6171</v>
      </c>
      <c r="HC424">
        <v>0</v>
      </c>
      <c r="HD424">
        <v>8</v>
      </c>
      <c r="HE424">
        <v>0</v>
      </c>
      <c r="HF424">
        <v>37</v>
      </c>
      <c r="HG424">
        <v>0</v>
      </c>
      <c r="HH424">
        <v>0</v>
      </c>
      <c r="HI424">
        <v>42</v>
      </c>
      <c r="HL424">
        <v>2019</v>
      </c>
      <c r="HM424">
        <v>26</v>
      </c>
      <c r="HN424" t="s">
        <v>32</v>
      </c>
      <c r="HO424">
        <v>5530</v>
      </c>
      <c r="HP424">
        <v>5464</v>
      </c>
      <c r="HQ424">
        <v>0</v>
      </c>
      <c r="HR424">
        <v>4</v>
      </c>
      <c r="HS424">
        <v>0</v>
      </c>
      <c r="HT424">
        <v>26</v>
      </c>
      <c r="HU424">
        <v>0</v>
      </c>
      <c r="HV424">
        <v>0</v>
      </c>
      <c r="HW424">
        <v>8</v>
      </c>
      <c r="HZ424" s="24">
        <v>2019</v>
      </c>
      <c r="IA424" s="24">
        <v>26</v>
      </c>
      <c r="IB424" s="24" t="s">
        <v>32</v>
      </c>
      <c r="IC424" s="24">
        <v>778</v>
      </c>
      <c r="ID424" s="24">
        <v>761</v>
      </c>
      <c r="IG424" s="24">
        <v>2019</v>
      </c>
      <c r="IH424" s="24">
        <v>26</v>
      </c>
      <c r="II424" s="24" t="s">
        <v>32</v>
      </c>
      <c r="IJ424" s="24">
        <v>711</v>
      </c>
      <c r="IK424" s="24">
        <v>705</v>
      </c>
    </row>
    <row r="425" spans="9:245" x14ac:dyDescent="0.4">
      <c r="I425" s="305">
        <v>2019</v>
      </c>
      <c r="J425" s="306">
        <v>26</v>
      </c>
      <c r="K425" s="306" t="s">
        <v>32</v>
      </c>
      <c r="L425" s="306">
        <v>5664</v>
      </c>
      <c r="M425" s="306">
        <v>5535</v>
      </c>
      <c r="N425" s="306">
        <v>17</v>
      </c>
      <c r="O425" s="306">
        <v>35</v>
      </c>
      <c r="P425" s="306">
        <v>7</v>
      </c>
      <c r="Q425" s="306"/>
      <c r="R425" s="24"/>
      <c r="S425" s="24"/>
      <c r="T425" s="24"/>
      <c r="W425" s="24">
        <v>2019</v>
      </c>
      <c r="X425" s="24">
        <v>26</v>
      </c>
      <c r="Y425" s="24" t="s">
        <v>33</v>
      </c>
      <c r="Z425" s="24">
        <v>165023</v>
      </c>
      <c r="AA425" s="24">
        <v>154069</v>
      </c>
      <c r="AB425" s="24">
        <v>243</v>
      </c>
      <c r="AC425" s="24">
        <v>29</v>
      </c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BI425" s="24">
        <v>2021</v>
      </c>
      <c r="BJ425" s="24">
        <v>18</v>
      </c>
      <c r="BK425" s="24" t="s">
        <v>32</v>
      </c>
      <c r="BL425" s="24" t="s">
        <v>272</v>
      </c>
      <c r="BM425" s="24">
        <v>2301</v>
      </c>
      <c r="BN425" s="24">
        <v>2300</v>
      </c>
      <c r="BO425" s="24">
        <v>7536</v>
      </c>
      <c r="DD425" s="24"/>
      <c r="DE425" s="24"/>
      <c r="DF425" s="24"/>
      <c r="DG425" s="24"/>
      <c r="DJ425" s="24">
        <v>2019</v>
      </c>
      <c r="DK425" s="24">
        <v>43</v>
      </c>
      <c r="DL425" s="24" t="s">
        <v>213</v>
      </c>
      <c r="DM425" s="24">
        <v>7</v>
      </c>
      <c r="DP425" s="24"/>
      <c r="DQ425" s="24"/>
      <c r="DR425" s="24"/>
      <c r="DS425" s="24"/>
      <c r="EI425" s="24">
        <v>2022</v>
      </c>
      <c r="EJ425" s="24">
        <v>50</v>
      </c>
      <c r="EK425" s="24" t="s">
        <v>213</v>
      </c>
      <c r="EL425" s="24" t="s">
        <v>214</v>
      </c>
      <c r="EM425" s="24" t="s">
        <v>215</v>
      </c>
      <c r="EN425" s="24">
        <v>57</v>
      </c>
      <c r="EO425" s="24"/>
      <c r="EP425" s="24"/>
      <c r="EQ425" s="24"/>
      <c r="ER425" s="24"/>
      <c r="ES425" s="24">
        <v>2020</v>
      </c>
      <c r="ET425" s="24">
        <v>21</v>
      </c>
      <c r="EU425" s="24" t="s">
        <v>213</v>
      </c>
      <c r="EV425" s="24">
        <v>20</v>
      </c>
      <c r="FW425" s="24">
        <v>2019</v>
      </c>
      <c r="FX425" s="24">
        <v>26</v>
      </c>
      <c r="FY425" s="24" t="s">
        <v>33</v>
      </c>
      <c r="FZ425" s="24">
        <v>17385</v>
      </c>
      <c r="GA425" s="24">
        <v>14038</v>
      </c>
      <c r="GB425" s="24"/>
      <c r="GC425" s="24"/>
      <c r="GD425" s="24">
        <v>2019</v>
      </c>
      <c r="GE425" s="24">
        <v>26</v>
      </c>
      <c r="GF425" s="24" t="s">
        <v>33</v>
      </c>
      <c r="GG425" s="24">
        <v>17512</v>
      </c>
      <c r="GH425" s="24">
        <v>14460</v>
      </c>
      <c r="GK425" s="24"/>
      <c r="GL425" s="24"/>
      <c r="GM425" s="24"/>
      <c r="GN425" s="24"/>
      <c r="GO425" s="24"/>
      <c r="GX425">
        <v>2019</v>
      </c>
      <c r="GY425">
        <v>26</v>
      </c>
      <c r="GZ425" t="s">
        <v>33</v>
      </c>
      <c r="HA425">
        <v>181770</v>
      </c>
      <c r="HB425">
        <v>169713</v>
      </c>
      <c r="HC425">
        <v>882</v>
      </c>
      <c r="HD425">
        <v>319</v>
      </c>
      <c r="HE425">
        <v>0</v>
      </c>
      <c r="HF425">
        <v>5662</v>
      </c>
      <c r="HG425">
        <v>0</v>
      </c>
      <c r="HH425">
        <v>0</v>
      </c>
      <c r="HI425">
        <v>2692</v>
      </c>
      <c r="HL425">
        <v>2019</v>
      </c>
      <c r="HM425">
        <v>26</v>
      </c>
      <c r="HN425" t="s">
        <v>33</v>
      </c>
      <c r="HO425">
        <v>164906</v>
      </c>
      <c r="HP425">
        <v>158326</v>
      </c>
      <c r="HQ425">
        <v>818</v>
      </c>
      <c r="HR425">
        <v>96</v>
      </c>
      <c r="HS425">
        <v>0</v>
      </c>
      <c r="HT425">
        <v>5814</v>
      </c>
      <c r="HU425">
        <v>0</v>
      </c>
      <c r="HV425">
        <v>0</v>
      </c>
      <c r="HW425">
        <v>1041</v>
      </c>
      <c r="HZ425" s="24">
        <v>2019</v>
      </c>
      <c r="IA425" s="24">
        <v>26</v>
      </c>
      <c r="IB425" s="24" t="s">
        <v>33</v>
      </c>
      <c r="IC425" s="24">
        <v>17413</v>
      </c>
      <c r="ID425" s="24">
        <v>14422</v>
      </c>
      <c r="IG425" s="24">
        <v>2019</v>
      </c>
      <c r="IH425" s="24">
        <v>26</v>
      </c>
      <c r="II425" s="24" t="s">
        <v>33</v>
      </c>
      <c r="IJ425" s="24">
        <v>16616</v>
      </c>
      <c r="IK425" s="24">
        <v>13951</v>
      </c>
    </row>
    <row r="426" spans="9:245" x14ac:dyDescent="0.4">
      <c r="I426" s="305">
        <v>2019</v>
      </c>
      <c r="J426" s="306">
        <v>26</v>
      </c>
      <c r="K426" s="306" t="s">
        <v>33</v>
      </c>
      <c r="L426" s="306">
        <v>166412</v>
      </c>
      <c r="M426" s="306">
        <v>154713</v>
      </c>
      <c r="N426" s="306">
        <v>339</v>
      </c>
      <c r="O426" s="306">
        <v>2196</v>
      </c>
      <c r="P426" s="306">
        <v>361</v>
      </c>
      <c r="Q426" s="306">
        <v>31</v>
      </c>
      <c r="R426" s="24"/>
      <c r="S426" s="24"/>
      <c r="T426" s="24"/>
      <c r="W426" s="324">
        <v>2019</v>
      </c>
      <c r="X426" s="324">
        <v>25</v>
      </c>
      <c r="Y426" s="324" t="s">
        <v>32</v>
      </c>
      <c r="Z426" s="324">
        <v>7079</v>
      </c>
      <c r="AA426" s="324">
        <v>7038</v>
      </c>
      <c r="AB426" s="324">
        <v>2</v>
      </c>
      <c r="AC426" s="3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4"/>
      <c r="BI426" s="24">
        <v>2021</v>
      </c>
      <c r="BJ426" s="24">
        <v>17</v>
      </c>
      <c r="BK426" s="24" t="s">
        <v>33</v>
      </c>
      <c r="BL426" s="24" t="s">
        <v>273</v>
      </c>
      <c r="BM426" s="24">
        <v>87532</v>
      </c>
      <c r="BN426" s="24">
        <v>86486</v>
      </c>
      <c r="BO426" s="24">
        <v>90076</v>
      </c>
      <c r="DD426" s="24"/>
      <c r="DE426" s="24"/>
      <c r="DF426" s="24"/>
      <c r="DG426" s="24"/>
      <c r="DJ426" s="24">
        <v>2019</v>
      </c>
      <c r="DK426" s="24">
        <v>42</v>
      </c>
      <c r="DL426" s="24" t="s">
        <v>32</v>
      </c>
      <c r="DM426" s="24">
        <v>202</v>
      </c>
      <c r="DP426" s="24"/>
      <c r="DQ426" s="24"/>
      <c r="DR426" s="24"/>
      <c r="DS426" s="24"/>
      <c r="EI426" s="24">
        <v>2022</v>
      </c>
      <c r="EJ426" s="24">
        <v>49</v>
      </c>
      <c r="EK426" s="24" t="s">
        <v>19</v>
      </c>
      <c r="EL426" s="24" t="s">
        <v>235</v>
      </c>
      <c r="EM426" s="24" t="s">
        <v>210</v>
      </c>
      <c r="EN426" s="24">
        <v>4</v>
      </c>
      <c r="EO426" s="24"/>
      <c r="EP426" s="24"/>
      <c r="EQ426" s="24"/>
      <c r="ER426" s="24"/>
      <c r="ES426" s="24">
        <v>2020</v>
      </c>
      <c r="ET426" s="24">
        <v>20</v>
      </c>
      <c r="EU426" s="24" t="s">
        <v>32</v>
      </c>
      <c r="EV426" s="24">
        <v>2078</v>
      </c>
      <c r="FW426" s="24">
        <v>2019</v>
      </c>
      <c r="FX426" s="24">
        <v>25</v>
      </c>
      <c r="FY426" s="24" t="s">
        <v>32</v>
      </c>
      <c r="FZ426" s="24">
        <v>918</v>
      </c>
      <c r="GA426" s="24">
        <v>909</v>
      </c>
      <c r="GB426" s="24"/>
      <c r="GC426" s="24"/>
      <c r="GD426" s="324">
        <v>2019</v>
      </c>
      <c r="GE426" s="324">
        <v>25</v>
      </c>
      <c r="GF426" s="324" t="s">
        <v>32</v>
      </c>
      <c r="GG426" s="324">
        <v>884</v>
      </c>
      <c r="GH426" s="324">
        <v>875</v>
      </c>
      <c r="GK426" s="24"/>
      <c r="GL426" s="24"/>
      <c r="GM426" s="24"/>
      <c r="GN426" s="24"/>
      <c r="GO426" s="24"/>
      <c r="GX426">
        <v>2019</v>
      </c>
      <c r="GY426">
        <v>25</v>
      </c>
      <c r="GZ426" t="s">
        <v>32</v>
      </c>
      <c r="HA426">
        <v>6962</v>
      </c>
      <c r="HB426">
        <v>6879</v>
      </c>
      <c r="HC426">
        <v>0</v>
      </c>
      <c r="HD426">
        <v>0</v>
      </c>
      <c r="HE426">
        <v>0</v>
      </c>
      <c r="HF426">
        <v>6</v>
      </c>
      <c r="HG426">
        <v>0</v>
      </c>
      <c r="HH426">
        <v>0</v>
      </c>
      <c r="HI426">
        <v>41</v>
      </c>
      <c r="HL426">
        <v>2019</v>
      </c>
      <c r="HM426">
        <v>25</v>
      </c>
      <c r="HN426" t="s">
        <v>32</v>
      </c>
      <c r="HO426">
        <v>7079</v>
      </c>
      <c r="HP426">
        <v>7037</v>
      </c>
      <c r="HQ426">
        <v>0</v>
      </c>
      <c r="HR426">
        <v>0</v>
      </c>
      <c r="HS426">
        <v>0</v>
      </c>
      <c r="HT426">
        <v>2</v>
      </c>
      <c r="HU426">
        <v>0</v>
      </c>
      <c r="HV426">
        <v>0</v>
      </c>
      <c r="HW426">
        <v>4</v>
      </c>
      <c r="HZ426" s="24">
        <v>2019</v>
      </c>
      <c r="IA426" s="24">
        <v>25</v>
      </c>
      <c r="IB426" s="24" t="s">
        <v>32</v>
      </c>
      <c r="IC426" s="24">
        <v>914</v>
      </c>
      <c r="ID426" s="24">
        <v>906</v>
      </c>
      <c r="IG426" s="324">
        <v>2019</v>
      </c>
      <c r="IH426" s="324">
        <v>25</v>
      </c>
      <c r="II426" s="324" t="s">
        <v>32</v>
      </c>
      <c r="IJ426" s="324">
        <v>882</v>
      </c>
      <c r="IK426" s="324">
        <v>871</v>
      </c>
    </row>
    <row r="427" spans="9:245" x14ac:dyDescent="0.4">
      <c r="I427" s="305">
        <v>2019</v>
      </c>
      <c r="J427" s="306">
        <v>25</v>
      </c>
      <c r="K427" s="306" t="s">
        <v>32</v>
      </c>
      <c r="L427" s="306">
        <v>7265</v>
      </c>
      <c r="M427" s="306">
        <v>7176</v>
      </c>
      <c r="N427" s="306">
        <v>33</v>
      </c>
      <c r="O427" s="306">
        <v>29</v>
      </c>
      <c r="P427" s="306">
        <v>2</v>
      </c>
      <c r="Q427" s="306"/>
      <c r="R427" s="24"/>
      <c r="S427" s="24"/>
      <c r="T427" s="24"/>
      <c r="W427" s="324">
        <v>2019</v>
      </c>
      <c r="X427" s="324">
        <v>25</v>
      </c>
      <c r="Y427" s="324" t="s">
        <v>33</v>
      </c>
      <c r="Z427" s="324">
        <v>217872</v>
      </c>
      <c r="AA427" s="324">
        <v>186866</v>
      </c>
      <c r="AB427" s="324">
        <v>592</v>
      </c>
      <c r="AC427" s="324">
        <v>70</v>
      </c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BI427" s="24">
        <v>2021</v>
      </c>
      <c r="BJ427" s="24">
        <v>17</v>
      </c>
      <c r="BK427" s="24" t="s">
        <v>33</v>
      </c>
      <c r="BL427" s="24" t="s">
        <v>272</v>
      </c>
      <c r="BM427" s="24">
        <v>45394</v>
      </c>
      <c r="BN427" s="24">
        <v>45365</v>
      </c>
      <c r="BO427" s="24">
        <v>160197</v>
      </c>
      <c r="DD427" s="24"/>
      <c r="DE427" s="24"/>
      <c r="DF427" s="24"/>
      <c r="DG427" s="24"/>
      <c r="DJ427" s="24">
        <v>2019</v>
      </c>
      <c r="DK427" s="24">
        <v>42</v>
      </c>
      <c r="DL427" s="24" t="s">
        <v>33</v>
      </c>
      <c r="DM427" s="24">
        <v>1136</v>
      </c>
      <c r="DP427" s="24"/>
      <c r="DQ427" s="24"/>
      <c r="DR427" s="24"/>
      <c r="DS427" s="24"/>
      <c r="EI427" s="24">
        <v>2022</v>
      </c>
      <c r="EJ427" s="24">
        <v>49</v>
      </c>
      <c r="EK427" s="24" t="s">
        <v>19</v>
      </c>
      <c r="EL427" s="24" t="s">
        <v>247</v>
      </c>
      <c r="EM427" s="24" t="s">
        <v>210</v>
      </c>
      <c r="EN427" s="24">
        <v>1</v>
      </c>
      <c r="EO427" s="24"/>
      <c r="EP427" s="24"/>
      <c r="EQ427" s="24"/>
      <c r="ER427" s="24"/>
      <c r="ES427" s="24">
        <v>2020</v>
      </c>
      <c r="ET427" s="24">
        <v>20</v>
      </c>
      <c r="EU427" s="24" t="s">
        <v>33</v>
      </c>
      <c r="EV427" s="24">
        <v>57850</v>
      </c>
      <c r="FW427" s="24">
        <v>2019</v>
      </c>
      <c r="FX427" s="24">
        <v>25</v>
      </c>
      <c r="FY427" s="24" t="s">
        <v>33</v>
      </c>
      <c r="FZ427" s="24">
        <v>15478</v>
      </c>
      <c r="GA427" s="24">
        <v>12013</v>
      </c>
      <c r="GB427" s="24"/>
      <c r="GC427" s="24"/>
      <c r="GD427" s="324">
        <v>2019</v>
      </c>
      <c r="GE427" s="324">
        <v>25</v>
      </c>
      <c r="GF427" s="324" t="s">
        <v>33</v>
      </c>
      <c r="GG427" s="324">
        <v>15621</v>
      </c>
      <c r="GH427" s="324">
        <v>12562</v>
      </c>
      <c r="GK427" s="24"/>
      <c r="GL427" s="24"/>
      <c r="GM427" s="24"/>
      <c r="GN427" s="24"/>
      <c r="GO427" s="24"/>
      <c r="GX427">
        <v>2019</v>
      </c>
      <c r="GY427">
        <v>25</v>
      </c>
      <c r="GZ427" t="s">
        <v>33</v>
      </c>
      <c r="HA427">
        <v>217309</v>
      </c>
      <c r="HB427">
        <v>191594</v>
      </c>
      <c r="HC427">
        <v>1640</v>
      </c>
      <c r="HD427">
        <v>470</v>
      </c>
      <c r="HE427">
        <v>1</v>
      </c>
      <c r="HF427">
        <v>13345</v>
      </c>
      <c r="HG427">
        <v>0</v>
      </c>
      <c r="HH427">
        <v>1</v>
      </c>
      <c r="HI427">
        <v>5333</v>
      </c>
      <c r="HL427">
        <v>2019</v>
      </c>
      <c r="HM427">
        <v>25</v>
      </c>
      <c r="HN427" t="s">
        <v>33</v>
      </c>
      <c r="HO427">
        <v>217745</v>
      </c>
      <c r="HP427">
        <v>194859</v>
      </c>
      <c r="HQ427">
        <v>1631</v>
      </c>
      <c r="HR427">
        <v>473</v>
      </c>
      <c r="HS427">
        <v>1</v>
      </c>
      <c r="HT427">
        <v>12543</v>
      </c>
      <c r="HU427">
        <v>0</v>
      </c>
      <c r="HV427">
        <v>1</v>
      </c>
      <c r="HW427">
        <v>5064</v>
      </c>
      <c r="HZ427" s="24">
        <v>2019</v>
      </c>
      <c r="IA427" s="24">
        <v>25</v>
      </c>
      <c r="IB427" s="24" t="s">
        <v>33</v>
      </c>
      <c r="IC427" s="24">
        <v>15925</v>
      </c>
      <c r="ID427" s="24">
        <v>11978</v>
      </c>
      <c r="IG427" s="324">
        <v>2019</v>
      </c>
      <c r="IH427" s="324">
        <v>25</v>
      </c>
      <c r="II427" s="324" t="s">
        <v>33</v>
      </c>
      <c r="IJ427" s="324">
        <v>14581</v>
      </c>
      <c r="IK427" s="324">
        <v>12206</v>
      </c>
    </row>
    <row r="428" spans="9:245" x14ac:dyDescent="0.4">
      <c r="I428" s="305">
        <v>2019</v>
      </c>
      <c r="J428" s="306">
        <v>25</v>
      </c>
      <c r="K428" s="306" t="s">
        <v>33</v>
      </c>
      <c r="L428" s="306">
        <v>218998</v>
      </c>
      <c r="M428" s="306">
        <v>186240</v>
      </c>
      <c r="N428" s="306">
        <v>491</v>
      </c>
      <c r="O428" s="306">
        <v>4703</v>
      </c>
      <c r="P428" s="306">
        <v>841</v>
      </c>
      <c r="Q428" s="306">
        <v>75</v>
      </c>
      <c r="R428" s="24"/>
      <c r="S428" s="24"/>
      <c r="T428" s="24"/>
      <c r="W428" s="24">
        <v>2019</v>
      </c>
      <c r="X428" s="24">
        <v>24</v>
      </c>
      <c r="Y428" s="24" t="s">
        <v>32</v>
      </c>
      <c r="Z428" s="24">
        <v>5555</v>
      </c>
      <c r="AA428" s="24">
        <v>5277</v>
      </c>
      <c r="AB428" s="24">
        <v>10</v>
      </c>
      <c r="AC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  <c r="BI428" s="24">
        <v>2021</v>
      </c>
      <c r="BJ428" s="24">
        <v>17</v>
      </c>
      <c r="BK428" s="24" t="s">
        <v>32</v>
      </c>
      <c r="BL428" s="24" t="s">
        <v>272</v>
      </c>
      <c r="BM428" s="24">
        <v>2258</v>
      </c>
      <c r="BN428" s="24">
        <v>2256</v>
      </c>
      <c r="BO428" s="24">
        <v>7907</v>
      </c>
      <c r="DD428" s="24"/>
      <c r="DE428" s="24"/>
      <c r="DF428" s="24"/>
      <c r="DG428" s="24"/>
      <c r="DJ428" s="24">
        <v>2019</v>
      </c>
      <c r="DK428" s="24">
        <v>42</v>
      </c>
      <c r="DL428" s="24" t="s">
        <v>213</v>
      </c>
      <c r="DM428" s="24">
        <v>5</v>
      </c>
      <c r="DP428" s="24"/>
      <c r="DQ428" s="24"/>
      <c r="DR428" s="24"/>
      <c r="DS428" s="24"/>
      <c r="EI428" s="24">
        <v>2022</v>
      </c>
      <c r="EJ428" s="24">
        <v>49</v>
      </c>
      <c r="EK428" s="24" t="s">
        <v>208</v>
      </c>
      <c r="EL428" s="24" t="s">
        <v>555</v>
      </c>
      <c r="EM428" s="24" t="s">
        <v>210</v>
      </c>
      <c r="EN428" s="24">
        <v>1</v>
      </c>
      <c r="EO428" s="24"/>
      <c r="EP428" s="24"/>
      <c r="EQ428" s="24"/>
      <c r="ER428" s="24"/>
      <c r="ES428" s="24">
        <v>2020</v>
      </c>
      <c r="ET428" s="24">
        <v>20</v>
      </c>
      <c r="EU428" s="24" t="s">
        <v>213</v>
      </c>
      <c r="EV428" s="24">
        <v>25</v>
      </c>
      <c r="FW428" s="24">
        <v>2019</v>
      </c>
      <c r="FX428" s="24">
        <v>24</v>
      </c>
      <c r="FY428" s="24" t="s">
        <v>32</v>
      </c>
      <c r="FZ428" s="24">
        <v>779</v>
      </c>
      <c r="GA428" s="24">
        <v>725</v>
      </c>
      <c r="GB428" s="24"/>
      <c r="GC428" s="24"/>
      <c r="GD428" s="24">
        <v>2019</v>
      </c>
      <c r="GE428" s="24">
        <v>24</v>
      </c>
      <c r="GF428" s="24" t="s">
        <v>32</v>
      </c>
      <c r="GG428" s="24">
        <v>744</v>
      </c>
      <c r="GH428" s="24">
        <v>692</v>
      </c>
      <c r="GK428" s="24"/>
      <c r="GL428" s="24"/>
      <c r="GM428" s="24"/>
      <c r="GN428" s="24"/>
      <c r="GO428" s="24"/>
      <c r="GX428">
        <v>2019</v>
      </c>
      <c r="GY428">
        <v>24</v>
      </c>
      <c r="GZ428" t="s">
        <v>32</v>
      </c>
      <c r="HA428">
        <v>6014</v>
      </c>
      <c r="HB428">
        <v>5748</v>
      </c>
      <c r="HC428">
        <v>0</v>
      </c>
      <c r="HD428">
        <v>3</v>
      </c>
      <c r="HE428">
        <v>0</v>
      </c>
      <c r="HF428">
        <v>25</v>
      </c>
      <c r="HG428">
        <v>0</v>
      </c>
      <c r="HH428">
        <v>0</v>
      </c>
      <c r="HI428">
        <v>33</v>
      </c>
      <c r="HL428">
        <v>2019</v>
      </c>
      <c r="HM428">
        <v>24</v>
      </c>
      <c r="HN428" t="s">
        <v>32</v>
      </c>
      <c r="HO428">
        <v>5543</v>
      </c>
      <c r="HP428">
        <v>5282</v>
      </c>
      <c r="HQ428">
        <v>0</v>
      </c>
      <c r="HR428">
        <v>3</v>
      </c>
      <c r="HS428">
        <v>0</v>
      </c>
      <c r="HT428">
        <v>30</v>
      </c>
      <c r="HU428">
        <v>0</v>
      </c>
      <c r="HV428">
        <v>0</v>
      </c>
      <c r="HW428">
        <v>37</v>
      </c>
      <c r="HZ428" s="24">
        <v>2019</v>
      </c>
      <c r="IA428" s="24">
        <v>24</v>
      </c>
      <c r="IB428" s="24" t="s">
        <v>32</v>
      </c>
      <c r="IC428" s="24">
        <v>748</v>
      </c>
      <c r="ID428" s="24">
        <v>702</v>
      </c>
      <c r="IG428" s="24">
        <v>2019</v>
      </c>
      <c r="IH428" s="24">
        <v>24</v>
      </c>
      <c r="II428" s="24" t="s">
        <v>32</v>
      </c>
      <c r="IJ428" s="24">
        <v>739</v>
      </c>
      <c r="IK428" s="24">
        <v>692</v>
      </c>
    </row>
    <row r="429" spans="9:245" x14ac:dyDescent="0.4">
      <c r="I429" s="305">
        <v>2019</v>
      </c>
      <c r="J429" s="306">
        <v>24</v>
      </c>
      <c r="K429" s="306" t="s">
        <v>32</v>
      </c>
      <c r="L429" s="306">
        <v>5713</v>
      </c>
      <c r="M429" s="306">
        <v>5410</v>
      </c>
      <c r="N429" s="306">
        <v>13</v>
      </c>
      <c r="O429" s="306">
        <v>94</v>
      </c>
      <c r="P429" s="306">
        <v>13</v>
      </c>
      <c r="Q429" s="306"/>
      <c r="R429" s="24"/>
      <c r="S429" s="24"/>
      <c r="T429" s="24"/>
      <c r="W429" s="24">
        <v>2019</v>
      </c>
      <c r="X429" s="24">
        <v>24</v>
      </c>
      <c r="Y429" s="24" t="s">
        <v>33</v>
      </c>
      <c r="Z429" s="24">
        <v>224466</v>
      </c>
      <c r="AA429" s="24">
        <v>199232</v>
      </c>
      <c r="AB429" s="24">
        <v>638</v>
      </c>
      <c r="AC429" s="24">
        <v>45</v>
      </c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BI429" s="24">
        <v>2021</v>
      </c>
      <c r="BJ429" s="24">
        <v>17</v>
      </c>
      <c r="BK429" s="24" t="s">
        <v>32</v>
      </c>
      <c r="BL429" s="24" t="s">
        <v>273</v>
      </c>
      <c r="BM429" s="24">
        <v>6288</v>
      </c>
      <c r="BN429" s="24">
        <v>6238</v>
      </c>
      <c r="BO429" s="24">
        <v>6438</v>
      </c>
      <c r="DD429" s="24"/>
      <c r="DE429" s="24"/>
      <c r="DF429" s="24"/>
      <c r="DG429" s="24"/>
      <c r="DJ429" s="24">
        <v>2019</v>
      </c>
      <c r="DK429" s="24">
        <v>41</v>
      </c>
      <c r="DL429" s="24" t="s">
        <v>32</v>
      </c>
      <c r="DM429" s="24">
        <v>147</v>
      </c>
      <c r="DP429" s="24"/>
      <c r="DQ429" s="24"/>
      <c r="DR429" s="24"/>
      <c r="DS429" s="24"/>
      <c r="EI429" s="24">
        <v>2022</v>
      </c>
      <c r="EJ429" s="24">
        <v>49</v>
      </c>
      <c r="EK429" s="24" t="s">
        <v>208</v>
      </c>
      <c r="EL429" s="24" t="s">
        <v>351</v>
      </c>
      <c r="EM429" s="24" t="s">
        <v>210</v>
      </c>
      <c r="EN429" s="24">
        <v>8</v>
      </c>
      <c r="EO429" s="24"/>
      <c r="EP429" s="24"/>
      <c r="EQ429" s="24"/>
      <c r="ER429" s="24"/>
      <c r="ES429" s="24">
        <v>2020</v>
      </c>
      <c r="ET429" s="24">
        <v>19</v>
      </c>
      <c r="EU429" s="24" t="s">
        <v>32</v>
      </c>
      <c r="EV429" s="24">
        <v>2200</v>
      </c>
      <c r="FW429" s="24">
        <v>2019</v>
      </c>
      <c r="FX429" s="24">
        <v>24</v>
      </c>
      <c r="FY429" s="24" t="s">
        <v>33</v>
      </c>
      <c r="FZ429" s="24">
        <v>16746</v>
      </c>
      <c r="GA429" s="24">
        <v>11684</v>
      </c>
      <c r="GB429" s="24"/>
      <c r="GC429" s="24"/>
      <c r="GD429" s="24">
        <v>2019</v>
      </c>
      <c r="GE429" s="24">
        <v>24</v>
      </c>
      <c r="GF429" s="24" t="s">
        <v>33</v>
      </c>
      <c r="GG429" s="24">
        <v>16164</v>
      </c>
      <c r="GH429" s="24">
        <v>11613</v>
      </c>
      <c r="GK429" s="24"/>
      <c r="GL429" s="24"/>
      <c r="GM429" s="24"/>
      <c r="GN429" s="24"/>
      <c r="GO429" s="24"/>
      <c r="GX429">
        <v>2019</v>
      </c>
      <c r="GY429">
        <v>24</v>
      </c>
      <c r="GZ429" t="s">
        <v>33</v>
      </c>
      <c r="HA429">
        <v>228225</v>
      </c>
      <c r="HB429">
        <v>202299</v>
      </c>
      <c r="HC429">
        <v>1541</v>
      </c>
      <c r="HD429">
        <v>371</v>
      </c>
      <c r="HE429">
        <v>1</v>
      </c>
      <c r="HF429">
        <v>9129</v>
      </c>
      <c r="HG429">
        <v>0</v>
      </c>
      <c r="HH429">
        <v>0</v>
      </c>
      <c r="HI429">
        <v>7476</v>
      </c>
      <c r="HL429">
        <v>2019</v>
      </c>
      <c r="HM429">
        <v>24</v>
      </c>
      <c r="HN429" t="s">
        <v>33</v>
      </c>
      <c r="HO429">
        <v>224337</v>
      </c>
      <c r="HP429">
        <v>206948</v>
      </c>
      <c r="HQ429">
        <v>1240</v>
      </c>
      <c r="HR429">
        <v>230</v>
      </c>
      <c r="HS429">
        <v>1</v>
      </c>
      <c r="HT429">
        <v>7783</v>
      </c>
      <c r="HU429">
        <v>0</v>
      </c>
      <c r="HV429">
        <v>0</v>
      </c>
      <c r="HW429">
        <v>4653</v>
      </c>
      <c r="HZ429" s="24">
        <v>2019</v>
      </c>
      <c r="IA429" s="24">
        <v>24</v>
      </c>
      <c r="IB429" s="24" t="s">
        <v>33</v>
      </c>
      <c r="IC429" s="24">
        <v>17003</v>
      </c>
      <c r="ID429" s="24">
        <v>11570</v>
      </c>
      <c r="IG429" s="24">
        <v>2019</v>
      </c>
      <c r="IH429" s="24">
        <v>24</v>
      </c>
      <c r="II429" s="24" t="s">
        <v>33</v>
      </c>
      <c r="IJ429" s="24">
        <v>15240</v>
      </c>
      <c r="IK429" s="24">
        <v>11120</v>
      </c>
    </row>
    <row r="430" spans="9:245" x14ac:dyDescent="0.4">
      <c r="I430" s="305">
        <v>2019</v>
      </c>
      <c r="J430" s="306">
        <v>24</v>
      </c>
      <c r="K430" s="306" t="s">
        <v>33</v>
      </c>
      <c r="L430" s="306">
        <v>226967</v>
      </c>
      <c r="M430" s="306">
        <v>200444</v>
      </c>
      <c r="N430" s="306">
        <v>555</v>
      </c>
      <c r="O430" s="306">
        <v>4127</v>
      </c>
      <c r="P430" s="306">
        <v>894</v>
      </c>
      <c r="Q430" s="306">
        <v>45</v>
      </c>
      <c r="R430" s="24"/>
      <c r="S430" s="24"/>
      <c r="T430" s="24"/>
      <c r="W430" s="24">
        <v>2019</v>
      </c>
      <c r="X430" s="24">
        <v>23</v>
      </c>
      <c r="Y430" s="24" t="s">
        <v>32</v>
      </c>
      <c r="Z430" s="24">
        <v>5220</v>
      </c>
      <c r="AA430" s="24">
        <v>5010</v>
      </c>
      <c r="AB430" s="24">
        <v>4</v>
      </c>
      <c r="AC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BI430" s="24">
        <v>2021</v>
      </c>
      <c r="BJ430" s="24">
        <v>16</v>
      </c>
      <c r="BK430" s="24" t="s">
        <v>32</v>
      </c>
      <c r="BL430" s="24" t="s">
        <v>273</v>
      </c>
      <c r="BM430" s="24">
        <v>6431</v>
      </c>
      <c r="BN430" s="24">
        <v>6389</v>
      </c>
      <c r="BO430" s="24">
        <v>7032</v>
      </c>
      <c r="DD430" s="24"/>
      <c r="DE430" s="24"/>
      <c r="DF430" s="24"/>
      <c r="DG430" s="24"/>
      <c r="DJ430" s="24">
        <v>2019</v>
      </c>
      <c r="DK430" s="24">
        <v>41</v>
      </c>
      <c r="DL430" s="24" t="s">
        <v>33</v>
      </c>
      <c r="DM430" s="24">
        <v>699</v>
      </c>
      <c r="DP430" s="24"/>
      <c r="DQ430" s="24"/>
      <c r="DR430" s="24"/>
      <c r="DS430" s="24"/>
      <c r="EI430" s="24">
        <v>2022</v>
      </c>
      <c r="EJ430" s="24">
        <v>49</v>
      </c>
      <c r="EK430" s="24" t="s">
        <v>208</v>
      </c>
      <c r="EL430" s="24" t="s">
        <v>351</v>
      </c>
      <c r="EM430" s="24" t="s">
        <v>234</v>
      </c>
      <c r="EN430" s="24">
        <v>1</v>
      </c>
      <c r="EO430" s="24"/>
      <c r="EP430" s="24"/>
      <c r="EQ430" s="24"/>
      <c r="ER430" s="24"/>
      <c r="ES430" s="24">
        <v>2020</v>
      </c>
      <c r="ET430" s="24">
        <v>19</v>
      </c>
      <c r="EU430" s="24" t="s">
        <v>33</v>
      </c>
      <c r="EV430" s="24">
        <v>53908</v>
      </c>
      <c r="FW430" s="24">
        <v>2019</v>
      </c>
      <c r="FX430" s="24">
        <v>23</v>
      </c>
      <c r="FY430" s="24" t="s">
        <v>32</v>
      </c>
      <c r="FZ430" s="24">
        <v>816</v>
      </c>
      <c r="GA430" s="24">
        <v>752</v>
      </c>
      <c r="GB430" s="24"/>
      <c r="GC430" s="24"/>
      <c r="GD430" s="24">
        <v>2019</v>
      </c>
      <c r="GE430" s="24">
        <v>23</v>
      </c>
      <c r="GF430" s="24" t="s">
        <v>32</v>
      </c>
      <c r="GG430" s="24">
        <v>755</v>
      </c>
      <c r="GH430" s="24">
        <v>704</v>
      </c>
      <c r="GK430" s="24"/>
      <c r="GL430" s="24"/>
      <c r="GM430" s="24"/>
      <c r="GN430" s="24"/>
      <c r="GO430" s="24"/>
      <c r="GX430">
        <v>2019</v>
      </c>
      <c r="GY430">
        <v>23</v>
      </c>
      <c r="GZ430" t="s">
        <v>32</v>
      </c>
      <c r="HA430">
        <v>5428</v>
      </c>
      <c r="HB430">
        <v>5136</v>
      </c>
      <c r="HC430">
        <v>0</v>
      </c>
      <c r="HD430">
        <v>6</v>
      </c>
      <c r="HE430">
        <v>0</v>
      </c>
      <c r="HF430">
        <v>6</v>
      </c>
      <c r="HG430">
        <v>0</v>
      </c>
      <c r="HH430">
        <v>0</v>
      </c>
      <c r="HI430">
        <v>60</v>
      </c>
      <c r="HL430">
        <v>2019</v>
      </c>
      <c r="HM430">
        <v>23</v>
      </c>
      <c r="HN430" t="s">
        <v>32</v>
      </c>
      <c r="HO430">
        <v>5219</v>
      </c>
      <c r="HP430">
        <v>5016</v>
      </c>
      <c r="HQ430">
        <v>0</v>
      </c>
      <c r="HR430">
        <v>5</v>
      </c>
      <c r="HS430">
        <v>0</v>
      </c>
      <c r="HT430">
        <v>2</v>
      </c>
      <c r="HU430">
        <v>0</v>
      </c>
      <c r="HV430">
        <v>0</v>
      </c>
      <c r="HW430">
        <v>16</v>
      </c>
      <c r="HZ430" s="24">
        <v>2019</v>
      </c>
      <c r="IA430" s="24">
        <v>23</v>
      </c>
      <c r="IB430" s="24" t="s">
        <v>32</v>
      </c>
      <c r="IC430" s="24">
        <v>728</v>
      </c>
      <c r="ID430" s="24">
        <v>654</v>
      </c>
      <c r="IG430" s="24">
        <v>2019</v>
      </c>
      <c r="IH430" s="24">
        <v>23</v>
      </c>
      <c r="II430" s="24" t="s">
        <v>32</v>
      </c>
      <c r="IJ430" s="24">
        <v>740</v>
      </c>
      <c r="IK430" s="24">
        <v>689</v>
      </c>
    </row>
    <row r="431" spans="9:245" x14ac:dyDescent="0.4">
      <c r="I431" s="305">
        <v>2019</v>
      </c>
      <c r="J431" s="306">
        <v>23</v>
      </c>
      <c r="K431" s="306" t="s">
        <v>32</v>
      </c>
      <c r="L431" s="306">
        <v>5521</v>
      </c>
      <c r="M431" s="306">
        <v>5271</v>
      </c>
      <c r="N431" s="306">
        <v>22</v>
      </c>
      <c r="O431" s="306">
        <v>61</v>
      </c>
      <c r="P431" s="306">
        <v>4</v>
      </c>
      <c r="Q431" s="306"/>
      <c r="R431" s="24"/>
      <c r="S431" s="24"/>
      <c r="T431" s="24"/>
      <c r="W431" s="24">
        <v>2019</v>
      </c>
      <c r="X431" s="24">
        <v>23</v>
      </c>
      <c r="Y431" s="24" t="s">
        <v>33</v>
      </c>
      <c r="Z431" s="24">
        <v>191751</v>
      </c>
      <c r="AA431" s="24">
        <v>183580</v>
      </c>
      <c r="AB431" s="24">
        <v>266</v>
      </c>
      <c r="AC431" s="24">
        <v>41</v>
      </c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BI431" s="24">
        <v>2021</v>
      </c>
      <c r="BJ431" s="24">
        <v>16</v>
      </c>
      <c r="BK431" s="24" t="s">
        <v>33</v>
      </c>
      <c r="BL431" s="24" t="s">
        <v>272</v>
      </c>
      <c r="BM431" s="24">
        <v>45516</v>
      </c>
      <c r="BN431" s="24">
        <v>45493</v>
      </c>
      <c r="BO431" s="24">
        <v>160770</v>
      </c>
      <c r="DD431" s="24"/>
      <c r="DE431" s="24"/>
      <c r="DF431" s="24"/>
      <c r="DG431" s="24"/>
      <c r="DJ431" s="24">
        <v>2019</v>
      </c>
      <c r="DK431" s="24">
        <v>41</v>
      </c>
      <c r="DL431" s="24" t="s">
        <v>213</v>
      </c>
      <c r="DM431" s="24">
        <v>6</v>
      </c>
      <c r="DP431" s="24"/>
      <c r="DQ431" s="24"/>
      <c r="DR431" s="24"/>
      <c r="DS431" s="24"/>
      <c r="EI431" s="24">
        <v>2022</v>
      </c>
      <c r="EJ431" s="24">
        <v>49</v>
      </c>
      <c r="EK431" s="24" t="s">
        <v>208</v>
      </c>
      <c r="EL431" s="24" t="s">
        <v>351</v>
      </c>
      <c r="EM431" s="24" t="s">
        <v>215</v>
      </c>
      <c r="EN431" s="24">
        <v>4</v>
      </c>
      <c r="EO431" s="24"/>
      <c r="EP431" s="24"/>
      <c r="EQ431" s="24"/>
      <c r="ER431" s="24"/>
      <c r="ES431" s="24">
        <v>2020</v>
      </c>
      <c r="ET431" s="24">
        <v>19</v>
      </c>
      <c r="EU431" s="24" t="s">
        <v>213</v>
      </c>
      <c r="EV431" s="24">
        <v>26</v>
      </c>
      <c r="FW431" s="24">
        <v>2019</v>
      </c>
      <c r="FX431" s="24">
        <v>23</v>
      </c>
      <c r="FY431" s="24" t="s">
        <v>33</v>
      </c>
      <c r="FZ431" s="24">
        <v>11301</v>
      </c>
      <c r="GA431" s="24">
        <v>10539</v>
      </c>
      <c r="GB431" s="24"/>
      <c r="GC431" s="24"/>
      <c r="GD431" s="24">
        <v>2019</v>
      </c>
      <c r="GE431" s="24">
        <v>23</v>
      </c>
      <c r="GF431" s="24" t="s">
        <v>33</v>
      </c>
      <c r="GG431" s="24">
        <v>11360</v>
      </c>
      <c r="GH431" s="24">
        <v>10782</v>
      </c>
      <c r="GK431" s="24"/>
      <c r="GL431" s="24"/>
      <c r="GM431" s="24"/>
      <c r="GN431" s="24"/>
      <c r="GO431" s="24"/>
      <c r="GX431">
        <v>2019</v>
      </c>
      <c r="GY431">
        <v>23</v>
      </c>
      <c r="GZ431" t="s">
        <v>33</v>
      </c>
      <c r="HA431">
        <v>193906</v>
      </c>
      <c r="HB431">
        <v>189053</v>
      </c>
      <c r="HC431">
        <v>782</v>
      </c>
      <c r="HD431">
        <v>122</v>
      </c>
      <c r="HE431">
        <v>0</v>
      </c>
      <c r="HF431">
        <v>1982</v>
      </c>
      <c r="HG431">
        <v>0</v>
      </c>
      <c r="HH431">
        <v>0</v>
      </c>
      <c r="HI431">
        <v>1111</v>
      </c>
      <c r="HL431">
        <v>2019</v>
      </c>
      <c r="HM431">
        <v>23</v>
      </c>
      <c r="HN431" t="s">
        <v>33</v>
      </c>
      <c r="HO431">
        <v>191548</v>
      </c>
      <c r="HP431">
        <v>189049</v>
      </c>
      <c r="HQ431">
        <v>719</v>
      </c>
      <c r="HR431">
        <v>69</v>
      </c>
      <c r="HS431">
        <v>0</v>
      </c>
      <c r="HT431">
        <v>1748</v>
      </c>
      <c r="HU431">
        <v>0</v>
      </c>
      <c r="HV431">
        <v>0</v>
      </c>
      <c r="HW431">
        <v>529</v>
      </c>
      <c r="HZ431" s="24">
        <v>2019</v>
      </c>
      <c r="IA431" s="24">
        <v>23</v>
      </c>
      <c r="IB431" s="24" t="s">
        <v>33</v>
      </c>
      <c r="IC431" s="24">
        <v>11224</v>
      </c>
      <c r="ID431" s="24">
        <v>10335</v>
      </c>
      <c r="IG431" s="24">
        <v>2019</v>
      </c>
      <c r="IH431" s="24">
        <v>23</v>
      </c>
      <c r="II431" s="24" t="s">
        <v>33</v>
      </c>
      <c r="IJ431" s="24">
        <v>10489</v>
      </c>
      <c r="IK431" s="24">
        <v>10179</v>
      </c>
    </row>
    <row r="432" spans="9:245" x14ac:dyDescent="0.4">
      <c r="I432" s="305">
        <v>2019</v>
      </c>
      <c r="J432" s="306">
        <v>23</v>
      </c>
      <c r="K432" s="306" t="s">
        <v>33</v>
      </c>
      <c r="L432" s="306">
        <v>193138</v>
      </c>
      <c r="M432" s="306">
        <v>183995</v>
      </c>
      <c r="N432" s="306">
        <v>179</v>
      </c>
      <c r="O432" s="306">
        <v>1917</v>
      </c>
      <c r="P432" s="306">
        <v>346</v>
      </c>
      <c r="Q432" s="306">
        <v>41</v>
      </c>
      <c r="R432" s="24"/>
      <c r="S432" s="24"/>
      <c r="T432" s="24"/>
      <c r="W432" s="24">
        <v>2019</v>
      </c>
      <c r="X432" s="24">
        <v>22</v>
      </c>
      <c r="Y432" s="24" t="s">
        <v>32</v>
      </c>
      <c r="Z432" s="24">
        <v>6106</v>
      </c>
      <c r="AA432" s="24">
        <v>6073</v>
      </c>
      <c r="AB432" s="24"/>
      <c r="AC432" s="24"/>
      <c r="AI432" s="24"/>
      <c r="AJ432" s="24"/>
      <c r="AK432" s="24"/>
      <c r="AL432" s="24"/>
      <c r="AM432" s="24"/>
      <c r="AN432" s="24"/>
      <c r="AO432" s="24"/>
      <c r="AP432" s="24"/>
      <c r="AQ432" s="24"/>
      <c r="AR432" s="24"/>
      <c r="BI432" s="24">
        <v>2021</v>
      </c>
      <c r="BJ432" s="24">
        <v>16</v>
      </c>
      <c r="BK432" s="24" t="s">
        <v>33</v>
      </c>
      <c r="BL432" s="24" t="s">
        <v>273</v>
      </c>
      <c r="BM432" s="24">
        <v>85083</v>
      </c>
      <c r="BN432" s="24">
        <v>84658</v>
      </c>
      <c r="BO432" s="24">
        <v>87130</v>
      </c>
      <c r="DD432" s="24"/>
      <c r="DE432" s="24"/>
      <c r="DF432" s="24"/>
      <c r="DG432" s="24"/>
      <c r="DJ432" s="24">
        <v>2019</v>
      </c>
      <c r="DK432" s="24">
        <v>40</v>
      </c>
      <c r="DL432" s="24" t="s">
        <v>32</v>
      </c>
      <c r="DM432" s="24">
        <v>108</v>
      </c>
      <c r="DP432" s="24"/>
      <c r="DQ432" s="24"/>
      <c r="DR432" s="24"/>
      <c r="DS432" s="24"/>
      <c r="EI432" s="24">
        <v>2022</v>
      </c>
      <c r="EJ432" s="24">
        <v>49</v>
      </c>
      <c r="EK432" s="24" t="s">
        <v>208</v>
      </c>
      <c r="EL432" s="24" t="s">
        <v>235</v>
      </c>
      <c r="EM432" s="24" t="s">
        <v>210</v>
      </c>
      <c r="EN432" s="24">
        <v>37</v>
      </c>
      <c r="EO432" s="24"/>
      <c r="EP432" s="24"/>
      <c r="EQ432" s="24"/>
      <c r="ER432" s="24"/>
      <c r="ES432" s="24">
        <v>2020</v>
      </c>
      <c r="ET432" s="24">
        <v>18</v>
      </c>
      <c r="EU432" s="24" t="s">
        <v>32</v>
      </c>
      <c r="EV432" s="24">
        <v>2233</v>
      </c>
      <c r="FW432" s="24">
        <v>2019</v>
      </c>
      <c r="FX432" s="24">
        <v>22</v>
      </c>
      <c r="FY432" s="24" t="s">
        <v>32</v>
      </c>
      <c r="FZ432" s="24">
        <v>873</v>
      </c>
      <c r="GA432" s="24">
        <v>853</v>
      </c>
      <c r="GB432" s="24"/>
      <c r="GC432" s="24"/>
      <c r="GD432" s="24">
        <v>2019</v>
      </c>
      <c r="GE432" s="24">
        <v>22</v>
      </c>
      <c r="GF432" s="24" t="s">
        <v>32</v>
      </c>
      <c r="GG432" s="24">
        <v>890</v>
      </c>
      <c r="GH432" s="24">
        <v>885</v>
      </c>
      <c r="GK432" s="24"/>
      <c r="GL432" s="24"/>
      <c r="GM432" s="24"/>
      <c r="GN432" s="24"/>
      <c r="GO432" s="24"/>
      <c r="GX432">
        <v>2019</v>
      </c>
      <c r="GY432">
        <v>22</v>
      </c>
      <c r="GZ432" t="s">
        <v>32</v>
      </c>
      <c r="HA432">
        <v>6114</v>
      </c>
      <c r="HB432">
        <v>6025</v>
      </c>
      <c r="HC432">
        <v>0</v>
      </c>
      <c r="HD432">
        <v>0</v>
      </c>
      <c r="HE432">
        <v>0</v>
      </c>
      <c r="HF432">
        <v>0</v>
      </c>
      <c r="HG432">
        <v>0</v>
      </c>
      <c r="HH432">
        <v>0</v>
      </c>
      <c r="HI432">
        <v>51</v>
      </c>
      <c r="HL432">
        <v>2019</v>
      </c>
      <c r="HM432">
        <v>22</v>
      </c>
      <c r="HN432" t="s">
        <v>32</v>
      </c>
      <c r="HO432">
        <v>6105</v>
      </c>
      <c r="HP432">
        <v>6076</v>
      </c>
      <c r="HQ432">
        <v>0</v>
      </c>
      <c r="HR432">
        <v>0</v>
      </c>
      <c r="HS432">
        <v>0</v>
      </c>
      <c r="HT432">
        <v>0</v>
      </c>
      <c r="HU432">
        <v>0</v>
      </c>
      <c r="HV432">
        <v>0</v>
      </c>
      <c r="HW432">
        <v>4</v>
      </c>
      <c r="HZ432" s="24">
        <v>2019</v>
      </c>
      <c r="IA432" s="24">
        <v>22</v>
      </c>
      <c r="IB432" s="24" t="s">
        <v>32</v>
      </c>
      <c r="IC432" s="24">
        <v>857</v>
      </c>
      <c r="ID432" s="24">
        <v>842</v>
      </c>
      <c r="IG432" s="24">
        <v>2019</v>
      </c>
      <c r="IH432" s="24">
        <v>22</v>
      </c>
      <c r="II432" s="24" t="s">
        <v>32</v>
      </c>
      <c r="IJ432" s="24">
        <v>877</v>
      </c>
      <c r="IK432" s="24">
        <v>876</v>
      </c>
    </row>
    <row r="433" spans="9:245" x14ac:dyDescent="0.4">
      <c r="I433" s="305">
        <v>2019</v>
      </c>
      <c r="J433" s="306">
        <v>22</v>
      </c>
      <c r="K433" s="306" t="s">
        <v>32</v>
      </c>
      <c r="L433" s="306">
        <v>6224</v>
      </c>
      <c r="M433" s="306">
        <v>6104</v>
      </c>
      <c r="N433" s="306">
        <v>29</v>
      </c>
      <c r="O433" s="306">
        <v>59</v>
      </c>
      <c r="P433" s="306">
        <v>15</v>
      </c>
      <c r="Q433" s="306"/>
      <c r="R433" s="24"/>
      <c r="S433" s="24"/>
      <c r="T433" s="24"/>
      <c r="W433" s="24">
        <v>2019</v>
      </c>
      <c r="X433" s="24">
        <v>22</v>
      </c>
      <c r="Y433" s="24" t="s">
        <v>33</v>
      </c>
      <c r="Z433" s="24">
        <v>206479</v>
      </c>
      <c r="AA433" s="24">
        <v>199272</v>
      </c>
      <c r="AB433" s="24">
        <v>222</v>
      </c>
      <c r="AC433" s="24">
        <v>1</v>
      </c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BI433" s="24">
        <v>2021</v>
      </c>
      <c r="BJ433" s="24">
        <v>16</v>
      </c>
      <c r="BK433" s="24" t="s">
        <v>32</v>
      </c>
      <c r="BL433" s="24" t="s">
        <v>272</v>
      </c>
      <c r="BM433" s="24">
        <v>2357</v>
      </c>
      <c r="BN433" s="24">
        <v>2348</v>
      </c>
      <c r="BO433" s="24">
        <v>7847</v>
      </c>
      <c r="DD433" s="24"/>
      <c r="DE433" s="24"/>
      <c r="DF433" s="24"/>
      <c r="DG433" s="24"/>
      <c r="DJ433" s="24">
        <v>2019</v>
      </c>
      <c r="DK433" s="24">
        <v>40</v>
      </c>
      <c r="DL433" s="24" t="s">
        <v>33</v>
      </c>
      <c r="DM433" s="24">
        <v>3456</v>
      </c>
      <c r="DP433" s="24"/>
      <c r="DQ433" s="24"/>
      <c r="DR433" s="24"/>
      <c r="DS433" s="24"/>
      <c r="EI433" s="24">
        <v>2022</v>
      </c>
      <c r="EJ433" s="24">
        <v>49</v>
      </c>
      <c r="EK433" s="24" t="s">
        <v>208</v>
      </c>
      <c r="EL433" s="24" t="s">
        <v>235</v>
      </c>
      <c r="EM433" s="24" t="s">
        <v>234</v>
      </c>
      <c r="EN433" s="24">
        <v>5</v>
      </c>
      <c r="EO433" s="24"/>
      <c r="EP433" s="24"/>
      <c r="EQ433" s="24"/>
      <c r="ER433" s="24"/>
      <c r="ES433" s="24">
        <v>2020</v>
      </c>
      <c r="ET433" s="24">
        <v>18</v>
      </c>
      <c r="EU433" s="24" t="s">
        <v>33</v>
      </c>
      <c r="EV433" s="24">
        <v>48196</v>
      </c>
      <c r="FW433" s="24">
        <v>2019</v>
      </c>
      <c r="FX433" s="24">
        <v>22</v>
      </c>
      <c r="FY433" s="24" t="s">
        <v>33</v>
      </c>
      <c r="FZ433" s="24">
        <v>12365</v>
      </c>
      <c r="GA433" s="24">
        <v>11723</v>
      </c>
      <c r="GB433" s="24"/>
      <c r="GC433" s="24"/>
      <c r="GD433" s="24">
        <v>2019</v>
      </c>
      <c r="GE433" s="24">
        <v>22</v>
      </c>
      <c r="GF433" s="24" t="s">
        <v>33</v>
      </c>
      <c r="GG433" s="24">
        <v>12637</v>
      </c>
      <c r="GH433" s="24">
        <v>12050</v>
      </c>
      <c r="GK433" s="24"/>
      <c r="GL433" s="24"/>
      <c r="GM433" s="24"/>
      <c r="GN433" s="24"/>
      <c r="GO433" s="24"/>
      <c r="GX433">
        <v>2019</v>
      </c>
      <c r="GY433">
        <v>22</v>
      </c>
      <c r="GZ433" t="s">
        <v>33</v>
      </c>
      <c r="HA433">
        <v>205301</v>
      </c>
      <c r="HB433">
        <v>202058</v>
      </c>
      <c r="HC433">
        <v>478</v>
      </c>
      <c r="HD433">
        <v>65</v>
      </c>
      <c r="HE433">
        <v>0</v>
      </c>
      <c r="HF433">
        <v>1307</v>
      </c>
      <c r="HG433">
        <v>0</v>
      </c>
      <c r="HH433">
        <v>0</v>
      </c>
      <c r="HI433">
        <v>978</v>
      </c>
      <c r="HL433">
        <v>2019</v>
      </c>
      <c r="HM433">
        <v>22</v>
      </c>
      <c r="HN433" t="s">
        <v>33</v>
      </c>
      <c r="HO433">
        <v>206327</v>
      </c>
      <c r="HP433">
        <v>204689</v>
      </c>
      <c r="HQ433">
        <v>424</v>
      </c>
      <c r="HR433">
        <v>44</v>
      </c>
      <c r="HS433">
        <v>0</v>
      </c>
      <c r="HT433">
        <v>1170</v>
      </c>
      <c r="HU433">
        <v>0</v>
      </c>
      <c r="HV433">
        <v>0</v>
      </c>
      <c r="HW433">
        <v>287</v>
      </c>
      <c r="HZ433" s="24">
        <v>2019</v>
      </c>
      <c r="IA433" s="24">
        <v>22</v>
      </c>
      <c r="IB433" s="24" t="s">
        <v>33</v>
      </c>
      <c r="IC433" s="24">
        <v>12390</v>
      </c>
      <c r="ID433" s="24">
        <v>11632</v>
      </c>
      <c r="IG433" s="24">
        <v>2019</v>
      </c>
      <c r="IH433" s="24">
        <v>22</v>
      </c>
      <c r="II433" s="24" t="s">
        <v>33</v>
      </c>
      <c r="IJ433" s="24">
        <v>11545</v>
      </c>
      <c r="IK433" s="24">
        <v>11250</v>
      </c>
    </row>
    <row r="434" spans="9:245" x14ac:dyDescent="0.4">
      <c r="I434" s="305">
        <v>2019</v>
      </c>
      <c r="J434" s="306">
        <v>22</v>
      </c>
      <c r="K434" s="306" t="s">
        <v>33</v>
      </c>
      <c r="L434" s="306">
        <v>206308</v>
      </c>
      <c r="M434" s="306">
        <v>198499</v>
      </c>
      <c r="N434" s="306">
        <v>424</v>
      </c>
      <c r="O434" s="306">
        <v>1610</v>
      </c>
      <c r="P434" s="306">
        <v>253</v>
      </c>
      <c r="Q434" s="306">
        <v>1</v>
      </c>
      <c r="R434" s="24"/>
      <c r="S434" s="24"/>
      <c r="T434" s="24"/>
      <c r="W434" s="24">
        <v>2019</v>
      </c>
      <c r="X434" s="24">
        <v>21</v>
      </c>
      <c r="Y434" s="24" t="s">
        <v>32</v>
      </c>
      <c r="Z434" s="24">
        <v>6301</v>
      </c>
      <c r="AA434" s="24">
        <v>6237</v>
      </c>
      <c r="AB434" s="24">
        <v>2</v>
      </c>
      <c r="AC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BI434" s="24">
        <v>2021</v>
      </c>
      <c r="BJ434" s="24">
        <v>15</v>
      </c>
      <c r="BK434" s="24" t="s">
        <v>32</v>
      </c>
      <c r="BL434" s="24" t="s">
        <v>272</v>
      </c>
      <c r="BM434" s="24">
        <v>2392</v>
      </c>
      <c r="BN434" s="24">
        <v>2386</v>
      </c>
      <c r="BO434" s="24">
        <v>8156</v>
      </c>
      <c r="DD434" s="24"/>
      <c r="DE434" s="24"/>
      <c r="DF434" s="24"/>
      <c r="DG434" s="24"/>
      <c r="DJ434" s="24">
        <v>2019</v>
      </c>
      <c r="DK434" s="24">
        <v>40</v>
      </c>
      <c r="DL434" s="24" t="s">
        <v>213</v>
      </c>
      <c r="DM434" s="24">
        <v>8</v>
      </c>
      <c r="DP434" s="24"/>
      <c r="DQ434" s="24"/>
      <c r="DR434" s="24"/>
      <c r="DS434" s="24"/>
      <c r="EI434" s="24">
        <v>2022</v>
      </c>
      <c r="EJ434" s="24">
        <v>49</v>
      </c>
      <c r="EK434" s="24" t="s">
        <v>208</v>
      </c>
      <c r="EL434" s="24" t="s">
        <v>235</v>
      </c>
      <c r="EM434" s="24" t="s">
        <v>215</v>
      </c>
      <c r="EN434" s="24">
        <v>2</v>
      </c>
      <c r="EO434" s="24"/>
      <c r="EP434" s="24"/>
      <c r="EQ434" s="24"/>
      <c r="ER434" s="24"/>
      <c r="ES434" s="24">
        <v>2020</v>
      </c>
      <c r="ET434" s="24">
        <v>18</v>
      </c>
      <c r="EU434" s="24" t="s">
        <v>213</v>
      </c>
      <c r="EV434" s="24">
        <v>27</v>
      </c>
      <c r="FW434" s="24">
        <v>2019</v>
      </c>
      <c r="FX434" s="24">
        <v>21</v>
      </c>
      <c r="FY434" s="24" t="s">
        <v>32</v>
      </c>
      <c r="FZ434" s="24">
        <v>731</v>
      </c>
      <c r="GA434" s="24">
        <v>675</v>
      </c>
      <c r="GB434" s="24"/>
      <c r="GC434" s="24"/>
      <c r="GD434" s="24">
        <v>2019</v>
      </c>
      <c r="GE434" s="24">
        <v>21</v>
      </c>
      <c r="GF434" s="24" t="s">
        <v>32</v>
      </c>
      <c r="GG434" s="24">
        <v>635</v>
      </c>
      <c r="GH434" s="24">
        <v>631</v>
      </c>
      <c r="GK434" s="24"/>
      <c r="GL434" s="24"/>
      <c r="GM434" s="24"/>
      <c r="GN434" s="24"/>
      <c r="GO434" s="24"/>
      <c r="GX434">
        <v>2019</v>
      </c>
      <c r="GY434">
        <v>21</v>
      </c>
      <c r="GZ434" t="s">
        <v>32</v>
      </c>
      <c r="HA434">
        <v>6503</v>
      </c>
      <c r="HB434">
        <v>6367</v>
      </c>
      <c r="HC434">
        <v>0</v>
      </c>
      <c r="HD434">
        <v>1</v>
      </c>
      <c r="HE434">
        <v>0</v>
      </c>
      <c r="HF434">
        <v>3</v>
      </c>
      <c r="HG434">
        <v>0</v>
      </c>
      <c r="HH434">
        <v>0</v>
      </c>
      <c r="HI434">
        <v>42</v>
      </c>
      <c r="HL434">
        <v>2019</v>
      </c>
      <c r="HM434">
        <v>21</v>
      </c>
      <c r="HN434" t="s">
        <v>32</v>
      </c>
      <c r="HO434">
        <v>6300</v>
      </c>
      <c r="HP434">
        <v>6255</v>
      </c>
      <c r="HQ434">
        <v>0</v>
      </c>
      <c r="HR434">
        <v>0</v>
      </c>
      <c r="HS434">
        <v>0</v>
      </c>
      <c r="HT434">
        <v>5</v>
      </c>
      <c r="HU434">
        <v>0</v>
      </c>
      <c r="HV434">
        <v>0</v>
      </c>
      <c r="HW434">
        <v>4</v>
      </c>
      <c r="HZ434" s="24">
        <v>2019</v>
      </c>
      <c r="IA434" s="24">
        <v>21</v>
      </c>
      <c r="IB434" s="24" t="s">
        <v>32</v>
      </c>
      <c r="IC434" s="24">
        <v>769</v>
      </c>
      <c r="ID434" s="24">
        <v>709</v>
      </c>
      <c r="IG434" s="24">
        <v>2019</v>
      </c>
      <c r="IH434" s="24">
        <v>21</v>
      </c>
      <c r="II434" s="24" t="s">
        <v>32</v>
      </c>
      <c r="IJ434" s="24">
        <v>622</v>
      </c>
      <c r="IK434" s="24">
        <v>620</v>
      </c>
    </row>
    <row r="435" spans="9:245" x14ac:dyDescent="0.4">
      <c r="I435" s="305">
        <v>2019</v>
      </c>
      <c r="J435" s="306">
        <v>21</v>
      </c>
      <c r="K435" s="306" t="s">
        <v>32</v>
      </c>
      <c r="L435" s="306">
        <v>6544</v>
      </c>
      <c r="M435" s="306">
        <v>6405</v>
      </c>
      <c r="N435" s="306">
        <v>38</v>
      </c>
      <c r="O435" s="306">
        <v>66</v>
      </c>
      <c r="P435" s="306">
        <v>39</v>
      </c>
      <c r="Q435" s="306"/>
      <c r="R435" s="24"/>
      <c r="S435" s="24"/>
      <c r="T435" s="24"/>
      <c r="W435" s="24">
        <v>2019</v>
      </c>
      <c r="X435" s="24">
        <v>21</v>
      </c>
      <c r="Y435" s="24" t="s">
        <v>33</v>
      </c>
      <c r="Z435" s="24">
        <v>191152</v>
      </c>
      <c r="AA435" s="24">
        <v>184099</v>
      </c>
      <c r="AB435" s="24">
        <v>180</v>
      </c>
      <c r="AC435" s="24">
        <v>1</v>
      </c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BI435" s="24">
        <v>2021</v>
      </c>
      <c r="BJ435" s="24">
        <v>15</v>
      </c>
      <c r="BK435" s="24" t="s">
        <v>33</v>
      </c>
      <c r="BL435" s="24" t="s">
        <v>273</v>
      </c>
      <c r="BM435" s="24">
        <v>80280</v>
      </c>
      <c r="BN435" s="24">
        <v>79860</v>
      </c>
      <c r="BO435" s="24">
        <v>82198</v>
      </c>
      <c r="DD435" s="24"/>
      <c r="DE435" s="24"/>
      <c r="DF435" s="24"/>
      <c r="DG435" s="24"/>
      <c r="DJ435" s="24">
        <v>2019</v>
      </c>
      <c r="DK435" s="24">
        <v>39</v>
      </c>
      <c r="DL435" s="24" t="s">
        <v>32</v>
      </c>
      <c r="DM435" s="24">
        <v>71</v>
      </c>
      <c r="DP435" s="24"/>
      <c r="DQ435" s="24"/>
      <c r="DR435" s="24"/>
      <c r="DS435" s="24"/>
      <c r="EI435" s="24">
        <v>2022</v>
      </c>
      <c r="EJ435" s="24">
        <v>49</v>
      </c>
      <c r="EK435" s="24" t="s">
        <v>208</v>
      </c>
      <c r="EL435" s="24" t="s">
        <v>209</v>
      </c>
      <c r="EM435" s="24" t="s">
        <v>210</v>
      </c>
      <c r="EN435" s="24">
        <v>5</v>
      </c>
      <c r="EO435" s="24"/>
      <c r="EP435" s="24"/>
      <c r="EQ435" s="24"/>
      <c r="ER435" s="24"/>
      <c r="ES435" s="24">
        <v>2020</v>
      </c>
      <c r="ET435" s="24">
        <v>17</v>
      </c>
      <c r="EU435" s="24" t="s">
        <v>32</v>
      </c>
      <c r="EV435" s="24">
        <v>1788</v>
      </c>
      <c r="FW435" s="24">
        <v>2019</v>
      </c>
      <c r="FX435" s="24">
        <v>21</v>
      </c>
      <c r="FY435" s="24" t="s">
        <v>33</v>
      </c>
      <c r="FZ435" s="24">
        <v>12236</v>
      </c>
      <c r="GA435" s="24">
        <v>11559</v>
      </c>
      <c r="GB435" s="24"/>
      <c r="GC435" s="24"/>
      <c r="GD435" s="24">
        <v>2019</v>
      </c>
      <c r="GE435" s="24">
        <v>21</v>
      </c>
      <c r="GF435" s="24" t="s">
        <v>33</v>
      </c>
      <c r="GG435" s="24">
        <v>11844</v>
      </c>
      <c r="GH435" s="24">
        <v>11344</v>
      </c>
      <c r="GK435" s="24"/>
      <c r="GL435" s="24"/>
      <c r="GM435" s="24"/>
      <c r="GN435" s="24"/>
      <c r="GO435" s="24"/>
      <c r="GX435">
        <v>2019</v>
      </c>
      <c r="GY435">
        <v>21</v>
      </c>
      <c r="GZ435" t="s">
        <v>33</v>
      </c>
      <c r="HA435">
        <v>196531</v>
      </c>
      <c r="HB435">
        <v>191942</v>
      </c>
      <c r="HC435">
        <v>495</v>
      </c>
      <c r="HD435">
        <v>54</v>
      </c>
      <c r="HE435">
        <v>0</v>
      </c>
      <c r="HF435">
        <v>1260</v>
      </c>
      <c r="HG435">
        <v>0</v>
      </c>
      <c r="HH435">
        <v>0</v>
      </c>
      <c r="HI435">
        <v>1044</v>
      </c>
      <c r="HL435">
        <v>2019</v>
      </c>
      <c r="HM435">
        <v>21</v>
      </c>
      <c r="HN435" t="s">
        <v>33</v>
      </c>
      <c r="HO435">
        <v>191034</v>
      </c>
      <c r="HP435">
        <v>189840</v>
      </c>
      <c r="HQ435">
        <v>477</v>
      </c>
      <c r="HR435">
        <v>14</v>
      </c>
      <c r="HS435">
        <v>0</v>
      </c>
      <c r="HT435">
        <v>772</v>
      </c>
      <c r="HU435">
        <v>0</v>
      </c>
      <c r="HV435">
        <v>0</v>
      </c>
      <c r="HW435">
        <v>187</v>
      </c>
      <c r="HZ435" s="24">
        <v>2019</v>
      </c>
      <c r="IA435" s="24">
        <v>21</v>
      </c>
      <c r="IB435" s="24" t="s">
        <v>33</v>
      </c>
      <c r="IC435" s="24">
        <v>11983</v>
      </c>
      <c r="ID435" s="24">
        <v>11276</v>
      </c>
      <c r="IG435" s="24">
        <v>2019</v>
      </c>
      <c r="IH435" s="24">
        <v>21</v>
      </c>
      <c r="II435" s="24" t="s">
        <v>33</v>
      </c>
      <c r="IJ435" s="24">
        <v>11126</v>
      </c>
      <c r="IK435" s="24">
        <v>11004</v>
      </c>
    </row>
    <row r="436" spans="9:245" x14ac:dyDescent="0.4">
      <c r="I436" s="305">
        <v>2019</v>
      </c>
      <c r="J436" s="306">
        <v>21</v>
      </c>
      <c r="K436" s="306" t="s">
        <v>33</v>
      </c>
      <c r="L436" s="306">
        <v>195376</v>
      </c>
      <c r="M436" s="306">
        <v>186932</v>
      </c>
      <c r="N436" s="306">
        <v>357</v>
      </c>
      <c r="O436" s="306">
        <v>2322</v>
      </c>
      <c r="P436" s="306">
        <v>259</v>
      </c>
      <c r="Q436" s="306">
        <v>2</v>
      </c>
      <c r="R436" s="24"/>
      <c r="S436" s="24"/>
      <c r="T436" s="24"/>
      <c r="W436" s="327">
        <v>2019</v>
      </c>
      <c r="X436" s="327">
        <v>20</v>
      </c>
      <c r="Y436" s="327" t="s">
        <v>32</v>
      </c>
      <c r="Z436" s="327">
        <v>8549</v>
      </c>
      <c r="AA436" s="327">
        <v>8440</v>
      </c>
      <c r="AB436" s="327">
        <v>4</v>
      </c>
      <c r="AC436" s="327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BI436" s="24">
        <v>2021</v>
      </c>
      <c r="BJ436" s="24">
        <v>15</v>
      </c>
      <c r="BK436" s="24" t="s">
        <v>33</v>
      </c>
      <c r="BL436" s="24" t="s">
        <v>272</v>
      </c>
      <c r="BM436" s="24">
        <v>45541</v>
      </c>
      <c r="BN436" s="24">
        <v>45512</v>
      </c>
      <c r="BO436" s="24">
        <v>159746</v>
      </c>
      <c r="DD436" s="24"/>
      <c r="DE436" s="24"/>
      <c r="DF436" s="24"/>
      <c r="DG436" s="24"/>
      <c r="DJ436" s="24">
        <v>2019</v>
      </c>
      <c r="DK436" s="24">
        <v>39</v>
      </c>
      <c r="DL436" s="24" t="s">
        <v>33</v>
      </c>
      <c r="DM436" s="24">
        <v>2994</v>
      </c>
      <c r="DP436" s="24"/>
      <c r="DQ436" s="24"/>
      <c r="DR436" s="24"/>
      <c r="DS436" s="24"/>
      <c r="EI436" s="24">
        <v>2022</v>
      </c>
      <c r="EJ436" s="24">
        <v>49</v>
      </c>
      <c r="EK436" s="24" t="s">
        <v>558</v>
      </c>
      <c r="EL436" s="24" t="s">
        <v>247</v>
      </c>
      <c r="EM436" s="24" t="s">
        <v>210</v>
      </c>
      <c r="EN436" s="24">
        <v>1</v>
      </c>
      <c r="EO436" s="24"/>
      <c r="EP436" s="24"/>
      <c r="EQ436" s="24"/>
      <c r="ER436" s="24"/>
      <c r="ES436" s="24">
        <v>2020</v>
      </c>
      <c r="ET436" s="24">
        <v>17</v>
      </c>
      <c r="EU436" s="24" t="s">
        <v>33</v>
      </c>
      <c r="EV436" s="24">
        <v>36675</v>
      </c>
      <c r="FW436" s="24">
        <v>2019</v>
      </c>
      <c r="FX436" s="24">
        <v>20</v>
      </c>
      <c r="FY436" s="24" t="s">
        <v>32</v>
      </c>
      <c r="FZ436" s="24">
        <v>936</v>
      </c>
      <c r="GA436" s="24">
        <v>909</v>
      </c>
      <c r="GB436" s="24"/>
      <c r="GC436" s="24"/>
      <c r="GD436" s="327">
        <v>2019</v>
      </c>
      <c r="GE436" s="327">
        <v>20</v>
      </c>
      <c r="GF436" s="327" t="s">
        <v>32</v>
      </c>
      <c r="GG436" s="327">
        <v>905</v>
      </c>
      <c r="GH436" s="327">
        <v>880</v>
      </c>
      <c r="GK436" s="24"/>
      <c r="GL436" s="24"/>
      <c r="GM436" s="24"/>
      <c r="GN436" s="24"/>
      <c r="GO436" s="24"/>
      <c r="GX436">
        <v>2019</v>
      </c>
      <c r="GY436">
        <v>20</v>
      </c>
      <c r="GZ436" t="s">
        <v>32</v>
      </c>
      <c r="HA436">
        <v>8368</v>
      </c>
      <c r="HB436">
        <v>8202</v>
      </c>
      <c r="HC436">
        <v>0</v>
      </c>
      <c r="HD436">
        <v>0</v>
      </c>
      <c r="HE436">
        <v>0</v>
      </c>
      <c r="HF436">
        <v>14</v>
      </c>
      <c r="HG436">
        <v>0</v>
      </c>
      <c r="HH436">
        <v>0</v>
      </c>
      <c r="HI436">
        <v>73</v>
      </c>
      <c r="HL436">
        <v>2019</v>
      </c>
      <c r="HM436">
        <v>20</v>
      </c>
      <c r="HN436" t="s">
        <v>32</v>
      </c>
      <c r="HO436">
        <v>8546</v>
      </c>
      <c r="HP436">
        <v>8465</v>
      </c>
      <c r="HQ436">
        <v>0</v>
      </c>
      <c r="HR436">
        <v>1</v>
      </c>
      <c r="HS436">
        <v>0</v>
      </c>
      <c r="HT436">
        <v>13</v>
      </c>
      <c r="HU436">
        <v>0</v>
      </c>
      <c r="HV436">
        <v>0</v>
      </c>
      <c r="HW436">
        <v>2</v>
      </c>
      <c r="HZ436" s="24">
        <v>2019</v>
      </c>
      <c r="IA436" s="24">
        <v>20</v>
      </c>
      <c r="IB436" s="24" t="s">
        <v>32</v>
      </c>
      <c r="IC436" s="24">
        <v>848</v>
      </c>
      <c r="ID436" s="24">
        <v>824</v>
      </c>
      <c r="IG436" s="327">
        <v>2019</v>
      </c>
      <c r="IH436" s="327">
        <v>20</v>
      </c>
      <c r="II436" s="327" t="s">
        <v>32</v>
      </c>
      <c r="IJ436" s="327">
        <v>895</v>
      </c>
      <c r="IK436" s="327">
        <v>887</v>
      </c>
    </row>
    <row r="437" spans="9:245" x14ac:dyDescent="0.4">
      <c r="I437" s="305">
        <v>2019</v>
      </c>
      <c r="J437" s="306">
        <v>20</v>
      </c>
      <c r="K437" s="306" t="s">
        <v>32</v>
      </c>
      <c r="L437" s="306">
        <v>8718</v>
      </c>
      <c r="M437" s="306">
        <v>8531</v>
      </c>
      <c r="N437" s="306">
        <v>46</v>
      </c>
      <c r="O437" s="306">
        <v>79</v>
      </c>
      <c r="P437" s="306">
        <v>6</v>
      </c>
      <c r="Q437" s="306"/>
      <c r="R437" s="24"/>
      <c r="S437" s="24"/>
      <c r="T437" s="24"/>
      <c r="W437" s="327">
        <v>2019</v>
      </c>
      <c r="X437" s="327">
        <v>20</v>
      </c>
      <c r="Y437" s="327" t="s">
        <v>33</v>
      </c>
      <c r="Z437" s="327">
        <v>239724</v>
      </c>
      <c r="AA437" s="327">
        <v>230583</v>
      </c>
      <c r="AB437" s="327">
        <v>380</v>
      </c>
      <c r="AC437" s="327">
        <v>9</v>
      </c>
      <c r="AI437" s="24"/>
      <c r="AJ437" s="24"/>
      <c r="AK437" s="24"/>
      <c r="AL437" s="24"/>
      <c r="AM437" s="24"/>
      <c r="AN437" s="24"/>
      <c r="AO437" s="24"/>
      <c r="AP437" s="24"/>
      <c r="AQ437" s="24"/>
      <c r="AR437" s="24"/>
      <c r="BI437" s="24">
        <v>2021</v>
      </c>
      <c r="BJ437" s="24">
        <v>15</v>
      </c>
      <c r="BK437" s="24" t="s">
        <v>32</v>
      </c>
      <c r="BL437" s="24" t="s">
        <v>273</v>
      </c>
      <c r="BM437" s="24">
        <v>6046</v>
      </c>
      <c r="BN437" s="24">
        <v>6022</v>
      </c>
      <c r="BO437" s="24">
        <v>7259</v>
      </c>
      <c r="DD437" s="24"/>
      <c r="DE437" s="24"/>
      <c r="DF437" s="24"/>
      <c r="DG437" s="24"/>
      <c r="DJ437" s="24">
        <v>2019</v>
      </c>
      <c r="DK437" s="24">
        <v>39</v>
      </c>
      <c r="DL437" s="24" t="s">
        <v>213</v>
      </c>
      <c r="DM437" s="24">
        <v>32</v>
      </c>
      <c r="DP437" s="24"/>
      <c r="DQ437" s="24"/>
      <c r="DR437" s="24"/>
      <c r="DS437" s="24"/>
      <c r="EI437" s="24">
        <v>2022</v>
      </c>
      <c r="EJ437" s="24">
        <v>49</v>
      </c>
      <c r="EK437" s="24" t="s">
        <v>558</v>
      </c>
      <c r="EL437" s="24" t="s">
        <v>245</v>
      </c>
      <c r="EM437" s="24" t="s">
        <v>210</v>
      </c>
      <c r="EN437" s="24">
        <v>1</v>
      </c>
      <c r="EO437" s="24"/>
      <c r="EP437" s="24"/>
      <c r="EQ437" s="24"/>
      <c r="ER437" s="24"/>
      <c r="ES437" s="24">
        <v>2020</v>
      </c>
      <c r="ET437" s="24">
        <v>17</v>
      </c>
      <c r="EU437" s="24" t="s">
        <v>213</v>
      </c>
      <c r="EV437" s="24">
        <v>38</v>
      </c>
      <c r="FW437" s="24">
        <v>2019</v>
      </c>
      <c r="FX437" s="24">
        <v>20</v>
      </c>
      <c r="FY437" s="24" t="s">
        <v>33</v>
      </c>
      <c r="FZ437" s="24">
        <v>14310</v>
      </c>
      <c r="GA437" s="24">
        <v>13157</v>
      </c>
      <c r="GB437" s="24"/>
      <c r="GC437" s="24"/>
      <c r="GD437" s="327">
        <v>2019</v>
      </c>
      <c r="GE437" s="327">
        <v>20</v>
      </c>
      <c r="GF437" s="327" t="s">
        <v>33</v>
      </c>
      <c r="GG437" s="327">
        <v>14426</v>
      </c>
      <c r="GH437" s="327">
        <v>13540</v>
      </c>
      <c r="GK437" s="24"/>
      <c r="GL437" s="24"/>
      <c r="GM437" s="24"/>
      <c r="GN437" s="24"/>
      <c r="GO437" s="24"/>
      <c r="GX437">
        <v>2019</v>
      </c>
      <c r="GY437">
        <v>20</v>
      </c>
      <c r="GZ437" t="s">
        <v>33</v>
      </c>
      <c r="HA437">
        <v>238558</v>
      </c>
      <c r="HB437">
        <v>233229</v>
      </c>
      <c r="HC437">
        <v>826</v>
      </c>
      <c r="HD437">
        <v>59</v>
      </c>
      <c r="HE437">
        <v>0</v>
      </c>
      <c r="HF437">
        <v>2159</v>
      </c>
      <c r="HG437">
        <v>0</v>
      </c>
      <c r="HH437">
        <v>0</v>
      </c>
      <c r="HI437">
        <v>1882</v>
      </c>
      <c r="HL437">
        <v>2019</v>
      </c>
      <c r="HM437">
        <v>20</v>
      </c>
      <c r="HN437" t="s">
        <v>33</v>
      </c>
      <c r="HO437">
        <v>239543</v>
      </c>
      <c r="HP437">
        <v>237004</v>
      </c>
      <c r="HQ437">
        <v>715</v>
      </c>
      <c r="HR437">
        <v>30</v>
      </c>
      <c r="HS437">
        <v>0</v>
      </c>
      <c r="HT437">
        <v>1847</v>
      </c>
      <c r="HU437">
        <v>0</v>
      </c>
      <c r="HV437">
        <v>0</v>
      </c>
      <c r="HW437">
        <v>604</v>
      </c>
      <c r="HZ437" s="24">
        <v>2019</v>
      </c>
      <c r="IA437" s="24">
        <v>20</v>
      </c>
      <c r="IB437" s="24" t="s">
        <v>33</v>
      </c>
      <c r="IC437" s="24">
        <v>14507</v>
      </c>
      <c r="ID437" s="24">
        <v>13210</v>
      </c>
      <c r="IG437" s="327">
        <v>2019</v>
      </c>
      <c r="IH437" s="327">
        <v>20</v>
      </c>
      <c r="II437" s="327" t="s">
        <v>33</v>
      </c>
      <c r="IJ437" s="327">
        <v>13393</v>
      </c>
      <c r="IK437" s="327">
        <v>12911</v>
      </c>
    </row>
    <row r="438" spans="9:245" x14ac:dyDescent="0.4">
      <c r="I438" s="305">
        <v>2019</v>
      </c>
      <c r="J438" s="306">
        <v>20</v>
      </c>
      <c r="K438" s="306" t="s">
        <v>33</v>
      </c>
      <c r="L438" s="306">
        <v>241428</v>
      </c>
      <c r="M438" s="306">
        <v>230899</v>
      </c>
      <c r="N438" s="306">
        <v>768</v>
      </c>
      <c r="O438" s="306">
        <v>2446</v>
      </c>
      <c r="P438" s="306">
        <v>524</v>
      </c>
      <c r="Q438" s="306">
        <v>9</v>
      </c>
      <c r="R438" s="24"/>
      <c r="S438" s="24"/>
      <c r="T438" s="24"/>
      <c r="W438" s="327">
        <v>2019</v>
      </c>
      <c r="X438" s="327">
        <v>19</v>
      </c>
      <c r="Y438" s="327" t="s">
        <v>32</v>
      </c>
      <c r="Z438" s="327">
        <v>2931</v>
      </c>
      <c r="AA438" s="327">
        <v>2871</v>
      </c>
      <c r="AB438" s="327">
        <v>4</v>
      </c>
      <c r="AC438" s="327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BI438" s="24">
        <v>2021</v>
      </c>
      <c r="BJ438" s="24">
        <v>14</v>
      </c>
      <c r="BK438" s="24" t="s">
        <v>33</v>
      </c>
      <c r="BL438" s="24" t="s">
        <v>273</v>
      </c>
      <c r="BM438" s="24">
        <v>78046</v>
      </c>
      <c r="BN438" s="24">
        <v>77687</v>
      </c>
      <c r="BO438" s="24">
        <v>80038</v>
      </c>
      <c r="DD438" s="24"/>
      <c r="DE438" s="24"/>
      <c r="DF438" s="24"/>
      <c r="DG438" s="24"/>
      <c r="DJ438" s="24">
        <v>2019</v>
      </c>
      <c r="DK438" s="24">
        <v>38</v>
      </c>
      <c r="DL438" s="24" t="s">
        <v>32</v>
      </c>
      <c r="DM438" s="24">
        <v>445</v>
      </c>
      <c r="DP438" s="24"/>
      <c r="DQ438" s="24"/>
      <c r="DR438" s="24"/>
      <c r="DS438" s="24"/>
      <c r="EI438" s="24">
        <v>2022</v>
      </c>
      <c r="EJ438" s="24">
        <v>49</v>
      </c>
      <c r="EK438" s="24" t="s">
        <v>33</v>
      </c>
      <c r="EL438" s="24" t="s">
        <v>233</v>
      </c>
      <c r="EM438" s="24" t="s">
        <v>210</v>
      </c>
      <c r="EN438" s="24">
        <v>50</v>
      </c>
      <c r="EO438" s="24"/>
      <c r="EP438" s="24"/>
      <c r="EQ438" s="24"/>
      <c r="ER438" s="24"/>
      <c r="ES438" s="24">
        <v>2020</v>
      </c>
      <c r="ET438" s="24">
        <v>16</v>
      </c>
      <c r="EU438" s="24" t="s">
        <v>32</v>
      </c>
      <c r="EV438" s="24">
        <v>1640</v>
      </c>
      <c r="FW438" s="24">
        <v>2019</v>
      </c>
      <c r="FX438" s="24">
        <v>19</v>
      </c>
      <c r="FY438" s="24" t="s">
        <v>32</v>
      </c>
      <c r="FZ438" s="24">
        <v>1074</v>
      </c>
      <c r="GA438" s="24">
        <v>1049</v>
      </c>
      <c r="GB438" s="24"/>
      <c r="GC438" s="24"/>
      <c r="GD438" s="327">
        <v>2019</v>
      </c>
      <c r="GE438" s="327">
        <v>19</v>
      </c>
      <c r="GF438" s="327" t="s">
        <v>32</v>
      </c>
      <c r="GG438" s="327">
        <v>339</v>
      </c>
      <c r="GH438" s="327">
        <v>335</v>
      </c>
      <c r="GK438" s="24"/>
      <c r="GL438" s="24"/>
      <c r="GM438" s="24"/>
      <c r="GN438" s="24"/>
      <c r="GO438" s="24"/>
      <c r="GX438">
        <v>2019</v>
      </c>
      <c r="GY438">
        <v>19</v>
      </c>
      <c r="GZ438" t="s">
        <v>32</v>
      </c>
      <c r="HA438">
        <v>8479</v>
      </c>
      <c r="HB438">
        <v>8229</v>
      </c>
      <c r="HC438">
        <v>0</v>
      </c>
      <c r="HD438">
        <v>0</v>
      </c>
      <c r="HE438">
        <v>0</v>
      </c>
      <c r="HF438">
        <v>10</v>
      </c>
      <c r="HG438">
        <v>0</v>
      </c>
      <c r="HH438">
        <v>0</v>
      </c>
      <c r="HI438">
        <v>108</v>
      </c>
      <c r="HL438">
        <v>2019</v>
      </c>
      <c r="HM438">
        <v>19</v>
      </c>
      <c r="HN438" t="s">
        <v>32</v>
      </c>
      <c r="HO438">
        <v>2930</v>
      </c>
      <c r="HP438">
        <v>2887</v>
      </c>
      <c r="HQ438">
        <v>0</v>
      </c>
      <c r="HR438">
        <v>0</v>
      </c>
      <c r="HS438">
        <v>0</v>
      </c>
      <c r="HT438">
        <v>3</v>
      </c>
      <c r="HU438">
        <v>0</v>
      </c>
      <c r="HV438">
        <v>0</v>
      </c>
      <c r="HW438">
        <v>4</v>
      </c>
      <c r="HZ438" s="24">
        <v>2019</v>
      </c>
      <c r="IA438" s="24">
        <v>19</v>
      </c>
      <c r="IB438" s="24" t="s">
        <v>32</v>
      </c>
      <c r="IC438" s="24">
        <v>990</v>
      </c>
      <c r="ID438" s="24">
        <v>962</v>
      </c>
      <c r="IG438" s="327">
        <v>2019</v>
      </c>
      <c r="IH438" s="327">
        <v>19</v>
      </c>
      <c r="II438" s="327" t="s">
        <v>32</v>
      </c>
      <c r="IJ438" s="327">
        <v>337</v>
      </c>
      <c r="IK438" s="327">
        <v>334</v>
      </c>
    </row>
    <row r="439" spans="9:245" x14ac:dyDescent="0.4">
      <c r="I439" s="305">
        <v>2019</v>
      </c>
      <c r="J439" s="306">
        <v>19</v>
      </c>
      <c r="K439" s="306" t="s">
        <v>32</v>
      </c>
      <c r="L439" s="306">
        <v>8324</v>
      </c>
      <c r="M439" s="306">
        <v>8055</v>
      </c>
      <c r="N439" s="306">
        <v>78</v>
      </c>
      <c r="O439" s="306">
        <v>166</v>
      </c>
      <c r="P439" s="306">
        <v>20</v>
      </c>
      <c r="Q439" s="306"/>
      <c r="R439" s="24"/>
      <c r="S439" s="24"/>
      <c r="T439" s="24"/>
      <c r="W439" s="327">
        <v>2019</v>
      </c>
      <c r="X439" s="327">
        <v>19</v>
      </c>
      <c r="Y439" s="327" t="s">
        <v>33</v>
      </c>
      <c r="Z439" s="327">
        <v>61116</v>
      </c>
      <c r="AA439" s="327">
        <v>57958</v>
      </c>
      <c r="AB439" s="327">
        <v>103</v>
      </c>
      <c r="AC439" s="327">
        <v>1</v>
      </c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BI439" s="24">
        <v>2021</v>
      </c>
      <c r="BJ439" s="24">
        <v>14</v>
      </c>
      <c r="BK439" s="24" t="s">
        <v>32</v>
      </c>
      <c r="BL439" s="24" t="s">
        <v>272</v>
      </c>
      <c r="BM439" s="24">
        <v>1869</v>
      </c>
      <c r="BN439" s="24">
        <v>1869</v>
      </c>
      <c r="BO439" s="24">
        <v>6195</v>
      </c>
      <c r="DD439" s="24"/>
      <c r="DE439" s="24"/>
      <c r="DF439" s="24"/>
      <c r="DG439" s="24"/>
      <c r="DJ439" s="24">
        <v>2019</v>
      </c>
      <c r="DK439" s="24">
        <v>38</v>
      </c>
      <c r="DL439" s="24" t="s">
        <v>33</v>
      </c>
      <c r="DM439" s="24">
        <v>3604</v>
      </c>
      <c r="DP439" s="24"/>
      <c r="DQ439" s="24"/>
      <c r="DR439" s="24"/>
      <c r="DS439" s="24"/>
      <c r="EI439" s="24">
        <v>2022</v>
      </c>
      <c r="EJ439" s="24">
        <v>49</v>
      </c>
      <c r="EK439" s="24" t="s">
        <v>33</v>
      </c>
      <c r="EL439" s="24" t="s">
        <v>233</v>
      </c>
      <c r="EM439" s="24" t="s">
        <v>234</v>
      </c>
      <c r="EN439" s="24">
        <v>6</v>
      </c>
      <c r="EO439" s="24"/>
      <c r="EP439" s="24"/>
      <c r="EQ439" s="24"/>
      <c r="ER439" s="24"/>
      <c r="ES439" s="24">
        <v>2020</v>
      </c>
      <c r="ET439" s="24">
        <v>16</v>
      </c>
      <c r="EU439" s="24" t="s">
        <v>33</v>
      </c>
      <c r="EV439" s="24">
        <v>38631</v>
      </c>
      <c r="FW439" s="24">
        <v>2019</v>
      </c>
      <c r="FX439" s="24">
        <v>19</v>
      </c>
      <c r="FY439" s="24" t="s">
        <v>33</v>
      </c>
      <c r="FZ439" s="24">
        <v>12357</v>
      </c>
      <c r="GA439" s="24">
        <v>11666</v>
      </c>
      <c r="GB439" s="24"/>
      <c r="GC439" s="24"/>
      <c r="GD439" s="327">
        <v>2019</v>
      </c>
      <c r="GE439" s="327">
        <v>19</v>
      </c>
      <c r="GF439" s="327" t="s">
        <v>33</v>
      </c>
      <c r="GG439" s="327">
        <v>4205</v>
      </c>
      <c r="GH439" s="327">
        <v>4027</v>
      </c>
      <c r="GK439" s="24"/>
      <c r="GL439" s="24"/>
      <c r="GM439" s="24"/>
      <c r="GN439" s="24"/>
      <c r="GO439" s="24"/>
      <c r="GX439">
        <v>2019</v>
      </c>
      <c r="GY439">
        <v>19</v>
      </c>
      <c r="GZ439" t="s">
        <v>33</v>
      </c>
      <c r="HA439">
        <v>225245</v>
      </c>
      <c r="HB439">
        <v>219388</v>
      </c>
      <c r="HC439">
        <v>1010</v>
      </c>
      <c r="HD439">
        <v>200</v>
      </c>
      <c r="HE439">
        <v>0</v>
      </c>
      <c r="HF439">
        <v>2492</v>
      </c>
      <c r="HG439">
        <v>0</v>
      </c>
      <c r="HH439">
        <v>0</v>
      </c>
      <c r="HI439">
        <v>1705</v>
      </c>
      <c r="HL439">
        <v>2019</v>
      </c>
      <c r="HM439">
        <v>19</v>
      </c>
      <c r="HN439" t="s">
        <v>33</v>
      </c>
      <c r="HO439">
        <v>61066</v>
      </c>
      <c r="HP439">
        <v>59615</v>
      </c>
      <c r="HQ439">
        <v>356</v>
      </c>
      <c r="HR439">
        <v>84</v>
      </c>
      <c r="HS439">
        <v>0</v>
      </c>
      <c r="HT439">
        <v>1064</v>
      </c>
      <c r="HU439">
        <v>0</v>
      </c>
      <c r="HV439">
        <v>0</v>
      </c>
      <c r="HW439">
        <v>365</v>
      </c>
      <c r="HZ439" s="24">
        <v>2019</v>
      </c>
      <c r="IA439" s="24">
        <v>19</v>
      </c>
      <c r="IB439" s="24" t="s">
        <v>33</v>
      </c>
      <c r="IC439" s="24">
        <v>12470</v>
      </c>
      <c r="ID439" s="24">
        <v>11649</v>
      </c>
      <c r="IG439" s="327">
        <v>2019</v>
      </c>
      <c r="IH439" s="327">
        <v>19</v>
      </c>
      <c r="II439" s="327" t="s">
        <v>33</v>
      </c>
      <c r="IJ439" s="327">
        <v>3887</v>
      </c>
      <c r="IK439" s="327">
        <v>3809</v>
      </c>
    </row>
    <row r="440" spans="9:245" x14ac:dyDescent="0.4">
      <c r="I440" s="305">
        <v>2019</v>
      </c>
      <c r="J440" s="306">
        <v>19</v>
      </c>
      <c r="K440" s="306" t="s">
        <v>33</v>
      </c>
      <c r="L440" s="306">
        <v>224339</v>
      </c>
      <c r="M440" s="306">
        <v>213561</v>
      </c>
      <c r="N440" s="306">
        <v>259</v>
      </c>
      <c r="O440" s="306">
        <v>2247</v>
      </c>
      <c r="P440" s="306">
        <v>418</v>
      </c>
      <c r="Q440" s="306">
        <v>11</v>
      </c>
      <c r="R440" s="24"/>
      <c r="S440" s="24"/>
      <c r="T440" s="24"/>
      <c r="W440" s="24"/>
      <c r="X440" s="24"/>
      <c r="Y440" s="24"/>
      <c r="Z440" s="24"/>
      <c r="AA440" s="24"/>
      <c r="AB440" s="24"/>
      <c r="AC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BI440" s="24">
        <v>2021</v>
      </c>
      <c r="BJ440" s="24">
        <v>14</v>
      </c>
      <c r="BK440" s="24" t="s">
        <v>32</v>
      </c>
      <c r="BL440" s="24" t="s">
        <v>273</v>
      </c>
      <c r="BM440" s="24">
        <v>4476</v>
      </c>
      <c r="BN440" s="24">
        <v>4462</v>
      </c>
      <c r="BO440" s="24">
        <v>4533</v>
      </c>
      <c r="DD440" s="24"/>
      <c r="DE440" s="24"/>
      <c r="DF440" s="24"/>
      <c r="DG440" s="24"/>
      <c r="DJ440" s="24">
        <v>2019</v>
      </c>
      <c r="DK440" s="24">
        <v>38</v>
      </c>
      <c r="DL440" s="24" t="s">
        <v>213</v>
      </c>
      <c r="DM440" s="24">
        <v>10</v>
      </c>
      <c r="DP440" s="24"/>
      <c r="DQ440" s="24"/>
      <c r="DR440" s="24"/>
      <c r="DS440" s="24"/>
      <c r="EI440" s="24">
        <v>2022</v>
      </c>
      <c r="EJ440" s="24">
        <v>49</v>
      </c>
      <c r="EK440" s="24" t="s">
        <v>33</v>
      </c>
      <c r="EL440" s="24" t="s">
        <v>233</v>
      </c>
      <c r="EM440" s="24" t="s">
        <v>215</v>
      </c>
      <c r="EN440" s="24">
        <v>7</v>
      </c>
      <c r="EO440" s="24"/>
      <c r="EP440" s="24"/>
      <c r="EQ440" s="24"/>
      <c r="ER440" s="24"/>
      <c r="ES440" s="24">
        <v>2020</v>
      </c>
      <c r="ET440" s="24">
        <v>16</v>
      </c>
      <c r="EU440" s="24" t="s">
        <v>213</v>
      </c>
      <c r="EV440" s="24">
        <v>15</v>
      </c>
      <c r="FW440" s="24">
        <v>2019</v>
      </c>
      <c r="FX440" s="24">
        <v>18</v>
      </c>
      <c r="FY440" s="24" t="s">
        <v>32</v>
      </c>
      <c r="FZ440" s="24">
        <v>702</v>
      </c>
      <c r="GA440" s="24">
        <v>676</v>
      </c>
      <c r="GB440" s="24"/>
      <c r="GC440" s="24"/>
      <c r="GD440" s="24"/>
      <c r="GE440" s="24"/>
      <c r="GF440" s="24"/>
      <c r="GG440" s="24"/>
      <c r="GH440" s="24"/>
      <c r="GK440" s="24"/>
      <c r="GL440" s="24"/>
      <c r="GM440" s="24"/>
      <c r="GN440" s="24"/>
      <c r="GO440" s="24"/>
      <c r="GX440">
        <v>2019</v>
      </c>
      <c r="GY440">
        <v>18</v>
      </c>
      <c r="GZ440" t="s">
        <v>32</v>
      </c>
      <c r="HA440">
        <v>7134</v>
      </c>
      <c r="HB440">
        <v>6931</v>
      </c>
      <c r="HC440">
        <v>0</v>
      </c>
      <c r="HD440">
        <v>2</v>
      </c>
      <c r="HE440">
        <v>0</v>
      </c>
      <c r="HF440">
        <v>6</v>
      </c>
      <c r="HG440">
        <v>0</v>
      </c>
      <c r="HH440">
        <v>0</v>
      </c>
      <c r="HI440">
        <v>71</v>
      </c>
      <c r="HZ440" s="24">
        <v>2019</v>
      </c>
      <c r="IA440" s="24">
        <v>18</v>
      </c>
      <c r="IB440" s="24" t="s">
        <v>32</v>
      </c>
      <c r="IC440" s="24">
        <v>772</v>
      </c>
      <c r="ID440" s="24">
        <v>747</v>
      </c>
    </row>
    <row r="441" spans="9:245" x14ac:dyDescent="0.4">
      <c r="I441" s="305">
        <v>2019</v>
      </c>
      <c r="J441" s="306">
        <v>18</v>
      </c>
      <c r="K441" s="306" t="s">
        <v>32</v>
      </c>
      <c r="L441" s="306">
        <v>7019</v>
      </c>
      <c r="M441" s="306">
        <v>6809</v>
      </c>
      <c r="N441" s="306">
        <v>39</v>
      </c>
      <c r="O441" s="306">
        <v>173</v>
      </c>
      <c r="P441" s="306">
        <v>23</v>
      </c>
      <c r="Q441" s="306"/>
      <c r="R441" s="24"/>
      <c r="S441" s="24"/>
      <c r="T441" s="24"/>
      <c r="W441" s="24"/>
      <c r="X441" s="24"/>
      <c r="Y441" s="24"/>
      <c r="Z441" s="24"/>
      <c r="AA441" s="24"/>
      <c r="AB441" s="24"/>
      <c r="AC441" s="24"/>
      <c r="AI441" s="24"/>
      <c r="AJ441" s="24"/>
      <c r="AK441" s="24"/>
      <c r="AL441" s="24"/>
      <c r="AM441" s="24"/>
      <c r="AN441" s="24"/>
      <c r="AO441" s="24"/>
      <c r="AP441" s="24"/>
      <c r="AQ441" s="24"/>
      <c r="AR441" s="24"/>
      <c r="BI441" s="24">
        <v>2021</v>
      </c>
      <c r="BJ441" s="24">
        <v>14</v>
      </c>
      <c r="BK441" s="24" t="s">
        <v>33</v>
      </c>
      <c r="BL441" s="24" t="s">
        <v>272</v>
      </c>
      <c r="BM441" s="24">
        <v>44280</v>
      </c>
      <c r="BN441" s="24">
        <v>44252</v>
      </c>
      <c r="BO441" s="24">
        <v>156725</v>
      </c>
      <c r="DD441" s="24"/>
      <c r="DE441" s="24"/>
      <c r="DF441" s="24"/>
      <c r="DG441" s="24"/>
      <c r="DJ441" s="24">
        <v>2019</v>
      </c>
      <c r="DK441" s="24">
        <v>37</v>
      </c>
      <c r="DL441" s="24" t="s">
        <v>32</v>
      </c>
      <c r="DM441" s="24">
        <v>246</v>
      </c>
      <c r="DP441" s="24"/>
      <c r="DQ441" s="24"/>
      <c r="DR441" s="24"/>
      <c r="DS441" s="24"/>
      <c r="EI441" s="24">
        <v>2022</v>
      </c>
      <c r="EJ441" s="24">
        <v>49</v>
      </c>
      <c r="EK441" s="24" t="s">
        <v>33</v>
      </c>
      <c r="EL441" s="24" t="s">
        <v>244</v>
      </c>
      <c r="EM441" s="24" t="s">
        <v>210</v>
      </c>
      <c r="EN441" s="24">
        <v>8</v>
      </c>
      <c r="EO441" s="24"/>
      <c r="EP441" s="24"/>
      <c r="EQ441" s="24"/>
      <c r="ER441" s="24"/>
      <c r="ES441" s="24">
        <v>2020</v>
      </c>
      <c r="ET441" s="24">
        <v>15</v>
      </c>
      <c r="EU441" s="24" t="s">
        <v>32</v>
      </c>
      <c r="EV441" s="24">
        <v>1824</v>
      </c>
      <c r="FW441" s="24">
        <v>2019</v>
      </c>
      <c r="FX441" s="24">
        <v>18</v>
      </c>
      <c r="FY441" s="24" t="s">
        <v>33</v>
      </c>
      <c r="FZ441" s="24">
        <v>11356</v>
      </c>
      <c r="GA441" s="24">
        <v>10600</v>
      </c>
      <c r="GB441" s="24"/>
      <c r="GC441" s="24"/>
      <c r="GD441" s="24"/>
      <c r="GE441" s="24"/>
      <c r="GF441" s="24"/>
      <c r="GG441" s="24"/>
      <c r="GH441" s="24"/>
      <c r="GK441" s="24"/>
      <c r="GL441" s="24"/>
      <c r="GM441" s="24"/>
      <c r="GN441" s="24"/>
      <c r="GO441" s="24"/>
      <c r="GX441">
        <v>2019</v>
      </c>
      <c r="GY441">
        <v>18</v>
      </c>
      <c r="GZ441" t="s">
        <v>33</v>
      </c>
      <c r="HA441">
        <v>211190</v>
      </c>
      <c r="HB441">
        <v>207431</v>
      </c>
      <c r="HC441">
        <v>423</v>
      </c>
      <c r="HD441">
        <v>92</v>
      </c>
      <c r="HE441">
        <v>0</v>
      </c>
      <c r="HF441">
        <v>1395</v>
      </c>
      <c r="HG441">
        <v>0</v>
      </c>
      <c r="HH441">
        <v>0</v>
      </c>
      <c r="HI441">
        <v>1059</v>
      </c>
      <c r="HZ441" s="24">
        <v>2019</v>
      </c>
      <c r="IA441" s="24">
        <v>18</v>
      </c>
      <c r="IB441" s="24" t="s">
        <v>33</v>
      </c>
      <c r="IC441" s="24">
        <v>11434</v>
      </c>
      <c r="ID441" s="24">
        <v>10692</v>
      </c>
    </row>
    <row r="442" spans="9:245" x14ac:dyDescent="0.4">
      <c r="I442" s="305">
        <v>2019</v>
      </c>
      <c r="J442" s="306">
        <v>18</v>
      </c>
      <c r="K442" s="306" t="s">
        <v>33</v>
      </c>
      <c r="L442" s="306">
        <v>210446</v>
      </c>
      <c r="M442" s="306">
        <v>202416</v>
      </c>
      <c r="N442" s="306">
        <v>271</v>
      </c>
      <c r="O442" s="306">
        <v>2011</v>
      </c>
      <c r="P442" s="306">
        <v>656</v>
      </c>
      <c r="Q442" s="306">
        <v>13</v>
      </c>
      <c r="R442" s="24"/>
      <c r="S442" s="24"/>
      <c r="T442" s="24"/>
      <c r="W442" s="24"/>
      <c r="X442" s="24"/>
      <c r="Y442" s="24"/>
      <c r="Z442" s="24"/>
      <c r="AA442" s="24"/>
      <c r="AB442" s="24"/>
      <c r="AC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BI442" s="24">
        <v>2021</v>
      </c>
      <c r="BJ442" s="24">
        <v>13</v>
      </c>
      <c r="BK442" s="24" t="s">
        <v>32</v>
      </c>
      <c r="BL442" s="24" t="s">
        <v>272</v>
      </c>
      <c r="BM442" s="24">
        <v>1942</v>
      </c>
      <c r="BN442" s="24">
        <v>1941</v>
      </c>
      <c r="BO442" s="24">
        <v>6656</v>
      </c>
      <c r="DD442" s="24"/>
      <c r="DE442" s="24"/>
      <c r="DF442" s="24"/>
      <c r="DG442" s="24"/>
      <c r="DJ442" s="24">
        <v>2019</v>
      </c>
      <c r="DK442" s="24">
        <v>37</v>
      </c>
      <c r="DL442" s="24" t="s">
        <v>33</v>
      </c>
      <c r="DM442" s="24">
        <v>1110</v>
      </c>
      <c r="DP442" s="24"/>
      <c r="DQ442" s="24"/>
      <c r="DR442" s="24"/>
      <c r="DS442" s="24"/>
      <c r="EI442" s="24">
        <v>2022</v>
      </c>
      <c r="EJ442" s="24">
        <v>49</v>
      </c>
      <c r="EK442" s="24" t="s">
        <v>33</v>
      </c>
      <c r="EL442" s="24" t="s">
        <v>236</v>
      </c>
      <c r="EM442" s="24" t="s">
        <v>210</v>
      </c>
      <c r="EN442" s="24">
        <v>3</v>
      </c>
      <c r="EO442" s="24"/>
      <c r="EP442" s="24"/>
      <c r="EQ442" s="24"/>
      <c r="ER442" s="24"/>
      <c r="ES442" s="24">
        <v>2020</v>
      </c>
      <c r="ET442" s="24">
        <v>15</v>
      </c>
      <c r="EU442" s="24" t="s">
        <v>33</v>
      </c>
      <c r="EV442" s="24">
        <v>34772</v>
      </c>
      <c r="FW442" s="24">
        <v>2019</v>
      </c>
      <c r="FX442" s="24">
        <v>17</v>
      </c>
      <c r="FY442" s="24" t="s">
        <v>32</v>
      </c>
      <c r="FZ442" s="24">
        <v>779</v>
      </c>
      <c r="GA442" s="24">
        <v>762</v>
      </c>
      <c r="GB442" s="24"/>
      <c r="GC442" s="24"/>
      <c r="GD442" s="24"/>
      <c r="GE442" s="24"/>
      <c r="GF442" s="24"/>
      <c r="GG442" s="24"/>
      <c r="GH442" s="24"/>
      <c r="GK442" s="24"/>
      <c r="GL442" s="24"/>
      <c r="GM442" s="24"/>
      <c r="GN442" s="24"/>
      <c r="GO442" s="24"/>
      <c r="GX442">
        <v>2019</v>
      </c>
      <c r="GY442">
        <v>17</v>
      </c>
      <c r="GZ442" t="s">
        <v>32</v>
      </c>
      <c r="HA442">
        <v>6635</v>
      </c>
      <c r="HB442">
        <v>6446</v>
      </c>
      <c r="HC442">
        <v>0</v>
      </c>
      <c r="HD442">
        <v>2</v>
      </c>
      <c r="HE442">
        <v>0</v>
      </c>
      <c r="HF442">
        <v>2</v>
      </c>
      <c r="HG442">
        <v>0</v>
      </c>
      <c r="HH442">
        <v>0</v>
      </c>
      <c r="HI442">
        <v>82</v>
      </c>
      <c r="HZ442" s="24">
        <v>2019</v>
      </c>
      <c r="IA442" s="24">
        <v>17</v>
      </c>
      <c r="IB442" s="24" t="s">
        <v>32</v>
      </c>
      <c r="IC442" s="24">
        <v>741</v>
      </c>
      <c r="ID442" s="24">
        <v>723</v>
      </c>
    </row>
    <row r="443" spans="9:245" x14ac:dyDescent="0.4">
      <c r="I443" s="305">
        <v>2019</v>
      </c>
      <c r="J443" s="306">
        <v>17</v>
      </c>
      <c r="K443" s="306" t="s">
        <v>32</v>
      </c>
      <c r="L443" s="306">
        <v>6881</v>
      </c>
      <c r="M443" s="306">
        <v>6668</v>
      </c>
      <c r="N443" s="306">
        <v>50</v>
      </c>
      <c r="O443" s="306">
        <v>184</v>
      </c>
      <c r="P443" s="306">
        <v>14</v>
      </c>
      <c r="Q443" s="306"/>
      <c r="R443" s="24"/>
      <c r="S443" s="24"/>
      <c r="T443" s="24"/>
      <c r="W443" s="24"/>
      <c r="X443" s="24"/>
      <c r="Y443" s="24"/>
      <c r="Z443" s="24"/>
      <c r="AA443" s="24"/>
      <c r="AB443" s="24"/>
      <c r="AC443" s="24"/>
      <c r="AI443" s="24"/>
      <c r="AJ443" s="24"/>
      <c r="AK443" s="24"/>
      <c r="AL443" s="24"/>
      <c r="AM443" s="24"/>
      <c r="AN443" s="24"/>
      <c r="AO443" s="24"/>
      <c r="AP443" s="24"/>
      <c r="AQ443" s="24"/>
      <c r="AR443" s="24"/>
      <c r="BI443" s="24">
        <v>2021</v>
      </c>
      <c r="BJ443" s="24">
        <v>13</v>
      </c>
      <c r="BK443" s="24" t="s">
        <v>33</v>
      </c>
      <c r="BL443" s="24" t="s">
        <v>273</v>
      </c>
      <c r="BM443" s="24">
        <v>78380</v>
      </c>
      <c r="BN443" s="24">
        <v>77639</v>
      </c>
      <c r="BO443" s="24">
        <v>80048</v>
      </c>
      <c r="DD443" s="24"/>
      <c r="DE443" s="24"/>
      <c r="DF443" s="24"/>
      <c r="DG443" s="24"/>
      <c r="DJ443" s="24">
        <v>2019</v>
      </c>
      <c r="DK443" s="24">
        <v>37</v>
      </c>
      <c r="DL443" s="24" t="s">
        <v>213</v>
      </c>
      <c r="DM443" s="24">
        <v>14</v>
      </c>
      <c r="DP443" s="24"/>
      <c r="DQ443" s="24"/>
      <c r="DR443" s="24"/>
      <c r="DS443" s="24"/>
      <c r="EI443" s="24">
        <v>2022</v>
      </c>
      <c r="EJ443" s="24">
        <v>49</v>
      </c>
      <c r="EK443" s="24" t="s">
        <v>33</v>
      </c>
      <c r="EL443" s="24" t="s">
        <v>238</v>
      </c>
      <c r="EM443" s="24" t="s">
        <v>215</v>
      </c>
      <c r="EN443" s="24">
        <v>12</v>
      </c>
      <c r="EO443" s="24"/>
      <c r="EP443" s="24"/>
      <c r="EQ443" s="24"/>
      <c r="ER443" s="24"/>
      <c r="ES443" s="24">
        <v>2020</v>
      </c>
      <c r="ET443" s="24">
        <v>15</v>
      </c>
      <c r="EU443" s="24" t="s">
        <v>213</v>
      </c>
      <c r="EV443" s="24">
        <v>15</v>
      </c>
      <c r="FW443" s="24">
        <v>2019</v>
      </c>
      <c r="FX443" s="24">
        <v>17</v>
      </c>
      <c r="FY443" s="24" t="s">
        <v>33</v>
      </c>
      <c r="FZ443" s="24">
        <v>13474</v>
      </c>
      <c r="GA443" s="24">
        <v>12201</v>
      </c>
      <c r="GB443" s="24"/>
      <c r="GC443" s="24"/>
      <c r="GD443" s="24"/>
      <c r="GE443" s="24"/>
      <c r="GF443" s="24"/>
      <c r="GG443" s="24"/>
      <c r="GH443" s="24"/>
      <c r="GK443" s="24"/>
      <c r="GL443" s="24"/>
      <c r="GM443" s="24"/>
      <c r="GN443" s="24"/>
      <c r="GO443" s="24"/>
      <c r="GX443">
        <v>2019</v>
      </c>
      <c r="GY443">
        <v>17</v>
      </c>
      <c r="GZ443" t="s">
        <v>33</v>
      </c>
      <c r="HA443">
        <v>214123</v>
      </c>
      <c r="HB443">
        <v>208645</v>
      </c>
      <c r="HC443">
        <v>953</v>
      </c>
      <c r="HD443">
        <v>59</v>
      </c>
      <c r="HE443">
        <v>0</v>
      </c>
      <c r="HF443">
        <v>1891</v>
      </c>
      <c r="HG443">
        <v>0</v>
      </c>
      <c r="HH443">
        <v>1</v>
      </c>
      <c r="HI443">
        <v>1624</v>
      </c>
      <c r="HZ443" s="24">
        <v>2019</v>
      </c>
      <c r="IA443" s="24">
        <v>17</v>
      </c>
      <c r="IB443" s="24" t="s">
        <v>33</v>
      </c>
      <c r="IC443" s="24">
        <v>13475</v>
      </c>
      <c r="ID443" s="24">
        <v>12028</v>
      </c>
    </row>
    <row r="444" spans="9:245" x14ac:dyDescent="0.4">
      <c r="I444" s="305">
        <v>2019</v>
      </c>
      <c r="J444" s="306">
        <v>17</v>
      </c>
      <c r="K444" s="306" t="s">
        <v>33</v>
      </c>
      <c r="L444" s="306">
        <v>214589</v>
      </c>
      <c r="M444" s="306">
        <v>204578</v>
      </c>
      <c r="N444" s="306">
        <v>297</v>
      </c>
      <c r="O444" s="306">
        <v>2244</v>
      </c>
      <c r="P444" s="306">
        <v>707</v>
      </c>
      <c r="Q444" s="306">
        <v>4</v>
      </c>
      <c r="R444" s="24"/>
      <c r="S444" s="24"/>
      <c r="T444" s="24"/>
      <c r="W444" s="24"/>
      <c r="X444" s="24"/>
      <c r="Y444" s="24"/>
      <c r="Z444" s="24"/>
      <c r="AA444" s="24"/>
      <c r="AB444" s="24"/>
      <c r="AC444" s="24"/>
      <c r="AI444" s="24"/>
      <c r="AJ444" s="24"/>
      <c r="AK444" s="24"/>
      <c r="AL444" s="24"/>
      <c r="AM444" s="24"/>
      <c r="AN444" s="24"/>
      <c r="AO444" s="24"/>
      <c r="AP444" s="24"/>
      <c r="AQ444" s="24"/>
      <c r="AR444" s="24"/>
      <c r="BI444" s="24">
        <v>2021</v>
      </c>
      <c r="BJ444" s="24">
        <v>13</v>
      </c>
      <c r="BK444" s="24" t="s">
        <v>33</v>
      </c>
      <c r="BL444" s="24" t="s">
        <v>272</v>
      </c>
      <c r="BM444" s="24">
        <v>42736</v>
      </c>
      <c r="BN444" s="24">
        <v>42714</v>
      </c>
      <c r="BO444" s="24">
        <v>152970</v>
      </c>
      <c r="DD444" s="24"/>
      <c r="DE444" s="24"/>
      <c r="DF444" s="24"/>
      <c r="DG444" s="24"/>
      <c r="DJ444" s="24">
        <v>2019</v>
      </c>
      <c r="DK444" s="24">
        <v>36</v>
      </c>
      <c r="DL444" s="24" t="s">
        <v>32</v>
      </c>
      <c r="DM444" s="24">
        <v>113</v>
      </c>
      <c r="DP444" s="24"/>
      <c r="DQ444" s="24"/>
      <c r="DR444" s="24"/>
      <c r="DS444" s="24"/>
      <c r="EI444" s="24">
        <v>2022</v>
      </c>
      <c r="EJ444" s="24">
        <v>49</v>
      </c>
      <c r="EK444" s="24" t="s">
        <v>237</v>
      </c>
      <c r="EL444" s="24" t="s">
        <v>557</v>
      </c>
      <c r="EM444" s="24" t="s">
        <v>234</v>
      </c>
      <c r="EN444" s="24">
        <v>1</v>
      </c>
      <c r="EO444" s="24"/>
      <c r="EP444" s="24"/>
      <c r="EQ444" s="24"/>
      <c r="ER444" s="24"/>
      <c r="ES444" s="24">
        <v>2020</v>
      </c>
      <c r="ET444" s="24">
        <v>14</v>
      </c>
      <c r="EU444" s="24" t="s">
        <v>32</v>
      </c>
      <c r="EV444" s="24">
        <v>1894</v>
      </c>
      <c r="FW444" s="24">
        <v>2019</v>
      </c>
      <c r="FX444" s="24">
        <v>16</v>
      </c>
      <c r="FY444" s="24" t="s">
        <v>32</v>
      </c>
      <c r="FZ444" s="24">
        <v>754</v>
      </c>
      <c r="GA444" s="24">
        <v>724</v>
      </c>
      <c r="GB444" s="24"/>
      <c r="GC444" s="24"/>
      <c r="GD444" s="24"/>
      <c r="GE444" s="24"/>
      <c r="GF444" s="24"/>
      <c r="GG444" s="24"/>
      <c r="GH444" s="24"/>
      <c r="GK444" s="24"/>
      <c r="GL444" s="24"/>
      <c r="GM444" s="24"/>
      <c r="GN444" s="24"/>
      <c r="GO444" s="24"/>
      <c r="GX444">
        <v>2019</v>
      </c>
      <c r="GY444">
        <v>16</v>
      </c>
      <c r="GZ444" t="s">
        <v>32</v>
      </c>
      <c r="HA444">
        <v>8046</v>
      </c>
      <c r="HB444">
        <v>7769</v>
      </c>
      <c r="HC444">
        <v>0</v>
      </c>
      <c r="HD444">
        <v>1</v>
      </c>
      <c r="HE444">
        <v>0</v>
      </c>
      <c r="HF444">
        <v>1</v>
      </c>
      <c r="HG444">
        <v>0</v>
      </c>
      <c r="HH444">
        <v>0</v>
      </c>
      <c r="HI444">
        <v>135</v>
      </c>
      <c r="HZ444" s="24">
        <v>2019</v>
      </c>
      <c r="IA444" s="24">
        <v>16</v>
      </c>
      <c r="IB444" s="24" t="s">
        <v>32</v>
      </c>
      <c r="IC444" s="24">
        <v>725</v>
      </c>
      <c r="ID444" s="24">
        <v>696</v>
      </c>
    </row>
    <row r="445" spans="9:245" x14ac:dyDescent="0.4">
      <c r="I445" s="305">
        <v>2019</v>
      </c>
      <c r="J445" s="306">
        <v>16</v>
      </c>
      <c r="K445" s="306" t="s">
        <v>32</v>
      </c>
      <c r="L445" s="306">
        <v>8047</v>
      </c>
      <c r="M445" s="306">
        <v>7771</v>
      </c>
      <c r="N445" s="306">
        <v>116</v>
      </c>
      <c r="O445" s="306">
        <v>240</v>
      </c>
      <c r="P445" s="306">
        <v>25</v>
      </c>
      <c r="Q445" s="306"/>
      <c r="R445" s="24"/>
      <c r="S445" s="24"/>
      <c r="T445" s="24"/>
      <c r="W445" s="24"/>
      <c r="X445" s="24"/>
      <c r="Y445" s="24"/>
      <c r="Z445" s="24"/>
      <c r="AA445" s="24"/>
      <c r="AB445" s="24"/>
      <c r="AC445" s="24"/>
      <c r="AI445" s="24"/>
      <c r="AJ445" s="24"/>
      <c r="AK445" s="24"/>
      <c r="AL445" s="24"/>
      <c r="AM445" s="24"/>
      <c r="AN445" s="24"/>
      <c r="AO445" s="24"/>
      <c r="AP445" s="24"/>
      <c r="AQ445" s="24"/>
      <c r="AR445" s="24"/>
      <c r="BI445" s="24">
        <v>2021</v>
      </c>
      <c r="BJ445" s="24">
        <v>13</v>
      </c>
      <c r="BK445" s="24" t="s">
        <v>32</v>
      </c>
      <c r="BL445" s="24" t="s">
        <v>273</v>
      </c>
      <c r="BM445" s="24">
        <v>4597</v>
      </c>
      <c r="BN445" s="24">
        <v>4586</v>
      </c>
      <c r="BO445" s="24">
        <v>4661</v>
      </c>
      <c r="DD445" s="24"/>
      <c r="DE445" s="24"/>
      <c r="DF445" s="24"/>
      <c r="DG445" s="24"/>
      <c r="DJ445" s="24">
        <v>2019</v>
      </c>
      <c r="DK445" s="24">
        <v>36</v>
      </c>
      <c r="DL445" s="24" t="s">
        <v>33</v>
      </c>
      <c r="DM445" s="24">
        <v>1441</v>
      </c>
      <c r="DP445" s="24"/>
      <c r="DQ445" s="24"/>
      <c r="DR445" s="24"/>
      <c r="DS445" s="24"/>
      <c r="EI445" s="24">
        <v>2022</v>
      </c>
      <c r="EJ445" s="24">
        <v>49</v>
      </c>
      <c r="EK445" s="24" t="s">
        <v>237</v>
      </c>
      <c r="EL445" s="24" t="s">
        <v>557</v>
      </c>
      <c r="EM445" s="24" t="s">
        <v>215</v>
      </c>
      <c r="EN445" s="24">
        <v>1</v>
      </c>
      <c r="EO445" s="24"/>
      <c r="EP445" s="24"/>
      <c r="EQ445" s="24"/>
      <c r="ER445" s="24"/>
      <c r="ES445" s="24">
        <v>2020</v>
      </c>
      <c r="ET445" s="24">
        <v>14</v>
      </c>
      <c r="EU445" s="24" t="s">
        <v>33</v>
      </c>
      <c r="EV445" s="24">
        <v>34518</v>
      </c>
      <c r="FW445" s="24">
        <v>2019</v>
      </c>
      <c r="FX445" s="24">
        <v>16</v>
      </c>
      <c r="FY445" s="24" t="s">
        <v>33</v>
      </c>
      <c r="FZ445" s="24">
        <v>12242</v>
      </c>
      <c r="GA445" s="24">
        <v>11470</v>
      </c>
      <c r="GB445" s="24"/>
      <c r="GC445" s="24"/>
      <c r="GD445" s="24"/>
      <c r="GE445" s="24"/>
      <c r="GF445" s="24"/>
      <c r="GG445" s="24"/>
      <c r="GH445" s="24"/>
      <c r="GK445" s="24"/>
      <c r="GL445" s="24"/>
      <c r="GM445" s="24"/>
      <c r="GN445" s="24"/>
      <c r="GO445" s="24"/>
      <c r="GX445">
        <v>2019</v>
      </c>
      <c r="GY445">
        <v>16</v>
      </c>
      <c r="GZ445" t="s">
        <v>33</v>
      </c>
      <c r="HA445">
        <v>228483</v>
      </c>
      <c r="HB445">
        <v>224579</v>
      </c>
      <c r="HC445">
        <v>570</v>
      </c>
      <c r="HD445">
        <v>64</v>
      </c>
      <c r="HE445">
        <v>0</v>
      </c>
      <c r="HF445">
        <v>1354</v>
      </c>
      <c r="HG445">
        <v>0</v>
      </c>
      <c r="HH445">
        <v>1</v>
      </c>
      <c r="HI445">
        <v>1407</v>
      </c>
      <c r="HZ445" s="24">
        <v>2019</v>
      </c>
      <c r="IA445" s="24">
        <v>16</v>
      </c>
      <c r="IB445" s="24" t="s">
        <v>33</v>
      </c>
      <c r="IC445" s="24">
        <v>12289</v>
      </c>
      <c r="ID445" s="24">
        <v>11401</v>
      </c>
    </row>
    <row r="446" spans="9:245" x14ac:dyDescent="0.4">
      <c r="I446" s="305">
        <v>2019</v>
      </c>
      <c r="J446" s="306">
        <v>16</v>
      </c>
      <c r="K446" s="306" t="s">
        <v>33</v>
      </c>
      <c r="L446" s="306">
        <v>229304</v>
      </c>
      <c r="M446" s="306">
        <v>219820</v>
      </c>
      <c r="N446" s="306">
        <v>458</v>
      </c>
      <c r="O446" s="306">
        <v>2306</v>
      </c>
      <c r="P446" s="306">
        <v>592</v>
      </c>
      <c r="Q446" s="306">
        <v>32</v>
      </c>
      <c r="R446" s="24"/>
      <c r="S446" s="24"/>
      <c r="T446" s="24"/>
      <c r="W446" s="24"/>
      <c r="X446" s="24"/>
      <c r="Y446" s="24"/>
      <c r="Z446" s="24"/>
      <c r="AA446" s="24"/>
      <c r="AB446" s="24"/>
      <c r="AC446" s="24"/>
      <c r="AI446" s="24"/>
      <c r="AJ446" s="24"/>
      <c r="AK446" s="24"/>
      <c r="AL446" s="24"/>
      <c r="AM446" s="24"/>
      <c r="AN446" s="24"/>
      <c r="AO446" s="24"/>
      <c r="AP446" s="24"/>
      <c r="AQ446" s="24"/>
      <c r="AR446" s="24"/>
      <c r="BI446" s="24">
        <v>2021</v>
      </c>
      <c r="BJ446" s="24">
        <v>12</v>
      </c>
      <c r="BK446" s="24" t="s">
        <v>32</v>
      </c>
      <c r="BL446" s="24" t="s">
        <v>272</v>
      </c>
      <c r="BM446" s="24">
        <v>2243</v>
      </c>
      <c r="BN446" s="24">
        <v>2243</v>
      </c>
      <c r="BO446" s="24">
        <v>7468</v>
      </c>
      <c r="DD446" s="24"/>
      <c r="DE446" s="24"/>
      <c r="DF446" s="24"/>
      <c r="DG446" s="24"/>
      <c r="DJ446" s="24">
        <v>2019</v>
      </c>
      <c r="DK446" s="24">
        <v>36</v>
      </c>
      <c r="DL446" s="24" t="s">
        <v>213</v>
      </c>
      <c r="DM446" s="24">
        <v>22</v>
      </c>
      <c r="DP446" s="24"/>
      <c r="DQ446" s="24"/>
      <c r="DR446" s="24"/>
      <c r="DS446" s="24"/>
      <c r="EI446" s="24">
        <v>2022</v>
      </c>
      <c r="EJ446" s="24">
        <v>49</v>
      </c>
      <c r="EK446" s="24" t="s">
        <v>237</v>
      </c>
      <c r="EL446" s="24" t="s">
        <v>240</v>
      </c>
      <c r="EM446" s="24" t="s">
        <v>210</v>
      </c>
      <c r="EN446" s="24">
        <v>1</v>
      </c>
      <c r="EO446" s="24"/>
      <c r="EP446" s="24"/>
      <c r="EQ446" s="24"/>
      <c r="ER446" s="24"/>
      <c r="ES446" s="24">
        <v>2020</v>
      </c>
      <c r="ET446" s="24">
        <v>14</v>
      </c>
      <c r="EU446" s="24" t="s">
        <v>213</v>
      </c>
      <c r="EV446" s="24">
        <v>23</v>
      </c>
      <c r="FW446" s="24">
        <v>2019</v>
      </c>
      <c r="FX446" s="24">
        <v>15</v>
      </c>
      <c r="FY446" s="24" t="s">
        <v>32</v>
      </c>
      <c r="FZ446" s="24">
        <v>990</v>
      </c>
      <c r="GA446" s="24">
        <v>900</v>
      </c>
      <c r="GB446" s="24"/>
      <c r="GC446" s="24"/>
      <c r="GD446" s="24"/>
      <c r="GE446" s="24"/>
      <c r="GF446" s="24"/>
      <c r="GG446" s="24"/>
      <c r="GH446" s="24"/>
      <c r="GK446" s="24"/>
      <c r="GL446" s="24"/>
      <c r="GM446" s="24"/>
      <c r="GN446" s="24"/>
      <c r="GO446" s="24"/>
      <c r="GX446">
        <v>2019</v>
      </c>
      <c r="GY446">
        <v>15</v>
      </c>
      <c r="GZ446" t="s">
        <v>32</v>
      </c>
      <c r="HA446">
        <v>9037</v>
      </c>
      <c r="HB446">
        <v>8651</v>
      </c>
      <c r="HC446">
        <v>0</v>
      </c>
      <c r="HD446">
        <v>1</v>
      </c>
      <c r="HE446">
        <v>0</v>
      </c>
      <c r="HF446">
        <v>29</v>
      </c>
      <c r="HG446">
        <v>0</v>
      </c>
      <c r="HH446">
        <v>0</v>
      </c>
      <c r="HI446">
        <v>89</v>
      </c>
      <c r="HZ446" s="24">
        <v>2019</v>
      </c>
      <c r="IA446" s="24">
        <v>15</v>
      </c>
      <c r="IB446" s="24" t="s">
        <v>32</v>
      </c>
      <c r="IC446" s="24">
        <v>946</v>
      </c>
      <c r="ID446" s="24">
        <v>855</v>
      </c>
    </row>
    <row r="447" spans="9:245" x14ac:dyDescent="0.4">
      <c r="I447" s="305">
        <v>2019</v>
      </c>
      <c r="J447" s="306">
        <v>15</v>
      </c>
      <c r="K447" s="306" t="s">
        <v>32</v>
      </c>
      <c r="L447" s="306">
        <v>8901</v>
      </c>
      <c r="M447" s="306">
        <v>8526</v>
      </c>
      <c r="N447" s="306">
        <v>34</v>
      </c>
      <c r="O447" s="306">
        <v>326</v>
      </c>
      <c r="P447" s="306">
        <v>64</v>
      </c>
      <c r="Q447" s="306"/>
      <c r="R447" s="24"/>
      <c r="S447" s="24"/>
      <c r="T447" s="24"/>
      <c r="W447" s="24"/>
      <c r="X447" s="24"/>
      <c r="Y447" s="24"/>
      <c r="Z447" s="24"/>
      <c r="AA447" s="24"/>
      <c r="AB447" s="24"/>
      <c r="AC447" s="24"/>
      <c r="AI447" s="24"/>
      <c r="AJ447" s="24"/>
      <c r="AK447" s="24"/>
      <c r="AL447" s="24"/>
      <c r="AM447" s="24"/>
      <c r="AN447" s="24"/>
      <c r="AO447" s="24"/>
      <c r="AP447" s="24"/>
      <c r="AQ447" s="24"/>
      <c r="AR447" s="24"/>
      <c r="BI447" s="24">
        <v>2021</v>
      </c>
      <c r="BJ447" s="24">
        <v>12</v>
      </c>
      <c r="BK447" s="24" t="s">
        <v>33</v>
      </c>
      <c r="BL447" s="24" t="s">
        <v>273</v>
      </c>
      <c r="BM447" s="24">
        <v>71134</v>
      </c>
      <c r="BN447" s="24">
        <v>70811</v>
      </c>
      <c r="BO447" s="24">
        <v>72494</v>
      </c>
      <c r="DD447" s="24"/>
      <c r="DE447" s="24"/>
      <c r="DF447" s="24"/>
      <c r="DG447" s="24"/>
      <c r="DJ447" s="24">
        <v>2019</v>
      </c>
      <c r="DK447" s="24">
        <v>35</v>
      </c>
      <c r="DL447" s="24" t="s">
        <v>32</v>
      </c>
      <c r="DM447" s="24">
        <v>162</v>
      </c>
      <c r="DP447" s="24"/>
      <c r="DQ447" s="24"/>
      <c r="DR447" s="24"/>
      <c r="DS447" s="24"/>
      <c r="EI447" s="24">
        <v>2022</v>
      </c>
      <c r="EJ447" s="24">
        <v>49</v>
      </c>
      <c r="EK447" s="24" t="s">
        <v>237</v>
      </c>
      <c r="EL447" s="24" t="s">
        <v>233</v>
      </c>
      <c r="EM447" s="24" t="s">
        <v>210</v>
      </c>
      <c r="EN447" s="24">
        <v>2</v>
      </c>
      <c r="EO447" s="24"/>
      <c r="EP447" s="24"/>
      <c r="EQ447" s="24"/>
      <c r="ER447" s="24"/>
      <c r="ES447" s="24">
        <v>2020</v>
      </c>
      <c r="ET447" s="24">
        <v>13</v>
      </c>
      <c r="EU447" s="24" t="s">
        <v>32</v>
      </c>
      <c r="EV447" s="24">
        <v>2164</v>
      </c>
      <c r="FW447" s="24">
        <v>2019</v>
      </c>
      <c r="FX447" s="24">
        <v>15</v>
      </c>
      <c r="FY447" s="24" t="s">
        <v>33</v>
      </c>
      <c r="FZ447" s="24">
        <v>9971</v>
      </c>
      <c r="GA447" s="24">
        <v>9308</v>
      </c>
      <c r="GB447" s="24"/>
      <c r="GC447" s="24"/>
      <c r="GD447" s="24"/>
      <c r="GE447" s="24"/>
      <c r="GF447" s="24"/>
      <c r="GG447" s="24"/>
      <c r="GH447" s="24"/>
      <c r="GK447" s="24"/>
      <c r="GL447" s="24"/>
      <c r="GM447" s="24"/>
      <c r="GN447" s="24"/>
      <c r="GO447" s="24"/>
      <c r="GX447">
        <v>2019</v>
      </c>
      <c r="GY447">
        <v>15</v>
      </c>
      <c r="GZ447" t="s">
        <v>33</v>
      </c>
      <c r="HA447">
        <v>212616</v>
      </c>
      <c r="HB447">
        <v>209156</v>
      </c>
      <c r="HC447">
        <v>624</v>
      </c>
      <c r="HD447">
        <v>61</v>
      </c>
      <c r="HE447">
        <v>0</v>
      </c>
      <c r="HF447">
        <v>982</v>
      </c>
      <c r="HG447">
        <v>0</v>
      </c>
      <c r="HH447">
        <v>1</v>
      </c>
      <c r="HI447">
        <v>1126</v>
      </c>
      <c r="HZ447" s="24">
        <v>2019</v>
      </c>
      <c r="IA447" s="24">
        <v>15</v>
      </c>
      <c r="IB447" s="24" t="s">
        <v>33</v>
      </c>
      <c r="IC447" s="24">
        <v>9958</v>
      </c>
      <c r="ID447" s="24">
        <v>9184</v>
      </c>
    </row>
    <row r="448" spans="9:245" x14ac:dyDescent="0.4">
      <c r="I448" s="305">
        <v>2019</v>
      </c>
      <c r="J448" s="306">
        <v>15</v>
      </c>
      <c r="K448" s="306" t="s">
        <v>33</v>
      </c>
      <c r="L448" s="306">
        <v>211729</v>
      </c>
      <c r="M448" s="306">
        <v>203561</v>
      </c>
      <c r="N448" s="306">
        <v>339</v>
      </c>
      <c r="O448" s="306">
        <v>2428</v>
      </c>
      <c r="P448" s="306">
        <v>492</v>
      </c>
      <c r="Q448" s="306">
        <v>40</v>
      </c>
      <c r="R448" s="24"/>
      <c r="S448" s="24"/>
      <c r="T448" s="24"/>
      <c r="W448" s="24"/>
      <c r="X448" s="24"/>
      <c r="Y448" s="24"/>
      <c r="Z448" s="24"/>
      <c r="AA448" s="24"/>
      <c r="AB448" s="24"/>
      <c r="AC448" s="24"/>
      <c r="AI448" s="24"/>
      <c r="AJ448" s="24"/>
      <c r="AK448" s="24"/>
      <c r="AL448" s="24"/>
      <c r="AM448" s="24"/>
      <c r="AN448" s="24"/>
      <c r="AO448" s="24"/>
      <c r="AP448" s="24"/>
      <c r="AQ448" s="24"/>
      <c r="AR448" s="24"/>
      <c r="BI448" s="24">
        <v>2021</v>
      </c>
      <c r="BJ448" s="24">
        <v>12</v>
      </c>
      <c r="BK448" s="24" t="s">
        <v>32</v>
      </c>
      <c r="BL448" s="24" t="s">
        <v>273</v>
      </c>
      <c r="BM448" s="24">
        <v>4857</v>
      </c>
      <c r="BN448" s="24">
        <v>4844</v>
      </c>
      <c r="BO448" s="24">
        <v>4925</v>
      </c>
      <c r="DD448" s="24"/>
      <c r="DE448" s="24"/>
      <c r="DF448" s="24"/>
      <c r="DG448" s="24"/>
      <c r="DJ448" s="24">
        <v>2019</v>
      </c>
      <c r="DK448" s="24">
        <v>35</v>
      </c>
      <c r="DL448" s="24" t="s">
        <v>33</v>
      </c>
      <c r="DM448" s="24">
        <v>1566</v>
      </c>
      <c r="DP448" s="24"/>
      <c r="DQ448" s="24"/>
      <c r="DR448" s="24"/>
      <c r="DS448" s="24"/>
      <c r="EI448" s="24">
        <v>2022</v>
      </c>
      <c r="EJ448" s="24">
        <v>49</v>
      </c>
      <c r="EK448" s="24" t="s">
        <v>237</v>
      </c>
      <c r="EL448" s="24" t="s">
        <v>233</v>
      </c>
      <c r="EM448" s="24" t="s">
        <v>215</v>
      </c>
      <c r="EN448" s="24">
        <v>2</v>
      </c>
      <c r="EO448" s="24"/>
      <c r="EP448" s="24"/>
      <c r="EQ448" s="24"/>
      <c r="ER448" s="24"/>
      <c r="ES448" s="24">
        <v>2020</v>
      </c>
      <c r="ET448" s="24">
        <v>13</v>
      </c>
      <c r="EU448" s="24" t="s">
        <v>33</v>
      </c>
      <c r="EV448" s="24">
        <v>61498</v>
      </c>
      <c r="FW448" s="24">
        <v>2019</v>
      </c>
      <c r="FX448" s="24">
        <v>14</v>
      </c>
      <c r="FY448" s="24" t="s">
        <v>32</v>
      </c>
      <c r="FZ448" s="24">
        <v>941</v>
      </c>
      <c r="GA448" s="24">
        <v>917</v>
      </c>
      <c r="GB448" s="24"/>
      <c r="GC448" s="24"/>
      <c r="GD448" s="24"/>
      <c r="GE448" s="24"/>
      <c r="GF448" s="24"/>
      <c r="GG448" s="24"/>
      <c r="GH448" s="24"/>
      <c r="GK448" s="24"/>
      <c r="GL448" s="24"/>
      <c r="GM448" s="24"/>
      <c r="GN448" s="24"/>
      <c r="GO448" s="24"/>
      <c r="GX448">
        <v>2019</v>
      </c>
      <c r="GY448">
        <v>14</v>
      </c>
      <c r="GZ448" t="s">
        <v>32</v>
      </c>
      <c r="HA448">
        <v>7499</v>
      </c>
      <c r="HB448">
        <v>7326</v>
      </c>
      <c r="HC448">
        <v>22</v>
      </c>
      <c r="HD448">
        <v>24</v>
      </c>
      <c r="HE448">
        <v>0</v>
      </c>
      <c r="HF448">
        <v>0</v>
      </c>
      <c r="HG448">
        <v>0</v>
      </c>
      <c r="HH448">
        <v>0</v>
      </c>
      <c r="HI448">
        <v>31</v>
      </c>
      <c r="HZ448" s="24">
        <v>2019</v>
      </c>
      <c r="IA448" s="24">
        <v>14</v>
      </c>
      <c r="IB448" s="24" t="s">
        <v>32</v>
      </c>
      <c r="IC448" s="24">
        <v>932</v>
      </c>
      <c r="ID448" s="24">
        <v>907</v>
      </c>
    </row>
    <row r="449" spans="9:238" x14ac:dyDescent="0.4">
      <c r="I449" s="305">
        <v>2019</v>
      </c>
      <c r="J449" s="306">
        <v>14</v>
      </c>
      <c r="K449" s="306" t="s">
        <v>32</v>
      </c>
      <c r="L449" s="306">
        <v>7567</v>
      </c>
      <c r="M449" s="306">
        <v>7370</v>
      </c>
      <c r="N449" s="306">
        <v>25</v>
      </c>
      <c r="O449" s="306">
        <v>156</v>
      </c>
      <c r="P449" s="306">
        <v>21</v>
      </c>
      <c r="Q449" s="306"/>
      <c r="R449" s="24"/>
      <c r="S449" s="24"/>
      <c r="T449" s="24"/>
      <c r="W449" s="24"/>
      <c r="X449" s="24"/>
      <c r="Y449" s="24"/>
      <c r="Z449" s="24"/>
      <c r="AA449" s="24"/>
      <c r="AB449" s="24"/>
      <c r="AC449" s="24"/>
      <c r="AI449" s="24"/>
      <c r="AJ449" s="24"/>
      <c r="AK449" s="24"/>
      <c r="AL449" s="24"/>
      <c r="AM449" s="24"/>
      <c r="AN449" s="24"/>
      <c r="AO449" s="24"/>
      <c r="AP449" s="24"/>
      <c r="AQ449" s="24"/>
      <c r="AR449" s="24"/>
      <c r="BI449" s="24">
        <v>2021</v>
      </c>
      <c r="BJ449" s="24">
        <v>12</v>
      </c>
      <c r="BK449" s="24" t="s">
        <v>33</v>
      </c>
      <c r="BL449" s="24" t="s">
        <v>272</v>
      </c>
      <c r="BM449" s="24">
        <v>43882</v>
      </c>
      <c r="BN449" s="24">
        <v>43848</v>
      </c>
      <c r="BO449" s="24">
        <v>157078</v>
      </c>
      <c r="DD449" s="24"/>
      <c r="DE449" s="24"/>
      <c r="DF449" s="24"/>
      <c r="DG449" s="24"/>
      <c r="DJ449" s="24">
        <v>2019</v>
      </c>
      <c r="DK449" s="24">
        <v>35</v>
      </c>
      <c r="DL449" s="24" t="s">
        <v>213</v>
      </c>
      <c r="DM449" s="24">
        <v>1</v>
      </c>
      <c r="DP449" s="24"/>
      <c r="DQ449" s="24"/>
      <c r="DR449" s="24"/>
      <c r="DS449" s="24"/>
      <c r="EI449" s="24">
        <v>2022</v>
      </c>
      <c r="EJ449" s="24">
        <v>49</v>
      </c>
      <c r="EK449" s="24" t="s">
        <v>237</v>
      </c>
      <c r="EL449" s="24" t="s">
        <v>235</v>
      </c>
      <c r="EM449" s="24" t="s">
        <v>210</v>
      </c>
      <c r="EN449" s="24">
        <v>1</v>
      </c>
      <c r="EO449" s="24"/>
      <c r="EP449" s="24"/>
      <c r="EQ449" s="24"/>
      <c r="ER449" s="24"/>
      <c r="ES449" s="24">
        <v>2020</v>
      </c>
      <c r="ET449" s="24">
        <v>13</v>
      </c>
      <c r="EU449" s="24" t="s">
        <v>213</v>
      </c>
      <c r="EV449" s="24">
        <v>25</v>
      </c>
      <c r="FW449" s="24">
        <v>2019</v>
      </c>
      <c r="FX449" s="24">
        <v>14</v>
      </c>
      <c r="FY449" s="24" t="s">
        <v>33</v>
      </c>
      <c r="FZ449" s="24">
        <v>12367</v>
      </c>
      <c r="GA449" s="24">
        <v>11166</v>
      </c>
      <c r="GB449" s="24"/>
      <c r="GC449" s="24"/>
      <c r="GD449" s="24"/>
      <c r="GE449" s="24"/>
      <c r="GF449" s="24"/>
      <c r="GG449" s="24"/>
      <c r="GH449" s="24"/>
      <c r="GK449" s="24"/>
      <c r="GL449" s="24"/>
      <c r="GM449" s="24"/>
      <c r="GN449" s="24"/>
      <c r="GO449" s="24"/>
      <c r="GX449">
        <v>2019</v>
      </c>
      <c r="GY449">
        <v>14</v>
      </c>
      <c r="GZ449" t="s">
        <v>33</v>
      </c>
      <c r="HA449">
        <v>220085</v>
      </c>
      <c r="HB449">
        <v>215402</v>
      </c>
      <c r="HC449">
        <v>767</v>
      </c>
      <c r="HD449">
        <v>142</v>
      </c>
      <c r="HE449">
        <v>0</v>
      </c>
      <c r="HF449">
        <v>1939</v>
      </c>
      <c r="HG449">
        <v>0</v>
      </c>
      <c r="HH449">
        <v>1</v>
      </c>
      <c r="HI449">
        <v>1481</v>
      </c>
      <c r="HZ449" s="24">
        <v>2019</v>
      </c>
      <c r="IA449" s="24">
        <v>14</v>
      </c>
      <c r="IB449" s="24" t="s">
        <v>33</v>
      </c>
      <c r="IC449" s="24">
        <v>12371</v>
      </c>
      <c r="ID449" s="24">
        <v>11192</v>
      </c>
    </row>
    <row r="450" spans="9:238" x14ac:dyDescent="0.4">
      <c r="I450" s="305">
        <v>2019</v>
      </c>
      <c r="J450" s="306">
        <v>14</v>
      </c>
      <c r="K450" s="306" t="s">
        <v>33</v>
      </c>
      <c r="L450" s="306">
        <v>221280</v>
      </c>
      <c r="M450" s="306">
        <v>211028</v>
      </c>
      <c r="N450" s="306">
        <v>381</v>
      </c>
      <c r="O450" s="306">
        <v>2468</v>
      </c>
      <c r="P450" s="306">
        <v>597</v>
      </c>
      <c r="Q450" s="306">
        <v>13</v>
      </c>
      <c r="R450" s="24"/>
      <c r="S450" s="24"/>
      <c r="T450" s="24"/>
      <c r="W450" s="24"/>
      <c r="X450" s="24"/>
      <c r="Y450" s="24"/>
      <c r="Z450" s="24"/>
      <c r="AA450" s="24"/>
      <c r="AB450" s="24"/>
      <c r="AC450" s="24"/>
      <c r="AI450" s="24"/>
      <c r="AJ450" s="24"/>
      <c r="AK450" s="24"/>
      <c r="AL450" s="24"/>
      <c r="AM450" s="24"/>
      <c r="AN450" s="24"/>
      <c r="AO450" s="24"/>
      <c r="AP450" s="24"/>
      <c r="AQ450" s="24"/>
      <c r="AR450" s="24"/>
      <c r="BI450" s="24">
        <v>2021</v>
      </c>
      <c r="BJ450" s="24">
        <v>11</v>
      </c>
      <c r="BK450" s="24" t="s">
        <v>32</v>
      </c>
      <c r="BL450" s="24" t="s">
        <v>272</v>
      </c>
      <c r="BM450" s="24">
        <v>2166</v>
      </c>
      <c r="BN450" s="24">
        <v>2166</v>
      </c>
      <c r="BO450" s="24">
        <v>7622</v>
      </c>
      <c r="DD450" s="24"/>
      <c r="DE450" s="24"/>
      <c r="DF450" s="24"/>
      <c r="DG450" s="24"/>
      <c r="DJ450" s="24">
        <v>2019</v>
      </c>
      <c r="DK450" s="24">
        <v>34</v>
      </c>
      <c r="DL450" s="24" t="s">
        <v>32</v>
      </c>
      <c r="DM450" s="24">
        <v>168</v>
      </c>
      <c r="DP450" s="24"/>
      <c r="DQ450" s="24"/>
      <c r="DR450" s="24"/>
      <c r="DS450" s="24"/>
      <c r="EI450" s="24">
        <v>2022</v>
      </c>
      <c r="EJ450" s="24">
        <v>49</v>
      </c>
      <c r="EK450" s="24" t="s">
        <v>237</v>
      </c>
      <c r="EL450" s="24" t="s">
        <v>235</v>
      </c>
      <c r="EM450" s="24" t="s">
        <v>215</v>
      </c>
      <c r="EN450" s="24">
        <v>3</v>
      </c>
      <c r="EO450" s="24"/>
      <c r="EP450" s="24"/>
      <c r="EQ450" s="24"/>
      <c r="ER450" s="24"/>
      <c r="ES450" s="24">
        <v>2020</v>
      </c>
      <c r="ET450" s="24">
        <v>12</v>
      </c>
      <c r="EU450" s="24" t="s">
        <v>32</v>
      </c>
      <c r="EV450" s="24">
        <v>3018</v>
      </c>
      <c r="FW450" s="24">
        <v>2019</v>
      </c>
      <c r="FX450" s="24">
        <v>13</v>
      </c>
      <c r="FY450" s="24" t="s">
        <v>32</v>
      </c>
      <c r="FZ450" s="24">
        <v>871</v>
      </c>
      <c r="GA450" s="24">
        <v>841</v>
      </c>
      <c r="GB450" s="24"/>
      <c r="GC450" s="24"/>
      <c r="GD450" s="24"/>
      <c r="GE450" s="24"/>
      <c r="GF450" s="24"/>
      <c r="GG450" s="24"/>
      <c r="GH450" s="24"/>
      <c r="GK450" s="24"/>
      <c r="GL450" s="24"/>
      <c r="GM450" s="24"/>
      <c r="GN450" s="24"/>
      <c r="GO450" s="24"/>
      <c r="GX450">
        <v>2019</v>
      </c>
      <c r="GY450">
        <v>13</v>
      </c>
      <c r="GZ450" t="s">
        <v>32</v>
      </c>
      <c r="HA450">
        <v>9513</v>
      </c>
      <c r="HB450">
        <v>8286</v>
      </c>
      <c r="HC450">
        <v>0</v>
      </c>
      <c r="HD450">
        <v>655</v>
      </c>
      <c r="HE450">
        <v>0</v>
      </c>
      <c r="HF450">
        <v>154</v>
      </c>
      <c r="HG450">
        <v>0</v>
      </c>
      <c r="HH450">
        <v>0</v>
      </c>
      <c r="HI450">
        <v>285</v>
      </c>
      <c r="HZ450" s="24">
        <v>2019</v>
      </c>
      <c r="IA450" s="24">
        <v>13</v>
      </c>
      <c r="IB450" s="24" t="s">
        <v>32</v>
      </c>
      <c r="IC450" s="24">
        <v>834</v>
      </c>
      <c r="ID450" s="24">
        <v>803</v>
      </c>
    </row>
    <row r="451" spans="9:238" x14ac:dyDescent="0.4">
      <c r="I451" s="305">
        <v>2019</v>
      </c>
      <c r="J451" s="306">
        <v>13</v>
      </c>
      <c r="K451" s="306" t="s">
        <v>32</v>
      </c>
      <c r="L451" s="306">
        <v>9488</v>
      </c>
      <c r="M451" s="306">
        <v>8235</v>
      </c>
      <c r="N451" s="306">
        <v>95</v>
      </c>
      <c r="O451" s="306">
        <v>622</v>
      </c>
      <c r="P451" s="306">
        <v>16</v>
      </c>
      <c r="Q451" s="306"/>
      <c r="R451" s="24"/>
      <c r="S451" s="24"/>
      <c r="T451" s="24"/>
      <c r="W451" s="24"/>
      <c r="X451" s="24"/>
      <c r="Y451" s="24"/>
      <c r="Z451" s="24"/>
      <c r="AA451" s="24"/>
      <c r="AB451" s="24"/>
      <c r="AC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BI451" s="24">
        <v>2021</v>
      </c>
      <c r="BJ451" s="24">
        <v>11</v>
      </c>
      <c r="BK451" s="24" t="s">
        <v>33</v>
      </c>
      <c r="BL451" s="24" t="s">
        <v>272</v>
      </c>
      <c r="BM451" s="24">
        <v>43600</v>
      </c>
      <c r="BN451" s="24">
        <v>43576</v>
      </c>
      <c r="BO451" s="24">
        <v>155906</v>
      </c>
      <c r="DD451" s="24"/>
      <c r="DE451" s="24"/>
      <c r="DF451" s="24"/>
      <c r="DG451" s="24"/>
      <c r="DJ451" s="24">
        <v>2019</v>
      </c>
      <c r="DK451" s="24">
        <v>34</v>
      </c>
      <c r="DL451" s="24" t="s">
        <v>33</v>
      </c>
      <c r="DM451" s="24">
        <v>4243</v>
      </c>
      <c r="DP451" s="24"/>
      <c r="DQ451" s="24"/>
      <c r="DR451" s="24"/>
      <c r="DS451" s="24"/>
      <c r="EI451" s="24">
        <v>2022</v>
      </c>
      <c r="EJ451" s="24">
        <v>49</v>
      </c>
      <c r="EK451" s="24" t="s">
        <v>211</v>
      </c>
      <c r="EL451" s="24" t="s">
        <v>232</v>
      </c>
      <c r="EM451" s="24" t="s">
        <v>210</v>
      </c>
      <c r="EN451" s="24">
        <v>2</v>
      </c>
      <c r="EO451" s="24"/>
      <c r="EP451" s="24"/>
      <c r="EQ451" s="24"/>
      <c r="ER451" s="24"/>
      <c r="ES451" s="24">
        <v>2020</v>
      </c>
      <c r="ET451" s="24">
        <v>12</v>
      </c>
      <c r="EU451" s="24" t="s">
        <v>33</v>
      </c>
      <c r="EV451" s="24">
        <v>80666</v>
      </c>
      <c r="FW451" s="24">
        <v>2019</v>
      </c>
      <c r="FX451" s="24">
        <v>13</v>
      </c>
      <c r="FY451" s="24" t="s">
        <v>33</v>
      </c>
      <c r="FZ451" s="24">
        <v>10878</v>
      </c>
      <c r="GA451" s="24">
        <v>9461</v>
      </c>
      <c r="GB451" s="24"/>
      <c r="GC451" s="24"/>
      <c r="GD451" s="24"/>
      <c r="GE451" s="24"/>
      <c r="GF451" s="24"/>
      <c r="GG451" s="24"/>
      <c r="GH451" s="24"/>
      <c r="GK451" s="24"/>
      <c r="GL451" s="24"/>
      <c r="GM451" s="24"/>
      <c r="GN451" s="24"/>
      <c r="GO451" s="24"/>
      <c r="GX451">
        <v>2019</v>
      </c>
      <c r="GY451">
        <v>13</v>
      </c>
      <c r="GZ451" t="s">
        <v>33</v>
      </c>
      <c r="HA451">
        <v>213746</v>
      </c>
      <c r="HB451">
        <v>207355</v>
      </c>
      <c r="HC451">
        <v>1502</v>
      </c>
      <c r="HD451">
        <v>63</v>
      </c>
      <c r="HE451">
        <v>0</v>
      </c>
      <c r="HF451">
        <v>2549</v>
      </c>
      <c r="HG451">
        <v>0</v>
      </c>
      <c r="HH451">
        <v>0</v>
      </c>
      <c r="HI451">
        <v>1858</v>
      </c>
      <c r="HZ451" s="24">
        <v>2019</v>
      </c>
      <c r="IA451" s="24">
        <v>13</v>
      </c>
      <c r="IB451" s="24" t="s">
        <v>33</v>
      </c>
      <c r="IC451" s="24">
        <v>10981</v>
      </c>
      <c r="ID451" s="24">
        <v>9398</v>
      </c>
    </row>
    <row r="452" spans="9:238" x14ac:dyDescent="0.4">
      <c r="I452" s="305">
        <v>2019</v>
      </c>
      <c r="J452" s="306">
        <v>13</v>
      </c>
      <c r="K452" s="306" t="s">
        <v>33</v>
      </c>
      <c r="L452" s="306">
        <v>212506</v>
      </c>
      <c r="M452" s="306">
        <v>200747</v>
      </c>
      <c r="N452" s="306">
        <v>307</v>
      </c>
      <c r="O452" s="306">
        <v>2798</v>
      </c>
      <c r="P452" s="306">
        <v>877</v>
      </c>
      <c r="Q452" s="306">
        <v>30</v>
      </c>
      <c r="R452" s="24"/>
      <c r="S452" s="24"/>
      <c r="T452" s="24"/>
      <c r="W452" s="24"/>
      <c r="X452" s="24"/>
      <c r="Y452" s="24"/>
      <c r="Z452" s="24"/>
      <c r="AA452" s="24"/>
      <c r="AB452" s="24"/>
      <c r="AC452" s="24"/>
      <c r="AI452" s="24"/>
      <c r="AJ452" s="24"/>
      <c r="AO452" s="24"/>
      <c r="AP452" s="24"/>
      <c r="AQ452" s="24"/>
      <c r="AR452" s="24"/>
      <c r="BI452" s="24">
        <v>2021</v>
      </c>
      <c r="BJ452" s="24">
        <v>11</v>
      </c>
      <c r="BK452" s="24" t="s">
        <v>33</v>
      </c>
      <c r="BL452" s="24" t="s">
        <v>273</v>
      </c>
      <c r="BM452" s="24">
        <v>69279</v>
      </c>
      <c r="BN452" s="24">
        <v>69032</v>
      </c>
      <c r="BO452" s="24">
        <v>70321</v>
      </c>
      <c r="DD452" s="24"/>
      <c r="DE452" s="24"/>
      <c r="DF452" s="24"/>
      <c r="DG452" s="24"/>
      <c r="DJ452" s="24">
        <v>2019</v>
      </c>
      <c r="DK452" s="24">
        <v>34</v>
      </c>
      <c r="DL452" s="24" t="s">
        <v>213</v>
      </c>
      <c r="DM452" s="24">
        <v>4</v>
      </c>
      <c r="DP452" s="24"/>
      <c r="DQ452" s="24"/>
      <c r="DR452" s="24"/>
      <c r="DS452" s="24"/>
      <c r="EI452" s="24">
        <v>2022</v>
      </c>
      <c r="EJ452" s="24">
        <v>49</v>
      </c>
      <c r="EK452" s="24" t="s">
        <v>211</v>
      </c>
      <c r="EL452" s="24" t="s">
        <v>212</v>
      </c>
      <c r="EM452" s="24" t="s">
        <v>210</v>
      </c>
      <c r="EN452" s="24">
        <v>17</v>
      </c>
      <c r="EO452" s="24"/>
      <c r="EP452" s="24"/>
      <c r="ES452" s="24">
        <v>2020</v>
      </c>
      <c r="ET452" s="24">
        <v>12</v>
      </c>
      <c r="EU452" s="24" t="s">
        <v>213</v>
      </c>
      <c r="EV452" s="24">
        <v>53</v>
      </c>
      <c r="FW452" s="24">
        <v>2019</v>
      </c>
      <c r="FX452" s="24">
        <v>12</v>
      </c>
      <c r="FY452" s="24" t="s">
        <v>32</v>
      </c>
      <c r="FZ452" s="24">
        <v>709</v>
      </c>
      <c r="GA452" s="24">
        <v>692</v>
      </c>
      <c r="GB452" s="24"/>
      <c r="GC452" s="24"/>
      <c r="GD452" s="24"/>
      <c r="GE452" s="24"/>
      <c r="GF452" s="24"/>
      <c r="GG452" s="24"/>
      <c r="GH452" s="24"/>
      <c r="GK452" s="24"/>
      <c r="GL452" s="24"/>
      <c r="GM452" s="24"/>
      <c r="GN452" s="24"/>
      <c r="GO452" s="24"/>
      <c r="GX452">
        <v>2019</v>
      </c>
      <c r="GY452">
        <v>12</v>
      </c>
      <c r="GZ452" t="s">
        <v>32</v>
      </c>
      <c r="HA452">
        <v>6013</v>
      </c>
      <c r="HB452">
        <v>5819</v>
      </c>
      <c r="HC452">
        <v>2</v>
      </c>
      <c r="HD452">
        <v>5</v>
      </c>
      <c r="HE452">
        <v>0</v>
      </c>
      <c r="HF452">
        <v>4</v>
      </c>
      <c r="HG452">
        <v>0</v>
      </c>
      <c r="HH452">
        <v>0</v>
      </c>
      <c r="HI452">
        <v>31</v>
      </c>
      <c r="HZ452" s="24">
        <v>2019</v>
      </c>
      <c r="IA452" s="24">
        <v>12</v>
      </c>
      <c r="IB452" s="24" t="s">
        <v>32</v>
      </c>
      <c r="IC452" s="24">
        <v>668</v>
      </c>
      <c r="ID452" s="24">
        <v>651</v>
      </c>
    </row>
    <row r="453" spans="9:238" x14ac:dyDescent="0.4">
      <c r="I453" s="305">
        <v>2019</v>
      </c>
      <c r="J453" s="306">
        <v>12</v>
      </c>
      <c r="K453" s="306" t="s">
        <v>32</v>
      </c>
      <c r="L453" s="306">
        <v>6488</v>
      </c>
      <c r="M453" s="306">
        <v>6106</v>
      </c>
      <c r="N453" s="306">
        <v>26</v>
      </c>
      <c r="O453" s="306">
        <v>167</v>
      </c>
      <c r="P453" s="306">
        <v>53</v>
      </c>
      <c r="Q453" s="306"/>
      <c r="R453" s="24"/>
      <c r="S453" s="24"/>
      <c r="T453" s="24"/>
      <c r="W453" s="24"/>
      <c r="X453" s="24"/>
      <c r="Y453" s="24"/>
      <c r="Z453" s="24"/>
      <c r="AA453" s="24"/>
      <c r="AB453" s="24"/>
      <c r="AC453" s="24"/>
      <c r="AI453" s="24"/>
      <c r="AJ453" s="24"/>
      <c r="AO453" s="24"/>
      <c r="AP453" s="24"/>
      <c r="AQ453" s="24"/>
      <c r="AR453" s="24"/>
      <c r="BI453" s="24">
        <v>2021</v>
      </c>
      <c r="BJ453" s="24">
        <v>11</v>
      </c>
      <c r="BK453" s="24" t="s">
        <v>32</v>
      </c>
      <c r="BL453" s="24" t="s">
        <v>273</v>
      </c>
      <c r="BM453" s="24">
        <v>4589</v>
      </c>
      <c r="BN453" s="24">
        <v>4575</v>
      </c>
      <c r="BO453" s="24">
        <v>4676</v>
      </c>
      <c r="DD453" s="24"/>
      <c r="DE453" s="24"/>
      <c r="DF453" s="24"/>
      <c r="DG453" s="24"/>
      <c r="DJ453" s="24">
        <v>2019</v>
      </c>
      <c r="DK453" s="24">
        <v>33</v>
      </c>
      <c r="DL453" s="24" t="s">
        <v>32</v>
      </c>
      <c r="DM453" s="24">
        <v>10</v>
      </c>
      <c r="DP453" s="24"/>
      <c r="DQ453" s="24"/>
      <c r="DR453" s="24"/>
      <c r="DS453" s="24"/>
      <c r="EI453" s="24">
        <v>2022</v>
      </c>
      <c r="EJ453" s="24">
        <v>49</v>
      </c>
      <c r="EK453" s="24" t="s">
        <v>211</v>
      </c>
      <c r="EL453" s="24" t="s">
        <v>212</v>
      </c>
      <c r="EM453" s="24" t="s">
        <v>234</v>
      </c>
      <c r="EN453" s="24">
        <v>25</v>
      </c>
      <c r="EO453" s="24"/>
      <c r="EP453" s="24"/>
      <c r="ES453" s="24">
        <v>2020</v>
      </c>
      <c r="ET453" s="24">
        <v>11</v>
      </c>
      <c r="EU453" s="24" t="s">
        <v>32</v>
      </c>
      <c r="EV453" s="24">
        <v>3608</v>
      </c>
      <c r="FW453" s="24">
        <v>2019</v>
      </c>
      <c r="FX453" s="24">
        <v>12</v>
      </c>
      <c r="FY453" s="24" t="s">
        <v>33</v>
      </c>
      <c r="FZ453" s="24">
        <v>11426</v>
      </c>
      <c r="GA453" s="24">
        <v>9648</v>
      </c>
      <c r="GB453" s="24"/>
      <c r="GC453" s="24"/>
      <c r="GD453" s="24"/>
      <c r="GE453" s="24"/>
      <c r="GF453" s="24"/>
      <c r="GG453" s="24"/>
      <c r="GH453" s="24"/>
      <c r="GK453" s="24"/>
      <c r="GL453" s="24"/>
      <c r="GM453" s="24"/>
      <c r="GN453" s="24"/>
      <c r="GO453" s="24"/>
      <c r="GX453">
        <v>2019</v>
      </c>
      <c r="GY453">
        <v>12</v>
      </c>
      <c r="GZ453" t="s">
        <v>33</v>
      </c>
      <c r="HA453">
        <v>205050</v>
      </c>
      <c r="HB453">
        <v>199547</v>
      </c>
      <c r="HC453">
        <v>1591</v>
      </c>
      <c r="HD453">
        <v>74</v>
      </c>
      <c r="HE453">
        <v>0</v>
      </c>
      <c r="HF453">
        <v>2355</v>
      </c>
      <c r="HG453">
        <v>0</v>
      </c>
      <c r="HH453">
        <v>1</v>
      </c>
      <c r="HI453">
        <v>1136</v>
      </c>
      <c r="HZ453" s="24">
        <v>2019</v>
      </c>
      <c r="IA453" s="24">
        <v>12</v>
      </c>
      <c r="IB453" s="24" t="s">
        <v>33</v>
      </c>
      <c r="IC453" s="24">
        <v>11336</v>
      </c>
      <c r="ID453" s="24">
        <v>9586</v>
      </c>
    </row>
    <row r="454" spans="9:238" x14ac:dyDescent="0.4">
      <c r="I454" s="305">
        <v>2019</v>
      </c>
      <c r="J454" s="306">
        <v>12</v>
      </c>
      <c r="K454" s="306" t="s">
        <v>33</v>
      </c>
      <c r="L454" s="306">
        <v>206061</v>
      </c>
      <c r="M454" s="306">
        <v>194983</v>
      </c>
      <c r="N454" s="306">
        <v>281</v>
      </c>
      <c r="O454" s="306">
        <v>2788</v>
      </c>
      <c r="P454" s="306">
        <v>1369</v>
      </c>
      <c r="Q454" s="306">
        <v>66</v>
      </c>
      <c r="R454" s="24"/>
      <c r="S454" s="24"/>
      <c r="T454" s="24"/>
      <c r="W454" s="24"/>
      <c r="X454" s="24"/>
      <c r="Y454" s="24"/>
      <c r="Z454" s="24"/>
      <c r="AA454" s="24"/>
      <c r="AB454" s="24"/>
      <c r="AC454" s="24"/>
      <c r="AI454" s="24"/>
      <c r="AJ454" s="24"/>
      <c r="AO454" s="24"/>
      <c r="AP454" s="24"/>
      <c r="AQ454" s="24"/>
      <c r="AR454" s="24"/>
      <c r="BI454" s="24">
        <v>2021</v>
      </c>
      <c r="BJ454" s="24">
        <v>10</v>
      </c>
      <c r="BK454" s="24" t="s">
        <v>33</v>
      </c>
      <c r="BL454" s="24" t="s">
        <v>273</v>
      </c>
      <c r="BM454" s="24">
        <v>68105</v>
      </c>
      <c r="BN454" s="24">
        <v>67874</v>
      </c>
      <c r="BO454" s="24">
        <v>69660</v>
      </c>
      <c r="DD454" s="24"/>
      <c r="DE454" s="24"/>
      <c r="DF454" s="24"/>
      <c r="DG454" s="24"/>
      <c r="DJ454" s="24">
        <v>2019</v>
      </c>
      <c r="DK454" s="24">
        <v>33</v>
      </c>
      <c r="DL454" s="24" t="s">
        <v>33</v>
      </c>
      <c r="DM454" s="24">
        <v>2223</v>
      </c>
      <c r="DP454" s="24"/>
      <c r="DQ454" s="24"/>
      <c r="DR454" s="24"/>
      <c r="DS454" s="24"/>
      <c r="EI454" s="24">
        <v>2022</v>
      </c>
      <c r="EJ454" s="24">
        <v>49</v>
      </c>
      <c r="EK454" s="24" t="s">
        <v>211</v>
      </c>
      <c r="EL454" s="24" t="s">
        <v>247</v>
      </c>
      <c r="EM454" s="24" t="s">
        <v>210</v>
      </c>
      <c r="EN454" s="24">
        <v>2</v>
      </c>
      <c r="EO454" s="24"/>
      <c r="EP454" s="24"/>
      <c r="ES454" s="24">
        <v>2020</v>
      </c>
      <c r="ET454" s="24">
        <v>11</v>
      </c>
      <c r="EU454" s="24" t="s">
        <v>33</v>
      </c>
      <c r="EV454" s="24">
        <v>89624</v>
      </c>
      <c r="FW454" s="24">
        <v>2019</v>
      </c>
      <c r="FX454" s="24">
        <v>11</v>
      </c>
      <c r="FY454" s="24" t="s">
        <v>32</v>
      </c>
      <c r="FZ454" s="24">
        <v>678</v>
      </c>
      <c r="GA454" s="24">
        <v>657</v>
      </c>
      <c r="GB454" s="24"/>
      <c r="GC454" s="24"/>
      <c r="GD454" s="24"/>
      <c r="GE454" s="24"/>
      <c r="GF454" s="24"/>
      <c r="GG454" s="24"/>
      <c r="GH454" s="24"/>
      <c r="GK454" s="24"/>
      <c r="GL454" s="24"/>
      <c r="GM454" s="24"/>
      <c r="GN454" s="24"/>
      <c r="GO454" s="24"/>
      <c r="GX454">
        <v>2019</v>
      </c>
      <c r="GY454">
        <v>11</v>
      </c>
      <c r="GZ454" t="s">
        <v>32</v>
      </c>
      <c r="HA454">
        <v>6383</v>
      </c>
      <c r="HB454">
        <v>6203</v>
      </c>
      <c r="HC454">
        <v>1</v>
      </c>
      <c r="HD454">
        <v>6</v>
      </c>
      <c r="HE454">
        <v>0</v>
      </c>
      <c r="HF454">
        <v>0</v>
      </c>
      <c r="HG454">
        <v>0</v>
      </c>
      <c r="HH454">
        <v>0</v>
      </c>
      <c r="HI454">
        <v>50</v>
      </c>
      <c r="HZ454" s="24">
        <v>2019</v>
      </c>
      <c r="IA454" s="24">
        <v>11</v>
      </c>
      <c r="IB454" s="24" t="s">
        <v>32</v>
      </c>
      <c r="IC454" s="24">
        <v>664</v>
      </c>
      <c r="ID454" s="24">
        <v>643</v>
      </c>
    </row>
    <row r="455" spans="9:238" x14ac:dyDescent="0.4">
      <c r="I455" s="305">
        <v>2019</v>
      </c>
      <c r="J455" s="306">
        <v>11</v>
      </c>
      <c r="K455" s="306" t="s">
        <v>32</v>
      </c>
      <c r="L455" s="306">
        <v>6102</v>
      </c>
      <c r="M455" s="306">
        <v>5930</v>
      </c>
      <c r="N455" s="306">
        <v>25</v>
      </c>
      <c r="O455" s="306">
        <v>129</v>
      </c>
      <c r="P455" s="306">
        <v>14</v>
      </c>
      <c r="Q455" s="306"/>
      <c r="R455" s="24"/>
      <c r="S455" s="24"/>
      <c r="T455" s="24"/>
      <c r="W455" s="24"/>
      <c r="X455" s="24"/>
      <c r="Y455" s="24"/>
      <c r="Z455" s="24"/>
      <c r="AA455" s="24"/>
      <c r="AB455" s="24"/>
      <c r="AC455" s="24"/>
      <c r="AI455" s="24"/>
      <c r="AJ455" s="24"/>
      <c r="AO455" s="24"/>
      <c r="AP455" s="24"/>
      <c r="AQ455" s="24"/>
      <c r="AR455" s="24"/>
      <c r="BI455" s="24">
        <v>2021</v>
      </c>
      <c r="BJ455" s="24">
        <v>10</v>
      </c>
      <c r="BK455" s="24" t="s">
        <v>33</v>
      </c>
      <c r="BL455" s="24" t="s">
        <v>272</v>
      </c>
      <c r="BM455" s="24">
        <v>39666</v>
      </c>
      <c r="BN455" s="24">
        <v>39648</v>
      </c>
      <c r="BO455" s="24">
        <v>140436</v>
      </c>
      <c r="DD455" s="24"/>
      <c r="DE455" s="24"/>
      <c r="DF455" s="24"/>
      <c r="DG455" s="24"/>
      <c r="DJ455" s="24">
        <v>2019</v>
      </c>
      <c r="DK455" s="24">
        <v>33</v>
      </c>
      <c r="DL455" s="24" t="s">
        <v>213</v>
      </c>
      <c r="DM455" s="24">
        <v>4</v>
      </c>
      <c r="DP455" s="24"/>
      <c r="DQ455" s="24"/>
      <c r="DR455" s="24"/>
      <c r="DS455" s="24"/>
      <c r="EI455" s="24">
        <v>2022</v>
      </c>
      <c r="EJ455" s="24">
        <v>49</v>
      </c>
      <c r="EK455" s="24" t="s">
        <v>211</v>
      </c>
      <c r="EL455" s="24" t="s">
        <v>247</v>
      </c>
      <c r="EM455" s="24" t="s">
        <v>234</v>
      </c>
      <c r="EN455" s="24">
        <v>18</v>
      </c>
      <c r="EO455" s="24"/>
      <c r="EP455" s="24"/>
      <c r="ES455" s="24">
        <v>2020</v>
      </c>
      <c r="ET455" s="24">
        <v>11</v>
      </c>
      <c r="EU455" s="24" t="s">
        <v>213</v>
      </c>
      <c r="EV455" s="24">
        <v>32</v>
      </c>
      <c r="FW455" s="24">
        <v>2019</v>
      </c>
      <c r="FX455" s="24">
        <v>11</v>
      </c>
      <c r="FY455" s="24" t="s">
        <v>33</v>
      </c>
      <c r="FZ455" s="24">
        <v>10221</v>
      </c>
      <c r="GA455" s="24">
        <v>8695</v>
      </c>
      <c r="GB455" s="24"/>
      <c r="GC455" s="24"/>
      <c r="GD455" s="24"/>
      <c r="GE455" s="24"/>
      <c r="GF455" s="24"/>
      <c r="GG455" s="24"/>
      <c r="GH455" s="24"/>
      <c r="GK455" s="24"/>
      <c r="GL455" s="24"/>
      <c r="GM455" s="24"/>
      <c r="GN455" s="24"/>
      <c r="GO455" s="24"/>
      <c r="GX455">
        <v>2019</v>
      </c>
      <c r="GY455">
        <v>11</v>
      </c>
      <c r="GZ455" t="s">
        <v>33</v>
      </c>
      <c r="HA455">
        <v>202423</v>
      </c>
      <c r="HB455">
        <v>195675</v>
      </c>
      <c r="HC455">
        <v>1406</v>
      </c>
      <c r="HD455">
        <v>87</v>
      </c>
      <c r="HE455">
        <v>0</v>
      </c>
      <c r="HF455">
        <v>2557</v>
      </c>
      <c r="HG455">
        <v>0</v>
      </c>
      <c r="HH455">
        <v>0</v>
      </c>
      <c r="HI455">
        <v>1273</v>
      </c>
      <c r="HZ455" s="24">
        <v>2019</v>
      </c>
      <c r="IA455" s="24">
        <v>11</v>
      </c>
      <c r="IB455" s="24" t="s">
        <v>33</v>
      </c>
      <c r="IC455" s="24">
        <v>10325</v>
      </c>
      <c r="ID455" s="24">
        <v>8705</v>
      </c>
    </row>
    <row r="456" spans="9:238" x14ac:dyDescent="0.4">
      <c r="I456" s="305">
        <v>2019</v>
      </c>
      <c r="J456" s="306">
        <v>11</v>
      </c>
      <c r="K456" s="306" t="s">
        <v>33</v>
      </c>
      <c r="L456" s="306">
        <v>201383</v>
      </c>
      <c r="M456" s="306">
        <v>190191</v>
      </c>
      <c r="N456" s="306">
        <v>266</v>
      </c>
      <c r="O456" s="306">
        <v>2941</v>
      </c>
      <c r="P456" s="306">
        <v>1262</v>
      </c>
      <c r="Q456" s="306">
        <v>108</v>
      </c>
      <c r="R456" s="24"/>
      <c r="S456" s="24"/>
      <c r="T456" s="24"/>
      <c r="W456" s="24"/>
      <c r="X456" s="24"/>
      <c r="Y456" s="24"/>
      <c r="Z456" s="24"/>
      <c r="AA456" s="24"/>
      <c r="AB456" s="24"/>
      <c r="AC456" s="24"/>
      <c r="AI456" s="24"/>
      <c r="AJ456" s="24"/>
      <c r="AO456" s="24"/>
      <c r="AP456" s="24"/>
      <c r="AQ456" s="24"/>
      <c r="AR456" s="24"/>
      <c r="BI456" s="24">
        <v>2021</v>
      </c>
      <c r="BJ456" s="24">
        <v>10</v>
      </c>
      <c r="BK456" s="24" t="s">
        <v>32</v>
      </c>
      <c r="BL456" s="24" t="s">
        <v>272</v>
      </c>
      <c r="BM456" s="24">
        <v>1883</v>
      </c>
      <c r="BN456" s="24">
        <v>1878</v>
      </c>
      <c r="BO456" s="24">
        <v>6449</v>
      </c>
      <c r="DD456" s="24"/>
      <c r="DE456" s="24"/>
      <c r="DF456" s="24"/>
      <c r="DG456" s="24"/>
      <c r="DJ456" s="24">
        <v>2019</v>
      </c>
      <c r="DK456" s="24">
        <v>32</v>
      </c>
      <c r="DL456" s="24" t="s">
        <v>32</v>
      </c>
      <c r="DM456" s="24">
        <v>143</v>
      </c>
      <c r="DP456" s="24"/>
      <c r="DQ456" s="24"/>
      <c r="DR456" s="24"/>
      <c r="DS456" s="24"/>
      <c r="EI456" s="24">
        <v>2022</v>
      </c>
      <c r="EJ456" s="24">
        <v>49</v>
      </c>
      <c r="EK456" s="24" t="s">
        <v>213</v>
      </c>
      <c r="EL456" s="24" t="s">
        <v>214</v>
      </c>
      <c r="EM456" s="24" t="s">
        <v>215</v>
      </c>
      <c r="EN456" s="24">
        <v>72</v>
      </c>
      <c r="EO456" s="24"/>
      <c r="EP456" s="24"/>
      <c r="ES456" s="24">
        <v>2020</v>
      </c>
      <c r="ET456" s="24">
        <v>10</v>
      </c>
      <c r="EU456" s="24" t="s">
        <v>32</v>
      </c>
      <c r="EV456" s="24">
        <v>4240</v>
      </c>
      <c r="FW456" s="24">
        <v>2019</v>
      </c>
      <c r="FX456" s="24">
        <v>10</v>
      </c>
      <c r="FY456" s="24" t="s">
        <v>32</v>
      </c>
      <c r="FZ456" s="24">
        <v>616</v>
      </c>
      <c r="GA456" s="24">
        <v>595</v>
      </c>
      <c r="GB456" s="24"/>
      <c r="GC456" s="24"/>
      <c r="GD456" s="24"/>
      <c r="GE456" s="24"/>
      <c r="GF456" s="24"/>
      <c r="GG456" s="24"/>
      <c r="GH456" s="24"/>
      <c r="GK456" s="24"/>
      <c r="GL456" s="24"/>
      <c r="GM456" s="24"/>
      <c r="GN456" s="24"/>
      <c r="GO456" s="24"/>
      <c r="GX456">
        <v>2019</v>
      </c>
      <c r="GY456">
        <v>10</v>
      </c>
      <c r="GZ456" t="s">
        <v>32</v>
      </c>
      <c r="HA456">
        <v>4886</v>
      </c>
      <c r="HB456">
        <v>4769</v>
      </c>
      <c r="HC456">
        <v>0</v>
      </c>
      <c r="HD456">
        <v>6</v>
      </c>
      <c r="HE456">
        <v>0</v>
      </c>
      <c r="HF456">
        <v>0</v>
      </c>
      <c r="HG456">
        <v>0</v>
      </c>
      <c r="HH456">
        <v>0</v>
      </c>
      <c r="HI456">
        <v>21</v>
      </c>
      <c r="HZ456" s="24">
        <v>2019</v>
      </c>
      <c r="IA456" s="24">
        <v>10</v>
      </c>
      <c r="IB456" s="24" t="s">
        <v>32</v>
      </c>
      <c r="IC456" s="24">
        <v>596</v>
      </c>
      <c r="ID456" s="24">
        <v>576</v>
      </c>
    </row>
    <row r="457" spans="9:238" x14ac:dyDescent="0.4">
      <c r="I457" s="305">
        <v>2019</v>
      </c>
      <c r="J457" s="306">
        <v>10</v>
      </c>
      <c r="K457" s="306" t="s">
        <v>32</v>
      </c>
      <c r="L457" s="306">
        <v>4921</v>
      </c>
      <c r="M457" s="306">
        <v>4801</v>
      </c>
      <c r="N457" s="306">
        <v>14</v>
      </c>
      <c r="O457" s="306">
        <v>95</v>
      </c>
      <c r="P457" s="306">
        <v>9</v>
      </c>
      <c r="Q457" s="306"/>
      <c r="R457" s="24"/>
      <c r="S457" s="24"/>
      <c r="T457" s="24"/>
      <c r="W457" s="24"/>
      <c r="X457" s="24"/>
      <c r="Y457" s="24"/>
      <c r="Z457" s="24"/>
      <c r="AA457" s="24"/>
      <c r="AB457" s="24"/>
      <c r="AC457" s="24"/>
      <c r="AI457" s="24"/>
      <c r="AJ457" s="24"/>
      <c r="AO457" s="24"/>
      <c r="AP457" s="24"/>
      <c r="AQ457" s="24"/>
      <c r="AR457" s="24"/>
      <c r="BI457" s="24">
        <v>2021</v>
      </c>
      <c r="BJ457" s="24">
        <v>10</v>
      </c>
      <c r="BK457" s="24" t="s">
        <v>32</v>
      </c>
      <c r="BL457" s="24" t="s">
        <v>273</v>
      </c>
      <c r="BM457" s="24">
        <v>4422</v>
      </c>
      <c r="BN457" s="24">
        <v>4401</v>
      </c>
      <c r="BO457" s="24">
        <v>4863</v>
      </c>
      <c r="DD457" s="24"/>
      <c r="DE457" s="24"/>
      <c r="DF457" s="24"/>
      <c r="DG457" s="24"/>
      <c r="DJ457" s="24">
        <v>2019</v>
      </c>
      <c r="DK457" s="24">
        <v>32</v>
      </c>
      <c r="DL457" s="24" t="s">
        <v>33</v>
      </c>
      <c r="DM457" s="24">
        <v>1428</v>
      </c>
      <c r="DP457" s="24"/>
      <c r="DQ457" s="24"/>
      <c r="DR457" s="24"/>
      <c r="DS457" s="24"/>
      <c r="EI457" s="24">
        <v>2022</v>
      </c>
      <c r="EJ457" s="24">
        <v>48</v>
      </c>
      <c r="EK457" s="24" t="s">
        <v>19</v>
      </c>
      <c r="EL457" s="24" t="s">
        <v>233</v>
      </c>
      <c r="EM457" s="24" t="s">
        <v>215</v>
      </c>
      <c r="EN457" s="24">
        <v>1</v>
      </c>
      <c r="EO457" s="24"/>
      <c r="EP457" s="24"/>
      <c r="ES457" s="24">
        <v>2020</v>
      </c>
      <c r="ET457" s="24">
        <v>10</v>
      </c>
      <c r="EU457" s="24" t="s">
        <v>33</v>
      </c>
      <c r="EV457" s="24">
        <v>104062</v>
      </c>
      <c r="FW457" s="24">
        <v>2019</v>
      </c>
      <c r="FX457" s="24">
        <v>10</v>
      </c>
      <c r="FY457" s="24" t="s">
        <v>33</v>
      </c>
      <c r="FZ457" s="24">
        <v>10910</v>
      </c>
      <c r="GA457" s="24">
        <v>9547</v>
      </c>
      <c r="GB457" s="24"/>
      <c r="GC457" s="24"/>
      <c r="GD457" s="24"/>
      <c r="GE457" s="24"/>
      <c r="GF457" s="24"/>
      <c r="GG457" s="24"/>
      <c r="GH457" s="24"/>
      <c r="GK457" s="24"/>
      <c r="GL457" s="24"/>
      <c r="GM457" s="24"/>
      <c r="GN457" s="24"/>
      <c r="GO457" s="24"/>
      <c r="GX457">
        <v>2019</v>
      </c>
      <c r="GY457">
        <v>10</v>
      </c>
      <c r="GZ457" t="s">
        <v>33</v>
      </c>
      <c r="HA457">
        <v>186956</v>
      </c>
      <c r="HB457">
        <v>182306</v>
      </c>
      <c r="HC457">
        <v>1325</v>
      </c>
      <c r="HD457">
        <v>71</v>
      </c>
      <c r="HE457">
        <v>1</v>
      </c>
      <c r="HF457">
        <v>1991</v>
      </c>
      <c r="HG457">
        <v>0</v>
      </c>
      <c r="HH457">
        <v>0</v>
      </c>
      <c r="HI457">
        <v>1175</v>
      </c>
      <c r="HZ457" s="24">
        <v>2019</v>
      </c>
      <c r="IA457" s="24">
        <v>10</v>
      </c>
      <c r="IB457" s="24" t="s">
        <v>33</v>
      </c>
      <c r="IC457" s="24">
        <v>10715</v>
      </c>
      <c r="ID457" s="24">
        <v>9255</v>
      </c>
    </row>
    <row r="458" spans="9:238" x14ac:dyDescent="0.4">
      <c r="I458" s="305">
        <v>2019</v>
      </c>
      <c r="J458" s="306">
        <v>10</v>
      </c>
      <c r="K458" s="306" t="s">
        <v>33</v>
      </c>
      <c r="L458" s="306">
        <v>186014</v>
      </c>
      <c r="M458" s="306">
        <v>177103</v>
      </c>
      <c r="N458" s="306">
        <v>179</v>
      </c>
      <c r="O458" s="306">
        <v>1790</v>
      </c>
      <c r="P458" s="306">
        <v>1206</v>
      </c>
      <c r="Q458" s="306">
        <v>49</v>
      </c>
      <c r="R458" s="24"/>
      <c r="S458" s="24"/>
      <c r="T458" s="24"/>
      <c r="W458" s="24"/>
      <c r="X458" s="24"/>
      <c r="Y458" s="24"/>
      <c r="Z458" s="24"/>
      <c r="AA458" s="24"/>
      <c r="AB458" s="24"/>
      <c r="AC458" s="24"/>
      <c r="AI458" s="24"/>
      <c r="AJ458" s="24"/>
      <c r="AO458" s="24"/>
      <c r="AP458" s="24"/>
      <c r="AQ458" s="24"/>
      <c r="AR458" s="24"/>
      <c r="BI458" s="24">
        <v>2021</v>
      </c>
      <c r="BJ458" s="24">
        <v>9</v>
      </c>
      <c r="BK458" s="24" t="s">
        <v>33</v>
      </c>
      <c r="BL458" s="24" t="s">
        <v>273</v>
      </c>
      <c r="BM458" s="24">
        <v>69662</v>
      </c>
      <c r="BN458" s="24">
        <v>69391</v>
      </c>
      <c r="BO458" s="24">
        <v>71497</v>
      </c>
      <c r="DD458" s="24"/>
      <c r="DE458" s="24"/>
      <c r="DF458" s="24"/>
      <c r="DG458" s="24"/>
      <c r="DJ458" s="24">
        <v>2019</v>
      </c>
      <c r="DK458" s="24">
        <v>32</v>
      </c>
      <c r="DL458" s="24" t="s">
        <v>213</v>
      </c>
      <c r="DM458" s="24">
        <v>1</v>
      </c>
      <c r="DP458" s="24"/>
      <c r="DQ458" s="24"/>
      <c r="DR458" s="24"/>
      <c r="DS458" s="24"/>
      <c r="EI458" s="24">
        <v>2022</v>
      </c>
      <c r="EJ458" s="24">
        <v>48</v>
      </c>
      <c r="EK458" s="24" t="s">
        <v>208</v>
      </c>
      <c r="EL458" s="24" t="s">
        <v>351</v>
      </c>
      <c r="EM458" s="24" t="s">
        <v>215</v>
      </c>
      <c r="EN458" s="24">
        <v>26</v>
      </c>
      <c r="EO458" s="24"/>
      <c r="EP458" s="24"/>
      <c r="ES458" s="24">
        <v>2020</v>
      </c>
      <c r="ET458" s="24">
        <v>10</v>
      </c>
      <c r="EU458" s="24" t="s">
        <v>213</v>
      </c>
      <c r="EV458" s="24">
        <v>46</v>
      </c>
      <c r="FW458" s="24">
        <v>2019</v>
      </c>
      <c r="FX458" s="24">
        <v>9</v>
      </c>
      <c r="FY458" s="24" t="s">
        <v>32</v>
      </c>
      <c r="FZ458" s="24">
        <v>625</v>
      </c>
      <c r="GA458" s="24">
        <v>602</v>
      </c>
      <c r="GB458" s="24"/>
      <c r="GC458" s="24"/>
      <c r="GD458" s="24"/>
      <c r="GE458" s="24"/>
      <c r="GF458" s="24"/>
      <c r="GG458" s="24"/>
      <c r="GH458" s="24"/>
      <c r="GK458" s="24"/>
      <c r="GL458" s="24"/>
      <c r="GM458" s="24"/>
      <c r="GN458" s="24"/>
      <c r="GO458" s="24"/>
      <c r="GX458">
        <v>2019</v>
      </c>
      <c r="GY458">
        <v>9</v>
      </c>
      <c r="GZ458" t="s">
        <v>32</v>
      </c>
      <c r="HA458">
        <v>5256</v>
      </c>
      <c r="HB458">
        <v>5146</v>
      </c>
      <c r="HC458">
        <v>0</v>
      </c>
      <c r="HD458">
        <v>0</v>
      </c>
      <c r="HE458">
        <v>0</v>
      </c>
      <c r="HF458">
        <v>1</v>
      </c>
      <c r="HG458">
        <v>0</v>
      </c>
      <c r="HH458">
        <v>0</v>
      </c>
      <c r="HI458">
        <v>35</v>
      </c>
      <c r="HZ458" s="24">
        <v>2019</v>
      </c>
      <c r="IA458" s="24">
        <v>9</v>
      </c>
      <c r="IB458" s="24" t="s">
        <v>32</v>
      </c>
      <c r="IC458" s="24">
        <v>627</v>
      </c>
      <c r="ID458" s="24">
        <v>603</v>
      </c>
    </row>
    <row r="459" spans="9:238" x14ac:dyDescent="0.4">
      <c r="I459" s="305">
        <v>2019</v>
      </c>
      <c r="J459" s="306">
        <v>9</v>
      </c>
      <c r="K459" s="306" t="s">
        <v>32</v>
      </c>
      <c r="L459" s="306">
        <v>5294</v>
      </c>
      <c r="M459" s="306">
        <v>5182</v>
      </c>
      <c r="N459" s="306">
        <v>31</v>
      </c>
      <c r="O459" s="306">
        <v>95</v>
      </c>
      <c r="P459" s="306">
        <v>9</v>
      </c>
      <c r="Q459" s="306"/>
      <c r="R459" s="24"/>
      <c r="S459" s="24"/>
      <c r="T459" s="24"/>
      <c r="W459" s="24"/>
      <c r="X459" s="24"/>
      <c r="Y459" s="24"/>
      <c r="Z459" s="24"/>
      <c r="AA459" s="24"/>
      <c r="AB459" s="24"/>
      <c r="AC459" s="24"/>
      <c r="AI459" s="24"/>
      <c r="AJ459" s="24"/>
      <c r="AO459" s="24"/>
      <c r="AP459" s="24"/>
      <c r="AQ459" s="24"/>
      <c r="AR459" s="24"/>
      <c r="BI459" s="24">
        <v>2021</v>
      </c>
      <c r="BJ459" s="24">
        <v>9</v>
      </c>
      <c r="BK459" s="24" t="s">
        <v>32</v>
      </c>
      <c r="BL459" s="24" t="s">
        <v>273</v>
      </c>
      <c r="BM459" s="24">
        <v>4894</v>
      </c>
      <c r="BN459" s="24">
        <v>4872</v>
      </c>
      <c r="BO459" s="24">
        <v>6201</v>
      </c>
      <c r="DD459" s="24"/>
      <c r="DE459" s="24"/>
      <c r="DF459" s="24"/>
      <c r="DG459" s="24"/>
      <c r="DJ459" s="24">
        <v>2019</v>
      </c>
      <c r="DK459" s="24">
        <v>31</v>
      </c>
      <c r="DL459" s="24" t="s">
        <v>32</v>
      </c>
      <c r="DM459" s="24">
        <v>11</v>
      </c>
      <c r="DP459" s="24"/>
      <c r="DQ459" s="24"/>
      <c r="DR459" s="24"/>
      <c r="DS459" s="24"/>
      <c r="EI459" s="24">
        <v>2022</v>
      </c>
      <c r="EJ459" s="24">
        <v>48</v>
      </c>
      <c r="EK459" s="24" t="s">
        <v>208</v>
      </c>
      <c r="EL459" s="24" t="s">
        <v>235</v>
      </c>
      <c r="EM459" s="24" t="s">
        <v>210</v>
      </c>
      <c r="EN459" s="24">
        <v>41</v>
      </c>
      <c r="EO459" s="24"/>
      <c r="EP459" s="24"/>
      <c r="ES459" s="24">
        <v>2020</v>
      </c>
      <c r="ET459" s="24">
        <v>9</v>
      </c>
      <c r="EU459" s="24" t="s">
        <v>32</v>
      </c>
      <c r="EV459" s="24">
        <v>4146</v>
      </c>
      <c r="FW459" s="24">
        <v>2019</v>
      </c>
      <c r="FX459" s="24">
        <v>9</v>
      </c>
      <c r="FY459" s="24" t="s">
        <v>33</v>
      </c>
      <c r="FZ459" s="24">
        <v>12522</v>
      </c>
      <c r="GA459" s="24">
        <v>9478</v>
      </c>
      <c r="GB459" s="24"/>
      <c r="GC459" s="24"/>
      <c r="GD459" s="24"/>
      <c r="GE459" s="24"/>
      <c r="GF459" s="24"/>
      <c r="GG459" s="24"/>
      <c r="GH459" s="24"/>
      <c r="GK459" s="24"/>
      <c r="GL459" s="24"/>
      <c r="GM459" s="24"/>
      <c r="GN459" s="24"/>
      <c r="GO459" s="24"/>
      <c r="GX459">
        <v>2019</v>
      </c>
      <c r="GY459">
        <v>9</v>
      </c>
      <c r="GZ459" t="s">
        <v>33</v>
      </c>
      <c r="HA459">
        <v>233122</v>
      </c>
      <c r="HB459">
        <v>211052</v>
      </c>
      <c r="HC459">
        <v>2260</v>
      </c>
      <c r="HD459">
        <v>116</v>
      </c>
      <c r="HE459">
        <v>2</v>
      </c>
      <c r="HF459">
        <v>12921</v>
      </c>
      <c r="HG459">
        <v>0</v>
      </c>
      <c r="HH459">
        <v>0</v>
      </c>
      <c r="HI459">
        <v>3602</v>
      </c>
      <c r="HZ459" s="24">
        <v>2019</v>
      </c>
      <c r="IA459" s="24">
        <v>9</v>
      </c>
      <c r="IB459" s="24" t="s">
        <v>33</v>
      </c>
      <c r="IC459" s="24">
        <v>12767</v>
      </c>
      <c r="ID459" s="24">
        <v>9628</v>
      </c>
    </row>
    <row r="460" spans="9:238" x14ac:dyDescent="0.4">
      <c r="I460" s="305">
        <v>2019</v>
      </c>
      <c r="J460" s="306">
        <v>9</v>
      </c>
      <c r="K460" s="306" t="s">
        <v>33</v>
      </c>
      <c r="L460" s="306">
        <v>233646</v>
      </c>
      <c r="M460" s="306">
        <v>205763</v>
      </c>
      <c r="N460" s="306">
        <v>459</v>
      </c>
      <c r="O460" s="306">
        <v>5333</v>
      </c>
      <c r="P460" s="306">
        <v>2350</v>
      </c>
      <c r="Q460" s="306">
        <v>7</v>
      </c>
      <c r="R460" s="24"/>
      <c r="S460" s="24"/>
      <c r="T460" s="24"/>
      <c r="W460" s="24"/>
      <c r="X460" s="24"/>
      <c r="Y460" s="24"/>
      <c r="Z460" s="24"/>
      <c r="AA460" s="24"/>
      <c r="AB460" s="24"/>
      <c r="AC460" s="24"/>
      <c r="AI460" s="24"/>
      <c r="AJ460" s="24"/>
      <c r="AO460" s="24"/>
      <c r="AP460" s="24"/>
      <c r="AQ460" s="24"/>
      <c r="AR460" s="24"/>
      <c r="BI460" s="24">
        <v>2021</v>
      </c>
      <c r="BJ460" s="24">
        <v>9</v>
      </c>
      <c r="BK460" s="24" t="s">
        <v>32</v>
      </c>
      <c r="BL460" s="24" t="s">
        <v>272</v>
      </c>
      <c r="BM460" s="24">
        <v>2078</v>
      </c>
      <c r="BN460" s="24">
        <v>2060</v>
      </c>
      <c r="BO460" s="24">
        <v>7722</v>
      </c>
      <c r="DD460" s="24"/>
      <c r="DE460" s="24"/>
      <c r="DF460" s="24"/>
      <c r="DG460" s="24"/>
      <c r="DJ460" s="24">
        <v>2019</v>
      </c>
      <c r="DK460" s="24">
        <v>31</v>
      </c>
      <c r="DL460" s="24" t="s">
        <v>33</v>
      </c>
      <c r="DM460" s="24">
        <v>2984</v>
      </c>
      <c r="DP460" s="24"/>
      <c r="DQ460" s="24"/>
      <c r="DR460" s="24"/>
      <c r="DS460" s="24"/>
      <c r="EI460" s="24">
        <v>2022</v>
      </c>
      <c r="EJ460" s="24">
        <v>48</v>
      </c>
      <c r="EK460" s="24" t="s">
        <v>208</v>
      </c>
      <c r="EL460" s="24" t="s">
        <v>235</v>
      </c>
      <c r="EM460" s="24" t="s">
        <v>234</v>
      </c>
      <c r="EN460" s="24">
        <v>9</v>
      </c>
      <c r="EO460" s="24"/>
      <c r="EP460" s="24"/>
      <c r="ES460" s="24">
        <v>2020</v>
      </c>
      <c r="ET460" s="24">
        <v>9</v>
      </c>
      <c r="EU460" s="24" t="s">
        <v>33</v>
      </c>
      <c r="EV460" s="24">
        <v>100260</v>
      </c>
      <c r="FW460" s="24">
        <v>2019</v>
      </c>
      <c r="FX460" s="24">
        <v>8</v>
      </c>
      <c r="FY460" s="24" t="s">
        <v>32</v>
      </c>
      <c r="FZ460" s="24">
        <v>702</v>
      </c>
      <c r="GA460" s="24">
        <v>693</v>
      </c>
      <c r="GB460" s="24"/>
      <c r="GC460" s="24"/>
      <c r="GD460" s="24"/>
      <c r="GE460" s="24"/>
      <c r="GF460" s="24"/>
      <c r="GG460" s="24"/>
      <c r="GH460" s="24"/>
      <c r="GK460" s="24"/>
      <c r="GL460" s="24"/>
      <c r="GM460" s="24"/>
      <c r="GN460" s="24"/>
      <c r="GO460" s="24"/>
      <c r="GX460">
        <v>2019</v>
      </c>
      <c r="GY460">
        <v>8</v>
      </c>
      <c r="GZ460" t="s">
        <v>32</v>
      </c>
      <c r="HA460">
        <v>6487</v>
      </c>
      <c r="HB460">
        <v>6289</v>
      </c>
      <c r="HC460">
        <v>0</v>
      </c>
      <c r="HD460">
        <v>2</v>
      </c>
      <c r="HE460">
        <v>0</v>
      </c>
      <c r="HF460">
        <v>6</v>
      </c>
      <c r="HG460">
        <v>0</v>
      </c>
      <c r="HH460">
        <v>0</v>
      </c>
      <c r="HI460">
        <v>80</v>
      </c>
      <c r="HZ460" s="24">
        <v>2019</v>
      </c>
      <c r="IA460" s="24">
        <v>8</v>
      </c>
      <c r="IB460" s="24" t="s">
        <v>32</v>
      </c>
      <c r="IC460" s="24">
        <v>596</v>
      </c>
      <c r="ID460" s="24">
        <v>587</v>
      </c>
    </row>
    <row r="461" spans="9:238" x14ac:dyDescent="0.4">
      <c r="I461" s="305">
        <v>2019</v>
      </c>
      <c r="J461" s="306">
        <v>8</v>
      </c>
      <c r="K461" s="306" t="s">
        <v>32</v>
      </c>
      <c r="L461" s="306">
        <v>6722</v>
      </c>
      <c r="M461" s="306">
        <v>6527</v>
      </c>
      <c r="N461" s="306">
        <v>55</v>
      </c>
      <c r="O461" s="306">
        <v>143</v>
      </c>
      <c r="P461" s="306">
        <v>2</v>
      </c>
      <c r="Q461" s="306"/>
      <c r="R461" s="24"/>
      <c r="S461" s="24"/>
      <c r="T461" s="24"/>
      <c r="W461" s="24"/>
      <c r="X461" s="24"/>
      <c r="Y461" s="24"/>
      <c r="Z461" s="24"/>
      <c r="AA461" s="24"/>
      <c r="AB461" s="24"/>
      <c r="AC461" s="24"/>
      <c r="AI461" s="24"/>
      <c r="AJ461" s="24"/>
      <c r="AO461" s="24"/>
      <c r="AP461" s="24"/>
      <c r="AQ461" s="24"/>
      <c r="AR461" s="24"/>
      <c r="BI461" s="24">
        <v>2021</v>
      </c>
      <c r="BJ461" s="24">
        <v>9</v>
      </c>
      <c r="BK461" s="24" t="s">
        <v>33</v>
      </c>
      <c r="BL461" s="24" t="s">
        <v>272</v>
      </c>
      <c r="BM461" s="24">
        <v>54947</v>
      </c>
      <c r="BN461" s="24">
        <v>54910</v>
      </c>
      <c r="BO461" s="24">
        <v>203776</v>
      </c>
      <c r="DD461" s="24"/>
      <c r="DE461" s="24"/>
      <c r="DF461" s="24"/>
      <c r="DG461" s="24"/>
      <c r="DJ461" s="24">
        <v>2019</v>
      </c>
      <c r="DK461" s="24">
        <v>31</v>
      </c>
      <c r="DL461" s="24" t="s">
        <v>213</v>
      </c>
      <c r="DM461" s="24">
        <v>22</v>
      </c>
      <c r="DP461" s="24"/>
      <c r="DQ461" s="24"/>
      <c r="DR461" s="24"/>
      <c r="DS461" s="24"/>
      <c r="EI461" s="24">
        <v>2022</v>
      </c>
      <c r="EJ461" s="24">
        <v>48</v>
      </c>
      <c r="EK461" s="24" t="s">
        <v>208</v>
      </c>
      <c r="EL461" s="24" t="s">
        <v>235</v>
      </c>
      <c r="EM461" s="24" t="s">
        <v>215</v>
      </c>
      <c r="EN461" s="24">
        <v>9</v>
      </c>
      <c r="EO461" s="24"/>
      <c r="EP461" s="24"/>
      <c r="ES461" s="24">
        <v>2020</v>
      </c>
      <c r="ET461" s="24">
        <v>9</v>
      </c>
      <c r="EU461" s="24" t="s">
        <v>213</v>
      </c>
      <c r="EV461" s="24">
        <v>31</v>
      </c>
      <c r="FW461" s="24">
        <v>2019</v>
      </c>
      <c r="FX461" s="24">
        <v>8</v>
      </c>
      <c r="FY461" s="24" t="s">
        <v>33</v>
      </c>
      <c r="FZ461" s="24">
        <v>11808</v>
      </c>
      <c r="GA461" s="24">
        <v>7015</v>
      </c>
      <c r="GB461" s="24"/>
      <c r="GC461" s="24"/>
      <c r="GD461" s="24"/>
      <c r="GE461" s="24"/>
      <c r="GF461" s="24"/>
      <c r="GG461" s="24"/>
      <c r="GH461" s="24"/>
      <c r="GK461" s="24"/>
      <c r="GL461" s="24"/>
      <c r="GM461" s="24"/>
      <c r="GN461" s="24"/>
      <c r="GO461" s="24"/>
      <c r="GX461">
        <v>2019</v>
      </c>
      <c r="GY461">
        <v>8</v>
      </c>
      <c r="GZ461" t="s">
        <v>33</v>
      </c>
      <c r="HA461">
        <v>195489</v>
      </c>
      <c r="HB461">
        <v>163056</v>
      </c>
      <c r="HC461">
        <v>3452</v>
      </c>
      <c r="HD461">
        <v>255</v>
      </c>
      <c r="HE461">
        <v>2</v>
      </c>
      <c r="HF461">
        <v>14376</v>
      </c>
      <c r="HG461">
        <v>0</v>
      </c>
      <c r="HH461">
        <v>0</v>
      </c>
      <c r="HI461">
        <v>4810</v>
      </c>
      <c r="HZ461" s="24">
        <v>2019</v>
      </c>
      <c r="IA461" s="24">
        <v>8</v>
      </c>
      <c r="IB461" s="24" t="s">
        <v>33</v>
      </c>
      <c r="IC461" s="24">
        <v>11736</v>
      </c>
      <c r="ID461" s="24">
        <v>7042</v>
      </c>
    </row>
    <row r="462" spans="9:238" x14ac:dyDescent="0.4">
      <c r="I462" s="305">
        <v>2019</v>
      </c>
      <c r="J462" s="306">
        <v>8</v>
      </c>
      <c r="K462" s="306" t="s">
        <v>33</v>
      </c>
      <c r="L462" s="306">
        <v>195304</v>
      </c>
      <c r="M462" s="306">
        <v>157418</v>
      </c>
      <c r="N462" s="306">
        <v>451</v>
      </c>
      <c r="O462" s="306">
        <v>9000</v>
      </c>
      <c r="P462" s="306">
        <v>3072</v>
      </c>
      <c r="Q462" s="306">
        <v>5</v>
      </c>
      <c r="R462" s="24"/>
      <c r="S462" s="24"/>
      <c r="T462" s="24"/>
      <c r="AI462" s="24"/>
      <c r="AJ462" s="24"/>
      <c r="AO462" s="24"/>
      <c r="AP462" s="24"/>
      <c r="AQ462" s="24"/>
      <c r="AR462" s="24"/>
      <c r="BI462" s="24">
        <v>2021</v>
      </c>
      <c r="BJ462" s="24">
        <v>8</v>
      </c>
      <c r="BK462" s="24" t="s">
        <v>33</v>
      </c>
      <c r="BL462" s="24" t="s">
        <v>272</v>
      </c>
      <c r="BM462" s="24">
        <v>40418</v>
      </c>
      <c r="BN462" s="24">
        <v>40368</v>
      </c>
      <c r="BO462" s="24">
        <v>146334</v>
      </c>
      <c r="DD462" s="24"/>
      <c r="DE462" s="24"/>
      <c r="DF462" s="24"/>
      <c r="DG462" s="24"/>
      <c r="DJ462" s="24">
        <v>2019</v>
      </c>
      <c r="DK462" s="24">
        <v>30</v>
      </c>
      <c r="DL462" s="24" t="s">
        <v>32</v>
      </c>
      <c r="DM462" s="24">
        <v>82</v>
      </c>
      <c r="DP462" s="24"/>
      <c r="DQ462" s="24"/>
      <c r="DR462" s="24"/>
      <c r="DS462" s="24"/>
      <c r="EI462" s="24">
        <v>2022</v>
      </c>
      <c r="EJ462" s="24">
        <v>48</v>
      </c>
      <c r="EK462" s="24" t="s">
        <v>208</v>
      </c>
      <c r="EL462" s="24" t="s">
        <v>209</v>
      </c>
      <c r="EM462" s="24" t="s">
        <v>210</v>
      </c>
      <c r="EN462" s="24">
        <v>7</v>
      </c>
      <c r="EO462" s="24"/>
      <c r="EP462" s="24"/>
      <c r="ES462" s="24">
        <v>2020</v>
      </c>
      <c r="ET462" s="24">
        <v>8</v>
      </c>
      <c r="EU462" s="24" t="s">
        <v>32</v>
      </c>
      <c r="EV462" s="24">
        <v>3718</v>
      </c>
      <c r="FW462" s="24">
        <v>2019</v>
      </c>
      <c r="FX462" s="24">
        <v>7</v>
      </c>
      <c r="FY462" s="24" t="s">
        <v>32</v>
      </c>
      <c r="FZ462" s="24">
        <v>540</v>
      </c>
      <c r="GA462" s="24">
        <v>525</v>
      </c>
      <c r="GB462" s="24"/>
      <c r="GC462" s="24"/>
      <c r="GD462" s="24"/>
      <c r="GE462" s="24"/>
      <c r="GF462" s="24"/>
      <c r="GG462" s="24"/>
      <c r="GH462" s="24"/>
      <c r="GK462" s="24"/>
      <c r="GL462" s="24"/>
      <c r="GM462" s="24"/>
      <c r="GN462" s="24"/>
      <c r="GO462" s="24"/>
      <c r="GX462">
        <v>2019</v>
      </c>
      <c r="GY462">
        <v>7</v>
      </c>
      <c r="GZ462" t="s">
        <v>32</v>
      </c>
      <c r="HA462">
        <v>6064</v>
      </c>
      <c r="HB462">
        <v>5900</v>
      </c>
      <c r="HC462">
        <v>0</v>
      </c>
      <c r="HD462">
        <v>1</v>
      </c>
      <c r="HE462">
        <v>0</v>
      </c>
      <c r="HF462">
        <v>0</v>
      </c>
      <c r="HG462">
        <v>0</v>
      </c>
      <c r="HH462">
        <v>0</v>
      </c>
      <c r="HI462">
        <v>35</v>
      </c>
      <c r="HZ462" s="24">
        <v>2019</v>
      </c>
      <c r="IA462" s="24">
        <v>7</v>
      </c>
      <c r="IB462" s="24" t="s">
        <v>32</v>
      </c>
      <c r="IC462" s="24">
        <v>542</v>
      </c>
      <c r="ID462" s="24">
        <v>527</v>
      </c>
    </row>
    <row r="463" spans="9:238" x14ac:dyDescent="0.4">
      <c r="I463" s="305">
        <v>2019</v>
      </c>
      <c r="J463" s="306">
        <v>7</v>
      </c>
      <c r="K463" s="306" t="s">
        <v>32</v>
      </c>
      <c r="L463" s="306">
        <v>6009</v>
      </c>
      <c r="M463" s="306">
        <v>5833</v>
      </c>
      <c r="N463" s="306">
        <v>23</v>
      </c>
      <c r="O463" s="306">
        <v>128</v>
      </c>
      <c r="P463" s="306">
        <v>11</v>
      </c>
      <c r="Q463" s="306"/>
      <c r="R463" s="24"/>
      <c r="S463" s="24"/>
      <c r="T463" s="24"/>
      <c r="AI463" s="24"/>
      <c r="AJ463" s="24"/>
      <c r="AO463" s="24"/>
      <c r="AP463" s="24"/>
      <c r="AQ463" s="24"/>
      <c r="AR463" s="24"/>
      <c r="BI463" s="24">
        <v>2021</v>
      </c>
      <c r="BJ463" s="24">
        <v>8</v>
      </c>
      <c r="BK463" s="24" t="s">
        <v>33</v>
      </c>
      <c r="BL463" s="24" t="s">
        <v>273</v>
      </c>
      <c r="BM463" s="24">
        <v>57519</v>
      </c>
      <c r="BN463" s="24">
        <v>57283</v>
      </c>
      <c r="BO463" s="24">
        <v>58898</v>
      </c>
      <c r="DD463" s="24"/>
      <c r="DE463" s="24"/>
      <c r="DF463" s="24"/>
      <c r="DG463" s="24"/>
      <c r="DJ463" s="24">
        <v>2019</v>
      </c>
      <c r="DK463" s="24">
        <v>30</v>
      </c>
      <c r="DL463" s="24" t="s">
        <v>33</v>
      </c>
      <c r="DM463" s="24">
        <v>2642</v>
      </c>
      <c r="DP463" s="24"/>
      <c r="DQ463" s="24"/>
      <c r="DR463" s="24"/>
      <c r="DS463" s="24"/>
      <c r="EI463" s="24">
        <v>2022</v>
      </c>
      <c r="EJ463" s="24">
        <v>48</v>
      </c>
      <c r="EK463" s="24" t="s">
        <v>208</v>
      </c>
      <c r="EL463" s="24" t="s">
        <v>209</v>
      </c>
      <c r="EM463" s="24" t="s">
        <v>234</v>
      </c>
      <c r="EN463" s="24">
        <v>1</v>
      </c>
      <c r="EO463" s="24"/>
      <c r="EP463" s="24"/>
      <c r="ES463" s="24">
        <v>2020</v>
      </c>
      <c r="ET463" s="24">
        <v>8</v>
      </c>
      <c r="EU463" s="24" t="s">
        <v>33</v>
      </c>
      <c r="EV463" s="24">
        <v>107091</v>
      </c>
      <c r="FW463" s="24">
        <v>2019</v>
      </c>
      <c r="FX463" s="24">
        <v>7</v>
      </c>
      <c r="FY463" s="24" t="s">
        <v>33</v>
      </c>
      <c r="FZ463" s="24">
        <v>11848</v>
      </c>
      <c r="GA463" s="24">
        <v>5904</v>
      </c>
      <c r="GB463" s="24"/>
      <c r="GC463" s="24"/>
      <c r="GD463" s="24"/>
      <c r="GE463" s="24"/>
      <c r="GF463" s="24"/>
      <c r="GG463" s="24"/>
      <c r="GH463" s="24"/>
      <c r="GK463" s="24"/>
      <c r="GL463" s="24"/>
      <c r="GM463" s="24"/>
      <c r="GN463" s="24"/>
      <c r="GO463" s="24"/>
      <c r="GX463">
        <v>2019</v>
      </c>
      <c r="GY463">
        <v>7</v>
      </c>
      <c r="GZ463" t="s">
        <v>33</v>
      </c>
      <c r="HA463">
        <v>180040</v>
      </c>
      <c r="HB463">
        <v>141506</v>
      </c>
      <c r="HC463">
        <v>5958</v>
      </c>
      <c r="HD463">
        <v>491</v>
      </c>
      <c r="HE463">
        <v>1</v>
      </c>
      <c r="HF463">
        <v>14296</v>
      </c>
      <c r="HG463">
        <v>0</v>
      </c>
      <c r="HH463">
        <v>4</v>
      </c>
      <c r="HI463">
        <v>6013</v>
      </c>
      <c r="HZ463" s="24">
        <v>2019</v>
      </c>
      <c r="IA463" s="24">
        <v>7</v>
      </c>
      <c r="IB463" s="24" t="s">
        <v>33</v>
      </c>
      <c r="IC463" s="24">
        <v>11927</v>
      </c>
      <c r="ID463" s="24">
        <v>5906</v>
      </c>
    </row>
    <row r="464" spans="9:238" x14ac:dyDescent="0.4">
      <c r="I464" s="305">
        <v>2019</v>
      </c>
      <c r="J464" s="306">
        <v>7</v>
      </c>
      <c r="K464" s="306" t="s">
        <v>33</v>
      </c>
      <c r="L464" s="306">
        <v>176261</v>
      </c>
      <c r="M464" s="306">
        <v>133885</v>
      </c>
      <c r="N464" s="306">
        <v>633</v>
      </c>
      <c r="O464" s="306">
        <v>9442</v>
      </c>
      <c r="P464" s="306">
        <v>3188</v>
      </c>
      <c r="Q464" s="306">
        <v>15</v>
      </c>
      <c r="R464" s="24"/>
      <c r="S464" s="24"/>
      <c r="T464" s="24"/>
      <c r="AI464" s="24"/>
      <c r="AJ464" s="24"/>
      <c r="AO464" s="24"/>
      <c r="AP464" s="24"/>
      <c r="AQ464" s="24"/>
      <c r="AR464" s="24"/>
      <c r="BI464" s="24">
        <v>2021</v>
      </c>
      <c r="BJ464" s="24">
        <v>8</v>
      </c>
      <c r="BK464" s="24" t="s">
        <v>32</v>
      </c>
      <c r="BL464" s="24" t="s">
        <v>272</v>
      </c>
      <c r="BM464" s="24">
        <v>1751</v>
      </c>
      <c r="BN464" s="24">
        <v>1751</v>
      </c>
      <c r="BO464" s="24">
        <v>5720</v>
      </c>
      <c r="DD464" s="24"/>
      <c r="DE464" s="24"/>
      <c r="DF464" s="24"/>
      <c r="DG464" s="24"/>
      <c r="DJ464" s="24">
        <v>2019</v>
      </c>
      <c r="DK464" s="24">
        <v>30</v>
      </c>
      <c r="DL464" s="24" t="s">
        <v>213</v>
      </c>
      <c r="DM464" s="24">
        <v>10</v>
      </c>
      <c r="DP464" s="24"/>
      <c r="DQ464" s="24"/>
      <c r="DR464" s="24"/>
      <c r="DS464" s="24"/>
      <c r="EI464" s="24">
        <v>2022</v>
      </c>
      <c r="EJ464" s="24">
        <v>48</v>
      </c>
      <c r="EK464" s="24" t="s">
        <v>208</v>
      </c>
      <c r="EL464" s="24" t="s">
        <v>247</v>
      </c>
      <c r="EM464" s="24" t="s">
        <v>210</v>
      </c>
      <c r="EN464" s="24">
        <v>2</v>
      </c>
      <c r="EO464" s="24"/>
      <c r="EP464" s="24"/>
      <c r="ES464" s="24">
        <v>2020</v>
      </c>
      <c r="ET464" s="24">
        <v>8</v>
      </c>
      <c r="EU464" s="24" t="s">
        <v>213</v>
      </c>
      <c r="EV464" s="24">
        <v>34</v>
      </c>
      <c r="FW464" s="24">
        <v>2019</v>
      </c>
      <c r="FX464" s="24">
        <v>6</v>
      </c>
      <c r="FY464" s="24" t="s">
        <v>32</v>
      </c>
      <c r="FZ464" s="24">
        <v>710</v>
      </c>
      <c r="GA464" s="24">
        <v>665</v>
      </c>
      <c r="GB464" s="24"/>
      <c r="GC464" s="24"/>
      <c r="GD464" s="24"/>
      <c r="GE464" s="24"/>
      <c r="GF464" s="24"/>
      <c r="GG464" s="24"/>
      <c r="GH464" s="24"/>
      <c r="GK464" s="24"/>
      <c r="GL464" s="24"/>
      <c r="GM464" s="24"/>
      <c r="GN464" s="24"/>
      <c r="GO464" s="24"/>
      <c r="GX464">
        <v>2019</v>
      </c>
      <c r="GY464">
        <v>6</v>
      </c>
      <c r="GZ464" t="s">
        <v>32</v>
      </c>
      <c r="HA464">
        <v>5449</v>
      </c>
      <c r="HB464">
        <v>5246</v>
      </c>
      <c r="HC464">
        <v>0</v>
      </c>
      <c r="HD464">
        <v>7</v>
      </c>
      <c r="HE464">
        <v>0</v>
      </c>
      <c r="HF464">
        <v>0</v>
      </c>
      <c r="HG464">
        <v>0</v>
      </c>
      <c r="HH464">
        <v>0</v>
      </c>
      <c r="HI464">
        <v>48</v>
      </c>
      <c r="HZ464" s="24">
        <v>2019</v>
      </c>
      <c r="IA464" s="24">
        <v>6</v>
      </c>
      <c r="IB464" s="24" t="s">
        <v>32</v>
      </c>
      <c r="IC464" s="24">
        <v>650</v>
      </c>
      <c r="ID464" s="24">
        <v>607</v>
      </c>
    </row>
    <row r="465" spans="9:238" x14ac:dyDescent="0.4">
      <c r="I465" s="305">
        <v>2019</v>
      </c>
      <c r="J465" s="306">
        <v>6</v>
      </c>
      <c r="K465" s="306" t="s">
        <v>32</v>
      </c>
      <c r="L465" s="306">
        <v>5454</v>
      </c>
      <c r="M465" s="306">
        <v>5240</v>
      </c>
      <c r="N465" s="306">
        <v>30</v>
      </c>
      <c r="O465" s="306">
        <v>176</v>
      </c>
      <c r="P465" s="306">
        <v>19</v>
      </c>
      <c r="Q465" s="306"/>
      <c r="R465" s="24"/>
      <c r="S465" s="24"/>
      <c r="T465" s="24"/>
      <c r="AI465" s="24"/>
      <c r="AJ465" s="24"/>
      <c r="AO465" s="24"/>
      <c r="AP465" s="24"/>
      <c r="AQ465" s="24"/>
      <c r="AR465" s="24"/>
      <c r="BI465" s="24">
        <v>2021</v>
      </c>
      <c r="BJ465" s="24">
        <v>8</v>
      </c>
      <c r="BK465" s="24" t="s">
        <v>32</v>
      </c>
      <c r="BL465" s="24" t="s">
        <v>273</v>
      </c>
      <c r="BM465" s="24">
        <v>4421</v>
      </c>
      <c r="BN465" s="24">
        <v>4408</v>
      </c>
      <c r="BO465" s="24">
        <v>4485</v>
      </c>
      <c r="DD465" s="24"/>
      <c r="DE465" s="24"/>
      <c r="DF465" s="24"/>
      <c r="DG465" s="24"/>
      <c r="DJ465" s="24">
        <v>2019</v>
      </c>
      <c r="DK465" s="24">
        <v>29</v>
      </c>
      <c r="DL465" s="24" t="s">
        <v>32</v>
      </c>
      <c r="DM465" s="24">
        <v>7</v>
      </c>
      <c r="DP465" s="24"/>
      <c r="DQ465" s="24"/>
      <c r="DR465" s="24"/>
      <c r="DS465" s="24"/>
      <c r="EI465" s="24">
        <v>2022</v>
      </c>
      <c r="EJ465" s="24">
        <v>48</v>
      </c>
      <c r="EK465" s="24" t="s">
        <v>558</v>
      </c>
      <c r="EL465" s="24" t="s">
        <v>555</v>
      </c>
      <c r="EM465" s="24" t="s">
        <v>210</v>
      </c>
      <c r="EN465" s="24">
        <v>11</v>
      </c>
      <c r="EO465" s="24"/>
      <c r="EP465" s="24"/>
      <c r="ES465" s="24">
        <v>2020</v>
      </c>
      <c r="ET465" s="24">
        <v>7</v>
      </c>
      <c r="EU465" s="24" t="s">
        <v>32</v>
      </c>
      <c r="EV465" s="24">
        <v>3741</v>
      </c>
      <c r="FW465" s="24">
        <v>2019</v>
      </c>
      <c r="FX465" s="24">
        <v>6</v>
      </c>
      <c r="FY465" s="24" t="s">
        <v>33</v>
      </c>
      <c r="FZ465" s="24">
        <v>27072</v>
      </c>
      <c r="GA465" s="24">
        <v>9176</v>
      </c>
      <c r="GB465" s="24"/>
      <c r="GC465" s="24"/>
      <c r="GD465" s="24"/>
      <c r="GE465" s="24"/>
      <c r="GF465" s="24"/>
      <c r="GG465" s="24"/>
      <c r="GH465" s="24"/>
      <c r="GK465" s="24"/>
      <c r="GL465" s="24"/>
      <c r="GM465" s="24"/>
      <c r="GN465" s="24"/>
      <c r="GO465" s="24"/>
      <c r="GX465">
        <v>2019</v>
      </c>
      <c r="GY465">
        <v>6</v>
      </c>
      <c r="GZ465" t="s">
        <v>33</v>
      </c>
      <c r="HA465">
        <v>191998</v>
      </c>
      <c r="HB465">
        <v>134198</v>
      </c>
      <c r="HC465">
        <v>3753</v>
      </c>
      <c r="HD465">
        <v>807</v>
      </c>
      <c r="HE465">
        <v>1</v>
      </c>
      <c r="HF465">
        <v>23456</v>
      </c>
      <c r="HG465">
        <v>0</v>
      </c>
      <c r="HH465">
        <v>0</v>
      </c>
      <c r="HI465">
        <v>9607</v>
      </c>
      <c r="HZ465" s="24">
        <v>2019</v>
      </c>
      <c r="IA465" s="24">
        <v>6</v>
      </c>
      <c r="IB465" s="24" t="s">
        <v>33</v>
      </c>
      <c r="IC465" s="24">
        <v>26881</v>
      </c>
      <c r="ID465" s="24">
        <v>8924</v>
      </c>
    </row>
    <row r="466" spans="9:238" x14ac:dyDescent="0.4">
      <c r="I466" s="305">
        <v>2019</v>
      </c>
      <c r="J466" s="306">
        <v>6</v>
      </c>
      <c r="K466" s="306" t="s">
        <v>33</v>
      </c>
      <c r="L466" s="306">
        <v>197566</v>
      </c>
      <c r="M466" s="306">
        <v>136617</v>
      </c>
      <c r="N466" s="306">
        <v>927</v>
      </c>
      <c r="O466" s="306">
        <v>12140</v>
      </c>
      <c r="P466" s="306">
        <v>5189</v>
      </c>
      <c r="Q466" s="306">
        <v>24</v>
      </c>
      <c r="R466" s="24"/>
      <c r="S466" s="24"/>
      <c r="T466" s="24"/>
      <c r="AI466" s="24"/>
      <c r="AJ466" s="24"/>
      <c r="AO466" s="24"/>
      <c r="AP466" s="24"/>
      <c r="AQ466" s="24"/>
      <c r="AR466" s="24"/>
      <c r="BI466" s="324">
        <v>2021</v>
      </c>
      <c r="BJ466" s="324">
        <v>7</v>
      </c>
      <c r="BK466" s="324" t="s">
        <v>32</v>
      </c>
      <c r="BL466" s="324" t="s">
        <v>272</v>
      </c>
      <c r="BM466" s="324">
        <v>1655</v>
      </c>
      <c r="BN466" s="324">
        <v>1651</v>
      </c>
      <c r="BO466" s="324">
        <v>5377</v>
      </c>
      <c r="DD466" s="24"/>
      <c r="DE466" s="24"/>
      <c r="DF466" s="24"/>
      <c r="DG466" s="24"/>
      <c r="DJ466" s="24">
        <v>2019</v>
      </c>
      <c r="DK466" s="24">
        <v>29</v>
      </c>
      <c r="DL466" s="24" t="s">
        <v>33</v>
      </c>
      <c r="DM466" s="24">
        <v>2982</v>
      </c>
      <c r="DP466" s="24"/>
      <c r="DQ466" s="24"/>
      <c r="DR466" s="24"/>
      <c r="DS466" s="24"/>
      <c r="EI466" s="24">
        <v>2022</v>
      </c>
      <c r="EJ466" s="24">
        <v>48</v>
      </c>
      <c r="EK466" s="24" t="s">
        <v>558</v>
      </c>
      <c r="EL466" s="24" t="s">
        <v>557</v>
      </c>
      <c r="EM466" s="24" t="s">
        <v>210</v>
      </c>
      <c r="EN466" s="24">
        <v>58</v>
      </c>
      <c r="EO466" s="24"/>
      <c r="EP466" s="24"/>
      <c r="ES466" s="24">
        <v>2020</v>
      </c>
      <c r="ET466" s="24">
        <v>7</v>
      </c>
      <c r="EU466" s="24" t="s">
        <v>33</v>
      </c>
      <c r="EV466" s="24">
        <v>98754</v>
      </c>
      <c r="FW466" s="24">
        <v>2019</v>
      </c>
      <c r="FX466" s="24">
        <v>5</v>
      </c>
      <c r="FY466" s="24" t="s">
        <v>32</v>
      </c>
      <c r="FZ466" s="24">
        <v>632</v>
      </c>
      <c r="GA466" s="24">
        <v>608</v>
      </c>
      <c r="GB466" s="24"/>
      <c r="GC466" s="24"/>
      <c r="GD466" s="24"/>
      <c r="GE466" s="24"/>
      <c r="GF466" s="24"/>
      <c r="GG466" s="24"/>
      <c r="GH466" s="24"/>
      <c r="GK466" s="24"/>
      <c r="GL466" s="24"/>
      <c r="GM466" s="24"/>
      <c r="GN466" s="24"/>
      <c r="GO466" s="24"/>
      <c r="GX466">
        <v>2019</v>
      </c>
      <c r="GY466">
        <v>5</v>
      </c>
      <c r="GZ466" t="s">
        <v>32</v>
      </c>
      <c r="HA466">
        <v>6633</v>
      </c>
      <c r="HB466">
        <v>6466</v>
      </c>
      <c r="HC466">
        <v>0</v>
      </c>
      <c r="HD466">
        <v>2</v>
      </c>
      <c r="HE466">
        <v>0</v>
      </c>
      <c r="HF466">
        <v>0</v>
      </c>
      <c r="HG466">
        <v>0</v>
      </c>
      <c r="HH466">
        <v>0</v>
      </c>
      <c r="HI466">
        <v>32</v>
      </c>
      <c r="HZ466" s="24">
        <v>2019</v>
      </c>
      <c r="IA466" s="24">
        <v>5</v>
      </c>
      <c r="IB466" s="24" t="s">
        <v>32</v>
      </c>
      <c r="IC466" s="24">
        <v>639</v>
      </c>
      <c r="ID466" s="24">
        <v>613</v>
      </c>
    </row>
    <row r="467" spans="9:238" x14ac:dyDescent="0.4">
      <c r="I467" s="305">
        <v>2019</v>
      </c>
      <c r="J467" s="306">
        <v>5</v>
      </c>
      <c r="K467" s="306" t="s">
        <v>32</v>
      </c>
      <c r="L467" s="306">
        <v>6757</v>
      </c>
      <c r="M467" s="306">
        <v>6591</v>
      </c>
      <c r="N467" s="306">
        <v>22</v>
      </c>
      <c r="O467" s="306">
        <v>136</v>
      </c>
      <c r="P467" s="306">
        <v>21</v>
      </c>
      <c r="Q467" s="306">
        <v>1</v>
      </c>
      <c r="R467" s="24"/>
      <c r="S467" s="24"/>
      <c r="T467" s="24"/>
      <c r="AI467" s="24"/>
      <c r="AJ467" s="24"/>
      <c r="AO467" s="24"/>
      <c r="AP467" s="24"/>
      <c r="AQ467" s="24"/>
      <c r="AR467" s="24"/>
      <c r="BI467" s="324">
        <v>2021</v>
      </c>
      <c r="BJ467" s="324">
        <v>7</v>
      </c>
      <c r="BK467" s="324" t="s">
        <v>32</v>
      </c>
      <c r="BL467" s="324" t="s">
        <v>273</v>
      </c>
      <c r="BM467" s="324">
        <v>3887</v>
      </c>
      <c r="BN467" s="324">
        <v>3879</v>
      </c>
      <c r="BO467" s="324">
        <v>3992</v>
      </c>
      <c r="DD467" s="24"/>
      <c r="DE467" s="24"/>
      <c r="DF467" s="24"/>
      <c r="DG467" s="24"/>
      <c r="DJ467" s="24">
        <v>2019</v>
      </c>
      <c r="DK467" s="24">
        <v>29</v>
      </c>
      <c r="DL467" s="24" t="s">
        <v>213</v>
      </c>
      <c r="DM467" s="24">
        <v>21</v>
      </c>
      <c r="DP467" s="24"/>
      <c r="DQ467" s="24"/>
      <c r="DR467" s="24"/>
      <c r="DS467" s="24"/>
      <c r="EI467" s="24">
        <v>2022</v>
      </c>
      <c r="EJ467" s="24">
        <v>48</v>
      </c>
      <c r="EK467" s="24" t="s">
        <v>558</v>
      </c>
      <c r="EL467" s="24" t="s">
        <v>557</v>
      </c>
      <c r="EM467" s="24" t="s">
        <v>234</v>
      </c>
      <c r="EN467" s="24">
        <v>3</v>
      </c>
      <c r="EO467" s="24"/>
      <c r="EP467" s="24"/>
      <c r="ES467" s="24">
        <v>2020</v>
      </c>
      <c r="ET467" s="24">
        <v>7</v>
      </c>
      <c r="EU467" s="24" t="s">
        <v>213</v>
      </c>
      <c r="EV467" s="24">
        <v>20</v>
      </c>
      <c r="FW467" s="24">
        <v>2019</v>
      </c>
      <c r="FX467" s="24">
        <v>5</v>
      </c>
      <c r="FY467" s="24" t="s">
        <v>33</v>
      </c>
      <c r="FZ467" s="24">
        <v>9557</v>
      </c>
      <c r="GA467" s="24">
        <v>7233</v>
      </c>
      <c r="GB467" s="24"/>
      <c r="GC467" s="24"/>
      <c r="GD467" s="24"/>
      <c r="GE467" s="24"/>
      <c r="GF467" s="24"/>
      <c r="GG467" s="24"/>
      <c r="GH467" s="24"/>
      <c r="GK467" s="24"/>
      <c r="GL467" s="24"/>
      <c r="GM467" s="24"/>
      <c r="GN467" s="24"/>
      <c r="GO467" s="24"/>
      <c r="GX467">
        <v>2019</v>
      </c>
      <c r="GY467">
        <v>5</v>
      </c>
      <c r="GZ467" t="s">
        <v>33</v>
      </c>
      <c r="HA467">
        <v>185799</v>
      </c>
      <c r="HB467">
        <v>175296</v>
      </c>
      <c r="HC467">
        <v>475</v>
      </c>
      <c r="HD467">
        <v>730</v>
      </c>
      <c r="HE467">
        <v>2</v>
      </c>
      <c r="HF467">
        <v>6314</v>
      </c>
      <c r="HG467">
        <v>0</v>
      </c>
      <c r="HH467">
        <v>0</v>
      </c>
      <c r="HI467">
        <v>1635</v>
      </c>
      <c r="HZ467" s="24">
        <v>2019</v>
      </c>
      <c r="IA467" s="24">
        <v>5</v>
      </c>
      <c r="IB467" s="24" t="s">
        <v>33</v>
      </c>
      <c r="IC467" s="24">
        <v>9704</v>
      </c>
      <c r="ID467" s="24">
        <v>7291</v>
      </c>
    </row>
    <row r="468" spans="9:238" x14ac:dyDescent="0.4">
      <c r="I468" s="305">
        <v>2019</v>
      </c>
      <c r="J468" s="306">
        <v>5</v>
      </c>
      <c r="K468" s="306" t="s">
        <v>33</v>
      </c>
      <c r="L468" s="306">
        <v>183795</v>
      </c>
      <c r="M468" s="306">
        <v>169799</v>
      </c>
      <c r="N468" s="306">
        <v>362</v>
      </c>
      <c r="O468" s="306">
        <v>3485</v>
      </c>
      <c r="P468" s="306">
        <v>986</v>
      </c>
      <c r="Q468" s="306">
        <v>23</v>
      </c>
      <c r="R468" s="24"/>
      <c r="S468" s="24"/>
      <c r="T468" s="24"/>
      <c r="AI468" s="24"/>
      <c r="AJ468" s="24"/>
      <c r="AO468" s="24"/>
      <c r="AP468" s="24"/>
      <c r="AQ468" s="24"/>
      <c r="AR468" s="24"/>
      <c r="BI468" s="324">
        <v>2021</v>
      </c>
      <c r="BJ468" s="324">
        <v>7</v>
      </c>
      <c r="BK468" s="324" t="s">
        <v>33</v>
      </c>
      <c r="BL468" s="324" t="s">
        <v>272</v>
      </c>
      <c r="BM468" s="324">
        <v>36837</v>
      </c>
      <c r="BN468" s="324">
        <v>36812</v>
      </c>
      <c r="BO468" s="324">
        <v>132881</v>
      </c>
      <c r="DD468" s="24"/>
      <c r="DE468" s="24"/>
      <c r="DF468" s="24"/>
      <c r="DG468" s="24"/>
      <c r="DJ468" s="24">
        <v>2019</v>
      </c>
      <c r="DK468" s="24">
        <v>28</v>
      </c>
      <c r="DL468" s="24" t="s">
        <v>32</v>
      </c>
      <c r="DM468" s="24">
        <v>415</v>
      </c>
      <c r="DP468" s="24"/>
      <c r="DQ468" s="24"/>
      <c r="DR468" s="24"/>
      <c r="DS468" s="24"/>
      <c r="EI468" s="24">
        <v>2022</v>
      </c>
      <c r="EJ468" s="24">
        <v>48</v>
      </c>
      <c r="EK468" s="24" t="s">
        <v>558</v>
      </c>
      <c r="EL468" s="24" t="s">
        <v>557</v>
      </c>
      <c r="EM468" s="24" t="s">
        <v>215</v>
      </c>
      <c r="EN468" s="24">
        <v>1</v>
      </c>
      <c r="EO468" s="24"/>
      <c r="EP468" s="24"/>
      <c r="ES468" s="24">
        <v>2020</v>
      </c>
      <c r="ET468" s="24">
        <v>6</v>
      </c>
      <c r="EU468" s="24" t="s">
        <v>32</v>
      </c>
      <c r="EV468" s="24">
        <v>3743</v>
      </c>
      <c r="FW468" s="24">
        <v>2019</v>
      </c>
      <c r="FX468" s="24">
        <v>4</v>
      </c>
      <c r="FY468" s="24" t="s">
        <v>32</v>
      </c>
      <c r="FZ468" s="24">
        <v>793</v>
      </c>
      <c r="GA468" s="24">
        <v>765</v>
      </c>
      <c r="GB468" s="24"/>
      <c r="GC468" s="24"/>
      <c r="GD468" s="24"/>
      <c r="GE468" s="24"/>
      <c r="GF468" s="24"/>
      <c r="GG468" s="24"/>
      <c r="GH468" s="24"/>
      <c r="GK468" s="24"/>
      <c r="GL468" s="24"/>
      <c r="GM468" s="24"/>
      <c r="GN468" s="24"/>
      <c r="GO468" s="24"/>
      <c r="GX468">
        <v>2019</v>
      </c>
      <c r="GY468">
        <v>4</v>
      </c>
      <c r="GZ468" t="s">
        <v>32</v>
      </c>
      <c r="HA468">
        <v>6507</v>
      </c>
      <c r="HB468">
        <v>6293</v>
      </c>
      <c r="HC468">
        <v>0</v>
      </c>
      <c r="HD468">
        <v>1</v>
      </c>
      <c r="HE468">
        <v>0</v>
      </c>
      <c r="HF468">
        <v>0</v>
      </c>
      <c r="HG468">
        <v>0</v>
      </c>
      <c r="HH468">
        <v>0</v>
      </c>
      <c r="HI468">
        <v>60</v>
      </c>
      <c r="HZ468" s="24">
        <v>2019</v>
      </c>
      <c r="IA468" s="24">
        <v>4</v>
      </c>
      <c r="IB468" s="24" t="s">
        <v>32</v>
      </c>
      <c r="IC468" s="24">
        <v>747</v>
      </c>
      <c r="ID468" s="24">
        <v>721</v>
      </c>
    </row>
    <row r="469" spans="9:238" x14ac:dyDescent="0.4">
      <c r="I469" s="305">
        <v>2019</v>
      </c>
      <c r="J469" s="306">
        <v>4</v>
      </c>
      <c r="K469" s="306" t="s">
        <v>32</v>
      </c>
      <c r="L469" s="306">
        <v>6765</v>
      </c>
      <c r="M469" s="306">
        <v>6530</v>
      </c>
      <c r="N469" s="306">
        <v>39</v>
      </c>
      <c r="O469" s="306">
        <v>210</v>
      </c>
      <c r="P469" s="306">
        <v>19</v>
      </c>
      <c r="Q469" s="306"/>
      <c r="R469" s="24"/>
      <c r="S469" s="24"/>
      <c r="T469" s="24"/>
      <c r="AI469" s="24"/>
      <c r="AJ469" s="24"/>
      <c r="AO469" s="24"/>
      <c r="AP469" s="24"/>
      <c r="AQ469" s="24"/>
      <c r="AR469" s="24"/>
      <c r="BI469" s="324">
        <v>2021</v>
      </c>
      <c r="BJ469" s="324">
        <v>7</v>
      </c>
      <c r="BK469" s="324" t="s">
        <v>33</v>
      </c>
      <c r="BL469" s="324" t="s">
        <v>273</v>
      </c>
      <c r="BM469" s="324">
        <v>52991</v>
      </c>
      <c r="BN469" s="324">
        <v>52813</v>
      </c>
      <c r="BO469" s="324">
        <v>54447</v>
      </c>
      <c r="DD469" s="24"/>
      <c r="DE469" s="24"/>
      <c r="DF469" s="24"/>
      <c r="DG469" s="24"/>
      <c r="DJ469" s="24">
        <v>2019</v>
      </c>
      <c r="DK469" s="24">
        <v>28</v>
      </c>
      <c r="DL469" s="24" t="s">
        <v>33</v>
      </c>
      <c r="DM469" s="24">
        <v>2546</v>
      </c>
      <c r="DP469" s="24"/>
      <c r="DQ469" s="24"/>
      <c r="DR469" s="24"/>
      <c r="DS469" s="24"/>
      <c r="EI469" s="24">
        <v>2022</v>
      </c>
      <c r="EJ469" s="24">
        <v>48</v>
      </c>
      <c r="EK469" s="24" t="s">
        <v>558</v>
      </c>
      <c r="EL469" s="24" t="s">
        <v>554</v>
      </c>
      <c r="EM469" s="24" t="s">
        <v>210</v>
      </c>
      <c r="EN469" s="24">
        <v>5</v>
      </c>
      <c r="EO469" s="24"/>
      <c r="EP469" s="24"/>
      <c r="ES469" s="24">
        <v>2020</v>
      </c>
      <c r="ET469" s="24">
        <v>6</v>
      </c>
      <c r="EU469" s="24" t="s">
        <v>33</v>
      </c>
      <c r="EV469" s="24">
        <v>103528</v>
      </c>
      <c r="FW469" s="24">
        <v>2019</v>
      </c>
      <c r="FX469" s="24">
        <v>4</v>
      </c>
      <c r="FY469" s="24" t="s">
        <v>33</v>
      </c>
      <c r="FZ469" s="24">
        <v>9079</v>
      </c>
      <c r="GA469" s="24">
        <v>7626</v>
      </c>
      <c r="GB469" s="24"/>
      <c r="GC469" s="24"/>
      <c r="GD469" s="24"/>
      <c r="GE469" s="24"/>
      <c r="GF469" s="24"/>
      <c r="GG469" s="24"/>
      <c r="GH469" s="24"/>
      <c r="GK469" s="24"/>
      <c r="GL469" s="24"/>
      <c r="GM469" s="24"/>
      <c r="GN469" s="24"/>
      <c r="GO469" s="24"/>
      <c r="GX469">
        <v>2019</v>
      </c>
      <c r="GY469">
        <v>4</v>
      </c>
      <c r="GZ469" t="s">
        <v>33</v>
      </c>
      <c r="HA469">
        <v>179962</v>
      </c>
      <c r="HB469">
        <v>175039</v>
      </c>
      <c r="HC469">
        <v>530</v>
      </c>
      <c r="HD469">
        <v>140</v>
      </c>
      <c r="HE469">
        <v>0</v>
      </c>
      <c r="HF469">
        <v>2476</v>
      </c>
      <c r="HG469">
        <v>0</v>
      </c>
      <c r="HH469">
        <v>0</v>
      </c>
      <c r="HI469">
        <v>1021</v>
      </c>
      <c r="HZ469" s="24">
        <v>2019</v>
      </c>
      <c r="IA469" s="24">
        <v>4</v>
      </c>
      <c r="IB469" s="24" t="s">
        <v>33</v>
      </c>
      <c r="IC469" s="24">
        <v>9057</v>
      </c>
      <c r="ID469" s="24">
        <v>7570</v>
      </c>
    </row>
    <row r="470" spans="9:238" x14ac:dyDescent="0.4">
      <c r="I470" s="305">
        <v>2019</v>
      </c>
      <c r="J470" s="306">
        <v>4</v>
      </c>
      <c r="K470" s="306" t="s">
        <v>33</v>
      </c>
      <c r="L470" s="306">
        <v>180412</v>
      </c>
      <c r="M470" s="306">
        <v>171055</v>
      </c>
      <c r="N470" s="306">
        <v>371</v>
      </c>
      <c r="O470" s="306">
        <v>2348</v>
      </c>
      <c r="P470" s="306">
        <v>623</v>
      </c>
      <c r="Q470" s="306">
        <v>127</v>
      </c>
      <c r="R470" s="24"/>
      <c r="S470" s="24"/>
      <c r="T470" s="24"/>
      <c r="AI470" s="24"/>
      <c r="AJ470" s="24"/>
      <c r="AO470" s="24"/>
      <c r="AP470" s="24"/>
      <c r="AQ470" s="24"/>
      <c r="AR470" s="24"/>
      <c r="BI470" s="24">
        <v>2021</v>
      </c>
      <c r="BJ470" s="24">
        <v>6</v>
      </c>
      <c r="BK470" s="24" t="s">
        <v>33</v>
      </c>
      <c r="BL470" s="24" t="s">
        <v>272</v>
      </c>
      <c r="BM470" s="24">
        <v>36412</v>
      </c>
      <c r="BN470" s="24">
        <v>36378</v>
      </c>
      <c r="BO470" s="24">
        <v>132384</v>
      </c>
      <c r="DD470" s="24"/>
      <c r="DE470" s="24"/>
      <c r="DF470" s="24"/>
      <c r="DG470" s="24"/>
      <c r="DJ470" s="24">
        <v>2019</v>
      </c>
      <c r="DK470" s="24">
        <v>28</v>
      </c>
      <c r="DL470" s="24" t="s">
        <v>213</v>
      </c>
      <c r="DM470" s="24">
        <v>5</v>
      </c>
      <c r="DP470" s="24"/>
      <c r="DQ470" s="24"/>
      <c r="DR470" s="24"/>
      <c r="DS470" s="24"/>
      <c r="EI470" s="24">
        <v>2022</v>
      </c>
      <c r="EJ470" s="24">
        <v>48</v>
      </c>
      <c r="EK470" s="24" t="s">
        <v>558</v>
      </c>
      <c r="EL470" s="24" t="s">
        <v>235</v>
      </c>
      <c r="EM470" s="24" t="s">
        <v>210</v>
      </c>
      <c r="EN470" s="24">
        <v>19</v>
      </c>
      <c r="EO470" s="24"/>
      <c r="EP470" s="24"/>
      <c r="ES470" s="24">
        <v>2020</v>
      </c>
      <c r="ET470" s="24">
        <v>6</v>
      </c>
      <c r="EU470" s="24" t="s">
        <v>213</v>
      </c>
      <c r="EV470" s="24">
        <v>16</v>
      </c>
      <c r="FW470" s="24">
        <v>2019</v>
      </c>
      <c r="FX470" s="24">
        <v>3</v>
      </c>
      <c r="FY470" s="24" t="s">
        <v>32</v>
      </c>
      <c r="FZ470" s="24">
        <v>627</v>
      </c>
      <c r="GA470" s="24">
        <v>613</v>
      </c>
      <c r="GB470" s="24"/>
      <c r="GC470" s="24"/>
      <c r="GD470" s="24"/>
      <c r="GE470" s="24"/>
      <c r="GF470" s="24"/>
      <c r="GG470" s="24"/>
      <c r="GH470" s="24"/>
      <c r="GK470" s="24"/>
      <c r="GL470" s="24"/>
      <c r="GM470" s="24"/>
      <c r="GN470" s="24"/>
      <c r="GO470" s="24"/>
      <c r="GX470">
        <v>2019</v>
      </c>
      <c r="GY470">
        <v>3</v>
      </c>
      <c r="GZ470" t="s">
        <v>32</v>
      </c>
      <c r="HA470">
        <v>6861</v>
      </c>
      <c r="HB470">
        <v>6620</v>
      </c>
      <c r="HC470">
        <v>0</v>
      </c>
      <c r="HD470">
        <v>7</v>
      </c>
      <c r="HE470">
        <v>0</v>
      </c>
      <c r="HF470">
        <v>0</v>
      </c>
      <c r="HG470">
        <v>0</v>
      </c>
      <c r="HH470">
        <v>0</v>
      </c>
      <c r="HI470">
        <v>65</v>
      </c>
      <c r="HZ470" s="24">
        <v>2019</v>
      </c>
      <c r="IA470" s="24">
        <v>3</v>
      </c>
      <c r="IB470" s="24" t="s">
        <v>32</v>
      </c>
      <c r="IC470" s="24">
        <v>574</v>
      </c>
      <c r="ID470" s="24">
        <v>561</v>
      </c>
    </row>
    <row r="471" spans="9:238" x14ac:dyDescent="0.4">
      <c r="I471" s="305">
        <v>2019</v>
      </c>
      <c r="J471" s="306">
        <v>3</v>
      </c>
      <c r="K471" s="306" t="s">
        <v>32</v>
      </c>
      <c r="L471" s="306">
        <v>6556</v>
      </c>
      <c r="M471" s="306">
        <v>6313</v>
      </c>
      <c r="N471" s="306">
        <v>40</v>
      </c>
      <c r="O471" s="306">
        <v>216</v>
      </c>
      <c r="P471" s="306">
        <v>15</v>
      </c>
      <c r="Q471" s="306"/>
      <c r="R471" s="24"/>
      <c r="S471" s="24"/>
      <c r="T471" s="24"/>
      <c r="AI471" s="24"/>
      <c r="AJ471" s="24"/>
      <c r="AO471" s="24"/>
      <c r="AP471" s="24"/>
      <c r="AQ471" s="24"/>
      <c r="AR471" s="24"/>
      <c r="BI471" s="24">
        <v>2021</v>
      </c>
      <c r="BJ471" s="24">
        <v>6</v>
      </c>
      <c r="BK471" s="24" t="s">
        <v>32</v>
      </c>
      <c r="BL471" s="24" t="s">
        <v>272</v>
      </c>
      <c r="BM471" s="24">
        <v>1410</v>
      </c>
      <c r="BN471" s="24">
        <v>1409</v>
      </c>
      <c r="BO471" s="24">
        <v>4662</v>
      </c>
      <c r="DD471" s="24"/>
      <c r="DE471" s="24"/>
      <c r="DF471" s="24"/>
      <c r="DG471" s="24"/>
      <c r="DJ471" s="24">
        <v>2019</v>
      </c>
      <c r="DK471" s="24">
        <v>27</v>
      </c>
      <c r="DL471" s="24" t="s">
        <v>32</v>
      </c>
      <c r="DM471" s="24">
        <v>25</v>
      </c>
      <c r="DP471" s="24"/>
      <c r="DQ471" s="24"/>
      <c r="DR471" s="24"/>
      <c r="DS471" s="24"/>
      <c r="EI471" s="24">
        <v>2022</v>
      </c>
      <c r="EJ471" s="24">
        <v>48</v>
      </c>
      <c r="EK471" s="24" t="s">
        <v>558</v>
      </c>
      <c r="EL471" s="24" t="s">
        <v>235</v>
      </c>
      <c r="EM471" s="24" t="s">
        <v>234</v>
      </c>
      <c r="EN471" s="24">
        <v>4</v>
      </c>
      <c r="EO471" s="24"/>
      <c r="EP471" s="24"/>
      <c r="ES471" s="24">
        <v>2020</v>
      </c>
      <c r="ET471" s="24">
        <v>5</v>
      </c>
      <c r="EU471" s="24" t="s">
        <v>32</v>
      </c>
      <c r="EV471" s="24">
        <v>4350</v>
      </c>
      <c r="FW471" s="24">
        <v>2019</v>
      </c>
      <c r="FX471" s="24">
        <v>3</v>
      </c>
      <c r="FY471" s="24" t="s">
        <v>33</v>
      </c>
      <c r="FZ471" s="24">
        <v>8679</v>
      </c>
      <c r="GA471" s="24">
        <v>7651</v>
      </c>
      <c r="GB471" s="24"/>
      <c r="GC471" s="24"/>
      <c r="GD471" s="24"/>
      <c r="GE471" s="24"/>
      <c r="GF471" s="24"/>
      <c r="GG471" s="24"/>
      <c r="GH471" s="24"/>
      <c r="GK471" s="24"/>
      <c r="GL471" s="24"/>
      <c r="GM471" s="24"/>
      <c r="GN471" s="24"/>
      <c r="GO471" s="24"/>
      <c r="GX471">
        <v>2019</v>
      </c>
      <c r="GY471">
        <v>3</v>
      </c>
      <c r="GZ471" t="s">
        <v>33</v>
      </c>
      <c r="HA471">
        <v>187129</v>
      </c>
      <c r="HB471">
        <v>183165</v>
      </c>
      <c r="HC471">
        <v>462</v>
      </c>
      <c r="HD471">
        <v>321</v>
      </c>
      <c r="HE471">
        <v>0</v>
      </c>
      <c r="HF471">
        <v>1479</v>
      </c>
      <c r="HG471">
        <v>0</v>
      </c>
      <c r="HH471">
        <v>0</v>
      </c>
      <c r="HI471">
        <v>780</v>
      </c>
      <c r="HZ471" s="24">
        <v>2019</v>
      </c>
      <c r="IA471" s="24">
        <v>3</v>
      </c>
      <c r="IB471" s="24" t="s">
        <v>33</v>
      </c>
      <c r="IC471" s="24">
        <v>8608</v>
      </c>
      <c r="ID471" s="24">
        <v>7568</v>
      </c>
    </row>
    <row r="472" spans="9:238" x14ac:dyDescent="0.4">
      <c r="I472" s="305">
        <v>2019</v>
      </c>
      <c r="J472" s="306">
        <v>3</v>
      </c>
      <c r="K472" s="306" t="s">
        <v>33</v>
      </c>
      <c r="L472" s="306">
        <v>185070</v>
      </c>
      <c r="M472" s="306">
        <v>176225</v>
      </c>
      <c r="N472" s="306">
        <v>332</v>
      </c>
      <c r="O472" s="306">
        <v>2236</v>
      </c>
      <c r="P472" s="306">
        <v>638</v>
      </c>
      <c r="Q472" s="306">
        <v>41</v>
      </c>
      <c r="R472" s="24"/>
      <c r="S472" s="24"/>
      <c r="T472" s="24"/>
      <c r="AI472" s="24"/>
      <c r="AJ472" s="24"/>
      <c r="AO472" s="24"/>
      <c r="AP472" s="24"/>
      <c r="AQ472" s="24"/>
      <c r="AR472" s="24"/>
      <c r="BI472" s="24">
        <v>2021</v>
      </c>
      <c r="BJ472" s="24">
        <v>6</v>
      </c>
      <c r="BK472" s="24" t="s">
        <v>33</v>
      </c>
      <c r="BL472" s="24" t="s">
        <v>273</v>
      </c>
      <c r="BM472" s="24">
        <v>54246</v>
      </c>
      <c r="BN472" s="24">
        <v>53973</v>
      </c>
      <c r="BO472" s="24">
        <v>55717</v>
      </c>
      <c r="DD472" s="24"/>
      <c r="DE472" s="24"/>
      <c r="DF472" s="24"/>
      <c r="DG472" s="24"/>
      <c r="DJ472" s="24">
        <v>2019</v>
      </c>
      <c r="DK472" s="24">
        <v>27</v>
      </c>
      <c r="DL472" s="24" t="s">
        <v>33</v>
      </c>
      <c r="DM472" s="24">
        <v>2371</v>
      </c>
      <c r="DP472" s="24"/>
      <c r="DQ472" s="24"/>
      <c r="DR472" s="24"/>
      <c r="DS472" s="24"/>
      <c r="EI472" s="24">
        <v>2022</v>
      </c>
      <c r="EJ472" s="24">
        <v>48</v>
      </c>
      <c r="EK472" s="24" t="s">
        <v>558</v>
      </c>
      <c r="EL472" s="24" t="s">
        <v>245</v>
      </c>
      <c r="EM472" s="24" t="s">
        <v>210</v>
      </c>
      <c r="EN472" s="24">
        <v>2</v>
      </c>
      <c r="EO472" s="24"/>
      <c r="EP472" s="24"/>
      <c r="ES472" s="24">
        <v>2020</v>
      </c>
      <c r="ET472" s="24">
        <v>5</v>
      </c>
      <c r="EU472" s="24" t="s">
        <v>33</v>
      </c>
      <c r="EV472" s="24">
        <v>100930</v>
      </c>
      <c r="FW472" s="24">
        <v>2019</v>
      </c>
      <c r="FX472" s="24">
        <v>2</v>
      </c>
      <c r="FY472" s="24" t="s">
        <v>32</v>
      </c>
      <c r="FZ472" s="24">
        <v>637</v>
      </c>
      <c r="GA472" s="24">
        <v>612</v>
      </c>
      <c r="GB472" s="24"/>
      <c r="GC472" s="24"/>
      <c r="GD472" s="24"/>
      <c r="GE472" s="24"/>
      <c r="GF472" s="24"/>
      <c r="GG472" s="24"/>
      <c r="GH472" s="24"/>
      <c r="GK472" s="24"/>
      <c r="GL472" s="24"/>
      <c r="GM472" s="24"/>
      <c r="GN472" s="24"/>
      <c r="GO472" s="24"/>
      <c r="GX472">
        <v>2019</v>
      </c>
      <c r="GY472">
        <v>2</v>
      </c>
      <c r="GZ472" t="s">
        <v>32</v>
      </c>
      <c r="HA472">
        <v>5021</v>
      </c>
      <c r="HB472">
        <v>4788</v>
      </c>
      <c r="HC472">
        <v>1</v>
      </c>
      <c r="HD472">
        <v>0</v>
      </c>
      <c r="HE472">
        <v>0</v>
      </c>
      <c r="HF472">
        <v>2</v>
      </c>
      <c r="HG472">
        <v>0</v>
      </c>
      <c r="HH472">
        <v>0</v>
      </c>
      <c r="HI472">
        <v>39</v>
      </c>
      <c r="HZ472" s="24">
        <v>2019</v>
      </c>
      <c r="IA472" s="24">
        <v>2</v>
      </c>
      <c r="IB472" s="24" t="s">
        <v>32</v>
      </c>
      <c r="IC472" s="24">
        <v>618</v>
      </c>
      <c r="ID472" s="24">
        <v>595</v>
      </c>
    </row>
    <row r="473" spans="9:238" x14ac:dyDescent="0.4">
      <c r="I473" s="305">
        <v>2019</v>
      </c>
      <c r="J473" s="306">
        <v>2</v>
      </c>
      <c r="K473" s="306" t="s">
        <v>32</v>
      </c>
      <c r="L473" s="306">
        <v>5090</v>
      </c>
      <c r="M473" s="306">
        <v>4850</v>
      </c>
      <c r="N473" s="306">
        <v>31</v>
      </c>
      <c r="O473" s="306">
        <v>214</v>
      </c>
      <c r="P473" s="306">
        <v>16</v>
      </c>
      <c r="Q473" s="306"/>
      <c r="R473" s="24"/>
      <c r="S473" s="24"/>
      <c r="T473" s="24"/>
      <c r="AI473" s="24"/>
      <c r="AJ473" s="24"/>
      <c r="AO473" s="24"/>
      <c r="AP473" s="24"/>
      <c r="AQ473" s="24"/>
      <c r="AR473" s="24"/>
      <c r="BI473" s="24">
        <v>2021</v>
      </c>
      <c r="BJ473" s="24">
        <v>6</v>
      </c>
      <c r="BK473" s="24" t="s">
        <v>32</v>
      </c>
      <c r="BL473" s="24" t="s">
        <v>273</v>
      </c>
      <c r="BM473" s="24">
        <v>3553</v>
      </c>
      <c r="BN473" s="24">
        <v>3542</v>
      </c>
      <c r="BO473" s="24">
        <v>3650</v>
      </c>
      <c r="DD473" s="24"/>
      <c r="DE473" s="24"/>
      <c r="DF473" s="24"/>
      <c r="DG473" s="24"/>
      <c r="DJ473" s="24">
        <v>2019</v>
      </c>
      <c r="DK473" s="24">
        <v>27</v>
      </c>
      <c r="DL473" s="24" t="s">
        <v>213</v>
      </c>
      <c r="DM473" s="24">
        <v>1</v>
      </c>
      <c r="DP473" s="24"/>
      <c r="DQ473" s="24"/>
      <c r="DR473" s="24"/>
      <c r="DS473" s="24"/>
      <c r="EI473" s="24">
        <v>2022</v>
      </c>
      <c r="EJ473" s="24">
        <v>48</v>
      </c>
      <c r="EK473" s="24" t="s">
        <v>33</v>
      </c>
      <c r="EL473" s="24" t="s">
        <v>233</v>
      </c>
      <c r="EM473" s="24" t="s">
        <v>210</v>
      </c>
      <c r="EN473" s="24">
        <v>12</v>
      </c>
      <c r="EO473" s="24"/>
      <c r="EP473" s="24"/>
      <c r="ES473" s="24">
        <v>2020</v>
      </c>
      <c r="ET473" s="24">
        <v>5</v>
      </c>
      <c r="EU473" s="24" t="s">
        <v>213</v>
      </c>
      <c r="EV473" s="24">
        <v>19</v>
      </c>
      <c r="FW473" s="24">
        <v>2019</v>
      </c>
      <c r="FX473" s="24">
        <v>2</v>
      </c>
      <c r="FY473" s="24" t="s">
        <v>33</v>
      </c>
      <c r="FZ473" s="24">
        <v>9280</v>
      </c>
      <c r="GA473" s="24">
        <v>8454</v>
      </c>
      <c r="GB473" s="24"/>
      <c r="GC473" s="24"/>
      <c r="GD473" s="24"/>
      <c r="GE473" s="24"/>
      <c r="GF473" s="24"/>
      <c r="GG473" s="24"/>
      <c r="GH473" s="24"/>
      <c r="GK473" s="24"/>
      <c r="GL473" s="24"/>
      <c r="GM473" s="24"/>
      <c r="GN473" s="24"/>
      <c r="GO473" s="24"/>
      <c r="GX473">
        <v>2019</v>
      </c>
      <c r="GY473">
        <v>2</v>
      </c>
      <c r="GZ473" t="s">
        <v>33</v>
      </c>
      <c r="HA473">
        <v>162031</v>
      </c>
      <c r="HB473">
        <v>159184</v>
      </c>
      <c r="HC473">
        <v>334</v>
      </c>
      <c r="HD473">
        <v>113</v>
      </c>
      <c r="HE473">
        <v>0</v>
      </c>
      <c r="HF473">
        <v>630</v>
      </c>
      <c r="HG473">
        <v>0</v>
      </c>
      <c r="HH473">
        <v>0</v>
      </c>
      <c r="HI473">
        <v>545</v>
      </c>
      <c r="HZ473" s="24">
        <v>2019</v>
      </c>
      <c r="IA473" s="24">
        <v>2</v>
      </c>
      <c r="IB473" s="24" t="s">
        <v>33</v>
      </c>
      <c r="IC473" s="24">
        <v>9362</v>
      </c>
      <c r="ID473" s="24">
        <v>8490</v>
      </c>
    </row>
    <row r="474" spans="9:238" x14ac:dyDescent="0.4">
      <c r="I474" s="305">
        <v>2019</v>
      </c>
      <c r="J474" s="306">
        <v>2</v>
      </c>
      <c r="K474" s="306" t="s">
        <v>33</v>
      </c>
      <c r="L474" s="306">
        <v>162518</v>
      </c>
      <c r="M474" s="306">
        <v>155795</v>
      </c>
      <c r="N474" s="306">
        <v>214</v>
      </c>
      <c r="O474" s="306">
        <v>2204</v>
      </c>
      <c r="P474" s="306">
        <v>479</v>
      </c>
      <c r="Q474" s="306">
        <v>33</v>
      </c>
      <c r="R474" s="24"/>
      <c r="S474" s="24"/>
      <c r="T474" s="24"/>
      <c r="AI474" s="24"/>
      <c r="AJ474" s="24"/>
      <c r="AO474" s="24"/>
      <c r="AP474" s="24"/>
      <c r="AQ474" s="24"/>
      <c r="AR474" s="24"/>
      <c r="BI474" s="24">
        <v>2021</v>
      </c>
      <c r="BJ474" s="24">
        <v>5</v>
      </c>
      <c r="BK474" s="24" t="s">
        <v>33</v>
      </c>
      <c r="BL474" s="24" t="s">
        <v>273</v>
      </c>
      <c r="BM474" s="24">
        <v>53341</v>
      </c>
      <c r="BN474" s="24">
        <v>53019</v>
      </c>
      <c r="BO474" s="24">
        <v>54668</v>
      </c>
      <c r="DD474" s="24"/>
      <c r="DE474" s="24"/>
      <c r="DF474" s="24"/>
      <c r="DG474" s="24"/>
      <c r="DJ474" s="24">
        <v>2019</v>
      </c>
      <c r="DK474" s="24">
        <v>26</v>
      </c>
      <c r="DL474" s="24" t="s">
        <v>32</v>
      </c>
      <c r="DM474" s="24">
        <v>24</v>
      </c>
      <c r="DP474" s="24"/>
      <c r="DQ474" s="24"/>
      <c r="DR474" s="24"/>
      <c r="DS474" s="24"/>
      <c r="EI474" s="24">
        <v>2022</v>
      </c>
      <c r="EJ474" s="24">
        <v>48</v>
      </c>
      <c r="EK474" s="24" t="s">
        <v>33</v>
      </c>
      <c r="EL474" s="24" t="s">
        <v>233</v>
      </c>
      <c r="EM474" s="24" t="s">
        <v>215</v>
      </c>
      <c r="EN474" s="24">
        <v>4</v>
      </c>
      <c r="EO474" s="24"/>
      <c r="EP474" s="24"/>
      <c r="ES474" s="24">
        <v>2020</v>
      </c>
      <c r="ET474" s="24">
        <v>4</v>
      </c>
      <c r="EU474" s="24" t="s">
        <v>32</v>
      </c>
      <c r="EV474" s="24">
        <v>3029</v>
      </c>
      <c r="FW474" s="24">
        <v>2019</v>
      </c>
      <c r="FX474" s="24">
        <v>1</v>
      </c>
      <c r="FY474" s="24" t="s">
        <v>32</v>
      </c>
      <c r="FZ474" s="24">
        <v>678</v>
      </c>
      <c r="GA474" s="24">
        <v>658</v>
      </c>
      <c r="GB474" s="24"/>
      <c r="GC474" s="24"/>
      <c r="GD474" s="24"/>
      <c r="GE474" s="24"/>
      <c r="GF474" s="24"/>
      <c r="GG474" s="24"/>
      <c r="GH474" s="24"/>
      <c r="GK474" s="24"/>
      <c r="GL474" s="24"/>
      <c r="GM474" s="24"/>
      <c r="GN474" s="24"/>
      <c r="GO474" s="24"/>
      <c r="GX474">
        <v>2019</v>
      </c>
      <c r="GY474">
        <v>1</v>
      </c>
      <c r="GZ474" t="s">
        <v>32</v>
      </c>
      <c r="HA474">
        <v>5319</v>
      </c>
      <c r="HB474">
        <v>4978</v>
      </c>
      <c r="HC474">
        <v>0</v>
      </c>
      <c r="HD474">
        <v>90</v>
      </c>
      <c r="HE474">
        <v>0</v>
      </c>
      <c r="HF474">
        <v>0</v>
      </c>
      <c r="HG474">
        <v>0</v>
      </c>
      <c r="HH474">
        <v>0</v>
      </c>
      <c r="HI474">
        <v>58</v>
      </c>
      <c r="HZ474" s="24">
        <v>2019</v>
      </c>
      <c r="IA474" s="24">
        <v>1</v>
      </c>
      <c r="IB474" s="24" t="s">
        <v>32</v>
      </c>
      <c r="IC474" s="24">
        <v>657</v>
      </c>
      <c r="ID474" s="24">
        <v>633</v>
      </c>
    </row>
    <row r="475" spans="9:238" x14ac:dyDescent="0.4">
      <c r="I475" s="305">
        <v>2019</v>
      </c>
      <c r="J475" s="306">
        <v>1</v>
      </c>
      <c r="K475" s="306" t="s">
        <v>32</v>
      </c>
      <c r="L475" s="306">
        <v>5342</v>
      </c>
      <c r="M475" s="306">
        <v>5004</v>
      </c>
      <c r="N475" s="306">
        <v>44</v>
      </c>
      <c r="O475" s="306">
        <v>322</v>
      </c>
      <c r="P475" s="306">
        <v>26</v>
      </c>
      <c r="Q475" s="306"/>
      <c r="R475" s="24"/>
      <c r="S475" s="24"/>
      <c r="T475" s="24"/>
      <c r="AI475" s="24"/>
      <c r="AJ475" s="24"/>
      <c r="AO475" s="24"/>
      <c r="AP475" s="24"/>
      <c r="AQ475" s="24"/>
      <c r="AR475" s="24"/>
      <c r="BI475" s="24">
        <v>2021</v>
      </c>
      <c r="BJ475" s="24">
        <v>5</v>
      </c>
      <c r="BK475" s="24" t="s">
        <v>32</v>
      </c>
      <c r="BL475" s="24" t="s">
        <v>273</v>
      </c>
      <c r="BM475" s="24">
        <v>3707</v>
      </c>
      <c r="BN475" s="24">
        <v>3694</v>
      </c>
      <c r="BO475" s="24">
        <v>3761</v>
      </c>
      <c r="DD475" s="24"/>
      <c r="DE475" s="24"/>
      <c r="DF475" s="24"/>
      <c r="DG475" s="24"/>
      <c r="DJ475" s="24">
        <v>2019</v>
      </c>
      <c r="DK475" s="24">
        <v>26</v>
      </c>
      <c r="DL475" s="24" t="s">
        <v>33</v>
      </c>
      <c r="DM475" s="24">
        <v>4949</v>
      </c>
      <c r="DP475" s="24"/>
      <c r="DQ475" s="24"/>
      <c r="DR475" s="24"/>
      <c r="DS475" s="24"/>
      <c r="EI475" s="24">
        <v>2022</v>
      </c>
      <c r="EJ475" s="24">
        <v>48</v>
      </c>
      <c r="EK475" s="24" t="s">
        <v>33</v>
      </c>
      <c r="EL475" s="24" t="s">
        <v>235</v>
      </c>
      <c r="EM475" s="24" t="s">
        <v>215</v>
      </c>
      <c r="EN475" s="24">
        <v>1</v>
      </c>
      <c r="EO475" s="24"/>
      <c r="EP475" s="24"/>
      <c r="ES475" s="24">
        <v>2020</v>
      </c>
      <c r="ET475" s="24">
        <v>4</v>
      </c>
      <c r="EU475" s="24" t="s">
        <v>33</v>
      </c>
      <c r="EV475" s="24">
        <v>88919</v>
      </c>
      <c r="FW475" s="24">
        <v>2019</v>
      </c>
      <c r="FX475" s="24">
        <v>1</v>
      </c>
      <c r="FY475" s="24" t="s">
        <v>33</v>
      </c>
      <c r="FZ475" s="24">
        <v>7927</v>
      </c>
      <c r="GA475" s="24">
        <v>7285</v>
      </c>
      <c r="GB475" s="24"/>
      <c r="GC475" s="24"/>
      <c r="GD475" s="24"/>
      <c r="GE475" s="24"/>
      <c r="GF475" s="24"/>
      <c r="GG475" s="24"/>
      <c r="GH475" s="24"/>
      <c r="GK475" s="24"/>
      <c r="GL475" s="24"/>
      <c r="GM475" s="24"/>
      <c r="GN475" s="24"/>
      <c r="GO475" s="24"/>
      <c r="GX475">
        <v>2019</v>
      </c>
      <c r="GY475">
        <v>1</v>
      </c>
      <c r="GZ475" t="s">
        <v>33</v>
      </c>
      <c r="HA475">
        <v>156498</v>
      </c>
      <c r="HB475">
        <v>154511</v>
      </c>
      <c r="HC475">
        <v>208</v>
      </c>
      <c r="HD475">
        <v>15</v>
      </c>
      <c r="HE475">
        <v>0</v>
      </c>
      <c r="HF475">
        <v>412</v>
      </c>
      <c r="HG475">
        <v>0</v>
      </c>
      <c r="HH475">
        <v>0</v>
      </c>
      <c r="HI475">
        <v>380</v>
      </c>
      <c r="HZ475" s="24">
        <v>2019</v>
      </c>
      <c r="IA475" s="24">
        <v>1</v>
      </c>
      <c r="IB475" s="24" t="s">
        <v>33</v>
      </c>
      <c r="IC475" s="24">
        <v>8015</v>
      </c>
      <c r="ID475" s="24">
        <v>7436</v>
      </c>
    </row>
    <row r="476" spans="9:238" x14ac:dyDescent="0.4">
      <c r="I476" s="305">
        <v>2019</v>
      </c>
      <c r="J476" s="306">
        <v>1</v>
      </c>
      <c r="K476" s="306" t="s">
        <v>33</v>
      </c>
      <c r="L476" s="306">
        <v>154394</v>
      </c>
      <c r="M476" s="306">
        <v>148564</v>
      </c>
      <c r="N476" s="306">
        <v>198</v>
      </c>
      <c r="O476" s="306">
        <v>1853</v>
      </c>
      <c r="P476" s="306">
        <v>537</v>
      </c>
      <c r="Q476" s="306">
        <v>21</v>
      </c>
      <c r="R476" s="24"/>
      <c r="S476" s="24"/>
      <c r="T476" s="24"/>
      <c r="AI476" s="24"/>
      <c r="AJ476" s="24"/>
      <c r="AO476" s="24"/>
      <c r="AP476" s="24"/>
      <c r="AQ476" s="24"/>
      <c r="AR476" s="24"/>
      <c r="BI476" s="24">
        <v>2021</v>
      </c>
      <c r="BJ476" s="24">
        <v>5</v>
      </c>
      <c r="BK476" s="24" t="s">
        <v>33</v>
      </c>
      <c r="BL476" s="24" t="s">
        <v>272</v>
      </c>
      <c r="BM476" s="24">
        <v>37101</v>
      </c>
      <c r="BN476" s="24">
        <v>37057</v>
      </c>
      <c r="BO476" s="24">
        <v>134415</v>
      </c>
      <c r="DD476" s="24"/>
      <c r="DE476" s="24"/>
      <c r="DF476" s="24"/>
      <c r="DG476" s="24"/>
      <c r="DJ476" s="24">
        <v>2019</v>
      </c>
      <c r="DK476" s="24">
        <v>26</v>
      </c>
      <c r="DL476" s="24" t="s">
        <v>213</v>
      </c>
      <c r="DM476" s="24">
        <v>7</v>
      </c>
      <c r="DP476" s="24"/>
      <c r="DQ476" s="24"/>
      <c r="DR476" s="24"/>
      <c r="DS476" s="24"/>
      <c r="EI476" s="24">
        <v>2022</v>
      </c>
      <c r="EJ476" s="24">
        <v>48</v>
      </c>
      <c r="EK476" s="24" t="s">
        <v>33</v>
      </c>
      <c r="EL476" s="24" t="s">
        <v>247</v>
      </c>
      <c r="EM476" s="24" t="s">
        <v>210</v>
      </c>
      <c r="EN476" s="24">
        <v>1</v>
      </c>
      <c r="EO476" s="24"/>
      <c r="EP476" s="24"/>
      <c r="ES476" s="24">
        <v>2020</v>
      </c>
      <c r="ET476" s="24">
        <v>4</v>
      </c>
      <c r="EU476" s="24" t="s">
        <v>213</v>
      </c>
      <c r="EV476" s="24">
        <v>17</v>
      </c>
      <c r="FW476" s="24">
        <v>2018</v>
      </c>
      <c r="FX476" s="24">
        <v>52</v>
      </c>
      <c r="FY476" s="24" t="s">
        <v>32</v>
      </c>
      <c r="FZ476" s="24">
        <v>567</v>
      </c>
      <c r="GA476" s="24">
        <v>488</v>
      </c>
      <c r="GB476" s="24"/>
      <c r="GC476" s="24"/>
      <c r="GD476" s="24"/>
      <c r="GE476" s="24"/>
      <c r="GF476" s="24"/>
      <c r="GG476" s="24"/>
      <c r="GH476" s="24"/>
      <c r="GK476" s="24"/>
      <c r="GL476" s="24"/>
      <c r="GM476" s="24"/>
      <c r="GN476" s="24"/>
      <c r="GO476" s="24"/>
      <c r="GX476">
        <v>2018</v>
      </c>
      <c r="GY476">
        <v>52</v>
      </c>
      <c r="GZ476" t="s">
        <v>32</v>
      </c>
      <c r="HA476">
        <v>6565</v>
      </c>
      <c r="HB476">
        <v>6125</v>
      </c>
      <c r="HC476">
        <v>0</v>
      </c>
      <c r="HD476">
        <v>171</v>
      </c>
      <c r="HE476">
        <v>0</v>
      </c>
      <c r="HF476">
        <v>0</v>
      </c>
      <c r="HG476">
        <v>0</v>
      </c>
      <c r="HH476">
        <v>0</v>
      </c>
      <c r="HI476">
        <v>144</v>
      </c>
      <c r="HZ476" s="24">
        <v>2018</v>
      </c>
      <c r="IA476" s="24">
        <v>52</v>
      </c>
      <c r="IB476" s="24" t="s">
        <v>32</v>
      </c>
      <c r="IC476" s="24">
        <v>474</v>
      </c>
      <c r="ID476" s="24">
        <v>396</v>
      </c>
    </row>
    <row r="477" spans="9:238" x14ac:dyDescent="0.4">
      <c r="I477" s="305">
        <v>2018</v>
      </c>
      <c r="J477" s="306">
        <v>52</v>
      </c>
      <c r="K477" s="306" t="s">
        <v>32</v>
      </c>
      <c r="L477" s="306">
        <v>6775</v>
      </c>
      <c r="M477" s="306">
        <v>6260</v>
      </c>
      <c r="N477" s="306">
        <v>129</v>
      </c>
      <c r="O477" s="306">
        <v>351</v>
      </c>
      <c r="P477" s="306">
        <v>45</v>
      </c>
      <c r="Q477" s="306"/>
      <c r="R477" s="24"/>
      <c r="S477" s="24"/>
      <c r="T477" s="24"/>
      <c r="AI477" s="24"/>
      <c r="AJ477" s="24"/>
      <c r="AO477" s="24"/>
      <c r="AP477" s="24"/>
      <c r="AQ477" s="24"/>
      <c r="AR477" s="24"/>
      <c r="BI477" s="24">
        <v>2021</v>
      </c>
      <c r="BJ477" s="24">
        <v>5</v>
      </c>
      <c r="BK477" s="24" t="s">
        <v>32</v>
      </c>
      <c r="BL477" s="24" t="s">
        <v>272</v>
      </c>
      <c r="BM477" s="24">
        <v>1515</v>
      </c>
      <c r="BN477" s="24">
        <v>1515</v>
      </c>
      <c r="BO477" s="24">
        <v>5162</v>
      </c>
      <c r="DD477" s="24"/>
      <c r="DE477" s="24"/>
      <c r="DF477" s="24"/>
      <c r="DG477" s="24"/>
      <c r="DJ477" s="24">
        <v>2019</v>
      </c>
      <c r="DK477" s="24">
        <v>25</v>
      </c>
      <c r="DL477" s="24" t="s">
        <v>32</v>
      </c>
      <c r="DM477" s="24">
        <v>245</v>
      </c>
      <c r="DP477" s="24"/>
      <c r="DQ477" s="24"/>
      <c r="DR477" s="24"/>
      <c r="DS477" s="24"/>
      <c r="EI477" s="24">
        <v>2022</v>
      </c>
      <c r="EJ477" s="24">
        <v>48</v>
      </c>
      <c r="EK477" s="24" t="s">
        <v>33</v>
      </c>
      <c r="EL477" s="24" t="s">
        <v>247</v>
      </c>
      <c r="EM477" s="24" t="s">
        <v>234</v>
      </c>
      <c r="EN477" s="24">
        <v>1</v>
      </c>
      <c r="EO477" s="24"/>
      <c r="EP477" s="24"/>
      <c r="ES477" s="24">
        <v>2020</v>
      </c>
      <c r="ET477" s="24">
        <v>3</v>
      </c>
      <c r="EU477" s="24" t="s">
        <v>32</v>
      </c>
      <c r="EV477" s="24">
        <v>3120</v>
      </c>
      <c r="FW477" s="24">
        <v>2018</v>
      </c>
      <c r="FX477" s="24">
        <v>52</v>
      </c>
      <c r="FY477" s="24" t="s">
        <v>33</v>
      </c>
      <c r="FZ477" s="24">
        <v>9012</v>
      </c>
      <c r="GA477" s="24">
        <v>8517</v>
      </c>
      <c r="GB477" s="24"/>
      <c r="GC477" s="24"/>
      <c r="GD477" s="24"/>
      <c r="GE477" s="24"/>
      <c r="GF477" s="24"/>
      <c r="GG477" s="24"/>
      <c r="GH477" s="24"/>
      <c r="GK477" s="24"/>
      <c r="GL477" s="24"/>
      <c r="GM477" s="24"/>
      <c r="GN477" s="24"/>
      <c r="GO477" s="24"/>
      <c r="GX477">
        <v>2018</v>
      </c>
      <c r="GY477">
        <v>52</v>
      </c>
      <c r="GZ477" t="s">
        <v>33</v>
      </c>
      <c r="HA477">
        <v>117612</v>
      </c>
      <c r="HB477">
        <v>116153</v>
      </c>
      <c r="HC477">
        <v>115</v>
      </c>
      <c r="HD477">
        <v>24</v>
      </c>
      <c r="HE477">
        <v>0</v>
      </c>
      <c r="HF477">
        <v>157</v>
      </c>
      <c r="HG477">
        <v>0</v>
      </c>
      <c r="HH477">
        <v>0</v>
      </c>
      <c r="HI477">
        <v>361</v>
      </c>
      <c r="HZ477" s="24">
        <v>2018</v>
      </c>
      <c r="IA477" s="24">
        <v>52</v>
      </c>
      <c r="IB477" s="24" t="s">
        <v>33</v>
      </c>
      <c r="IC477" s="24">
        <v>6958</v>
      </c>
      <c r="ID477" s="24">
        <v>6479</v>
      </c>
    </row>
    <row r="478" spans="9:238" x14ac:dyDescent="0.4">
      <c r="I478" s="305">
        <v>2018</v>
      </c>
      <c r="J478" s="306">
        <v>52</v>
      </c>
      <c r="K478" s="306" t="s">
        <v>33</v>
      </c>
      <c r="L478" s="306">
        <v>118972</v>
      </c>
      <c r="M478" s="306">
        <v>114690</v>
      </c>
      <c r="N478" s="306">
        <v>203</v>
      </c>
      <c r="O478" s="306">
        <v>1243</v>
      </c>
      <c r="P478" s="306">
        <v>327</v>
      </c>
      <c r="Q478" s="306">
        <v>10</v>
      </c>
      <c r="R478" s="24"/>
      <c r="S478" s="24"/>
      <c r="T478" s="24"/>
      <c r="AI478" s="24"/>
      <c r="AJ478" s="24"/>
      <c r="AO478" s="24"/>
      <c r="AP478" s="24"/>
      <c r="AQ478" s="24"/>
      <c r="AR478" s="24"/>
      <c r="BI478" s="24">
        <v>2021</v>
      </c>
      <c r="BJ478" s="24">
        <v>4</v>
      </c>
      <c r="BK478" s="24" t="s">
        <v>33</v>
      </c>
      <c r="BL478" s="24" t="s">
        <v>272</v>
      </c>
      <c r="BM478" s="24">
        <v>35031</v>
      </c>
      <c r="BN478" s="24">
        <v>35014</v>
      </c>
      <c r="BO478" s="24">
        <v>126062</v>
      </c>
      <c r="DD478" s="24"/>
      <c r="DE478" s="24"/>
      <c r="DF478" s="24"/>
      <c r="DG478" s="24"/>
      <c r="DJ478" s="24">
        <v>2019</v>
      </c>
      <c r="DK478" s="24">
        <v>25</v>
      </c>
      <c r="DL478" s="24" t="s">
        <v>33</v>
      </c>
      <c r="DM478" s="24">
        <v>3664</v>
      </c>
      <c r="DP478" s="24"/>
      <c r="DQ478" s="24"/>
      <c r="DR478" s="24"/>
      <c r="DS478" s="24"/>
      <c r="EI478" s="24">
        <v>2022</v>
      </c>
      <c r="EJ478" s="24">
        <v>48</v>
      </c>
      <c r="EK478" s="24" t="s">
        <v>33</v>
      </c>
      <c r="EL478" s="24" t="s">
        <v>247</v>
      </c>
      <c r="EM478" s="24" t="s">
        <v>215</v>
      </c>
      <c r="EN478" s="24">
        <v>1</v>
      </c>
      <c r="EO478" s="24"/>
      <c r="EP478" s="24"/>
      <c r="ES478" s="24">
        <v>2020</v>
      </c>
      <c r="ET478" s="24">
        <v>3</v>
      </c>
      <c r="EU478" s="24" t="s">
        <v>33</v>
      </c>
      <c r="EV478" s="24">
        <v>78714</v>
      </c>
      <c r="FW478" s="24">
        <v>2018</v>
      </c>
      <c r="FX478" s="24">
        <v>51</v>
      </c>
      <c r="FY478" s="24" t="s">
        <v>32</v>
      </c>
      <c r="FZ478" s="24">
        <v>680</v>
      </c>
      <c r="GA478" s="24">
        <v>623</v>
      </c>
      <c r="GB478" s="24"/>
      <c r="GC478" s="24"/>
      <c r="GD478" s="24"/>
      <c r="GE478" s="24"/>
      <c r="GF478" s="24"/>
      <c r="GG478" s="24"/>
      <c r="GH478" s="24"/>
      <c r="GK478" s="24"/>
      <c r="GL478" s="24"/>
      <c r="GM478" s="24"/>
      <c r="GN478" s="24"/>
      <c r="GO478" s="24"/>
      <c r="GX478">
        <v>2018</v>
      </c>
      <c r="GY478">
        <v>51</v>
      </c>
      <c r="GZ478" t="s">
        <v>32</v>
      </c>
      <c r="HA478">
        <v>5115</v>
      </c>
      <c r="HB478">
        <v>4908</v>
      </c>
      <c r="HC478">
        <v>0</v>
      </c>
      <c r="HD478">
        <v>0</v>
      </c>
      <c r="HE478">
        <v>0</v>
      </c>
      <c r="HF478">
        <v>1</v>
      </c>
      <c r="HG478">
        <v>0</v>
      </c>
      <c r="HH478">
        <v>0</v>
      </c>
      <c r="HI478">
        <v>52</v>
      </c>
      <c r="HZ478" s="24">
        <v>2018</v>
      </c>
      <c r="IA478" s="24">
        <v>51</v>
      </c>
      <c r="IB478" s="24" t="s">
        <v>32</v>
      </c>
      <c r="IC478" s="24">
        <v>689</v>
      </c>
      <c r="ID478" s="24">
        <v>632</v>
      </c>
    </row>
    <row r="479" spans="9:238" x14ac:dyDescent="0.4">
      <c r="I479" s="305">
        <v>2018</v>
      </c>
      <c r="J479" s="306">
        <v>51</v>
      </c>
      <c r="K479" s="306" t="s">
        <v>32</v>
      </c>
      <c r="L479" s="306">
        <v>5038</v>
      </c>
      <c r="M479" s="306">
        <v>4836</v>
      </c>
      <c r="N479" s="306">
        <v>26</v>
      </c>
      <c r="O479" s="306">
        <v>159</v>
      </c>
      <c r="P479" s="306">
        <v>34</v>
      </c>
      <c r="Q479" s="306"/>
      <c r="R479" s="24"/>
      <c r="S479" s="24"/>
      <c r="T479" s="24"/>
      <c r="AI479" s="24"/>
      <c r="AJ479" s="24"/>
      <c r="AO479" s="24"/>
      <c r="AP479" s="24"/>
      <c r="AQ479" s="24"/>
      <c r="AR479" s="24"/>
      <c r="BI479" s="24">
        <v>2021</v>
      </c>
      <c r="BJ479" s="24">
        <v>4</v>
      </c>
      <c r="BK479" s="24" t="s">
        <v>33</v>
      </c>
      <c r="BL479" s="24" t="s">
        <v>273</v>
      </c>
      <c r="BM479" s="24">
        <v>51777</v>
      </c>
      <c r="BN479" s="24">
        <v>51689</v>
      </c>
      <c r="BO479" s="24">
        <v>52496</v>
      </c>
      <c r="DD479" s="24"/>
      <c r="DE479" s="24"/>
      <c r="DF479" s="24"/>
      <c r="DG479" s="24"/>
      <c r="DJ479" s="24">
        <v>2019</v>
      </c>
      <c r="DK479" s="24">
        <v>25</v>
      </c>
      <c r="DL479" s="24" t="s">
        <v>213</v>
      </c>
      <c r="DM479" s="24">
        <v>1</v>
      </c>
      <c r="DP479" s="24"/>
      <c r="DQ479" s="24"/>
      <c r="DR479" s="24"/>
      <c r="DS479" s="24"/>
      <c r="EI479" s="24">
        <v>2022</v>
      </c>
      <c r="EJ479" s="24">
        <v>48</v>
      </c>
      <c r="EK479" s="24" t="s">
        <v>237</v>
      </c>
      <c r="EL479" s="24" t="s">
        <v>239</v>
      </c>
      <c r="EM479" s="24" t="s">
        <v>215</v>
      </c>
      <c r="EN479" s="24">
        <v>3</v>
      </c>
      <c r="EO479" s="24"/>
      <c r="EP479" s="24"/>
      <c r="ES479" s="24">
        <v>2020</v>
      </c>
      <c r="ET479" s="24">
        <v>3</v>
      </c>
      <c r="EU479" s="24" t="s">
        <v>213</v>
      </c>
      <c r="EV479" s="24">
        <v>23</v>
      </c>
      <c r="FW479" s="24">
        <v>2018</v>
      </c>
      <c r="FX479" s="24">
        <v>51</v>
      </c>
      <c r="FY479" s="24" t="s">
        <v>33</v>
      </c>
      <c r="FZ479" s="24">
        <v>11160</v>
      </c>
      <c r="GA479" s="24">
        <v>10171</v>
      </c>
      <c r="GB479" s="24"/>
      <c r="GC479" s="24"/>
      <c r="GD479" s="24"/>
      <c r="GE479" s="24"/>
      <c r="GF479" s="24"/>
      <c r="GG479" s="24"/>
      <c r="GH479" s="24"/>
      <c r="GK479" s="24"/>
      <c r="GL479" s="24"/>
      <c r="GM479" s="24"/>
      <c r="GN479" s="24"/>
      <c r="GO479" s="24"/>
      <c r="GX479">
        <v>2018</v>
      </c>
      <c r="GY479">
        <v>51</v>
      </c>
      <c r="GZ479" t="s">
        <v>33</v>
      </c>
      <c r="HA479">
        <v>115519</v>
      </c>
      <c r="HB479">
        <v>113424</v>
      </c>
      <c r="HC479">
        <v>320</v>
      </c>
      <c r="HD479">
        <v>33</v>
      </c>
      <c r="HE479">
        <v>0</v>
      </c>
      <c r="HF479">
        <v>741</v>
      </c>
      <c r="HG479">
        <v>0</v>
      </c>
      <c r="HH479">
        <v>0</v>
      </c>
      <c r="HI479">
        <v>400</v>
      </c>
      <c r="HZ479" s="24">
        <v>2018</v>
      </c>
      <c r="IA479" s="24">
        <v>51</v>
      </c>
      <c r="IB479" s="24" t="s">
        <v>33</v>
      </c>
      <c r="IC479" s="24">
        <v>12121</v>
      </c>
      <c r="ID479" s="24">
        <v>11290</v>
      </c>
    </row>
    <row r="480" spans="9:238" x14ac:dyDescent="0.4">
      <c r="I480" s="305">
        <v>2018</v>
      </c>
      <c r="J480" s="306">
        <v>51</v>
      </c>
      <c r="K480" s="306" t="s">
        <v>33</v>
      </c>
      <c r="L480" s="306">
        <v>113342</v>
      </c>
      <c r="M480" s="306">
        <v>108414</v>
      </c>
      <c r="N480" s="306">
        <v>197</v>
      </c>
      <c r="O480" s="306">
        <v>1286</v>
      </c>
      <c r="P480" s="306">
        <v>454</v>
      </c>
      <c r="Q480" s="306">
        <v>12</v>
      </c>
      <c r="R480" s="24"/>
      <c r="S480" s="24"/>
      <c r="T480" s="24"/>
      <c r="AI480" s="24"/>
      <c r="AJ480" s="24"/>
      <c r="AO480" s="24"/>
      <c r="AP480" s="24"/>
      <c r="AQ480" s="24"/>
      <c r="AR480" s="24"/>
      <c r="BI480" s="24">
        <v>2021</v>
      </c>
      <c r="BJ480" s="24">
        <v>4</v>
      </c>
      <c r="BK480" s="24" t="s">
        <v>32</v>
      </c>
      <c r="BL480" s="24" t="s">
        <v>273</v>
      </c>
      <c r="BM480" s="24">
        <v>3596</v>
      </c>
      <c r="BN480" s="24">
        <v>3592</v>
      </c>
      <c r="BO480" s="24">
        <v>3743</v>
      </c>
      <c r="DD480" s="24"/>
      <c r="DE480" s="24"/>
      <c r="DF480" s="24"/>
      <c r="DG480" s="24"/>
      <c r="DJ480" s="24">
        <v>2019</v>
      </c>
      <c r="DK480" s="24">
        <v>24</v>
      </c>
      <c r="DL480" s="24" t="s">
        <v>32</v>
      </c>
      <c r="DM480" s="24">
        <v>18</v>
      </c>
      <c r="DP480" s="24"/>
      <c r="DQ480" s="24"/>
      <c r="DR480" s="24"/>
      <c r="DS480" s="24"/>
      <c r="EI480" s="24">
        <v>2022</v>
      </c>
      <c r="EJ480" s="24">
        <v>48</v>
      </c>
      <c r="EK480" s="24" t="s">
        <v>237</v>
      </c>
      <c r="EL480" s="24" t="s">
        <v>557</v>
      </c>
      <c r="EM480" s="24" t="s">
        <v>215</v>
      </c>
      <c r="EN480" s="24">
        <v>12</v>
      </c>
      <c r="EO480" s="24"/>
      <c r="EP480" s="24"/>
      <c r="ES480" s="24">
        <v>2020</v>
      </c>
      <c r="ET480" s="24">
        <v>2</v>
      </c>
      <c r="EU480" s="24" t="s">
        <v>32</v>
      </c>
      <c r="EV480" s="24">
        <v>4043</v>
      </c>
      <c r="FW480" s="24">
        <v>2018</v>
      </c>
      <c r="FX480" s="24">
        <v>50</v>
      </c>
      <c r="FY480" s="24" t="s">
        <v>32</v>
      </c>
      <c r="FZ480" s="24">
        <v>1058</v>
      </c>
      <c r="GA480" s="24">
        <v>969</v>
      </c>
      <c r="GB480" s="24"/>
      <c r="GC480" s="24"/>
      <c r="GD480" s="24"/>
      <c r="GE480" s="24"/>
      <c r="GF480" s="24"/>
      <c r="GG480" s="24"/>
      <c r="GH480" s="24"/>
      <c r="GK480" s="24"/>
      <c r="GL480" s="24"/>
      <c r="GM480" s="24"/>
      <c r="GN480" s="24"/>
      <c r="GO480" s="24"/>
      <c r="GX480">
        <v>2018</v>
      </c>
      <c r="GY480">
        <v>50</v>
      </c>
      <c r="GZ480" t="s">
        <v>32</v>
      </c>
      <c r="HA480">
        <v>4922</v>
      </c>
      <c r="HB480">
        <v>4754</v>
      </c>
      <c r="HC480">
        <v>0</v>
      </c>
      <c r="HD480">
        <v>0</v>
      </c>
      <c r="HE480">
        <v>0</v>
      </c>
      <c r="HF480">
        <v>1</v>
      </c>
      <c r="HG480">
        <v>0</v>
      </c>
      <c r="HH480">
        <v>0</v>
      </c>
      <c r="HI480">
        <v>47</v>
      </c>
      <c r="HZ480" s="24">
        <v>2018</v>
      </c>
      <c r="IA480" s="24">
        <v>50</v>
      </c>
      <c r="IB480" s="24" t="s">
        <v>32</v>
      </c>
      <c r="IC480" s="24">
        <v>1068</v>
      </c>
      <c r="ID480" s="24">
        <v>979</v>
      </c>
    </row>
    <row r="481" spans="9:238" x14ac:dyDescent="0.4">
      <c r="I481" s="305">
        <v>2018</v>
      </c>
      <c r="J481" s="306">
        <v>50</v>
      </c>
      <c r="K481" s="306" t="s">
        <v>32</v>
      </c>
      <c r="L481" s="306">
        <v>4883</v>
      </c>
      <c r="M481" s="306">
        <v>4708</v>
      </c>
      <c r="N481" s="306">
        <v>14</v>
      </c>
      <c r="O481" s="306">
        <v>149</v>
      </c>
      <c r="P481" s="306">
        <v>31</v>
      </c>
      <c r="Q481" s="306"/>
      <c r="R481" s="24"/>
      <c r="S481" s="24"/>
      <c r="T481" s="24"/>
      <c r="AI481" s="24"/>
      <c r="AJ481" s="24"/>
      <c r="AO481" s="24"/>
      <c r="AP481" s="24"/>
      <c r="AQ481" s="24"/>
      <c r="AR481" s="24"/>
      <c r="BI481" s="24">
        <v>2021</v>
      </c>
      <c r="BJ481" s="24">
        <v>4</v>
      </c>
      <c r="BK481" s="24" t="s">
        <v>32</v>
      </c>
      <c r="BL481" s="24" t="s">
        <v>272</v>
      </c>
      <c r="BM481" s="24">
        <v>1576</v>
      </c>
      <c r="BN481" s="24">
        <v>1573</v>
      </c>
      <c r="BO481" s="24">
        <v>5199</v>
      </c>
      <c r="DD481" s="24"/>
      <c r="DE481" s="24"/>
      <c r="DF481" s="24"/>
      <c r="DG481" s="24"/>
      <c r="DJ481" s="24">
        <v>2019</v>
      </c>
      <c r="DK481" s="24">
        <v>24</v>
      </c>
      <c r="DL481" s="24" t="s">
        <v>33</v>
      </c>
      <c r="DM481" s="24">
        <v>4982</v>
      </c>
      <c r="DP481" s="24"/>
      <c r="DQ481" s="24"/>
      <c r="DR481" s="24"/>
      <c r="DS481" s="24"/>
      <c r="EI481" s="24">
        <v>2022</v>
      </c>
      <c r="EJ481" s="24">
        <v>48</v>
      </c>
      <c r="EK481" s="24" t="s">
        <v>237</v>
      </c>
      <c r="EL481" s="24" t="s">
        <v>233</v>
      </c>
      <c r="EM481" s="24" t="s">
        <v>234</v>
      </c>
      <c r="EN481" s="24">
        <v>1</v>
      </c>
      <c r="EO481" s="24"/>
      <c r="EP481" s="24"/>
      <c r="ES481" s="24">
        <v>2020</v>
      </c>
      <c r="ET481" s="24">
        <v>2</v>
      </c>
      <c r="EU481" s="24" t="s">
        <v>33</v>
      </c>
      <c r="EV481" s="24">
        <v>107800</v>
      </c>
      <c r="FW481" s="24">
        <v>2018</v>
      </c>
      <c r="FX481" s="24">
        <v>50</v>
      </c>
      <c r="FY481" s="24" t="s">
        <v>33</v>
      </c>
      <c r="FZ481" s="24">
        <v>13712</v>
      </c>
      <c r="GA481" s="24">
        <v>11550</v>
      </c>
      <c r="GB481" s="24"/>
      <c r="GC481" s="24"/>
      <c r="GD481" s="24"/>
      <c r="GE481" s="24"/>
      <c r="GF481" s="24"/>
      <c r="GG481" s="24"/>
      <c r="GH481" s="24"/>
      <c r="GK481" s="24"/>
      <c r="GL481" s="24"/>
      <c r="GM481" s="24"/>
      <c r="GN481" s="24"/>
      <c r="GO481" s="24"/>
      <c r="GX481">
        <v>2018</v>
      </c>
      <c r="GY481">
        <v>50</v>
      </c>
      <c r="GZ481" t="s">
        <v>33</v>
      </c>
      <c r="HA481">
        <v>156493</v>
      </c>
      <c r="HB481">
        <v>149493</v>
      </c>
      <c r="HC481">
        <v>780</v>
      </c>
      <c r="HD481">
        <v>98</v>
      </c>
      <c r="HE481">
        <v>0</v>
      </c>
      <c r="HF481">
        <v>4258</v>
      </c>
      <c r="HG481">
        <v>0</v>
      </c>
      <c r="HH481">
        <v>0</v>
      </c>
      <c r="HI481">
        <v>1159</v>
      </c>
      <c r="HZ481" s="24">
        <v>2018</v>
      </c>
      <c r="IA481" s="24">
        <v>50</v>
      </c>
      <c r="IB481" s="24" t="s">
        <v>33</v>
      </c>
      <c r="IC481" s="24">
        <v>14617</v>
      </c>
      <c r="ID481" s="24">
        <v>12319</v>
      </c>
    </row>
    <row r="482" spans="9:238" x14ac:dyDescent="0.4">
      <c r="I482" s="305">
        <v>2018</v>
      </c>
      <c r="J482" s="306">
        <v>50</v>
      </c>
      <c r="K482" s="306" t="s">
        <v>33</v>
      </c>
      <c r="L482" s="306">
        <v>158560</v>
      </c>
      <c r="M482" s="306">
        <v>148452</v>
      </c>
      <c r="N482" s="306">
        <v>355</v>
      </c>
      <c r="O482" s="306">
        <v>2882</v>
      </c>
      <c r="P482" s="306">
        <v>796</v>
      </c>
      <c r="Q482" s="306">
        <v>13</v>
      </c>
      <c r="R482" s="24"/>
      <c r="S482" s="24"/>
      <c r="T482" s="24"/>
      <c r="AI482" s="24"/>
      <c r="AJ482" s="24"/>
      <c r="AO482" s="24"/>
      <c r="AP482" s="24"/>
      <c r="AQ482" s="24"/>
      <c r="AR482" s="24"/>
      <c r="BI482" s="24">
        <v>2021</v>
      </c>
      <c r="BJ482" s="24">
        <v>3</v>
      </c>
      <c r="BK482" s="24" t="s">
        <v>32</v>
      </c>
      <c r="BL482" s="24" t="s">
        <v>273</v>
      </c>
      <c r="BM482" s="24">
        <v>4246</v>
      </c>
      <c r="BN482" s="24">
        <v>4232</v>
      </c>
      <c r="BO482" s="24">
        <v>4806</v>
      </c>
      <c r="DD482" s="24"/>
      <c r="DE482" s="24"/>
      <c r="DF482" s="24"/>
      <c r="DG482" s="24"/>
      <c r="DJ482" s="24">
        <v>2019</v>
      </c>
      <c r="DK482" s="24">
        <v>24</v>
      </c>
      <c r="DL482" s="24" t="s">
        <v>213</v>
      </c>
      <c r="DM482" s="24">
        <v>3</v>
      </c>
      <c r="DP482" s="24"/>
      <c r="DQ482" s="24"/>
      <c r="DR482" s="24"/>
      <c r="DS482" s="24"/>
      <c r="EI482" s="24">
        <v>2022</v>
      </c>
      <c r="EJ482" s="24">
        <v>48</v>
      </c>
      <c r="EK482" s="24" t="s">
        <v>237</v>
      </c>
      <c r="EL482" s="24" t="s">
        <v>233</v>
      </c>
      <c r="EM482" s="24" t="s">
        <v>215</v>
      </c>
      <c r="EN482" s="24">
        <v>4</v>
      </c>
      <c r="EO482" s="24"/>
      <c r="EP482" s="24"/>
      <c r="ES482" s="24">
        <v>2020</v>
      </c>
      <c r="ET482" s="24">
        <v>2</v>
      </c>
      <c r="EU482" s="24" t="s">
        <v>213</v>
      </c>
      <c r="EV482" s="24">
        <v>40</v>
      </c>
      <c r="FW482" s="24">
        <v>2018</v>
      </c>
      <c r="FX482" s="24">
        <v>49</v>
      </c>
      <c r="FY482" s="24" t="s">
        <v>32</v>
      </c>
      <c r="FZ482" s="24">
        <v>814</v>
      </c>
      <c r="GA482" s="24">
        <v>764</v>
      </c>
      <c r="GB482" s="24"/>
      <c r="GC482" s="24"/>
      <c r="GD482" s="24"/>
      <c r="GE482" s="24"/>
      <c r="GF482" s="24"/>
      <c r="GG482" s="24"/>
      <c r="GH482" s="24"/>
      <c r="GK482" s="24"/>
      <c r="GL482" s="24"/>
      <c r="GM482" s="24"/>
      <c r="GN482" s="24"/>
      <c r="GO482" s="24"/>
      <c r="GX482">
        <v>2018</v>
      </c>
      <c r="GY482">
        <v>49</v>
      </c>
      <c r="GZ482" t="s">
        <v>32</v>
      </c>
      <c r="HA482">
        <v>5053</v>
      </c>
      <c r="HB482">
        <v>4887</v>
      </c>
      <c r="HC482">
        <v>0</v>
      </c>
      <c r="HD482">
        <v>2</v>
      </c>
      <c r="HE482">
        <v>0</v>
      </c>
      <c r="HF482">
        <v>0</v>
      </c>
      <c r="HG482">
        <v>0</v>
      </c>
      <c r="HH482">
        <v>0</v>
      </c>
      <c r="HI482">
        <v>20</v>
      </c>
      <c r="HZ482" s="24">
        <v>2018</v>
      </c>
      <c r="IA482" s="24">
        <v>49</v>
      </c>
      <c r="IB482" s="24" t="s">
        <v>32</v>
      </c>
      <c r="IC482" s="24">
        <v>800</v>
      </c>
      <c r="ID482" s="24">
        <v>751</v>
      </c>
    </row>
    <row r="483" spans="9:238" x14ac:dyDescent="0.4">
      <c r="I483" s="305">
        <v>2018</v>
      </c>
      <c r="J483" s="306">
        <v>49</v>
      </c>
      <c r="K483" s="306" t="s">
        <v>32</v>
      </c>
      <c r="L483" s="306">
        <v>5135</v>
      </c>
      <c r="M483" s="306">
        <v>4975</v>
      </c>
      <c r="N483" s="306">
        <v>6</v>
      </c>
      <c r="O483" s="306">
        <v>113</v>
      </c>
      <c r="P483" s="306">
        <v>31</v>
      </c>
      <c r="Q483" s="306"/>
      <c r="R483" s="24"/>
      <c r="S483" s="24"/>
      <c r="T483" s="24"/>
      <c r="AI483" s="24"/>
      <c r="AJ483" s="24"/>
      <c r="AO483" s="24"/>
      <c r="AP483" s="24"/>
      <c r="AQ483" s="24"/>
      <c r="AR483" s="24"/>
      <c r="BI483" s="24">
        <v>2021</v>
      </c>
      <c r="BJ483" s="24">
        <v>3</v>
      </c>
      <c r="BK483" s="24" t="s">
        <v>32</v>
      </c>
      <c r="BL483" s="24" t="s">
        <v>272</v>
      </c>
      <c r="BM483" s="24">
        <v>1690</v>
      </c>
      <c r="BN483" s="24">
        <v>1683</v>
      </c>
      <c r="BO483" s="24">
        <v>5787</v>
      </c>
      <c r="DD483" s="24"/>
      <c r="DE483" s="24"/>
      <c r="DF483" s="24"/>
      <c r="DG483" s="24"/>
      <c r="DJ483" s="24">
        <v>2019</v>
      </c>
      <c r="DK483" s="24">
        <v>23</v>
      </c>
      <c r="DL483" s="24" t="s">
        <v>32</v>
      </c>
      <c r="DM483" s="24">
        <v>98</v>
      </c>
      <c r="DP483" s="24"/>
      <c r="DQ483" s="24"/>
      <c r="DR483" s="24"/>
      <c r="DS483" s="24"/>
      <c r="EI483" s="24">
        <v>2022</v>
      </c>
      <c r="EJ483" s="24">
        <v>48</v>
      </c>
      <c r="EK483" s="24" t="s">
        <v>237</v>
      </c>
      <c r="EL483" s="24" t="s">
        <v>235</v>
      </c>
      <c r="EM483" s="24" t="s">
        <v>210</v>
      </c>
      <c r="EN483" s="24">
        <v>1</v>
      </c>
      <c r="EO483" s="24"/>
      <c r="EP483" s="24"/>
      <c r="ES483" s="24">
        <v>2020</v>
      </c>
      <c r="ET483" s="24">
        <v>1</v>
      </c>
      <c r="EU483" s="24" t="s">
        <v>32</v>
      </c>
      <c r="EV483" s="24">
        <v>4912</v>
      </c>
      <c r="FW483" s="24">
        <v>2018</v>
      </c>
      <c r="FX483" s="24">
        <v>49</v>
      </c>
      <c r="FY483" s="24" t="s">
        <v>33</v>
      </c>
      <c r="FZ483" s="24">
        <v>9056</v>
      </c>
      <c r="GA483" s="24">
        <v>8142</v>
      </c>
      <c r="GB483" s="24"/>
      <c r="GC483" s="24"/>
      <c r="GD483" s="24"/>
      <c r="GE483" s="24"/>
      <c r="GF483" s="24"/>
      <c r="GG483" s="24"/>
      <c r="GH483" s="24"/>
      <c r="GK483" s="24"/>
      <c r="GL483" s="24"/>
      <c r="GM483" s="24"/>
      <c r="GN483" s="24"/>
      <c r="GO483" s="24"/>
      <c r="GX483">
        <v>2018</v>
      </c>
      <c r="GY483">
        <v>49</v>
      </c>
      <c r="GZ483" t="s">
        <v>33</v>
      </c>
      <c r="HA483">
        <v>155044</v>
      </c>
      <c r="HB483">
        <v>150438</v>
      </c>
      <c r="HC483">
        <v>559</v>
      </c>
      <c r="HD483">
        <v>60</v>
      </c>
      <c r="HE483">
        <v>0</v>
      </c>
      <c r="HF483">
        <v>2110</v>
      </c>
      <c r="HG483">
        <v>0</v>
      </c>
      <c r="HH483">
        <v>0</v>
      </c>
      <c r="HI483">
        <v>881</v>
      </c>
      <c r="HZ483" s="24">
        <v>2018</v>
      </c>
      <c r="IA483" s="24">
        <v>49</v>
      </c>
      <c r="IB483" s="24" t="s">
        <v>33</v>
      </c>
      <c r="IC483" s="24">
        <v>9139</v>
      </c>
      <c r="ID483" s="24">
        <v>8206</v>
      </c>
    </row>
    <row r="484" spans="9:238" x14ac:dyDescent="0.4">
      <c r="I484" s="305">
        <v>2018</v>
      </c>
      <c r="J484" s="306">
        <v>49</v>
      </c>
      <c r="K484" s="306" t="s">
        <v>33</v>
      </c>
      <c r="L484" s="306">
        <v>154838</v>
      </c>
      <c r="M484" s="306">
        <v>146200</v>
      </c>
      <c r="N484" s="306">
        <v>297</v>
      </c>
      <c r="O484" s="306">
        <v>2639</v>
      </c>
      <c r="P484" s="306">
        <v>655</v>
      </c>
      <c r="Q484" s="306">
        <v>19</v>
      </c>
      <c r="R484" s="24"/>
      <c r="S484" s="24"/>
      <c r="T484" s="24"/>
      <c r="AI484" s="24"/>
      <c r="AJ484" s="24"/>
      <c r="AO484" s="24"/>
      <c r="AP484" s="24"/>
      <c r="AQ484" s="24"/>
      <c r="AR484" s="24"/>
      <c r="BI484" s="24">
        <v>2021</v>
      </c>
      <c r="BJ484" s="24">
        <v>3</v>
      </c>
      <c r="BK484" s="24" t="s">
        <v>33</v>
      </c>
      <c r="BL484" s="24" t="s">
        <v>272</v>
      </c>
      <c r="BM484" s="24">
        <v>35111</v>
      </c>
      <c r="BN484" s="24">
        <v>35080</v>
      </c>
      <c r="BO484" s="24">
        <v>125722</v>
      </c>
      <c r="DD484" s="24"/>
      <c r="DE484" s="24"/>
      <c r="DF484" s="24"/>
      <c r="DG484" s="24"/>
      <c r="DJ484" s="24">
        <v>2019</v>
      </c>
      <c r="DK484" s="24">
        <v>23</v>
      </c>
      <c r="DL484" s="24" t="s">
        <v>33</v>
      </c>
      <c r="DM484" s="24">
        <v>2469</v>
      </c>
      <c r="DP484" s="24"/>
      <c r="DQ484" s="24"/>
      <c r="DR484" s="24"/>
      <c r="DS484" s="24"/>
      <c r="EI484" s="24">
        <v>2022</v>
      </c>
      <c r="EJ484" s="24">
        <v>48</v>
      </c>
      <c r="EK484" s="24" t="s">
        <v>237</v>
      </c>
      <c r="EL484" s="24" t="s">
        <v>241</v>
      </c>
      <c r="EM484" s="24" t="s">
        <v>210</v>
      </c>
      <c r="EN484" s="24">
        <v>1</v>
      </c>
      <c r="EO484" s="24"/>
      <c r="EP484" s="24"/>
      <c r="ES484" s="24">
        <v>2020</v>
      </c>
      <c r="ET484" s="24">
        <v>1</v>
      </c>
      <c r="EU484" s="24" t="s">
        <v>33</v>
      </c>
      <c r="EV484" s="24">
        <v>89357</v>
      </c>
      <c r="FW484" s="24">
        <v>2018</v>
      </c>
      <c r="FX484" s="24">
        <v>48</v>
      </c>
      <c r="FY484" s="24" t="s">
        <v>32</v>
      </c>
      <c r="FZ484" s="24">
        <v>800</v>
      </c>
      <c r="GA484" s="24">
        <v>753</v>
      </c>
      <c r="GB484" s="24"/>
      <c r="GC484" s="24"/>
      <c r="GD484" s="24"/>
      <c r="GE484" s="24"/>
      <c r="GF484" s="24"/>
      <c r="GG484" s="24"/>
      <c r="GH484" s="24"/>
      <c r="GK484" s="24"/>
      <c r="GL484" s="24"/>
      <c r="GM484" s="24"/>
      <c r="GN484" s="24"/>
      <c r="GO484" s="24"/>
      <c r="GX484">
        <v>2018</v>
      </c>
      <c r="GY484">
        <v>48</v>
      </c>
      <c r="GZ484" t="s">
        <v>32</v>
      </c>
      <c r="HA484">
        <v>6080</v>
      </c>
      <c r="HB484">
        <v>5773</v>
      </c>
      <c r="HC484">
        <v>1</v>
      </c>
      <c r="HD484">
        <v>1</v>
      </c>
      <c r="HE484">
        <v>0</v>
      </c>
      <c r="HF484">
        <v>0</v>
      </c>
      <c r="HG484">
        <v>0</v>
      </c>
      <c r="HH484">
        <v>0</v>
      </c>
      <c r="HI484">
        <v>113</v>
      </c>
      <c r="HZ484" s="24">
        <v>2018</v>
      </c>
      <c r="IA484" s="24">
        <v>48</v>
      </c>
      <c r="IB484" s="24" t="s">
        <v>32</v>
      </c>
      <c r="IC484" s="24">
        <v>759</v>
      </c>
      <c r="ID484" s="24">
        <v>710</v>
      </c>
    </row>
    <row r="485" spans="9:238" x14ac:dyDescent="0.4">
      <c r="I485" s="305">
        <v>2018</v>
      </c>
      <c r="J485" s="306">
        <v>48</v>
      </c>
      <c r="K485" s="306" t="s">
        <v>32</v>
      </c>
      <c r="L485" s="306">
        <v>6120</v>
      </c>
      <c r="M485" s="306">
        <v>5814</v>
      </c>
      <c r="N485" s="306">
        <v>19</v>
      </c>
      <c r="O485" s="306">
        <v>273</v>
      </c>
      <c r="P485" s="306">
        <v>14</v>
      </c>
      <c r="Q485" s="306"/>
      <c r="R485" s="24"/>
      <c r="S485" s="24"/>
      <c r="T485" s="24"/>
      <c r="AI485" s="24"/>
      <c r="AJ485" s="24"/>
      <c r="AO485" s="24"/>
      <c r="AP485" s="24"/>
      <c r="AQ485" s="24"/>
      <c r="AR485" s="24"/>
      <c r="BI485" s="24">
        <v>2021</v>
      </c>
      <c r="BJ485" s="24">
        <v>3</v>
      </c>
      <c r="BK485" s="24" t="s">
        <v>33</v>
      </c>
      <c r="BL485" s="24" t="s">
        <v>273</v>
      </c>
      <c r="BM485" s="24">
        <v>49482</v>
      </c>
      <c r="BN485" s="24">
        <v>49361</v>
      </c>
      <c r="BO485" s="24">
        <v>50301</v>
      </c>
      <c r="DD485" s="24"/>
      <c r="DE485" s="24"/>
      <c r="DF485" s="24"/>
      <c r="DG485" s="24"/>
      <c r="DJ485" s="24">
        <v>2019</v>
      </c>
      <c r="DK485" s="24">
        <v>22</v>
      </c>
      <c r="DL485" s="24" t="s">
        <v>32</v>
      </c>
      <c r="DM485" s="24">
        <v>77</v>
      </c>
      <c r="DP485" s="24"/>
      <c r="DQ485" s="24"/>
      <c r="DR485" s="24"/>
      <c r="DS485" s="24"/>
      <c r="EI485" s="24">
        <v>2022</v>
      </c>
      <c r="EJ485" s="24">
        <v>48</v>
      </c>
      <c r="EK485" s="24" t="s">
        <v>211</v>
      </c>
      <c r="EL485" s="24" t="s">
        <v>232</v>
      </c>
      <c r="EM485" s="24" t="s">
        <v>234</v>
      </c>
      <c r="EN485" s="24">
        <v>1</v>
      </c>
      <c r="EO485" s="24"/>
      <c r="EP485" s="24"/>
      <c r="ES485" s="24">
        <v>2020</v>
      </c>
      <c r="ET485" s="24">
        <v>1</v>
      </c>
      <c r="EU485" s="24" t="s">
        <v>213</v>
      </c>
      <c r="EV485" s="24">
        <v>29</v>
      </c>
      <c r="FW485" s="24">
        <v>2018</v>
      </c>
      <c r="FX485" s="24">
        <v>48</v>
      </c>
      <c r="FY485" s="24" t="s">
        <v>33</v>
      </c>
      <c r="FZ485" s="24">
        <v>9580</v>
      </c>
      <c r="GA485" s="24">
        <v>8646</v>
      </c>
      <c r="GB485" s="24"/>
      <c r="GC485" s="24"/>
      <c r="GD485" s="24"/>
      <c r="GE485" s="24"/>
      <c r="GF485" s="24"/>
      <c r="GG485" s="24"/>
      <c r="GH485" s="24"/>
      <c r="GK485" s="24"/>
      <c r="GL485" s="24"/>
      <c r="GM485" s="24"/>
      <c r="GN485" s="24"/>
      <c r="GO485" s="24"/>
      <c r="GX485">
        <v>2018</v>
      </c>
      <c r="GY485">
        <v>48</v>
      </c>
      <c r="GZ485" t="s">
        <v>33</v>
      </c>
      <c r="HA485">
        <v>155824</v>
      </c>
      <c r="HB485">
        <v>151007</v>
      </c>
      <c r="HC485">
        <v>577</v>
      </c>
      <c r="HD485">
        <v>122</v>
      </c>
      <c r="HE485">
        <v>1</v>
      </c>
      <c r="HF485">
        <v>2501</v>
      </c>
      <c r="HG485">
        <v>0</v>
      </c>
      <c r="HH485">
        <v>0</v>
      </c>
      <c r="HI485">
        <v>936</v>
      </c>
      <c r="HZ485" s="24">
        <v>2018</v>
      </c>
      <c r="IA485" s="24">
        <v>48</v>
      </c>
      <c r="IB485" s="24" t="s">
        <v>33</v>
      </c>
      <c r="IC485" s="24">
        <v>9680</v>
      </c>
      <c r="ID485" s="24">
        <v>8727</v>
      </c>
    </row>
    <row r="486" spans="9:238" x14ac:dyDescent="0.4">
      <c r="I486" s="305">
        <v>2018</v>
      </c>
      <c r="J486" s="306">
        <v>48</v>
      </c>
      <c r="K486" s="306" t="s">
        <v>33</v>
      </c>
      <c r="L486" s="306">
        <v>155539</v>
      </c>
      <c r="M486" s="306">
        <v>147096</v>
      </c>
      <c r="N486" s="306">
        <v>178</v>
      </c>
      <c r="O486" s="306">
        <v>2127</v>
      </c>
      <c r="P486" s="306">
        <v>544</v>
      </c>
      <c r="Q486" s="306">
        <v>49</v>
      </c>
      <c r="R486" s="24"/>
      <c r="S486" s="24"/>
      <c r="T486" s="24"/>
      <c r="AI486" s="24"/>
      <c r="AJ486" s="24"/>
      <c r="AO486" s="24"/>
      <c r="AP486" s="24"/>
      <c r="AQ486" s="24"/>
      <c r="AR486" s="24"/>
      <c r="BI486" s="327">
        <v>2021</v>
      </c>
      <c r="BJ486" s="327">
        <v>2</v>
      </c>
      <c r="BK486" s="327" t="s">
        <v>32</v>
      </c>
      <c r="BL486" s="327" t="s">
        <v>272</v>
      </c>
      <c r="BM486" s="327">
        <v>1289</v>
      </c>
      <c r="BN486" s="327">
        <v>1289</v>
      </c>
      <c r="BO486" s="327">
        <v>4238</v>
      </c>
      <c r="DD486" s="24"/>
      <c r="DE486" s="24"/>
      <c r="DF486" s="24"/>
      <c r="DG486" s="24"/>
      <c r="DJ486" s="24">
        <v>2019</v>
      </c>
      <c r="DK486" s="24">
        <v>22</v>
      </c>
      <c r="DL486" s="24" t="s">
        <v>33</v>
      </c>
      <c r="DM486" s="24">
        <v>1254</v>
      </c>
      <c r="DP486" s="24"/>
      <c r="DQ486" s="24"/>
      <c r="DR486" s="24"/>
      <c r="DS486" s="24"/>
      <c r="EI486" s="24">
        <v>2022</v>
      </c>
      <c r="EJ486" s="24">
        <v>48</v>
      </c>
      <c r="EK486" s="24" t="s">
        <v>211</v>
      </c>
      <c r="EL486" s="24" t="s">
        <v>212</v>
      </c>
      <c r="EM486" s="24" t="s">
        <v>210</v>
      </c>
      <c r="EN486" s="24">
        <v>16</v>
      </c>
      <c r="EO486" s="24"/>
      <c r="EP486" s="24"/>
      <c r="ES486" s="24">
        <v>2019</v>
      </c>
      <c r="ET486" s="24">
        <v>52</v>
      </c>
      <c r="EU486" s="24" t="s">
        <v>32</v>
      </c>
      <c r="EV486" s="24">
        <v>2516</v>
      </c>
      <c r="FW486" s="24">
        <v>2018</v>
      </c>
      <c r="FX486" s="24">
        <v>47</v>
      </c>
      <c r="FY486" s="24" t="s">
        <v>32</v>
      </c>
      <c r="FZ486" s="24">
        <v>838</v>
      </c>
      <c r="GA486" s="24">
        <v>745</v>
      </c>
      <c r="GB486" s="24"/>
      <c r="GC486" s="24"/>
      <c r="GD486" s="24"/>
      <c r="GE486" s="24"/>
      <c r="GF486" s="24"/>
      <c r="GG486" s="24"/>
      <c r="GH486" s="24"/>
      <c r="GK486" s="24"/>
      <c r="GL486" s="24"/>
      <c r="GM486" s="24"/>
      <c r="GN486" s="24"/>
      <c r="GO486" s="24"/>
      <c r="GX486">
        <v>2018</v>
      </c>
      <c r="GY486">
        <v>47</v>
      </c>
      <c r="GZ486" t="s">
        <v>32</v>
      </c>
      <c r="HA486">
        <v>7823</v>
      </c>
      <c r="HB486">
        <v>7489</v>
      </c>
      <c r="HC486">
        <v>1</v>
      </c>
      <c r="HD486">
        <v>0</v>
      </c>
      <c r="HE486">
        <v>0</v>
      </c>
      <c r="HF486">
        <v>1</v>
      </c>
      <c r="HG486">
        <v>0</v>
      </c>
      <c r="HH486">
        <v>0</v>
      </c>
      <c r="HI486">
        <v>84</v>
      </c>
      <c r="HZ486" s="24">
        <v>2018</v>
      </c>
      <c r="IA486" s="24">
        <v>47</v>
      </c>
      <c r="IB486" s="24" t="s">
        <v>32</v>
      </c>
      <c r="IC486" s="24">
        <v>724</v>
      </c>
      <c r="ID486" s="24">
        <v>657</v>
      </c>
    </row>
    <row r="487" spans="9:238" x14ac:dyDescent="0.4">
      <c r="I487" s="305">
        <v>2018</v>
      </c>
      <c r="J487" s="306">
        <v>47</v>
      </c>
      <c r="K487" s="306" t="s">
        <v>32</v>
      </c>
      <c r="L487" s="306">
        <v>9298</v>
      </c>
      <c r="M487" s="306">
        <v>8822</v>
      </c>
      <c r="N487" s="306">
        <v>67</v>
      </c>
      <c r="O487" s="306">
        <v>330</v>
      </c>
      <c r="P487" s="306">
        <v>21</v>
      </c>
      <c r="Q487" s="306"/>
      <c r="R487" s="24"/>
      <c r="S487" s="24"/>
      <c r="T487" s="24"/>
      <c r="AI487" s="24"/>
      <c r="AJ487" s="24"/>
      <c r="AO487" s="24"/>
      <c r="AP487" s="24"/>
      <c r="AQ487" s="24"/>
      <c r="AR487" s="24"/>
      <c r="BI487" s="327">
        <v>2021</v>
      </c>
      <c r="BJ487" s="327">
        <v>2</v>
      </c>
      <c r="BK487" s="327" t="s">
        <v>33</v>
      </c>
      <c r="BL487" s="327" t="s">
        <v>272</v>
      </c>
      <c r="BM487" s="327">
        <v>32107</v>
      </c>
      <c r="BN487" s="327">
        <v>32097</v>
      </c>
      <c r="BO487" s="327">
        <v>114072</v>
      </c>
      <c r="DD487" s="24"/>
      <c r="DE487" s="24"/>
      <c r="DF487" s="24"/>
      <c r="DG487" s="24"/>
      <c r="DJ487" s="24">
        <v>2019</v>
      </c>
      <c r="DK487" s="24">
        <v>21</v>
      </c>
      <c r="DL487" s="24" t="s">
        <v>32</v>
      </c>
      <c r="DM487" s="24">
        <v>43</v>
      </c>
      <c r="DP487" s="24"/>
      <c r="DQ487" s="24"/>
      <c r="DR487" s="24"/>
      <c r="DS487" s="24"/>
      <c r="EI487" s="24">
        <v>2022</v>
      </c>
      <c r="EJ487" s="24">
        <v>48</v>
      </c>
      <c r="EK487" s="24" t="s">
        <v>211</v>
      </c>
      <c r="EL487" s="24" t="s">
        <v>212</v>
      </c>
      <c r="EM487" s="24" t="s">
        <v>234</v>
      </c>
      <c r="EN487" s="24">
        <v>17</v>
      </c>
      <c r="EO487" s="24"/>
      <c r="EP487" s="24"/>
      <c r="ES487" s="24">
        <v>2019</v>
      </c>
      <c r="ET487" s="24">
        <v>52</v>
      </c>
      <c r="EU487" s="24" t="s">
        <v>33</v>
      </c>
      <c r="EV487" s="24">
        <v>70348</v>
      </c>
      <c r="FW487" s="24">
        <v>2018</v>
      </c>
      <c r="FX487" s="24">
        <v>47</v>
      </c>
      <c r="FY487" s="24" t="s">
        <v>33</v>
      </c>
      <c r="FZ487" s="24">
        <v>9111</v>
      </c>
      <c r="GA487" s="24">
        <v>7649</v>
      </c>
      <c r="GB487" s="24"/>
      <c r="GC487" s="24"/>
      <c r="GD487" s="24"/>
      <c r="GE487" s="24"/>
      <c r="GF487" s="24"/>
      <c r="GG487" s="24"/>
      <c r="GH487" s="24"/>
      <c r="GK487" s="24"/>
      <c r="GL487" s="24"/>
      <c r="GM487" s="24"/>
      <c r="GN487" s="24"/>
      <c r="GO487" s="24"/>
      <c r="GX487">
        <v>2018</v>
      </c>
      <c r="GY487">
        <v>47</v>
      </c>
      <c r="GZ487" t="s">
        <v>33</v>
      </c>
      <c r="HA487">
        <v>199882</v>
      </c>
      <c r="HB487">
        <v>192178</v>
      </c>
      <c r="HC487">
        <v>563</v>
      </c>
      <c r="HD487">
        <v>4</v>
      </c>
      <c r="HE487">
        <v>0</v>
      </c>
      <c r="HF487">
        <v>4035</v>
      </c>
      <c r="HG487">
        <v>0</v>
      </c>
      <c r="HH487">
        <v>1</v>
      </c>
      <c r="HI487">
        <v>1692</v>
      </c>
      <c r="HZ487" s="24">
        <v>2018</v>
      </c>
      <c r="IA487" s="24">
        <v>47</v>
      </c>
      <c r="IB487" s="24" t="s">
        <v>33</v>
      </c>
      <c r="IC487" s="24">
        <v>9007</v>
      </c>
      <c r="ID487" s="24">
        <v>7564</v>
      </c>
    </row>
    <row r="488" spans="9:238" x14ac:dyDescent="0.4">
      <c r="I488" s="305">
        <v>2018</v>
      </c>
      <c r="J488" s="306">
        <v>47</v>
      </c>
      <c r="K488" s="306" t="s">
        <v>33</v>
      </c>
      <c r="L488" s="306">
        <v>216867</v>
      </c>
      <c r="M488" s="306">
        <v>203369</v>
      </c>
      <c r="N488" s="306">
        <v>460</v>
      </c>
      <c r="O488" s="306">
        <v>4467</v>
      </c>
      <c r="P488" s="306">
        <v>937</v>
      </c>
      <c r="Q488" s="306">
        <v>25</v>
      </c>
      <c r="R488" s="24"/>
      <c r="S488" s="24"/>
      <c r="T488" s="24"/>
      <c r="AI488" s="24"/>
      <c r="AJ488" s="24"/>
      <c r="AO488" s="24"/>
      <c r="AP488" s="24"/>
      <c r="AQ488" s="24"/>
      <c r="AR488" s="24"/>
      <c r="BI488" s="327">
        <v>2021</v>
      </c>
      <c r="BJ488" s="327">
        <v>2</v>
      </c>
      <c r="BK488" s="327" t="s">
        <v>33</v>
      </c>
      <c r="BL488" s="327" t="s">
        <v>273</v>
      </c>
      <c r="BM488" s="327">
        <v>49747</v>
      </c>
      <c r="BN488" s="327">
        <v>49606</v>
      </c>
      <c r="BO488" s="327">
        <v>50507</v>
      </c>
      <c r="DD488" s="24"/>
      <c r="DE488" s="24"/>
      <c r="DF488" s="24"/>
      <c r="DG488" s="24"/>
      <c r="DJ488" s="24">
        <v>2019</v>
      </c>
      <c r="DK488" s="24">
        <v>21</v>
      </c>
      <c r="DL488" s="24" t="s">
        <v>33</v>
      </c>
      <c r="DM488" s="24">
        <v>2267</v>
      </c>
      <c r="DP488" s="24"/>
      <c r="DQ488" s="24"/>
      <c r="DR488" s="24"/>
      <c r="DS488" s="24"/>
      <c r="EI488" s="24">
        <v>2022</v>
      </c>
      <c r="EJ488" s="24">
        <v>48</v>
      </c>
      <c r="EK488" s="24" t="s">
        <v>211</v>
      </c>
      <c r="EL488" s="24" t="s">
        <v>247</v>
      </c>
      <c r="EM488" s="24" t="s">
        <v>210</v>
      </c>
      <c r="EN488" s="24">
        <v>4</v>
      </c>
      <c r="EO488" s="24"/>
      <c r="EP488" s="24"/>
      <c r="ES488" s="24">
        <v>2019</v>
      </c>
      <c r="ET488" s="24">
        <v>52</v>
      </c>
      <c r="EU488" s="24" t="s">
        <v>213</v>
      </c>
      <c r="EV488" s="24">
        <v>12</v>
      </c>
      <c r="FW488" s="24">
        <v>2018</v>
      </c>
      <c r="FX488" s="24">
        <v>46</v>
      </c>
      <c r="FY488" s="24" t="s">
        <v>32</v>
      </c>
      <c r="FZ488" s="24">
        <v>671</v>
      </c>
      <c r="GA488" s="24">
        <v>643</v>
      </c>
      <c r="GB488" s="24"/>
      <c r="GC488" s="24"/>
      <c r="GD488" s="24"/>
      <c r="GE488" s="24"/>
      <c r="GF488" s="24"/>
      <c r="GG488" s="24"/>
      <c r="GH488" s="24"/>
      <c r="GK488" s="24"/>
      <c r="GL488" s="24"/>
      <c r="GM488" s="24"/>
      <c r="GN488" s="24"/>
      <c r="GO488" s="24"/>
      <c r="GX488">
        <v>2018</v>
      </c>
      <c r="GY488">
        <v>46</v>
      </c>
      <c r="GZ488" t="s">
        <v>32</v>
      </c>
      <c r="HA488">
        <v>7541</v>
      </c>
      <c r="HB488">
        <v>7179</v>
      </c>
      <c r="HC488">
        <v>1</v>
      </c>
      <c r="HD488">
        <v>1</v>
      </c>
      <c r="HE488">
        <v>0</v>
      </c>
      <c r="HF488">
        <v>10</v>
      </c>
      <c r="HG488">
        <v>0</v>
      </c>
      <c r="HH488">
        <v>0</v>
      </c>
      <c r="HI488">
        <v>58</v>
      </c>
      <c r="HZ488" s="24">
        <v>2018</v>
      </c>
      <c r="IA488" s="24">
        <v>46</v>
      </c>
      <c r="IB488" s="24" t="s">
        <v>32</v>
      </c>
      <c r="IC488" s="24">
        <v>677</v>
      </c>
      <c r="ID488" s="24">
        <v>627</v>
      </c>
    </row>
    <row r="489" spans="9:238" x14ac:dyDescent="0.4">
      <c r="I489" s="305">
        <v>2018</v>
      </c>
      <c r="J489" s="306">
        <v>46</v>
      </c>
      <c r="K489" s="306" t="s">
        <v>32</v>
      </c>
      <c r="L489" s="306">
        <v>6269</v>
      </c>
      <c r="M489" s="306">
        <v>6040</v>
      </c>
      <c r="N489" s="306">
        <v>23</v>
      </c>
      <c r="O489" s="306">
        <v>191</v>
      </c>
      <c r="P489" s="306">
        <v>15</v>
      </c>
      <c r="Q489" s="306"/>
      <c r="R489" s="24"/>
      <c r="S489" s="24"/>
      <c r="T489" s="24"/>
      <c r="AI489" s="24"/>
      <c r="AJ489" s="24"/>
      <c r="AO489" s="24"/>
      <c r="AP489" s="24"/>
      <c r="AQ489" s="24"/>
      <c r="AR489" s="24"/>
      <c r="BI489" s="327">
        <v>2021</v>
      </c>
      <c r="BJ489" s="327">
        <v>2</v>
      </c>
      <c r="BK489" s="327" t="s">
        <v>32</v>
      </c>
      <c r="BL489" s="327" t="s">
        <v>273</v>
      </c>
      <c r="BM489" s="327">
        <v>3277</v>
      </c>
      <c r="BN489" s="327">
        <v>3264</v>
      </c>
      <c r="BO489" s="327">
        <v>3330</v>
      </c>
      <c r="DD489" s="24"/>
      <c r="DE489" s="24"/>
      <c r="DF489" s="24"/>
      <c r="DG489" s="24"/>
      <c r="DJ489" s="24">
        <v>2019</v>
      </c>
      <c r="DK489" s="24">
        <v>20</v>
      </c>
      <c r="DL489" s="24" t="s">
        <v>32</v>
      </c>
      <c r="DM489" s="24">
        <v>145</v>
      </c>
      <c r="DP489" s="24"/>
      <c r="DQ489" s="24"/>
      <c r="DR489" s="24"/>
      <c r="DS489" s="24"/>
      <c r="EI489" s="24">
        <v>2022</v>
      </c>
      <c r="EJ489" s="24">
        <v>48</v>
      </c>
      <c r="EK489" s="24" t="s">
        <v>211</v>
      </c>
      <c r="EL489" s="24" t="s">
        <v>247</v>
      </c>
      <c r="EM489" s="24" t="s">
        <v>234</v>
      </c>
      <c r="EN489" s="24">
        <v>10</v>
      </c>
      <c r="EO489" s="24"/>
      <c r="EP489" s="24"/>
      <c r="ES489" s="24">
        <v>2019</v>
      </c>
      <c r="ET489" s="24">
        <v>51</v>
      </c>
      <c r="EU489" s="24" t="s">
        <v>32</v>
      </c>
      <c r="EV489" s="24">
        <v>3263</v>
      </c>
      <c r="FW489" s="24">
        <v>2018</v>
      </c>
      <c r="FX489" s="24">
        <v>46</v>
      </c>
      <c r="FY489" s="24" t="s">
        <v>33</v>
      </c>
      <c r="FZ489" s="24">
        <v>6520</v>
      </c>
      <c r="GA489" s="24">
        <v>6187</v>
      </c>
      <c r="GB489" s="24"/>
      <c r="GC489" s="24"/>
      <c r="GD489" s="24"/>
      <c r="GE489" s="24"/>
      <c r="GF489" s="24"/>
      <c r="GG489" s="24"/>
      <c r="GH489" s="24"/>
      <c r="GK489" s="24"/>
      <c r="GL489" s="24"/>
      <c r="GM489" s="24"/>
      <c r="GN489" s="24"/>
      <c r="GO489" s="24"/>
      <c r="GX489">
        <v>2018</v>
      </c>
      <c r="GY489">
        <v>46</v>
      </c>
      <c r="GZ489" t="s">
        <v>33</v>
      </c>
      <c r="HA489">
        <v>119177</v>
      </c>
      <c r="HB489">
        <v>116720</v>
      </c>
      <c r="HC489">
        <v>221</v>
      </c>
      <c r="HD489">
        <v>93</v>
      </c>
      <c r="HE489">
        <v>0</v>
      </c>
      <c r="HF489">
        <v>957</v>
      </c>
      <c r="HG489">
        <v>0</v>
      </c>
      <c r="HH489">
        <v>0</v>
      </c>
      <c r="HI489">
        <v>428</v>
      </c>
      <c r="HZ489" s="24">
        <v>2018</v>
      </c>
      <c r="IA489" s="24">
        <v>46</v>
      </c>
      <c r="IB489" s="24" t="s">
        <v>33</v>
      </c>
      <c r="IC489" s="24">
        <v>6578</v>
      </c>
      <c r="ID489" s="24">
        <v>6174</v>
      </c>
    </row>
    <row r="490" spans="9:238" x14ac:dyDescent="0.4">
      <c r="I490" s="305">
        <v>2018</v>
      </c>
      <c r="J490" s="306">
        <v>46</v>
      </c>
      <c r="K490" s="306" t="s">
        <v>33</v>
      </c>
      <c r="L490" s="306">
        <v>102551</v>
      </c>
      <c r="M490" s="306">
        <v>98554</v>
      </c>
      <c r="N490" s="306">
        <v>104</v>
      </c>
      <c r="O490" s="306">
        <v>1145</v>
      </c>
      <c r="P490" s="306">
        <v>240</v>
      </c>
      <c r="Q490" s="306">
        <v>9</v>
      </c>
      <c r="R490" s="24"/>
      <c r="S490" s="24"/>
      <c r="T490" s="24"/>
      <c r="AI490" s="24"/>
      <c r="AJ490" s="24"/>
      <c r="AO490" s="24"/>
      <c r="AP490" s="24"/>
      <c r="AQ490" s="24"/>
      <c r="AR490" s="24"/>
      <c r="BI490" s="327">
        <v>2021</v>
      </c>
      <c r="BJ490" s="327">
        <v>1</v>
      </c>
      <c r="BK490" s="327" t="s">
        <v>33</v>
      </c>
      <c r="BL490" s="327" t="s">
        <v>273</v>
      </c>
      <c r="BM490" s="327">
        <v>44416</v>
      </c>
      <c r="BN490" s="327">
        <v>44301</v>
      </c>
      <c r="BO490" s="327">
        <v>45273</v>
      </c>
      <c r="DD490" s="24"/>
      <c r="DE490" s="24"/>
      <c r="DF490" s="24"/>
      <c r="DG490" s="24"/>
      <c r="DJ490" s="24">
        <v>2019</v>
      </c>
      <c r="DK490" s="24">
        <v>20</v>
      </c>
      <c r="DL490" s="24" t="s">
        <v>33</v>
      </c>
      <c r="DM490" s="24">
        <v>2246</v>
      </c>
      <c r="DP490" s="24"/>
      <c r="DQ490" s="24"/>
      <c r="DR490" s="24"/>
      <c r="DS490" s="24"/>
      <c r="EI490" s="24">
        <v>2022</v>
      </c>
      <c r="EJ490" s="24">
        <v>48</v>
      </c>
      <c r="EK490" s="24" t="s">
        <v>213</v>
      </c>
      <c r="EL490" s="24" t="s">
        <v>214</v>
      </c>
      <c r="EM490" s="24" t="s">
        <v>215</v>
      </c>
      <c r="EN490" s="24">
        <v>31</v>
      </c>
      <c r="EO490" s="24"/>
      <c r="EP490" s="24"/>
      <c r="ES490" s="24">
        <v>2019</v>
      </c>
      <c r="ET490" s="24">
        <v>51</v>
      </c>
      <c r="EU490" s="24" t="s">
        <v>33</v>
      </c>
      <c r="EV490" s="24">
        <v>69187</v>
      </c>
      <c r="FW490" s="24">
        <v>2018</v>
      </c>
      <c r="FX490" s="24">
        <v>45</v>
      </c>
      <c r="FY490" s="24" t="s">
        <v>32</v>
      </c>
      <c r="FZ490" s="24">
        <v>741</v>
      </c>
      <c r="GA490" s="24">
        <v>697</v>
      </c>
      <c r="GB490" s="24"/>
      <c r="GC490" s="24"/>
      <c r="GD490" s="24"/>
      <c r="GE490" s="24"/>
      <c r="GF490" s="24"/>
      <c r="GG490" s="24"/>
      <c r="GH490" s="24"/>
      <c r="GK490" s="24"/>
      <c r="GL490" s="24"/>
      <c r="GM490" s="24"/>
      <c r="GN490" s="24"/>
      <c r="GO490" s="24"/>
      <c r="GX490">
        <v>2018</v>
      </c>
      <c r="GY490">
        <v>45</v>
      </c>
      <c r="GZ490" t="s">
        <v>32</v>
      </c>
      <c r="HA490">
        <v>5443</v>
      </c>
      <c r="HB490">
        <v>5270</v>
      </c>
      <c r="HC490">
        <v>0</v>
      </c>
      <c r="HD490">
        <v>0</v>
      </c>
      <c r="HE490">
        <v>0</v>
      </c>
      <c r="HF490">
        <v>0</v>
      </c>
      <c r="HG490">
        <v>0</v>
      </c>
      <c r="HH490">
        <v>0</v>
      </c>
      <c r="HI490">
        <v>48</v>
      </c>
      <c r="HZ490" s="24">
        <v>2018</v>
      </c>
      <c r="IA490" s="24">
        <v>45</v>
      </c>
      <c r="IB490" s="24" t="s">
        <v>32</v>
      </c>
      <c r="IC490" s="24">
        <v>756</v>
      </c>
      <c r="ID490" s="24">
        <v>711</v>
      </c>
    </row>
    <row r="491" spans="9:238" x14ac:dyDescent="0.4">
      <c r="I491" s="305">
        <v>2018</v>
      </c>
      <c r="J491" s="306">
        <v>45</v>
      </c>
      <c r="K491" s="306" t="s">
        <v>32</v>
      </c>
      <c r="L491" s="306">
        <v>5272</v>
      </c>
      <c r="M491" s="306">
        <v>5102</v>
      </c>
      <c r="N491" s="306">
        <v>28</v>
      </c>
      <c r="O491" s="306">
        <v>127</v>
      </c>
      <c r="P491" s="306">
        <v>8</v>
      </c>
      <c r="Q491" s="306"/>
      <c r="R491" s="24"/>
      <c r="S491" s="24"/>
      <c r="T491" s="24"/>
      <c r="AI491" s="24"/>
      <c r="AJ491" s="24"/>
      <c r="AO491" s="24"/>
      <c r="AP491" s="24"/>
      <c r="AQ491" s="24"/>
      <c r="AR491" s="24"/>
      <c r="BI491" s="327">
        <v>2021</v>
      </c>
      <c r="BJ491" s="327">
        <v>1</v>
      </c>
      <c r="BK491" s="327" t="s">
        <v>32</v>
      </c>
      <c r="BL491" s="327" t="s">
        <v>272</v>
      </c>
      <c r="BM491" s="327">
        <v>1305</v>
      </c>
      <c r="BN491" s="327">
        <v>1304</v>
      </c>
      <c r="BO491" s="327">
        <v>4272</v>
      </c>
      <c r="DD491" s="24"/>
      <c r="DE491" s="24"/>
      <c r="DF491" s="24"/>
      <c r="DG491" s="24"/>
      <c r="DJ491" s="24">
        <v>2019</v>
      </c>
      <c r="DK491" s="24">
        <v>19</v>
      </c>
      <c r="DL491" s="24" t="s">
        <v>32</v>
      </c>
      <c r="DM491" s="24">
        <v>128</v>
      </c>
      <c r="DP491" s="24"/>
      <c r="DQ491" s="24"/>
      <c r="DR491" s="24"/>
      <c r="DS491" s="24"/>
      <c r="EI491" s="24">
        <v>2022</v>
      </c>
      <c r="EJ491" s="24">
        <v>47</v>
      </c>
      <c r="EK491" s="24" t="s">
        <v>208</v>
      </c>
      <c r="EL491" s="24" t="s">
        <v>351</v>
      </c>
      <c r="EM491" s="24" t="s">
        <v>215</v>
      </c>
      <c r="EN491" s="24">
        <v>17</v>
      </c>
      <c r="EO491" s="24"/>
      <c r="EP491" s="24"/>
      <c r="ES491" s="24">
        <v>2019</v>
      </c>
      <c r="ET491" s="24">
        <v>51</v>
      </c>
      <c r="EU491" s="24" t="s">
        <v>213</v>
      </c>
      <c r="EV491" s="24">
        <v>16</v>
      </c>
      <c r="FW491" s="24">
        <v>2018</v>
      </c>
      <c r="FX491" s="24">
        <v>45</v>
      </c>
      <c r="FY491" s="24" t="s">
        <v>33</v>
      </c>
      <c r="FZ491" s="24">
        <v>8293</v>
      </c>
      <c r="GA491" s="24">
        <v>7416</v>
      </c>
      <c r="GB491" s="24"/>
      <c r="GC491" s="24"/>
      <c r="GD491" s="24"/>
      <c r="GE491" s="24"/>
      <c r="GF491" s="24"/>
      <c r="GG491" s="24"/>
      <c r="GH491" s="24"/>
      <c r="GK491" s="24"/>
      <c r="GL491" s="24"/>
      <c r="GM491" s="24"/>
      <c r="GN491" s="24"/>
      <c r="GO491" s="24"/>
      <c r="GX491">
        <v>2018</v>
      </c>
      <c r="GY491">
        <v>45</v>
      </c>
      <c r="GZ491" t="s">
        <v>33</v>
      </c>
      <c r="HA491">
        <v>151211</v>
      </c>
      <c r="HB491">
        <v>146350</v>
      </c>
      <c r="HC491">
        <v>303</v>
      </c>
      <c r="HD491">
        <v>209</v>
      </c>
      <c r="HE491">
        <v>0</v>
      </c>
      <c r="HF491">
        <v>2697</v>
      </c>
      <c r="HG491">
        <v>0</v>
      </c>
      <c r="HH491">
        <v>1</v>
      </c>
      <c r="HI491">
        <v>744</v>
      </c>
      <c r="HZ491" s="24">
        <v>2018</v>
      </c>
      <c r="IA491" s="24">
        <v>45</v>
      </c>
      <c r="IB491" s="24" t="s">
        <v>33</v>
      </c>
      <c r="IC491" s="24">
        <v>8567</v>
      </c>
      <c r="ID491" s="24">
        <v>7634</v>
      </c>
    </row>
    <row r="492" spans="9:238" x14ac:dyDescent="0.4">
      <c r="I492" s="305">
        <v>2018</v>
      </c>
      <c r="J492" s="306">
        <v>45</v>
      </c>
      <c r="K492" s="306" t="s">
        <v>33</v>
      </c>
      <c r="L492" s="306">
        <v>150472</v>
      </c>
      <c r="M492" s="306">
        <v>142197</v>
      </c>
      <c r="N492" s="306">
        <v>224</v>
      </c>
      <c r="O492" s="306">
        <v>4589</v>
      </c>
      <c r="P492" s="306">
        <v>440</v>
      </c>
      <c r="Q492" s="306">
        <v>36</v>
      </c>
      <c r="R492" s="24"/>
      <c r="S492" s="24"/>
      <c r="T492" s="24"/>
      <c r="AI492" s="24"/>
      <c r="AJ492" s="24"/>
      <c r="AO492" s="24"/>
      <c r="AP492" s="24"/>
      <c r="AQ492" s="24"/>
      <c r="AR492" s="24"/>
      <c r="BI492" s="327">
        <v>2021</v>
      </c>
      <c r="BJ492" s="327">
        <v>1</v>
      </c>
      <c r="BK492" s="327" t="s">
        <v>32</v>
      </c>
      <c r="BL492" s="327" t="s">
        <v>273</v>
      </c>
      <c r="BM492" s="327">
        <v>3151</v>
      </c>
      <c r="BN492" s="327">
        <v>3142</v>
      </c>
      <c r="BO492" s="327">
        <v>3219</v>
      </c>
      <c r="DD492" s="24"/>
      <c r="DE492" s="24"/>
      <c r="DF492" s="24"/>
      <c r="DG492" s="24"/>
      <c r="DJ492" s="24">
        <v>2019</v>
      </c>
      <c r="DK492" s="24">
        <v>19</v>
      </c>
      <c r="DL492" s="24" t="s">
        <v>33</v>
      </c>
      <c r="DM492" s="24">
        <v>3038</v>
      </c>
      <c r="DP492" s="24"/>
      <c r="DQ492" s="24"/>
      <c r="DR492" s="24"/>
      <c r="DS492" s="24"/>
      <c r="EI492" s="24">
        <v>2022</v>
      </c>
      <c r="EJ492" s="24">
        <v>47</v>
      </c>
      <c r="EK492" s="24" t="s">
        <v>208</v>
      </c>
      <c r="EL492" s="24" t="s">
        <v>235</v>
      </c>
      <c r="EM492" s="24" t="s">
        <v>210</v>
      </c>
      <c r="EN492" s="24">
        <v>17</v>
      </c>
      <c r="EO492" s="24"/>
      <c r="EP492" s="24"/>
      <c r="ES492" s="24">
        <v>2019</v>
      </c>
      <c r="ET492" s="24">
        <v>50</v>
      </c>
      <c r="EU492" s="24" t="s">
        <v>32</v>
      </c>
      <c r="EV492" s="24">
        <v>4137</v>
      </c>
      <c r="FW492" s="24">
        <v>2018</v>
      </c>
      <c r="FX492" s="24">
        <v>44</v>
      </c>
      <c r="FY492" s="24" t="s">
        <v>32</v>
      </c>
      <c r="FZ492" s="24">
        <v>720</v>
      </c>
      <c r="GA492" s="24">
        <v>637</v>
      </c>
      <c r="GB492" s="24"/>
      <c r="GC492" s="24"/>
      <c r="GD492" s="24"/>
      <c r="GE492" s="24"/>
      <c r="GF492" s="24"/>
      <c r="GG492" s="24"/>
      <c r="GH492" s="24"/>
      <c r="GK492" s="24"/>
      <c r="GL492" s="24"/>
      <c r="GM492" s="24"/>
      <c r="GN492" s="24"/>
      <c r="GO492" s="24"/>
      <c r="GX492">
        <v>2018</v>
      </c>
      <c r="GY492">
        <v>44</v>
      </c>
      <c r="GZ492" t="s">
        <v>32</v>
      </c>
      <c r="HA492">
        <v>4848</v>
      </c>
      <c r="HB492">
        <v>4659</v>
      </c>
      <c r="HC492">
        <v>0</v>
      </c>
      <c r="HD492">
        <v>1</v>
      </c>
      <c r="HE492">
        <v>0</v>
      </c>
      <c r="HF492">
        <v>0</v>
      </c>
      <c r="HG492">
        <v>0</v>
      </c>
      <c r="HH492">
        <v>0</v>
      </c>
      <c r="HI492">
        <v>30</v>
      </c>
      <c r="HZ492" s="24">
        <v>2018</v>
      </c>
      <c r="IA492" s="24">
        <v>44</v>
      </c>
      <c r="IB492" s="24" t="s">
        <v>32</v>
      </c>
      <c r="IC492" s="24">
        <v>699</v>
      </c>
      <c r="ID492" s="24">
        <v>617</v>
      </c>
    </row>
    <row r="493" spans="9:238" x14ac:dyDescent="0.4">
      <c r="I493" s="305">
        <v>2018</v>
      </c>
      <c r="J493" s="306">
        <v>44</v>
      </c>
      <c r="K493" s="306" t="s">
        <v>32</v>
      </c>
      <c r="L493" s="306">
        <v>4994</v>
      </c>
      <c r="M493" s="306">
        <v>4801</v>
      </c>
      <c r="N493" s="306">
        <v>7</v>
      </c>
      <c r="O493" s="306">
        <v>162</v>
      </c>
      <c r="P493" s="306">
        <v>4</v>
      </c>
      <c r="Q493" s="306"/>
      <c r="R493" s="24"/>
      <c r="S493" s="24"/>
      <c r="T493" s="24"/>
      <c r="AI493" s="24"/>
      <c r="AJ493" s="24"/>
      <c r="AO493" s="24"/>
      <c r="AP493" s="24"/>
      <c r="AQ493" s="24"/>
      <c r="AR493" s="24"/>
      <c r="BI493" s="327">
        <v>2021</v>
      </c>
      <c r="BJ493" s="327">
        <v>1</v>
      </c>
      <c r="BK493" s="327" t="s">
        <v>33</v>
      </c>
      <c r="BL493" s="327" t="s">
        <v>272</v>
      </c>
      <c r="BM493" s="327">
        <v>27290</v>
      </c>
      <c r="BN493" s="327">
        <v>27273</v>
      </c>
      <c r="BO493" s="327">
        <v>97266</v>
      </c>
      <c r="DD493" s="24"/>
      <c r="DE493" s="24"/>
      <c r="DF493" s="24"/>
      <c r="DG493" s="24"/>
      <c r="DJ493" s="24">
        <v>2019</v>
      </c>
      <c r="DK493" s="24">
        <v>19</v>
      </c>
      <c r="DL493" s="24" t="s">
        <v>213</v>
      </c>
      <c r="DM493" s="24">
        <v>3</v>
      </c>
      <c r="DP493" s="24"/>
      <c r="DQ493" s="24"/>
      <c r="DR493" s="24"/>
      <c r="DS493" s="24"/>
      <c r="EI493" s="24">
        <v>2022</v>
      </c>
      <c r="EJ493" s="24">
        <v>47</v>
      </c>
      <c r="EK493" s="24" t="s">
        <v>208</v>
      </c>
      <c r="EL493" s="24" t="s">
        <v>235</v>
      </c>
      <c r="EM493" s="24" t="s">
        <v>234</v>
      </c>
      <c r="EN493" s="24">
        <v>3</v>
      </c>
      <c r="EO493" s="24"/>
      <c r="EP493" s="24"/>
      <c r="ES493" s="24">
        <v>2019</v>
      </c>
      <c r="ET493" s="24">
        <v>50</v>
      </c>
      <c r="EU493" s="24" t="s">
        <v>33</v>
      </c>
      <c r="EV493" s="24">
        <v>87405</v>
      </c>
      <c r="FW493" s="24">
        <v>2018</v>
      </c>
      <c r="FX493" s="24">
        <v>44</v>
      </c>
      <c r="FY493" s="24" t="s">
        <v>33</v>
      </c>
      <c r="FZ493" s="24">
        <v>8865</v>
      </c>
      <c r="GA493" s="24">
        <v>8115</v>
      </c>
      <c r="GB493" s="24"/>
      <c r="GC493" s="24"/>
      <c r="GD493" s="24"/>
      <c r="GE493" s="24"/>
      <c r="GF493" s="24"/>
      <c r="GG493" s="24"/>
      <c r="GH493" s="24"/>
      <c r="GK493" s="24"/>
      <c r="GL493" s="24"/>
      <c r="GM493" s="24"/>
      <c r="GN493" s="24"/>
      <c r="GO493" s="24"/>
      <c r="GX493">
        <v>2018</v>
      </c>
      <c r="GY493">
        <v>44</v>
      </c>
      <c r="GZ493" t="s">
        <v>33</v>
      </c>
      <c r="HA493">
        <v>150518</v>
      </c>
      <c r="HB493">
        <v>145493</v>
      </c>
      <c r="HC493">
        <v>407</v>
      </c>
      <c r="HD493">
        <v>155</v>
      </c>
      <c r="HE493">
        <v>0</v>
      </c>
      <c r="HF493">
        <v>2983</v>
      </c>
      <c r="HG493">
        <v>0</v>
      </c>
      <c r="HH493">
        <v>0</v>
      </c>
      <c r="HI493">
        <v>894</v>
      </c>
      <c r="HZ493" s="24">
        <v>2018</v>
      </c>
      <c r="IA493" s="24">
        <v>44</v>
      </c>
      <c r="IB493" s="24" t="s">
        <v>33</v>
      </c>
      <c r="IC493" s="24">
        <v>8810</v>
      </c>
      <c r="ID493" s="24">
        <v>8001</v>
      </c>
    </row>
    <row r="494" spans="9:238" x14ac:dyDescent="0.4">
      <c r="I494" s="305">
        <v>2018</v>
      </c>
      <c r="J494" s="306">
        <v>44</v>
      </c>
      <c r="K494" s="306" t="s">
        <v>33</v>
      </c>
      <c r="L494" s="306">
        <v>149919</v>
      </c>
      <c r="M494" s="306">
        <v>141672</v>
      </c>
      <c r="N494" s="306">
        <v>288</v>
      </c>
      <c r="O494" s="306">
        <v>4426</v>
      </c>
      <c r="P494" s="306">
        <v>470</v>
      </c>
      <c r="Q494" s="306">
        <v>60</v>
      </c>
      <c r="R494" s="24"/>
      <c r="S494" s="24"/>
      <c r="T494" s="24"/>
      <c r="AI494" s="24"/>
      <c r="AJ494" s="24"/>
      <c r="AO494" s="24"/>
      <c r="AP494" s="24"/>
      <c r="AQ494" s="24"/>
      <c r="AR494" s="24"/>
      <c r="DD494" s="24"/>
      <c r="DE494" s="24"/>
      <c r="DF494" s="24"/>
      <c r="DG494" s="24"/>
      <c r="DJ494" s="24">
        <v>2019</v>
      </c>
      <c r="DK494" s="24">
        <v>18</v>
      </c>
      <c r="DL494" s="24" t="s">
        <v>32</v>
      </c>
      <c r="DM494" s="24">
        <v>122</v>
      </c>
      <c r="DP494" s="24"/>
      <c r="DQ494" s="24"/>
      <c r="DR494" s="24"/>
      <c r="DS494" s="24"/>
      <c r="EI494" s="24">
        <v>2022</v>
      </c>
      <c r="EJ494" s="24">
        <v>47</v>
      </c>
      <c r="EK494" s="24" t="s">
        <v>208</v>
      </c>
      <c r="EL494" s="24" t="s">
        <v>235</v>
      </c>
      <c r="EM494" s="24" t="s">
        <v>215</v>
      </c>
      <c r="EN494" s="24">
        <v>8</v>
      </c>
      <c r="EO494" s="24"/>
      <c r="EP494" s="24"/>
      <c r="ES494" s="24">
        <v>2019</v>
      </c>
      <c r="ET494" s="24">
        <v>50</v>
      </c>
      <c r="EU494" s="24" t="s">
        <v>213</v>
      </c>
      <c r="EV494" s="24">
        <v>22</v>
      </c>
      <c r="FW494" s="24">
        <v>2018</v>
      </c>
      <c r="FX494" s="24">
        <v>43</v>
      </c>
      <c r="FY494" s="24" t="s">
        <v>32</v>
      </c>
      <c r="FZ494" s="24">
        <v>715</v>
      </c>
      <c r="GA494" s="24">
        <v>654</v>
      </c>
      <c r="GB494" s="24"/>
      <c r="GC494" s="24"/>
      <c r="GD494" s="24"/>
      <c r="GE494" s="24"/>
      <c r="GF494" s="24"/>
      <c r="GG494" s="24"/>
      <c r="GH494" s="24"/>
      <c r="GK494" s="24"/>
      <c r="GL494" s="24"/>
      <c r="GM494" s="24"/>
      <c r="GN494" s="24"/>
      <c r="GO494" s="24"/>
      <c r="GX494">
        <v>2018</v>
      </c>
      <c r="GY494">
        <v>43</v>
      </c>
      <c r="GZ494" t="s">
        <v>32</v>
      </c>
      <c r="HA494">
        <v>5771</v>
      </c>
      <c r="HB494">
        <v>5586</v>
      </c>
      <c r="HC494">
        <v>0</v>
      </c>
      <c r="HD494">
        <v>0</v>
      </c>
      <c r="HE494">
        <v>0</v>
      </c>
      <c r="HF494">
        <v>0</v>
      </c>
      <c r="HG494">
        <v>0</v>
      </c>
      <c r="HH494">
        <v>0</v>
      </c>
      <c r="HI494">
        <v>83</v>
      </c>
      <c r="HZ494" s="24">
        <v>2018</v>
      </c>
      <c r="IA494" s="24">
        <v>43</v>
      </c>
      <c r="IB494" s="24" t="s">
        <v>32</v>
      </c>
      <c r="IC494" s="24">
        <v>699</v>
      </c>
      <c r="ID494" s="24">
        <v>635</v>
      </c>
    </row>
    <row r="495" spans="9:238" x14ac:dyDescent="0.4">
      <c r="I495" s="305">
        <v>2018</v>
      </c>
      <c r="J495" s="306">
        <v>43</v>
      </c>
      <c r="K495" s="306" t="s">
        <v>32</v>
      </c>
      <c r="L495" s="306">
        <v>5744</v>
      </c>
      <c r="M495" s="306">
        <v>5559</v>
      </c>
      <c r="N495" s="306">
        <v>20</v>
      </c>
      <c r="O495" s="306">
        <v>160</v>
      </c>
      <c r="P495" s="306">
        <v>15</v>
      </c>
      <c r="Q495" s="306"/>
      <c r="R495" s="24"/>
      <c r="S495" s="24"/>
      <c r="T495" s="24"/>
      <c r="AI495" s="24"/>
      <c r="AJ495" s="24"/>
      <c r="AO495" s="24"/>
      <c r="AP495" s="24"/>
      <c r="AQ495" s="24"/>
      <c r="AR495" s="24"/>
      <c r="DD495" s="24"/>
      <c r="DE495" s="24"/>
      <c r="DF495" s="24"/>
      <c r="DG495" s="24"/>
      <c r="DJ495" s="24">
        <v>2019</v>
      </c>
      <c r="DK495" s="24">
        <v>18</v>
      </c>
      <c r="DL495" s="24" t="s">
        <v>33</v>
      </c>
      <c r="DM495" s="24">
        <v>1807</v>
      </c>
      <c r="DP495" s="24"/>
      <c r="DQ495" s="24"/>
      <c r="DR495" s="24"/>
      <c r="DS495" s="24"/>
      <c r="EI495" s="24">
        <v>2022</v>
      </c>
      <c r="EJ495" s="24">
        <v>47</v>
      </c>
      <c r="EK495" s="24" t="s">
        <v>208</v>
      </c>
      <c r="EL495" s="24" t="s">
        <v>209</v>
      </c>
      <c r="EM495" s="24" t="s">
        <v>210</v>
      </c>
      <c r="EN495" s="24">
        <v>5</v>
      </c>
      <c r="EO495" s="24"/>
      <c r="EP495" s="24"/>
      <c r="ES495" s="24">
        <v>2019</v>
      </c>
      <c r="ET495" s="24">
        <v>49</v>
      </c>
      <c r="EU495" s="24" t="s">
        <v>32</v>
      </c>
      <c r="EV495" s="24">
        <v>3896</v>
      </c>
      <c r="FW495" s="24">
        <v>2018</v>
      </c>
      <c r="FX495" s="24">
        <v>43</v>
      </c>
      <c r="FY495" s="24" t="s">
        <v>33</v>
      </c>
      <c r="FZ495" s="24">
        <v>7233</v>
      </c>
      <c r="GA495" s="24">
        <v>6692</v>
      </c>
      <c r="GB495" s="24"/>
      <c r="GC495" s="24"/>
      <c r="GD495" s="24"/>
      <c r="GE495" s="24"/>
      <c r="GF495" s="24"/>
      <c r="GG495" s="24"/>
      <c r="GH495" s="24"/>
      <c r="GK495" s="24"/>
      <c r="GL495" s="24"/>
      <c r="GM495" s="24"/>
      <c r="GN495" s="24"/>
      <c r="GO495" s="24"/>
      <c r="GX495">
        <v>2018</v>
      </c>
      <c r="GY495">
        <v>43</v>
      </c>
      <c r="GZ495" t="s">
        <v>33</v>
      </c>
      <c r="HA495">
        <v>130113</v>
      </c>
      <c r="HB495">
        <v>128100</v>
      </c>
      <c r="HC495">
        <v>133</v>
      </c>
      <c r="HD495">
        <v>42</v>
      </c>
      <c r="HE495">
        <v>0</v>
      </c>
      <c r="HF495">
        <v>854</v>
      </c>
      <c r="HG495">
        <v>0</v>
      </c>
      <c r="HH495">
        <v>1</v>
      </c>
      <c r="HI495">
        <v>427</v>
      </c>
      <c r="HZ495" s="24">
        <v>2018</v>
      </c>
      <c r="IA495" s="24">
        <v>43</v>
      </c>
      <c r="IB495" s="24" t="s">
        <v>33</v>
      </c>
      <c r="IC495" s="24">
        <v>7188</v>
      </c>
      <c r="ID495" s="24">
        <v>6703</v>
      </c>
    </row>
    <row r="496" spans="9:238" x14ac:dyDescent="0.4">
      <c r="I496" s="305">
        <v>2018</v>
      </c>
      <c r="J496" s="306">
        <v>43</v>
      </c>
      <c r="K496" s="306" t="s">
        <v>33</v>
      </c>
      <c r="L496" s="306">
        <v>131576</v>
      </c>
      <c r="M496" s="306">
        <v>125113</v>
      </c>
      <c r="N496" s="306">
        <v>168</v>
      </c>
      <c r="O496" s="306">
        <v>3918</v>
      </c>
      <c r="P496" s="306">
        <v>378</v>
      </c>
      <c r="Q496" s="306">
        <v>10</v>
      </c>
      <c r="R496" s="24"/>
      <c r="S496" s="24"/>
      <c r="T496" s="24"/>
      <c r="AI496" s="24"/>
      <c r="AJ496" s="24"/>
      <c r="AO496" s="24"/>
      <c r="AP496" s="24"/>
      <c r="AQ496" s="24"/>
      <c r="AR496" s="24"/>
      <c r="DD496" s="24"/>
      <c r="DE496" s="24"/>
      <c r="DF496" s="24"/>
      <c r="DG496" s="24"/>
      <c r="DJ496" s="24">
        <v>2019</v>
      </c>
      <c r="DK496" s="24">
        <v>17</v>
      </c>
      <c r="DL496" s="24" t="s">
        <v>32</v>
      </c>
      <c r="DM496" s="24">
        <v>121</v>
      </c>
      <c r="DP496" s="24"/>
      <c r="DQ496" s="24"/>
      <c r="DR496" s="24"/>
      <c r="DS496" s="24"/>
      <c r="EI496" s="24">
        <v>2022</v>
      </c>
      <c r="EJ496" s="24">
        <v>47</v>
      </c>
      <c r="EK496" s="24" t="s">
        <v>558</v>
      </c>
      <c r="EL496" s="24" t="s">
        <v>555</v>
      </c>
      <c r="EM496" s="24" t="s">
        <v>210</v>
      </c>
      <c r="EN496" s="24">
        <v>18</v>
      </c>
      <c r="EO496" s="24"/>
      <c r="EP496" s="24"/>
      <c r="ES496" s="24">
        <v>2019</v>
      </c>
      <c r="ET496" s="24">
        <v>49</v>
      </c>
      <c r="EU496" s="24" t="s">
        <v>33</v>
      </c>
      <c r="EV496" s="24">
        <v>82889</v>
      </c>
      <c r="FW496" s="24">
        <v>2018</v>
      </c>
      <c r="FX496" s="24">
        <v>42</v>
      </c>
      <c r="FY496" s="24" t="s">
        <v>32</v>
      </c>
      <c r="FZ496" s="24">
        <v>556</v>
      </c>
      <c r="GA496" s="24">
        <v>492</v>
      </c>
      <c r="GB496" s="24"/>
      <c r="GC496" s="24"/>
      <c r="GD496" s="24"/>
      <c r="GE496" s="24"/>
      <c r="GF496" s="24"/>
      <c r="GG496" s="24"/>
      <c r="GH496" s="24"/>
      <c r="GK496" s="24"/>
      <c r="GL496" s="24"/>
      <c r="GM496" s="24"/>
      <c r="GN496" s="24"/>
      <c r="GO496" s="24"/>
      <c r="GX496">
        <v>2018</v>
      </c>
      <c r="GY496">
        <v>42</v>
      </c>
      <c r="GZ496" t="s">
        <v>32</v>
      </c>
      <c r="HA496">
        <v>5160</v>
      </c>
      <c r="HB496">
        <v>4903</v>
      </c>
      <c r="HC496">
        <v>0</v>
      </c>
      <c r="HD496">
        <v>1</v>
      </c>
      <c r="HE496">
        <v>0</v>
      </c>
      <c r="HF496">
        <v>2</v>
      </c>
      <c r="HG496">
        <v>0</v>
      </c>
      <c r="HH496">
        <v>0</v>
      </c>
      <c r="HI496">
        <v>43</v>
      </c>
      <c r="HZ496" s="24">
        <v>2018</v>
      </c>
      <c r="IA496" s="24">
        <v>42</v>
      </c>
      <c r="IB496" s="24" t="s">
        <v>32</v>
      </c>
      <c r="IC496" s="24">
        <v>560</v>
      </c>
      <c r="ID496" s="24">
        <v>495</v>
      </c>
    </row>
    <row r="497" spans="9:238" x14ac:dyDescent="0.4">
      <c r="I497" s="305">
        <v>2018</v>
      </c>
      <c r="J497" s="306">
        <v>42</v>
      </c>
      <c r="K497" s="306" t="s">
        <v>32</v>
      </c>
      <c r="L497" s="306">
        <v>5208</v>
      </c>
      <c r="M497" s="306">
        <v>4949</v>
      </c>
      <c r="N497" s="306">
        <v>15</v>
      </c>
      <c r="O497" s="306">
        <v>236</v>
      </c>
      <c r="P497" s="306">
        <v>41</v>
      </c>
      <c r="Q497" s="306"/>
      <c r="R497" s="24"/>
      <c r="S497" s="24"/>
      <c r="T497" s="24"/>
      <c r="AI497" s="24"/>
      <c r="AJ497" s="24"/>
      <c r="AO497" s="24"/>
      <c r="AP497" s="24"/>
      <c r="AQ497" s="24"/>
      <c r="AR497" s="24"/>
      <c r="DD497" s="24"/>
      <c r="DE497" s="24"/>
      <c r="DF497" s="24"/>
      <c r="DG497" s="24"/>
      <c r="DJ497" s="24">
        <v>2019</v>
      </c>
      <c r="DK497" s="24">
        <v>17</v>
      </c>
      <c r="DL497" s="24" t="s">
        <v>33</v>
      </c>
      <c r="DM497" s="24">
        <v>3264</v>
      </c>
      <c r="DP497" s="24"/>
      <c r="DQ497" s="24"/>
      <c r="DR497" s="24"/>
      <c r="DS497" s="24"/>
      <c r="EI497" s="24">
        <v>2022</v>
      </c>
      <c r="EJ497" s="24">
        <v>47</v>
      </c>
      <c r="EK497" s="24" t="s">
        <v>558</v>
      </c>
      <c r="EL497" s="24" t="s">
        <v>557</v>
      </c>
      <c r="EM497" s="24" t="s">
        <v>210</v>
      </c>
      <c r="EN497" s="24">
        <v>162</v>
      </c>
      <c r="EO497" s="24"/>
      <c r="EP497" s="24"/>
      <c r="ES497" s="24">
        <v>2019</v>
      </c>
      <c r="ET497" s="24">
        <v>49</v>
      </c>
      <c r="EU497" s="24" t="s">
        <v>213</v>
      </c>
      <c r="EV497" s="24">
        <v>37</v>
      </c>
      <c r="FW497" s="24">
        <v>2018</v>
      </c>
      <c r="FX497" s="24">
        <v>42</v>
      </c>
      <c r="FY497" s="24" t="s">
        <v>33</v>
      </c>
      <c r="FZ497" s="24">
        <v>8485</v>
      </c>
      <c r="GA497" s="24">
        <v>8006</v>
      </c>
      <c r="GB497" s="24"/>
      <c r="GC497" s="24"/>
      <c r="GD497" s="24"/>
      <c r="GE497" s="24"/>
      <c r="GF497" s="24"/>
      <c r="GG497" s="24"/>
      <c r="GH497" s="24"/>
      <c r="GK497" s="24"/>
      <c r="GL497" s="24"/>
      <c r="GM497" s="24"/>
      <c r="GN497" s="24"/>
      <c r="GO497" s="24"/>
      <c r="GX497">
        <v>2018</v>
      </c>
      <c r="GY497">
        <v>42</v>
      </c>
      <c r="GZ497" t="s">
        <v>33</v>
      </c>
      <c r="HA497">
        <v>141476</v>
      </c>
      <c r="HB497">
        <v>138893</v>
      </c>
      <c r="HC497">
        <v>145</v>
      </c>
      <c r="HD497">
        <v>39</v>
      </c>
      <c r="HE497">
        <v>0</v>
      </c>
      <c r="HF497">
        <v>1153</v>
      </c>
      <c r="HG497">
        <v>0</v>
      </c>
      <c r="HH497">
        <v>0</v>
      </c>
      <c r="HI497">
        <v>351</v>
      </c>
      <c r="HZ497" s="24">
        <v>2018</v>
      </c>
      <c r="IA497" s="24">
        <v>42</v>
      </c>
      <c r="IB497" s="24" t="s">
        <v>33</v>
      </c>
      <c r="IC497" s="24">
        <v>8327</v>
      </c>
      <c r="ID497" s="24">
        <v>7844</v>
      </c>
    </row>
    <row r="498" spans="9:238" x14ac:dyDescent="0.4">
      <c r="I498" s="305">
        <v>2018</v>
      </c>
      <c r="J498" s="306">
        <v>42</v>
      </c>
      <c r="K498" s="306" t="s">
        <v>33</v>
      </c>
      <c r="L498" s="306">
        <v>142700</v>
      </c>
      <c r="M498" s="306">
        <v>136067</v>
      </c>
      <c r="N498" s="306">
        <v>160</v>
      </c>
      <c r="O498" s="306">
        <v>3930</v>
      </c>
      <c r="P498" s="306">
        <v>252</v>
      </c>
      <c r="Q498" s="306">
        <v>2</v>
      </c>
      <c r="R498" s="24"/>
      <c r="S498" s="24"/>
      <c r="T498" s="24"/>
      <c r="AI498" s="24"/>
      <c r="AJ498" s="24"/>
      <c r="AO498" s="24"/>
      <c r="AP498" s="24"/>
      <c r="AQ498" s="24"/>
      <c r="AR498" s="24"/>
      <c r="DD498" s="24"/>
      <c r="DE498" s="24"/>
      <c r="DF498" s="24"/>
      <c r="DG498" s="24"/>
      <c r="DJ498" s="24">
        <v>2019</v>
      </c>
      <c r="DK498" s="24">
        <v>16</v>
      </c>
      <c r="DL498" s="24" t="s">
        <v>32</v>
      </c>
      <c r="DM498" s="24">
        <v>145</v>
      </c>
      <c r="DP498" s="24"/>
      <c r="DQ498" s="24"/>
      <c r="DR498" s="24"/>
      <c r="DS498" s="24"/>
      <c r="EI498" s="24">
        <v>2022</v>
      </c>
      <c r="EJ498" s="24">
        <v>47</v>
      </c>
      <c r="EK498" s="24" t="s">
        <v>558</v>
      </c>
      <c r="EL498" s="24" t="s">
        <v>554</v>
      </c>
      <c r="EM498" s="24" t="s">
        <v>210</v>
      </c>
      <c r="EN498" s="24">
        <v>24</v>
      </c>
      <c r="EO498" s="24"/>
      <c r="EP498" s="24"/>
      <c r="ES498" s="24">
        <v>2019</v>
      </c>
      <c r="ET498" s="24">
        <v>48</v>
      </c>
      <c r="EU498" s="24" t="s">
        <v>32</v>
      </c>
      <c r="EV498" s="24">
        <v>3869</v>
      </c>
      <c r="FW498" s="24">
        <v>2018</v>
      </c>
      <c r="FX498" s="24">
        <v>41</v>
      </c>
      <c r="FY498" s="24" t="s">
        <v>32</v>
      </c>
      <c r="FZ498" s="24">
        <v>737</v>
      </c>
      <c r="GA498" s="24">
        <v>723</v>
      </c>
      <c r="GB498" s="24"/>
      <c r="GC498" s="24"/>
      <c r="GD498" s="24"/>
      <c r="GE498" s="24"/>
      <c r="GF498" s="24"/>
      <c r="GG498" s="24"/>
      <c r="GH498" s="24"/>
      <c r="GK498" s="24"/>
      <c r="GL498" s="24"/>
      <c r="GM498" s="24"/>
      <c r="GN498" s="24"/>
      <c r="GO498" s="24"/>
      <c r="GX498">
        <v>2018</v>
      </c>
      <c r="GY498">
        <v>41</v>
      </c>
      <c r="GZ498" t="s">
        <v>32</v>
      </c>
      <c r="HA498">
        <v>6233</v>
      </c>
      <c r="HB498">
        <v>6094</v>
      </c>
      <c r="HC498">
        <v>0</v>
      </c>
      <c r="HD498">
        <v>1</v>
      </c>
      <c r="HE498">
        <v>0</v>
      </c>
      <c r="HF498">
        <v>2</v>
      </c>
      <c r="HG498">
        <v>0</v>
      </c>
      <c r="HH498">
        <v>0</v>
      </c>
      <c r="HI498">
        <v>23</v>
      </c>
      <c r="HZ498" s="24">
        <v>2018</v>
      </c>
      <c r="IA498" s="24">
        <v>41</v>
      </c>
      <c r="IB498" s="24" t="s">
        <v>32</v>
      </c>
      <c r="IC498" s="24">
        <v>682</v>
      </c>
      <c r="ID498" s="24">
        <v>669</v>
      </c>
    </row>
    <row r="499" spans="9:238" x14ac:dyDescent="0.4">
      <c r="I499" s="305">
        <v>2018</v>
      </c>
      <c r="J499" s="306">
        <v>41</v>
      </c>
      <c r="K499" s="306" t="s">
        <v>32</v>
      </c>
      <c r="L499" s="306">
        <v>6428</v>
      </c>
      <c r="M499" s="306">
        <v>6242</v>
      </c>
      <c r="N499" s="306">
        <v>16</v>
      </c>
      <c r="O499" s="306">
        <v>159</v>
      </c>
      <c r="P499" s="306">
        <v>14</v>
      </c>
      <c r="Q499" s="306"/>
      <c r="R499" s="24"/>
      <c r="S499" s="24"/>
      <c r="T499" s="24"/>
      <c r="AI499" s="24"/>
      <c r="AJ499" s="24"/>
      <c r="AO499" s="24"/>
      <c r="AP499" s="24"/>
      <c r="AQ499" s="24"/>
      <c r="AR499" s="24"/>
      <c r="DD499" s="24"/>
      <c r="DE499" s="24"/>
      <c r="DF499" s="24"/>
      <c r="DG499" s="24"/>
      <c r="DJ499" s="24">
        <v>2019</v>
      </c>
      <c r="DK499" s="24">
        <v>16</v>
      </c>
      <c r="DL499" s="24" t="s">
        <v>33</v>
      </c>
      <c r="DM499" s="24">
        <v>1645</v>
      </c>
      <c r="DP499" s="24"/>
      <c r="DQ499" s="24"/>
      <c r="DR499" s="24"/>
      <c r="DS499" s="24"/>
      <c r="EI499" s="24">
        <v>2022</v>
      </c>
      <c r="EJ499" s="24">
        <v>47</v>
      </c>
      <c r="EK499" s="24" t="s">
        <v>558</v>
      </c>
      <c r="EL499" s="24" t="s">
        <v>235</v>
      </c>
      <c r="EM499" s="24" t="s">
        <v>210</v>
      </c>
      <c r="EN499" s="24">
        <v>49</v>
      </c>
      <c r="EO499" s="24"/>
      <c r="EP499" s="24"/>
      <c r="ES499" s="24">
        <v>2019</v>
      </c>
      <c r="ET499" s="24">
        <v>48</v>
      </c>
      <c r="EU499" s="24" t="s">
        <v>33</v>
      </c>
      <c r="EV499" s="24">
        <v>77163</v>
      </c>
      <c r="FW499" s="24">
        <v>2018</v>
      </c>
      <c r="FX499" s="24">
        <v>41</v>
      </c>
      <c r="FY499" s="24" t="s">
        <v>33</v>
      </c>
      <c r="FZ499" s="24">
        <v>8874</v>
      </c>
      <c r="GA499" s="24">
        <v>8350</v>
      </c>
      <c r="GB499" s="24"/>
      <c r="GC499" s="24"/>
      <c r="GD499" s="24"/>
      <c r="GE499" s="24"/>
      <c r="GF499" s="24"/>
      <c r="GG499" s="24"/>
      <c r="GH499" s="24"/>
      <c r="GK499" s="24"/>
      <c r="GL499" s="24"/>
      <c r="GM499" s="24"/>
      <c r="GN499" s="24"/>
      <c r="GO499" s="24"/>
      <c r="GX499">
        <v>2018</v>
      </c>
      <c r="GY499">
        <v>41</v>
      </c>
      <c r="GZ499" t="s">
        <v>33</v>
      </c>
      <c r="HA499">
        <v>150520</v>
      </c>
      <c r="HB499">
        <v>147877</v>
      </c>
      <c r="HC499">
        <v>106</v>
      </c>
      <c r="HD499">
        <v>25</v>
      </c>
      <c r="HE499">
        <v>0</v>
      </c>
      <c r="HF499">
        <v>1103</v>
      </c>
      <c r="HG499">
        <v>0</v>
      </c>
      <c r="HH499">
        <v>0</v>
      </c>
      <c r="HI499">
        <v>470</v>
      </c>
      <c r="HZ499" s="24">
        <v>2018</v>
      </c>
      <c r="IA499" s="24">
        <v>41</v>
      </c>
      <c r="IB499" s="24" t="s">
        <v>33</v>
      </c>
      <c r="IC499" s="24">
        <v>8926</v>
      </c>
      <c r="ID499" s="24">
        <v>8406</v>
      </c>
    </row>
    <row r="500" spans="9:238" x14ac:dyDescent="0.4">
      <c r="I500" s="305">
        <v>2018</v>
      </c>
      <c r="J500" s="306">
        <v>41</v>
      </c>
      <c r="K500" s="306" t="s">
        <v>33</v>
      </c>
      <c r="L500" s="306">
        <v>151333</v>
      </c>
      <c r="M500" s="306">
        <v>144923</v>
      </c>
      <c r="N500" s="306">
        <v>286</v>
      </c>
      <c r="O500" s="306">
        <v>3289</v>
      </c>
      <c r="P500" s="306">
        <v>293</v>
      </c>
      <c r="Q500" s="306">
        <v>2</v>
      </c>
      <c r="R500" s="24"/>
      <c r="S500" s="24"/>
      <c r="T500" s="24"/>
      <c r="AI500" s="24"/>
      <c r="AJ500" s="24"/>
      <c r="AO500" s="24"/>
      <c r="AP500" s="24"/>
      <c r="AQ500" s="24"/>
      <c r="AR500" s="24"/>
      <c r="DD500" s="24"/>
      <c r="DE500" s="24"/>
      <c r="DF500" s="24"/>
      <c r="DG500" s="24"/>
      <c r="DJ500" s="24">
        <v>2019</v>
      </c>
      <c r="DK500" s="24">
        <v>16</v>
      </c>
      <c r="DL500" s="24" t="s">
        <v>213</v>
      </c>
      <c r="DM500" s="24">
        <v>1</v>
      </c>
      <c r="DP500" s="24"/>
      <c r="DQ500" s="24"/>
      <c r="DR500" s="24"/>
      <c r="DS500" s="24"/>
      <c r="EI500" s="24">
        <v>2022</v>
      </c>
      <c r="EJ500" s="24">
        <v>47</v>
      </c>
      <c r="EK500" s="24" t="s">
        <v>558</v>
      </c>
      <c r="EL500" s="24" t="s">
        <v>245</v>
      </c>
      <c r="EM500" s="24" t="s">
        <v>210</v>
      </c>
      <c r="EN500" s="24">
        <v>38</v>
      </c>
      <c r="EO500" s="24"/>
      <c r="EP500" s="24"/>
      <c r="ES500" s="24">
        <v>2019</v>
      </c>
      <c r="ET500" s="24">
        <v>48</v>
      </c>
      <c r="EU500" s="24" t="s">
        <v>213</v>
      </c>
      <c r="EV500" s="24">
        <v>20</v>
      </c>
      <c r="FW500" s="24">
        <v>2018</v>
      </c>
      <c r="FX500" s="24">
        <v>40</v>
      </c>
      <c r="FY500" s="24" t="s">
        <v>32</v>
      </c>
      <c r="FZ500" s="24">
        <v>826</v>
      </c>
      <c r="GA500" s="24">
        <v>769</v>
      </c>
      <c r="GB500" s="24"/>
      <c r="GC500" s="24"/>
      <c r="GD500" s="24"/>
      <c r="GE500" s="24"/>
      <c r="GF500" s="24"/>
      <c r="GG500" s="24"/>
      <c r="GH500" s="24"/>
      <c r="GK500" s="24"/>
      <c r="GL500" s="24"/>
      <c r="GM500" s="24"/>
      <c r="GN500" s="24"/>
      <c r="GO500" s="24"/>
      <c r="GX500">
        <v>2018</v>
      </c>
      <c r="GY500">
        <v>40</v>
      </c>
      <c r="GZ500" t="s">
        <v>32</v>
      </c>
      <c r="HA500">
        <v>10167</v>
      </c>
      <c r="HB500">
        <v>9303</v>
      </c>
      <c r="HC500">
        <v>0</v>
      </c>
      <c r="HD500">
        <v>56</v>
      </c>
      <c r="HE500">
        <v>0</v>
      </c>
      <c r="HF500">
        <v>245</v>
      </c>
      <c r="HG500">
        <v>0</v>
      </c>
      <c r="HH500">
        <v>0</v>
      </c>
      <c r="HI500">
        <v>142</v>
      </c>
      <c r="HZ500" s="24">
        <v>2018</v>
      </c>
      <c r="IA500" s="24">
        <v>40</v>
      </c>
      <c r="IB500" s="24" t="s">
        <v>32</v>
      </c>
      <c r="IC500" s="24">
        <v>802</v>
      </c>
      <c r="ID500" s="24">
        <v>745</v>
      </c>
    </row>
    <row r="501" spans="9:238" x14ac:dyDescent="0.4">
      <c r="I501" s="305">
        <v>2018</v>
      </c>
      <c r="J501" s="306">
        <v>40</v>
      </c>
      <c r="K501" s="306" t="s">
        <v>32</v>
      </c>
      <c r="L501" s="306">
        <v>10214</v>
      </c>
      <c r="M501" s="306">
        <v>9235</v>
      </c>
      <c r="N501" s="306">
        <v>66</v>
      </c>
      <c r="O501" s="306">
        <v>662</v>
      </c>
      <c r="P501" s="306">
        <v>24</v>
      </c>
      <c r="Q501" s="306">
        <v>20</v>
      </c>
      <c r="R501" s="24"/>
      <c r="S501" s="24"/>
      <c r="T501" s="24"/>
      <c r="AI501" s="24"/>
      <c r="AJ501" s="24"/>
      <c r="AO501" s="24"/>
      <c r="AP501" s="24"/>
      <c r="AQ501" s="24"/>
      <c r="AR501" s="24"/>
      <c r="DD501" s="24"/>
      <c r="DE501" s="24"/>
      <c r="DF501" s="24"/>
      <c r="DG501" s="24"/>
      <c r="DJ501" s="24">
        <v>2019</v>
      </c>
      <c r="DK501" s="24">
        <v>15</v>
      </c>
      <c r="DL501" s="24" t="s">
        <v>32</v>
      </c>
      <c r="DM501" s="24">
        <v>53</v>
      </c>
      <c r="DP501" s="24"/>
      <c r="DQ501" s="24"/>
      <c r="DR501" s="24"/>
      <c r="DS501" s="24"/>
      <c r="EI501" s="24">
        <v>2022</v>
      </c>
      <c r="EJ501" s="24">
        <v>47</v>
      </c>
      <c r="EK501" s="24" t="s">
        <v>33</v>
      </c>
      <c r="EL501" s="24" t="s">
        <v>233</v>
      </c>
      <c r="EM501" s="24" t="s">
        <v>210</v>
      </c>
      <c r="EN501" s="24">
        <v>2</v>
      </c>
      <c r="EO501" s="24"/>
      <c r="EP501" s="24"/>
      <c r="ES501" s="24">
        <v>2019</v>
      </c>
      <c r="ET501" s="24">
        <v>47</v>
      </c>
      <c r="EU501" s="24" t="s">
        <v>32</v>
      </c>
      <c r="EV501" s="24">
        <v>2988</v>
      </c>
      <c r="FW501" s="24">
        <v>2018</v>
      </c>
      <c r="FX501" s="24">
        <v>40</v>
      </c>
      <c r="FY501" s="24" t="s">
        <v>33</v>
      </c>
      <c r="FZ501" s="24">
        <v>9366</v>
      </c>
      <c r="GA501" s="24">
        <v>8206</v>
      </c>
      <c r="GB501" s="24"/>
      <c r="GC501" s="24"/>
      <c r="GD501" s="24"/>
      <c r="GE501" s="24"/>
      <c r="GF501" s="24"/>
      <c r="GG501" s="24"/>
      <c r="GH501" s="24"/>
      <c r="GK501" s="24"/>
      <c r="GL501" s="24"/>
      <c r="GM501" s="24"/>
      <c r="GN501" s="24"/>
      <c r="GO501" s="24"/>
      <c r="GX501">
        <v>2018</v>
      </c>
      <c r="GY501">
        <v>40</v>
      </c>
      <c r="GZ501" t="s">
        <v>33</v>
      </c>
      <c r="HA501">
        <v>145475</v>
      </c>
      <c r="HB501">
        <v>140916</v>
      </c>
      <c r="HC501">
        <v>181</v>
      </c>
      <c r="HD501">
        <v>61</v>
      </c>
      <c r="HE501">
        <v>0</v>
      </c>
      <c r="HF501">
        <v>2037</v>
      </c>
      <c r="HG501">
        <v>0</v>
      </c>
      <c r="HH501">
        <v>0</v>
      </c>
      <c r="HI501">
        <v>907</v>
      </c>
      <c r="HZ501" s="24">
        <v>2018</v>
      </c>
      <c r="IA501" s="24">
        <v>40</v>
      </c>
      <c r="IB501" s="24" t="s">
        <v>33</v>
      </c>
      <c r="IC501" s="24">
        <v>9155</v>
      </c>
      <c r="ID501" s="24">
        <v>8035</v>
      </c>
    </row>
    <row r="502" spans="9:238" x14ac:dyDescent="0.4">
      <c r="I502" s="305">
        <v>2018</v>
      </c>
      <c r="J502" s="306">
        <v>40</v>
      </c>
      <c r="K502" s="306" t="s">
        <v>33</v>
      </c>
      <c r="L502" s="306">
        <v>145015</v>
      </c>
      <c r="M502" s="306">
        <v>137010</v>
      </c>
      <c r="N502" s="306">
        <v>441</v>
      </c>
      <c r="O502" s="306">
        <v>4484</v>
      </c>
      <c r="P502" s="306">
        <v>357</v>
      </c>
      <c r="Q502" s="306">
        <v>8</v>
      </c>
      <c r="R502" s="24"/>
      <c r="S502" s="24"/>
      <c r="T502" s="24"/>
      <c r="AI502" s="24"/>
      <c r="AJ502" s="24"/>
      <c r="AO502" s="24"/>
      <c r="AP502" s="24"/>
      <c r="AQ502" s="24"/>
      <c r="AR502" s="24"/>
      <c r="DD502" s="24"/>
      <c r="DE502" s="24"/>
      <c r="DF502" s="24"/>
      <c r="DG502" s="24"/>
      <c r="DJ502" s="24">
        <v>2019</v>
      </c>
      <c r="DK502" s="24">
        <v>15</v>
      </c>
      <c r="DL502" s="24" t="s">
        <v>33</v>
      </c>
      <c r="DM502" s="24">
        <v>1000</v>
      </c>
      <c r="DP502" s="24"/>
      <c r="DQ502" s="24"/>
      <c r="DR502" s="24"/>
      <c r="DS502" s="24"/>
      <c r="EI502" s="24">
        <v>2022</v>
      </c>
      <c r="EJ502" s="24">
        <v>47</v>
      </c>
      <c r="EK502" s="24" t="s">
        <v>33</v>
      </c>
      <c r="EL502" s="24" t="s">
        <v>233</v>
      </c>
      <c r="EM502" s="24" t="s">
        <v>215</v>
      </c>
      <c r="EN502" s="24">
        <v>2</v>
      </c>
      <c r="EO502" s="24"/>
      <c r="EP502" s="24"/>
      <c r="ES502" s="24">
        <v>2019</v>
      </c>
      <c r="ET502" s="24">
        <v>47</v>
      </c>
      <c r="EU502" s="24" t="s">
        <v>33</v>
      </c>
      <c r="EV502" s="24">
        <v>66246</v>
      </c>
      <c r="FW502" s="24">
        <v>2018</v>
      </c>
      <c r="FX502" s="24">
        <v>39</v>
      </c>
      <c r="FY502" s="24" t="s">
        <v>32</v>
      </c>
      <c r="FZ502" s="24">
        <v>722</v>
      </c>
      <c r="GA502" s="24">
        <v>701</v>
      </c>
      <c r="GB502" s="24"/>
      <c r="GC502" s="24"/>
      <c r="GD502" s="24"/>
      <c r="GE502" s="24"/>
      <c r="GF502" s="24"/>
      <c r="GG502" s="24"/>
      <c r="GH502" s="24"/>
      <c r="GK502" s="24"/>
      <c r="GL502" s="24"/>
      <c r="GM502" s="24"/>
      <c r="GN502" s="24"/>
      <c r="GO502" s="24"/>
      <c r="GX502">
        <v>2018</v>
      </c>
      <c r="GY502">
        <v>39</v>
      </c>
      <c r="GZ502" t="s">
        <v>32</v>
      </c>
      <c r="HA502">
        <v>5952</v>
      </c>
      <c r="HB502">
        <v>5709</v>
      </c>
      <c r="HC502">
        <v>0</v>
      </c>
      <c r="HD502">
        <v>6</v>
      </c>
      <c r="HE502">
        <v>0</v>
      </c>
      <c r="HF502">
        <v>0</v>
      </c>
      <c r="HG502">
        <v>0</v>
      </c>
      <c r="HH502">
        <v>0</v>
      </c>
      <c r="HI502">
        <v>56</v>
      </c>
      <c r="HZ502" s="24">
        <v>2018</v>
      </c>
      <c r="IA502" s="24">
        <v>39</v>
      </c>
      <c r="IB502" s="24" t="s">
        <v>32</v>
      </c>
      <c r="IC502" s="24">
        <v>678</v>
      </c>
      <c r="ID502" s="24">
        <v>659</v>
      </c>
    </row>
    <row r="503" spans="9:238" x14ac:dyDescent="0.4">
      <c r="I503" s="305">
        <v>2018</v>
      </c>
      <c r="J503" s="306">
        <v>39</v>
      </c>
      <c r="K503" s="306" t="s">
        <v>32</v>
      </c>
      <c r="L503" s="306">
        <v>5881</v>
      </c>
      <c r="M503" s="306">
        <v>5654</v>
      </c>
      <c r="N503" s="306">
        <v>35</v>
      </c>
      <c r="O503" s="306">
        <v>192</v>
      </c>
      <c r="P503" s="306">
        <v>6</v>
      </c>
      <c r="Q503" s="306"/>
      <c r="R503" s="24"/>
      <c r="S503" s="24"/>
      <c r="T503" s="24"/>
      <c r="AI503" s="24"/>
      <c r="AJ503" s="24"/>
      <c r="AO503" s="24"/>
      <c r="AP503" s="24"/>
      <c r="AQ503" s="24"/>
      <c r="AR503" s="24"/>
      <c r="DD503" s="24"/>
      <c r="DE503" s="24"/>
      <c r="DF503" s="24"/>
      <c r="DG503" s="24"/>
      <c r="DJ503" s="24">
        <v>2019</v>
      </c>
      <c r="DK503" s="24">
        <v>14</v>
      </c>
      <c r="DL503" s="24" t="s">
        <v>32</v>
      </c>
      <c r="DM503" s="24">
        <v>92</v>
      </c>
      <c r="DP503" s="24"/>
      <c r="DQ503" s="24"/>
      <c r="DR503" s="24"/>
      <c r="DS503" s="24"/>
      <c r="EI503" s="24">
        <v>2022</v>
      </c>
      <c r="EJ503" s="24">
        <v>47</v>
      </c>
      <c r="EK503" s="24" t="s">
        <v>33</v>
      </c>
      <c r="EL503" s="24" t="s">
        <v>244</v>
      </c>
      <c r="EM503" s="24" t="s">
        <v>210</v>
      </c>
      <c r="EN503" s="24">
        <v>10</v>
      </c>
      <c r="EO503" s="24"/>
      <c r="EP503" s="24"/>
      <c r="ES503" s="24">
        <v>2019</v>
      </c>
      <c r="ET503" s="24">
        <v>47</v>
      </c>
      <c r="EU503" s="24" t="s">
        <v>213</v>
      </c>
      <c r="EV503" s="24">
        <v>11</v>
      </c>
      <c r="FW503" s="24">
        <v>2018</v>
      </c>
      <c r="FX503" s="24">
        <v>39</v>
      </c>
      <c r="FY503" s="24" t="s">
        <v>33</v>
      </c>
      <c r="FZ503" s="24">
        <v>9733</v>
      </c>
      <c r="GA503" s="24">
        <v>8833</v>
      </c>
      <c r="GB503" s="24"/>
      <c r="GC503" s="24"/>
      <c r="GD503" s="24"/>
      <c r="GE503" s="24"/>
      <c r="GF503" s="24"/>
      <c r="GG503" s="24"/>
      <c r="GH503" s="24"/>
      <c r="GK503" s="24"/>
      <c r="GL503" s="24"/>
      <c r="GM503" s="24"/>
      <c r="GN503" s="24"/>
      <c r="GO503" s="24"/>
      <c r="GX503">
        <v>2018</v>
      </c>
      <c r="GY503">
        <v>39</v>
      </c>
      <c r="GZ503" t="s">
        <v>33</v>
      </c>
      <c r="HA503">
        <v>152571</v>
      </c>
      <c r="HB503">
        <v>148766</v>
      </c>
      <c r="HC503">
        <v>201</v>
      </c>
      <c r="HD503">
        <v>33</v>
      </c>
      <c r="HE503">
        <v>0</v>
      </c>
      <c r="HF503">
        <v>2034</v>
      </c>
      <c r="HG503">
        <v>0</v>
      </c>
      <c r="HH503">
        <v>0</v>
      </c>
      <c r="HI503">
        <v>689</v>
      </c>
      <c r="HZ503" s="24">
        <v>2018</v>
      </c>
      <c r="IA503" s="24">
        <v>39</v>
      </c>
      <c r="IB503" s="24" t="s">
        <v>33</v>
      </c>
      <c r="IC503" s="24">
        <v>10045</v>
      </c>
      <c r="ID503" s="24">
        <v>9089</v>
      </c>
    </row>
    <row r="504" spans="9:238" x14ac:dyDescent="0.4">
      <c r="I504" s="305">
        <v>2018</v>
      </c>
      <c r="J504" s="306">
        <v>39</v>
      </c>
      <c r="K504" s="306" t="s">
        <v>33</v>
      </c>
      <c r="L504" s="306">
        <v>152730</v>
      </c>
      <c r="M504" s="306">
        <v>145312</v>
      </c>
      <c r="N504" s="306">
        <v>381</v>
      </c>
      <c r="O504" s="306">
        <v>3928</v>
      </c>
      <c r="P504" s="306">
        <v>491</v>
      </c>
      <c r="Q504" s="306">
        <v>3</v>
      </c>
      <c r="R504" s="24"/>
      <c r="S504" s="24"/>
      <c r="T504" s="24"/>
      <c r="AI504" s="24"/>
      <c r="AJ504" s="24"/>
      <c r="AO504" s="24"/>
      <c r="AP504" s="24"/>
      <c r="AQ504" s="24"/>
      <c r="AR504" s="24"/>
      <c r="DD504" s="24"/>
      <c r="DE504" s="24"/>
      <c r="DF504" s="24"/>
      <c r="DG504" s="24"/>
      <c r="DJ504" s="24">
        <v>2019</v>
      </c>
      <c r="DK504" s="24">
        <v>14</v>
      </c>
      <c r="DL504" s="24" t="s">
        <v>33</v>
      </c>
      <c r="DM504" s="24">
        <v>2608</v>
      </c>
      <c r="DP504" s="24"/>
      <c r="DQ504" s="24"/>
      <c r="DR504" s="24"/>
      <c r="DS504" s="24"/>
      <c r="EI504" s="24">
        <v>2022</v>
      </c>
      <c r="EJ504" s="24">
        <v>47</v>
      </c>
      <c r="EK504" s="24" t="s">
        <v>33</v>
      </c>
      <c r="EL504" s="24" t="s">
        <v>235</v>
      </c>
      <c r="EM504" s="24" t="s">
        <v>210</v>
      </c>
      <c r="EN504" s="24">
        <v>3</v>
      </c>
      <c r="EO504" s="24"/>
      <c r="EP504" s="24"/>
      <c r="ES504" s="24">
        <v>2019</v>
      </c>
      <c r="ET504" s="24">
        <v>46</v>
      </c>
      <c r="EU504" s="24" t="s">
        <v>32</v>
      </c>
      <c r="EV504" s="24">
        <v>3384</v>
      </c>
      <c r="FW504" s="24">
        <v>2018</v>
      </c>
      <c r="FX504" s="24">
        <v>38</v>
      </c>
      <c r="FY504" s="24" t="s">
        <v>32</v>
      </c>
      <c r="FZ504" s="24">
        <v>763</v>
      </c>
      <c r="GA504" s="24">
        <v>708</v>
      </c>
      <c r="GB504" s="24"/>
      <c r="GC504" s="24"/>
      <c r="GD504" s="24"/>
      <c r="GE504" s="24"/>
      <c r="GF504" s="24"/>
      <c r="GG504" s="24"/>
      <c r="GH504" s="24"/>
      <c r="GK504" s="24"/>
      <c r="GL504" s="24"/>
      <c r="GM504" s="24"/>
      <c r="GN504" s="24"/>
      <c r="GO504" s="24"/>
      <c r="GX504">
        <v>2018</v>
      </c>
      <c r="GY504">
        <v>38</v>
      </c>
      <c r="GZ504" t="s">
        <v>32</v>
      </c>
      <c r="HA504">
        <v>4958</v>
      </c>
      <c r="HB504">
        <v>4741</v>
      </c>
      <c r="HC504">
        <v>0</v>
      </c>
      <c r="HD504">
        <v>0</v>
      </c>
      <c r="HE504">
        <v>0</v>
      </c>
      <c r="HF504">
        <v>0</v>
      </c>
      <c r="HG504">
        <v>0</v>
      </c>
      <c r="HH504">
        <v>0</v>
      </c>
      <c r="HI504">
        <v>66</v>
      </c>
      <c r="HZ504" s="24">
        <v>2018</v>
      </c>
      <c r="IA504" s="24">
        <v>38</v>
      </c>
      <c r="IB504" s="24" t="s">
        <v>32</v>
      </c>
      <c r="IC504" s="24">
        <v>730</v>
      </c>
      <c r="ID504" s="24">
        <v>676</v>
      </c>
    </row>
    <row r="505" spans="9:238" x14ac:dyDescent="0.4">
      <c r="I505" s="305">
        <v>2018</v>
      </c>
      <c r="J505" s="306">
        <v>38</v>
      </c>
      <c r="K505" s="306" t="s">
        <v>32</v>
      </c>
      <c r="L505" s="306">
        <v>5015</v>
      </c>
      <c r="M505" s="306">
        <v>4793</v>
      </c>
      <c r="N505" s="306">
        <v>42</v>
      </c>
      <c r="O505" s="306">
        <v>156</v>
      </c>
      <c r="P505" s="306">
        <v>24</v>
      </c>
      <c r="Q505" s="306"/>
      <c r="R505" s="24"/>
      <c r="S505" s="24"/>
      <c r="T505" s="24"/>
      <c r="AI505" s="24"/>
      <c r="AJ505" s="24"/>
      <c r="AO505" s="24"/>
      <c r="AP505" s="24"/>
      <c r="AQ505" s="24"/>
      <c r="AR505" s="24"/>
      <c r="DD505" s="24"/>
      <c r="DE505" s="24"/>
      <c r="DF505" s="24"/>
      <c r="DG505" s="24"/>
      <c r="DJ505" s="24">
        <v>2019</v>
      </c>
      <c r="DK505" s="24">
        <v>13</v>
      </c>
      <c r="DL505" s="24" t="s">
        <v>32</v>
      </c>
      <c r="DM505" s="24">
        <v>105</v>
      </c>
      <c r="DP505" s="24"/>
      <c r="DQ505" s="24"/>
      <c r="DR505" s="24"/>
      <c r="DS505" s="24"/>
      <c r="EI505" s="24">
        <v>2022</v>
      </c>
      <c r="EJ505" s="24">
        <v>47</v>
      </c>
      <c r="EK505" s="24" t="s">
        <v>33</v>
      </c>
      <c r="EL505" s="24" t="s">
        <v>238</v>
      </c>
      <c r="EM505" s="24" t="s">
        <v>215</v>
      </c>
      <c r="EN505" s="24">
        <v>2</v>
      </c>
      <c r="EO505" s="24"/>
      <c r="EP505" s="24"/>
      <c r="ES505" s="24">
        <v>2019</v>
      </c>
      <c r="ET505" s="24">
        <v>46</v>
      </c>
      <c r="EU505" s="24" t="s">
        <v>33</v>
      </c>
      <c r="EV505" s="24">
        <v>79722</v>
      </c>
      <c r="FW505" s="24">
        <v>2018</v>
      </c>
      <c r="FX505" s="24">
        <v>38</v>
      </c>
      <c r="FY505" s="24" t="s">
        <v>33</v>
      </c>
      <c r="FZ505" s="24">
        <v>9863</v>
      </c>
      <c r="GA505" s="24">
        <v>8883</v>
      </c>
      <c r="GB505" s="24"/>
      <c r="GC505" s="24"/>
      <c r="GD505" s="24"/>
      <c r="GE505" s="24"/>
      <c r="GF505" s="24"/>
      <c r="GG505" s="24"/>
      <c r="GH505" s="24"/>
      <c r="GK505" s="24"/>
      <c r="GL505" s="24"/>
      <c r="GM505" s="24"/>
      <c r="GN505" s="24"/>
      <c r="GO505" s="24"/>
      <c r="GX505">
        <v>2018</v>
      </c>
      <c r="GY505">
        <v>38</v>
      </c>
      <c r="GZ505" t="s">
        <v>33</v>
      </c>
      <c r="HA505">
        <v>161132</v>
      </c>
      <c r="HB505">
        <v>157057</v>
      </c>
      <c r="HC505">
        <v>316</v>
      </c>
      <c r="HD505">
        <v>35</v>
      </c>
      <c r="HE505">
        <v>0</v>
      </c>
      <c r="HF505">
        <v>2178</v>
      </c>
      <c r="HG505">
        <v>0</v>
      </c>
      <c r="HH505">
        <v>0</v>
      </c>
      <c r="HI505">
        <v>1082</v>
      </c>
      <c r="HZ505" s="24">
        <v>2018</v>
      </c>
      <c r="IA505" s="24">
        <v>38</v>
      </c>
      <c r="IB505" s="24" t="s">
        <v>33</v>
      </c>
      <c r="IC505" s="24">
        <v>9571</v>
      </c>
      <c r="ID505" s="24">
        <v>8613</v>
      </c>
    </row>
    <row r="506" spans="9:238" x14ac:dyDescent="0.4">
      <c r="I506" s="305">
        <v>2018</v>
      </c>
      <c r="J506" s="306">
        <v>38</v>
      </c>
      <c r="K506" s="306" t="s">
        <v>33</v>
      </c>
      <c r="L506" s="306">
        <v>163807</v>
      </c>
      <c r="M506" s="306">
        <v>155465</v>
      </c>
      <c r="N506" s="306">
        <v>576</v>
      </c>
      <c r="O506" s="306">
        <v>4368</v>
      </c>
      <c r="P506" s="306">
        <v>542</v>
      </c>
      <c r="Q506" s="306"/>
      <c r="R506" s="24"/>
      <c r="S506" s="24"/>
      <c r="T506" s="24"/>
      <c r="AI506" s="24"/>
      <c r="AJ506" s="24"/>
      <c r="AO506" s="24"/>
      <c r="AP506" s="24"/>
      <c r="AQ506" s="24"/>
      <c r="AR506" s="24"/>
      <c r="DD506" s="24"/>
      <c r="DE506" s="24"/>
      <c r="DF506" s="24"/>
      <c r="DG506" s="24"/>
      <c r="DJ506" s="24">
        <v>2019</v>
      </c>
      <c r="DK506" s="24">
        <v>13</v>
      </c>
      <c r="DL506" s="24" t="s">
        <v>33</v>
      </c>
      <c r="DM506" s="24">
        <v>2752</v>
      </c>
      <c r="DP506" s="24"/>
      <c r="DQ506" s="24"/>
      <c r="DR506" s="24"/>
      <c r="DS506" s="24"/>
      <c r="EI506" s="24">
        <v>2022</v>
      </c>
      <c r="EJ506" s="24">
        <v>47</v>
      </c>
      <c r="EK506" s="24" t="s">
        <v>33</v>
      </c>
      <c r="EL506" s="24" t="s">
        <v>247</v>
      </c>
      <c r="EM506" s="24" t="s">
        <v>215</v>
      </c>
      <c r="EN506" s="24">
        <v>1</v>
      </c>
      <c r="EO506" s="24"/>
      <c r="EP506" s="24"/>
      <c r="ES506" s="24">
        <v>2019</v>
      </c>
      <c r="ET506" s="24">
        <v>46</v>
      </c>
      <c r="EU506" s="24" t="s">
        <v>213</v>
      </c>
      <c r="EV506" s="24">
        <v>26</v>
      </c>
      <c r="FW506" s="24">
        <v>2018</v>
      </c>
      <c r="FX506" s="24">
        <v>37</v>
      </c>
      <c r="FY506" s="24" t="s">
        <v>32</v>
      </c>
      <c r="FZ506" s="24">
        <v>655</v>
      </c>
      <c r="GA506" s="24">
        <v>604</v>
      </c>
      <c r="GB506" s="24"/>
      <c r="GC506" s="24"/>
      <c r="GD506" s="24"/>
      <c r="GE506" s="24"/>
      <c r="GF506" s="24"/>
      <c r="GG506" s="24"/>
      <c r="GH506" s="24"/>
      <c r="GK506" s="24"/>
      <c r="GL506" s="24"/>
      <c r="GM506" s="24"/>
      <c r="GN506" s="24"/>
      <c r="GO506" s="24"/>
      <c r="GX506">
        <v>2018</v>
      </c>
      <c r="GY506">
        <v>37</v>
      </c>
      <c r="GZ506" t="s">
        <v>32</v>
      </c>
      <c r="HA506">
        <v>6189</v>
      </c>
      <c r="HB506">
        <v>5711</v>
      </c>
      <c r="HC506">
        <v>0</v>
      </c>
      <c r="HD506">
        <v>4</v>
      </c>
      <c r="HE506">
        <v>0</v>
      </c>
      <c r="HF506">
        <v>25</v>
      </c>
      <c r="HG506">
        <v>0</v>
      </c>
      <c r="HH506">
        <v>0</v>
      </c>
      <c r="HI506">
        <v>134</v>
      </c>
      <c r="HZ506" s="24">
        <v>2018</v>
      </c>
      <c r="IA506" s="24">
        <v>37</v>
      </c>
      <c r="IB506" s="24" t="s">
        <v>32</v>
      </c>
      <c r="IC506" s="24">
        <v>663</v>
      </c>
      <c r="ID506" s="24">
        <v>613</v>
      </c>
    </row>
    <row r="507" spans="9:238" x14ac:dyDescent="0.4">
      <c r="I507" s="305">
        <v>2018</v>
      </c>
      <c r="J507" s="306">
        <v>37</v>
      </c>
      <c r="K507" s="306" t="s">
        <v>32</v>
      </c>
      <c r="L507" s="306">
        <v>6246</v>
      </c>
      <c r="M507" s="306">
        <v>5757</v>
      </c>
      <c r="N507" s="306">
        <v>31</v>
      </c>
      <c r="O507" s="306">
        <v>435</v>
      </c>
      <c r="P507" s="306">
        <v>12</v>
      </c>
      <c r="Q507" s="306"/>
      <c r="R507" s="24"/>
      <c r="S507" s="24"/>
      <c r="T507" s="24"/>
      <c r="AI507" s="24"/>
      <c r="AJ507" s="24"/>
      <c r="AO507" s="24"/>
      <c r="AP507" s="24"/>
      <c r="AQ507" s="24"/>
      <c r="AR507" s="24"/>
      <c r="DD507" s="24"/>
      <c r="DE507" s="24"/>
      <c r="DF507" s="24"/>
      <c r="DG507" s="24"/>
      <c r="DJ507" s="24">
        <v>2019</v>
      </c>
      <c r="DK507" s="24">
        <v>12</v>
      </c>
      <c r="DL507" s="24" t="s">
        <v>32</v>
      </c>
      <c r="DM507" s="24">
        <v>36</v>
      </c>
      <c r="DP507" s="24"/>
      <c r="DQ507" s="24"/>
      <c r="DR507" s="24"/>
      <c r="DS507" s="24"/>
      <c r="EI507" s="24">
        <v>2022</v>
      </c>
      <c r="EJ507" s="24">
        <v>47</v>
      </c>
      <c r="EK507" s="24" t="s">
        <v>237</v>
      </c>
      <c r="EL507" s="24" t="s">
        <v>557</v>
      </c>
      <c r="EM507" s="24" t="s">
        <v>210</v>
      </c>
      <c r="EN507" s="24">
        <v>3</v>
      </c>
      <c r="EO507" s="24"/>
      <c r="EP507" s="24"/>
      <c r="ES507" s="24">
        <v>2019</v>
      </c>
      <c r="ET507" s="24">
        <v>46</v>
      </c>
      <c r="EU507" s="24" t="s">
        <v>35</v>
      </c>
      <c r="EV507" s="24">
        <v>1</v>
      </c>
      <c r="FW507" s="24">
        <v>2018</v>
      </c>
      <c r="FX507" s="24">
        <v>37</v>
      </c>
      <c r="FY507" s="24" t="s">
        <v>33</v>
      </c>
      <c r="FZ507" s="24">
        <v>10047</v>
      </c>
      <c r="GA507" s="24">
        <v>8519</v>
      </c>
      <c r="GB507" s="24"/>
      <c r="GC507" s="24"/>
      <c r="GD507" s="24"/>
      <c r="GE507" s="24"/>
      <c r="GF507" s="24"/>
      <c r="GG507" s="24"/>
      <c r="GH507" s="24"/>
      <c r="GK507" s="24"/>
      <c r="GL507" s="24"/>
      <c r="GM507" s="24"/>
      <c r="GN507" s="24"/>
      <c r="GO507" s="24"/>
      <c r="GX507">
        <v>2018</v>
      </c>
      <c r="GY507">
        <v>37</v>
      </c>
      <c r="GZ507" t="s">
        <v>33</v>
      </c>
      <c r="HA507">
        <v>176047</v>
      </c>
      <c r="HB507">
        <v>167698</v>
      </c>
      <c r="HC507">
        <v>554</v>
      </c>
      <c r="HD507">
        <v>75</v>
      </c>
      <c r="HE507">
        <v>0</v>
      </c>
      <c r="HF507">
        <v>5079</v>
      </c>
      <c r="HG507">
        <v>0</v>
      </c>
      <c r="HH507">
        <v>0</v>
      </c>
      <c r="HI507">
        <v>1548</v>
      </c>
      <c r="HZ507" s="24">
        <v>2018</v>
      </c>
      <c r="IA507" s="24">
        <v>37</v>
      </c>
      <c r="IB507" s="24" t="s">
        <v>33</v>
      </c>
      <c r="IC507" s="24">
        <v>10204</v>
      </c>
      <c r="ID507" s="24">
        <v>8622</v>
      </c>
    </row>
    <row r="508" spans="9:238" x14ac:dyDescent="0.4">
      <c r="I508" s="305">
        <v>2018</v>
      </c>
      <c r="J508" s="306">
        <v>37</v>
      </c>
      <c r="K508" s="306" t="s">
        <v>33</v>
      </c>
      <c r="L508" s="306">
        <v>176779</v>
      </c>
      <c r="M508" s="306">
        <v>163561</v>
      </c>
      <c r="N508" s="306">
        <v>656</v>
      </c>
      <c r="O508" s="306">
        <v>7387</v>
      </c>
      <c r="P508" s="306">
        <v>717</v>
      </c>
      <c r="Q508" s="306"/>
      <c r="R508" s="24"/>
      <c r="S508" s="24"/>
      <c r="T508" s="24"/>
      <c r="AI508" s="24"/>
      <c r="AJ508" s="24"/>
      <c r="AO508" s="24"/>
      <c r="AP508" s="24"/>
      <c r="AQ508" s="24"/>
      <c r="AR508" s="24"/>
      <c r="DD508" s="24"/>
      <c r="DE508" s="24"/>
      <c r="DF508" s="24"/>
      <c r="DG508" s="24"/>
      <c r="DJ508" s="24">
        <v>2019</v>
      </c>
      <c r="DK508" s="24">
        <v>12</v>
      </c>
      <c r="DL508" s="24" t="s">
        <v>33</v>
      </c>
      <c r="DM508" s="24">
        <v>3692</v>
      </c>
      <c r="DP508" s="24"/>
      <c r="DQ508" s="24"/>
      <c r="DR508" s="24"/>
      <c r="DS508" s="24"/>
      <c r="EI508" s="24">
        <v>2022</v>
      </c>
      <c r="EJ508" s="24">
        <v>47</v>
      </c>
      <c r="EK508" s="24" t="s">
        <v>237</v>
      </c>
      <c r="EL508" s="24" t="s">
        <v>557</v>
      </c>
      <c r="EM508" s="24" t="s">
        <v>234</v>
      </c>
      <c r="EN508" s="24">
        <v>2</v>
      </c>
      <c r="EO508" s="24"/>
      <c r="EP508" s="24"/>
      <c r="ES508" s="24">
        <v>2019</v>
      </c>
      <c r="ET508" s="24">
        <v>45</v>
      </c>
      <c r="EU508" s="24" t="s">
        <v>32</v>
      </c>
      <c r="EV508" s="24">
        <v>3649</v>
      </c>
      <c r="FW508" s="24">
        <v>2018</v>
      </c>
      <c r="FX508" s="24">
        <v>36</v>
      </c>
      <c r="FY508" s="24" t="s">
        <v>32</v>
      </c>
      <c r="FZ508" s="24">
        <v>721</v>
      </c>
      <c r="GA508" s="24">
        <v>640</v>
      </c>
      <c r="GB508" s="24"/>
      <c r="GC508" s="24"/>
      <c r="GD508" s="24"/>
      <c r="GE508" s="24"/>
      <c r="GF508" s="24"/>
      <c r="GG508" s="24"/>
      <c r="GH508" s="24"/>
      <c r="GK508" s="24"/>
      <c r="GL508" s="24"/>
      <c r="GM508" s="24"/>
      <c r="GN508" s="24"/>
      <c r="GO508" s="24"/>
      <c r="GX508">
        <v>2018</v>
      </c>
      <c r="GY508">
        <v>36</v>
      </c>
      <c r="GZ508" t="s">
        <v>32</v>
      </c>
      <c r="HA508">
        <v>5493</v>
      </c>
      <c r="HB508">
        <v>5254</v>
      </c>
      <c r="HC508">
        <v>0</v>
      </c>
      <c r="HD508">
        <v>4</v>
      </c>
      <c r="HE508">
        <v>0</v>
      </c>
      <c r="HF508">
        <v>0</v>
      </c>
      <c r="HG508">
        <v>0</v>
      </c>
      <c r="HH508">
        <v>0</v>
      </c>
      <c r="HI508">
        <v>100</v>
      </c>
      <c r="HZ508" s="24">
        <v>2018</v>
      </c>
      <c r="IA508" s="24">
        <v>36</v>
      </c>
      <c r="IB508" s="24" t="s">
        <v>32</v>
      </c>
      <c r="IC508" s="24">
        <v>664</v>
      </c>
      <c r="ID508" s="24">
        <v>587</v>
      </c>
    </row>
    <row r="509" spans="9:238" x14ac:dyDescent="0.4">
      <c r="I509" s="305">
        <v>2018</v>
      </c>
      <c r="J509" s="306">
        <v>36</v>
      </c>
      <c r="K509" s="306" t="s">
        <v>32</v>
      </c>
      <c r="L509" s="306">
        <v>5609</v>
      </c>
      <c r="M509" s="306">
        <v>5360</v>
      </c>
      <c r="N509" s="306">
        <v>55</v>
      </c>
      <c r="O509" s="306">
        <v>205</v>
      </c>
      <c r="P509" s="306">
        <v>46</v>
      </c>
      <c r="Q509" s="306"/>
      <c r="R509" s="24"/>
      <c r="S509" s="24"/>
      <c r="T509" s="24"/>
      <c r="AI509" s="24"/>
      <c r="AJ509" s="24"/>
      <c r="AO509" s="24"/>
      <c r="AP509" s="24"/>
      <c r="AQ509" s="24"/>
      <c r="AR509" s="24"/>
      <c r="DD509" s="24"/>
      <c r="DE509" s="24"/>
      <c r="DF509" s="24"/>
      <c r="DG509" s="24"/>
      <c r="DJ509" s="24">
        <v>2019</v>
      </c>
      <c r="DK509" s="24">
        <v>11</v>
      </c>
      <c r="DL509" s="24" t="s">
        <v>32</v>
      </c>
      <c r="DM509" s="24">
        <v>16</v>
      </c>
      <c r="DP509" s="24"/>
      <c r="DQ509" s="24"/>
      <c r="DR509" s="24"/>
      <c r="DS509" s="24"/>
      <c r="EI509" s="24">
        <v>2022</v>
      </c>
      <c r="EJ509" s="24">
        <v>47</v>
      </c>
      <c r="EK509" s="24" t="s">
        <v>237</v>
      </c>
      <c r="EL509" s="24" t="s">
        <v>557</v>
      </c>
      <c r="EM509" s="24" t="s">
        <v>215</v>
      </c>
      <c r="EN509" s="24">
        <v>7</v>
      </c>
      <c r="EO509" s="24"/>
      <c r="EP509" s="24"/>
      <c r="ES509" s="24">
        <v>2019</v>
      </c>
      <c r="ET509" s="24">
        <v>45</v>
      </c>
      <c r="EU509" s="24" t="s">
        <v>33</v>
      </c>
      <c r="EV509" s="24">
        <v>81371</v>
      </c>
      <c r="FW509" s="24">
        <v>2018</v>
      </c>
      <c r="FX509" s="24">
        <v>36</v>
      </c>
      <c r="FY509" s="24" t="s">
        <v>33</v>
      </c>
      <c r="FZ509" s="24">
        <v>8769</v>
      </c>
      <c r="GA509" s="24">
        <v>8076</v>
      </c>
      <c r="GB509" s="24"/>
      <c r="GC509" s="24"/>
      <c r="GD509" s="24"/>
      <c r="GE509" s="24"/>
      <c r="GF509" s="24"/>
      <c r="GG509" s="24"/>
      <c r="GH509" s="24"/>
      <c r="GK509" s="24"/>
      <c r="GL509" s="24"/>
      <c r="GM509" s="24"/>
      <c r="GN509" s="24"/>
      <c r="GO509" s="24"/>
      <c r="GX509">
        <v>2018</v>
      </c>
      <c r="GY509">
        <v>36</v>
      </c>
      <c r="GZ509" t="s">
        <v>33</v>
      </c>
      <c r="HA509">
        <v>165912</v>
      </c>
      <c r="HB509">
        <v>159895</v>
      </c>
      <c r="HC509">
        <v>436</v>
      </c>
      <c r="HD509">
        <v>106</v>
      </c>
      <c r="HE509">
        <v>0</v>
      </c>
      <c r="HF509">
        <v>3168</v>
      </c>
      <c r="HG509">
        <v>0</v>
      </c>
      <c r="HH509">
        <v>0</v>
      </c>
      <c r="HI509">
        <v>1331</v>
      </c>
      <c r="HZ509" s="24">
        <v>2018</v>
      </c>
      <c r="IA509" s="24">
        <v>36</v>
      </c>
      <c r="IB509" s="24" t="s">
        <v>33</v>
      </c>
      <c r="IC509" s="24">
        <v>8705</v>
      </c>
      <c r="ID509" s="24">
        <v>8004</v>
      </c>
    </row>
    <row r="510" spans="9:238" x14ac:dyDescent="0.4">
      <c r="I510" s="305">
        <v>2018</v>
      </c>
      <c r="J510" s="306">
        <v>36</v>
      </c>
      <c r="K510" s="306" t="s">
        <v>33</v>
      </c>
      <c r="L510" s="306">
        <v>163547</v>
      </c>
      <c r="M510" s="306">
        <v>154390</v>
      </c>
      <c r="N510" s="306">
        <v>699</v>
      </c>
      <c r="O510" s="306">
        <v>4702</v>
      </c>
      <c r="P510" s="306">
        <v>453</v>
      </c>
      <c r="Q510" s="306"/>
      <c r="R510" s="24"/>
      <c r="S510" s="24"/>
      <c r="T510" s="24"/>
      <c r="AI510" s="24"/>
      <c r="AJ510" s="24"/>
      <c r="AO510" s="24"/>
      <c r="AP510" s="24"/>
      <c r="AQ510" s="24"/>
      <c r="AR510" s="24"/>
      <c r="DD510" s="24"/>
      <c r="DE510" s="24"/>
      <c r="DF510" s="24"/>
      <c r="DG510" s="24"/>
      <c r="DJ510" s="24">
        <v>2019</v>
      </c>
      <c r="DK510" s="24">
        <v>11</v>
      </c>
      <c r="DL510" s="24" t="s">
        <v>33</v>
      </c>
      <c r="DM510" s="24">
        <v>3123</v>
      </c>
      <c r="DP510" s="24"/>
      <c r="DQ510" s="24"/>
      <c r="DR510" s="24"/>
      <c r="DS510" s="24"/>
      <c r="EI510" s="24">
        <v>2022</v>
      </c>
      <c r="EJ510" s="24">
        <v>47</v>
      </c>
      <c r="EK510" s="24" t="s">
        <v>237</v>
      </c>
      <c r="EL510" s="24" t="s">
        <v>233</v>
      </c>
      <c r="EM510" s="24" t="s">
        <v>215</v>
      </c>
      <c r="EN510" s="24">
        <v>3</v>
      </c>
      <c r="EO510" s="24"/>
      <c r="EP510" s="24"/>
      <c r="ES510" s="24">
        <v>2019</v>
      </c>
      <c r="ET510" s="24">
        <v>45</v>
      </c>
      <c r="EU510" s="24" t="s">
        <v>213</v>
      </c>
      <c r="EV510" s="24">
        <v>23</v>
      </c>
      <c r="FW510" s="24">
        <v>2018</v>
      </c>
      <c r="FX510" s="24">
        <v>35</v>
      </c>
      <c r="FY510" s="24" t="s">
        <v>32</v>
      </c>
      <c r="FZ510" s="24">
        <v>649</v>
      </c>
      <c r="GA510" s="24">
        <v>612</v>
      </c>
      <c r="GB510" s="24"/>
      <c r="GC510" s="24"/>
      <c r="GD510" s="24"/>
      <c r="GE510" s="24"/>
      <c r="GF510" s="24"/>
      <c r="GG510" s="24"/>
      <c r="GH510" s="24"/>
      <c r="GK510" s="24"/>
      <c r="GL510" s="24"/>
      <c r="GM510" s="24"/>
      <c r="GN510" s="24"/>
      <c r="GO510" s="24"/>
      <c r="GX510">
        <v>2018</v>
      </c>
      <c r="GY510">
        <v>35</v>
      </c>
      <c r="GZ510" t="s">
        <v>32</v>
      </c>
      <c r="HA510">
        <v>5317</v>
      </c>
      <c r="HB510">
        <v>5187</v>
      </c>
      <c r="HC510">
        <v>0</v>
      </c>
      <c r="HD510">
        <v>0</v>
      </c>
      <c r="HE510">
        <v>0</v>
      </c>
      <c r="HF510">
        <v>4</v>
      </c>
      <c r="HG510">
        <v>0</v>
      </c>
      <c r="HH510">
        <v>0</v>
      </c>
      <c r="HI510">
        <v>22</v>
      </c>
      <c r="HZ510" s="24">
        <v>2018</v>
      </c>
      <c r="IA510" s="24">
        <v>35</v>
      </c>
      <c r="IB510" s="24" t="s">
        <v>32</v>
      </c>
      <c r="IC510" s="24">
        <v>620</v>
      </c>
      <c r="ID510" s="24">
        <v>593</v>
      </c>
    </row>
    <row r="511" spans="9:238" x14ac:dyDescent="0.4">
      <c r="I511" s="305">
        <v>2018</v>
      </c>
      <c r="J511" s="306">
        <v>35</v>
      </c>
      <c r="K511" s="306" t="s">
        <v>32</v>
      </c>
      <c r="L511" s="306">
        <v>5158</v>
      </c>
      <c r="M511" s="306">
        <v>5000</v>
      </c>
      <c r="N511" s="306">
        <v>11</v>
      </c>
      <c r="O511" s="306">
        <v>121</v>
      </c>
      <c r="P511" s="306">
        <v>21</v>
      </c>
      <c r="Q511" s="306"/>
      <c r="R511" s="24"/>
      <c r="S511" s="24"/>
      <c r="T511" s="24"/>
      <c r="AI511" s="24"/>
      <c r="AJ511" s="24"/>
      <c r="AO511" s="24"/>
      <c r="AP511" s="24"/>
      <c r="AQ511" s="24"/>
      <c r="AR511" s="24"/>
      <c r="DD511" s="24"/>
      <c r="DE511" s="24"/>
      <c r="DF511" s="24"/>
      <c r="DG511" s="24"/>
      <c r="DJ511" s="24">
        <v>2019</v>
      </c>
      <c r="DK511" s="24">
        <v>10</v>
      </c>
      <c r="DL511" s="24" t="s">
        <v>32</v>
      </c>
      <c r="DM511" s="24">
        <v>22</v>
      </c>
      <c r="DP511" s="24"/>
      <c r="DQ511" s="24"/>
      <c r="DR511" s="24"/>
      <c r="DS511" s="24"/>
      <c r="EI511" s="24">
        <v>2022</v>
      </c>
      <c r="EJ511" s="24">
        <v>47</v>
      </c>
      <c r="EK511" s="24" t="s">
        <v>237</v>
      </c>
      <c r="EL511" s="24" t="s">
        <v>554</v>
      </c>
      <c r="EM511" s="24" t="s">
        <v>215</v>
      </c>
      <c r="EN511" s="24">
        <v>1</v>
      </c>
      <c r="EO511" s="24"/>
      <c r="EP511" s="24"/>
      <c r="ES511" s="24">
        <v>2019</v>
      </c>
      <c r="ET511" s="24">
        <v>44</v>
      </c>
      <c r="EU511" s="24" t="s">
        <v>32</v>
      </c>
      <c r="EV511" s="24">
        <v>3577</v>
      </c>
      <c r="FW511" s="24">
        <v>2018</v>
      </c>
      <c r="FX511" s="24">
        <v>35</v>
      </c>
      <c r="FY511" s="24" t="s">
        <v>33</v>
      </c>
      <c r="FZ511" s="24">
        <v>9025</v>
      </c>
      <c r="GA511" s="24">
        <v>8093</v>
      </c>
      <c r="GB511" s="24"/>
      <c r="GC511" s="24"/>
      <c r="GD511" s="24"/>
      <c r="GE511" s="24"/>
      <c r="GF511" s="24"/>
      <c r="GG511" s="24"/>
      <c r="GH511" s="24"/>
      <c r="GK511" s="24"/>
      <c r="GL511" s="24"/>
      <c r="GM511" s="24"/>
      <c r="GN511" s="24"/>
      <c r="GO511" s="24"/>
      <c r="GX511">
        <v>2018</v>
      </c>
      <c r="GY511">
        <v>35</v>
      </c>
      <c r="GZ511" t="s">
        <v>33</v>
      </c>
      <c r="HA511">
        <v>140537</v>
      </c>
      <c r="HB511">
        <v>136425</v>
      </c>
      <c r="HC511">
        <v>237</v>
      </c>
      <c r="HD511">
        <v>25</v>
      </c>
      <c r="HE511">
        <v>0</v>
      </c>
      <c r="HF511">
        <v>2202</v>
      </c>
      <c r="HG511">
        <v>0</v>
      </c>
      <c r="HH511">
        <v>0</v>
      </c>
      <c r="HI511">
        <v>648</v>
      </c>
      <c r="HZ511" s="24">
        <v>2018</v>
      </c>
      <c r="IA511" s="24">
        <v>35</v>
      </c>
      <c r="IB511" s="24" t="s">
        <v>33</v>
      </c>
      <c r="IC511" s="24">
        <v>9048</v>
      </c>
      <c r="ID511" s="24">
        <v>8090</v>
      </c>
    </row>
    <row r="512" spans="9:238" x14ac:dyDescent="0.4">
      <c r="I512" s="305">
        <v>2018</v>
      </c>
      <c r="J512" s="306">
        <v>35</v>
      </c>
      <c r="K512" s="306" t="s">
        <v>33</v>
      </c>
      <c r="L512" s="306">
        <v>138979</v>
      </c>
      <c r="M512" s="306">
        <v>131534</v>
      </c>
      <c r="N512" s="306">
        <v>206</v>
      </c>
      <c r="O512" s="306">
        <v>4086</v>
      </c>
      <c r="P512" s="306">
        <v>339</v>
      </c>
      <c r="Q512" s="306">
        <v>5</v>
      </c>
      <c r="R512" s="24"/>
      <c r="S512" s="24"/>
      <c r="T512" s="24"/>
      <c r="AI512" s="24"/>
      <c r="AJ512" s="24"/>
      <c r="AO512" s="24"/>
      <c r="AP512" s="24"/>
      <c r="AQ512" s="24"/>
      <c r="AR512" s="24"/>
      <c r="DD512" s="24"/>
      <c r="DE512" s="24"/>
      <c r="DF512" s="24"/>
      <c r="DG512" s="24"/>
      <c r="DJ512" s="24">
        <v>2019</v>
      </c>
      <c r="DK512" s="24">
        <v>10</v>
      </c>
      <c r="DL512" s="24" t="s">
        <v>33</v>
      </c>
      <c r="DM512" s="24">
        <v>2296</v>
      </c>
      <c r="DP512" s="24"/>
      <c r="DQ512" s="24"/>
      <c r="DR512" s="24"/>
      <c r="DS512" s="24"/>
      <c r="EI512" s="24">
        <v>2022</v>
      </c>
      <c r="EJ512" s="24">
        <v>47</v>
      </c>
      <c r="EK512" s="24" t="s">
        <v>237</v>
      </c>
      <c r="EL512" s="24" t="s">
        <v>235</v>
      </c>
      <c r="EM512" s="24" t="s">
        <v>215</v>
      </c>
      <c r="EN512" s="24">
        <v>4</v>
      </c>
      <c r="EO512" s="24"/>
      <c r="EP512" s="24"/>
      <c r="ES512" s="24">
        <v>2019</v>
      </c>
      <c r="ET512" s="24">
        <v>44</v>
      </c>
      <c r="EU512" s="24" t="s">
        <v>33</v>
      </c>
      <c r="EV512" s="24">
        <v>78239</v>
      </c>
      <c r="FW512" s="24">
        <v>2018</v>
      </c>
      <c r="FX512" s="24">
        <v>34</v>
      </c>
      <c r="FY512" s="24" t="s">
        <v>32</v>
      </c>
      <c r="FZ512" s="24">
        <v>650</v>
      </c>
      <c r="GA512" s="24">
        <v>583</v>
      </c>
      <c r="GB512" s="24"/>
      <c r="GC512" s="24"/>
      <c r="GD512" s="24"/>
      <c r="GE512" s="24"/>
      <c r="GF512" s="24"/>
      <c r="GG512" s="24"/>
      <c r="GH512" s="24"/>
      <c r="GK512" s="24"/>
      <c r="GL512" s="24"/>
      <c r="GM512" s="24"/>
      <c r="GN512" s="24"/>
      <c r="GO512" s="24"/>
      <c r="GX512">
        <v>2018</v>
      </c>
      <c r="GY512">
        <v>34</v>
      </c>
      <c r="GZ512" t="s">
        <v>32</v>
      </c>
      <c r="HA512">
        <v>4813</v>
      </c>
      <c r="HB512">
        <v>4589</v>
      </c>
      <c r="HC512">
        <v>0</v>
      </c>
      <c r="HD512">
        <v>0</v>
      </c>
      <c r="HE512">
        <v>0</v>
      </c>
      <c r="HF512">
        <v>29</v>
      </c>
      <c r="HG512">
        <v>0</v>
      </c>
      <c r="HH512">
        <v>0</v>
      </c>
      <c r="HI512">
        <v>80</v>
      </c>
      <c r="HZ512" s="24">
        <v>2018</v>
      </c>
      <c r="IA512" s="24">
        <v>34</v>
      </c>
      <c r="IB512" s="24" t="s">
        <v>32</v>
      </c>
      <c r="IC512" s="24">
        <v>686</v>
      </c>
      <c r="ID512" s="24">
        <v>609</v>
      </c>
    </row>
    <row r="513" spans="9:238" x14ac:dyDescent="0.4">
      <c r="I513" s="305">
        <v>2018</v>
      </c>
      <c r="J513" s="306">
        <v>34</v>
      </c>
      <c r="K513" s="306" t="s">
        <v>32</v>
      </c>
      <c r="L513" s="306">
        <v>5058</v>
      </c>
      <c r="M513" s="306">
        <v>4857</v>
      </c>
      <c r="N513" s="306">
        <v>32</v>
      </c>
      <c r="O513" s="306">
        <v>171</v>
      </c>
      <c r="P513" s="306">
        <v>12</v>
      </c>
      <c r="Q513" s="306"/>
      <c r="R513" s="24"/>
      <c r="S513" s="24"/>
      <c r="T513" s="24"/>
      <c r="AI513" s="24"/>
      <c r="AJ513" s="24"/>
      <c r="AO513" s="24"/>
      <c r="AP513" s="24"/>
      <c r="AQ513" s="24"/>
      <c r="AR513" s="24"/>
      <c r="DD513" s="24"/>
      <c r="DE513" s="24"/>
      <c r="DF513" s="24"/>
      <c r="DG513" s="24"/>
      <c r="DJ513" s="24">
        <v>2019</v>
      </c>
      <c r="DK513" s="24">
        <v>9</v>
      </c>
      <c r="DL513" s="24" t="s">
        <v>32</v>
      </c>
      <c r="DM513" s="24">
        <v>10</v>
      </c>
      <c r="DP513" s="24"/>
      <c r="DQ513" s="24"/>
      <c r="DR513" s="24"/>
      <c r="DS513" s="24"/>
      <c r="EI513" s="24">
        <v>2022</v>
      </c>
      <c r="EJ513" s="24">
        <v>47</v>
      </c>
      <c r="EK513" s="24" t="s">
        <v>211</v>
      </c>
      <c r="EL513" s="24" t="s">
        <v>232</v>
      </c>
      <c r="EM513" s="24" t="s">
        <v>234</v>
      </c>
      <c r="EN513" s="24">
        <v>3</v>
      </c>
      <c r="EO513" s="24"/>
      <c r="EP513" s="24"/>
      <c r="ES513" s="24">
        <v>2019</v>
      </c>
      <c r="ET513" s="24">
        <v>44</v>
      </c>
      <c r="EU513" s="24" t="s">
        <v>213</v>
      </c>
      <c r="EV513" s="24">
        <v>33</v>
      </c>
      <c r="FW513" s="24">
        <v>2018</v>
      </c>
      <c r="FX513" s="24">
        <v>34</v>
      </c>
      <c r="FY513" s="24" t="s">
        <v>33</v>
      </c>
      <c r="FZ513" s="24">
        <v>10052</v>
      </c>
      <c r="GA513" s="24">
        <v>9250</v>
      </c>
      <c r="GB513" s="24"/>
      <c r="GC513" s="24"/>
      <c r="GD513" s="24"/>
      <c r="GE513" s="24"/>
      <c r="GF513" s="24"/>
      <c r="GG513" s="24"/>
      <c r="GH513" s="24"/>
      <c r="GK513" s="24"/>
      <c r="GL513" s="24"/>
      <c r="GM513" s="24"/>
      <c r="GN513" s="24"/>
      <c r="GO513" s="24"/>
      <c r="GX513">
        <v>2018</v>
      </c>
      <c r="GY513">
        <v>34</v>
      </c>
      <c r="GZ513" t="s">
        <v>33</v>
      </c>
      <c r="HA513">
        <v>159843</v>
      </c>
      <c r="HB513">
        <v>155943</v>
      </c>
      <c r="HC513">
        <v>265</v>
      </c>
      <c r="HD513">
        <v>46</v>
      </c>
      <c r="HE513">
        <v>0</v>
      </c>
      <c r="HF513">
        <v>1683</v>
      </c>
      <c r="HG513">
        <v>0</v>
      </c>
      <c r="HH513">
        <v>0</v>
      </c>
      <c r="HI513">
        <v>675</v>
      </c>
      <c r="HZ513" s="24">
        <v>2018</v>
      </c>
      <c r="IA513" s="24">
        <v>34</v>
      </c>
      <c r="IB513" s="24" t="s">
        <v>33</v>
      </c>
      <c r="IC513" s="24">
        <v>10143</v>
      </c>
      <c r="ID513" s="24">
        <v>9274</v>
      </c>
    </row>
    <row r="514" spans="9:238" x14ac:dyDescent="0.4">
      <c r="I514" s="305">
        <v>2018</v>
      </c>
      <c r="J514" s="306">
        <v>34</v>
      </c>
      <c r="K514" s="306" t="s">
        <v>33</v>
      </c>
      <c r="L514" s="306">
        <v>161473</v>
      </c>
      <c r="M514" s="306">
        <v>154009</v>
      </c>
      <c r="N514" s="306">
        <v>361</v>
      </c>
      <c r="O514" s="306">
        <v>3784</v>
      </c>
      <c r="P514" s="306">
        <v>396</v>
      </c>
      <c r="Q514" s="306"/>
      <c r="R514" s="24"/>
      <c r="S514" s="24"/>
      <c r="T514" s="24"/>
      <c r="AI514" s="24"/>
      <c r="AJ514" s="24"/>
      <c r="AO514" s="24"/>
      <c r="AP514" s="24"/>
      <c r="AQ514" s="24"/>
      <c r="AR514" s="24"/>
      <c r="DD514" s="24"/>
      <c r="DE514" s="24"/>
      <c r="DF514" s="24"/>
      <c r="DG514" s="24"/>
      <c r="DJ514" s="24">
        <v>2019</v>
      </c>
      <c r="DK514" s="24">
        <v>9</v>
      </c>
      <c r="DL514" s="24" t="s">
        <v>33</v>
      </c>
      <c r="DM514" s="24">
        <v>2025</v>
      </c>
      <c r="DP514" s="24"/>
      <c r="DQ514" s="24"/>
      <c r="DR514" s="24"/>
      <c r="DS514" s="24"/>
      <c r="EI514" s="24">
        <v>2022</v>
      </c>
      <c r="EJ514" s="24">
        <v>47</v>
      </c>
      <c r="EK514" s="24" t="s">
        <v>211</v>
      </c>
      <c r="EL514" s="24" t="s">
        <v>212</v>
      </c>
      <c r="EM514" s="24" t="s">
        <v>210</v>
      </c>
      <c r="EN514" s="24">
        <v>9</v>
      </c>
      <c r="EO514" s="24"/>
      <c r="EP514" s="24"/>
      <c r="ES514" s="24">
        <v>2019</v>
      </c>
      <c r="ET514" s="24">
        <v>43</v>
      </c>
      <c r="EU514" s="24" t="s">
        <v>32</v>
      </c>
      <c r="EV514" s="24">
        <v>3807</v>
      </c>
      <c r="FW514" s="24">
        <v>2018</v>
      </c>
      <c r="FX514" s="24">
        <v>33</v>
      </c>
      <c r="FY514" s="24" t="s">
        <v>32</v>
      </c>
      <c r="FZ514" s="24">
        <v>573</v>
      </c>
      <c r="GA514" s="24">
        <v>481</v>
      </c>
      <c r="GB514" s="24"/>
      <c r="GC514" s="24"/>
      <c r="GD514" s="24"/>
      <c r="GE514" s="24"/>
      <c r="GF514" s="24"/>
      <c r="GG514" s="24"/>
      <c r="GH514" s="24"/>
      <c r="GK514" s="24"/>
      <c r="GL514" s="24"/>
      <c r="GM514" s="24"/>
      <c r="GN514" s="24"/>
      <c r="GO514" s="24"/>
      <c r="GX514">
        <v>2018</v>
      </c>
      <c r="GY514">
        <v>33</v>
      </c>
      <c r="GZ514" t="s">
        <v>32</v>
      </c>
      <c r="HA514">
        <v>7031</v>
      </c>
      <c r="HB514">
        <v>5489</v>
      </c>
      <c r="HC514">
        <v>0</v>
      </c>
      <c r="HD514">
        <v>18</v>
      </c>
      <c r="HE514">
        <v>0</v>
      </c>
      <c r="HF514">
        <v>5</v>
      </c>
      <c r="HG514">
        <v>0</v>
      </c>
      <c r="HH514">
        <v>0</v>
      </c>
      <c r="HI514">
        <v>243</v>
      </c>
      <c r="HZ514" s="24">
        <v>2018</v>
      </c>
      <c r="IA514" s="24">
        <v>33</v>
      </c>
      <c r="IB514" s="24" t="s">
        <v>32</v>
      </c>
      <c r="IC514" s="24">
        <v>504</v>
      </c>
      <c r="ID514" s="24">
        <v>431</v>
      </c>
    </row>
    <row r="515" spans="9:238" x14ac:dyDescent="0.4">
      <c r="I515" s="305">
        <v>2018</v>
      </c>
      <c r="J515" s="306">
        <v>33</v>
      </c>
      <c r="K515" s="306" t="s">
        <v>32</v>
      </c>
      <c r="L515" s="306">
        <v>6893</v>
      </c>
      <c r="M515" s="306">
        <v>5299</v>
      </c>
      <c r="N515" s="306">
        <v>68</v>
      </c>
      <c r="O515" s="306">
        <v>854</v>
      </c>
      <c r="P515" s="306">
        <v>33</v>
      </c>
      <c r="Q515" s="306"/>
      <c r="R515" s="24"/>
      <c r="S515" s="24"/>
      <c r="T515" s="24"/>
      <c r="AI515" s="24"/>
      <c r="AJ515" s="24"/>
      <c r="AO515" s="24"/>
      <c r="AP515" s="24"/>
      <c r="AQ515" s="24"/>
      <c r="AR515" s="24"/>
      <c r="DD515" s="24"/>
      <c r="DE515" s="24"/>
      <c r="DF515" s="24"/>
      <c r="DG515" s="24"/>
      <c r="DJ515" s="24">
        <v>2019</v>
      </c>
      <c r="DK515" s="24">
        <v>8</v>
      </c>
      <c r="DL515" s="24" t="s">
        <v>32</v>
      </c>
      <c r="DM515" s="24">
        <v>12</v>
      </c>
      <c r="DP515" s="24"/>
      <c r="DQ515" s="24"/>
      <c r="DR515" s="24"/>
      <c r="DS515" s="24"/>
      <c r="EI515" s="24">
        <v>2022</v>
      </c>
      <c r="EJ515" s="24">
        <v>47</v>
      </c>
      <c r="EK515" s="24" t="s">
        <v>211</v>
      </c>
      <c r="EL515" s="24" t="s">
        <v>212</v>
      </c>
      <c r="EM515" s="24" t="s">
        <v>234</v>
      </c>
      <c r="EN515" s="24">
        <v>9</v>
      </c>
      <c r="EO515" s="24"/>
      <c r="EP515" s="24"/>
      <c r="ES515" s="24">
        <v>2019</v>
      </c>
      <c r="ET515" s="24">
        <v>43</v>
      </c>
      <c r="EU515" s="24" t="s">
        <v>33</v>
      </c>
      <c r="EV515" s="24">
        <v>93817</v>
      </c>
      <c r="FW515" s="24">
        <v>2018</v>
      </c>
      <c r="FX515" s="24">
        <v>33</v>
      </c>
      <c r="FY515" s="24" t="s">
        <v>33</v>
      </c>
      <c r="FZ515" s="24">
        <v>10094</v>
      </c>
      <c r="GA515" s="24">
        <v>8504</v>
      </c>
      <c r="GB515" s="24"/>
      <c r="GC515" s="24"/>
      <c r="GD515" s="24"/>
      <c r="GE515" s="24"/>
      <c r="GF515" s="24"/>
      <c r="GG515" s="24"/>
      <c r="GH515" s="24"/>
      <c r="GK515" s="24"/>
      <c r="GL515" s="24"/>
      <c r="GM515" s="24"/>
      <c r="GN515" s="24"/>
      <c r="GO515" s="24"/>
      <c r="GX515">
        <v>2018</v>
      </c>
      <c r="GY515">
        <v>33</v>
      </c>
      <c r="GZ515" t="s">
        <v>33</v>
      </c>
      <c r="HA515">
        <v>167208</v>
      </c>
      <c r="HB515">
        <v>161479</v>
      </c>
      <c r="HC515">
        <v>520</v>
      </c>
      <c r="HD515">
        <v>24</v>
      </c>
      <c r="HE515">
        <v>0</v>
      </c>
      <c r="HF515">
        <v>3105</v>
      </c>
      <c r="HG515">
        <v>0</v>
      </c>
      <c r="HH515">
        <v>0</v>
      </c>
      <c r="HI515">
        <v>1412</v>
      </c>
      <c r="HZ515" s="24">
        <v>2018</v>
      </c>
      <c r="IA515" s="24">
        <v>33</v>
      </c>
      <c r="IB515" s="24" t="s">
        <v>33</v>
      </c>
      <c r="IC515" s="24">
        <v>10015</v>
      </c>
      <c r="ID515" s="24">
        <v>8470</v>
      </c>
    </row>
    <row r="516" spans="9:238" x14ac:dyDescent="0.4">
      <c r="I516" s="305">
        <v>2018</v>
      </c>
      <c r="J516" s="306">
        <v>33</v>
      </c>
      <c r="K516" s="306" t="s">
        <v>33</v>
      </c>
      <c r="L516" s="306">
        <v>167613</v>
      </c>
      <c r="M516" s="306">
        <v>157985</v>
      </c>
      <c r="N516" s="306">
        <v>655</v>
      </c>
      <c r="O516" s="306">
        <v>4973</v>
      </c>
      <c r="P516" s="306">
        <v>693</v>
      </c>
      <c r="Q516" s="306"/>
      <c r="R516" s="24"/>
      <c r="S516" s="24"/>
      <c r="T516" s="24"/>
      <c r="AI516" s="24"/>
      <c r="AJ516" s="24"/>
      <c r="AO516" s="24"/>
      <c r="AP516" s="24"/>
      <c r="AQ516" s="24"/>
      <c r="AR516" s="24"/>
      <c r="DD516" s="24"/>
      <c r="DE516" s="24"/>
      <c r="DF516" s="24"/>
      <c r="DG516" s="24"/>
      <c r="DJ516" s="24">
        <v>2019</v>
      </c>
      <c r="DK516" s="24">
        <v>8</v>
      </c>
      <c r="DL516" s="24" t="s">
        <v>33</v>
      </c>
      <c r="DM516" s="24">
        <v>2284</v>
      </c>
      <c r="DP516" s="24"/>
      <c r="DQ516" s="24"/>
      <c r="DR516" s="24"/>
      <c r="DS516" s="24"/>
      <c r="EI516" s="24">
        <v>2022</v>
      </c>
      <c r="EJ516" s="24">
        <v>47</v>
      </c>
      <c r="EK516" s="24" t="s">
        <v>211</v>
      </c>
      <c r="EL516" s="24" t="s">
        <v>247</v>
      </c>
      <c r="EM516" s="24" t="s">
        <v>210</v>
      </c>
      <c r="EN516" s="24">
        <v>2</v>
      </c>
      <c r="EO516" s="24"/>
      <c r="EP516" s="24"/>
      <c r="ES516" s="24">
        <v>2019</v>
      </c>
      <c r="ET516" s="24">
        <v>43</v>
      </c>
      <c r="EU516" s="24" t="s">
        <v>213</v>
      </c>
      <c r="EV516" s="24">
        <v>37</v>
      </c>
      <c r="FW516" s="24">
        <v>2018</v>
      </c>
      <c r="FX516" s="24">
        <v>32</v>
      </c>
      <c r="FY516" s="24" t="s">
        <v>32</v>
      </c>
      <c r="FZ516" s="24">
        <v>761</v>
      </c>
      <c r="GA516" s="24">
        <v>602</v>
      </c>
      <c r="GB516" s="24"/>
      <c r="GC516" s="24"/>
      <c r="GD516" s="24"/>
      <c r="GE516" s="24"/>
      <c r="GF516" s="24"/>
      <c r="GG516" s="24"/>
      <c r="GH516" s="24"/>
      <c r="GK516" s="24"/>
      <c r="GL516" s="24"/>
      <c r="GM516" s="24"/>
      <c r="GN516" s="24"/>
      <c r="GO516" s="24"/>
      <c r="GX516">
        <v>2018</v>
      </c>
      <c r="GY516">
        <v>32</v>
      </c>
      <c r="GZ516" t="s">
        <v>32</v>
      </c>
      <c r="HA516">
        <v>5481</v>
      </c>
      <c r="HB516">
        <v>5014</v>
      </c>
      <c r="HC516">
        <v>1</v>
      </c>
      <c r="HD516">
        <v>5</v>
      </c>
      <c r="HE516">
        <v>0</v>
      </c>
      <c r="HF516">
        <v>27</v>
      </c>
      <c r="HG516">
        <v>0</v>
      </c>
      <c r="HH516">
        <v>0</v>
      </c>
      <c r="HI516">
        <v>137</v>
      </c>
      <c r="HZ516" s="24">
        <v>2018</v>
      </c>
      <c r="IA516" s="24">
        <v>32</v>
      </c>
      <c r="IB516" s="24" t="s">
        <v>32</v>
      </c>
      <c r="IC516" s="24">
        <v>752</v>
      </c>
      <c r="ID516" s="24">
        <v>573</v>
      </c>
    </row>
    <row r="517" spans="9:238" x14ac:dyDescent="0.4">
      <c r="I517" s="305">
        <v>2018</v>
      </c>
      <c r="J517" s="306">
        <v>32</v>
      </c>
      <c r="K517" s="306" t="s">
        <v>32</v>
      </c>
      <c r="L517" s="306">
        <v>5529</v>
      </c>
      <c r="M517" s="306">
        <v>5100</v>
      </c>
      <c r="N517" s="306">
        <v>37</v>
      </c>
      <c r="O517" s="306">
        <v>307</v>
      </c>
      <c r="P517" s="306">
        <v>48</v>
      </c>
      <c r="Q517" s="306"/>
      <c r="R517" s="24"/>
      <c r="S517" s="24"/>
      <c r="T517" s="24"/>
      <c r="AI517" s="24"/>
      <c r="AJ517" s="24"/>
      <c r="AO517" s="24"/>
      <c r="AP517" s="24"/>
      <c r="AQ517" s="24"/>
      <c r="AR517" s="24"/>
      <c r="DD517" s="24"/>
      <c r="DE517" s="24"/>
      <c r="DF517" s="24"/>
      <c r="DG517" s="24"/>
      <c r="DJ517" s="24">
        <v>2019</v>
      </c>
      <c r="DK517" s="24">
        <v>7</v>
      </c>
      <c r="DL517" s="24" t="s">
        <v>32</v>
      </c>
      <c r="DM517" s="24">
        <v>20</v>
      </c>
      <c r="DP517" s="24"/>
      <c r="DQ517" s="24"/>
      <c r="DR517" s="24"/>
      <c r="DS517" s="24"/>
      <c r="EI517" s="24">
        <v>2022</v>
      </c>
      <c r="EJ517" s="24">
        <v>47</v>
      </c>
      <c r="EK517" s="24" t="s">
        <v>211</v>
      </c>
      <c r="EL517" s="24" t="s">
        <v>247</v>
      </c>
      <c r="EM517" s="24" t="s">
        <v>234</v>
      </c>
      <c r="EN517" s="24">
        <v>10</v>
      </c>
      <c r="EO517" s="24"/>
      <c r="EP517" s="24"/>
      <c r="ES517" s="24">
        <v>2019</v>
      </c>
      <c r="ET517" s="24">
        <v>42</v>
      </c>
      <c r="EU517" s="24" t="s">
        <v>32</v>
      </c>
      <c r="EV517" s="24">
        <v>3752</v>
      </c>
      <c r="FW517" s="24">
        <v>2018</v>
      </c>
      <c r="FX517" s="24">
        <v>32</v>
      </c>
      <c r="FY517" s="24" t="s">
        <v>33</v>
      </c>
      <c r="FZ517" s="24">
        <v>10002</v>
      </c>
      <c r="GA517" s="24">
        <v>8566</v>
      </c>
      <c r="GB517" s="24"/>
      <c r="GC517" s="24"/>
      <c r="GD517" s="24"/>
      <c r="GE517" s="24"/>
      <c r="GF517" s="24"/>
      <c r="GG517" s="24"/>
      <c r="GH517" s="24"/>
      <c r="GK517" s="24"/>
      <c r="GL517" s="24"/>
      <c r="GM517" s="24"/>
      <c r="GN517" s="24"/>
      <c r="GO517" s="24"/>
      <c r="GX517">
        <v>2018</v>
      </c>
      <c r="GY517">
        <v>32</v>
      </c>
      <c r="GZ517" t="s">
        <v>33</v>
      </c>
      <c r="HA517">
        <v>157467</v>
      </c>
      <c r="HB517">
        <v>150503</v>
      </c>
      <c r="HC517">
        <v>652</v>
      </c>
      <c r="HD517">
        <v>165</v>
      </c>
      <c r="HE517">
        <v>0</v>
      </c>
      <c r="HF517">
        <v>4015</v>
      </c>
      <c r="HG517">
        <v>0</v>
      </c>
      <c r="HH517">
        <v>0</v>
      </c>
      <c r="HI517">
        <v>1219</v>
      </c>
      <c r="HZ517" s="24">
        <v>2018</v>
      </c>
      <c r="IA517" s="24">
        <v>32</v>
      </c>
      <c r="IB517" s="24" t="s">
        <v>33</v>
      </c>
      <c r="IC517" s="24">
        <v>9863</v>
      </c>
      <c r="ID517" s="24">
        <v>8414</v>
      </c>
    </row>
    <row r="518" spans="9:238" x14ac:dyDescent="0.4">
      <c r="I518" s="305">
        <v>2018</v>
      </c>
      <c r="J518" s="306">
        <v>32</v>
      </c>
      <c r="K518" s="306" t="s">
        <v>33</v>
      </c>
      <c r="L518" s="306">
        <v>157110</v>
      </c>
      <c r="M518" s="306">
        <v>146555</v>
      </c>
      <c r="N518" s="306">
        <v>407</v>
      </c>
      <c r="O518" s="306">
        <v>5086</v>
      </c>
      <c r="P518" s="306">
        <v>705</v>
      </c>
      <c r="Q518" s="306"/>
      <c r="R518" s="24"/>
      <c r="S518" s="24"/>
      <c r="T518" s="24"/>
      <c r="AI518" s="24"/>
      <c r="AJ518" s="24"/>
      <c r="AO518" s="24"/>
      <c r="AP518" s="24"/>
      <c r="AQ518" s="24"/>
      <c r="AR518" s="24"/>
      <c r="DD518" s="24"/>
      <c r="DE518" s="24"/>
      <c r="DF518" s="24"/>
      <c r="DG518" s="24"/>
      <c r="DJ518" s="24">
        <v>2019</v>
      </c>
      <c r="DK518" s="24">
        <v>7</v>
      </c>
      <c r="DL518" s="24" t="s">
        <v>33</v>
      </c>
      <c r="DM518" s="24">
        <v>3000</v>
      </c>
      <c r="DP518" s="24"/>
      <c r="DQ518" s="24"/>
      <c r="DR518" s="24"/>
      <c r="DS518" s="24"/>
      <c r="EI518" s="24">
        <v>2022</v>
      </c>
      <c r="EJ518" s="24">
        <v>47</v>
      </c>
      <c r="EK518" s="24" t="s">
        <v>213</v>
      </c>
      <c r="EL518" s="24" t="s">
        <v>214</v>
      </c>
      <c r="EM518" s="24" t="s">
        <v>215</v>
      </c>
      <c r="EN518" s="24">
        <v>53</v>
      </c>
      <c r="EO518" s="24"/>
      <c r="EP518" s="24"/>
      <c r="ES518" s="24">
        <v>2019</v>
      </c>
      <c r="ET518" s="24">
        <v>42</v>
      </c>
      <c r="EU518" s="24" t="s">
        <v>33</v>
      </c>
      <c r="EV518" s="24">
        <v>98647</v>
      </c>
      <c r="FW518" s="24">
        <v>2018</v>
      </c>
      <c r="FX518" s="24">
        <v>31</v>
      </c>
      <c r="FY518" s="24" t="s">
        <v>32</v>
      </c>
      <c r="FZ518" s="24">
        <v>662</v>
      </c>
      <c r="GA518" s="24">
        <v>584</v>
      </c>
      <c r="GB518" s="24"/>
      <c r="GC518" s="24"/>
      <c r="GD518" s="24"/>
      <c r="GE518" s="24"/>
      <c r="GF518" s="24"/>
      <c r="GG518" s="24"/>
      <c r="GH518" s="24"/>
      <c r="GK518" s="24"/>
      <c r="GL518" s="24"/>
      <c r="GM518" s="24"/>
      <c r="GN518" s="24"/>
      <c r="GO518" s="24"/>
      <c r="GX518">
        <v>2018</v>
      </c>
      <c r="GY518">
        <v>31</v>
      </c>
      <c r="GZ518" t="s">
        <v>32</v>
      </c>
      <c r="HA518">
        <v>6140</v>
      </c>
      <c r="HB518">
        <v>5451</v>
      </c>
      <c r="HC518">
        <v>0</v>
      </c>
      <c r="HD518">
        <v>25</v>
      </c>
      <c r="HE518">
        <v>0</v>
      </c>
      <c r="HF518">
        <v>3</v>
      </c>
      <c r="HG518">
        <v>0</v>
      </c>
      <c r="HH518">
        <v>0</v>
      </c>
      <c r="HI518">
        <v>106</v>
      </c>
      <c r="HZ518" s="24">
        <v>2018</v>
      </c>
      <c r="IA518" s="24">
        <v>31</v>
      </c>
      <c r="IB518" s="24" t="s">
        <v>32</v>
      </c>
      <c r="IC518" s="24">
        <v>656</v>
      </c>
      <c r="ID518" s="24">
        <v>592</v>
      </c>
    </row>
    <row r="519" spans="9:238" x14ac:dyDescent="0.4">
      <c r="I519" s="305">
        <v>2018</v>
      </c>
      <c r="J519" s="306">
        <v>31</v>
      </c>
      <c r="K519" s="306" t="s">
        <v>32</v>
      </c>
      <c r="L519" s="306">
        <v>6656</v>
      </c>
      <c r="M519" s="306">
        <v>5752</v>
      </c>
      <c r="N519" s="306">
        <v>48</v>
      </c>
      <c r="O519" s="306">
        <v>568</v>
      </c>
      <c r="P519" s="306">
        <v>41</v>
      </c>
      <c r="Q519" s="306"/>
      <c r="R519" s="24"/>
      <c r="S519" s="24"/>
      <c r="T519" s="24"/>
      <c r="AI519" s="24"/>
      <c r="AJ519" s="24"/>
      <c r="AO519" s="24"/>
      <c r="AP519" s="24"/>
      <c r="AQ519" s="24"/>
      <c r="AR519" s="24"/>
      <c r="DD519" s="24"/>
      <c r="DE519" s="24"/>
      <c r="DF519" s="24"/>
      <c r="DG519" s="24"/>
      <c r="DJ519" s="24">
        <v>2019</v>
      </c>
      <c r="DK519" s="24">
        <v>6</v>
      </c>
      <c r="DL519" s="24" t="s">
        <v>32</v>
      </c>
      <c r="DM519" s="24">
        <v>139</v>
      </c>
      <c r="DP519" s="24"/>
      <c r="DQ519" s="24"/>
      <c r="DR519" s="24"/>
      <c r="DS519" s="24"/>
      <c r="EI519" s="24">
        <v>2022</v>
      </c>
      <c r="EJ519" s="24">
        <v>46</v>
      </c>
      <c r="EK519" s="24" t="s">
        <v>208</v>
      </c>
      <c r="EL519" s="24" t="s">
        <v>554</v>
      </c>
      <c r="EM519" s="24" t="s">
        <v>210</v>
      </c>
      <c r="EN519" s="24">
        <v>4</v>
      </c>
      <c r="EO519" s="24"/>
      <c r="EP519" s="24"/>
      <c r="ES519" s="24">
        <v>2019</v>
      </c>
      <c r="ET519" s="24">
        <v>42</v>
      </c>
      <c r="EU519" s="24" t="s">
        <v>213</v>
      </c>
      <c r="EV519" s="24">
        <v>29</v>
      </c>
      <c r="FW519" s="24">
        <v>2018</v>
      </c>
      <c r="FX519" s="24">
        <v>31</v>
      </c>
      <c r="FY519" s="24" t="s">
        <v>33</v>
      </c>
      <c r="FZ519" s="24">
        <v>10120</v>
      </c>
      <c r="GA519" s="24">
        <v>8392</v>
      </c>
      <c r="GB519" s="24"/>
      <c r="GC519" s="24"/>
      <c r="GD519" s="24"/>
      <c r="GE519" s="24"/>
      <c r="GF519" s="24"/>
      <c r="GG519" s="24"/>
      <c r="GH519" s="24"/>
      <c r="GK519" s="24"/>
      <c r="GL519" s="24"/>
      <c r="GM519" s="24"/>
      <c r="GN519" s="24"/>
      <c r="GO519" s="24"/>
      <c r="GX519">
        <v>2018</v>
      </c>
      <c r="GY519">
        <v>31</v>
      </c>
      <c r="GZ519" t="s">
        <v>33</v>
      </c>
      <c r="HA519">
        <v>154872</v>
      </c>
      <c r="HB519">
        <v>147201</v>
      </c>
      <c r="HC519">
        <v>668</v>
      </c>
      <c r="HD519">
        <v>92</v>
      </c>
      <c r="HE519">
        <v>1</v>
      </c>
      <c r="HF519">
        <v>4432</v>
      </c>
      <c r="HG519">
        <v>0</v>
      </c>
      <c r="HH519">
        <v>0</v>
      </c>
      <c r="HI519">
        <v>1236</v>
      </c>
      <c r="HZ519" s="24">
        <v>2018</v>
      </c>
      <c r="IA519" s="24">
        <v>31</v>
      </c>
      <c r="IB519" s="24" t="s">
        <v>33</v>
      </c>
      <c r="IC519" s="24">
        <v>10191</v>
      </c>
      <c r="ID519" s="24">
        <v>8498</v>
      </c>
    </row>
    <row r="520" spans="9:238" x14ac:dyDescent="0.4">
      <c r="I520" s="305">
        <v>2018</v>
      </c>
      <c r="J520" s="306">
        <v>31</v>
      </c>
      <c r="K520" s="306" t="s">
        <v>33</v>
      </c>
      <c r="L520" s="306">
        <v>154676</v>
      </c>
      <c r="M520" s="306">
        <v>143362</v>
      </c>
      <c r="N520" s="306">
        <v>311</v>
      </c>
      <c r="O520" s="306">
        <v>5674</v>
      </c>
      <c r="P520" s="306">
        <v>653</v>
      </c>
      <c r="Q520" s="306"/>
      <c r="R520" s="24"/>
      <c r="S520" s="24"/>
      <c r="T520" s="24"/>
      <c r="AI520" s="24"/>
      <c r="AJ520" s="24"/>
      <c r="AO520" s="24"/>
      <c r="AP520" s="24"/>
      <c r="AQ520" s="24"/>
      <c r="AR520" s="24"/>
      <c r="DD520" s="24"/>
      <c r="DE520" s="24"/>
      <c r="DF520" s="24"/>
      <c r="DG520" s="24"/>
      <c r="DJ520" s="24">
        <v>2019</v>
      </c>
      <c r="DK520" s="24">
        <v>6</v>
      </c>
      <c r="DL520" s="24" t="s">
        <v>33</v>
      </c>
      <c r="DM520" s="24">
        <v>2679</v>
      </c>
      <c r="DP520" s="24"/>
      <c r="DQ520" s="24"/>
      <c r="DR520" s="24"/>
      <c r="DS520" s="24"/>
      <c r="EI520" s="24">
        <v>2022</v>
      </c>
      <c r="EJ520" s="24">
        <v>46</v>
      </c>
      <c r="EK520" s="24" t="s">
        <v>208</v>
      </c>
      <c r="EL520" s="24" t="s">
        <v>351</v>
      </c>
      <c r="EM520" s="24" t="s">
        <v>234</v>
      </c>
      <c r="EN520" s="24">
        <v>9</v>
      </c>
      <c r="EO520" s="24"/>
      <c r="EP520" s="24"/>
      <c r="ES520" s="24">
        <v>2019</v>
      </c>
      <c r="ET520" s="24">
        <v>41</v>
      </c>
      <c r="EU520" s="24" t="s">
        <v>32</v>
      </c>
      <c r="EV520" s="24">
        <v>4222</v>
      </c>
      <c r="FW520" s="24">
        <v>2018</v>
      </c>
      <c r="FX520" s="24">
        <v>30</v>
      </c>
      <c r="FY520" s="24" t="s">
        <v>32</v>
      </c>
      <c r="FZ520" s="24">
        <v>583</v>
      </c>
      <c r="GA520" s="24">
        <v>471</v>
      </c>
      <c r="GB520" s="24"/>
      <c r="GC520" s="24"/>
      <c r="GD520" s="24"/>
      <c r="GE520" s="24"/>
      <c r="GF520" s="24"/>
      <c r="GG520" s="24"/>
      <c r="GH520" s="24"/>
      <c r="GK520" s="24"/>
      <c r="GL520" s="24"/>
      <c r="GM520" s="24"/>
      <c r="GN520" s="24"/>
      <c r="GO520" s="24"/>
      <c r="GX520">
        <v>2018</v>
      </c>
      <c r="GY520">
        <v>30</v>
      </c>
      <c r="GZ520" t="s">
        <v>32</v>
      </c>
      <c r="HA520">
        <v>7328</v>
      </c>
      <c r="HB520">
        <v>6259</v>
      </c>
      <c r="HC520">
        <v>0</v>
      </c>
      <c r="HD520">
        <v>5</v>
      </c>
      <c r="HE520">
        <v>0</v>
      </c>
      <c r="HF520">
        <v>18</v>
      </c>
      <c r="HG520">
        <v>0</v>
      </c>
      <c r="HH520">
        <v>0</v>
      </c>
      <c r="HI520">
        <v>263</v>
      </c>
      <c r="HZ520" s="24">
        <v>2018</v>
      </c>
      <c r="IA520" s="24">
        <v>30</v>
      </c>
      <c r="IB520" s="24" t="s">
        <v>32</v>
      </c>
      <c r="IC520" s="24">
        <v>595</v>
      </c>
      <c r="ID520" s="24">
        <v>471</v>
      </c>
    </row>
    <row r="521" spans="9:238" x14ac:dyDescent="0.4">
      <c r="I521" s="305">
        <v>2018</v>
      </c>
      <c r="J521" s="306">
        <v>30</v>
      </c>
      <c r="K521" s="306" t="s">
        <v>32</v>
      </c>
      <c r="L521" s="306">
        <v>6786</v>
      </c>
      <c r="M521" s="306">
        <v>5881</v>
      </c>
      <c r="N521" s="306">
        <v>43</v>
      </c>
      <c r="O521" s="306">
        <v>586</v>
      </c>
      <c r="P521" s="306">
        <v>37</v>
      </c>
      <c r="Q521" s="306"/>
      <c r="R521" s="24"/>
      <c r="S521" s="24"/>
      <c r="T521" s="24"/>
      <c r="AI521" s="24"/>
      <c r="AJ521" s="24"/>
      <c r="AO521" s="24"/>
      <c r="AP521" s="24"/>
      <c r="AQ521" s="24"/>
      <c r="AR521" s="24"/>
      <c r="DD521" s="24"/>
      <c r="DE521" s="24"/>
      <c r="DF521" s="24"/>
      <c r="DG521" s="24"/>
      <c r="DJ521" s="24">
        <v>2019</v>
      </c>
      <c r="DK521" s="24">
        <v>5</v>
      </c>
      <c r="DL521" s="24" t="s">
        <v>32</v>
      </c>
      <c r="DM521" s="24">
        <v>224</v>
      </c>
      <c r="DP521" s="24"/>
      <c r="DQ521" s="24"/>
      <c r="DR521" s="24"/>
      <c r="DS521" s="24"/>
      <c r="EI521" s="24">
        <v>2022</v>
      </c>
      <c r="EJ521" s="24">
        <v>46</v>
      </c>
      <c r="EK521" s="24" t="s">
        <v>208</v>
      </c>
      <c r="EL521" s="24" t="s">
        <v>351</v>
      </c>
      <c r="EM521" s="24" t="s">
        <v>215</v>
      </c>
      <c r="EN521" s="24">
        <v>6</v>
      </c>
      <c r="EO521" s="24"/>
      <c r="EP521" s="24"/>
      <c r="ES521" s="24">
        <v>2019</v>
      </c>
      <c r="ET521" s="24">
        <v>41</v>
      </c>
      <c r="EU521" s="24" t="s">
        <v>33</v>
      </c>
      <c r="EV521" s="24">
        <v>95509</v>
      </c>
      <c r="FW521" s="24">
        <v>2018</v>
      </c>
      <c r="FX521" s="24">
        <v>30</v>
      </c>
      <c r="FY521" s="24" t="s">
        <v>33</v>
      </c>
      <c r="FZ521" s="24">
        <v>9971</v>
      </c>
      <c r="GA521" s="24">
        <v>8151</v>
      </c>
      <c r="GB521" s="24"/>
      <c r="GC521" s="24"/>
      <c r="GD521" s="24"/>
      <c r="GE521" s="24"/>
      <c r="GF521" s="24"/>
      <c r="GG521" s="24"/>
      <c r="GH521" s="24"/>
      <c r="GK521" s="24"/>
      <c r="GL521" s="24"/>
      <c r="GM521" s="24"/>
      <c r="GN521" s="24"/>
      <c r="GO521" s="24"/>
      <c r="GX521">
        <v>2018</v>
      </c>
      <c r="GY521">
        <v>30</v>
      </c>
      <c r="GZ521" t="s">
        <v>33</v>
      </c>
      <c r="HA521">
        <v>161800</v>
      </c>
      <c r="HB521">
        <v>150533</v>
      </c>
      <c r="HC521">
        <v>1043</v>
      </c>
      <c r="HD521">
        <v>99</v>
      </c>
      <c r="HE521">
        <v>0</v>
      </c>
      <c r="HF521">
        <v>5564</v>
      </c>
      <c r="HG521">
        <v>0</v>
      </c>
      <c r="HH521">
        <v>0</v>
      </c>
      <c r="HI521">
        <v>2355</v>
      </c>
      <c r="HZ521" s="24">
        <v>2018</v>
      </c>
      <c r="IA521" s="24">
        <v>30</v>
      </c>
      <c r="IB521" s="24" t="s">
        <v>33</v>
      </c>
      <c r="IC521" s="24">
        <v>9850</v>
      </c>
      <c r="ID521" s="24">
        <v>7986</v>
      </c>
    </row>
    <row r="522" spans="9:238" x14ac:dyDescent="0.4">
      <c r="I522" s="305">
        <v>2018</v>
      </c>
      <c r="J522" s="306">
        <v>30</v>
      </c>
      <c r="K522" s="306" t="s">
        <v>33</v>
      </c>
      <c r="L522" s="306">
        <v>162143</v>
      </c>
      <c r="M522" s="306">
        <v>147316</v>
      </c>
      <c r="N522" s="306">
        <v>744</v>
      </c>
      <c r="O522" s="306">
        <v>7665</v>
      </c>
      <c r="P522" s="306">
        <v>723</v>
      </c>
      <c r="Q522" s="306">
        <v>1</v>
      </c>
      <c r="R522" s="24"/>
      <c r="S522" s="24"/>
      <c r="T522" s="24"/>
      <c r="AI522" s="24"/>
      <c r="AJ522" s="24"/>
      <c r="AO522" s="24"/>
      <c r="AP522" s="24"/>
      <c r="AQ522" s="24"/>
      <c r="AR522" s="24"/>
      <c r="DD522" s="24"/>
      <c r="DE522" s="24"/>
      <c r="DF522" s="24"/>
      <c r="DG522" s="24"/>
      <c r="DJ522" s="24">
        <v>2019</v>
      </c>
      <c r="DK522" s="24">
        <v>5</v>
      </c>
      <c r="DL522" s="24" t="s">
        <v>33</v>
      </c>
      <c r="DM522" s="24">
        <v>1355</v>
      </c>
      <c r="DP522" s="24"/>
      <c r="DQ522" s="24"/>
      <c r="DR522" s="24"/>
      <c r="DS522" s="24"/>
      <c r="EI522" s="24">
        <v>2022</v>
      </c>
      <c r="EJ522" s="24">
        <v>46</v>
      </c>
      <c r="EK522" s="24" t="s">
        <v>208</v>
      </c>
      <c r="EL522" s="24" t="s">
        <v>235</v>
      </c>
      <c r="EM522" s="24" t="s">
        <v>210</v>
      </c>
      <c r="EN522" s="24">
        <v>5</v>
      </c>
      <c r="EO522" s="24"/>
      <c r="EP522" s="24"/>
      <c r="ES522" s="24">
        <v>2019</v>
      </c>
      <c r="ET522" s="24">
        <v>41</v>
      </c>
      <c r="EU522" s="24" t="s">
        <v>213</v>
      </c>
      <c r="EV522" s="24">
        <v>32</v>
      </c>
      <c r="FW522" s="24">
        <v>2018</v>
      </c>
      <c r="FX522" s="24">
        <v>29</v>
      </c>
      <c r="FY522" s="24" t="s">
        <v>32</v>
      </c>
      <c r="FZ522" s="24">
        <v>570</v>
      </c>
      <c r="GA522" s="24">
        <v>540</v>
      </c>
      <c r="GB522" s="24"/>
      <c r="GC522" s="24"/>
      <c r="GD522" s="24"/>
      <c r="GE522" s="24"/>
      <c r="GF522" s="24"/>
      <c r="GG522" s="24"/>
      <c r="GH522" s="24"/>
      <c r="GK522" s="24"/>
      <c r="GL522" s="24"/>
      <c r="GM522" s="24"/>
      <c r="GN522" s="24"/>
      <c r="GO522" s="24"/>
      <c r="GX522">
        <v>2018</v>
      </c>
      <c r="GY522">
        <v>29</v>
      </c>
      <c r="GZ522" t="s">
        <v>32</v>
      </c>
      <c r="HA522">
        <v>4464</v>
      </c>
      <c r="HB522">
        <v>4338</v>
      </c>
      <c r="HC522">
        <v>0</v>
      </c>
      <c r="HD522">
        <v>8</v>
      </c>
      <c r="HE522">
        <v>0</v>
      </c>
      <c r="HF522">
        <v>0</v>
      </c>
      <c r="HG522">
        <v>0</v>
      </c>
      <c r="HH522">
        <v>0</v>
      </c>
      <c r="HI522">
        <v>37</v>
      </c>
      <c r="HZ522" s="24">
        <v>2018</v>
      </c>
      <c r="IA522" s="24">
        <v>29</v>
      </c>
      <c r="IB522" s="24" t="s">
        <v>32</v>
      </c>
      <c r="IC522" s="24">
        <v>563</v>
      </c>
      <c r="ID522" s="24">
        <v>538</v>
      </c>
    </row>
    <row r="523" spans="9:238" x14ac:dyDescent="0.4">
      <c r="I523" s="305">
        <v>2018</v>
      </c>
      <c r="J523" s="306">
        <v>29</v>
      </c>
      <c r="K523" s="306" t="s">
        <v>32</v>
      </c>
      <c r="L523" s="306">
        <v>4520</v>
      </c>
      <c r="M523" s="306">
        <v>4379</v>
      </c>
      <c r="N523" s="306">
        <v>23</v>
      </c>
      <c r="O523" s="306">
        <v>120</v>
      </c>
      <c r="P523" s="306">
        <v>19</v>
      </c>
      <c r="Q523" s="306"/>
      <c r="R523" s="24"/>
      <c r="S523" s="24"/>
      <c r="T523" s="24"/>
      <c r="AI523" s="24"/>
      <c r="AJ523" s="24"/>
      <c r="AO523" s="24"/>
      <c r="AP523" s="24"/>
      <c r="AQ523" s="24"/>
      <c r="AR523" s="24"/>
      <c r="DD523" s="24"/>
      <c r="DE523" s="24"/>
      <c r="DF523" s="24"/>
      <c r="DG523" s="24"/>
      <c r="DJ523" s="24">
        <v>2019</v>
      </c>
      <c r="DK523" s="24">
        <v>4</v>
      </c>
      <c r="DL523" s="24" t="s">
        <v>32</v>
      </c>
      <c r="DM523" s="24">
        <v>24</v>
      </c>
      <c r="DP523" s="24"/>
      <c r="DQ523" s="24"/>
      <c r="DR523" s="24"/>
      <c r="DS523" s="24"/>
      <c r="EI523" s="24">
        <v>2022</v>
      </c>
      <c r="EJ523" s="24">
        <v>46</v>
      </c>
      <c r="EK523" s="24" t="s">
        <v>208</v>
      </c>
      <c r="EL523" s="24" t="s">
        <v>235</v>
      </c>
      <c r="EM523" s="24" t="s">
        <v>234</v>
      </c>
      <c r="EN523" s="24">
        <v>16</v>
      </c>
      <c r="EO523" s="24"/>
      <c r="EP523" s="24"/>
      <c r="ES523" s="24">
        <v>2019</v>
      </c>
      <c r="ET523" s="24">
        <v>40</v>
      </c>
      <c r="EU523" s="24" t="s">
        <v>32</v>
      </c>
      <c r="EV523" s="24">
        <v>3857</v>
      </c>
      <c r="FW523" s="24">
        <v>2018</v>
      </c>
      <c r="FX523" s="24">
        <v>29</v>
      </c>
      <c r="FY523" s="24" t="s">
        <v>33</v>
      </c>
      <c r="FZ523" s="24">
        <v>9990</v>
      </c>
      <c r="GA523" s="24">
        <v>7855</v>
      </c>
      <c r="GB523" s="24"/>
      <c r="GC523" s="24"/>
      <c r="GD523" s="24"/>
      <c r="GE523" s="24"/>
      <c r="GF523" s="24"/>
      <c r="GG523" s="24"/>
      <c r="GH523" s="24"/>
      <c r="GK523" s="24"/>
      <c r="GL523" s="24"/>
      <c r="GM523" s="24"/>
      <c r="GN523" s="24"/>
      <c r="GO523" s="24"/>
      <c r="GX523">
        <v>2018</v>
      </c>
      <c r="GY523">
        <v>29</v>
      </c>
      <c r="GZ523" t="s">
        <v>33</v>
      </c>
      <c r="HA523">
        <v>174564</v>
      </c>
      <c r="HB523">
        <v>158082</v>
      </c>
      <c r="HC523">
        <v>916</v>
      </c>
      <c r="HD523">
        <v>207</v>
      </c>
      <c r="HE523">
        <v>0</v>
      </c>
      <c r="HF523">
        <v>8502</v>
      </c>
      <c r="HG523">
        <v>0</v>
      </c>
      <c r="HH523">
        <v>0</v>
      </c>
      <c r="HI523">
        <v>2681</v>
      </c>
      <c r="HZ523" s="24">
        <v>2018</v>
      </c>
      <c r="IA523" s="24">
        <v>29</v>
      </c>
      <c r="IB523" s="24" t="s">
        <v>33</v>
      </c>
      <c r="IC523" s="24">
        <v>10171</v>
      </c>
      <c r="ID523" s="24">
        <v>7954</v>
      </c>
    </row>
    <row r="524" spans="9:238" x14ac:dyDescent="0.4">
      <c r="I524" s="305">
        <v>2018</v>
      </c>
      <c r="J524" s="306">
        <v>29</v>
      </c>
      <c r="K524" s="306" t="s">
        <v>33</v>
      </c>
      <c r="L524" s="306">
        <v>175246</v>
      </c>
      <c r="M524" s="306">
        <v>154973</v>
      </c>
      <c r="N524" s="306">
        <v>657</v>
      </c>
      <c r="O524" s="306">
        <v>10390</v>
      </c>
      <c r="P524" s="306">
        <v>1070</v>
      </c>
      <c r="Q524" s="306"/>
      <c r="R524" s="24"/>
      <c r="S524" s="24"/>
      <c r="T524" s="24"/>
      <c r="AI524" s="24"/>
      <c r="AJ524" s="24"/>
      <c r="AO524" s="24"/>
      <c r="AP524" s="24"/>
      <c r="AQ524" s="24"/>
      <c r="AR524" s="24"/>
      <c r="DD524" s="24"/>
      <c r="DE524" s="24"/>
      <c r="DF524" s="24"/>
      <c r="DG524" s="24"/>
      <c r="DJ524" s="24">
        <v>2019</v>
      </c>
      <c r="DK524" s="24">
        <v>4</v>
      </c>
      <c r="DL524" s="24" t="s">
        <v>33</v>
      </c>
      <c r="DM524" s="24">
        <v>1056</v>
      </c>
      <c r="DP524" s="24"/>
      <c r="DQ524" s="24"/>
      <c r="DR524" s="24"/>
      <c r="DS524" s="24"/>
      <c r="EI524" s="24">
        <v>2022</v>
      </c>
      <c r="EJ524" s="24">
        <v>46</v>
      </c>
      <c r="EK524" s="24" t="s">
        <v>208</v>
      </c>
      <c r="EL524" s="24" t="s">
        <v>235</v>
      </c>
      <c r="EM524" s="24" t="s">
        <v>215</v>
      </c>
      <c r="EN524" s="24">
        <v>3</v>
      </c>
      <c r="EO524" s="24"/>
      <c r="EP524" s="24"/>
      <c r="ES524" s="24">
        <v>2019</v>
      </c>
      <c r="ET524" s="24">
        <v>40</v>
      </c>
      <c r="EU524" s="24" t="s">
        <v>33</v>
      </c>
      <c r="EV524" s="24">
        <v>102751</v>
      </c>
      <c r="FW524" s="24">
        <v>2018</v>
      </c>
      <c r="FX524" s="24">
        <v>28</v>
      </c>
      <c r="FY524" s="24" t="s">
        <v>32</v>
      </c>
      <c r="FZ524" s="24">
        <v>696</v>
      </c>
      <c r="GA524" s="24">
        <v>633</v>
      </c>
      <c r="GB524" s="24"/>
      <c r="GC524" s="24"/>
      <c r="GD524" s="24"/>
      <c r="GE524" s="24"/>
      <c r="GF524" s="24"/>
      <c r="GG524" s="24"/>
      <c r="GH524" s="24"/>
      <c r="GK524" s="24"/>
      <c r="GL524" s="24"/>
      <c r="GM524" s="24"/>
      <c r="GN524" s="24"/>
      <c r="GO524" s="24"/>
      <c r="GX524">
        <v>2018</v>
      </c>
      <c r="GY524">
        <v>28</v>
      </c>
      <c r="GZ524" t="s">
        <v>32</v>
      </c>
      <c r="HA524">
        <v>4489</v>
      </c>
      <c r="HB524">
        <v>4268</v>
      </c>
      <c r="HC524">
        <v>0</v>
      </c>
      <c r="HD524">
        <v>1</v>
      </c>
      <c r="HE524">
        <v>0</v>
      </c>
      <c r="HF524">
        <v>0</v>
      </c>
      <c r="HG524">
        <v>0</v>
      </c>
      <c r="HH524">
        <v>0</v>
      </c>
      <c r="HI524">
        <v>59</v>
      </c>
      <c r="HZ524" s="24">
        <v>2018</v>
      </c>
      <c r="IA524" s="24">
        <v>28</v>
      </c>
      <c r="IB524" s="24" t="s">
        <v>32</v>
      </c>
      <c r="IC524" s="24">
        <v>641</v>
      </c>
      <c r="ID524" s="24">
        <v>575</v>
      </c>
    </row>
    <row r="525" spans="9:238" x14ac:dyDescent="0.4">
      <c r="I525" s="305">
        <v>2018</v>
      </c>
      <c r="J525" s="306">
        <v>28</v>
      </c>
      <c r="K525" s="306" t="s">
        <v>32</v>
      </c>
      <c r="L525" s="306">
        <v>4547</v>
      </c>
      <c r="M525" s="306">
        <v>4324</v>
      </c>
      <c r="N525" s="306">
        <v>33</v>
      </c>
      <c r="O525" s="306">
        <v>189</v>
      </c>
      <c r="P525" s="306">
        <v>13</v>
      </c>
      <c r="Q525" s="306"/>
      <c r="R525" s="24"/>
      <c r="S525" s="24"/>
      <c r="T525" s="24"/>
      <c r="AI525" s="24"/>
      <c r="AJ525" s="24"/>
      <c r="AO525" s="24"/>
      <c r="AP525" s="24"/>
      <c r="AQ525" s="24"/>
      <c r="AR525" s="24"/>
      <c r="DD525" s="24"/>
      <c r="DE525" s="24"/>
      <c r="DF525" s="24"/>
      <c r="DG525" s="24"/>
      <c r="DJ525" s="24">
        <v>2019</v>
      </c>
      <c r="DK525" s="24">
        <v>3</v>
      </c>
      <c r="DL525" s="24" t="s">
        <v>32</v>
      </c>
      <c r="DM525" s="24">
        <v>49</v>
      </c>
      <c r="DP525" s="24"/>
      <c r="DQ525" s="24"/>
      <c r="DR525" s="24"/>
      <c r="DS525" s="24"/>
      <c r="EI525" s="24">
        <v>2022</v>
      </c>
      <c r="EJ525" s="24">
        <v>46</v>
      </c>
      <c r="EK525" s="24" t="s">
        <v>208</v>
      </c>
      <c r="EL525" s="24" t="s">
        <v>209</v>
      </c>
      <c r="EM525" s="24" t="s">
        <v>210</v>
      </c>
      <c r="EN525" s="24">
        <v>4</v>
      </c>
      <c r="EO525" s="24"/>
      <c r="EP525" s="24"/>
      <c r="ES525" s="24">
        <v>2019</v>
      </c>
      <c r="ET525" s="24">
        <v>40</v>
      </c>
      <c r="EU525" s="24" t="s">
        <v>213</v>
      </c>
      <c r="EV525" s="24">
        <v>30</v>
      </c>
      <c r="FW525" s="24">
        <v>2018</v>
      </c>
      <c r="FX525" s="24">
        <v>28</v>
      </c>
      <c r="FY525" s="24" t="s">
        <v>33</v>
      </c>
      <c r="FZ525" s="24">
        <v>9636</v>
      </c>
      <c r="GA525" s="24">
        <v>8387</v>
      </c>
      <c r="GB525" s="24"/>
      <c r="GC525" s="24"/>
      <c r="GD525" s="24"/>
      <c r="GE525" s="24"/>
      <c r="GF525" s="24"/>
      <c r="GG525" s="24"/>
      <c r="GH525" s="24"/>
      <c r="GK525" s="24"/>
      <c r="GL525" s="24"/>
      <c r="GM525" s="24"/>
      <c r="GN525" s="24"/>
      <c r="GO525" s="24"/>
      <c r="GX525">
        <v>2018</v>
      </c>
      <c r="GY525">
        <v>28</v>
      </c>
      <c r="GZ525" t="s">
        <v>33</v>
      </c>
      <c r="HA525">
        <v>161246</v>
      </c>
      <c r="HB525">
        <v>150955</v>
      </c>
      <c r="HC525">
        <v>648</v>
      </c>
      <c r="HD525">
        <v>212</v>
      </c>
      <c r="HE525">
        <v>1</v>
      </c>
      <c r="HF525">
        <v>5234</v>
      </c>
      <c r="HG525">
        <v>0</v>
      </c>
      <c r="HH525">
        <v>0</v>
      </c>
      <c r="HI525">
        <v>1774</v>
      </c>
      <c r="HZ525" s="24">
        <v>2018</v>
      </c>
      <c r="IA525" s="24">
        <v>28</v>
      </c>
      <c r="IB525" s="24" t="s">
        <v>33</v>
      </c>
      <c r="IC525" s="24">
        <v>9627</v>
      </c>
      <c r="ID525" s="24">
        <v>8409</v>
      </c>
    </row>
    <row r="526" spans="9:238" x14ac:dyDescent="0.4">
      <c r="I526" s="305">
        <v>2018</v>
      </c>
      <c r="J526" s="306">
        <v>28</v>
      </c>
      <c r="K526" s="306" t="s">
        <v>33</v>
      </c>
      <c r="L526" s="306">
        <v>160121</v>
      </c>
      <c r="M526" s="306">
        <v>146498</v>
      </c>
      <c r="N526" s="306">
        <v>524</v>
      </c>
      <c r="O526" s="306">
        <v>6961</v>
      </c>
      <c r="P526" s="306">
        <v>535</v>
      </c>
      <c r="Q526" s="306"/>
      <c r="R526" s="24"/>
      <c r="S526" s="24"/>
      <c r="T526" s="24"/>
      <c r="AI526" s="24"/>
      <c r="AJ526" s="24"/>
      <c r="AO526" s="24"/>
      <c r="AP526" s="24"/>
      <c r="AQ526" s="24"/>
      <c r="AR526" s="24"/>
      <c r="DD526" s="24"/>
      <c r="DE526" s="24"/>
      <c r="DF526" s="24"/>
      <c r="DG526" s="24"/>
      <c r="DJ526" s="24">
        <v>2019</v>
      </c>
      <c r="DK526" s="24">
        <v>3</v>
      </c>
      <c r="DL526" s="24" t="s">
        <v>33</v>
      </c>
      <c r="DM526" s="24">
        <v>1252</v>
      </c>
      <c r="DP526" s="24"/>
      <c r="DQ526" s="24"/>
      <c r="DR526" s="24"/>
      <c r="DS526" s="24"/>
      <c r="EI526" s="24">
        <v>2022</v>
      </c>
      <c r="EJ526" s="24">
        <v>46</v>
      </c>
      <c r="EK526" s="24" t="s">
        <v>208</v>
      </c>
      <c r="EL526" s="24" t="s">
        <v>209</v>
      </c>
      <c r="EM526" s="24" t="s">
        <v>215</v>
      </c>
      <c r="EN526" s="24">
        <v>1</v>
      </c>
      <c r="EO526" s="24"/>
      <c r="EP526" s="24"/>
      <c r="ES526" s="24">
        <v>2019</v>
      </c>
      <c r="ET526" s="24">
        <v>39</v>
      </c>
      <c r="EU526" s="24" t="s">
        <v>32</v>
      </c>
      <c r="EV526" s="24">
        <v>3464</v>
      </c>
      <c r="FW526" s="24">
        <v>2018</v>
      </c>
      <c r="FX526" s="24">
        <v>27</v>
      </c>
      <c r="FY526" s="24" t="s">
        <v>32</v>
      </c>
      <c r="FZ526" s="24">
        <v>445</v>
      </c>
      <c r="GA526" s="24">
        <v>402</v>
      </c>
      <c r="GB526" s="24"/>
      <c r="GC526" s="24"/>
      <c r="GD526" s="24"/>
      <c r="GE526" s="24"/>
      <c r="GF526" s="24"/>
      <c r="GG526" s="24"/>
      <c r="GH526" s="24"/>
      <c r="GK526" s="24"/>
      <c r="GL526" s="24"/>
      <c r="GM526" s="24"/>
      <c r="GN526" s="24"/>
      <c r="GO526" s="24"/>
      <c r="GX526">
        <v>2018</v>
      </c>
      <c r="GY526">
        <v>27</v>
      </c>
      <c r="GZ526" t="s">
        <v>32</v>
      </c>
      <c r="HA526">
        <v>4247</v>
      </c>
      <c r="HB526">
        <v>4071</v>
      </c>
      <c r="HC526">
        <v>0</v>
      </c>
      <c r="HD526">
        <v>1</v>
      </c>
      <c r="HE526">
        <v>0</v>
      </c>
      <c r="HF526">
        <v>0</v>
      </c>
      <c r="HG526">
        <v>0</v>
      </c>
      <c r="HH526">
        <v>0</v>
      </c>
      <c r="HI526">
        <v>42</v>
      </c>
      <c r="HZ526" s="24">
        <v>2018</v>
      </c>
      <c r="IA526" s="24">
        <v>27</v>
      </c>
      <c r="IB526" s="24" t="s">
        <v>32</v>
      </c>
      <c r="IC526" s="24">
        <v>473</v>
      </c>
      <c r="ID526" s="24">
        <v>433</v>
      </c>
    </row>
    <row r="527" spans="9:238" x14ac:dyDescent="0.4">
      <c r="I527" s="305">
        <v>2018</v>
      </c>
      <c r="J527" s="306">
        <v>27</v>
      </c>
      <c r="K527" s="306" t="s">
        <v>32</v>
      </c>
      <c r="L527" s="306">
        <v>4250</v>
      </c>
      <c r="M527" s="306">
        <v>4030</v>
      </c>
      <c r="N527" s="306">
        <v>26</v>
      </c>
      <c r="O527" s="306">
        <v>199</v>
      </c>
      <c r="P527" s="306">
        <v>13</v>
      </c>
      <c r="Q527" s="306"/>
      <c r="R527" s="24"/>
      <c r="S527" s="24"/>
      <c r="T527" s="24"/>
      <c r="AI527" s="24"/>
      <c r="AJ527" s="24"/>
      <c r="AO527" s="24"/>
      <c r="AP527" s="24"/>
      <c r="AQ527" s="24"/>
      <c r="AR527" s="24"/>
      <c r="DD527" s="24"/>
      <c r="DE527" s="24"/>
      <c r="DF527" s="24"/>
      <c r="DG527" s="24"/>
      <c r="DJ527" s="24">
        <v>2019</v>
      </c>
      <c r="DK527" s="24">
        <v>2</v>
      </c>
      <c r="DL527" s="24" t="s">
        <v>32</v>
      </c>
      <c r="DM527" s="24">
        <v>2</v>
      </c>
      <c r="DP527" s="24"/>
      <c r="DQ527" s="24"/>
      <c r="DR527" s="24"/>
      <c r="DS527" s="24"/>
      <c r="EI527" s="24">
        <v>2022</v>
      </c>
      <c r="EJ527" s="24">
        <v>46</v>
      </c>
      <c r="EK527" s="24" t="s">
        <v>208</v>
      </c>
      <c r="EL527" s="24" t="s">
        <v>247</v>
      </c>
      <c r="EM527" s="24" t="s">
        <v>234</v>
      </c>
      <c r="EN527" s="24">
        <v>4</v>
      </c>
      <c r="EO527" s="24"/>
      <c r="EP527" s="24"/>
      <c r="ES527" s="24">
        <v>2019</v>
      </c>
      <c r="ET527" s="24">
        <v>39</v>
      </c>
      <c r="EU527" s="24" t="s">
        <v>33</v>
      </c>
      <c r="EV527" s="24">
        <v>103608</v>
      </c>
      <c r="FW527" s="24">
        <v>2018</v>
      </c>
      <c r="FX527" s="24">
        <v>27</v>
      </c>
      <c r="FY527" s="24" t="s">
        <v>33</v>
      </c>
      <c r="FZ527" s="24">
        <v>9368</v>
      </c>
      <c r="GA527" s="24">
        <v>8285</v>
      </c>
      <c r="GB527" s="24"/>
      <c r="GC527" s="24"/>
      <c r="GD527" s="24"/>
      <c r="GE527" s="24"/>
      <c r="GF527" s="24"/>
      <c r="GG527" s="24"/>
      <c r="GH527" s="24"/>
      <c r="GK527" s="24"/>
      <c r="GL527" s="24"/>
      <c r="GM527" s="24"/>
      <c r="GN527" s="24"/>
      <c r="GO527" s="24"/>
      <c r="GX527">
        <v>2018</v>
      </c>
      <c r="GY527">
        <v>27</v>
      </c>
      <c r="GZ527" t="s">
        <v>33</v>
      </c>
      <c r="HA527">
        <v>153952</v>
      </c>
      <c r="HB527">
        <v>144691</v>
      </c>
      <c r="HC527">
        <v>678</v>
      </c>
      <c r="HD527">
        <v>133</v>
      </c>
      <c r="HE527">
        <v>1</v>
      </c>
      <c r="HF527">
        <v>4574</v>
      </c>
      <c r="HG527">
        <v>0</v>
      </c>
      <c r="HH527">
        <v>0</v>
      </c>
      <c r="HI527">
        <v>1718</v>
      </c>
      <c r="HZ527" s="24">
        <v>2018</v>
      </c>
      <c r="IA527" s="24">
        <v>27</v>
      </c>
      <c r="IB527" s="24" t="s">
        <v>33</v>
      </c>
      <c r="IC527" s="24">
        <v>9323</v>
      </c>
      <c r="ID527" s="24">
        <v>8214</v>
      </c>
    </row>
    <row r="528" spans="9:238" x14ac:dyDescent="0.4">
      <c r="I528" s="305">
        <v>2018</v>
      </c>
      <c r="J528" s="306">
        <v>27</v>
      </c>
      <c r="K528" s="306" t="s">
        <v>33</v>
      </c>
      <c r="L528" s="306">
        <v>153414</v>
      </c>
      <c r="M528" s="306">
        <v>140746</v>
      </c>
      <c r="N528" s="306">
        <v>560</v>
      </c>
      <c r="O528" s="306">
        <v>6625</v>
      </c>
      <c r="P528" s="306">
        <v>754</v>
      </c>
      <c r="Q528" s="306">
        <v>2</v>
      </c>
      <c r="R528" s="24"/>
      <c r="S528" s="24"/>
      <c r="T528" s="24"/>
      <c r="AI528" s="24"/>
      <c r="AJ528" s="24"/>
      <c r="AO528" s="24"/>
      <c r="AP528" s="24"/>
      <c r="AQ528" s="24"/>
      <c r="AR528" s="24"/>
      <c r="DD528" s="24"/>
      <c r="DE528" s="24"/>
      <c r="DF528" s="24"/>
      <c r="DG528" s="24"/>
      <c r="DJ528" s="24">
        <v>2019</v>
      </c>
      <c r="DK528" s="24">
        <v>2</v>
      </c>
      <c r="DL528" s="24" t="s">
        <v>33</v>
      </c>
      <c r="DM528" s="24">
        <v>1250</v>
      </c>
      <c r="DP528" s="24"/>
      <c r="DQ528" s="24"/>
      <c r="DR528" s="24"/>
      <c r="DS528" s="24"/>
      <c r="EI528" s="24">
        <v>2022</v>
      </c>
      <c r="EJ528" s="24">
        <v>46</v>
      </c>
      <c r="EK528" s="24" t="s">
        <v>208</v>
      </c>
      <c r="EL528" s="24" t="s">
        <v>410</v>
      </c>
      <c r="EM528" s="24" t="s">
        <v>234</v>
      </c>
      <c r="EN528" s="24">
        <v>1</v>
      </c>
      <c r="EO528" s="24"/>
      <c r="EP528" s="24"/>
      <c r="ES528" s="24">
        <v>2019</v>
      </c>
      <c r="ET528" s="24">
        <v>39</v>
      </c>
      <c r="EU528" s="24" t="s">
        <v>213</v>
      </c>
      <c r="EV528" s="24">
        <v>22</v>
      </c>
      <c r="FW528" s="24">
        <v>2018</v>
      </c>
      <c r="FX528" s="24">
        <v>26</v>
      </c>
      <c r="FY528" s="24" t="s">
        <v>32</v>
      </c>
      <c r="FZ528" s="24">
        <v>594</v>
      </c>
      <c r="GA528" s="24">
        <v>554</v>
      </c>
      <c r="GB528" s="24"/>
      <c r="GC528" s="24"/>
      <c r="GD528" s="24"/>
      <c r="GE528" s="24"/>
      <c r="GF528" s="24"/>
      <c r="GG528" s="24"/>
      <c r="GH528" s="24"/>
      <c r="GK528" s="24"/>
      <c r="GL528" s="24"/>
      <c r="GM528" s="24"/>
      <c r="GN528" s="24"/>
      <c r="GO528" s="24"/>
      <c r="GX528">
        <v>2018</v>
      </c>
      <c r="GY528">
        <v>26</v>
      </c>
      <c r="GZ528" t="s">
        <v>32</v>
      </c>
      <c r="HA528">
        <v>4443</v>
      </c>
      <c r="HB528">
        <v>4263</v>
      </c>
      <c r="HC528">
        <v>0</v>
      </c>
      <c r="HD528">
        <v>1</v>
      </c>
      <c r="HE528">
        <v>0</v>
      </c>
      <c r="HF528">
        <v>0</v>
      </c>
      <c r="HG528">
        <v>0</v>
      </c>
      <c r="HH528">
        <v>0</v>
      </c>
      <c r="HI528">
        <v>48</v>
      </c>
      <c r="HZ528" s="24">
        <v>2018</v>
      </c>
      <c r="IA528" s="24">
        <v>26</v>
      </c>
      <c r="IB528" s="24" t="s">
        <v>32</v>
      </c>
      <c r="IC528" s="24">
        <v>572</v>
      </c>
      <c r="ID528" s="24">
        <v>532</v>
      </c>
    </row>
    <row r="529" spans="9:238" x14ac:dyDescent="0.4">
      <c r="I529" s="305">
        <v>2018</v>
      </c>
      <c r="J529" s="306">
        <v>26</v>
      </c>
      <c r="K529" s="306" t="s">
        <v>32</v>
      </c>
      <c r="L529" s="306">
        <v>4499</v>
      </c>
      <c r="M529" s="306">
        <v>4305</v>
      </c>
      <c r="N529" s="306">
        <v>29</v>
      </c>
      <c r="O529" s="306">
        <v>172</v>
      </c>
      <c r="P529" s="306">
        <v>20</v>
      </c>
      <c r="Q529" s="306"/>
      <c r="R529" s="24"/>
      <c r="S529" s="24"/>
      <c r="T529" s="24"/>
      <c r="AI529" s="24"/>
      <c r="AJ529" s="24"/>
      <c r="AO529" s="24"/>
      <c r="AP529" s="24"/>
      <c r="AQ529" s="24"/>
      <c r="AR529" s="24"/>
      <c r="DD529" s="24"/>
      <c r="DE529" s="24"/>
      <c r="DF529" s="24"/>
      <c r="DG529" s="24"/>
      <c r="DJ529" s="24">
        <v>2019</v>
      </c>
      <c r="DK529" s="24">
        <v>1</v>
      </c>
      <c r="DL529" s="24" t="s">
        <v>32</v>
      </c>
      <c r="DM529" s="24">
        <v>4</v>
      </c>
      <c r="DP529" s="24"/>
      <c r="DQ529" s="24"/>
      <c r="DR529" s="24"/>
      <c r="DS529" s="24"/>
      <c r="EI529" s="24">
        <v>2022</v>
      </c>
      <c r="EJ529" s="24">
        <v>46</v>
      </c>
      <c r="EK529" s="24" t="s">
        <v>558</v>
      </c>
      <c r="EL529" s="24" t="s">
        <v>555</v>
      </c>
      <c r="EM529" s="24" t="s">
        <v>210</v>
      </c>
      <c r="EN529" s="24">
        <v>1</v>
      </c>
      <c r="EO529" s="24"/>
      <c r="EP529" s="24"/>
      <c r="ES529" s="24">
        <v>2019</v>
      </c>
      <c r="ET529" s="24">
        <v>38</v>
      </c>
      <c r="EU529" s="24" t="s">
        <v>32</v>
      </c>
      <c r="EV529" s="24">
        <v>3940</v>
      </c>
      <c r="FW529" s="24">
        <v>2018</v>
      </c>
      <c r="FX529" s="24">
        <v>26</v>
      </c>
      <c r="FY529" s="24" t="s">
        <v>33</v>
      </c>
      <c r="FZ529" s="24">
        <v>12027</v>
      </c>
      <c r="GA529" s="24">
        <v>10961</v>
      </c>
      <c r="GB529" s="24"/>
      <c r="GC529" s="24"/>
      <c r="GD529" s="24"/>
      <c r="GE529" s="24"/>
      <c r="GF529" s="24"/>
      <c r="GG529" s="24"/>
      <c r="GH529" s="24"/>
      <c r="GK529" s="24"/>
      <c r="GL529" s="24"/>
      <c r="GM529" s="24"/>
      <c r="GN529" s="24"/>
      <c r="GO529" s="24"/>
      <c r="GX529">
        <v>2018</v>
      </c>
      <c r="GY529">
        <v>26</v>
      </c>
      <c r="GZ529" t="s">
        <v>33</v>
      </c>
      <c r="HA529">
        <v>135491</v>
      </c>
      <c r="HB529">
        <v>131119</v>
      </c>
      <c r="HC529">
        <v>731</v>
      </c>
      <c r="HD529">
        <v>81</v>
      </c>
      <c r="HE529">
        <v>1</v>
      </c>
      <c r="HF529">
        <v>1540</v>
      </c>
      <c r="HG529">
        <v>0</v>
      </c>
      <c r="HH529">
        <v>0</v>
      </c>
      <c r="HI529">
        <v>832</v>
      </c>
      <c r="HZ529" s="24">
        <v>2018</v>
      </c>
      <c r="IA529" s="24">
        <v>26</v>
      </c>
      <c r="IB529" s="24" t="s">
        <v>33</v>
      </c>
      <c r="IC529" s="24">
        <v>11706</v>
      </c>
      <c r="ID529" s="24">
        <v>10672</v>
      </c>
    </row>
    <row r="530" spans="9:238" x14ac:dyDescent="0.4">
      <c r="I530" s="305">
        <v>2018</v>
      </c>
      <c r="J530" s="306">
        <v>26</v>
      </c>
      <c r="K530" s="306" t="s">
        <v>33</v>
      </c>
      <c r="L530" s="306">
        <v>136617</v>
      </c>
      <c r="M530" s="306">
        <v>129613</v>
      </c>
      <c r="N530" s="306">
        <v>418</v>
      </c>
      <c r="O530" s="306">
        <v>3682</v>
      </c>
      <c r="P530" s="306">
        <v>497</v>
      </c>
      <c r="Q530" s="306"/>
      <c r="R530" s="24"/>
      <c r="S530" s="24"/>
      <c r="T530" s="24"/>
      <c r="AI530" s="24"/>
      <c r="AJ530" s="24"/>
      <c r="AO530" s="24"/>
      <c r="AP530" s="24"/>
      <c r="AQ530" s="24"/>
      <c r="AR530" s="24"/>
      <c r="DD530" s="24"/>
      <c r="DE530" s="24"/>
      <c r="DF530" s="24"/>
      <c r="DG530" s="24"/>
      <c r="DJ530" s="24">
        <v>2019</v>
      </c>
      <c r="DK530" s="24">
        <v>1</v>
      </c>
      <c r="DL530" s="24" t="s">
        <v>32</v>
      </c>
      <c r="DM530" s="24">
        <v>139</v>
      </c>
      <c r="DP530" s="24"/>
      <c r="DQ530" s="24"/>
      <c r="DR530" s="24"/>
      <c r="DS530" s="24"/>
      <c r="EI530" s="24">
        <v>2022</v>
      </c>
      <c r="EJ530" s="24">
        <v>46</v>
      </c>
      <c r="EK530" s="24" t="s">
        <v>33</v>
      </c>
      <c r="EL530" s="24" t="s">
        <v>233</v>
      </c>
      <c r="EM530" s="24" t="s">
        <v>234</v>
      </c>
      <c r="EN530" s="24">
        <v>3</v>
      </c>
      <c r="EO530" s="24"/>
      <c r="EP530" s="24"/>
      <c r="ES530" s="24">
        <v>2019</v>
      </c>
      <c r="ET530" s="24">
        <v>38</v>
      </c>
      <c r="EU530" s="24" t="s">
        <v>33</v>
      </c>
      <c r="EV530" s="24">
        <v>99220</v>
      </c>
      <c r="FW530" s="24">
        <v>2018</v>
      </c>
      <c r="FX530" s="24">
        <v>25</v>
      </c>
      <c r="FY530" s="24" t="s">
        <v>32</v>
      </c>
      <c r="FZ530" s="24">
        <v>626</v>
      </c>
      <c r="GA530" s="24">
        <v>551</v>
      </c>
      <c r="GB530" s="24"/>
      <c r="GC530" s="24"/>
      <c r="GD530" s="24"/>
      <c r="GE530" s="24"/>
      <c r="GF530" s="24"/>
      <c r="GG530" s="24"/>
      <c r="GH530" s="24"/>
      <c r="GK530" s="24"/>
      <c r="GL530" s="24"/>
      <c r="GM530" s="24"/>
      <c r="GN530" s="24"/>
      <c r="GO530" s="24"/>
      <c r="GX530">
        <v>2018</v>
      </c>
      <c r="GY530">
        <v>25</v>
      </c>
      <c r="GZ530" t="s">
        <v>32</v>
      </c>
      <c r="HA530">
        <v>5728</v>
      </c>
      <c r="HB530">
        <v>5367</v>
      </c>
      <c r="HC530">
        <v>0</v>
      </c>
      <c r="HD530">
        <v>16</v>
      </c>
      <c r="HE530">
        <v>0</v>
      </c>
      <c r="HF530">
        <v>4</v>
      </c>
      <c r="HG530">
        <v>0</v>
      </c>
      <c r="HH530">
        <v>0</v>
      </c>
      <c r="HI530">
        <v>80</v>
      </c>
      <c r="HZ530" s="24">
        <v>2018</v>
      </c>
      <c r="IA530" s="24">
        <v>25</v>
      </c>
      <c r="IB530" s="24" t="s">
        <v>32</v>
      </c>
      <c r="IC530" s="24">
        <v>579</v>
      </c>
      <c r="ID530" s="24">
        <v>508</v>
      </c>
    </row>
    <row r="531" spans="9:238" x14ac:dyDescent="0.4">
      <c r="I531" s="305">
        <v>2018</v>
      </c>
      <c r="J531" s="306">
        <v>25</v>
      </c>
      <c r="K531" s="306" t="s">
        <v>32</v>
      </c>
      <c r="L531" s="306">
        <v>5945</v>
      </c>
      <c r="M531" s="306">
        <v>5561</v>
      </c>
      <c r="N531" s="306">
        <v>34</v>
      </c>
      <c r="O531" s="306">
        <v>296</v>
      </c>
      <c r="P531" s="306">
        <v>18</v>
      </c>
      <c r="Q531" s="306"/>
      <c r="R531" s="24"/>
      <c r="S531" s="24"/>
      <c r="T531" s="24"/>
      <c r="AI531" s="24"/>
      <c r="AJ531" s="24"/>
      <c r="AO531" s="24"/>
      <c r="AP531" s="24"/>
      <c r="AQ531" s="24"/>
      <c r="AR531" s="24"/>
      <c r="DD531" s="24"/>
      <c r="DE531" s="24"/>
      <c r="DF531" s="24"/>
      <c r="DG531" s="24"/>
      <c r="DJ531" s="24">
        <v>2019</v>
      </c>
      <c r="DK531" s="24">
        <v>1</v>
      </c>
      <c r="DL531" s="24" t="s">
        <v>33</v>
      </c>
      <c r="DM531" s="24">
        <v>1286</v>
      </c>
      <c r="DP531" s="24"/>
      <c r="DQ531" s="24"/>
      <c r="DR531" s="24"/>
      <c r="DS531" s="24"/>
      <c r="EI531" s="24">
        <v>2022</v>
      </c>
      <c r="EJ531" s="24">
        <v>46</v>
      </c>
      <c r="EK531" s="24" t="s">
        <v>33</v>
      </c>
      <c r="EL531" s="24" t="s">
        <v>233</v>
      </c>
      <c r="EM531" s="24" t="s">
        <v>215</v>
      </c>
      <c r="EN531" s="24">
        <v>2</v>
      </c>
      <c r="EO531" s="24"/>
      <c r="EP531" s="24"/>
      <c r="ES531" s="24">
        <v>2019</v>
      </c>
      <c r="ET531" s="24">
        <v>38</v>
      </c>
      <c r="EU531" s="24" t="s">
        <v>213</v>
      </c>
      <c r="EV531" s="24">
        <v>31</v>
      </c>
      <c r="FW531" s="24">
        <v>2018</v>
      </c>
      <c r="FX531" s="24">
        <v>25</v>
      </c>
      <c r="FY531" s="24" t="s">
        <v>33</v>
      </c>
      <c r="FZ531" s="24">
        <v>10664</v>
      </c>
      <c r="GA531" s="24">
        <v>8500</v>
      </c>
      <c r="GB531" s="24"/>
      <c r="GC531" s="24"/>
      <c r="GD531" s="24"/>
      <c r="GE531" s="24"/>
      <c r="GF531" s="24"/>
      <c r="GG531" s="24"/>
      <c r="GH531" s="24"/>
      <c r="GK531" s="24"/>
      <c r="GL531" s="24"/>
      <c r="GM531" s="24"/>
      <c r="GN531" s="24"/>
      <c r="GO531" s="24"/>
      <c r="GX531">
        <v>2018</v>
      </c>
      <c r="GY531">
        <v>25</v>
      </c>
      <c r="GZ531" t="s">
        <v>33</v>
      </c>
      <c r="HA531">
        <v>172545</v>
      </c>
      <c r="HB531">
        <v>159941</v>
      </c>
      <c r="HC531">
        <v>1270</v>
      </c>
      <c r="HD531">
        <v>202</v>
      </c>
      <c r="HE531">
        <v>0</v>
      </c>
      <c r="HF531">
        <v>7395</v>
      </c>
      <c r="HG531">
        <v>0</v>
      </c>
      <c r="HH531">
        <v>0</v>
      </c>
      <c r="HI531">
        <v>2415</v>
      </c>
      <c r="HZ531" s="24">
        <v>2018</v>
      </c>
      <c r="IA531" s="24">
        <v>25</v>
      </c>
      <c r="IB531" s="24" t="s">
        <v>33</v>
      </c>
      <c r="IC531" s="24">
        <v>11079</v>
      </c>
      <c r="ID531" s="24">
        <v>8862</v>
      </c>
    </row>
    <row r="532" spans="9:238" x14ac:dyDescent="0.4">
      <c r="I532" s="305">
        <v>2018</v>
      </c>
      <c r="J532" s="306">
        <v>25</v>
      </c>
      <c r="K532" s="306" t="s">
        <v>33</v>
      </c>
      <c r="L532" s="306">
        <v>172776</v>
      </c>
      <c r="M532" s="306">
        <v>156352</v>
      </c>
      <c r="N532" s="306">
        <v>759</v>
      </c>
      <c r="O532" s="306">
        <v>8328</v>
      </c>
      <c r="P532" s="306">
        <v>720</v>
      </c>
      <c r="Q532" s="306">
        <v>8</v>
      </c>
      <c r="R532" s="24"/>
      <c r="S532" s="24"/>
      <c r="T532" s="24"/>
      <c r="AI532" s="24"/>
      <c r="AJ532" s="24"/>
      <c r="AO532" s="24"/>
      <c r="AP532" s="24"/>
      <c r="AQ532" s="24"/>
      <c r="AR532" s="24"/>
      <c r="DD532" s="24"/>
      <c r="DE532" s="24"/>
      <c r="DF532" s="24"/>
      <c r="DG532" s="24"/>
      <c r="DJ532" s="24">
        <v>2019</v>
      </c>
      <c r="DK532" s="24">
        <v>1</v>
      </c>
      <c r="DL532" s="24" t="s">
        <v>33</v>
      </c>
      <c r="DM532" s="24">
        <v>1831</v>
      </c>
      <c r="DP532" s="24"/>
      <c r="DQ532" s="24"/>
      <c r="DR532" s="24"/>
      <c r="DS532" s="24"/>
      <c r="EI532" s="24">
        <v>2022</v>
      </c>
      <c r="EJ532" s="24">
        <v>46</v>
      </c>
      <c r="EK532" s="24" t="s">
        <v>33</v>
      </c>
      <c r="EL532" s="24" t="s">
        <v>247</v>
      </c>
      <c r="EM532" s="24" t="s">
        <v>234</v>
      </c>
      <c r="EN532" s="24">
        <v>1</v>
      </c>
      <c r="EO532" s="24"/>
      <c r="EP532" s="24"/>
      <c r="ES532" s="24">
        <v>2019</v>
      </c>
      <c r="ET532" s="24">
        <v>37</v>
      </c>
      <c r="EU532" s="24" t="s">
        <v>32</v>
      </c>
      <c r="EV532" s="24">
        <v>3315</v>
      </c>
      <c r="FW532" s="24">
        <v>2018</v>
      </c>
      <c r="FX532" s="24">
        <v>24</v>
      </c>
      <c r="FY532" s="24" t="s">
        <v>32</v>
      </c>
      <c r="FZ532" s="24">
        <v>674</v>
      </c>
      <c r="GA532" s="24">
        <v>626</v>
      </c>
      <c r="GB532" s="24"/>
      <c r="GC532" s="24"/>
      <c r="GD532" s="24"/>
      <c r="GE532" s="24"/>
      <c r="GF532" s="24"/>
      <c r="GG532" s="24"/>
      <c r="GH532" s="24"/>
      <c r="GK532" s="24"/>
      <c r="GL532" s="24"/>
      <c r="GM532" s="24"/>
      <c r="GN532" s="24"/>
      <c r="GO532" s="24"/>
      <c r="GX532">
        <v>2018</v>
      </c>
      <c r="GY532">
        <v>24</v>
      </c>
      <c r="GZ532" t="s">
        <v>32</v>
      </c>
      <c r="HA532">
        <v>5677</v>
      </c>
      <c r="HB532">
        <v>5459</v>
      </c>
      <c r="HC532">
        <v>0</v>
      </c>
      <c r="HD532">
        <v>7</v>
      </c>
      <c r="HE532">
        <v>0</v>
      </c>
      <c r="HF532">
        <v>0</v>
      </c>
      <c r="HG532">
        <v>0</v>
      </c>
      <c r="HH532">
        <v>0</v>
      </c>
      <c r="HI532">
        <v>82</v>
      </c>
      <c r="HZ532" s="24">
        <v>2018</v>
      </c>
      <c r="IA532" s="24">
        <v>24</v>
      </c>
      <c r="IB532" s="24" t="s">
        <v>32</v>
      </c>
      <c r="IC532" s="24">
        <v>694</v>
      </c>
      <c r="ID532" s="24">
        <v>646</v>
      </c>
    </row>
    <row r="533" spans="9:238" x14ac:dyDescent="0.4">
      <c r="I533" s="305">
        <v>2018</v>
      </c>
      <c r="J533" s="306">
        <v>24</v>
      </c>
      <c r="K533" s="306" t="s">
        <v>32</v>
      </c>
      <c r="L533" s="306">
        <v>5424</v>
      </c>
      <c r="M533" s="306">
        <v>5211</v>
      </c>
      <c r="N533" s="306">
        <v>35</v>
      </c>
      <c r="O533" s="306">
        <v>169</v>
      </c>
      <c r="P533" s="306">
        <v>8</v>
      </c>
      <c r="Q533" s="306"/>
      <c r="R533" s="24"/>
      <c r="S533" s="24"/>
      <c r="T533" s="24"/>
      <c r="AI533" s="24"/>
      <c r="AJ533" s="24"/>
      <c r="AO533" s="24"/>
      <c r="AP533" s="24"/>
      <c r="AQ533" s="24"/>
      <c r="AR533" s="24"/>
      <c r="DD533" s="24"/>
      <c r="DE533" s="24"/>
      <c r="DF533" s="24"/>
      <c r="DG533" s="24"/>
      <c r="DJ533" s="24">
        <v>2018</v>
      </c>
      <c r="DK533" s="24">
        <v>52</v>
      </c>
      <c r="DL533" s="24" t="s">
        <v>32</v>
      </c>
      <c r="DM533" s="24">
        <v>8</v>
      </c>
      <c r="DP533" s="24"/>
      <c r="DQ533" s="24"/>
      <c r="DR533" s="24"/>
      <c r="DS533" s="24"/>
      <c r="EI533" s="24">
        <v>2022</v>
      </c>
      <c r="EJ533" s="24">
        <v>46</v>
      </c>
      <c r="EK533" s="24" t="s">
        <v>237</v>
      </c>
      <c r="EL533" s="24" t="s">
        <v>555</v>
      </c>
      <c r="EM533" s="24" t="s">
        <v>210</v>
      </c>
      <c r="EN533" s="24">
        <v>8</v>
      </c>
      <c r="EO533" s="24"/>
      <c r="EP533" s="24"/>
      <c r="ES533" s="24">
        <v>2019</v>
      </c>
      <c r="ET533" s="24">
        <v>37</v>
      </c>
      <c r="EU533" s="24" t="s">
        <v>33</v>
      </c>
      <c r="EV533" s="24">
        <v>106621</v>
      </c>
      <c r="FW533" s="24">
        <v>2018</v>
      </c>
      <c r="FX533" s="24">
        <v>24</v>
      </c>
      <c r="FY533" s="24" t="s">
        <v>33</v>
      </c>
      <c r="FZ533" s="24">
        <v>10087</v>
      </c>
      <c r="GA533" s="24">
        <v>8098</v>
      </c>
      <c r="GB533" s="24"/>
      <c r="GC533" s="24"/>
      <c r="GD533" s="24"/>
      <c r="GE533" s="24"/>
      <c r="GF533" s="24"/>
      <c r="GG533" s="24"/>
      <c r="GH533" s="24"/>
      <c r="GK533" s="24"/>
      <c r="GL533" s="24"/>
      <c r="GM533" s="24"/>
      <c r="GN533" s="24"/>
      <c r="GO533" s="24"/>
      <c r="GX533">
        <v>2018</v>
      </c>
      <c r="GY533">
        <v>24</v>
      </c>
      <c r="GZ533" t="s">
        <v>33</v>
      </c>
      <c r="HA533">
        <v>174490</v>
      </c>
      <c r="HB533">
        <v>158287</v>
      </c>
      <c r="HC533">
        <v>689</v>
      </c>
      <c r="HD533">
        <v>390</v>
      </c>
      <c r="HE533">
        <v>0</v>
      </c>
      <c r="HF533">
        <v>5608</v>
      </c>
      <c r="HG533">
        <v>0</v>
      </c>
      <c r="HH533">
        <v>0</v>
      </c>
      <c r="HI533">
        <v>2744</v>
      </c>
      <c r="HZ533" s="24">
        <v>2018</v>
      </c>
      <c r="IA533" s="24">
        <v>24</v>
      </c>
      <c r="IB533" s="24" t="s">
        <v>33</v>
      </c>
      <c r="IC533" s="24">
        <v>9992</v>
      </c>
      <c r="ID533" s="24">
        <v>8014</v>
      </c>
    </row>
    <row r="534" spans="9:238" x14ac:dyDescent="0.4">
      <c r="I534" s="305">
        <v>2018</v>
      </c>
      <c r="J534" s="306">
        <v>24</v>
      </c>
      <c r="K534" s="306" t="s">
        <v>33</v>
      </c>
      <c r="L534" s="306">
        <v>174504</v>
      </c>
      <c r="M534" s="306">
        <v>154300</v>
      </c>
      <c r="N534" s="306">
        <v>777</v>
      </c>
      <c r="O534" s="306">
        <v>10581</v>
      </c>
      <c r="P534" s="306">
        <v>895</v>
      </c>
      <c r="Q534" s="306">
        <v>8</v>
      </c>
      <c r="R534" s="24"/>
      <c r="S534" s="24"/>
      <c r="T534" s="24"/>
      <c r="AI534" s="24"/>
      <c r="AJ534" s="24"/>
      <c r="AO534" s="24"/>
      <c r="AP534" s="24"/>
      <c r="AQ534" s="24"/>
      <c r="AR534" s="24"/>
      <c r="DD534" s="24"/>
      <c r="DE534" s="24"/>
      <c r="DF534" s="24"/>
      <c r="DG534" s="24"/>
      <c r="DJ534" s="24">
        <v>2018</v>
      </c>
      <c r="DK534" s="24">
        <v>52</v>
      </c>
      <c r="DL534" s="24" t="s">
        <v>33</v>
      </c>
      <c r="DM534" s="24">
        <v>2487</v>
      </c>
      <c r="DP534" s="24"/>
      <c r="DQ534" s="24"/>
      <c r="DR534" s="24"/>
      <c r="DS534" s="24"/>
      <c r="EI534" s="24">
        <v>2022</v>
      </c>
      <c r="EJ534" s="24">
        <v>46</v>
      </c>
      <c r="EK534" s="24" t="s">
        <v>237</v>
      </c>
      <c r="EL534" s="24" t="s">
        <v>557</v>
      </c>
      <c r="EM534" s="24" t="s">
        <v>210</v>
      </c>
      <c r="EN534" s="24">
        <v>1</v>
      </c>
      <c r="EO534" s="24"/>
      <c r="EP534" s="24"/>
      <c r="ES534" s="24">
        <v>2019</v>
      </c>
      <c r="ET534" s="24">
        <v>37</v>
      </c>
      <c r="EU534" s="24" t="s">
        <v>213</v>
      </c>
      <c r="EV534" s="24">
        <v>38</v>
      </c>
      <c r="FW534" s="24">
        <v>2018</v>
      </c>
      <c r="FX534" s="24">
        <v>23</v>
      </c>
      <c r="FY534" s="24" t="s">
        <v>32</v>
      </c>
      <c r="FZ534" s="24">
        <v>556</v>
      </c>
      <c r="GA534" s="24">
        <v>526</v>
      </c>
      <c r="GB534" s="24"/>
      <c r="GC534" s="24"/>
      <c r="GD534" s="24"/>
      <c r="GE534" s="24"/>
      <c r="GF534" s="24"/>
      <c r="GG534" s="24"/>
      <c r="GH534" s="24"/>
      <c r="GK534" s="24"/>
      <c r="GL534" s="24"/>
      <c r="GM534" s="24"/>
      <c r="GN534" s="24"/>
      <c r="GO534" s="24"/>
      <c r="GX534">
        <v>2018</v>
      </c>
      <c r="GY534">
        <v>23</v>
      </c>
      <c r="GZ534" t="s">
        <v>32</v>
      </c>
      <c r="HA534">
        <v>5161</v>
      </c>
      <c r="HB534">
        <v>4807</v>
      </c>
      <c r="HC534">
        <v>0</v>
      </c>
      <c r="HD534">
        <v>4</v>
      </c>
      <c r="HE534">
        <v>0</v>
      </c>
      <c r="HF534">
        <v>0</v>
      </c>
      <c r="HG534">
        <v>0</v>
      </c>
      <c r="HH534">
        <v>0</v>
      </c>
      <c r="HI534">
        <v>86</v>
      </c>
      <c r="HZ534" s="24">
        <v>2018</v>
      </c>
      <c r="IA534" s="24">
        <v>23</v>
      </c>
      <c r="IB534" s="24" t="s">
        <v>32</v>
      </c>
      <c r="IC534" s="24">
        <v>554</v>
      </c>
      <c r="ID534" s="24">
        <v>524</v>
      </c>
    </row>
    <row r="535" spans="9:238" x14ac:dyDescent="0.4">
      <c r="I535" s="305">
        <v>2018</v>
      </c>
      <c r="J535" s="306">
        <v>23</v>
      </c>
      <c r="K535" s="306" t="s">
        <v>32</v>
      </c>
      <c r="L535" s="306">
        <v>5204</v>
      </c>
      <c r="M535" s="306">
        <v>4845</v>
      </c>
      <c r="N535" s="306">
        <v>18</v>
      </c>
      <c r="O535" s="306">
        <v>277</v>
      </c>
      <c r="P535" s="306">
        <v>12</v>
      </c>
      <c r="Q535" s="306"/>
      <c r="R535" s="24"/>
      <c r="S535" s="24"/>
      <c r="T535" s="24"/>
      <c r="AI535" s="24"/>
      <c r="AJ535" s="24"/>
      <c r="AO535" s="24"/>
      <c r="AP535" s="24"/>
      <c r="AQ535" s="24"/>
      <c r="AR535" s="24"/>
      <c r="DD535" s="24"/>
      <c r="DE535" s="24"/>
      <c r="DF535" s="24"/>
      <c r="DG535" s="24"/>
      <c r="DJ535" s="24">
        <v>2018</v>
      </c>
      <c r="DK535" s="24">
        <v>51</v>
      </c>
      <c r="DL535" s="24" t="s">
        <v>32</v>
      </c>
      <c r="DM535" s="24">
        <v>57</v>
      </c>
      <c r="DP535" s="24"/>
      <c r="DQ535" s="24"/>
      <c r="DR535" s="24"/>
      <c r="DS535" s="24"/>
      <c r="EI535" s="24">
        <v>2022</v>
      </c>
      <c r="EJ535" s="24">
        <v>46</v>
      </c>
      <c r="EK535" s="24" t="s">
        <v>237</v>
      </c>
      <c r="EL535" s="24" t="s">
        <v>557</v>
      </c>
      <c r="EM535" s="24" t="s">
        <v>215</v>
      </c>
      <c r="EN535" s="24">
        <v>1</v>
      </c>
      <c r="EO535" s="24"/>
      <c r="EP535" s="24"/>
      <c r="ES535" s="24">
        <v>2019</v>
      </c>
      <c r="ET535" s="24">
        <v>36</v>
      </c>
      <c r="EU535" s="24" t="s">
        <v>32</v>
      </c>
      <c r="EV535" s="24">
        <v>3738</v>
      </c>
      <c r="FW535" s="24">
        <v>2018</v>
      </c>
      <c r="FX535" s="24">
        <v>23</v>
      </c>
      <c r="FY535" s="24" t="s">
        <v>33</v>
      </c>
      <c r="FZ535" s="24">
        <v>9131</v>
      </c>
      <c r="GA535" s="24">
        <v>6966</v>
      </c>
      <c r="GB535" s="24"/>
      <c r="GC535" s="24"/>
      <c r="GD535" s="24"/>
      <c r="GE535" s="24"/>
      <c r="GF535" s="24"/>
      <c r="GG535" s="24"/>
      <c r="GH535" s="24"/>
      <c r="GK535" s="24"/>
      <c r="GL535" s="24"/>
      <c r="GM535" s="24"/>
      <c r="GN535" s="24"/>
      <c r="GO535" s="24"/>
      <c r="GX535">
        <v>2018</v>
      </c>
      <c r="GY535">
        <v>23</v>
      </c>
      <c r="GZ535" t="s">
        <v>33</v>
      </c>
      <c r="HA535">
        <v>154902</v>
      </c>
      <c r="HB535">
        <v>140217</v>
      </c>
      <c r="HC535">
        <v>594</v>
      </c>
      <c r="HD535">
        <v>579</v>
      </c>
      <c r="HE535">
        <v>1</v>
      </c>
      <c r="HF535">
        <v>5386</v>
      </c>
      <c r="HG535">
        <v>0</v>
      </c>
      <c r="HH535">
        <v>0</v>
      </c>
      <c r="HI535">
        <v>2608</v>
      </c>
      <c r="HZ535" s="24">
        <v>2018</v>
      </c>
      <c r="IA535" s="24">
        <v>23</v>
      </c>
      <c r="IB535" s="24" t="s">
        <v>33</v>
      </c>
      <c r="IC535" s="24">
        <v>9166</v>
      </c>
      <c r="ID535" s="24">
        <v>7073</v>
      </c>
    </row>
    <row r="536" spans="9:238" x14ac:dyDescent="0.4">
      <c r="I536" s="305">
        <v>2018</v>
      </c>
      <c r="J536" s="306">
        <v>23</v>
      </c>
      <c r="K536" s="306" t="s">
        <v>33</v>
      </c>
      <c r="L536" s="306">
        <v>154121</v>
      </c>
      <c r="M536" s="306">
        <v>135686</v>
      </c>
      <c r="N536" s="306">
        <v>670</v>
      </c>
      <c r="O536" s="306">
        <v>9569</v>
      </c>
      <c r="P536" s="306">
        <v>1187</v>
      </c>
      <c r="Q536" s="306"/>
      <c r="R536" s="24"/>
      <c r="S536" s="24"/>
      <c r="T536" s="24"/>
      <c r="AI536" s="24"/>
      <c r="AJ536" s="24"/>
      <c r="AO536" s="24"/>
      <c r="AP536" s="24"/>
      <c r="AQ536" s="24"/>
      <c r="AR536" s="24"/>
      <c r="DD536" s="24"/>
      <c r="DE536" s="24"/>
      <c r="DF536" s="24"/>
      <c r="DG536" s="24"/>
      <c r="DJ536" s="24">
        <v>2018</v>
      </c>
      <c r="DK536" s="24">
        <v>51</v>
      </c>
      <c r="DL536" s="24" t="s">
        <v>33</v>
      </c>
      <c r="DM536" s="24">
        <v>872</v>
      </c>
      <c r="DP536" s="24"/>
      <c r="DQ536" s="24"/>
      <c r="DR536" s="24"/>
      <c r="DS536" s="24"/>
      <c r="EI536" s="24">
        <v>2022</v>
      </c>
      <c r="EJ536" s="24">
        <v>46</v>
      </c>
      <c r="EK536" s="24" t="s">
        <v>237</v>
      </c>
      <c r="EL536" s="24" t="s">
        <v>233</v>
      </c>
      <c r="EM536" s="24" t="s">
        <v>210</v>
      </c>
      <c r="EN536" s="24">
        <v>1</v>
      </c>
      <c r="EO536" s="24"/>
      <c r="EP536" s="24"/>
      <c r="ES536" s="24">
        <v>2019</v>
      </c>
      <c r="ET536" s="24">
        <v>36</v>
      </c>
      <c r="EU536" s="24" t="s">
        <v>33</v>
      </c>
      <c r="EV536" s="24">
        <v>107890</v>
      </c>
      <c r="FW536" s="24">
        <v>2018</v>
      </c>
      <c r="FX536" s="24">
        <v>22</v>
      </c>
      <c r="FY536" s="24" t="s">
        <v>32</v>
      </c>
      <c r="FZ536" s="24">
        <v>646</v>
      </c>
      <c r="GA536" s="24">
        <v>564</v>
      </c>
      <c r="GB536" s="24"/>
      <c r="GC536" s="24"/>
      <c r="GD536" s="24"/>
      <c r="GE536" s="24"/>
      <c r="GF536" s="24"/>
      <c r="GG536" s="24"/>
      <c r="GH536" s="24"/>
      <c r="GK536" s="24"/>
      <c r="GL536" s="24"/>
      <c r="GM536" s="24"/>
      <c r="GN536" s="24"/>
      <c r="GO536" s="24"/>
      <c r="GX536">
        <v>2018</v>
      </c>
      <c r="GY536">
        <v>22</v>
      </c>
      <c r="GZ536" t="s">
        <v>32</v>
      </c>
      <c r="HA536">
        <v>7026</v>
      </c>
      <c r="HB536">
        <v>5858</v>
      </c>
      <c r="HC536">
        <v>0</v>
      </c>
      <c r="HD536">
        <v>22</v>
      </c>
      <c r="HE536">
        <v>0</v>
      </c>
      <c r="HF536">
        <v>77</v>
      </c>
      <c r="HG536">
        <v>0</v>
      </c>
      <c r="HH536">
        <v>0</v>
      </c>
      <c r="HI536">
        <v>252</v>
      </c>
      <c r="HZ536" s="24">
        <v>2018</v>
      </c>
      <c r="IA536" s="24">
        <v>22</v>
      </c>
      <c r="IB536" s="24" t="s">
        <v>32</v>
      </c>
      <c r="IC536" s="24">
        <v>639</v>
      </c>
      <c r="ID536" s="24">
        <v>557</v>
      </c>
    </row>
    <row r="537" spans="9:238" x14ac:dyDescent="0.4">
      <c r="I537" s="305">
        <v>2018</v>
      </c>
      <c r="J537" s="306">
        <v>22</v>
      </c>
      <c r="K537" s="306" t="s">
        <v>32</v>
      </c>
      <c r="L537" s="306">
        <v>6978</v>
      </c>
      <c r="M537" s="306">
        <v>5789</v>
      </c>
      <c r="N537" s="306">
        <v>61</v>
      </c>
      <c r="O537" s="306">
        <v>935</v>
      </c>
      <c r="P537" s="306">
        <v>45</v>
      </c>
      <c r="Q537" s="306"/>
      <c r="R537" s="24"/>
      <c r="S537" s="24"/>
      <c r="T537" s="24"/>
      <c r="AI537" s="24"/>
      <c r="AJ537" s="24"/>
      <c r="AO537" s="24"/>
      <c r="AP537" s="24"/>
      <c r="AQ537" s="24"/>
      <c r="AR537" s="24"/>
      <c r="DD537" s="24"/>
      <c r="DE537" s="24"/>
      <c r="DF537" s="24"/>
      <c r="DG537" s="24"/>
      <c r="DJ537" s="24">
        <v>2018</v>
      </c>
      <c r="DK537" s="24">
        <v>50</v>
      </c>
      <c r="DL537" s="24" t="s">
        <v>32</v>
      </c>
      <c r="DM537" s="24">
        <v>33</v>
      </c>
      <c r="DP537" s="24"/>
      <c r="DQ537" s="24"/>
      <c r="DR537" s="24"/>
      <c r="DS537" s="24"/>
      <c r="EI537" s="24">
        <v>2022</v>
      </c>
      <c r="EJ537" s="24">
        <v>46</v>
      </c>
      <c r="EK537" s="24" t="s">
        <v>237</v>
      </c>
      <c r="EL537" s="24" t="s">
        <v>554</v>
      </c>
      <c r="EM537" s="24" t="s">
        <v>210</v>
      </c>
      <c r="EN537" s="24">
        <v>1</v>
      </c>
      <c r="EO537" s="24"/>
      <c r="EP537" s="24"/>
      <c r="ES537" s="24">
        <v>2019</v>
      </c>
      <c r="ET537" s="24">
        <v>36</v>
      </c>
      <c r="EU537" s="24" t="s">
        <v>213</v>
      </c>
      <c r="EV537" s="24">
        <v>25</v>
      </c>
      <c r="FW537" s="24">
        <v>2018</v>
      </c>
      <c r="FX537" s="24">
        <v>22</v>
      </c>
      <c r="FY537" s="24" t="s">
        <v>33</v>
      </c>
      <c r="FZ537" s="24">
        <v>9621</v>
      </c>
      <c r="GA537" s="24">
        <v>6983</v>
      </c>
      <c r="GB537" s="24"/>
      <c r="GC537" s="24"/>
      <c r="GD537" s="24"/>
      <c r="GE537" s="24"/>
      <c r="GF537" s="24"/>
      <c r="GG537" s="24"/>
      <c r="GH537" s="24"/>
      <c r="GK537" s="24"/>
      <c r="GL537" s="24"/>
      <c r="GM537" s="24"/>
      <c r="GN537" s="24"/>
      <c r="GO537" s="24"/>
      <c r="GX537">
        <v>2018</v>
      </c>
      <c r="GY537">
        <v>22</v>
      </c>
      <c r="GZ537" t="s">
        <v>33</v>
      </c>
      <c r="HA537">
        <v>155080</v>
      </c>
      <c r="HB537">
        <v>131852</v>
      </c>
      <c r="HC537">
        <v>787</v>
      </c>
      <c r="HD537">
        <v>519</v>
      </c>
      <c r="HE537">
        <v>1</v>
      </c>
      <c r="HF537">
        <v>5241</v>
      </c>
      <c r="HG537">
        <v>0</v>
      </c>
      <c r="HH537">
        <v>0</v>
      </c>
      <c r="HI537">
        <v>3763</v>
      </c>
      <c r="HZ537" s="24">
        <v>2018</v>
      </c>
      <c r="IA537" s="24">
        <v>22</v>
      </c>
      <c r="IB537" s="24" t="s">
        <v>33</v>
      </c>
      <c r="IC537" s="24">
        <v>9554</v>
      </c>
      <c r="ID537" s="24">
        <v>6865</v>
      </c>
    </row>
    <row r="538" spans="9:238" x14ac:dyDescent="0.4">
      <c r="I538" s="305">
        <v>2018</v>
      </c>
      <c r="J538" s="306">
        <v>22</v>
      </c>
      <c r="K538" s="306" t="s">
        <v>33</v>
      </c>
      <c r="L538" s="306">
        <v>157885</v>
      </c>
      <c r="M538" s="306">
        <v>130339</v>
      </c>
      <c r="N538" s="306">
        <v>943</v>
      </c>
      <c r="O538" s="306">
        <v>14314</v>
      </c>
      <c r="P538" s="306">
        <v>1387</v>
      </c>
      <c r="Q538" s="306">
        <v>2</v>
      </c>
      <c r="R538" s="24"/>
      <c r="S538" s="24"/>
      <c r="T538" s="24"/>
      <c r="AI538" s="24"/>
      <c r="AJ538" s="24"/>
      <c r="AO538" s="24"/>
      <c r="AP538" s="24"/>
      <c r="AQ538" s="24"/>
      <c r="AR538" s="24"/>
      <c r="DD538" s="24"/>
      <c r="DE538" s="24"/>
      <c r="DF538" s="24"/>
      <c r="DG538" s="24"/>
      <c r="DJ538" s="24">
        <v>2018</v>
      </c>
      <c r="DK538" s="24">
        <v>50</v>
      </c>
      <c r="DL538" s="24" t="s">
        <v>33</v>
      </c>
      <c r="DM538" s="24">
        <v>807</v>
      </c>
      <c r="DP538" s="24"/>
      <c r="DQ538" s="24"/>
      <c r="DR538" s="24"/>
      <c r="DS538" s="24"/>
      <c r="EI538" s="24">
        <v>2022</v>
      </c>
      <c r="EJ538" s="24">
        <v>46</v>
      </c>
      <c r="EK538" s="24" t="s">
        <v>237</v>
      </c>
      <c r="EL538" s="24" t="s">
        <v>235</v>
      </c>
      <c r="EM538" s="24" t="s">
        <v>234</v>
      </c>
      <c r="EN538" s="24">
        <v>1</v>
      </c>
      <c r="EO538" s="24"/>
      <c r="EP538" s="24"/>
      <c r="ES538" s="24">
        <v>2019</v>
      </c>
      <c r="ET538" s="24">
        <v>35</v>
      </c>
      <c r="EU538" s="24" t="s">
        <v>32</v>
      </c>
      <c r="EV538" s="24">
        <v>3223</v>
      </c>
      <c r="FW538" s="24">
        <v>2018</v>
      </c>
      <c r="FX538" s="24">
        <v>21</v>
      </c>
      <c r="FY538" s="24" t="s">
        <v>32</v>
      </c>
      <c r="FZ538" s="24">
        <v>596</v>
      </c>
      <c r="GA538" s="24">
        <v>524</v>
      </c>
      <c r="GB538" s="24"/>
      <c r="GC538" s="24"/>
      <c r="GD538" s="24"/>
      <c r="GE538" s="24"/>
      <c r="GF538" s="24"/>
      <c r="GG538" s="24"/>
      <c r="GH538" s="24"/>
      <c r="GK538" s="24"/>
      <c r="GL538" s="24"/>
      <c r="GM538" s="24"/>
      <c r="GN538" s="24"/>
      <c r="GO538" s="24"/>
      <c r="GX538">
        <v>2018</v>
      </c>
      <c r="GY538">
        <v>21</v>
      </c>
      <c r="GZ538" t="s">
        <v>32</v>
      </c>
      <c r="HA538">
        <v>5417</v>
      </c>
      <c r="HB538">
        <v>5019</v>
      </c>
      <c r="HC538">
        <v>0</v>
      </c>
      <c r="HD538">
        <v>12</v>
      </c>
      <c r="HE538">
        <v>0</v>
      </c>
      <c r="HF538">
        <v>0</v>
      </c>
      <c r="HG538">
        <v>0</v>
      </c>
      <c r="HH538">
        <v>0</v>
      </c>
      <c r="HI538">
        <v>140</v>
      </c>
      <c r="HZ538" s="24">
        <v>2018</v>
      </c>
      <c r="IA538" s="24">
        <v>21</v>
      </c>
      <c r="IB538" s="24" t="s">
        <v>32</v>
      </c>
      <c r="IC538" s="24">
        <v>586</v>
      </c>
      <c r="ID538" s="24">
        <v>515</v>
      </c>
    </row>
    <row r="539" spans="9:238" x14ac:dyDescent="0.4">
      <c r="I539" s="305">
        <v>2018</v>
      </c>
      <c r="J539" s="306">
        <v>21</v>
      </c>
      <c r="K539" s="306" t="s">
        <v>32</v>
      </c>
      <c r="L539" s="306">
        <v>5634</v>
      </c>
      <c r="M539" s="306">
        <v>5211</v>
      </c>
      <c r="N539" s="306">
        <v>27</v>
      </c>
      <c r="O539" s="306">
        <v>365</v>
      </c>
      <c r="P539" s="306">
        <v>27</v>
      </c>
      <c r="Q539" s="306"/>
      <c r="R539" s="24"/>
      <c r="S539" s="24"/>
      <c r="T539" s="24"/>
      <c r="AI539" s="24"/>
      <c r="AJ539" s="24"/>
      <c r="AO539" s="24"/>
      <c r="AP539" s="24"/>
      <c r="AQ539" s="24"/>
      <c r="AR539" s="24"/>
      <c r="DD539" s="24"/>
      <c r="DE539" s="24"/>
      <c r="DF539" s="24"/>
      <c r="DG539" s="24"/>
      <c r="DJ539" s="24">
        <v>2018</v>
      </c>
      <c r="DK539" s="24">
        <v>49</v>
      </c>
      <c r="DL539" s="24" t="s">
        <v>32</v>
      </c>
      <c r="DM539" s="24">
        <v>28</v>
      </c>
      <c r="DP539" s="24"/>
      <c r="DQ539" s="24"/>
      <c r="DR539" s="24"/>
      <c r="DS539" s="24"/>
      <c r="EI539" s="24">
        <v>2022</v>
      </c>
      <c r="EJ539" s="24">
        <v>46</v>
      </c>
      <c r="EK539" s="24" t="s">
        <v>237</v>
      </c>
      <c r="EL539" s="24" t="s">
        <v>235</v>
      </c>
      <c r="EM539" s="24" t="s">
        <v>215</v>
      </c>
      <c r="EN539" s="24">
        <v>2</v>
      </c>
      <c r="EO539" s="24"/>
      <c r="EP539" s="24"/>
      <c r="ES539" s="24">
        <v>2019</v>
      </c>
      <c r="ET539" s="24">
        <v>35</v>
      </c>
      <c r="EU539" s="24" t="s">
        <v>33</v>
      </c>
      <c r="EV539" s="24">
        <v>91322</v>
      </c>
      <c r="FW539" s="24">
        <v>2018</v>
      </c>
      <c r="FX539" s="24">
        <v>21</v>
      </c>
      <c r="FY539" s="24" t="s">
        <v>33</v>
      </c>
      <c r="FZ539" s="24">
        <v>9326</v>
      </c>
      <c r="GA539" s="24">
        <v>8143</v>
      </c>
      <c r="GB539" s="24"/>
      <c r="GC539" s="24"/>
      <c r="GD539" s="24"/>
      <c r="GE539" s="24"/>
      <c r="GF539" s="24"/>
      <c r="GG539" s="24"/>
      <c r="GH539" s="24"/>
      <c r="GK539" s="24"/>
      <c r="GL539" s="24"/>
      <c r="GM539" s="24"/>
      <c r="GN539" s="24"/>
      <c r="GO539" s="24"/>
      <c r="GX539">
        <v>2018</v>
      </c>
      <c r="GY539">
        <v>21</v>
      </c>
      <c r="GZ539" t="s">
        <v>33</v>
      </c>
      <c r="HA539">
        <v>157316</v>
      </c>
      <c r="HB539">
        <v>148192</v>
      </c>
      <c r="HC539">
        <v>380</v>
      </c>
      <c r="HD539">
        <v>272</v>
      </c>
      <c r="HE539">
        <v>0</v>
      </c>
      <c r="HF539">
        <v>3495</v>
      </c>
      <c r="HG539">
        <v>0</v>
      </c>
      <c r="HH539">
        <v>0</v>
      </c>
      <c r="HI539">
        <v>1396</v>
      </c>
      <c r="HZ539" s="24">
        <v>2018</v>
      </c>
      <c r="IA539" s="24">
        <v>21</v>
      </c>
      <c r="IB539" s="24" t="s">
        <v>33</v>
      </c>
      <c r="IC539" s="24">
        <v>9158</v>
      </c>
      <c r="ID539" s="24">
        <v>7959</v>
      </c>
    </row>
    <row r="540" spans="9:238" x14ac:dyDescent="0.4">
      <c r="I540" s="305">
        <v>2018</v>
      </c>
      <c r="J540" s="306">
        <v>21</v>
      </c>
      <c r="K540" s="306" t="s">
        <v>33</v>
      </c>
      <c r="L540" s="306">
        <v>154542</v>
      </c>
      <c r="M540" s="306">
        <v>143607</v>
      </c>
      <c r="N540" s="306">
        <v>475</v>
      </c>
      <c r="O540" s="306">
        <v>6029</v>
      </c>
      <c r="P540" s="306">
        <v>582</v>
      </c>
      <c r="Q540" s="306">
        <v>140</v>
      </c>
      <c r="R540" s="24"/>
      <c r="S540" s="24"/>
      <c r="T540" s="24"/>
      <c r="AI540" s="24"/>
      <c r="AJ540" s="24"/>
      <c r="AO540" s="24"/>
      <c r="AP540" s="24"/>
      <c r="AQ540" s="24"/>
      <c r="AR540" s="24"/>
      <c r="DD540" s="24"/>
      <c r="DE540" s="24"/>
      <c r="DF540" s="24"/>
      <c r="DG540" s="24"/>
      <c r="DJ540" s="24">
        <v>2018</v>
      </c>
      <c r="DK540" s="24">
        <v>49</v>
      </c>
      <c r="DL540" s="24" t="s">
        <v>33</v>
      </c>
      <c r="DM540" s="24">
        <v>1542</v>
      </c>
      <c r="DP540" s="24"/>
      <c r="DQ540" s="24"/>
      <c r="DR540" s="24"/>
      <c r="DS540" s="24"/>
      <c r="EI540" s="24">
        <v>2022</v>
      </c>
      <c r="EJ540" s="24">
        <v>46</v>
      </c>
      <c r="EK540" s="24" t="s">
        <v>211</v>
      </c>
      <c r="EL540" s="24" t="s">
        <v>232</v>
      </c>
      <c r="EM540" s="24" t="s">
        <v>210</v>
      </c>
      <c r="EN540" s="24">
        <v>1</v>
      </c>
      <c r="EO540" s="24"/>
      <c r="EP540" s="24"/>
      <c r="ES540" s="24">
        <v>2019</v>
      </c>
      <c r="ET540" s="24">
        <v>35</v>
      </c>
      <c r="EU540" s="24" t="s">
        <v>213</v>
      </c>
      <c r="EV540" s="24">
        <v>19</v>
      </c>
      <c r="FW540" s="24">
        <v>2018</v>
      </c>
      <c r="FX540" s="24">
        <v>20</v>
      </c>
      <c r="FY540" s="24" t="s">
        <v>32</v>
      </c>
      <c r="FZ540" s="24">
        <v>654</v>
      </c>
      <c r="GA540" s="24">
        <v>570</v>
      </c>
      <c r="GB540" s="24"/>
      <c r="GC540" s="24"/>
      <c r="GD540" s="24"/>
      <c r="GE540" s="24"/>
      <c r="GF540" s="24"/>
      <c r="GG540" s="24"/>
      <c r="GH540" s="24"/>
      <c r="GK540" s="24"/>
      <c r="GL540" s="24"/>
      <c r="GM540" s="24"/>
      <c r="GN540" s="24"/>
      <c r="GO540" s="24"/>
      <c r="GX540">
        <v>2018</v>
      </c>
      <c r="GY540">
        <v>20</v>
      </c>
      <c r="GZ540" t="s">
        <v>32</v>
      </c>
      <c r="HA540">
        <v>7074</v>
      </c>
      <c r="HB540">
        <v>6443</v>
      </c>
      <c r="HC540">
        <v>0</v>
      </c>
      <c r="HD540">
        <v>6</v>
      </c>
      <c r="HE540">
        <v>0</v>
      </c>
      <c r="HF540">
        <v>21</v>
      </c>
      <c r="HG540">
        <v>0</v>
      </c>
      <c r="HH540">
        <v>0</v>
      </c>
      <c r="HI540">
        <v>148</v>
      </c>
      <c r="HZ540" s="24">
        <v>2018</v>
      </c>
      <c r="IA540" s="24">
        <v>20</v>
      </c>
      <c r="IB540" s="24" t="s">
        <v>32</v>
      </c>
      <c r="IC540" s="24">
        <v>633</v>
      </c>
      <c r="ID540" s="24">
        <v>549</v>
      </c>
    </row>
    <row r="541" spans="9:238" x14ac:dyDescent="0.4">
      <c r="I541" s="305">
        <v>2018</v>
      </c>
      <c r="J541" s="306">
        <v>20</v>
      </c>
      <c r="K541" s="306" t="s">
        <v>32</v>
      </c>
      <c r="L541" s="306">
        <v>6949</v>
      </c>
      <c r="M541" s="306">
        <v>6345</v>
      </c>
      <c r="N541" s="306">
        <v>46</v>
      </c>
      <c r="O541" s="306">
        <v>391</v>
      </c>
      <c r="P541" s="306">
        <v>43</v>
      </c>
      <c r="Q541" s="306">
        <v>1</v>
      </c>
      <c r="R541" s="24"/>
      <c r="S541" s="24"/>
      <c r="T541" s="24"/>
      <c r="AI541" s="24"/>
      <c r="AJ541" s="24"/>
      <c r="AO541" s="24"/>
      <c r="AP541" s="24"/>
      <c r="AQ541" s="24"/>
      <c r="AR541" s="24"/>
      <c r="DD541" s="24"/>
      <c r="DE541" s="24"/>
      <c r="DF541" s="24"/>
      <c r="DG541" s="24"/>
      <c r="DJ541" s="24">
        <v>2018</v>
      </c>
      <c r="DK541" s="24">
        <v>49</v>
      </c>
      <c r="DL541" s="24"/>
      <c r="DM541" s="24">
        <v>1</v>
      </c>
      <c r="DP541" s="24"/>
      <c r="DQ541" s="24"/>
      <c r="DR541" s="24"/>
      <c r="DS541" s="24"/>
      <c r="EI541" s="24">
        <v>2022</v>
      </c>
      <c r="EJ541" s="24">
        <v>46</v>
      </c>
      <c r="EK541" s="24" t="s">
        <v>211</v>
      </c>
      <c r="EL541" s="24" t="s">
        <v>232</v>
      </c>
      <c r="EM541" s="24" t="s">
        <v>234</v>
      </c>
      <c r="EN541" s="24">
        <v>1</v>
      </c>
      <c r="EO541" s="24"/>
      <c r="EP541" s="24"/>
      <c r="ES541" s="24">
        <v>2019</v>
      </c>
      <c r="ET541" s="24">
        <v>34</v>
      </c>
      <c r="EU541" s="24" t="s">
        <v>32</v>
      </c>
      <c r="EV541" s="24">
        <v>3494</v>
      </c>
      <c r="FW541" s="24">
        <v>2018</v>
      </c>
      <c r="FX541" s="24">
        <v>20</v>
      </c>
      <c r="FY541" s="24" t="s">
        <v>33</v>
      </c>
      <c r="FZ541" s="24">
        <v>10845</v>
      </c>
      <c r="GA541" s="24">
        <v>8806</v>
      </c>
      <c r="GB541" s="24"/>
      <c r="GC541" s="24"/>
      <c r="GD541" s="24"/>
      <c r="GE541" s="24"/>
      <c r="GF541" s="24"/>
      <c r="GG541" s="24"/>
      <c r="GH541" s="24"/>
      <c r="GK541" s="24"/>
      <c r="GL541" s="24"/>
      <c r="GM541" s="24"/>
      <c r="GN541" s="24"/>
      <c r="GO541" s="24"/>
      <c r="GX541">
        <v>2018</v>
      </c>
      <c r="GY541">
        <v>20</v>
      </c>
      <c r="GZ541" t="s">
        <v>33</v>
      </c>
      <c r="HA541">
        <v>170854</v>
      </c>
      <c r="HB541">
        <v>160720</v>
      </c>
      <c r="HC541">
        <v>344</v>
      </c>
      <c r="HD541">
        <v>208</v>
      </c>
      <c r="HE541">
        <v>0</v>
      </c>
      <c r="HF541">
        <v>4920</v>
      </c>
      <c r="HG541">
        <v>0</v>
      </c>
      <c r="HH541">
        <v>0</v>
      </c>
      <c r="HI541">
        <v>1964</v>
      </c>
      <c r="HZ541" s="24">
        <v>2018</v>
      </c>
      <c r="IA541" s="24">
        <v>20</v>
      </c>
      <c r="IB541" s="24" t="s">
        <v>33</v>
      </c>
      <c r="IC541" s="24">
        <v>10960</v>
      </c>
      <c r="ID541" s="24">
        <v>8908</v>
      </c>
    </row>
    <row r="542" spans="9:238" x14ac:dyDescent="0.4">
      <c r="I542" s="305">
        <v>2018</v>
      </c>
      <c r="J542" s="306">
        <v>20</v>
      </c>
      <c r="K542" s="306" t="s">
        <v>33</v>
      </c>
      <c r="L542" s="306">
        <v>172330</v>
      </c>
      <c r="M542" s="306">
        <v>158264</v>
      </c>
      <c r="N542" s="306">
        <v>446</v>
      </c>
      <c r="O542" s="306">
        <v>7564</v>
      </c>
      <c r="P542" s="306">
        <v>694</v>
      </c>
      <c r="Q542" s="306">
        <v>42</v>
      </c>
      <c r="R542" s="24"/>
      <c r="S542" s="24"/>
      <c r="T542" s="24"/>
      <c r="AI542" s="24"/>
      <c r="AJ542" s="24"/>
      <c r="AO542" s="24"/>
      <c r="AP542" s="24"/>
      <c r="AQ542" s="24"/>
      <c r="AR542" s="24"/>
      <c r="DD542" s="24"/>
      <c r="DE542" s="24"/>
      <c r="DF542" s="24"/>
      <c r="DG542" s="24"/>
      <c r="DJ542" s="24">
        <v>2018</v>
      </c>
      <c r="DK542" s="24">
        <v>48</v>
      </c>
      <c r="DL542" s="24" t="s">
        <v>32</v>
      </c>
      <c r="DM542" s="24">
        <v>33</v>
      </c>
      <c r="DP542" s="24"/>
      <c r="DQ542" s="24"/>
      <c r="DR542" s="24"/>
      <c r="DS542" s="24"/>
      <c r="EI542" s="24">
        <v>2022</v>
      </c>
      <c r="EJ542" s="24">
        <v>46</v>
      </c>
      <c r="EK542" s="24" t="s">
        <v>211</v>
      </c>
      <c r="EL542" s="24" t="s">
        <v>212</v>
      </c>
      <c r="EM542" s="24" t="s">
        <v>210</v>
      </c>
      <c r="EN542" s="24">
        <v>7</v>
      </c>
      <c r="EO542" s="24"/>
      <c r="EP542" s="24"/>
      <c r="ES542" s="24">
        <v>2019</v>
      </c>
      <c r="ET542" s="24">
        <v>34</v>
      </c>
      <c r="EU542" s="24" t="s">
        <v>33</v>
      </c>
      <c r="EV542" s="24">
        <v>102847</v>
      </c>
      <c r="FW542" s="24">
        <v>2018</v>
      </c>
      <c r="FX542" s="24">
        <v>19</v>
      </c>
      <c r="FY542" s="24" t="s">
        <v>32</v>
      </c>
      <c r="FZ542" s="24">
        <v>796</v>
      </c>
      <c r="GA542" s="24">
        <v>710</v>
      </c>
      <c r="GB542" s="24"/>
      <c r="GC542" s="24"/>
      <c r="GD542" s="24"/>
      <c r="GE542" s="24"/>
      <c r="GF542" s="24"/>
      <c r="GG542" s="24"/>
      <c r="GH542" s="24"/>
      <c r="GK542" s="24"/>
      <c r="GL542" s="24"/>
      <c r="GM542" s="24"/>
      <c r="GN542" s="24"/>
      <c r="GO542" s="24"/>
      <c r="GX542">
        <v>2018</v>
      </c>
      <c r="GY542">
        <v>19</v>
      </c>
      <c r="GZ542" t="s">
        <v>32</v>
      </c>
      <c r="HA542">
        <v>7065</v>
      </c>
      <c r="HB542">
        <v>6165</v>
      </c>
      <c r="HC542">
        <v>0</v>
      </c>
      <c r="HD542">
        <v>4</v>
      </c>
      <c r="HE542">
        <v>0</v>
      </c>
      <c r="HF542">
        <v>41</v>
      </c>
      <c r="HG542">
        <v>0</v>
      </c>
      <c r="HH542">
        <v>0</v>
      </c>
      <c r="HI542">
        <v>76</v>
      </c>
      <c r="HZ542" s="24">
        <v>2018</v>
      </c>
      <c r="IA542" s="24">
        <v>19</v>
      </c>
      <c r="IB542" s="24" t="s">
        <v>32</v>
      </c>
      <c r="IC542" s="24">
        <v>760</v>
      </c>
      <c r="ID542" s="24">
        <v>674</v>
      </c>
    </row>
    <row r="543" spans="9:238" x14ac:dyDescent="0.4">
      <c r="I543" s="305">
        <v>2018</v>
      </c>
      <c r="J543" s="306">
        <v>19</v>
      </c>
      <c r="K543" s="306" t="s">
        <v>32</v>
      </c>
      <c r="L543" s="306">
        <v>7118</v>
      </c>
      <c r="M543" s="306">
        <v>6224</v>
      </c>
      <c r="N543" s="306">
        <v>31</v>
      </c>
      <c r="O543" s="306">
        <v>730</v>
      </c>
      <c r="P543" s="306">
        <v>7</v>
      </c>
      <c r="Q543" s="306"/>
      <c r="R543" s="24"/>
      <c r="S543" s="24"/>
      <c r="T543" s="24"/>
      <c r="AI543" s="24"/>
      <c r="AJ543" s="24"/>
      <c r="AO543" s="24"/>
      <c r="AP543" s="24"/>
      <c r="AQ543" s="24"/>
      <c r="AR543" s="24"/>
      <c r="DD543" s="24"/>
      <c r="DE543" s="24"/>
      <c r="DF543" s="24"/>
      <c r="DG543" s="24"/>
      <c r="DJ543" s="24">
        <v>2018</v>
      </c>
      <c r="DK543" s="24">
        <v>48</v>
      </c>
      <c r="DL543" s="24" t="s">
        <v>33</v>
      </c>
      <c r="DM543" s="24">
        <v>1180</v>
      </c>
      <c r="DP543" s="24"/>
      <c r="DQ543" s="24"/>
      <c r="DR543" s="24"/>
      <c r="DS543" s="24"/>
      <c r="EI543" s="24">
        <v>2022</v>
      </c>
      <c r="EJ543" s="24">
        <v>46</v>
      </c>
      <c r="EK543" s="24" t="s">
        <v>211</v>
      </c>
      <c r="EL543" s="24" t="s">
        <v>212</v>
      </c>
      <c r="EM543" s="24" t="s">
        <v>234</v>
      </c>
      <c r="EN543" s="24">
        <v>20</v>
      </c>
      <c r="EO543" s="24"/>
      <c r="EP543" s="24"/>
      <c r="ES543" s="24">
        <v>2019</v>
      </c>
      <c r="ET543" s="24">
        <v>34</v>
      </c>
      <c r="EU543" s="24" t="s">
        <v>213</v>
      </c>
      <c r="EV543" s="24">
        <v>27</v>
      </c>
      <c r="FW543" s="24">
        <v>2018</v>
      </c>
      <c r="FX543" s="24">
        <v>19</v>
      </c>
      <c r="FY543" s="24" t="s">
        <v>33</v>
      </c>
      <c r="FZ543" s="24">
        <v>9726</v>
      </c>
      <c r="GA543" s="24">
        <v>8127</v>
      </c>
      <c r="GB543" s="24"/>
      <c r="GC543" s="24"/>
      <c r="GD543" s="24"/>
      <c r="GE543" s="24"/>
      <c r="GF543" s="24"/>
      <c r="GG543" s="24"/>
      <c r="GH543" s="24"/>
      <c r="GK543" s="24"/>
      <c r="GL543" s="24"/>
      <c r="GM543" s="24"/>
      <c r="GN543" s="24"/>
      <c r="GO543" s="24"/>
      <c r="GX543">
        <v>2018</v>
      </c>
      <c r="GY543">
        <v>19</v>
      </c>
      <c r="GZ543" t="s">
        <v>33</v>
      </c>
      <c r="HA543">
        <v>161657</v>
      </c>
      <c r="HB543">
        <v>152847</v>
      </c>
      <c r="HC543">
        <v>464</v>
      </c>
      <c r="HD543">
        <v>341</v>
      </c>
      <c r="HE543">
        <v>0</v>
      </c>
      <c r="HF543">
        <v>3999</v>
      </c>
      <c r="HG543">
        <v>0</v>
      </c>
      <c r="HH543">
        <v>0</v>
      </c>
      <c r="HI543">
        <v>1481</v>
      </c>
      <c r="HZ543" s="24">
        <v>2018</v>
      </c>
      <c r="IA543" s="24">
        <v>19</v>
      </c>
      <c r="IB543" s="24" t="s">
        <v>33</v>
      </c>
      <c r="IC543" s="24">
        <v>9969</v>
      </c>
      <c r="ID543" s="24">
        <v>8302</v>
      </c>
    </row>
    <row r="544" spans="9:238" x14ac:dyDescent="0.4">
      <c r="I544" s="305">
        <v>2018</v>
      </c>
      <c r="J544" s="306">
        <v>19</v>
      </c>
      <c r="K544" s="306" t="s">
        <v>33</v>
      </c>
      <c r="L544" s="306">
        <v>159934</v>
      </c>
      <c r="M544" s="306">
        <v>147515</v>
      </c>
      <c r="N544" s="306">
        <v>386</v>
      </c>
      <c r="O544" s="306">
        <v>6813</v>
      </c>
      <c r="P544" s="306">
        <v>656</v>
      </c>
      <c r="Q544" s="306">
        <v>8</v>
      </c>
      <c r="R544" s="24"/>
      <c r="S544" s="24"/>
      <c r="T544" s="24"/>
      <c r="AI544" s="24"/>
      <c r="AJ544" s="24"/>
      <c r="AO544" s="24"/>
      <c r="AP544" s="24"/>
      <c r="AQ544" s="24"/>
      <c r="AR544" s="24"/>
      <c r="DD544" s="24"/>
      <c r="DE544" s="24"/>
      <c r="DF544" s="24"/>
      <c r="DG544" s="24"/>
      <c r="DJ544" s="24">
        <v>2018</v>
      </c>
      <c r="DK544" s="24">
        <v>47</v>
      </c>
      <c r="DL544" s="24" t="s">
        <v>32</v>
      </c>
      <c r="DM544" s="24">
        <v>0</v>
      </c>
      <c r="DP544" s="24"/>
      <c r="DQ544" s="24"/>
      <c r="DR544" s="24"/>
      <c r="DS544" s="24"/>
      <c r="EI544" s="24">
        <v>2022</v>
      </c>
      <c r="EJ544" s="24">
        <v>46</v>
      </c>
      <c r="EK544" s="24" t="s">
        <v>211</v>
      </c>
      <c r="EL544" s="24" t="s">
        <v>247</v>
      </c>
      <c r="EM544" s="24" t="s">
        <v>210</v>
      </c>
      <c r="EN544" s="24">
        <v>6</v>
      </c>
      <c r="EO544" s="24"/>
      <c r="EP544" s="24"/>
      <c r="ES544" s="24">
        <v>2019</v>
      </c>
      <c r="ET544" s="24">
        <v>33</v>
      </c>
      <c r="EU544" s="24" t="s">
        <v>32</v>
      </c>
      <c r="EV544" s="24">
        <v>2555</v>
      </c>
      <c r="FW544" s="24">
        <v>2018</v>
      </c>
      <c r="FX544" s="24">
        <v>18</v>
      </c>
      <c r="FY544" s="24" t="s">
        <v>32</v>
      </c>
      <c r="FZ544" s="24">
        <v>584</v>
      </c>
      <c r="GA544" s="24">
        <v>555</v>
      </c>
      <c r="GB544" s="24"/>
      <c r="GC544" s="24"/>
      <c r="GD544" s="24"/>
      <c r="GE544" s="24"/>
      <c r="GF544" s="24"/>
      <c r="GG544" s="24"/>
      <c r="GH544" s="24"/>
      <c r="GK544" s="24"/>
      <c r="GL544" s="24"/>
      <c r="GM544" s="24"/>
      <c r="GN544" s="24"/>
      <c r="GO544" s="24"/>
      <c r="GX544">
        <v>2018</v>
      </c>
      <c r="GY544">
        <v>18</v>
      </c>
      <c r="GZ544" t="s">
        <v>32</v>
      </c>
      <c r="HA544">
        <v>4967</v>
      </c>
      <c r="HB544">
        <v>4749</v>
      </c>
      <c r="HC544">
        <v>1</v>
      </c>
      <c r="HD544">
        <v>11</v>
      </c>
      <c r="HE544">
        <v>0</v>
      </c>
      <c r="HF544">
        <v>0</v>
      </c>
      <c r="HG544">
        <v>0</v>
      </c>
      <c r="HH544">
        <v>0</v>
      </c>
      <c r="HI544">
        <v>62</v>
      </c>
      <c r="HZ544" s="24">
        <v>2018</v>
      </c>
      <c r="IA544" s="24">
        <v>18</v>
      </c>
      <c r="IB544" s="24" t="s">
        <v>32</v>
      </c>
      <c r="IC544" s="24">
        <v>596</v>
      </c>
      <c r="ID544" s="24">
        <v>569</v>
      </c>
    </row>
    <row r="545" spans="9:238" x14ac:dyDescent="0.4">
      <c r="I545" s="305">
        <v>2018</v>
      </c>
      <c r="J545" s="306">
        <v>18</v>
      </c>
      <c r="K545" s="306" t="s">
        <v>32</v>
      </c>
      <c r="L545" s="306">
        <v>5093</v>
      </c>
      <c r="M545" s="306">
        <v>4849</v>
      </c>
      <c r="N545" s="306">
        <v>39</v>
      </c>
      <c r="O545" s="306">
        <v>154</v>
      </c>
      <c r="P545" s="306">
        <v>19</v>
      </c>
      <c r="Q545" s="306"/>
      <c r="R545" s="24"/>
      <c r="S545" s="24"/>
      <c r="T545" s="24"/>
      <c r="AI545" s="24"/>
      <c r="AJ545" s="24"/>
      <c r="AO545" s="24"/>
      <c r="AP545" s="24"/>
      <c r="AQ545" s="24"/>
      <c r="AR545" s="24"/>
      <c r="DD545" s="24"/>
      <c r="DE545" s="24"/>
      <c r="DF545" s="24"/>
      <c r="DG545" s="24"/>
      <c r="DJ545" s="24">
        <v>2018</v>
      </c>
      <c r="DK545" s="24">
        <v>47</v>
      </c>
      <c r="DL545" s="24" t="s">
        <v>33</v>
      </c>
      <c r="DM545" s="24">
        <v>1346</v>
      </c>
      <c r="DP545" s="24"/>
      <c r="DQ545" s="24"/>
      <c r="DR545" s="24"/>
      <c r="DS545" s="24"/>
      <c r="EI545" s="24">
        <v>2022</v>
      </c>
      <c r="EJ545" s="24">
        <v>46</v>
      </c>
      <c r="EK545" s="24" t="s">
        <v>211</v>
      </c>
      <c r="EL545" s="24" t="s">
        <v>247</v>
      </c>
      <c r="EM545" s="24" t="s">
        <v>234</v>
      </c>
      <c r="EN545" s="24">
        <v>8</v>
      </c>
      <c r="EO545" s="24"/>
      <c r="EP545" s="24"/>
      <c r="ES545" s="24">
        <v>2019</v>
      </c>
      <c r="ET545" s="24">
        <v>33</v>
      </c>
      <c r="EU545" s="24" t="s">
        <v>33</v>
      </c>
      <c r="EV545" s="24">
        <v>103139</v>
      </c>
      <c r="FW545" s="24">
        <v>2018</v>
      </c>
      <c r="FX545" s="24">
        <v>18</v>
      </c>
      <c r="FY545" s="24" t="s">
        <v>33</v>
      </c>
      <c r="FZ545" s="24">
        <v>8007</v>
      </c>
      <c r="GA545" s="24">
        <v>7128</v>
      </c>
      <c r="GB545" s="24"/>
      <c r="GC545" s="24"/>
      <c r="GD545" s="24"/>
      <c r="GE545" s="24"/>
      <c r="GF545" s="24"/>
      <c r="GG545" s="24"/>
      <c r="GH545" s="24"/>
      <c r="GK545" s="24"/>
      <c r="GL545" s="24"/>
      <c r="GM545" s="24"/>
      <c r="GN545" s="24"/>
      <c r="GO545" s="24"/>
      <c r="GX545">
        <v>2018</v>
      </c>
      <c r="GY545">
        <v>18</v>
      </c>
      <c r="GZ545" t="s">
        <v>33</v>
      </c>
      <c r="HA545">
        <v>151006</v>
      </c>
      <c r="HB545">
        <v>146809</v>
      </c>
      <c r="HC545">
        <v>256</v>
      </c>
      <c r="HD545">
        <v>83</v>
      </c>
      <c r="HE545">
        <v>0</v>
      </c>
      <c r="HF545">
        <v>1577</v>
      </c>
      <c r="HG545">
        <v>0</v>
      </c>
      <c r="HH545">
        <v>0</v>
      </c>
      <c r="HI545">
        <v>1024</v>
      </c>
      <c r="HZ545" s="24">
        <v>2018</v>
      </c>
      <c r="IA545" s="24">
        <v>18</v>
      </c>
      <c r="IB545" s="24" t="s">
        <v>33</v>
      </c>
      <c r="IC545" s="24">
        <v>7887</v>
      </c>
      <c r="ID545" s="24">
        <v>7063</v>
      </c>
    </row>
    <row r="546" spans="9:238" x14ac:dyDescent="0.4">
      <c r="I546" s="305">
        <v>2018</v>
      </c>
      <c r="J546" s="306">
        <v>18</v>
      </c>
      <c r="K546" s="306" t="s">
        <v>33</v>
      </c>
      <c r="L546" s="306">
        <v>151662</v>
      </c>
      <c r="M546" s="306">
        <v>143640</v>
      </c>
      <c r="N546" s="306">
        <v>469</v>
      </c>
      <c r="O546" s="306">
        <v>4368</v>
      </c>
      <c r="P546" s="306">
        <v>445</v>
      </c>
      <c r="Q546" s="306"/>
      <c r="R546" s="24"/>
      <c r="S546" s="24"/>
      <c r="T546" s="24"/>
      <c r="AI546" s="24"/>
      <c r="AJ546" s="24"/>
      <c r="AO546" s="24"/>
      <c r="AP546" s="24"/>
      <c r="AQ546" s="24"/>
      <c r="AR546" s="24"/>
      <c r="DD546" s="24"/>
      <c r="DE546" s="24"/>
      <c r="DF546" s="24"/>
      <c r="DG546" s="24"/>
      <c r="DJ546" s="24">
        <v>2018</v>
      </c>
      <c r="DK546" s="24">
        <v>46</v>
      </c>
      <c r="DL546" s="24" t="s">
        <v>32</v>
      </c>
      <c r="DM546" s="24">
        <v>2</v>
      </c>
      <c r="DP546" s="24"/>
      <c r="DQ546" s="24"/>
      <c r="DR546" s="24"/>
      <c r="DS546" s="24"/>
      <c r="EI546" s="24">
        <v>2022</v>
      </c>
      <c r="EJ546" s="24">
        <v>46</v>
      </c>
      <c r="EK546" s="24" t="s">
        <v>213</v>
      </c>
      <c r="EL546" s="24" t="s">
        <v>214</v>
      </c>
      <c r="EM546" s="24" t="s">
        <v>215</v>
      </c>
      <c r="EN546" s="24">
        <v>95</v>
      </c>
      <c r="EO546" s="24"/>
      <c r="EP546" s="24"/>
      <c r="ES546" s="24">
        <v>2019</v>
      </c>
      <c r="ET546" s="24">
        <v>33</v>
      </c>
      <c r="EU546" s="24" t="s">
        <v>213</v>
      </c>
      <c r="EV546" s="24">
        <v>20</v>
      </c>
      <c r="FW546" s="24">
        <v>2018</v>
      </c>
      <c r="FX546" s="24">
        <v>17</v>
      </c>
      <c r="FY546" s="24" t="s">
        <v>32</v>
      </c>
      <c r="FZ546" s="24">
        <v>612</v>
      </c>
      <c r="GA546" s="24">
        <v>588</v>
      </c>
      <c r="GB546" s="24"/>
      <c r="GC546" s="24"/>
      <c r="GD546" s="24"/>
      <c r="GE546" s="24"/>
      <c r="GF546" s="24"/>
      <c r="GG546" s="24"/>
      <c r="GH546" s="24"/>
      <c r="GK546" s="24"/>
      <c r="GL546" s="24"/>
      <c r="GM546" s="24"/>
      <c r="GN546" s="24"/>
      <c r="GO546" s="24"/>
      <c r="GX546">
        <v>2018</v>
      </c>
      <c r="GY546">
        <v>17</v>
      </c>
      <c r="GZ546" t="s">
        <v>32</v>
      </c>
      <c r="HA546">
        <v>5822</v>
      </c>
      <c r="HB546">
        <v>5524</v>
      </c>
      <c r="HC546">
        <v>1</v>
      </c>
      <c r="HD546">
        <v>5</v>
      </c>
      <c r="HE546">
        <v>0</v>
      </c>
      <c r="HF546">
        <v>10</v>
      </c>
      <c r="HG546">
        <v>0</v>
      </c>
      <c r="HH546">
        <v>0</v>
      </c>
      <c r="HI546">
        <v>106</v>
      </c>
      <c r="HZ546" s="24">
        <v>2018</v>
      </c>
      <c r="IA546" s="24">
        <v>17</v>
      </c>
      <c r="IB546" s="24" t="s">
        <v>32</v>
      </c>
      <c r="IC546" s="24">
        <v>612</v>
      </c>
      <c r="ID546" s="24">
        <v>588</v>
      </c>
    </row>
    <row r="547" spans="9:238" x14ac:dyDescent="0.4">
      <c r="I547" s="305">
        <v>2018</v>
      </c>
      <c r="J547" s="306">
        <v>17</v>
      </c>
      <c r="K547" s="306" t="s">
        <v>32</v>
      </c>
      <c r="L547" s="306">
        <v>5667</v>
      </c>
      <c r="M547" s="306">
        <v>5383</v>
      </c>
      <c r="N547" s="306">
        <v>23</v>
      </c>
      <c r="O547" s="306">
        <v>216</v>
      </c>
      <c r="P547" s="306">
        <v>19</v>
      </c>
      <c r="Q547" s="306"/>
      <c r="R547" s="24"/>
      <c r="S547" s="24"/>
      <c r="T547" s="24"/>
      <c r="AI547" s="24"/>
      <c r="AJ547" s="24"/>
      <c r="AO547" s="24"/>
      <c r="AP547" s="24"/>
      <c r="AQ547" s="24"/>
      <c r="AR547" s="24"/>
      <c r="DD547" s="24"/>
      <c r="DE547" s="24"/>
      <c r="DF547" s="24"/>
      <c r="DG547" s="24"/>
      <c r="DJ547" s="24">
        <v>2018</v>
      </c>
      <c r="DK547" s="24">
        <v>46</v>
      </c>
      <c r="DL547" s="24" t="s">
        <v>33</v>
      </c>
      <c r="DM547" s="24">
        <v>840</v>
      </c>
      <c r="DP547" s="24"/>
      <c r="DQ547" s="24"/>
      <c r="DR547" s="24"/>
      <c r="DS547" s="24"/>
      <c r="EI547" s="24">
        <v>2022</v>
      </c>
      <c r="EJ547" s="24">
        <v>45</v>
      </c>
      <c r="EK547" s="24" t="s">
        <v>208</v>
      </c>
      <c r="EL547" s="24" t="s">
        <v>351</v>
      </c>
      <c r="EM547" s="24" t="s">
        <v>234</v>
      </c>
      <c r="EN547" s="24">
        <v>12</v>
      </c>
      <c r="EO547" s="24"/>
      <c r="EP547" s="24"/>
      <c r="ES547" s="24">
        <v>2019</v>
      </c>
      <c r="ET547" s="24">
        <v>32</v>
      </c>
      <c r="EU547" s="24" t="s">
        <v>32</v>
      </c>
      <c r="EV547" s="24">
        <v>3323</v>
      </c>
      <c r="FW547" s="24">
        <v>2018</v>
      </c>
      <c r="FX547" s="24">
        <v>17</v>
      </c>
      <c r="FY547" s="24" t="s">
        <v>33</v>
      </c>
      <c r="FZ547" s="24">
        <v>8823</v>
      </c>
      <c r="GA547" s="24">
        <v>7425</v>
      </c>
      <c r="GB547" s="24"/>
      <c r="GC547" s="24"/>
      <c r="GD547" s="24"/>
      <c r="GE547" s="24"/>
      <c r="GF547" s="24"/>
      <c r="GG547" s="24"/>
      <c r="GH547" s="24"/>
      <c r="GK547" s="24"/>
      <c r="GL547" s="24"/>
      <c r="GM547" s="24"/>
      <c r="GN547" s="24"/>
      <c r="GO547" s="24"/>
      <c r="GX547">
        <v>2018</v>
      </c>
      <c r="GY547">
        <v>17</v>
      </c>
      <c r="GZ547" t="s">
        <v>33</v>
      </c>
      <c r="HA547">
        <v>157815</v>
      </c>
      <c r="HB547">
        <v>149311</v>
      </c>
      <c r="HC547">
        <v>362</v>
      </c>
      <c r="HD547">
        <v>523</v>
      </c>
      <c r="HE547">
        <v>0</v>
      </c>
      <c r="HF547">
        <v>3208</v>
      </c>
      <c r="HG547">
        <v>0</v>
      </c>
      <c r="HH547">
        <v>0</v>
      </c>
      <c r="HI547">
        <v>1511</v>
      </c>
      <c r="HZ547" s="24">
        <v>2018</v>
      </c>
      <c r="IA547" s="24">
        <v>17</v>
      </c>
      <c r="IB547" s="24" t="s">
        <v>33</v>
      </c>
      <c r="IC547" s="24">
        <v>8858</v>
      </c>
      <c r="ID547" s="24">
        <v>7510</v>
      </c>
    </row>
    <row r="548" spans="9:238" x14ac:dyDescent="0.4">
      <c r="I548" s="305">
        <v>2018</v>
      </c>
      <c r="J548" s="306">
        <v>17</v>
      </c>
      <c r="K548" s="306" t="s">
        <v>33</v>
      </c>
      <c r="L548" s="306">
        <v>158139</v>
      </c>
      <c r="M548" s="306">
        <v>145647</v>
      </c>
      <c r="N548" s="306">
        <v>573</v>
      </c>
      <c r="O548" s="306">
        <v>6455</v>
      </c>
      <c r="P548" s="306">
        <v>641</v>
      </c>
      <c r="Q548" s="306"/>
      <c r="R548" s="24"/>
      <c r="S548" s="24"/>
      <c r="T548" s="24"/>
      <c r="AI548" s="24"/>
      <c r="AJ548" s="24"/>
      <c r="AO548" s="24"/>
      <c r="AP548" s="24"/>
      <c r="AQ548" s="24"/>
      <c r="AR548" s="24"/>
      <c r="DD548" s="24"/>
      <c r="DE548" s="24"/>
      <c r="DF548" s="24"/>
      <c r="DG548" s="24"/>
      <c r="DJ548" s="24">
        <v>2018</v>
      </c>
      <c r="DK548" s="24">
        <v>45</v>
      </c>
      <c r="DL548" s="24" t="s">
        <v>32</v>
      </c>
      <c r="DM548" s="24">
        <v>95</v>
      </c>
      <c r="DP548" s="24"/>
      <c r="DQ548" s="24"/>
      <c r="DR548" s="24"/>
      <c r="DS548" s="24"/>
      <c r="EI548" s="24">
        <v>2022</v>
      </c>
      <c r="EJ548" s="24">
        <v>45</v>
      </c>
      <c r="EK548" s="24" t="s">
        <v>208</v>
      </c>
      <c r="EL548" s="24" t="s">
        <v>235</v>
      </c>
      <c r="EM548" s="24" t="s">
        <v>210</v>
      </c>
      <c r="EN548" s="24">
        <v>1</v>
      </c>
      <c r="EO548" s="24"/>
      <c r="EP548" s="24"/>
      <c r="ES548" s="24">
        <v>2019</v>
      </c>
      <c r="ET548" s="24">
        <v>32</v>
      </c>
      <c r="EU548" s="24" t="s">
        <v>33</v>
      </c>
      <c r="EV548" s="24">
        <v>107812</v>
      </c>
      <c r="FW548" s="24">
        <v>2018</v>
      </c>
      <c r="FX548" s="24">
        <v>16</v>
      </c>
      <c r="FY548" s="24" t="s">
        <v>32</v>
      </c>
      <c r="FZ548" s="24">
        <v>748</v>
      </c>
      <c r="GA548" s="24">
        <v>684</v>
      </c>
      <c r="GB548" s="24"/>
      <c r="GC548" s="24"/>
      <c r="GD548" s="24"/>
      <c r="GE548" s="24"/>
      <c r="GF548" s="24"/>
      <c r="GG548" s="24"/>
      <c r="GH548" s="24"/>
      <c r="GK548" s="24"/>
      <c r="GL548" s="24"/>
      <c r="GM548" s="24"/>
      <c r="GN548" s="24"/>
      <c r="GO548" s="24"/>
      <c r="GX548">
        <v>2018</v>
      </c>
      <c r="GY548">
        <v>16</v>
      </c>
      <c r="GZ548" t="s">
        <v>32</v>
      </c>
      <c r="HA548">
        <v>6083</v>
      </c>
      <c r="HB548">
        <v>5618</v>
      </c>
      <c r="HC548">
        <v>2</v>
      </c>
      <c r="HD548">
        <v>12</v>
      </c>
      <c r="HE548">
        <v>0</v>
      </c>
      <c r="HF548">
        <v>56</v>
      </c>
      <c r="HG548">
        <v>0</v>
      </c>
      <c r="HH548">
        <v>0</v>
      </c>
      <c r="HI548">
        <v>126</v>
      </c>
      <c r="HZ548" s="24">
        <v>2018</v>
      </c>
      <c r="IA548" s="24">
        <v>16</v>
      </c>
      <c r="IB548" s="24" t="s">
        <v>32</v>
      </c>
      <c r="IC548" s="24">
        <v>681</v>
      </c>
      <c r="ID548" s="24">
        <v>621</v>
      </c>
    </row>
    <row r="549" spans="9:238" x14ac:dyDescent="0.4">
      <c r="I549" s="305">
        <v>2018</v>
      </c>
      <c r="J549" s="306">
        <v>16</v>
      </c>
      <c r="K549" s="306" t="s">
        <v>32</v>
      </c>
      <c r="L549" s="306">
        <v>6258</v>
      </c>
      <c r="M549" s="306">
        <v>5777</v>
      </c>
      <c r="N549" s="306">
        <v>27</v>
      </c>
      <c r="O549" s="306">
        <v>307</v>
      </c>
      <c r="P549" s="306">
        <v>12</v>
      </c>
      <c r="Q549" s="306"/>
      <c r="R549" s="24"/>
      <c r="S549" s="24"/>
      <c r="T549" s="24"/>
      <c r="AI549" s="24"/>
      <c r="AJ549" s="24"/>
      <c r="AO549" s="24"/>
      <c r="AP549" s="24"/>
      <c r="AQ549" s="24"/>
      <c r="AR549" s="24"/>
      <c r="DD549" s="24"/>
      <c r="DE549" s="24"/>
      <c r="DF549" s="24"/>
      <c r="DG549" s="24"/>
      <c r="DJ549" s="24">
        <v>2018</v>
      </c>
      <c r="DK549" s="24">
        <v>45</v>
      </c>
      <c r="DL549" s="24" t="s">
        <v>33</v>
      </c>
      <c r="DM549" s="24">
        <v>691</v>
      </c>
      <c r="DP549" s="24"/>
      <c r="DQ549" s="24"/>
      <c r="DR549" s="24"/>
      <c r="DS549" s="24"/>
      <c r="EI549" s="24">
        <v>2022</v>
      </c>
      <c r="EJ549" s="24">
        <v>45</v>
      </c>
      <c r="EK549" s="24" t="s">
        <v>208</v>
      </c>
      <c r="EL549" s="24" t="s">
        <v>235</v>
      </c>
      <c r="EM549" s="24" t="s">
        <v>234</v>
      </c>
      <c r="EN549" s="24">
        <v>38</v>
      </c>
      <c r="EO549" s="24"/>
      <c r="EP549" s="24"/>
      <c r="ES549" s="24">
        <v>2019</v>
      </c>
      <c r="ET549" s="24">
        <v>32</v>
      </c>
      <c r="EU549" s="24" t="s">
        <v>213</v>
      </c>
      <c r="EV549" s="24">
        <v>7</v>
      </c>
      <c r="FW549" s="24">
        <v>2018</v>
      </c>
      <c r="FX549" s="24">
        <v>16</v>
      </c>
      <c r="FY549" s="24" t="s">
        <v>33</v>
      </c>
      <c r="FZ549" s="24">
        <v>8380</v>
      </c>
      <c r="GA549" s="24">
        <v>6976</v>
      </c>
      <c r="GB549" s="24"/>
      <c r="GC549" s="24"/>
      <c r="GD549" s="24"/>
      <c r="GE549" s="24"/>
      <c r="GF549" s="24"/>
      <c r="GG549" s="24"/>
      <c r="GH549" s="24"/>
      <c r="GK549" s="24"/>
      <c r="GL549" s="24"/>
      <c r="GM549" s="24"/>
      <c r="GN549" s="24"/>
      <c r="GO549" s="24"/>
      <c r="GX549">
        <v>2018</v>
      </c>
      <c r="GY549">
        <v>16</v>
      </c>
      <c r="GZ549" t="s">
        <v>33</v>
      </c>
      <c r="HA549">
        <v>168242</v>
      </c>
      <c r="HB549">
        <v>159050</v>
      </c>
      <c r="HC549">
        <v>385</v>
      </c>
      <c r="HD549">
        <v>416</v>
      </c>
      <c r="HE549">
        <v>0</v>
      </c>
      <c r="HF549">
        <v>2874</v>
      </c>
      <c r="HG549">
        <v>0</v>
      </c>
      <c r="HH549">
        <v>0</v>
      </c>
      <c r="HI549">
        <v>1772</v>
      </c>
      <c r="HZ549" s="24">
        <v>2018</v>
      </c>
      <c r="IA549" s="24">
        <v>16</v>
      </c>
      <c r="IB549" s="24" t="s">
        <v>33</v>
      </c>
      <c r="IC549" s="24">
        <v>8451</v>
      </c>
      <c r="ID549" s="24">
        <v>7033</v>
      </c>
    </row>
    <row r="550" spans="9:238" x14ac:dyDescent="0.4">
      <c r="I550" s="305">
        <v>2018</v>
      </c>
      <c r="J550" s="306">
        <v>16</v>
      </c>
      <c r="K550" s="306" t="s">
        <v>33</v>
      </c>
      <c r="L550" s="306">
        <v>168441</v>
      </c>
      <c r="M550" s="306">
        <v>155000</v>
      </c>
      <c r="N550" s="306">
        <v>571</v>
      </c>
      <c r="O550" s="306">
        <v>7021</v>
      </c>
      <c r="P550" s="306">
        <v>558</v>
      </c>
      <c r="Q550" s="306"/>
      <c r="R550" s="24"/>
      <c r="S550" s="24"/>
      <c r="T550" s="24"/>
      <c r="AI550" s="24"/>
      <c r="AJ550" s="24"/>
      <c r="AO550" s="24"/>
      <c r="AP550" s="24"/>
      <c r="AQ550" s="24"/>
      <c r="AR550" s="24"/>
      <c r="DD550" s="24"/>
      <c r="DE550" s="24"/>
      <c r="DF550" s="24"/>
      <c r="DG550" s="24"/>
      <c r="DJ550" s="24">
        <v>2018</v>
      </c>
      <c r="DK550" s="24">
        <v>44</v>
      </c>
      <c r="DL550" s="24" t="s">
        <v>32</v>
      </c>
      <c r="DM550" s="24">
        <v>135</v>
      </c>
      <c r="DP550" s="24"/>
      <c r="DQ550" s="24"/>
      <c r="DR550" s="24"/>
      <c r="DS550" s="24"/>
      <c r="EI550" s="24">
        <v>2022</v>
      </c>
      <c r="EJ550" s="24">
        <v>45</v>
      </c>
      <c r="EK550" s="24" t="s">
        <v>208</v>
      </c>
      <c r="EL550" s="24" t="s">
        <v>209</v>
      </c>
      <c r="EM550" s="24" t="s">
        <v>210</v>
      </c>
      <c r="EN550" s="24">
        <v>8</v>
      </c>
      <c r="EO550" s="24"/>
      <c r="EP550" s="24"/>
      <c r="ES550" s="24">
        <v>2019</v>
      </c>
      <c r="ET550" s="24">
        <v>31</v>
      </c>
      <c r="EU550" s="24" t="s">
        <v>32</v>
      </c>
      <c r="EV550" s="24">
        <v>2293</v>
      </c>
      <c r="FW550" s="24">
        <v>2018</v>
      </c>
      <c r="FX550" s="24">
        <v>15</v>
      </c>
      <c r="FY550" s="24" t="s">
        <v>32</v>
      </c>
      <c r="FZ550" s="24">
        <v>748</v>
      </c>
      <c r="GA550" s="24">
        <v>648</v>
      </c>
      <c r="GB550" s="24"/>
      <c r="GC550" s="24"/>
      <c r="GD550" s="24"/>
      <c r="GE550" s="24"/>
      <c r="GF550" s="24"/>
      <c r="GG550" s="24"/>
      <c r="GH550" s="24"/>
      <c r="GK550" s="24"/>
      <c r="GL550" s="24"/>
      <c r="GM550" s="24"/>
      <c r="GN550" s="24"/>
      <c r="GO550" s="24"/>
      <c r="GX550">
        <v>2018</v>
      </c>
      <c r="GY550">
        <v>15</v>
      </c>
      <c r="GZ550" t="s">
        <v>32</v>
      </c>
      <c r="HA550">
        <v>6484</v>
      </c>
      <c r="HB550">
        <v>5752</v>
      </c>
      <c r="HC550">
        <v>7</v>
      </c>
      <c r="HD550">
        <v>61</v>
      </c>
      <c r="HE550">
        <v>0</v>
      </c>
      <c r="HF550">
        <v>28</v>
      </c>
      <c r="HG550">
        <v>0</v>
      </c>
      <c r="HH550">
        <v>0</v>
      </c>
      <c r="HI550">
        <v>163</v>
      </c>
      <c r="HZ550" s="24">
        <v>2018</v>
      </c>
      <c r="IA550" s="24">
        <v>15</v>
      </c>
      <c r="IB550" s="24" t="s">
        <v>32</v>
      </c>
      <c r="IC550" s="24">
        <v>773</v>
      </c>
      <c r="ID550" s="24">
        <v>670</v>
      </c>
    </row>
    <row r="551" spans="9:238" x14ac:dyDescent="0.4">
      <c r="I551" s="305">
        <v>2018</v>
      </c>
      <c r="J551" s="306">
        <v>15</v>
      </c>
      <c r="K551" s="306" t="s">
        <v>32</v>
      </c>
      <c r="L551" s="306">
        <v>6517</v>
      </c>
      <c r="M551" s="306">
        <v>5791</v>
      </c>
      <c r="N551" s="306">
        <v>61</v>
      </c>
      <c r="O551" s="306">
        <v>474</v>
      </c>
      <c r="P551" s="306">
        <v>40</v>
      </c>
      <c r="Q551" s="306"/>
      <c r="R551" s="24"/>
      <c r="S551" s="24"/>
      <c r="T551" s="24"/>
      <c r="AI551" s="24"/>
      <c r="AJ551" s="24"/>
      <c r="AO551" s="24"/>
      <c r="AP551" s="24"/>
      <c r="AQ551" s="24"/>
      <c r="AR551" s="24"/>
      <c r="DD551" s="24"/>
      <c r="DE551" s="24"/>
      <c r="DF551" s="24"/>
      <c r="DG551" s="24"/>
      <c r="DJ551" s="24">
        <v>2018</v>
      </c>
      <c r="DK551" s="24">
        <v>44</v>
      </c>
      <c r="DL551" s="24" t="s">
        <v>33</v>
      </c>
      <c r="DM551" s="24">
        <v>1551</v>
      </c>
      <c r="DP551" s="24"/>
      <c r="DQ551" s="24"/>
      <c r="DR551" s="24"/>
      <c r="DS551" s="24"/>
      <c r="EI551" s="24">
        <v>2022</v>
      </c>
      <c r="EJ551" s="24">
        <v>45</v>
      </c>
      <c r="EK551" s="24" t="s">
        <v>208</v>
      </c>
      <c r="EL551" s="24" t="s">
        <v>209</v>
      </c>
      <c r="EM551" s="24" t="s">
        <v>234</v>
      </c>
      <c r="EN551" s="24">
        <v>1</v>
      </c>
      <c r="EO551" s="24"/>
      <c r="EP551" s="24"/>
      <c r="ES551" s="24">
        <v>2019</v>
      </c>
      <c r="ET551" s="24">
        <v>31</v>
      </c>
      <c r="EU551" s="24" t="s">
        <v>33</v>
      </c>
      <c r="EV551" s="24">
        <v>110283</v>
      </c>
      <c r="FW551" s="24">
        <v>2018</v>
      </c>
      <c r="FX551" s="24">
        <v>15</v>
      </c>
      <c r="FY551" s="24" t="s">
        <v>33</v>
      </c>
      <c r="FZ551" s="24">
        <v>9346</v>
      </c>
      <c r="GA551" s="24">
        <v>7865</v>
      </c>
      <c r="GB551" s="24"/>
      <c r="GC551" s="24"/>
      <c r="GD551" s="24"/>
      <c r="GE551" s="24"/>
      <c r="GF551" s="24"/>
      <c r="GG551" s="24"/>
      <c r="GH551" s="24"/>
      <c r="GK551" s="24"/>
      <c r="GL551" s="24"/>
      <c r="GM551" s="24"/>
      <c r="GN551" s="24"/>
      <c r="GO551" s="24"/>
      <c r="GX551">
        <v>2018</v>
      </c>
      <c r="GY551">
        <v>15</v>
      </c>
      <c r="GZ551" t="s">
        <v>33</v>
      </c>
      <c r="HA551">
        <v>163516</v>
      </c>
      <c r="HB551">
        <v>150947</v>
      </c>
      <c r="HC551">
        <v>1208</v>
      </c>
      <c r="HD551">
        <v>280</v>
      </c>
      <c r="HE551">
        <v>0</v>
      </c>
      <c r="HF551">
        <v>4222</v>
      </c>
      <c r="HG551">
        <v>0</v>
      </c>
      <c r="HH551">
        <v>0</v>
      </c>
      <c r="HI551">
        <v>2792</v>
      </c>
      <c r="HZ551" s="24">
        <v>2018</v>
      </c>
      <c r="IA551" s="24">
        <v>15</v>
      </c>
      <c r="IB551" s="24" t="s">
        <v>33</v>
      </c>
      <c r="IC551" s="24">
        <v>9332</v>
      </c>
      <c r="ID551" s="24">
        <v>7810</v>
      </c>
    </row>
    <row r="552" spans="9:238" x14ac:dyDescent="0.4">
      <c r="I552" s="305">
        <v>2018</v>
      </c>
      <c r="J552" s="306">
        <v>15</v>
      </c>
      <c r="K552" s="306" t="s">
        <v>33</v>
      </c>
      <c r="L552" s="306">
        <v>163004</v>
      </c>
      <c r="M552" s="306">
        <v>147024</v>
      </c>
      <c r="N552" s="306">
        <v>980</v>
      </c>
      <c r="O552" s="306">
        <v>8620</v>
      </c>
      <c r="P552" s="306">
        <v>760</v>
      </c>
      <c r="Q552" s="306"/>
      <c r="R552" s="24"/>
      <c r="S552" s="24"/>
      <c r="T552" s="24"/>
      <c r="AI552" s="24"/>
      <c r="AJ552" s="24"/>
      <c r="AO552" s="24"/>
      <c r="AP552" s="24"/>
      <c r="AQ552" s="24"/>
      <c r="AR552" s="24"/>
      <c r="DD552" s="24"/>
      <c r="DE552" s="24"/>
      <c r="DF552" s="24"/>
      <c r="DG552" s="24"/>
      <c r="DJ552" s="24">
        <v>2018</v>
      </c>
      <c r="DK552" s="24">
        <v>43</v>
      </c>
      <c r="DL552" s="24" t="s">
        <v>32</v>
      </c>
      <c r="DM552" s="24">
        <v>48</v>
      </c>
      <c r="DP552" s="24"/>
      <c r="DQ552" s="24"/>
      <c r="DR552" s="24"/>
      <c r="DS552" s="24"/>
      <c r="EI552" s="24">
        <v>2022</v>
      </c>
      <c r="EJ552" s="24">
        <v>45</v>
      </c>
      <c r="EK552" s="24" t="s">
        <v>208</v>
      </c>
      <c r="EL552" s="24" t="s">
        <v>247</v>
      </c>
      <c r="EM552" s="24" t="s">
        <v>210</v>
      </c>
      <c r="EN552" s="24">
        <v>1</v>
      </c>
      <c r="EO552" s="24"/>
      <c r="EP552" s="24"/>
      <c r="ES552" s="24">
        <v>2019</v>
      </c>
      <c r="ET552" s="24">
        <v>31</v>
      </c>
      <c r="EU552" s="24" t="s">
        <v>213</v>
      </c>
      <c r="EV552" s="24">
        <v>10</v>
      </c>
      <c r="FW552" s="24">
        <v>2018</v>
      </c>
      <c r="FX552" s="24">
        <v>14</v>
      </c>
      <c r="FY552" s="24" t="s">
        <v>32</v>
      </c>
      <c r="FZ552" s="24">
        <v>837</v>
      </c>
      <c r="GA552" s="24">
        <v>769</v>
      </c>
      <c r="GB552" s="24"/>
      <c r="GC552" s="24"/>
      <c r="GD552" s="24"/>
      <c r="GE552" s="24"/>
      <c r="GF552" s="24"/>
      <c r="GG552" s="24"/>
      <c r="GH552" s="24"/>
      <c r="GK552" s="24"/>
      <c r="GL552" s="24"/>
      <c r="GM552" s="24"/>
      <c r="GN552" s="24"/>
      <c r="GO552" s="24"/>
      <c r="GX552">
        <v>2018</v>
      </c>
      <c r="GY552">
        <v>14</v>
      </c>
      <c r="GZ552" t="s">
        <v>32</v>
      </c>
      <c r="HA552">
        <v>6318</v>
      </c>
      <c r="HB552">
        <v>5944</v>
      </c>
      <c r="HC552">
        <v>46</v>
      </c>
      <c r="HD552">
        <v>16</v>
      </c>
      <c r="HE552">
        <v>0</v>
      </c>
      <c r="HF552">
        <v>44</v>
      </c>
      <c r="HG552">
        <v>0</v>
      </c>
      <c r="HH552">
        <v>0</v>
      </c>
      <c r="HI552">
        <v>116</v>
      </c>
      <c r="HZ552" s="24">
        <v>2018</v>
      </c>
      <c r="IA552" s="24">
        <v>14</v>
      </c>
      <c r="IB552" s="24" t="s">
        <v>32</v>
      </c>
      <c r="IC552" s="24">
        <v>783</v>
      </c>
      <c r="ID552" s="24">
        <v>720</v>
      </c>
    </row>
    <row r="553" spans="9:238" x14ac:dyDescent="0.4">
      <c r="I553" s="305">
        <v>2018</v>
      </c>
      <c r="J553" s="306">
        <v>14</v>
      </c>
      <c r="K553" s="306" t="s">
        <v>32</v>
      </c>
      <c r="L553" s="306">
        <v>6562</v>
      </c>
      <c r="M553" s="306">
        <v>6134</v>
      </c>
      <c r="N553" s="306">
        <v>49</v>
      </c>
      <c r="O553" s="306">
        <v>296</v>
      </c>
      <c r="P553" s="306">
        <v>41</v>
      </c>
      <c r="Q553" s="306"/>
      <c r="R553" s="24"/>
      <c r="S553" s="24"/>
      <c r="T553" s="24"/>
      <c r="AI553" s="24"/>
      <c r="AJ553" s="24"/>
      <c r="AO553" s="24"/>
      <c r="AP553" s="24"/>
      <c r="AQ553" s="24"/>
      <c r="AR553" s="24"/>
      <c r="DD553" s="24"/>
      <c r="DE553" s="24"/>
      <c r="DF553" s="24"/>
      <c r="DG553" s="24"/>
      <c r="DJ553" s="24">
        <v>2018</v>
      </c>
      <c r="DK553" s="24">
        <v>43</v>
      </c>
      <c r="DL553" s="24" t="s">
        <v>33</v>
      </c>
      <c r="DM553" s="24">
        <v>1359</v>
      </c>
      <c r="DP553" s="24"/>
      <c r="DQ553" s="24"/>
      <c r="DR553" s="24"/>
      <c r="DS553" s="24"/>
      <c r="EI553" s="24">
        <v>2022</v>
      </c>
      <c r="EJ553" s="24">
        <v>45</v>
      </c>
      <c r="EK553" s="24" t="s">
        <v>208</v>
      </c>
      <c r="EL553" s="24" t="s">
        <v>247</v>
      </c>
      <c r="EM553" s="24" t="s">
        <v>234</v>
      </c>
      <c r="EN553" s="24">
        <v>1</v>
      </c>
      <c r="EO553" s="24"/>
      <c r="EP553" s="24"/>
      <c r="ES553" s="24">
        <v>2019</v>
      </c>
      <c r="ET553" s="24">
        <v>30</v>
      </c>
      <c r="EU553" s="24" t="s">
        <v>32</v>
      </c>
      <c r="EV553" s="24">
        <v>2812</v>
      </c>
      <c r="FW553" s="24">
        <v>2018</v>
      </c>
      <c r="FX553" s="24">
        <v>14</v>
      </c>
      <c r="FY553" s="24" t="s">
        <v>33</v>
      </c>
      <c r="FZ553" s="24">
        <v>10073</v>
      </c>
      <c r="GA553" s="24">
        <v>7429</v>
      </c>
      <c r="GB553" s="24"/>
      <c r="GC553" s="24"/>
      <c r="GD553" s="24"/>
      <c r="GE553" s="24"/>
      <c r="GF553" s="24"/>
      <c r="GG553" s="24"/>
      <c r="GH553" s="24"/>
      <c r="GK553" s="24"/>
      <c r="GL553" s="24"/>
      <c r="GM553" s="24"/>
      <c r="GN553" s="24"/>
      <c r="GO553" s="24"/>
      <c r="GX553">
        <v>2018</v>
      </c>
      <c r="GY553">
        <v>14</v>
      </c>
      <c r="GZ553" t="s">
        <v>33</v>
      </c>
      <c r="HA553">
        <v>157715</v>
      </c>
      <c r="HB553">
        <v>140429</v>
      </c>
      <c r="HC553">
        <v>2952</v>
      </c>
      <c r="HD553">
        <v>686</v>
      </c>
      <c r="HE553">
        <v>1</v>
      </c>
      <c r="HF553">
        <v>4175</v>
      </c>
      <c r="HG553">
        <v>0</v>
      </c>
      <c r="HH553">
        <v>0</v>
      </c>
      <c r="HI553">
        <v>3635</v>
      </c>
      <c r="HZ553" s="24">
        <v>2018</v>
      </c>
      <c r="IA553" s="24">
        <v>14</v>
      </c>
      <c r="IB553" s="24" t="s">
        <v>33</v>
      </c>
      <c r="IC553" s="24">
        <v>9774</v>
      </c>
      <c r="ID553" s="24">
        <v>7265</v>
      </c>
    </row>
    <row r="554" spans="9:238" x14ac:dyDescent="0.4">
      <c r="I554" s="305">
        <v>2018</v>
      </c>
      <c r="J554" s="306">
        <v>14</v>
      </c>
      <c r="K554" s="306" t="s">
        <v>33</v>
      </c>
      <c r="L554" s="306">
        <v>158698</v>
      </c>
      <c r="M554" s="306">
        <v>137038</v>
      </c>
      <c r="N554" s="306">
        <v>1184</v>
      </c>
      <c r="O554" s="306">
        <v>11577</v>
      </c>
      <c r="P554" s="306">
        <v>1233</v>
      </c>
      <c r="Q554" s="306"/>
      <c r="R554" s="24"/>
      <c r="S554" s="24"/>
      <c r="T554" s="24"/>
      <c r="AI554" s="24"/>
      <c r="AJ554" s="24"/>
      <c r="AO554" s="24"/>
      <c r="AP554" s="24"/>
      <c r="AQ554" s="24"/>
      <c r="AR554" s="24"/>
      <c r="DD554" s="24"/>
      <c r="DE554" s="24"/>
      <c r="DF554" s="24"/>
      <c r="DG554" s="24"/>
      <c r="DJ554" s="24">
        <v>2018</v>
      </c>
      <c r="DK554" s="24">
        <v>42</v>
      </c>
      <c r="DL554" s="24" t="s">
        <v>32</v>
      </c>
      <c r="DM554" s="24">
        <v>117</v>
      </c>
      <c r="DP554" s="24"/>
      <c r="DQ554" s="24"/>
      <c r="DR554" s="24"/>
      <c r="DS554" s="24"/>
      <c r="EI554" s="24">
        <v>2022</v>
      </c>
      <c r="EJ554" s="24">
        <v>45</v>
      </c>
      <c r="EK554" s="24" t="s">
        <v>208</v>
      </c>
      <c r="EL554" s="24" t="s">
        <v>245</v>
      </c>
      <c r="EM554" s="24" t="s">
        <v>234</v>
      </c>
      <c r="EN554" s="24">
        <v>3</v>
      </c>
      <c r="EO554" s="24"/>
      <c r="EP554" s="24"/>
      <c r="ES554" s="24">
        <v>2019</v>
      </c>
      <c r="ET554" s="24">
        <v>30</v>
      </c>
      <c r="EU554" s="24" t="s">
        <v>33</v>
      </c>
      <c r="EV554" s="24">
        <v>104825</v>
      </c>
      <c r="FW554" s="24">
        <v>2018</v>
      </c>
      <c r="FX554" s="24">
        <v>13</v>
      </c>
      <c r="FY554" s="24" t="s">
        <v>32</v>
      </c>
      <c r="FZ554" s="24">
        <v>509</v>
      </c>
      <c r="GA554" s="24">
        <v>461</v>
      </c>
      <c r="GB554" s="24"/>
      <c r="GC554" s="24"/>
      <c r="GD554" s="24"/>
      <c r="GE554" s="24"/>
      <c r="GF554" s="24"/>
      <c r="GG554" s="24"/>
      <c r="GH554" s="24"/>
      <c r="GK554" s="24"/>
      <c r="GL554" s="24"/>
      <c r="GM554" s="24"/>
      <c r="GN554" s="24"/>
      <c r="GO554" s="24"/>
      <c r="GX554">
        <v>2018</v>
      </c>
      <c r="GY554">
        <v>13</v>
      </c>
      <c r="GZ554" t="s">
        <v>32</v>
      </c>
      <c r="HA554">
        <v>6235</v>
      </c>
      <c r="HB554">
        <v>5881</v>
      </c>
      <c r="HC554">
        <v>58</v>
      </c>
      <c r="HD554">
        <v>35</v>
      </c>
      <c r="HE554">
        <v>0</v>
      </c>
      <c r="HF554">
        <v>46</v>
      </c>
      <c r="HG554">
        <v>0</v>
      </c>
      <c r="HH554">
        <v>0</v>
      </c>
      <c r="HI554">
        <v>78</v>
      </c>
      <c r="HZ554" s="24">
        <v>2018</v>
      </c>
      <c r="IA554" s="24">
        <v>13</v>
      </c>
      <c r="IB554" s="24" t="s">
        <v>32</v>
      </c>
      <c r="IC554" s="24">
        <v>529</v>
      </c>
      <c r="ID554" s="24">
        <v>489</v>
      </c>
    </row>
    <row r="555" spans="9:238" x14ac:dyDescent="0.4">
      <c r="I555" s="305">
        <v>2018</v>
      </c>
      <c r="J555" s="306">
        <v>13</v>
      </c>
      <c r="K555" s="306" t="s">
        <v>32</v>
      </c>
      <c r="L555" s="306">
        <v>5825</v>
      </c>
      <c r="M555" s="306">
        <v>5484</v>
      </c>
      <c r="N555" s="306">
        <v>11</v>
      </c>
      <c r="O555" s="306">
        <v>233</v>
      </c>
      <c r="P555" s="306">
        <v>18</v>
      </c>
      <c r="Q555" s="306"/>
      <c r="R555" s="24"/>
      <c r="S555" s="24"/>
      <c r="T555" s="24"/>
      <c r="AI555" s="24"/>
      <c r="AJ555" s="24"/>
      <c r="AO555" s="24"/>
      <c r="AP555" s="24"/>
      <c r="AQ555" s="24"/>
      <c r="AR555" s="24"/>
      <c r="DD555" s="24"/>
      <c r="DE555" s="24"/>
      <c r="DF555" s="24"/>
      <c r="DG555" s="24"/>
      <c r="DJ555" s="24">
        <v>2018</v>
      </c>
      <c r="DK555" s="24">
        <v>42</v>
      </c>
      <c r="DL555" s="24" t="s">
        <v>33</v>
      </c>
      <c r="DM555" s="24">
        <v>1578</v>
      </c>
      <c r="DP555" s="24"/>
      <c r="DQ555" s="24"/>
      <c r="DR555" s="24"/>
      <c r="DS555" s="24"/>
      <c r="EI555" s="24">
        <v>2022</v>
      </c>
      <c r="EJ555" s="24">
        <v>45</v>
      </c>
      <c r="EK555" s="24" t="s">
        <v>33</v>
      </c>
      <c r="EL555" s="24" t="s">
        <v>233</v>
      </c>
      <c r="EM555" s="24" t="s">
        <v>210</v>
      </c>
      <c r="EN555" s="24">
        <v>1</v>
      </c>
      <c r="EO555" s="24"/>
      <c r="EP555" s="24"/>
      <c r="ES555" s="24">
        <v>2019</v>
      </c>
      <c r="ET555" s="24">
        <v>30</v>
      </c>
      <c r="EU555" s="24" t="s">
        <v>213</v>
      </c>
      <c r="EV555" s="24">
        <v>8</v>
      </c>
      <c r="FW555" s="24">
        <v>2018</v>
      </c>
      <c r="FX555" s="24">
        <v>13</v>
      </c>
      <c r="FY555" s="24" t="s">
        <v>33</v>
      </c>
      <c r="FZ555" s="24">
        <v>8332</v>
      </c>
      <c r="GA555" s="24">
        <v>6803</v>
      </c>
      <c r="GB555" s="24"/>
      <c r="GC555" s="24"/>
      <c r="GD555" s="24"/>
      <c r="GE555" s="24"/>
      <c r="GF555" s="24"/>
      <c r="GG555" s="24"/>
      <c r="GH555" s="24"/>
      <c r="GK555" s="24"/>
      <c r="GL555" s="24"/>
      <c r="GM555" s="24"/>
      <c r="GN555" s="24"/>
      <c r="GO555" s="24"/>
      <c r="GX555">
        <v>2018</v>
      </c>
      <c r="GY555">
        <v>13</v>
      </c>
      <c r="GZ555" t="s">
        <v>33</v>
      </c>
      <c r="HA555">
        <v>152538</v>
      </c>
      <c r="HB555">
        <v>144769</v>
      </c>
      <c r="HC555">
        <v>2679</v>
      </c>
      <c r="HD555">
        <v>332</v>
      </c>
      <c r="HE555">
        <v>0</v>
      </c>
      <c r="HF555">
        <v>3243</v>
      </c>
      <c r="HG555">
        <v>0</v>
      </c>
      <c r="HH555">
        <v>0</v>
      </c>
      <c r="HI555">
        <v>1552</v>
      </c>
      <c r="HZ555" s="24">
        <v>2018</v>
      </c>
      <c r="IA555" s="24">
        <v>13</v>
      </c>
      <c r="IB555" s="24" t="s">
        <v>33</v>
      </c>
      <c r="IC555" s="24">
        <v>8694</v>
      </c>
      <c r="ID555" s="24">
        <v>6931</v>
      </c>
    </row>
    <row r="556" spans="9:238" x14ac:dyDescent="0.4">
      <c r="I556" s="305">
        <v>2018</v>
      </c>
      <c r="J556" s="306">
        <v>13</v>
      </c>
      <c r="K556" s="306" t="s">
        <v>33</v>
      </c>
      <c r="L556" s="306">
        <v>150836</v>
      </c>
      <c r="M556" s="306">
        <v>139808</v>
      </c>
      <c r="N556" s="306">
        <v>411</v>
      </c>
      <c r="O556" s="306">
        <v>6344</v>
      </c>
      <c r="P556" s="306">
        <v>865</v>
      </c>
      <c r="Q556" s="306"/>
      <c r="R556" s="24"/>
      <c r="S556" s="24"/>
      <c r="T556" s="24"/>
      <c r="AI556" s="24"/>
      <c r="AJ556" s="24"/>
      <c r="AO556" s="24"/>
      <c r="AP556" s="24"/>
      <c r="AQ556" s="24"/>
      <c r="AR556" s="24"/>
      <c r="DD556" s="24"/>
      <c r="DE556" s="24"/>
      <c r="DF556" s="24"/>
      <c r="DG556" s="24"/>
      <c r="DJ556" s="24">
        <v>2018</v>
      </c>
      <c r="DK556" s="24">
        <v>41</v>
      </c>
      <c r="DL556" s="24" t="s">
        <v>32</v>
      </c>
      <c r="DM556" s="24">
        <v>296</v>
      </c>
      <c r="DP556" s="24"/>
      <c r="DQ556" s="24"/>
      <c r="DR556" s="24"/>
      <c r="DS556" s="24"/>
      <c r="EI556" s="24">
        <v>2022</v>
      </c>
      <c r="EJ556" s="24">
        <v>45</v>
      </c>
      <c r="EK556" s="24" t="s">
        <v>33</v>
      </c>
      <c r="EL556" s="24" t="s">
        <v>233</v>
      </c>
      <c r="EM556" s="24" t="s">
        <v>234</v>
      </c>
      <c r="EN556" s="24">
        <v>1</v>
      </c>
      <c r="EO556" s="24"/>
      <c r="EP556" s="24"/>
      <c r="ES556" s="24">
        <v>2019</v>
      </c>
      <c r="ET556" s="24">
        <v>29</v>
      </c>
      <c r="EU556" s="24" t="s">
        <v>32</v>
      </c>
      <c r="EV556" s="24">
        <v>2966</v>
      </c>
      <c r="FW556" s="24">
        <v>2018</v>
      </c>
      <c r="FX556" s="24">
        <v>12</v>
      </c>
      <c r="FY556" s="24" t="s">
        <v>32</v>
      </c>
      <c r="FZ556" s="24">
        <v>700</v>
      </c>
      <c r="GA556" s="24">
        <v>564</v>
      </c>
      <c r="GB556" s="24"/>
      <c r="GC556" s="24"/>
      <c r="GD556" s="24"/>
      <c r="GE556" s="24"/>
      <c r="GF556" s="24"/>
      <c r="GG556" s="24"/>
      <c r="GH556" s="24"/>
      <c r="GK556" s="24"/>
      <c r="GL556" s="24"/>
      <c r="GM556" s="24"/>
      <c r="GN556" s="24"/>
      <c r="GO556" s="24"/>
      <c r="GX556">
        <v>2018</v>
      </c>
      <c r="GY556">
        <v>12</v>
      </c>
      <c r="GZ556" t="s">
        <v>32</v>
      </c>
      <c r="HA556">
        <v>5231</v>
      </c>
      <c r="HB556">
        <v>4987</v>
      </c>
      <c r="HC556">
        <v>67</v>
      </c>
      <c r="HD556">
        <v>14</v>
      </c>
      <c r="HE556">
        <v>0</v>
      </c>
      <c r="HF556">
        <v>5</v>
      </c>
      <c r="HG556">
        <v>0</v>
      </c>
      <c r="HH556">
        <v>0</v>
      </c>
      <c r="HI556">
        <v>107</v>
      </c>
      <c r="HZ556" s="24">
        <v>2018</v>
      </c>
      <c r="IA556" s="24">
        <v>12</v>
      </c>
      <c r="IB556" s="24" t="s">
        <v>32</v>
      </c>
      <c r="IC556" s="24">
        <v>685</v>
      </c>
      <c r="ID556" s="24">
        <v>562</v>
      </c>
    </row>
    <row r="557" spans="9:238" x14ac:dyDescent="0.4">
      <c r="I557" s="305">
        <v>2018</v>
      </c>
      <c r="J557" s="306">
        <v>12</v>
      </c>
      <c r="K557" s="306" t="s">
        <v>32</v>
      </c>
      <c r="L557" s="306">
        <v>5338</v>
      </c>
      <c r="M557" s="306">
        <v>5068</v>
      </c>
      <c r="N557" s="306">
        <v>28</v>
      </c>
      <c r="O557" s="306">
        <v>159</v>
      </c>
      <c r="P557" s="306">
        <v>22</v>
      </c>
      <c r="Q557" s="306"/>
      <c r="R557" s="24"/>
      <c r="S557" s="24"/>
      <c r="T557" s="24"/>
      <c r="AI557" s="24"/>
      <c r="AJ557" s="24"/>
      <c r="AO557" s="24"/>
      <c r="AP557" s="24"/>
      <c r="AQ557" s="24"/>
      <c r="AR557" s="24"/>
      <c r="DD557" s="24"/>
      <c r="DE557" s="24"/>
      <c r="DF557" s="24"/>
      <c r="DG557" s="24"/>
      <c r="DJ557" s="24">
        <v>2018</v>
      </c>
      <c r="DK557" s="24">
        <v>41</v>
      </c>
      <c r="DL557" s="24" t="s">
        <v>33</v>
      </c>
      <c r="DM557" s="24">
        <v>2295</v>
      </c>
      <c r="DP557" s="24"/>
      <c r="DQ557" s="24"/>
      <c r="DR557" s="24"/>
      <c r="DS557" s="24"/>
      <c r="EI557" s="24">
        <v>2022</v>
      </c>
      <c r="EJ557" s="24">
        <v>45</v>
      </c>
      <c r="EK557" s="24" t="s">
        <v>33</v>
      </c>
      <c r="EL557" s="24" t="s">
        <v>233</v>
      </c>
      <c r="EM557" s="24" t="s">
        <v>215</v>
      </c>
      <c r="EN557" s="24">
        <v>5</v>
      </c>
      <c r="EO557" s="24"/>
      <c r="EP557" s="24"/>
      <c r="ES557" s="24">
        <v>2019</v>
      </c>
      <c r="ET557" s="24">
        <v>29</v>
      </c>
      <c r="EU557" s="24" t="s">
        <v>33</v>
      </c>
      <c r="EV557" s="24">
        <v>106684</v>
      </c>
      <c r="FW557" s="24">
        <v>2018</v>
      </c>
      <c r="FX557" s="24">
        <v>12</v>
      </c>
      <c r="FY557" s="24" t="s">
        <v>33</v>
      </c>
      <c r="FZ557" s="24">
        <v>6812</v>
      </c>
      <c r="GA557" s="24">
        <v>5727</v>
      </c>
      <c r="GB557" s="24"/>
      <c r="GC557" s="24"/>
      <c r="GD557" s="24"/>
      <c r="GE557" s="24"/>
      <c r="GF557" s="24"/>
      <c r="GG557" s="24"/>
      <c r="GH557" s="24"/>
      <c r="GK557" s="24"/>
      <c r="GL557" s="24"/>
      <c r="GM557" s="24"/>
      <c r="GN557" s="24"/>
      <c r="GO557" s="24"/>
      <c r="GX557">
        <v>2018</v>
      </c>
      <c r="GY557">
        <v>12</v>
      </c>
      <c r="GZ557" t="s">
        <v>33</v>
      </c>
      <c r="HA557">
        <v>141636</v>
      </c>
      <c r="HB557">
        <v>138463</v>
      </c>
      <c r="HC557">
        <v>698</v>
      </c>
      <c r="HD557">
        <v>90</v>
      </c>
      <c r="HE557">
        <v>0</v>
      </c>
      <c r="HF557">
        <v>980</v>
      </c>
      <c r="HG557">
        <v>0</v>
      </c>
      <c r="HH557">
        <v>0</v>
      </c>
      <c r="HI557">
        <v>954</v>
      </c>
      <c r="HZ557" s="24">
        <v>2018</v>
      </c>
      <c r="IA557" s="24">
        <v>12</v>
      </c>
      <c r="IB557" s="24" t="s">
        <v>33</v>
      </c>
      <c r="IC557" s="24">
        <v>6802</v>
      </c>
      <c r="ID557" s="24">
        <v>5761</v>
      </c>
    </row>
    <row r="558" spans="9:238" x14ac:dyDescent="0.4">
      <c r="I558" s="305">
        <v>2018</v>
      </c>
      <c r="J558" s="306">
        <v>12</v>
      </c>
      <c r="K558" s="306" t="s">
        <v>33</v>
      </c>
      <c r="L558" s="306">
        <v>144850</v>
      </c>
      <c r="M558" s="306">
        <v>138226</v>
      </c>
      <c r="N558" s="306">
        <v>521</v>
      </c>
      <c r="O558" s="306">
        <v>3765</v>
      </c>
      <c r="P558" s="306">
        <v>610</v>
      </c>
      <c r="Q558" s="306"/>
      <c r="R558" s="24"/>
      <c r="S558" s="24"/>
      <c r="T558" s="24"/>
      <c r="AI558" s="24"/>
      <c r="AJ558" s="24"/>
      <c r="AO558" s="24"/>
      <c r="AP558" s="24"/>
      <c r="AQ558" s="24"/>
      <c r="AR558" s="24"/>
      <c r="DD558" s="24"/>
      <c r="DE558" s="24"/>
      <c r="DF558" s="24"/>
      <c r="DG558" s="24"/>
      <c r="DJ558" s="24">
        <v>2018</v>
      </c>
      <c r="DK558" s="24">
        <v>40</v>
      </c>
      <c r="DL558" s="24" t="s">
        <v>32</v>
      </c>
      <c r="DM558" s="24">
        <v>82</v>
      </c>
      <c r="DP558" s="24"/>
      <c r="DQ558" s="24"/>
      <c r="DR558" s="24"/>
      <c r="DS558" s="24"/>
      <c r="EI558" s="24">
        <v>2022</v>
      </c>
      <c r="EJ558" s="24">
        <v>45</v>
      </c>
      <c r="EK558" s="24" t="s">
        <v>33</v>
      </c>
      <c r="EL558" s="24" t="s">
        <v>244</v>
      </c>
      <c r="EM558" s="24" t="s">
        <v>210</v>
      </c>
      <c r="EN558" s="24">
        <v>5</v>
      </c>
      <c r="EO558" s="24"/>
      <c r="EP558" s="24"/>
      <c r="ES558" s="24">
        <v>2019</v>
      </c>
      <c r="ET558" s="24">
        <v>29</v>
      </c>
      <c r="EU558" s="24" t="s">
        <v>213</v>
      </c>
      <c r="EV558" s="24">
        <v>12</v>
      </c>
      <c r="FW558" s="24">
        <v>2018</v>
      </c>
      <c r="FX558" s="24">
        <v>11</v>
      </c>
      <c r="FY558" s="24" t="s">
        <v>32</v>
      </c>
      <c r="FZ558" s="24">
        <v>661</v>
      </c>
      <c r="GA558" s="24">
        <v>563</v>
      </c>
      <c r="GB558" s="24"/>
      <c r="GC558" s="24"/>
      <c r="GD558" s="24"/>
      <c r="GE558" s="24"/>
      <c r="GF558" s="24"/>
      <c r="GG558" s="24"/>
      <c r="GH558" s="24"/>
      <c r="GK558" s="24"/>
      <c r="GL558" s="24"/>
      <c r="GM558" s="24"/>
      <c r="GN558" s="24"/>
      <c r="GO558" s="24"/>
      <c r="GX558">
        <v>2018</v>
      </c>
      <c r="GY558">
        <v>11</v>
      </c>
      <c r="GZ558" t="s">
        <v>32</v>
      </c>
      <c r="HA558">
        <v>5137</v>
      </c>
      <c r="HB558">
        <v>4847</v>
      </c>
      <c r="HC558">
        <v>36</v>
      </c>
      <c r="HD558">
        <v>6</v>
      </c>
      <c r="HE558">
        <v>0</v>
      </c>
      <c r="HF558">
        <v>28</v>
      </c>
      <c r="HG558">
        <v>0</v>
      </c>
      <c r="HH558">
        <v>0</v>
      </c>
      <c r="HI558">
        <v>47</v>
      </c>
      <c r="HZ558" s="24">
        <v>2018</v>
      </c>
      <c r="IA558" s="24">
        <v>11</v>
      </c>
      <c r="IB558" s="24" t="s">
        <v>32</v>
      </c>
      <c r="IC558" s="24">
        <v>658</v>
      </c>
      <c r="ID558" s="24">
        <v>538</v>
      </c>
    </row>
    <row r="559" spans="9:238" x14ac:dyDescent="0.4">
      <c r="I559" s="305">
        <v>2018</v>
      </c>
      <c r="J559" s="306">
        <v>11</v>
      </c>
      <c r="K559" s="306" t="s">
        <v>32</v>
      </c>
      <c r="L559" s="306">
        <v>5152</v>
      </c>
      <c r="M559" s="306">
        <v>4874</v>
      </c>
      <c r="N559" s="306">
        <v>16</v>
      </c>
      <c r="O559" s="306">
        <v>212</v>
      </c>
      <c r="P559" s="306">
        <v>31</v>
      </c>
      <c r="Q559" s="306"/>
      <c r="R559" s="24"/>
      <c r="S559" s="24"/>
      <c r="T559" s="24"/>
      <c r="AI559" s="24"/>
      <c r="AJ559" s="24"/>
      <c r="AO559" s="24"/>
      <c r="AP559" s="24"/>
      <c r="AQ559" s="24"/>
      <c r="AR559" s="24"/>
      <c r="DD559" s="24"/>
      <c r="DE559" s="24"/>
      <c r="DF559" s="24"/>
      <c r="DG559" s="24"/>
      <c r="DJ559" s="24">
        <v>2018</v>
      </c>
      <c r="DK559" s="24">
        <v>40</v>
      </c>
      <c r="DL559" s="24" t="s">
        <v>33</v>
      </c>
      <c r="DM559" s="24">
        <v>1858</v>
      </c>
      <c r="DP559" s="24"/>
      <c r="DQ559" s="24"/>
      <c r="DR559" s="24"/>
      <c r="DS559" s="24"/>
      <c r="EI559" s="24">
        <v>2022</v>
      </c>
      <c r="EJ559" s="24">
        <v>45</v>
      </c>
      <c r="EK559" s="24" t="s">
        <v>33</v>
      </c>
      <c r="EL559" s="24" t="s">
        <v>238</v>
      </c>
      <c r="EM559" s="24" t="s">
        <v>210</v>
      </c>
      <c r="EN559" s="24">
        <v>30</v>
      </c>
      <c r="EO559" s="24"/>
      <c r="EP559" s="24"/>
      <c r="ES559" s="24">
        <v>2019</v>
      </c>
      <c r="ET559" s="24">
        <v>28</v>
      </c>
      <c r="EU559" s="24" t="s">
        <v>32</v>
      </c>
      <c r="EV559" s="24">
        <v>3570</v>
      </c>
      <c r="FW559" s="24">
        <v>2018</v>
      </c>
      <c r="FX559" s="24">
        <v>11</v>
      </c>
      <c r="FY559" s="24" t="s">
        <v>33</v>
      </c>
      <c r="FZ559" s="24">
        <v>7895</v>
      </c>
      <c r="GA559" s="24">
        <v>6227</v>
      </c>
      <c r="GB559" s="24"/>
      <c r="GC559" s="24"/>
      <c r="GD559" s="24"/>
      <c r="GE559" s="24"/>
      <c r="GF559" s="24"/>
      <c r="GG559" s="24"/>
      <c r="GH559" s="24"/>
      <c r="GK559" s="24"/>
      <c r="GL559" s="24"/>
      <c r="GM559" s="24"/>
      <c r="GN559" s="24"/>
      <c r="GO559" s="24"/>
      <c r="GX559">
        <v>2018</v>
      </c>
      <c r="GY559">
        <v>11</v>
      </c>
      <c r="GZ559" t="s">
        <v>33</v>
      </c>
      <c r="HA559">
        <v>172803</v>
      </c>
      <c r="HB559">
        <v>164107</v>
      </c>
      <c r="HC559">
        <v>1419</v>
      </c>
      <c r="HD559">
        <v>123</v>
      </c>
      <c r="HE559">
        <v>0</v>
      </c>
      <c r="HF559">
        <v>4183</v>
      </c>
      <c r="HG559">
        <v>0</v>
      </c>
      <c r="HH559">
        <v>0</v>
      </c>
      <c r="HI559">
        <v>1428</v>
      </c>
      <c r="HZ559" s="24">
        <v>2018</v>
      </c>
      <c r="IA559" s="24">
        <v>11</v>
      </c>
      <c r="IB559" s="24" t="s">
        <v>33</v>
      </c>
      <c r="IC559" s="24">
        <v>7947</v>
      </c>
      <c r="ID559" s="24">
        <v>6198</v>
      </c>
    </row>
    <row r="560" spans="9:238" x14ac:dyDescent="0.4">
      <c r="I560" s="305">
        <v>2018</v>
      </c>
      <c r="J560" s="306">
        <v>11</v>
      </c>
      <c r="K560" s="306" t="s">
        <v>33</v>
      </c>
      <c r="L560" s="306">
        <v>170543</v>
      </c>
      <c r="M560" s="306">
        <v>158274</v>
      </c>
      <c r="N560" s="306">
        <v>541</v>
      </c>
      <c r="O560" s="306">
        <v>6567</v>
      </c>
      <c r="P560" s="306">
        <v>775</v>
      </c>
      <c r="Q560" s="306"/>
      <c r="R560" s="24"/>
      <c r="S560" s="24"/>
      <c r="T560" s="24"/>
      <c r="AI560" s="24"/>
      <c r="AJ560" s="24"/>
      <c r="AO560" s="24"/>
      <c r="AP560" s="24"/>
      <c r="AQ560" s="24"/>
      <c r="AR560" s="24"/>
      <c r="DD560" s="24"/>
      <c r="DE560" s="24"/>
      <c r="DF560" s="24"/>
      <c r="DG560" s="24"/>
      <c r="DJ560" s="24">
        <v>2018</v>
      </c>
      <c r="DK560" s="24">
        <v>39</v>
      </c>
      <c r="DL560" s="24" t="s">
        <v>32</v>
      </c>
      <c r="DM560" s="24">
        <v>80</v>
      </c>
      <c r="DP560" s="24"/>
      <c r="DQ560" s="24"/>
      <c r="DR560" s="24"/>
      <c r="DS560" s="24"/>
      <c r="EI560" s="24">
        <v>2022</v>
      </c>
      <c r="EJ560" s="24">
        <v>45</v>
      </c>
      <c r="EK560" s="24" t="s">
        <v>33</v>
      </c>
      <c r="EL560" s="24" t="s">
        <v>247</v>
      </c>
      <c r="EM560" s="24" t="s">
        <v>234</v>
      </c>
      <c r="EN560" s="24">
        <v>1</v>
      </c>
      <c r="EO560" s="24"/>
      <c r="EP560" s="24"/>
      <c r="ES560" s="24">
        <v>2019</v>
      </c>
      <c r="ET560" s="24">
        <v>28</v>
      </c>
      <c r="EU560" s="24" t="s">
        <v>33</v>
      </c>
      <c r="EV560" s="24">
        <v>109730</v>
      </c>
      <c r="FW560" s="24">
        <v>2018</v>
      </c>
      <c r="FX560" s="24">
        <v>10</v>
      </c>
      <c r="FY560" s="24" t="s">
        <v>32</v>
      </c>
      <c r="FZ560" s="24">
        <v>658</v>
      </c>
      <c r="GA560" s="24">
        <v>519</v>
      </c>
      <c r="GB560" s="24"/>
      <c r="GC560" s="24"/>
      <c r="GD560" s="24"/>
      <c r="GE560" s="24"/>
      <c r="GF560" s="24"/>
      <c r="GG560" s="24"/>
      <c r="GH560" s="24"/>
      <c r="GK560" s="24"/>
      <c r="GL560" s="24"/>
      <c r="GM560" s="24"/>
      <c r="GN560" s="24"/>
      <c r="GO560" s="24"/>
      <c r="GX560">
        <v>2018</v>
      </c>
      <c r="GY560">
        <v>10</v>
      </c>
      <c r="GZ560" t="s">
        <v>32</v>
      </c>
      <c r="HA560">
        <v>5521</v>
      </c>
      <c r="HB560">
        <v>5127</v>
      </c>
      <c r="HC560">
        <v>87</v>
      </c>
      <c r="HD560">
        <v>11</v>
      </c>
      <c r="HE560">
        <v>0</v>
      </c>
      <c r="HF560">
        <v>105</v>
      </c>
      <c r="HG560">
        <v>0</v>
      </c>
      <c r="HH560">
        <v>0</v>
      </c>
      <c r="HI560">
        <v>95</v>
      </c>
      <c r="HZ560" s="24">
        <v>2018</v>
      </c>
      <c r="IA560" s="24">
        <v>10</v>
      </c>
      <c r="IB560" s="24" t="s">
        <v>32</v>
      </c>
      <c r="IC560" s="24">
        <v>605</v>
      </c>
      <c r="ID560" s="24">
        <v>466</v>
      </c>
    </row>
    <row r="561" spans="9:238" x14ac:dyDescent="0.4">
      <c r="I561" s="305">
        <v>2018</v>
      </c>
      <c r="J561" s="306">
        <v>10</v>
      </c>
      <c r="K561" s="306" t="s">
        <v>32</v>
      </c>
      <c r="L561" s="306">
        <v>5787</v>
      </c>
      <c r="M561" s="306">
        <v>5363</v>
      </c>
      <c r="N561" s="306">
        <v>25</v>
      </c>
      <c r="O561" s="306">
        <v>293</v>
      </c>
      <c r="P561" s="306">
        <v>21</v>
      </c>
      <c r="Q561" s="306">
        <v>1</v>
      </c>
      <c r="R561" s="24"/>
      <c r="S561" s="24"/>
      <c r="T561" s="24"/>
      <c r="AI561" s="24"/>
      <c r="AJ561" s="24"/>
      <c r="AO561" s="24"/>
      <c r="AP561" s="24"/>
      <c r="AQ561" s="24"/>
      <c r="AR561" s="24"/>
      <c r="DD561" s="24"/>
      <c r="DE561" s="24"/>
      <c r="DF561" s="24"/>
      <c r="DG561" s="24"/>
      <c r="DJ561" s="24">
        <v>2018</v>
      </c>
      <c r="DK561" s="24">
        <v>39</v>
      </c>
      <c r="DL561" s="24" t="s">
        <v>33</v>
      </c>
      <c r="DM561" s="24">
        <v>1482</v>
      </c>
      <c r="DP561" s="24"/>
      <c r="DQ561" s="24"/>
      <c r="DR561" s="24"/>
      <c r="DS561" s="24"/>
      <c r="EI561" s="24">
        <v>2022</v>
      </c>
      <c r="EJ561" s="24">
        <v>45</v>
      </c>
      <c r="EK561" s="24" t="s">
        <v>237</v>
      </c>
      <c r="EL561" s="24" t="s">
        <v>555</v>
      </c>
      <c r="EM561" s="24" t="s">
        <v>210</v>
      </c>
      <c r="EN561" s="24">
        <v>1</v>
      </c>
      <c r="EO561" s="24"/>
      <c r="EP561" s="24"/>
      <c r="ES561" s="24">
        <v>2019</v>
      </c>
      <c r="ET561" s="24">
        <v>28</v>
      </c>
      <c r="EU561" s="24" t="s">
        <v>213</v>
      </c>
      <c r="EV561" s="24">
        <v>9</v>
      </c>
      <c r="FW561" s="24">
        <v>2018</v>
      </c>
      <c r="FX561" s="24">
        <v>10</v>
      </c>
      <c r="FY561" s="24" t="s">
        <v>33</v>
      </c>
      <c r="FZ561" s="24">
        <v>6740</v>
      </c>
      <c r="GA561" s="24">
        <v>5463</v>
      </c>
      <c r="GB561" s="24"/>
      <c r="GC561" s="24"/>
      <c r="GD561" s="24"/>
      <c r="GE561" s="24"/>
      <c r="GF561" s="24"/>
      <c r="GG561" s="24"/>
      <c r="GH561" s="24"/>
      <c r="GK561" s="24"/>
      <c r="GL561" s="24"/>
      <c r="GM561" s="24"/>
      <c r="GN561" s="24"/>
      <c r="GO561" s="24"/>
      <c r="GX561">
        <v>2018</v>
      </c>
      <c r="GY561">
        <v>10</v>
      </c>
      <c r="GZ561" t="s">
        <v>33</v>
      </c>
      <c r="HA561">
        <v>137321</v>
      </c>
      <c r="HB561">
        <v>131267</v>
      </c>
      <c r="HC561">
        <v>1471</v>
      </c>
      <c r="HD561">
        <v>264</v>
      </c>
      <c r="HE561">
        <v>0</v>
      </c>
      <c r="HF561">
        <v>3006</v>
      </c>
      <c r="HG561">
        <v>0</v>
      </c>
      <c r="HH561">
        <v>0</v>
      </c>
      <c r="HI561">
        <v>1173</v>
      </c>
      <c r="HZ561" s="24">
        <v>2018</v>
      </c>
      <c r="IA561" s="24">
        <v>10</v>
      </c>
      <c r="IB561" s="24" t="s">
        <v>33</v>
      </c>
      <c r="IC561" s="24">
        <v>6666</v>
      </c>
      <c r="ID561" s="24">
        <v>5460</v>
      </c>
    </row>
    <row r="562" spans="9:238" x14ac:dyDescent="0.4">
      <c r="I562" s="305">
        <v>2018</v>
      </c>
      <c r="J562" s="306">
        <v>10</v>
      </c>
      <c r="K562" s="306" t="s">
        <v>33</v>
      </c>
      <c r="L562" s="306">
        <v>135522</v>
      </c>
      <c r="M562" s="306">
        <v>126092</v>
      </c>
      <c r="N562" s="306">
        <v>371</v>
      </c>
      <c r="O562" s="306">
        <v>4808</v>
      </c>
      <c r="P562" s="306">
        <v>542</v>
      </c>
      <c r="Q562" s="306">
        <v>2</v>
      </c>
      <c r="R562" s="24"/>
      <c r="S562" s="24"/>
      <c r="T562" s="24"/>
      <c r="AI562" s="24"/>
      <c r="AJ562" s="24"/>
      <c r="AO562" s="24"/>
      <c r="AP562" s="24"/>
      <c r="AQ562" s="24"/>
      <c r="AR562" s="24"/>
      <c r="DD562" s="24"/>
      <c r="DE562" s="24"/>
      <c r="DF562" s="24"/>
      <c r="DG562" s="24"/>
      <c r="DJ562" s="24">
        <v>2018</v>
      </c>
      <c r="DK562" s="24">
        <v>38</v>
      </c>
      <c r="DL562" s="24" t="s">
        <v>32</v>
      </c>
      <c r="DM562" s="24">
        <v>219</v>
      </c>
      <c r="DP562" s="24"/>
      <c r="DQ562" s="24"/>
      <c r="DR562" s="24"/>
      <c r="DS562" s="24"/>
      <c r="EI562" s="24">
        <v>2022</v>
      </c>
      <c r="EJ562" s="24">
        <v>45</v>
      </c>
      <c r="EK562" s="24" t="s">
        <v>237</v>
      </c>
      <c r="EL562" s="24" t="s">
        <v>557</v>
      </c>
      <c r="EM562" s="24" t="s">
        <v>215</v>
      </c>
      <c r="EN562" s="24">
        <v>1</v>
      </c>
      <c r="EO562" s="24"/>
      <c r="EP562" s="24"/>
      <c r="ES562" s="24">
        <v>2019</v>
      </c>
      <c r="ET562" s="24">
        <v>27</v>
      </c>
      <c r="EU562" s="24" t="s">
        <v>32</v>
      </c>
      <c r="EV562" s="24">
        <v>2704</v>
      </c>
      <c r="FW562" s="24">
        <v>2018</v>
      </c>
      <c r="FX562" s="24">
        <v>9</v>
      </c>
      <c r="FY562" s="24" t="s">
        <v>32</v>
      </c>
      <c r="FZ562" s="24">
        <v>763</v>
      </c>
      <c r="GA562" s="24">
        <v>619</v>
      </c>
      <c r="GB562" s="24"/>
      <c r="GC562" s="24"/>
      <c r="GD562" s="24"/>
      <c r="GE562" s="24"/>
      <c r="GF562" s="24"/>
      <c r="GG562" s="24"/>
      <c r="GH562" s="24"/>
      <c r="GK562" s="24"/>
      <c r="GL562" s="24"/>
      <c r="GM562" s="24"/>
      <c r="GN562" s="24"/>
      <c r="GO562" s="24"/>
      <c r="GX562">
        <v>2018</v>
      </c>
      <c r="GY562">
        <v>9</v>
      </c>
      <c r="GZ562" t="s">
        <v>32</v>
      </c>
      <c r="HA562">
        <v>6933</v>
      </c>
      <c r="HB562">
        <v>6354</v>
      </c>
      <c r="HC562">
        <v>136</v>
      </c>
      <c r="HD562">
        <v>22</v>
      </c>
      <c r="HE562">
        <v>0</v>
      </c>
      <c r="HF562">
        <v>104</v>
      </c>
      <c r="HG562">
        <v>0</v>
      </c>
      <c r="HH562">
        <v>0</v>
      </c>
      <c r="HI562">
        <v>105</v>
      </c>
      <c r="HZ562" s="24">
        <v>2018</v>
      </c>
      <c r="IA562" s="24">
        <v>9</v>
      </c>
      <c r="IB562" s="24" t="s">
        <v>32</v>
      </c>
      <c r="IC562" s="24">
        <v>754</v>
      </c>
      <c r="ID562" s="24">
        <v>613</v>
      </c>
    </row>
    <row r="563" spans="9:238" x14ac:dyDescent="0.4">
      <c r="I563" s="305">
        <v>2018</v>
      </c>
      <c r="J563" s="306">
        <v>9</v>
      </c>
      <c r="K563" s="306" t="s">
        <v>32</v>
      </c>
      <c r="L563" s="306">
        <v>6769</v>
      </c>
      <c r="M563" s="306">
        <v>6198</v>
      </c>
      <c r="N563" s="306">
        <v>34</v>
      </c>
      <c r="O563" s="306">
        <v>385</v>
      </c>
      <c r="P563" s="306">
        <v>29</v>
      </c>
      <c r="Q563" s="306"/>
      <c r="R563" s="24"/>
      <c r="S563" s="24"/>
      <c r="T563" s="24"/>
      <c r="AI563" s="24"/>
      <c r="AJ563" s="24"/>
      <c r="AO563" s="24"/>
      <c r="AP563" s="24"/>
      <c r="AQ563" s="24"/>
      <c r="AR563" s="24"/>
      <c r="DD563" s="24"/>
      <c r="DE563" s="24"/>
      <c r="DF563" s="24"/>
      <c r="DG563" s="24"/>
      <c r="DJ563" s="24">
        <v>2018</v>
      </c>
      <c r="DK563" s="24">
        <v>38</v>
      </c>
      <c r="DL563" s="24" t="s">
        <v>33</v>
      </c>
      <c r="DM563" s="24">
        <v>958</v>
      </c>
      <c r="DP563" s="24"/>
      <c r="DQ563" s="24"/>
      <c r="DR563" s="24"/>
      <c r="DS563" s="24"/>
      <c r="EI563" s="24">
        <v>2022</v>
      </c>
      <c r="EJ563" s="24">
        <v>45</v>
      </c>
      <c r="EK563" s="24" t="s">
        <v>237</v>
      </c>
      <c r="EL563" s="24" t="s">
        <v>233</v>
      </c>
      <c r="EM563" s="24" t="s">
        <v>215</v>
      </c>
      <c r="EN563" s="24">
        <v>4</v>
      </c>
      <c r="EO563" s="24"/>
      <c r="EP563" s="24"/>
      <c r="ES563" s="24">
        <v>2019</v>
      </c>
      <c r="ET563" s="24">
        <v>27</v>
      </c>
      <c r="EU563" s="24" t="s">
        <v>33</v>
      </c>
      <c r="EV563" s="24">
        <v>100966</v>
      </c>
      <c r="FW563" s="24">
        <v>2018</v>
      </c>
      <c r="FX563" s="24">
        <v>9</v>
      </c>
      <c r="FY563" s="24" t="s">
        <v>33</v>
      </c>
      <c r="FZ563" s="24">
        <v>8259</v>
      </c>
      <c r="GA563" s="24">
        <v>6074</v>
      </c>
      <c r="GB563" s="24"/>
      <c r="GC563" s="24"/>
      <c r="GD563" s="24"/>
      <c r="GE563" s="24"/>
      <c r="GF563" s="24"/>
      <c r="GG563" s="24"/>
      <c r="GH563" s="24"/>
      <c r="GK563" s="24"/>
      <c r="GL563" s="24"/>
      <c r="GM563" s="24"/>
      <c r="GN563" s="24"/>
      <c r="GO563" s="24"/>
      <c r="GX563">
        <v>2018</v>
      </c>
      <c r="GY563">
        <v>9</v>
      </c>
      <c r="GZ563" t="s">
        <v>33</v>
      </c>
      <c r="HA563">
        <v>170838</v>
      </c>
      <c r="HB563">
        <v>132653</v>
      </c>
      <c r="HC563">
        <v>2929</v>
      </c>
      <c r="HD563">
        <v>537</v>
      </c>
      <c r="HE563">
        <v>0</v>
      </c>
      <c r="HF563">
        <v>4062</v>
      </c>
      <c r="HG563">
        <v>0</v>
      </c>
      <c r="HH563">
        <v>0</v>
      </c>
      <c r="HI563">
        <v>5548</v>
      </c>
      <c r="HZ563" s="24">
        <v>2018</v>
      </c>
      <c r="IA563" s="24">
        <v>9</v>
      </c>
      <c r="IB563" s="24" t="s">
        <v>33</v>
      </c>
      <c r="IC563" s="24">
        <v>8259</v>
      </c>
      <c r="ID563" s="24">
        <v>6046</v>
      </c>
    </row>
    <row r="564" spans="9:238" x14ac:dyDescent="0.4">
      <c r="I564" s="305">
        <v>2018</v>
      </c>
      <c r="J564" s="306">
        <v>9</v>
      </c>
      <c r="K564" s="306" t="s">
        <v>33</v>
      </c>
      <c r="L564" s="306">
        <v>171700</v>
      </c>
      <c r="M564" s="306">
        <v>130179</v>
      </c>
      <c r="N564" s="306">
        <v>759</v>
      </c>
      <c r="O564" s="306">
        <v>20214</v>
      </c>
      <c r="P564" s="306">
        <v>1569</v>
      </c>
      <c r="Q564" s="306"/>
      <c r="R564" s="24"/>
      <c r="S564" s="24"/>
      <c r="T564" s="24"/>
      <c r="AI564" s="24"/>
      <c r="AJ564" s="24"/>
      <c r="AO564" s="24"/>
      <c r="AP564" s="24"/>
      <c r="AQ564" s="24"/>
      <c r="AR564" s="24"/>
      <c r="DD564" s="24"/>
      <c r="DE564" s="24"/>
      <c r="DF564" s="24"/>
      <c r="DG564" s="24"/>
      <c r="DJ564" s="24">
        <v>2018</v>
      </c>
      <c r="DK564" s="24">
        <v>37</v>
      </c>
      <c r="DL564" s="24" t="s">
        <v>32</v>
      </c>
      <c r="DM564" s="24">
        <v>81</v>
      </c>
      <c r="DP564" s="24"/>
      <c r="DQ564" s="24"/>
      <c r="DR564" s="24"/>
      <c r="DS564" s="24"/>
      <c r="EI564" s="24">
        <v>2022</v>
      </c>
      <c r="EJ564" s="24">
        <v>45</v>
      </c>
      <c r="EK564" s="24" t="s">
        <v>237</v>
      </c>
      <c r="EL564" s="24" t="s">
        <v>554</v>
      </c>
      <c r="EM564" s="24" t="s">
        <v>215</v>
      </c>
      <c r="EN564" s="24">
        <v>1</v>
      </c>
      <c r="EO564" s="24"/>
      <c r="EP564" s="24"/>
      <c r="ES564" s="24">
        <v>2019</v>
      </c>
      <c r="ET564" s="24">
        <v>27</v>
      </c>
      <c r="EU564" s="24" t="s">
        <v>213</v>
      </c>
      <c r="EV564" s="24">
        <v>6</v>
      </c>
      <c r="FW564" s="24">
        <v>2018</v>
      </c>
      <c r="FX564" s="24">
        <v>8</v>
      </c>
      <c r="FY564" s="24" t="s">
        <v>32</v>
      </c>
      <c r="FZ564" s="24">
        <v>614</v>
      </c>
      <c r="GA564" s="24">
        <v>527</v>
      </c>
      <c r="GB564" s="24"/>
      <c r="GC564" s="24"/>
      <c r="GD564" s="24"/>
      <c r="GE564" s="24"/>
      <c r="GF564" s="24"/>
      <c r="GG564" s="24"/>
      <c r="GH564" s="24"/>
      <c r="GK564" s="24"/>
      <c r="GL564" s="24"/>
      <c r="GM564" s="24"/>
      <c r="GN564" s="24"/>
      <c r="GO564" s="24"/>
      <c r="GX564">
        <v>2018</v>
      </c>
      <c r="GY564">
        <v>8</v>
      </c>
      <c r="GZ564" t="s">
        <v>32</v>
      </c>
      <c r="HA564">
        <v>5459</v>
      </c>
      <c r="HB564">
        <v>5213</v>
      </c>
      <c r="HC564">
        <v>43</v>
      </c>
      <c r="HD564">
        <v>5</v>
      </c>
      <c r="HE564">
        <v>0</v>
      </c>
      <c r="HF564">
        <v>29</v>
      </c>
      <c r="HG564">
        <v>0</v>
      </c>
      <c r="HH564">
        <v>0</v>
      </c>
      <c r="HI564">
        <v>66</v>
      </c>
      <c r="HZ564" s="24">
        <v>2018</v>
      </c>
      <c r="IA564" s="24">
        <v>8</v>
      </c>
      <c r="IB564" s="24" t="s">
        <v>32</v>
      </c>
      <c r="IC564" s="24">
        <v>606</v>
      </c>
      <c r="ID564" s="24">
        <v>522</v>
      </c>
    </row>
    <row r="565" spans="9:238" x14ac:dyDescent="0.4">
      <c r="I565" s="305">
        <v>2018</v>
      </c>
      <c r="J565" s="306">
        <v>8</v>
      </c>
      <c r="K565" s="306" t="s">
        <v>32</v>
      </c>
      <c r="L565" s="306">
        <v>5538</v>
      </c>
      <c r="M565" s="306">
        <v>5256</v>
      </c>
      <c r="N565" s="306">
        <v>16</v>
      </c>
      <c r="O565" s="306">
        <v>187</v>
      </c>
      <c r="P565" s="306">
        <v>16</v>
      </c>
      <c r="Q565" s="306"/>
      <c r="R565" s="24"/>
      <c r="S565" s="24"/>
      <c r="T565" s="24"/>
      <c r="AI565" s="24"/>
      <c r="AJ565" s="24"/>
      <c r="AO565" s="24"/>
      <c r="AP565" s="24"/>
      <c r="AQ565" s="24"/>
      <c r="AR565" s="24"/>
      <c r="DD565" s="24"/>
      <c r="DE565" s="24"/>
      <c r="DF565" s="24"/>
      <c r="DG565" s="24"/>
      <c r="DJ565" s="24">
        <v>2018</v>
      </c>
      <c r="DK565" s="24">
        <v>37</v>
      </c>
      <c r="DL565" s="24" t="s">
        <v>33</v>
      </c>
      <c r="DM565" s="24">
        <v>1673</v>
      </c>
      <c r="DP565" s="24"/>
      <c r="DQ565" s="24"/>
      <c r="DR565" s="24"/>
      <c r="DS565" s="24"/>
      <c r="EI565" s="24">
        <v>2022</v>
      </c>
      <c r="EJ565" s="24">
        <v>45</v>
      </c>
      <c r="EK565" s="24" t="s">
        <v>237</v>
      </c>
      <c r="EL565" s="24" t="s">
        <v>572</v>
      </c>
      <c r="EM565" s="24" t="s">
        <v>210</v>
      </c>
      <c r="EN565" s="24">
        <v>1</v>
      </c>
      <c r="EO565" s="24"/>
      <c r="EP565" s="24"/>
      <c r="ES565" s="24">
        <v>2019</v>
      </c>
      <c r="ET565" s="24">
        <v>26</v>
      </c>
      <c r="EU565" s="24" t="s">
        <v>32</v>
      </c>
      <c r="EV565" s="24">
        <v>2987</v>
      </c>
      <c r="FW565" s="24">
        <v>2018</v>
      </c>
      <c r="FX565" s="24">
        <v>8</v>
      </c>
      <c r="FY565" s="24" t="s">
        <v>33</v>
      </c>
      <c r="FZ565" s="24">
        <v>6841</v>
      </c>
      <c r="GA565" s="24">
        <v>5595</v>
      </c>
      <c r="GB565" s="24"/>
      <c r="GC565" s="24"/>
      <c r="GD565" s="24"/>
      <c r="GE565" s="24"/>
      <c r="GF565" s="24"/>
      <c r="GG565" s="24"/>
      <c r="GH565" s="24"/>
      <c r="GK565" s="24"/>
      <c r="GL565" s="24"/>
      <c r="GM565" s="24"/>
      <c r="GN565" s="24"/>
      <c r="GO565" s="24"/>
      <c r="GX565">
        <v>2018</v>
      </c>
      <c r="GY565">
        <v>8</v>
      </c>
      <c r="GZ565" t="s">
        <v>33</v>
      </c>
      <c r="HA565">
        <v>141663</v>
      </c>
      <c r="HB565">
        <v>134891</v>
      </c>
      <c r="HC565">
        <v>1228</v>
      </c>
      <c r="HD565">
        <v>480</v>
      </c>
      <c r="HE565">
        <v>0</v>
      </c>
      <c r="HF565">
        <v>3050</v>
      </c>
      <c r="HG565">
        <v>0</v>
      </c>
      <c r="HH565">
        <v>0</v>
      </c>
      <c r="HI565">
        <v>1167</v>
      </c>
      <c r="HZ565" s="24">
        <v>2018</v>
      </c>
      <c r="IA565" s="24">
        <v>8</v>
      </c>
      <c r="IB565" s="24" t="s">
        <v>33</v>
      </c>
      <c r="IC565" s="24">
        <v>6833</v>
      </c>
      <c r="ID565" s="24">
        <v>5515</v>
      </c>
    </row>
    <row r="566" spans="9:238" x14ac:dyDescent="0.4">
      <c r="I566" s="305">
        <v>2018</v>
      </c>
      <c r="J566" s="306">
        <v>8</v>
      </c>
      <c r="K566" s="306" t="s">
        <v>33</v>
      </c>
      <c r="L566" s="306">
        <v>141244</v>
      </c>
      <c r="M566" s="306">
        <v>131283</v>
      </c>
      <c r="N566" s="306">
        <v>368</v>
      </c>
      <c r="O566" s="306">
        <v>5324</v>
      </c>
      <c r="P566" s="306">
        <v>496</v>
      </c>
      <c r="Q566" s="306"/>
      <c r="R566" s="24"/>
      <c r="S566" s="24"/>
      <c r="T566" s="24"/>
      <c r="AI566" s="24"/>
      <c r="AJ566" s="24"/>
      <c r="AO566" s="24"/>
      <c r="AP566" s="24"/>
      <c r="AQ566" s="24"/>
      <c r="AR566" s="24"/>
      <c r="DD566" s="24"/>
      <c r="DE566" s="24"/>
      <c r="DF566" s="24"/>
      <c r="DG566" s="24"/>
      <c r="DJ566" s="24">
        <v>2018</v>
      </c>
      <c r="DK566" s="24">
        <v>36</v>
      </c>
      <c r="DL566" s="24" t="s">
        <v>32</v>
      </c>
      <c r="DM566" s="24">
        <v>38</v>
      </c>
      <c r="DP566" s="24"/>
      <c r="DQ566" s="24"/>
      <c r="DR566" s="24"/>
      <c r="DS566" s="24"/>
      <c r="EI566" s="24">
        <v>2022</v>
      </c>
      <c r="EJ566" s="24">
        <v>45</v>
      </c>
      <c r="EK566" s="24" t="s">
        <v>237</v>
      </c>
      <c r="EL566" s="24" t="s">
        <v>247</v>
      </c>
      <c r="EM566" s="24" t="s">
        <v>210</v>
      </c>
      <c r="EN566" s="24">
        <v>6</v>
      </c>
      <c r="EO566" s="24"/>
      <c r="EP566" s="24"/>
      <c r="ES566" s="24">
        <v>2019</v>
      </c>
      <c r="ET566" s="24">
        <v>26</v>
      </c>
      <c r="EU566" s="24" t="s">
        <v>33</v>
      </c>
      <c r="EV566" s="24">
        <v>101443</v>
      </c>
      <c r="FW566" s="24">
        <v>2018</v>
      </c>
      <c r="FX566" s="24">
        <v>7</v>
      </c>
      <c r="FY566" s="24" t="s">
        <v>32</v>
      </c>
      <c r="FZ566" s="24">
        <v>503</v>
      </c>
      <c r="GA566" s="24">
        <v>449</v>
      </c>
      <c r="GB566" s="24"/>
      <c r="GC566" s="24"/>
      <c r="GD566" s="24"/>
      <c r="GE566" s="24"/>
      <c r="GF566" s="24"/>
      <c r="GG566" s="24"/>
      <c r="GH566" s="24"/>
      <c r="GK566" s="24"/>
      <c r="GL566" s="24"/>
      <c r="GM566" s="24"/>
      <c r="GN566" s="24"/>
      <c r="GO566" s="24"/>
      <c r="GX566">
        <v>2018</v>
      </c>
      <c r="GY566">
        <v>7</v>
      </c>
      <c r="GZ566" t="s">
        <v>32</v>
      </c>
      <c r="HA566">
        <v>6747</v>
      </c>
      <c r="HB566">
        <v>5827</v>
      </c>
      <c r="HC566">
        <v>41</v>
      </c>
      <c r="HD566">
        <v>10</v>
      </c>
      <c r="HE566">
        <v>0</v>
      </c>
      <c r="HF566">
        <v>199</v>
      </c>
      <c r="HG566">
        <v>0</v>
      </c>
      <c r="HH566">
        <v>0</v>
      </c>
      <c r="HI566">
        <v>381</v>
      </c>
      <c r="HZ566" s="24">
        <v>2018</v>
      </c>
      <c r="IA566" s="24">
        <v>7</v>
      </c>
      <c r="IB566" s="24" t="s">
        <v>32</v>
      </c>
      <c r="IC566" s="24">
        <v>522</v>
      </c>
      <c r="ID566" s="24">
        <v>462</v>
      </c>
    </row>
    <row r="567" spans="9:238" x14ac:dyDescent="0.4">
      <c r="I567" s="305">
        <v>2018</v>
      </c>
      <c r="J567" s="306">
        <v>7</v>
      </c>
      <c r="K567" s="306" t="s">
        <v>32</v>
      </c>
      <c r="L567" s="306">
        <v>6566</v>
      </c>
      <c r="M567" s="306">
        <v>5668</v>
      </c>
      <c r="N567" s="306">
        <v>39</v>
      </c>
      <c r="O567" s="306">
        <v>705</v>
      </c>
      <c r="P567" s="306">
        <v>20</v>
      </c>
      <c r="Q567" s="306">
        <v>2</v>
      </c>
      <c r="R567" s="24"/>
      <c r="S567" s="24"/>
      <c r="T567" s="24"/>
      <c r="AI567" s="24"/>
      <c r="AJ567" s="24"/>
      <c r="AO567" s="24"/>
      <c r="AP567" s="24"/>
      <c r="AQ567" s="24"/>
      <c r="AR567" s="24"/>
      <c r="DD567" s="24"/>
      <c r="DE567" s="24"/>
      <c r="DF567" s="24"/>
      <c r="DG567" s="24"/>
      <c r="DJ567" s="24">
        <v>2018</v>
      </c>
      <c r="DK567" s="24">
        <v>36</v>
      </c>
      <c r="DL567" s="24" t="s">
        <v>33</v>
      </c>
      <c r="DM567" s="24">
        <v>1935</v>
      </c>
      <c r="DP567" s="24"/>
      <c r="DQ567" s="24"/>
      <c r="DR567" s="24"/>
      <c r="DS567" s="24"/>
      <c r="EI567" s="24">
        <v>2022</v>
      </c>
      <c r="EJ567" s="24">
        <v>45</v>
      </c>
      <c r="EK567" s="24" t="s">
        <v>211</v>
      </c>
      <c r="EL567" s="24" t="s">
        <v>232</v>
      </c>
      <c r="EM567" s="24" t="s">
        <v>210</v>
      </c>
      <c r="EN567" s="24">
        <v>1</v>
      </c>
      <c r="EO567" s="24"/>
      <c r="EP567" s="24"/>
      <c r="ES567" s="24">
        <v>2019</v>
      </c>
      <c r="ET567" s="24">
        <v>26</v>
      </c>
      <c r="EU567" s="24" t="s">
        <v>213</v>
      </c>
      <c r="EV567" s="24">
        <v>15</v>
      </c>
      <c r="FW567" s="24">
        <v>2018</v>
      </c>
      <c r="FX567" s="24">
        <v>7</v>
      </c>
      <c r="FY567" s="24" t="s">
        <v>33</v>
      </c>
      <c r="FZ567" s="24">
        <v>6599</v>
      </c>
      <c r="GA567" s="24">
        <v>5914</v>
      </c>
      <c r="GB567" s="24"/>
      <c r="GC567" s="24"/>
      <c r="GD567" s="24"/>
      <c r="GE567" s="24"/>
      <c r="GF567" s="24"/>
      <c r="GG567" s="24"/>
      <c r="GH567" s="24"/>
      <c r="GK567" s="24"/>
      <c r="GL567" s="24"/>
      <c r="GM567" s="24"/>
      <c r="GN567" s="24"/>
      <c r="GO567" s="24"/>
      <c r="GX567">
        <v>2018</v>
      </c>
      <c r="GY567">
        <v>7</v>
      </c>
      <c r="GZ567" t="s">
        <v>33</v>
      </c>
      <c r="HA567">
        <v>129965</v>
      </c>
      <c r="HB567">
        <v>127041</v>
      </c>
      <c r="HC567">
        <v>257</v>
      </c>
      <c r="HD567">
        <v>116</v>
      </c>
      <c r="HE567">
        <v>2</v>
      </c>
      <c r="HF567">
        <v>411</v>
      </c>
      <c r="HG567">
        <v>0</v>
      </c>
      <c r="HH567">
        <v>0</v>
      </c>
      <c r="HI567">
        <v>683</v>
      </c>
      <c r="HZ567" s="24">
        <v>2018</v>
      </c>
      <c r="IA567" s="24">
        <v>7</v>
      </c>
      <c r="IB567" s="24" t="s">
        <v>33</v>
      </c>
      <c r="IC567" s="24">
        <v>6714</v>
      </c>
      <c r="ID567" s="24">
        <v>6003</v>
      </c>
    </row>
    <row r="568" spans="9:238" x14ac:dyDescent="0.4">
      <c r="I568" s="305">
        <v>2018</v>
      </c>
      <c r="J568" s="306">
        <v>7</v>
      </c>
      <c r="K568" s="306" t="s">
        <v>33</v>
      </c>
      <c r="L568" s="306">
        <v>129040</v>
      </c>
      <c r="M568" s="306">
        <v>122465</v>
      </c>
      <c r="N568" s="306">
        <v>362</v>
      </c>
      <c r="O568" s="306">
        <v>3941</v>
      </c>
      <c r="P568" s="306">
        <v>534</v>
      </c>
      <c r="Q568" s="306"/>
      <c r="R568" s="24"/>
      <c r="S568" s="24"/>
      <c r="T568" s="24"/>
      <c r="AI568" s="24"/>
      <c r="AJ568" s="24"/>
      <c r="AO568" s="24"/>
      <c r="AP568" s="24"/>
      <c r="AQ568" s="24"/>
      <c r="AR568" s="24"/>
      <c r="DD568" s="24"/>
      <c r="DE568" s="24"/>
      <c r="DF568" s="24"/>
      <c r="DG568" s="24"/>
      <c r="DJ568" s="24">
        <v>2018</v>
      </c>
      <c r="DK568" s="24">
        <v>35</v>
      </c>
      <c r="DL568" s="24" t="s">
        <v>32</v>
      </c>
      <c r="DM568" s="24">
        <v>36</v>
      </c>
      <c r="DP568" s="24"/>
      <c r="DQ568" s="24"/>
      <c r="DR568" s="24"/>
      <c r="DS568" s="24"/>
      <c r="EI568" s="24">
        <v>2022</v>
      </c>
      <c r="EJ568" s="24">
        <v>45</v>
      </c>
      <c r="EK568" s="24" t="s">
        <v>211</v>
      </c>
      <c r="EL568" s="24" t="s">
        <v>232</v>
      </c>
      <c r="EM568" s="24" t="s">
        <v>234</v>
      </c>
      <c r="EN568" s="24">
        <v>1</v>
      </c>
      <c r="EO568" s="24"/>
      <c r="EP568" s="24"/>
      <c r="ES568" s="24">
        <v>2019</v>
      </c>
      <c r="ET568" s="24">
        <v>25</v>
      </c>
      <c r="EU568" s="24" t="s">
        <v>32</v>
      </c>
      <c r="EV568" s="24">
        <v>2818</v>
      </c>
      <c r="FW568" s="24">
        <v>2018</v>
      </c>
      <c r="FX568" s="24">
        <v>6</v>
      </c>
      <c r="FY568" s="24" t="s">
        <v>32</v>
      </c>
      <c r="FZ568" s="24">
        <v>589</v>
      </c>
      <c r="GA568" s="24">
        <v>466</v>
      </c>
      <c r="GB568" s="24"/>
      <c r="GC568" s="24"/>
      <c r="GD568" s="24"/>
      <c r="GE568" s="24"/>
      <c r="GF568" s="24"/>
      <c r="GG568" s="24"/>
      <c r="GH568" s="24"/>
      <c r="GK568" s="24"/>
      <c r="GL568" s="24"/>
      <c r="GM568" s="24"/>
      <c r="GN568" s="24"/>
      <c r="GO568" s="24"/>
      <c r="GX568">
        <v>2018</v>
      </c>
      <c r="GY568">
        <v>6</v>
      </c>
      <c r="GZ568" t="s">
        <v>32</v>
      </c>
      <c r="HA568">
        <v>4889</v>
      </c>
      <c r="HB568">
        <v>4613</v>
      </c>
      <c r="HC568">
        <v>24</v>
      </c>
      <c r="HD568">
        <v>10</v>
      </c>
      <c r="HE568">
        <v>0</v>
      </c>
      <c r="HF568">
        <v>1</v>
      </c>
      <c r="HG568">
        <v>0</v>
      </c>
      <c r="HH568">
        <v>0</v>
      </c>
      <c r="HI568">
        <v>84</v>
      </c>
      <c r="HZ568" s="24">
        <v>2018</v>
      </c>
      <c r="IA568" s="24">
        <v>6</v>
      </c>
      <c r="IB568" s="24" t="s">
        <v>32</v>
      </c>
      <c r="IC568" s="24">
        <v>531</v>
      </c>
      <c r="ID568" s="24">
        <v>457</v>
      </c>
    </row>
    <row r="569" spans="9:238" x14ac:dyDescent="0.4">
      <c r="I569" s="305">
        <v>2018</v>
      </c>
      <c r="J569" s="306">
        <v>6</v>
      </c>
      <c r="K569" s="306" t="s">
        <v>32</v>
      </c>
      <c r="L569" s="306">
        <v>5101</v>
      </c>
      <c r="M569" s="306">
        <v>4770</v>
      </c>
      <c r="N569" s="306">
        <v>30</v>
      </c>
      <c r="O569" s="306">
        <v>244</v>
      </c>
      <c r="P569" s="306">
        <v>16</v>
      </c>
      <c r="Q569" s="306"/>
      <c r="R569" s="24"/>
      <c r="S569" s="24"/>
      <c r="T569" s="24"/>
      <c r="AI569" s="24"/>
      <c r="AJ569" s="24"/>
      <c r="AO569" s="24"/>
      <c r="AP569" s="24"/>
      <c r="AQ569" s="24"/>
      <c r="AR569" s="24"/>
      <c r="DD569" s="24"/>
      <c r="DE569" s="24"/>
      <c r="DF569" s="24"/>
      <c r="DG569" s="24"/>
      <c r="DJ569" s="24">
        <v>2018</v>
      </c>
      <c r="DK569" s="24">
        <v>35</v>
      </c>
      <c r="DL569" s="24" t="s">
        <v>33</v>
      </c>
      <c r="DM569" s="24">
        <v>594</v>
      </c>
      <c r="DP569" s="24"/>
      <c r="DQ569" s="24"/>
      <c r="DR569" s="24"/>
      <c r="DS569" s="24"/>
      <c r="EI569" s="24">
        <v>2022</v>
      </c>
      <c r="EJ569" s="24">
        <v>45</v>
      </c>
      <c r="EK569" s="24" t="s">
        <v>211</v>
      </c>
      <c r="EL569" s="24" t="s">
        <v>212</v>
      </c>
      <c r="EM569" s="24" t="s">
        <v>210</v>
      </c>
      <c r="EN569" s="24">
        <v>21</v>
      </c>
      <c r="EO569" s="24"/>
      <c r="EP569" s="24"/>
      <c r="ES569" s="24">
        <v>2019</v>
      </c>
      <c r="ET569" s="24">
        <v>25</v>
      </c>
      <c r="EU569" s="24" t="s">
        <v>33</v>
      </c>
      <c r="EV569" s="24">
        <v>101229</v>
      </c>
      <c r="FW569" s="24">
        <v>2018</v>
      </c>
      <c r="FX569" s="24">
        <v>6</v>
      </c>
      <c r="FY569" s="24" t="s">
        <v>33</v>
      </c>
      <c r="FZ569" s="24">
        <v>7120</v>
      </c>
      <c r="GA569" s="24">
        <v>6242</v>
      </c>
      <c r="GB569" s="24"/>
      <c r="GC569" s="24"/>
      <c r="GD569" s="24"/>
      <c r="GE569" s="24"/>
      <c r="GF569" s="24"/>
      <c r="GG569" s="24"/>
      <c r="GH569" s="24"/>
      <c r="GK569" s="24"/>
      <c r="GL569" s="24"/>
      <c r="GM569" s="24"/>
      <c r="GN569" s="24"/>
      <c r="GO569" s="24"/>
      <c r="GX569">
        <v>2018</v>
      </c>
      <c r="GY569">
        <v>6</v>
      </c>
      <c r="GZ569" t="s">
        <v>33</v>
      </c>
      <c r="HA569">
        <v>128565</v>
      </c>
      <c r="HB569">
        <v>125867</v>
      </c>
      <c r="HC569">
        <v>301</v>
      </c>
      <c r="HD569">
        <v>49</v>
      </c>
      <c r="HE569">
        <v>0</v>
      </c>
      <c r="HF569">
        <v>541</v>
      </c>
      <c r="HG569">
        <v>0</v>
      </c>
      <c r="HH569">
        <v>0</v>
      </c>
      <c r="HI569">
        <v>947</v>
      </c>
      <c r="HZ569" s="24">
        <v>2018</v>
      </c>
      <c r="IA569" s="24">
        <v>6</v>
      </c>
      <c r="IB569" s="24" t="s">
        <v>33</v>
      </c>
      <c r="IC569" s="24">
        <v>7020</v>
      </c>
      <c r="ID569" s="24">
        <v>6200</v>
      </c>
    </row>
    <row r="570" spans="9:238" x14ac:dyDescent="0.4">
      <c r="I570" s="305">
        <v>2018</v>
      </c>
      <c r="J570" s="306">
        <v>6</v>
      </c>
      <c r="K570" s="306" t="s">
        <v>33</v>
      </c>
      <c r="L570" s="306">
        <v>130112</v>
      </c>
      <c r="M570" s="306">
        <v>123800</v>
      </c>
      <c r="N570" s="306">
        <v>615</v>
      </c>
      <c r="O570" s="306">
        <v>3465</v>
      </c>
      <c r="P570" s="306">
        <v>512</v>
      </c>
      <c r="Q570" s="306"/>
      <c r="R570" s="24"/>
      <c r="S570" s="24"/>
      <c r="T570" s="24"/>
      <c r="AI570" s="24"/>
      <c r="AJ570" s="24"/>
      <c r="AO570" s="24"/>
      <c r="AP570" s="24"/>
      <c r="AQ570" s="24"/>
      <c r="AR570" s="24"/>
      <c r="DD570" s="24"/>
      <c r="DE570" s="24"/>
      <c r="DF570" s="24"/>
      <c r="DG570" s="24"/>
      <c r="DJ570" s="24">
        <v>2018</v>
      </c>
      <c r="DK570" s="24">
        <v>34</v>
      </c>
      <c r="DL570" s="24" t="s">
        <v>32</v>
      </c>
      <c r="DM570" s="24">
        <v>14</v>
      </c>
      <c r="DP570" s="24"/>
      <c r="DQ570" s="24"/>
      <c r="DR570" s="24"/>
      <c r="DS570" s="24"/>
      <c r="EI570" s="24">
        <v>2022</v>
      </c>
      <c r="EJ570" s="24">
        <v>45</v>
      </c>
      <c r="EK570" s="24" t="s">
        <v>211</v>
      </c>
      <c r="EL570" s="24" t="s">
        <v>212</v>
      </c>
      <c r="EM570" s="24" t="s">
        <v>234</v>
      </c>
      <c r="EN570" s="24">
        <v>10</v>
      </c>
      <c r="EO570" s="24"/>
      <c r="EP570" s="24"/>
      <c r="ES570" s="24">
        <v>2019</v>
      </c>
      <c r="ET570" s="24">
        <v>25</v>
      </c>
      <c r="EU570" s="24" t="s">
        <v>213</v>
      </c>
      <c r="EV570" s="24">
        <v>10</v>
      </c>
      <c r="FW570" s="24">
        <v>2018</v>
      </c>
      <c r="FX570" s="24">
        <v>5</v>
      </c>
      <c r="FY570" s="24" t="s">
        <v>32</v>
      </c>
      <c r="FZ570" s="24">
        <v>593</v>
      </c>
      <c r="GA570" s="24">
        <v>506</v>
      </c>
      <c r="GB570" s="24"/>
      <c r="GC570" s="24"/>
      <c r="GD570" s="24"/>
      <c r="GE570" s="24"/>
      <c r="GF570" s="24"/>
      <c r="GG570" s="24"/>
      <c r="GH570" s="24"/>
      <c r="GK570" s="24"/>
      <c r="GL570" s="24"/>
      <c r="GM570" s="24"/>
      <c r="GN570" s="24"/>
      <c r="GO570" s="24"/>
      <c r="GX570">
        <v>2018</v>
      </c>
      <c r="GY570">
        <v>5</v>
      </c>
      <c r="GZ570" t="s">
        <v>32</v>
      </c>
      <c r="HA570">
        <v>5943</v>
      </c>
      <c r="HB570">
        <v>5636</v>
      </c>
      <c r="HC570">
        <v>15</v>
      </c>
      <c r="HD570">
        <v>2</v>
      </c>
      <c r="HE570">
        <v>0</v>
      </c>
      <c r="HF570">
        <v>2</v>
      </c>
      <c r="HG570">
        <v>0</v>
      </c>
      <c r="HH570">
        <v>0</v>
      </c>
      <c r="HI570">
        <v>136</v>
      </c>
      <c r="HZ570" s="24">
        <v>2018</v>
      </c>
      <c r="IA570" s="24">
        <v>5</v>
      </c>
      <c r="IB570" s="24" t="s">
        <v>32</v>
      </c>
      <c r="IC570" s="24">
        <v>609</v>
      </c>
      <c r="ID570" s="24">
        <v>479</v>
      </c>
    </row>
    <row r="571" spans="9:238" x14ac:dyDescent="0.4">
      <c r="I571" s="305">
        <v>2018</v>
      </c>
      <c r="J571" s="306">
        <v>5</v>
      </c>
      <c r="K571" s="306" t="s">
        <v>32</v>
      </c>
      <c r="L571" s="306">
        <v>6093</v>
      </c>
      <c r="M571" s="306">
        <v>5826</v>
      </c>
      <c r="N571" s="306">
        <v>27</v>
      </c>
      <c r="O571" s="306">
        <v>207</v>
      </c>
      <c r="P571" s="306">
        <v>26</v>
      </c>
      <c r="Q571" s="306"/>
      <c r="R571" s="24"/>
      <c r="S571" s="24"/>
      <c r="T571" s="24"/>
      <c r="AI571" s="24"/>
      <c r="AJ571" s="24"/>
      <c r="AO571" s="24"/>
      <c r="AP571" s="24"/>
      <c r="AQ571" s="24"/>
      <c r="AR571" s="24"/>
      <c r="DD571" s="24"/>
      <c r="DE571" s="24"/>
      <c r="DF571" s="24"/>
      <c r="DG571" s="24"/>
      <c r="DJ571" s="24">
        <v>2018</v>
      </c>
      <c r="DK571" s="24">
        <v>34</v>
      </c>
      <c r="DL571" s="24" t="s">
        <v>33</v>
      </c>
      <c r="DM571" s="24">
        <v>1520</v>
      </c>
      <c r="DP571" s="24"/>
      <c r="DQ571" s="24"/>
      <c r="DR571" s="24"/>
      <c r="DS571" s="24"/>
      <c r="EI571" s="24">
        <v>2022</v>
      </c>
      <c r="EJ571" s="24">
        <v>45</v>
      </c>
      <c r="EK571" s="24" t="s">
        <v>211</v>
      </c>
      <c r="EL571" s="24" t="s">
        <v>247</v>
      </c>
      <c r="EM571" s="24" t="s">
        <v>210</v>
      </c>
      <c r="EN571" s="24">
        <v>4</v>
      </c>
      <c r="EO571" s="24"/>
      <c r="EP571" s="24"/>
      <c r="ES571" s="24">
        <v>2019</v>
      </c>
      <c r="ET571" s="24">
        <v>24</v>
      </c>
      <c r="EU571" s="24" t="s">
        <v>32</v>
      </c>
      <c r="EV571" s="24">
        <v>3290</v>
      </c>
      <c r="FW571" s="24">
        <v>2018</v>
      </c>
      <c r="FX571" s="24">
        <v>5</v>
      </c>
      <c r="FY571" s="24" t="s">
        <v>33</v>
      </c>
      <c r="FZ571" s="24">
        <v>6593</v>
      </c>
      <c r="GA571" s="24">
        <v>5748</v>
      </c>
      <c r="GB571" s="24"/>
      <c r="GC571" s="24"/>
      <c r="GD571" s="24"/>
      <c r="GE571" s="24"/>
      <c r="GF571" s="24"/>
      <c r="GG571" s="24"/>
      <c r="GH571" s="24"/>
      <c r="GK571" s="24"/>
      <c r="GL571" s="24"/>
      <c r="GM571" s="24"/>
      <c r="GN571" s="24"/>
      <c r="GO571" s="24"/>
      <c r="GX571">
        <v>2018</v>
      </c>
      <c r="GY571">
        <v>5</v>
      </c>
      <c r="GZ571" t="s">
        <v>33</v>
      </c>
      <c r="HA571">
        <v>123460</v>
      </c>
      <c r="HB571">
        <v>120975</v>
      </c>
      <c r="HC571">
        <v>694</v>
      </c>
      <c r="HD571">
        <v>168</v>
      </c>
      <c r="HE571">
        <v>0</v>
      </c>
      <c r="HF571">
        <v>582</v>
      </c>
      <c r="HG571">
        <v>0</v>
      </c>
      <c r="HH571">
        <v>0</v>
      </c>
      <c r="HI571">
        <v>555</v>
      </c>
      <c r="HZ571" s="24">
        <v>2018</v>
      </c>
      <c r="IA571" s="24">
        <v>5</v>
      </c>
      <c r="IB571" s="24" t="s">
        <v>33</v>
      </c>
      <c r="IC571" s="24">
        <v>6660</v>
      </c>
      <c r="ID571" s="24">
        <v>5787</v>
      </c>
    </row>
    <row r="572" spans="9:238" x14ac:dyDescent="0.4">
      <c r="I572" s="305">
        <v>2018</v>
      </c>
      <c r="J572" s="306">
        <v>5</v>
      </c>
      <c r="K572" s="306" t="s">
        <v>33</v>
      </c>
      <c r="L572" s="306">
        <v>122423</v>
      </c>
      <c r="M572" s="306">
        <v>117010</v>
      </c>
      <c r="N572" s="306">
        <v>276</v>
      </c>
      <c r="O572" s="306">
        <v>2887</v>
      </c>
      <c r="P572" s="306">
        <v>340</v>
      </c>
      <c r="Q572" s="306"/>
      <c r="R572" s="24"/>
      <c r="S572" s="24"/>
      <c r="T572" s="24"/>
      <c r="AI572" s="24"/>
      <c r="AJ572" s="24"/>
      <c r="AO572" s="24"/>
      <c r="AP572" s="24"/>
      <c r="AQ572" s="24"/>
      <c r="AR572" s="24"/>
      <c r="DD572" s="24"/>
      <c r="DE572" s="24"/>
      <c r="DF572" s="24"/>
      <c r="DG572" s="24"/>
      <c r="DJ572" s="24">
        <v>2018</v>
      </c>
      <c r="DK572" s="24">
        <v>33</v>
      </c>
      <c r="DL572" s="24" t="s">
        <v>32</v>
      </c>
      <c r="DM572" s="24">
        <v>858</v>
      </c>
      <c r="DP572" s="24"/>
      <c r="DQ572" s="24"/>
      <c r="DR572" s="24"/>
      <c r="DS572" s="24"/>
      <c r="EI572" s="24">
        <v>2022</v>
      </c>
      <c r="EJ572" s="24">
        <v>45</v>
      </c>
      <c r="EK572" s="24" t="s">
        <v>211</v>
      </c>
      <c r="EL572" s="24" t="s">
        <v>247</v>
      </c>
      <c r="EM572" s="24" t="s">
        <v>234</v>
      </c>
      <c r="EN572" s="24">
        <v>18</v>
      </c>
      <c r="EO572" s="24"/>
      <c r="EP572" s="24"/>
      <c r="ES572" s="24">
        <v>2019</v>
      </c>
      <c r="ET572" s="24">
        <v>24</v>
      </c>
      <c r="EU572" s="24" t="s">
        <v>33</v>
      </c>
      <c r="EV572" s="24">
        <v>115500</v>
      </c>
      <c r="FW572" s="24">
        <v>2018</v>
      </c>
      <c r="FX572" s="24">
        <v>4</v>
      </c>
      <c r="FY572" s="24" t="s">
        <v>32</v>
      </c>
      <c r="FZ572" s="24">
        <v>599</v>
      </c>
      <c r="GA572" s="24">
        <v>557</v>
      </c>
      <c r="GB572" s="24"/>
      <c r="GC572" s="24"/>
      <c r="GD572" s="24"/>
      <c r="GE572" s="24"/>
      <c r="GF572" s="24"/>
      <c r="GG572" s="24"/>
      <c r="GH572" s="24"/>
      <c r="GK572" s="24"/>
      <c r="GL572" s="24"/>
      <c r="GM572" s="24"/>
      <c r="GN572" s="24"/>
      <c r="GO572" s="24"/>
      <c r="GX572">
        <v>2018</v>
      </c>
      <c r="GY572">
        <v>4</v>
      </c>
      <c r="GZ572" t="s">
        <v>32</v>
      </c>
      <c r="HA572">
        <v>6104</v>
      </c>
      <c r="HB572">
        <v>5941</v>
      </c>
      <c r="HC572">
        <v>3</v>
      </c>
      <c r="HD572">
        <v>3</v>
      </c>
      <c r="HE572">
        <v>0</v>
      </c>
      <c r="HF572">
        <v>0</v>
      </c>
      <c r="HG572">
        <v>0</v>
      </c>
      <c r="HH572">
        <v>0</v>
      </c>
      <c r="HI572">
        <v>58</v>
      </c>
      <c r="HZ572" s="24">
        <v>2018</v>
      </c>
      <c r="IA572" s="24">
        <v>4</v>
      </c>
      <c r="IB572" s="24" t="s">
        <v>32</v>
      </c>
      <c r="IC572" s="24">
        <v>601</v>
      </c>
      <c r="ID572" s="24">
        <v>558</v>
      </c>
    </row>
    <row r="573" spans="9:238" x14ac:dyDescent="0.4">
      <c r="I573" s="305">
        <v>2018</v>
      </c>
      <c r="J573" s="306">
        <v>4</v>
      </c>
      <c r="K573" s="306" t="s">
        <v>32</v>
      </c>
      <c r="L573" s="306">
        <v>6015</v>
      </c>
      <c r="M573" s="306">
        <v>5853</v>
      </c>
      <c r="N573" s="306">
        <v>27</v>
      </c>
      <c r="O573" s="306">
        <v>134</v>
      </c>
      <c r="P573" s="306">
        <v>20</v>
      </c>
      <c r="Q573" s="306"/>
      <c r="R573" s="24"/>
      <c r="S573" s="24"/>
      <c r="T573" s="24"/>
      <c r="AI573" s="24"/>
      <c r="AJ573" s="24"/>
      <c r="AO573" s="24"/>
      <c r="AP573" s="24"/>
      <c r="AQ573" s="24"/>
      <c r="AR573" s="24"/>
      <c r="DD573" s="24"/>
      <c r="DE573" s="24"/>
      <c r="DF573" s="24"/>
      <c r="DG573" s="24"/>
      <c r="DJ573" s="24">
        <v>2018</v>
      </c>
      <c r="DK573" s="24">
        <v>33</v>
      </c>
      <c r="DL573" s="24" t="s">
        <v>33</v>
      </c>
      <c r="DM573" s="24">
        <v>604</v>
      </c>
      <c r="DP573" s="24"/>
      <c r="DQ573" s="24"/>
      <c r="DR573" s="24"/>
      <c r="DS573" s="24"/>
      <c r="EI573" s="24">
        <v>2022</v>
      </c>
      <c r="EJ573" s="24">
        <v>45</v>
      </c>
      <c r="EK573" s="24" t="s">
        <v>213</v>
      </c>
      <c r="EL573" s="24" t="s">
        <v>214</v>
      </c>
      <c r="EM573" s="24" t="s">
        <v>215</v>
      </c>
      <c r="EN573" s="24">
        <v>20</v>
      </c>
      <c r="EO573" s="24"/>
      <c r="EP573" s="24"/>
      <c r="ES573" s="24">
        <v>2019</v>
      </c>
      <c r="ET573" s="24">
        <v>24</v>
      </c>
      <c r="EU573" s="24" t="s">
        <v>213</v>
      </c>
      <c r="EV573" s="24">
        <v>8</v>
      </c>
      <c r="FW573" s="24">
        <v>2018</v>
      </c>
      <c r="FX573" s="24">
        <v>4</v>
      </c>
      <c r="FY573" s="24" t="s">
        <v>33</v>
      </c>
      <c r="FZ573" s="24">
        <v>5531</v>
      </c>
      <c r="GA573" s="24">
        <v>4945</v>
      </c>
      <c r="GB573" s="24"/>
      <c r="GC573" s="24"/>
      <c r="GD573" s="24"/>
      <c r="GE573" s="24"/>
      <c r="GF573" s="24"/>
      <c r="GG573" s="24"/>
      <c r="GH573" s="24"/>
      <c r="GK573" s="24"/>
      <c r="GL573" s="24"/>
      <c r="GM573" s="24"/>
      <c r="GN573" s="24"/>
      <c r="GO573" s="24"/>
      <c r="GX573">
        <v>2018</v>
      </c>
      <c r="GY573">
        <v>4</v>
      </c>
      <c r="GZ573" t="s">
        <v>33</v>
      </c>
      <c r="HA573">
        <v>119254</v>
      </c>
      <c r="HB573">
        <v>117224</v>
      </c>
      <c r="HC573">
        <v>224</v>
      </c>
      <c r="HD573">
        <v>67</v>
      </c>
      <c r="HE573">
        <v>0</v>
      </c>
      <c r="HF573">
        <v>327</v>
      </c>
      <c r="HG573">
        <v>0</v>
      </c>
      <c r="HH573">
        <v>0</v>
      </c>
      <c r="HI573">
        <v>633</v>
      </c>
      <c r="HZ573" s="24">
        <v>2018</v>
      </c>
      <c r="IA573" s="24">
        <v>4</v>
      </c>
      <c r="IB573" s="24" t="s">
        <v>33</v>
      </c>
      <c r="IC573" s="24">
        <v>5630</v>
      </c>
      <c r="ID573" s="24">
        <v>5049</v>
      </c>
    </row>
    <row r="574" spans="9:238" x14ac:dyDescent="0.4">
      <c r="I574" s="305">
        <v>2018</v>
      </c>
      <c r="J574" s="306">
        <v>4</v>
      </c>
      <c r="K574" s="306" t="s">
        <v>33</v>
      </c>
      <c r="L574" s="306">
        <v>118581</v>
      </c>
      <c r="M574" s="306">
        <v>113606</v>
      </c>
      <c r="N574" s="306">
        <v>401</v>
      </c>
      <c r="O574" s="306">
        <v>2707</v>
      </c>
      <c r="P574" s="306">
        <v>442</v>
      </c>
      <c r="Q574" s="306"/>
      <c r="R574" s="290"/>
      <c r="S574" s="290"/>
      <c r="T574" s="290"/>
      <c r="AI574" s="24"/>
      <c r="AJ574" s="24"/>
      <c r="AO574" s="24"/>
      <c r="AP574" s="24"/>
      <c r="AQ574" s="24"/>
      <c r="AR574" s="24"/>
      <c r="DD574" s="24"/>
      <c r="DE574" s="24"/>
      <c r="DF574" s="24"/>
      <c r="DG574" s="24"/>
      <c r="DJ574" s="24">
        <v>2018</v>
      </c>
      <c r="DK574" s="24">
        <v>32</v>
      </c>
      <c r="DL574" s="24" t="s">
        <v>32</v>
      </c>
      <c r="DM574" s="24">
        <v>1134</v>
      </c>
      <c r="DP574" s="24"/>
      <c r="DQ574" s="24"/>
      <c r="DR574" s="24"/>
      <c r="DS574" s="24"/>
      <c r="EI574" s="24">
        <v>2022</v>
      </c>
      <c r="EJ574" s="24">
        <v>44</v>
      </c>
      <c r="EK574" s="24" t="s">
        <v>19</v>
      </c>
      <c r="EL574" s="24" t="s">
        <v>233</v>
      </c>
      <c r="EM574" s="24" t="s">
        <v>210</v>
      </c>
      <c r="EN574" s="24">
        <v>1</v>
      </c>
      <c r="EO574" s="24"/>
      <c r="EP574" s="24"/>
      <c r="ES574" s="24">
        <v>2019</v>
      </c>
      <c r="ET574" s="24">
        <v>23</v>
      </c>
      <c r="EU574" s="24" t="s">
        <v>32</v>
      </c>
      <c r="EV574" s="24">
        <v>3543</v>
      </c>
      <c r="FW574" s="24">
        <v>2018</v>
      </c>
      <c r="FX574" s="24">
        <v>3</v>
      </c>
      <c r="FY574" s="24" t="s">
        <v>32</v>
      </c>
      <c r="FZ574" s="24">
        <v>723</v>
      </c>
      <c r="GA574" s="24">
        <v>664</v>
      </c>
      <c r="GB574" s="24"/>
      <c r="GC574" s="24"/>
      <c r="GD574" s="24"/>
      <c r="GE574" s="24"/>
      <c r="GF574" s="24"/>
      <c r="GG574" s="24"/>
      <c r="GH574" s="24"/>
      <c r="GK574" s="24"/>
      <c r="GL574" s="24"/>
      <c r="GM574" s="24"/>
      <c r="GN574" s="24"/>
      <c r="GO574" s="24"/>
      <c r="GX574">
        <v>2018</v>
      </c>
      <c r="GY574">
        <v>3</v>
      </c>
      <c r="GZ574" t="s">
        <v>32</v>
      </c>
      <c r="HA574">
        <v>5833</v>
      </c>
      <c r="HB574">
        <v>5604</v>
      </c>
      <c r="HC574">
        <v>9</v>
      </c>
      <c r="HD574">
        <v>3</v>
      </c>
      <c r="HE574">
        <v>0</v>
      </c>
      <c r="HF574">
        <v>1</v>
      </c>
      <c r="HG574">
        <v>0</v>
      </c>
      <c r="HH574">
        <v>0</v>
      </c>
      <c r="HI574">
        <v>57</v>
      </c>
      <c r="HZ574" s="24">
        <v>2018</v>
      </c>
      <c r="IA574" s="24">
        <v>3</v>
      </c>
      <c r="IB574" s="24" t="s">
        <v>32</v>
      </c>
      <c r="IC574" s="24">
        <v>646</v>
      </c>
      <c r="ID574" s="24">
        <v>590</v>
      </c>
    </row>
    <row r="575" spans="9:238" x14ac:dyDescent="0.4">
      <c r="I575" s="305">
        <v>2018</v>
      </c>
      <c r="J575" s="306">
        <v>3</v>
      </c>
      <c r="K575" s="306" t="s">
        <v>32</v>
      </c>
      <c r="L575" s="306">
        <v>5822</v>
      </c>
      <c r="M575" s="306">
        <v>5562</v>
      </c>
      <c r="N575" s="306">
        <v>28</v>
      </c>
      <c r="O575" s="306">
        <v>229</v>
      </c>
      <c r="P575" s="306">
        <v>32</v>
      </c>
      <c r="Q575" s="306"/>
      <c r="R575" s="290"/>
      <c r="S575" s="290"/>
      <c r="T575" s="290"/>
      <c r="AI575" s="24"/>
      <c r="AJ575" s="24"/>
      <c r="AO575" s="24"/>
      <c r="AP575" s="24"/>
      <c r="AQ575" s="24"/>
      <c r="AR575" s="24"/>
      <c r="DD575" s="24"/>
      <c r="DE575" s="24"/>
      <c r="DF575" s="24"/>
      <c r="DG575" s="24"/>
      <c r="DJ575" s="24">
        <v>2018</v>
      </c>
      <c r="DK575" s="24">
        <v>32</v>
      </c>
      <c r="DL575" s="24" t="s">
        <v>33</v>
      </c>
      <c r="DM575" s="24">
        <v>354</v>
      </c>
      <c r="DP575" s="24"/>
      <c r="DQ575" s="24"/>
      <c r="DR575" s="24"/>
      <c r="DS575" s="24"/>
      <c r="EI575" s="24">
        <v>2022</v>
      </c>
      <c r="EJ575" s="24">
        <v>44</v>
      </c>
      <c r="EK575" s="24" t="s">
        <v>19</v>
      </c>
      <c r="EL575" s="24" t="s">
        <v>235</v>
      </c>
      <c r="EM575" s="24" t="s">
        <v>215</v>
      </c>
      <c r="EN575" s="24">
        <v>8</v>
      </c>
      <c r="EO575" s="24"/>
      <c r="EP575" s="24"/>
      <c r="ES575" s="24">
        <v>2019</v>
      </c>
      <c r="ET575" s="24">
        <v>23</v>
      </c>
      <c r="EU575" s="24" t="s">
        <v>33</v>
      </c>
      <c r="EV575" s="24">
        <v>116738</v>
      </c>
      <c r="FW575" s="24">
        <v>2018</v>
      </c>
      <c r="FX575" s="24">
        <v>3</v>
      </c>
      <c r="FY575" s="24" t="s">
        <v>33</v>
      </c>
      <c r="FZ575" s="24">
        <v>5919</v>
      </c>
      <c r="GA575" s="24">
        <v>5274</v>
      </c>
      <c r="GB575" s="24"/>
      <c r="GC575" s="24"/>
      <c r="GD575" s="24"/>
      <c r="GE575" s="24"/>
      <c r="GF575" s="24"/>
      <c r="GG575" s="24"/>
      <c r="GH575" s="24"/>
      <c r="GK575" s="24"/>
      <c r="GL575" s="24"/>
      <c r="GM575" s="24"/>
      <c r="GN575" s="24"/>
      <c r="GO575" s="24"/>
      <c r="GX575">
        <v>2018</v>
      </c>
      <c r="GY575">
        <v>3</v>
      </c>
      <c r="GZ575" t="s">
        <v>33</v>
      </c>
      <c r="HA575">
        <v>120707</v>
      </c>
      <c r="HB575">
        <v>118221</v>
      </c>
      <c r="HC575">
        <v>121</v>
      </c>
      <c r="HD575">
        <v>53</v>
      </c>
      <c r="HE575">
        <v>0</v>
      </c>
      <c r="HF575">
        <v>474</v>
      </c>
      <c r="HG575">
        <v>0</v>
      </c>
      <c r="HH575">
        <v>0</v>
      </c>
      <c r="HI575">
        <v>711</v>
      </c>
      <c r="HZ575" s="24">
        <v>2018</v>
      </c>
      <c r="IA575" s="24">
        <v>3</v>
      </c>
      <c r="IB575" s="24" t="s">
        <v>33</v>
      </c>
      <c r="IC575" s="24">
        <v>5810</v>
      </c>
      <c r="ID575" s="24">
        <v>5205</v>
      </c>
    </row>
    <row r="576" spans="9:238" x14ac:dyDescent="0.4">
      <c r="I576" s="305">
        <v>2018</v>
      </c>
      <c r="J576" s="306">
        <v>3</v>
      </c>
      <c r="K576" s="306" t="s">
        <v>33</v>
      </c>
      <c r="L576" s="306">
        <v>121903</v>
      </c>
      <c r="M576" s="306">
        <v>116569</v>
      </c>
      <c r="N576" s="306">
        <v>474</v>
      </c>
      <c r="O576" s="306">
        <v>2914</v>
      </c>
      <c r="P576" s="306">
        <v>508</v>
      </c>
      <c r="Q576" s="306">
        <v>42</v>
      </c>
      <c r="R576" s="291"/>
      <c r="S576" s="291"/>
      <c r="T576" s="291"/>
      <c r="AI576" s="24"/>
      <c r="AJ576" s="24"/>
      <c r="AO576" s="24"/>
      <c r="AP576" s="24"/>
      <c r="AQ576" s="24"/>
      <c r="AR576" s="24"/>
      <c r="DD576" s="24"/>
      <c r="DE576" s="24"/>
      <c r="DF576" s="24"/>
      <c r="DG576" s="24"/>
      <c r="DJ576" s="24">
        <v>2018</v>
      </c>
      <c r="DK576" s="24">
        <v>31</v>
      </c>
      <c r="DL576" s="24" t="s">
        <v>32</v>
      </c>
      <c r="DM576" s="24">
        <v>639</v>
      </c>
      <c r="DP576" s="24"/>
      <c r="DQ576" s="24"/>
      <c r="DR576" s="24"/>
      <c r="DS576" s="24"/>
      <c r="EI576" s="24">
        <v>2022</v>
      </c>
      <c r="EJ576" s="24">
        <v>44</v>
      </c>
      <c r="EK576" s="24" t="s">
        <v>19</v>
      </c>
      <c r="EL576" s="24" t="s">
        <v>243</v>
      </c>
      <c r="EM576" s="24" t="s">
        <v>210</v>
      </c>
      <c r="EN576" s="24">
        <v>34</v>
      </c>
      <c r="EO576" s="24"/>
      <c r="EP576" s="24"/>
      <c r="ES576" s="24">
        <v>2019</v>
      </c>
      <c r="ET576" s="24">
        <v>23</v>
      </c>
      <c r="EU576" s="24" t="s">
        <v>213</v>
      </c>
      <c r="EV576" s="24">
        <v>7</v>
      </c>
      <c r="FW576" s="24">
        <v>2018</v>
      </c>
      <c r="FX576" s="24">
        <v>2</v>
      </c>
      <c r="FY576" s="24" t="s">
        <v>32</v>
      </c>
      <c r="FZ576" s="24">
        <v>769</v>
      </c>
      <c r="GA576" s="24">
        <v>720</v>
      </c>
      <c r="GB576" s="24"/>
      <c r="GC576" s="24"/>
      <c r="GD576" s="24"/>
      <c r="GE576" s="24"/>
      <c r="GF576" s="24"/>
      <c r="GG576" s="24"/>
      <c r="GH576" s="24"/>
      <c r="GK576" s="24"/>
      <c r="GL576" s="24"/>
      <c r="GM576" s="24"/>
      <c r="GN576" s="24"/>
      <c r="GO576" s="24"/>
      <c r="GX576">
        <v>2018</v>
      </c>
      <c r="GY576">
        <v>2</v>
      </c>
      <c r="GZ576" t="s">
        <v>32</v>
      </c>
      <c r="HA576">
        <v>7106</v>
      </c>
      <c r="HB576">
        <v>6853</v>
      </c>
      <c r="HC576">
        <v>7</v>
      </c>
      <c r="HD576">
        <v>1</v>
      </c>
      <c r="HE576">
        <v>0</v>
      </c>
      <c r="HF576">
        <v>3</v>
      </c>
      <c r="HG576">
        <v>0</v>
      </c>
      <c r="HH576">
        <v>0</v>
      </c>
      <c r="HI576">
        <v>76</v>
      </c>
      <c r="HZ576" s="24">
        <v>2018</v>
      </c>
      <c r="IA576" s="24">
        <v>2</v>
      </c>
      <c r="IB576" s="24" t="s">
        <v>32</v>
      </c>
      <c r="IC576" s="24">
        <v>810</v>
      </c>
      <c r="ID576" s="24">
        <v>763</v>
      </c>
    </row>
    <row r="577" spans="9:238" x14ac:dyDescent="0.4">
      <c r="I577" s="305">
        <v>2018</v>
      </c>
      <c r="J577" s="306">
        <v>2</v>
      </c>
      <c r="K577" s="306" t="s">
        <v>32</v>
      </c>
      <c r="L577" s="306">
        <v>7419</v>
      </c>
      <c r="M577" s="306">
        <v>7125</v>
      </c>
      <c r="N577" s="306">
        <v>35</v>
      </c>
      <c r="O577" s="306">
        <v>248</v>
      </c>
      <c r="P577" s="306">
        <v>31</v>
      </c>
      <c r="Q577" s="306"/>
      <c r="R577" s="291"/>
      <c r="S577" s="291"/>
      <c r="T577" s="291"/>
      <c r="AI577" s="24"/>
      <c r="AJ577" s="24"/>
      <c r="AO577" s="24"/>
      <c r="AP577" s="24"/>
      <c r="AQ577" s="24"/>
      <c r="AR577" s="24"/>
      <c r="DD577" s="24"/>
      <c r="DE577" s="24"/>
      <c r="DF577" s="24"/>
      <c r="DG577" s="24"/>
      <c r="DJ577" s="24">
        <v>2018</v>
      </c>
      <c r="DK577" s="24">
        <v>31</v>
      </c>
      <c r="DL577" s="24" t="s">
        <v>33</v>
      </c>
      <c r="DM577" s="24">
        <v>1108</v>
      </c>
      <c r="DP577" s="24"/>
      <c r="DQ577" s="24"/>
      <c r="DR577" s="24"/>
      <c r="DS577" s="24"/>
      <c r="EI577" s="24">
        <v>2022</v>
      </c>
      <c r="EJ577" s="24">
        <v>44</v>
      </c>
      <c r="EK577" s="24" t="s">
        <v>208</v>
      </c>
      <c r="EL577" s="24" t="s">
        <v>554</v>
      </c>
      <c r="EM577" s="24" t="s">
        <v>210</v>
      </c>
      <c r="EN577" s="24">
        <v>5</v>
      </c>
      <c r="EO577" s="24"/>
      <c r="EP577" s="24"/>
      <c r="ES577" s="24">
        <v>2019</v>
      </c>
      <c r="ET577" s="24">
        <v>22</v>
      </c>
      <c r="EU577" s="24" t="s">
        <v>32</v>
      </c>
      <c r="EV577" s="24">
        <v>3895</v>
      </c>
      <c r="FW577" s="24">
        <v>2018</v>
      </c>
      <c r="FX577" s="24">
        <v>2</v>
      </c>
      <c r="FY577" s="24" t="s">
        <v>33</v>
      </c>
      <c r="FZ577" s="24">
        <v>5745</v>
      </c>
      <c r="GA577" s="24">
        <v>5349</v>
      </c>
      <c r="GB577" s="24"/>
      <c r="GC577" s="24"/>
      <c r="GD577" s="24"/>
      <c r="GE577" s="24"/>
      <c r="GF577" s="24"/>
      <c r="GG577" s="24"/>
      <c r="GH577" s="24"/>
      <c r="GK577" s="24"/>
      <c r="GL577" s="24"/>
      <c r="GM577" s="24"/>
      <c r="GN577" s="24"/>
      <c r="GO577" s="24"/>
      <c r="GX577">
        <v>2018</v>
      </c>
      <c r="GY577">
        <v>2</v>
      </c>
      <c r="GZ577" t="s">
        <v>33</v>
      </c>
      <c r="HA577">
        <v>107913</v>
      </c>
      <c r="HB577">
        <v>106407</v>
      </c>
      <c r="HC577">
        <v>149</v>
      </c>
      <c r="HD577">
        <v>24</v>
      </c>
      <c r="HE577">
        <v>0</v>
      </c>
      <c r="HF577">
        <v>49</v>
      </c>
      <c r="HG577">
        <v>0</v>
      </c>
      <c r="HH577">
        <v>0</v>
      </c>
      <c r="HI577">
        <v>503</v>
      </c>
      <c r="HZ577" s="24">
        <v>2018</v>
      </c>
      <c r="IA577" s="24">
        <v>2</v>
      </c>
      <c r="IB577" s="24" t="s">
        <v>33</v>
      </c>
      <c r="IC577" s="24">
        <v>5611</v>
      </c>
      <c r="ID577" s="24">
        <v>5231</v>
      </c>
    </row>
    <row r="578" spans="9:238" x14ac:dyDescent="0.4">
      <c r="I578" s="305">
        <v>2018</v>
      </c>
      <c r="J578" s="306">
        <v>2</v>
      </c>
      <c r="K578" s="306" t="s">
        <v>33</v>
      </c>
      <c r="L578" s="306">
        <v>106703</v>
      </c>
      <c r="M578" s="306">
        <v>102469</v>
      </c>
      <c r="N578" s="306">
        <v>355</v>
      </c>
      <c r="O578" s="306">
        <v>2178</v>
      </c>
      <c r="P578" s="306">
        <v>366</v>
      </c>
      <c r="Q578" s="306">
        <v>1</v>
      </c>
      <c r="R578" s="292"/>
      <c r="S578" s="292"/>
      <c r="T578" s="292"/>
      <c r="AI578" s="24"/>
      <c r="AJ578" s="24"/>
      <c r="AO578" s="24"/>
      <c r="AP578" s="24"/>
      <c r="AQ578" s="24"/>
      <c r="AR578" s="24"/>
      <c r="DD578" s="24"/>
      <c r="DE578" s="24"/>
      <c r="DF578" s="24"/>
      <c r="DG578" s="24"/>
      <c r="DJ578" s="24">
        <v>2018</v>
      </c>
      <c r="DK578" s="24">
        <v>30</v>
      </c>
      <c r="DL578" s="24" t="s">
        <v>32</v>
      </c>
      <c r="DM578" s="24">
        <v>153</v>
      </c>
      <c r="DP578" s="24"/>
      <c r="DQ578" s="24"/>
      <c r="DR578" s="24"/>
      <c r="DS578" s="24"/>
      <c r="EI578" s="24">
        <v>2022</v>
      </c>
      <c r="EJ578" s="24">
        <v>44</v>
      </c>
      <c r="EK578" s="24" t="s">
        <v>208</v>
      </c>
      <c r="EL578" s="24" t="s">
        <v>351</v>
      </c>
      <c r="EM578" s="24" t="s">
        <v>210</v>
      </c>
      <c r="EN578" s="24">
        <v>1</v>
      </c>
      <c r="EO578" s="24"/>
      <c r="EP578" s="24"/>
      <c r="ES578" s="24">
        <v>2019</v>
      </c>
      <c r="ET578" s="24">
        <v>22</v>
      </c>
      <c r="EU578" s="24" t="s">
        <v>33</v>
      </c>
      <c r="EV578" s="24">
        <v>119480</v>
      </c>
      <c r="FW578" s="24">
        <v>2018</v>
      </c>
      <c r="FX578" s="24">
        <v>1</v>
      </c>
      <c r="FY578" s="24" t="s">
        <v>32</v>
      </c>
      <c r="FZ578" s="24">
        <v>925</v>
      </c>
      <c r="GA578" s="24">
        <v>790</v>
      </c>
      <c r="GB578" s="24"/>
      <c r="GC578" s="24"/>
      <c r="GD578" s="24"/>
      <c r="GE578" s="24"/>
      <c r="GF578" s="24"/>
      <c r="GG578" s="24"/>
      <c r="GH578" s="24"/>
      <c r="GK578" s="24"/>
      <c r="GL578" s="24"/>
      <c r="GM578" s="24"/>
      <c r="GN578" s="24"/>
      <c r="GO578" s="24"/>
      <c r="GX578">
        <v>2018</v>
      </c>
      <c r="GY578">
        <v>1</v>
      </c>
      <c r="GZ578" t="s">
        <v>32</v>
      </c>
      <c r="HA578">
        <v>7943</v>
      </c>
      <c r="HB578">
        <v>7464</v>
      </c>
      <c r="HC578">
        <v>44</v>
      </c>
      <c r="HD578">
        <v>14</v>
      </c>
      <c r="HE578">
        <v>0</v>
      </c>
      <c r="HF578">
        <v>14</v>
      </c>
      <c r="HG578">
        <v>0</v>
      </c>
      <c r="HH578">
        <v>0</v>
      </c>
      <c r="HI578">
        <v>114</v>
      </c>
      <c r="HZ578" s="24">
        <v>2018</v>
      </c>
      <c r="IA578" s="24">
        <v>1</v>
      </c>
      <c r="IB578" s="24" t="s">
        <v>32</v>
      </c>
      <c r="IC578" s="24">
        <v>873</v>
      </c>
      <c r="ID578" s="24">
        <v>747</v>
      </c>
    </row>
    <row r="579" spans="9:238" x14ac:dyDescent="0.4">
      <c r="I579" s="305">
        <v>2018</v>
      </c>
      <c r="J579" s="306">
        <v>1</v>
      </c>
      <c r="K579" s="306" t="s">
        <v>32</v>
      </c>
      <c r="L579" s="306">
        <v>7712</v>
      </c>
      <c r="M579" s="306">
        <v>7218</v>
      </c>
      <c r="N579" s="306">
        <v>49</v>
      </c>
      <c r="O579" s="306">
        <v>437</v>
      </c>
      <c r="P579" s="306">
        <v>34</v>
      </c>
      <c r="Q579" s="306"/>
      <c r="R579" s="292"/>
      <c r="S579" s="292"/>
      <c r="T579" s="292"/>
      <c r="AI579" s="24"/>
      <c r="AJ579" s="24"/>
      <c r="AO579" s="24"/>
      <c r="AP579" s="24"/>
      <c r="AQ579" s="24"/>
      <c r="AR579" s="24"/>
      <c r="DD579" s="24"/>
      <c r="DE579" s="24"/>
      <c r="DF579" s="24"/>
      <c r="DG579" s="24"/>
      <c r="DJ579" s="24">
        <v>2018</v>
      </c>
      <c r="DK579" s="24">
        <v>30</v>
      </c>
      <c r="DL579" s="24" t="s">
        <v>33</v>
      </c>
      <c r="DM579" s="24">
        <v>3241</v>
      </c>
      <c r="DP579" s="24"/>
      <c r="DQ579" s="24"/>
      <c r="DR579" s="24"/>
      <c r="DS579" s="24"/>
      <c r="EI579" s="24">
        <v>2022</v>
      </c>
      <c r="EJ579" s="24">
        <v>44</v>
      </c>
      <c r="EK579" s="24" t="s">
        <v>208</v>
      </c>
      <c r="EL579" s="24" t="s">
        <v>351</v>
      </c>
      <c r="EM579" s="24" t="s">
        <v>234</v>
      </c>
      <c r="EN579" s="24">
        <v>11</v>
      </c>
      <c r="EO579" s="24"/>
      <c r="EP579" s="24"/>
      <c r="ES579" s="24">
        <v>2019</v>
      </c>
      <c r="ET579" s="24">
        <v>22</v>
      </c>
      <c r="EU579" s="24" t="s">
        <v>213</v>
      </c>
      <c r="EV579" s="24">
        <v>9</v>
      </c>
      <c r="FW579" s="24">
        <v>2018</v>
      </c>
      <c r="FX579" s="24">
        <v>1</v>
      </c>
      <c r="FY579" s="24" t="s">
        <v>33</v>
      </c>
      <c r="FZ579" s="24">
        <v>5804</v>
      </c>
      <c r="GA579" s="24">
        <v>5286</v>
      </c>
      <c r="GB579" s="24"/>
      <c r="GC579" s="24"/>
      <c r="GD579" s="24"/>
      <c r="GE579" s="24"/>
      <c r="GF579" s="24"/>
      <c r="GG579" s="24"/>
      <c r="GH579" s="24"/>
      <c r="GK579" s="24"/>
      <c r="GL579" s="24"/>
      <c r="GM579" s="24"/>
      <c r="GN579" s="24"/>
      <c r="GO579" s="24"/>
      <c r="GX579">
        <v>2018</v>
      </c>
      <c r="GY579">
        <v>1</v>
      </c>
      <c r="GZ579" t="s">
        <v>33</v>
      </c>
      <c r="HA579">
        <v>106566</v>
      </c>
      <c r="HB579">
        <v>104348</v>
      </c>
      <c r="HC579">
        <v>398</v>
      </c>
      <c r="HD579">
        <v>39</v>
      </c>
      <c r="HE579">
        <v>0</v>
      </c>
      <c r="HF579">
        <v>302</v>
      </c>
      <c r="HG579">
        <v>0</v>
      </c>
      <c r="HH579">
        <v>0</v>
      </c>
      <c r="HI579">
        <v>620</v>
      </c>
      <c r="HZ579" s="24">
        <v>2018</v>
      </c>
      <c r="IA579" s="24">
        <v>1</v>
      </c>
      <c r="IB579" s="24" t="s">
        <v>33</v>
      </c>
      <c r="IC579" s="24">
        <v>5825</v>
      </c>
      <c r="ID579" s="24">
        <v>5300</v>
      </c>
    </row>
    <row r="580" spans="9:238" x14ac:dyDescent="0.4">
      <c r="I580" s="305">
        <v>2018</v>
      </c>
      <c r="J580" s="306">
        <v>1</v>
      </c>
      <c r="K580" s="306" t="s">
        <v>33</v>
      </c>
      <c r="L580" s="306">
        <v>106178</v>
      </c>
      <c r="M580" s="306">
        <v>101558</v>
      </c>
      <c r="N580" s="306">
        <v>342</v>
      </c>
      <c r="O580" s="306">
        <v>2363</v>
      </c>
      <c r="P580" s="306">
        <v>366</v>
      </c>
      <c r="Q580" s="306"/>
      <c r="R580" s="292"/>
      <c r="S580" s="292"/>
      <c r="T580" s="292"/>
      <c r="AI580" s="24"/>
      <c r="AJ580" s="24"/>
      <c r="AO580" s="24"/>
      <c r="AP580" s="24"/>
      <c r="AQ580" s="24"/>
      <c r="AR580" s="24"/>
      <c r="DD580" s="24"/>
      <c r="DE580" s="24"/>
      <c r="DF580" s="24"/>
      <c r="DG580" s="24"/>
      <c r="DJ580" s="24">
        <v>2018</v>
      </c>
      <c r="DK580" s="24">
        <v>29</v>
      </c>
      <c r="DL580" s="24" t="s">
        <v>32</v>
      </c>
      <c r="DM580" s="24">
        <v>57</v>
      </c>
      <c r="DP580" s="24"/>
      <c r="DQ580" s="24"/>
      <c r="DR580" s="24"/>
      <c r="DS580" s="24"/>
      <c r="EI580" s="24">
        <v>2022</v>
      </c>
      <c r="EJ580" s="24">
        <v>44</v>
      </c>
      <c r="EK580" s="24" t="s">
        <v>208</v>
      </c>
      <c r="EL580" s="24" t="s">
        <v>351</v>
      </c>
      <c r="EM580" s="24" t="s">
        <v>215</v>
      </c>
      <c r="EN580" s="24">
        <v>9</v>
      </c>
      <c r="EO580" s="24"/>
      <c r="EP580" s="24"/>
      <c r="ES580" s="24">
        <v>2019</v>
      </c>
      <c r="ET580" s="24">
        <v>21</v>
      </c>
      <c r="EU580" s="24" t="s">
        <v>32</v>
      </c>
      <c r="EV580" s="24">
        <v>2563</v>
      </c>
      <c r="FW580" s="24">
        <v>2017</v>
      </c>
      <c r="FX580" s="24">
        <v>52</v>
      </c>
      <c r="FY580" s="24" t="s">
        <v>32</v>
      </c>
      <c r="FZ580" s="24">
        <v>576</v>
      </c>
      <c r="GA580" s="24">
        <v>519</v>
      </c>
      <c r="GB580" s="24"/>
      <c r="GC580" s="24"/>
      <c r="GD580" s="24"/>
      <c r="GE580" s="24"/>
      <c r="GF580" s="24"/>
      <c r="GG580" s="24"/>
      <c r="GH580" s="24"/>
      <c r="GK580" s="24"/>
      <c r="GL580" s="24"/>
      <c r="GM580" s="24"/>
      <c r="GN580" s="24"/>
      <c r="GO580" s="24"/>
      <c r="GX580">
        <v>2017</v>
      </c>
      <c r="GY580">
        <v>52</v>
      </c>
      <c r="GZ580" t="s">
        <v>32</v>
      </c>
      <c r="HA580">
        <v>5154</v>
      </c>
      <c r="HB580">
        <v>4972</v>
      </c>
      <c r="HC580">
        <v>4</v>
      </c>
      <c r="HD580">
        <v>4</v>
      </c>
      <c r="HE580">
        <v>0</v>
      </c>
      <c r="HF580">
        <v>5</v>
      </c>
      <c r="HG580">
        <v>0</v>
      </c>
      <c r="HH580">
        <v>0</v>
      </c>
      <c r="HI580">
        <v>65</v>
      </c>
      <c r="HZ580" s="24">
        <v>2017</v>
      </c>
      <c r="IA580" s="24">
        <v>52</v>
      </c>
      <c r="IB580" s="24" t="s">
        <v>32</v>
      </c>
      <c r="IC580" s="24">
        <v>564</v>
      </c>
      <c r="ID580" s="24">
        <v>507</v>
      </c>
    </row>
    <row r="581" spans="9:238" x14ac:dyDescent="0.4">
      <c r="I581" s="305">
        <v>2017</v>
      </c>
      <c r="J581" s="306">
        <v>52</v>
      </c>
      <c r="K581" s="306" t="s">
        <v>32</v>
      </c>
      <c r="L581" s="306">
        <v>5173</v>
      </c>
      <c r="M581" s="306">
        <v>4998</v>
      </c>
      <c r="N581" s="306">
        <v>17</v>
      </c>
      <c r="O581" s="306">
        <v>153</v>
      </c>
      <c r="P581" s="306">
        <v>17</v>
      </c>
      <c r="Q581" s="306"/>
      <c r="R581" s="292"/>
      <c r="S581" s="292"/>
      <c r="T581" s="292"/>
      <c r="AI581" s="24"/>
      <c r="AJ581" s="24"/>
      <c r="AO581" s="24"/>
      <c r="AP581" s="24"/>
      <c r="AQ581" s="24"/>
      <c r="AR581" s="24"/>
      <c r="DD581" s="24"/>
      <c r="DE581" s="24"/>
      <c r="DF581" s="24"/>
      <c r="DG581" s="24"/>
      <c r="DJ581" s="24">
        <v>2018</v>
      </c>
      <c r="DK581" s="24">
        <v>29</v>
      </c>
      <c r="DL581" s="24" t="s">
        <v>33</v>
      </c>
      <c r="DM581" s="24">
        <v>1112</v>
      </c>
      <c r="DP581" s="24"/>
      <c r="DQ581" s="24"/>
      <c r="DR581" s="24"/>
      <c r="DS581" s="24"/>
      <c r="EI581" s="24">
        <v>2022</v>
      </c>
      <c r="EJ581" s="24">
        <v>44</v>
      </c>
      <c r="EK581" s="24" t="s">
        <v>208</v>
      </c>
      <c r="EL581" s="24" t="s">
        <v>235</v>
      </c>
      <c r="EM581" s="24" t="s">
        <v>210</v>
      </c>
      <c r="EN581" s="24">
        <v>8</v>
      </c>
      <c r="EO581" s="24"/>
      <c r="EP581" s="24"/>
      <c r="ES581" s="24">
        <v>2019</v>
      </c>
      <c r="ET581" s="24">
        <v>21</v>
      </c>
      <c r="EU581" s="24" t="s">
        <v>33</v>
      </c>
      <c r="EV581" s="24">
        <v>100994</v>
      </c>
      <c r="FW581" s="24">
        <v>2017</v>
      </c>
      <c r="FX581" s="24">
        <v>52</v>
      </c>
      <c r="FY581" s="24" t="s">
        <v>33</v>
      </c>
      <c r="FZ581" s="24">
        <v>5703</v>
      </c>
      <c r="GA581" s="24">
        <v>5203</v>
      </c>
      <c r="GB581" s="24"/>
      <c r="GC581" s="24"/>
      <c r="GD581" s="24"/>
      <c r="GE581" s="24"/>
      <c r="GF581" s="24"/>
      <c r="GG581" s="24"/>
      <c r="GH581" s="24"/>
      <c r="GK581" s="24"/>
      <c r="GL581" s="24"/>
      <c r="GM581" s="24"/>
      <c r="GN581" s="24"/>
      <c r="GO581" s="24"/>
      <c r="GX581">
        <v>2017</v>
      </c>
      <c r="GY581">
        <v>52</v>
      </c>
      <c r="GZ581" t="s">
        <v>33</v>
      </c>
      <c r="HA581">
        <v>84847</v>
      </c>
      <c r="HB581">
        <v>83417</v>
      </c>
      <c r="HC581">
        <v>261</v>
      </c>
      <c r="HD581">
        <v>103</v>
      </c>
      <c r="HE581">
        <v>0</v>
      </c>
      <c r="HF581">
        <v>259</v>
      </c>
      <c r="HG581">
        <v>0</v>
      </c>
      <c r="HH581">
        <v>0</v>
      </c>
      <c r="HI581">
        <v>434</v>
      </c>
      <c r="HZ581" s="24">
        <v>2017</v>
      </c>
      <c r="IA581" s="24">
        <v>52</v>
      </c>
      <c r="IB581" s="24" t="s">
        <v>33</v>
      </c>
      <c r="IC581" s="24">
        <v>4828</v>
      </c>
      <c r="ID581" s="24">
        <v>4374</v>
      </c>
    </row>
    <row r="582" spans="9:238" x14ac:dyDescent="0.4">
      <c r="I582" s="305">
        <v>2017</v>
      </c>
      <c r="J582" s="306">
        <v>52</v>
      </c>
      <c r="K582" s="306" t="s">
        <v>33</v>
      </c>
      <c r="L582" s="306">
        <v>83754</v>
      </c>
      <c r="M582" s="306">
        <v>80293</v>
      </c>
      <c r="N582" s="306">
        <v>231</v>
      </c>
      <c r="O582" s="306">
        <v>1531</v>
      </c>
      <c r="P582" s="306">
        <v>359</v>
      </c>
      <c r="Q582" s="306"/>
      <c r="R582" s="292"/>
      <c r="S582" s="292"/>
      <c r="T582" s="292"/>
      <c r="AI582" s="24"/>
      <c r="AJ582" s="24"/>
      <c r="AO582" s="24"/>
      <c r="AP582" s="24"/>
      <c r="AQ582" s="24"/>
      <c r="AR582" s="24"/>
      <c r="DD582" s="24"/>
      <c r="DE582" s="24"/>
      <c r="DF582" s="24"/>
      <c r="DG582" s="24"/>
      <c r="DJ582" s="24">
        <v>2018</v>
      </c>
      <c r="DK582" s="24">
        <v>29</v>
      </c>
      <c r="DL582" s="24"/>
      <c r="DM582" s="24">
        <v>1169</v>
      </c>
      <c r="DP582" s="24"/>
      <c r="DQ582" s="24"/>
      <c r="DR582" s="24"/>
      <c r="DS582" s="24"/>
      <c r="EI582" s="24">
        <v>2022</v>
      </c>
      <c r="EJ582" s="24">
        <v>44</v>
      </c>
      <c r="EK582" s="24" t="s">
        <v>208</v>
      </c>
      <c r="EL582" s="24" t="s">
        <v>235</v>
      </c>
      <c r="EM582" s="24" t="s">
        <v>234</v>
      </c>
      <c r="EN582" s="24">
        <v>16</v>
      </c>
      <c r="EO582" s="24"/>
      <c r="EP582" s="24"/>
      <c r="ES582" s="24">
        <v>2019</v>
      </c>
      <c r="ET582" s="24">
        <v>21</v>
      </c>
      <c r="EU582" s="24" t="s">
        <v>213</v>
      </c>
      <c r="EV582" s="24">
        <v>7</v>
      </c>
      <c r="FW582" s="24">
        <v>2017</v>
      </c>
      <c r="FX582" s="24">
        <v>51</v>
      </c>
      <c r="FY582" s="24" t="s">
        <v>32</v>
      </c>
      <c r="FZ582" s="24">
        <v>497</v>
      </c>
      <c r="GA582" s="24">
        <v>438</v>
      </c>
      <c r="GB582" s="24"/>
      <c r="GC582" s="24"/>
      <c r="GD582" s="24"/>
      <c r="GE582" s="24"/>
      <c r="GF582" s="24"/>
      <c r="GG582" s="24"/>
      <c r="GH582" s="24"/>
      <c r="GK582" s="24"/>
      <c r="GL582" s="24"/>
      <c r="GM582" s="24"/>
      <c r="GN582" s="24"/>
      <c r="GO582" s="24"/>
      <c r="GX582">
        <v>2017</v>
      </c>
      <c r="GY582">
        <v>51</v>
      </c>
      <c r="GZ582" t="s">
        <v>32</v>
      </c>
      <c r="HA582">
        <v>4603</v>
      </c>
      <c r="HB582">
        <v>4459</v>
      </c>
      <c r="HC582">
        <v>1</v>
      </c>
      <c r="HD582">
        <v>0</v>
      </c>
      <c r="HE582">
        <v>0</v>
      </c>
      <c r="HF582">
        <v>0</v>
      </c>
      <c r="HG582">
        <v>0</v>
      </c>
      <c r="HH582">
        <v>0</v>
      </c>
      <c r="HI582">
        <v>34</v>
      </c>
      <c r="HZ582" s="24">
        <v>2017</v>
      </c>
      <c r="IA582" s="24">
        <v>51</v>
      </c>
      <c r="IB582" s="24" t="s">
        <v>32</v>
      </c>
      <c r="IC582" s="24">
        <v>532</v>
      </c>
      <c r="ID582" s="24">
        <v>478</v>
      </c>
    </row>
    <row r="583" spans="9:238" x14ac:dyDescent="0.4">
      <c r="I583" s="305">
        <v>2017</v>
      </c>
      <c r="J583" s="306">
        <v>51</v>
      </c>
      <c r="K583" s="306" t="s">
        <v>32</v>
      </c>
      <c r="L583" s="306">
        <v>4391</v>
      </c>
      <c r="M583" s="306">
        <v>4232</v>
      </c>
      <c r="N583" s="306">
        <v>11</v>
      </c>
      <c r="O583" s="306">
        <v>135</v>
      </c>
      <c r="P583" s="306">
        <v>33</v>
      </c>
      <c r="Q583" s="306"/>
      <c r="R583" s="292"/>
      <c r="S583" s="292"/>
      <c r="T583" s="292"/>
      <c r="AI583" s="24"/>
      <c r="AJ583" s="24"/>
      <c r="AO583" s="24"/>
      <c r="AP583" s="24"/>
      <c r="AQ583" s="24"/>
      <c r="AR583" s="24"/>
      <c r="DD583" s="24"/>
      <c r="DE583" s="24"/>
      <c r="DF583" s="24"/>
      <c r="DG583" s="24"/>
      <c r="DJ583" s="24">
        <v>2018</v>
      </c>
      <c r="DK583" s="24">
        <v>28</v>
      </c>
      <c r="DL583" s="24" t="s">
        <v>32</v>
      </c>
      <c r="DM583" s="24">
        <v>9</v>
      </c>
      <c r="DP583" s="24"/>
      <c r="DQ583" s="24"/>
      <c r="DR583" s="24"/>
      <c r="DS583" s="24"/>
      <c r="EI583" s="24">
        <v>2022</v>
      </c>
      <c r="EJ583" s="24">
        <v>44</v>
      </c>
      <c r="EK583" s="24" t="s">
        <v>208</v>
      </c>
      <c r="EL583" s="24" t="s">
        <v>235</v>
      </c>
      <c r="EM583" s="24" t="s">
        <v>215</v>
      </c>
      <c r="EN583" s="24">
        <v>8</v>
      </c>
      <c r="EO583" s="24"/>
      <c r="EP583" s="24"/>
      <c r="ES583" s="24">
        <v>2019</v>
      </c>
      <c r="ET583" s="24">
        <v>20</v>
      </c>
      <c r="EU583" s="24" t="s">
        <v>32</v>
      </c>
      <c r="EV583" s="24">
        <v>2931</v>
      </c>
      <c r="FW583" s="24">
        <v>2017</v>
      </c>
      <c r="FX583" s="24">
        <v>51</v>
      </c>
      <c r="FY583" s="24" t="s">
        <v>33</v>
      </c>
      <c r="FZ583" s="24">
        <v>8972</v>
      </c>
      <c r="GA583" s="24">
        <v>8052</v>
      </c>
      <c r="GB583" s="24"/>
      <c r="GC583" s="24"/>
      <c r="GD583" s="24"/>
      <c r="GE583" s="24"/>
      <c r="GF583" s="24"/>
      <c r="GG583" s="24"/>
      <c r="GH583" s="24"/>
      <c r="GK583" s="24"/>
      <c r="GL583" s="24"/>
      <c r="GM583" s="24"/>
      <c r="GN583" s="24"/>
      <c r="GO583" s="24"/>
      <c r="GX583">
        <v>2017</v>
      </c>
      <c r="GY583">
        <v>51</v>
      </c>
      <c r="GZ583" t="s">
        <v>33</v>
      </c>
      <c r="HA583">
        <v>78045</v>
      </c>
      <c r="HB583">
        <v>75870</v>
      </c>
      <c r="HC583">
        <v>498</v>
      </c>
      <c r="HD583">
        <v>139</v>
      </c>
      <c r="HE583">
        <v>0</v>
      </c>
      <c r="HF583">
        <v>520</v>
      </c>
      <c r="HG583">
        <v>0</v>
      </c>
      <c r="HH583">
        <v>0</v>
      </c>
      <c r="HI583">
        <v>502</v>
      </c>
      <c r="HZ583" s="24">
        <v>2017</v>
      </c>
      <c r="IA583" s="24">
        <v>51</v>
      </c>
      <c r="IB583" s="24" t="s">
        <v>33</v>
      </c>
      <c r="IC583" s="24">
        <v>9361</v>
      </c>
      <c r="ID583" s="24">
        <v>8405</v>
      </c>
    </row>
    <row r="584" spans="9:238" x14ac:dyDescent="0.4">
      <c r="I584" s="305">
        <v>2017</v>
      </c>
      <c r="J584" s="306">
        <v>51</v>
      </c>
      <c r="K584" s="306" t="s">
        <v>33</v>
      </c>
      <c r="L584" s="306">
        <v>77630</v>
      </c>
      <c r="M584" s="306">
        <v>73561</v>
      </c>
      <c r="N584" s="306">
        <v>227</v>
      </c>
      <c r="O584" s="306">
        <v>1986</v>
      </c>
      <c r="P584" s="306">
        <v>402</v>
      </c>
      <c r="Q584" s="306"/>
      <c r="R584" s="292"/>
      <c r="S584" s="292"/>
      <c r="T584" s="292"/>
      <c r="AI584" s="24"/>
      <c r="AJ584" s="24"/>
      <c r="AO584" s="24"/>
      <c r="AP584" s="24"/>
      <c r="AQ584" s="24"/>
      <c r="AR584" s="24"/>
      <c r="DD584" s="24"/>
      <c r="DE584" s="24"/>
      <c r="DF584" s="24"/>
      <c r="DG584" s="24"/>
      <c r="DJ584" s="24">
        <v>2018</v>
      </c>
      <c r="DK584" s="24">
        <v>28</v>
      </c>
      <c r="DL584" s="24" t="s">
        <v>33</v>
      </c>
      <c r="DM584" s="24">
        <v>1424</v>
      </c>
      <c r="DP584" s="24"/>
      <c r="DQ584" s="24"/>
      <c r="DR584" s="24"/>
      <c r="DS584" s="24"/>
      <c r="EI584" s="24">
        <v>2022</v>
      </c>
      <c r="EJ584" s="24">
        <v>44</v>
      </c>
      <c r="EK584" s="24" t="s">
        <v>208</v>
      </c>
      <c r="EL584" s="24" t="s">
        <v>209</v>
      </c>
      <c r="EM584" s="24" t="s">
        <v>210</v>
      </c>
      <c r="EN584" s="24">
        <v>6</v>
      </c>
      <c r="EO584" s="24"/>
      <c r="EP584" s="24"/>
      <c r="ES584" s="24">
        <v>2019</v>
      </c>
      <c r="ET584" s="24">
        <v>20</v>
      </c>
      <c r="EU584" s="24" t="s">
        <v>33</v>
      </c>
      <c r="EV584" s="24">
        <v>123869</v>
      </c>
      <c r="FW584" s="24">
        <v>2017</v>
      </c>
      <c r="FX584" s="24">
        <v>50</v>
      </c>
      <c r="FY584" s="24" t="s">
        <v>32</v>
      </c>
      <c r="FZ584" s="24">
        <v>945</v>
      </c>
      <c r="GA584" s="24">
        <v>850</v>
      </c>
      <c r="GB584" s="24"/>
      <c r="GC584" s="24"/>
      <c r="GD584" s="24"/>
      <c r="GE584" s="24"/>
      <c r="GF584" s="24"/>
      <c r="GG584" s="24"/>
      <c r="GH584" s="24"/>
      <c r="GK584" s="24"/>
      <c r="GL584" s="24"/>
      <c r="GM584" s="24"/>
      <c r="GN584" s="24"/>
      <c r="GO584" s="24"/>
      <c r="GX584">
        <v>2017</v>
      </c>
      <c r="GY584">
        <v>50</v>
      </c>
      <c r="GZ584" t="s">
        <v>32</v>
      </c>
      <c r="HA584">
        <v>4686</v>
      </c>
      <c r="HB584">
        <v>4414</v>
      </c>
      <c r="HC584">
        <v>7</v>
      </c>
      <c r="HD584">
        <v>8</v>
      </c>
      <c r="HE584">
        <v>0</v>
      </c>
      <c r="HF584">
        <v>47</v>
      </c>
      <c r="HG584">
        <v>0</v>
      </c>
      <c r="HH584">
        <v>0</v>
      </c>
      <c r="HI584">
        <v>56</v>
      </c>
      <c r="HZ584" s="24">
        <v>2017</v>
      </c>
      <c r="IA584" s="24">
        <v>50</v>
      </c>
      <c r="IB584" s="24" t="s">
        <v>32</v>
      </c>
      <c r="IC584" s="24">
        <v>944</v>
      </c>
      <c r="ID584" s="24">
        <v>838</v>
      </c>
    </row>
    <row r="585" spans="9:238" x14ac:dyDescent="0.4">
      <c r="I585" s="305">
        <v>2017</v>
      </c>
      <c r="J585" s="306">
        <v>50</v>
      </c>
      <c r="K585" s="306" t="s">
        <v>32</v>
      </c>
      <c r="L585" s="306">
        <v>4823</v>
      </c>
      <c r="M585" s="306">
        <v>4506</v>
      </c>
      <c r="N585" s="306">
        <v>18</v>
      </c>
      <c r="O585" s="306">
        <v>258</v>
      </c>
      <c r="P585" s="306">
        <v>50</v>
      </c>
      <c r="Q585" s="306"/>
      <c r="R585" s="292"/>
      <c r="S585" s="292"/>
      <c r="T585" s="292"/>
      <c r="AI585" s="24"/>
      <c r="AJ585" s="24"/>
      <c r="AO585" s="24"/>
      <c r="AP585" s="24"/>
      <c r="AQ585" s="24"/>
      <c r="AR585" s="24"/>
      <c r="DD585" s="24"/>
      <c r="DE585" s="24"/>
      <c r="DF585" s="24"/>
      <c r="DG585" s="24"/>
      <c r="DJ585" s="24">
        <v>2018</v>
      </c>
      <c r="DK585" s="24">
        <v>27</v>
      </c>
      <c r="DL585" s="24" t="s">
        <v>32</v>
      </c>
      <c r="DM585" s="24">
        <v>120</v>
      </c>
      <c r="DP585" s="24"/>
      <c r="DQ585" s="24"/>
      <c r="DR585" s="24"/>
      <c r="DS585" s="24"/>
      <c r="EI585" s="24">
        <v>2022</v>
      </c>
      <c r="EJ585" s="24">
        <v>44</v>
      </c>
      <c r="EK585" s="24" t="s">
        <v>208</v>
      </c>
      <c r="EL585" s="24" t="s">
        <v>247</v>
      </c>
      <c r="EM585" s="24" t="s">
        <v>234</v>
      </c>
      <c r="EN585" s="24">
        <v>2</v>
      </c>
      <c r="EO585" s="24"/>
      <c r="EP585" s="24"/>
      <c r="ES585" s="24">
        <v>2019</v>
      </c>
      <c r="ET585" s="24">
        <v>20</v>
      </c>
      <c r="EU585" s="24" t="s">
        <v>213</v>
      </c>
      <c r="EV585" s="24">
        <v>1</v>
      </c>
      <c r="FW585" s="24">
        <v>2017</v>
      </c>
      <c r="FX585" s="24">
        <v>50</v>
      </c>
      <c r="FY585" s="24" t="s">
        <v>33</v>
      </c>
      <c r="FZ585" s="24">
        <v>13172</v>
      </c>
      <c r="GA585" s="24">
        <v>11311</v>
      </c>
      <c r="GB585" s="24"/>
      <c r="GC585" s="24"/>
      <c r="GD585" s="24"/>
      <c r="GE585" s="24"/>
      <c r="GF585" s="24"/>
      <c r="GG585" s="24"/>
      <c r="GH585" s="24"/>
      <c r="GK585" s="24"/>
      <c r="GL585" s="24"/>
      <c r="GM585" s="24"/>
      <c r="GN585" s="24"/>
      <c r="GO585" s="24"/>
      <c r="GX585">
        <v>2017</v>
      </c>
      <c r="GY585">
        <v>50</v>
      </c>
      <c r="GZ585" t="s">
        <v>33</v>
      </c>
      <c r="HA585">
        <v>103056</v>
      </c>
      <c r="HB585">
        <v>98771</v>
      </c>
      <c r="HC585">
        <v>493</v>
      </c>
      <c r="HD585">
        <v>305</v>
      </c>
      <c r="HE585">
        <v>1</v>
      </c>
      <c r="HF585">
        <v>1143</v>
      </c>
      <c r="HG585">
        <v>0</v>
      </c>
      <c r="HH585">
        <v>0</v>
      </c>
      <c r="HI585">
        <v>716</v>
      </c>
      <c r="HZ585" s="24">
        <v>2017</v>
      </c>
      <c r="IA585" s="24">
        <v>50</v>
      </c>
      <c r="IB585" s="24" t="s">
        <v>33</v>
      </c>
      <c r="IC585" s="24">
        <v>13495</v>
      </c>
      <c r="ID585" s="24">
        <v>11705</v>
      </c>
    </row>
    <row r="586" spans="9:238" x14ac:dyDescent="0.4">
      <c r="I586" s="305">
        <v>2017</v>
      </c>
      <c r="J586" s="306">
        <v>50</v>
      </c>
      <c r="K586" s="306" t="s">
        <v>33</v>
      </c>
      <c r="L586" s="306">
        <v>105192</v>
      </c>
      <c r="M586" s="306">
        <v>97805</v>
      </c>
      <c r="N586" s="306">
        <v>289</v>
      </c>
      <c r="O586" s="306">
        <v>3664</v>
      </c>
      <c r="P586" s="306">
        <v>789</v>
      </c>
      <c r="Q586" s="306"/>
      <c r="R586" s="292"/>
      <c r="S586" s="292"/>
      <c r="T586" s="292"/>
      <c r="AI586" s="24"/>
      <c r="AJ586" s="24"/>
      <c r="AO586" s="24"/>
      <c r="AP586" s="24"/>
      <c r="AQ586" s="24"/>
      <c r="AR586" s="24"/>
      <c r="DD586" s="24"/>
      <c r="DE586" s="24"/>
      <c r="DF586" s="24"/>
      <c r="DG586" s="24"/>
      <c r="DJ586" s="24">
        <v>2018</v>
      </c>
      <c r="DK586" s="24">
        <v>27</v>
      </c>
      <c r="DL586" s="24" t="s">
        <v>33</v>
      </c>
      <c r="DM586" s="24">
        <v>2630</v>
      </c>
      <c r="DP586" s="24"/>
      <c r="DQ586" s="24"/>
      <c r="DR586" s="24"/>
      <c r="DS586" s="24"/>
      <c r="EI586" s="24">
        <v>2022</v>
      </c>
      <c r="EJ586" s="24">
        <v>44</v>
      </c>
      <c r="EK586" s="24" t="s">
        <v>208</v>
      </c>
      <c r="EL586" s="24" t="s">
        <v>245</v>
      </c>
      <c r="EM586" s="24" t="s">
        <v>234</v>
      </c>
      <c r="EN586" s="24">
        <v>1</v>
      </c>
      <c r="EO586" s="24"/>
      <c r="EP586" s="24"/>
      <c r="ES586" s="24">
        <v>2019</v>
      </c>
      <c r="ET586" s="24">
        <v>19</v>
      </c>
      <c r="EU586" s="24" t="s">
        <v>32</v>
      </c>
      <c r="EV586" s="24">
        <v>3227</v>
      </c>
      <c r="FW586" s="24">
        <v>2017</v>
      </c>
      <c r="FX586" s="24">
        <v>49</v>
      </c>
      <c r="FY586" s="24" t="s">
        <v>32</v>
      </c>
      <c r="FZ586" s="24">
        <v>746</v>
      </c>
      <c r="GA586" s="24">
        <v>666</v>
      </c>
      <c r="GB586" s="24"/>
      <c r="GC586" s="24"/>
      <c r="GD586" s="24"/>
      <c r="GE586" s="24"/>
      <c r="GF586" s="24"/>
      <c r="GG586" s="24"/>
      <c r="GH586" s="24"/>
      <c r="GK586" s="24"/>
      <c r="GL586" s="24"/>
      <c r="GM586" s="24"/>
      <c r="GN586" s="24"/>
      <c r="GO586" s="24"/>
      <c r="GX586">
        <v>2017</v>
      </c>
      <c r="GY586">
        <v>49</v>
      </c>
      <c r="GZ586" t="s">
        <v>32</v>
      </c>
      <c r="HA586">
        <v>5977</v>
      </c>
      <c r="HB586">
        <v>5650</v>
      </c>
      <c r="HC586">
        <v>6</v>
      </c>
      <c r="HD586">
        <v>1</v>
      </c>
      <c r="HE586">
        <v>0</v>
      </c>
      <c r="HF586">
        <v>9</v>
      </c>
      <c r="HG586">
        <v>0</v>
      </c>
      <c r="HH586">
        <v>0</v>
      </c>
      <c r="HI586">
        <v>88</v>
      </c>
      <c r="HZ586" s="24">
        <v>2017</v>
      </c>
      <c r="IA586" s="24">
        <v>49</v>
      </c>
      <c r="IB586" s="24" t="s">
        <v>32</v>
      </c>
      <c r="IC586" s="24">
        <v>763</v>
      </c>
      <c r="ID586" s="24">
        <v>684</v>
      </c>
    </row>
    <row r="587" spans="9:238" x14ac:dyDescent="0.4">
      <c r="I587" s="305">
        <v>2017</v>
      </c>
      <c r="J587" s="306">
        <v>49</v>
      </c>
      <c r="K587" s="306" t="s">
        <v>32</v>
      </c>
      <c r="L587" s="306">
        <v>5952</v>
      </c>
      <c r="M587" s="306">
        <v>5624</v>
      </c>
      <c r="N587" s="306">
        <v>45</v>
      </c>
      <c r="O587" s="306">
        <v>270</v>
      </c>
      <c r="P587" s="306">
        <v>50</v>
      </c>
      <c r="Q587" s="306"/>
      <c r="R587" s="292"/>
      <c r="S587" s="292"/>
      <c r="T587" s="292"/>
      <c r="AI587" s="24"/>
      <c r="AJ587" s="24"/>
      <c r="AO587" s="24"/>
      <c r="AP587" s="24"/>
      <c r="AQ587" s="24"/>
      <c r="AR587" s="24"/>
      <c r="DD587" s="24"/>
      <c r="DE587" s="24"/>
      <c r="DF587" s="24"/>
      <c r="DG587" s="24"/>
      <c r="DJ587" s="24">
        <v>2018</v>
      </c>
      <c r="DK587" s="24">
        <v>26</v>
      </c>
      <c r="DL587" s="24" t="s">
        <v>32</v>
      </c>
      <c r="DM587" s="24">
        <v>243</v>
      </c>
      <c r="DP587" s="24"/>
      <c r="DQ587" s="24"/>
      <c r="DR587" s="24"/>
      <c r="DS587" s="24"/>
      <c r="EI587" s="24">
        <v>2022</v>
      </c>
      <c r="EJ587" s="24">
        <v>44</v>
      </c>
      <c r="EK587" s="24" t="s">
        <v>558</v>
      </c>
      <c r="EL587" s="24" t="s">
        <v>557</v>
      </c>
      <c r="EM587" s="24" t="s">
        <v>210</v>
      </c>
      <c r="EN587" s="24">
        <v>6</v>
      </c>
      <c r="EO587" s="24"/>
      <c r="EP587" s="24"/>
      <c r="ES587" s="24">
        <v>2019</v>
      </c>
      <c r="ET587" s="24">
        <v>19</v>
      </c>
      <c r="EU587" s="24" t="s">
        <v>33</v>
      </c>
      <c r="EV587" s="24">
        <v>121379</v>
      </c>
      <c r="FW587" s="24">
        <v>2017</v>
      </c>
      <c r="FX587" s="24">
        <v>49</v>
      </c>
      <c r="FY587" s="24" t="s">
        <v>33</v>
      </c>
      <c r="FZ587" s="24">
        <v>8796</v>
      </c>
      <c r="GA587" s="24">
        <v>7648</v>
      </c>
      <c r="GB587" s="24"/>
      <c r="GC587" s="24"/>
      <c r="GD587" s="24"/>
      <c r="GE587" s="24"/>
      <c r="GF587" s="24"/>
      <c r="GG587" s="24"/>
      <c r="GH587" s="24"/>
      <c r="GK587" s="24"/>
      <c r="GL587" s="24"/>
      <c r="GM587" s="24"/>
      <c r="GN587" s="24"/>
      <c r="GO587" s="24"/>
      <c r="GX587">
        <v>2017</v>
      </c>
      <c r="GY587">
        <v>49</v>
      </c>
      <c r="GZ587" t="s">
        <v>33</v>
      </c>
      <c r="HA587">
        <v>103971</v>
      </c>
      <c r="HB587">
        <v>101465</v>
      </c>
      <c r="HC587">
        <v>359</v>
      </c>
      <c r="HD587">
        <v>216</v>
      </c>
      <c r="HE587">
        <v>1</v>
      </c>
      <c r="HF587">
        <v>531</v>
      </c>
      <c r="HG587">
        <v>0</v>
      </c>
      <c r="HH587">
        <v>0</v>
      </c>
      <c r="HI587">
        <v>646</v>
      </c>
      <c r="HZ587" s="24">
        <v>2017</v>
      </c>
      <c r="IA587" s="24">
        <v>49</v>
      </c>
      <c r="IB587" s="24" t="s">
        <v>33</v>
      </c>
      <c r="IC587" s="24">
        <v>8975</v>
      </c>
      <c r="ID587" s="24">
        <v>7833</v>
      </c>
    </row>
    <row r="588" spans="9:238" x14ac:dyDescent="0.4">
      <c r="I588" s="305">
        <v>2017</v>
      </c>
      <c r="J588" s="306">
        <v>49</v>
      </c>
      <c r="K588" s="306" t="s">
        <v>33</v>
      </c>
      <c r="L588" s="306">
        <v>102875</v>
      </c>
      <c r="M588" s="306">
        <v>97745</v>
      </c>
      <c r="N588" s="306">
        <v>287</v>
      </c>
      <c r="O588" s="306">
        <v>2599</v>
      </c>
      <c r="P588" s="306">
        <v>577</v>
      </c>
      <c r="Q588" s="306"/>
      <c r="R588" s="292"/>
      <c r="S588" s="292"/>
      <c r="T588" s="292"/>
      <c r="AI588" s="24"/>
      <c r="AJ588" s="24"/>
      <c r="AO588" s="24"/>
      <c r="AP588" s="24"/>
      <c r="AQ588" s="24"/>
      <c r="AR588" s="24"/>
      <c r="DD588" s="24"/>
      <c r="DE588" s="24"/>
      <c r="DF588" s="24"/>
      <c r="DG588" s="24"/>
      <c r="DJ588" s="24">
        <v>2018</v>
      </c>
      <c r="DK588" s="24">
        <v>26</v>
      </c>
      <c r="DL588" s="24" t="s">
        <v>33</v>
      </c>
      <c r="DM588" s="24">
        <v>2760</v>
      </c>
      <c r="DP588" s="24"/>
      <c r="DQ588" s="24"/>
      <c r="DR588" s="24"/>
      <c r="DS588" s="24"/>
      <c r="EI588" s="24">
        <v>2022</v>
      </c>
      <c r="EJ588" s="24">
        <v>44</v>
      </c>
      <c r="EK588" s="24" t="s">
        <v>558</v>
      </c>
      <c r="EL588" s="24" t="s">
        <v>557</v>
      </c>
      <c r="EM588" s="24" t="s">
        <v>215</v>
      </c>
      <c r="EN588" s="24">
        <v>4</v>
      </c>
      <c r="EO588" s="24"/>
      <c r="EP588" s="24"/>
      <c r="ES588" s="24">
        <v>2019</v>
      </c>
      <c r="ET588" s="24">
        <v>19</v>
      </c>
      <c r="EU588" s="24" t="s">
        <v>213</v>
      </c>
      <c r="EV588" s="24">
        <v>3</v>
      </c>
      <c r="FW588" s="24">
        <v>2017</v>
      </c>
      <c r="FX588" s="24">
        <v>48</v>
      </c>
      <c r="FY588" s="24" t="s">
        <v>32</v>
      </c>
      <c r="FZ588" s="24">
        <v>670</v>
      </c>
      <c r="GA588" s="24">
        <v>585</v>
      </c>
      <c r="GB588" s="24"/>
      <c r="GC588" s="24"/>
      <c r="GD588" s="24"/>
      <c r="GE588" s="24"/>
      <c r="GF588" s="24"/>
      <c r="GG588" s="24"/>
      <c r="GH588" s="24"/>
      <c r="GK588" s="24"/>
      <c r="GL588" s="24"/>
      <c r="GM588" s="24"/>
      <c r="GN588" s="24"/>
      <c r="GO588" s="24"/>
      <c r="GX588">
        <v>2017</v>
      </c>
      <c r="GY588">
        <v>48</v>
      </c>
      <c r="GZ588" t="s">
        <v>32</v>
      </c>
      <c r="HA588">
        <v>6149</v>
      </c>
      <c r="HB588">
        <v>5864</v>
      </c>
      <c r="HC588">
        <v>4</v>
      </c>
      <c r="HD588">
        <v>6</v>
      </c>
      <c r="HE588">
        <v>0</v>
      </c>
      <c r="HF588">
        <v>2</v>
      </c>
      <c r="HG588">
        <v>0</v>
      </c>
      <c r="HH588">
        <v>0</v>
      </c>
      <c r="HI588">
        <v>61</v>
      </c>
      <c r="HZ588" s="24">
        <v>2017</v>
      </c>
      <c r="IA588" s="24">
        <v>48</v>
      </c>
      <c r="IB588" s="24" t="s">
        <v>32</v>
      </c>
      <c r="IC588" s="24">
        <v>634</v>
      </c>
      <c r="ID588" s="24">
        <v>558</v>
      </c>
    </row>
    <row r="589" spans="9:238" x14ac:dyDescent="0.4">
      <c r="I589" s="305">
        <v>2017</v>
      </c>
      <c r="J589" s="306">
        <v>48</v>
      </c>
      <c r="K589" s="306" t="s">
        <v>32</v>
      </c>
      <c r="L589" s="306">
        <v>6204</v>
      </c>
      <c r="M589" s="306">
        <v>5879</v>
      </c>
      <c r="N589" s="306">
        <v>34</v>
      </c>
      <c r="O589" s="306">
        <v>270</v>
      </c>
      <c r="P589" s="306">
        <v>33</v>
      </c>
      <c r="Q589" s="306"/>
      <c r="R589" s="292"/>
      <c r="S589" s="292"/>
      <c r="T589" s="292"/>
      <c r="AI589" s="24"/>
      <c r="AJ589" s="24"/>
      <c r="AO589" s="24"/>
      <c r="AP589" s="24"/>
      <c r="AQ589" s="24"/>
      <c r="AR589" s="24"/>
      <c r="DD589" s="24"/>
      <c r="DE589" s="24"/>
      <c r="DF589" s="24"/>
      <c r="DG589" s="24"/>
      <c r="DJ589" s="24">
        <v>2018</v>
      </c>
      <c r="DK589" s="24">
        <v>25</v>
      </c>
      <c r="DL589" s="24" t="s">
        <v>32</v>
      </c>
      <c r="DM589" s="24">
        <v>415</v>
      </c>
      <c r="DP589" s="24"/>
      <c r="DQ589" s="24"/>
      <c r="DR589" s="24"/>
      <c r="DS589" s="24"/>
      <c r="EI589" s="24">
        <v>2022</v>
      </c>
      <c r="EJ589" s="24">
        <v>44</v>
      </c>
      <c r="EK589" s="24" t="s">
        <v>558</v>
      </c>
      <c r="EL589" s="24" t="s">
        <v>554</v>
      </c>
      <c r="EM589" s="24" t="s">
        <v>210</v>
      </c>
      <c r="EN589" s="24">
        <v>2</v>
      </c>
      <c r="EO589" s="24"/>
      <c r="EP589" s="24"/>
      <c r="ES589" s="24">
        <v>2019</v>
      </c>
      <c r="ET589" s="24">
        <v>18</v>
      </c>
      <c r="EU589" s="24" t="s">
        <v>32</v>
      </c>
      <c r="EV589" s="24">
        <v>3647</v>
      </c>
      <c r="FW589" s="24">
        <v>2017</v>
      </c>
      <c r="FX589" s="24">
        <v>48</v>
      </c>
      <c r="FY589" s="24" t="s">
        <v>33</v>
      </c>
      <c r="FZ589" s="24">
        <v>7413</v>
      </c>
      <c r="GA589" s="24">
        <v>6480</v>
      </c>
      <c r="GB589" s="24"/>
      <c r="GC589" s="24"/>
      <c r="GD589" s="24"/>
      <c r="GE589" s="24"/>
      <c r="GF589" s="24"/>
      <c r="GG589" s="24"/>
      <c r="GH589" s="24"/>
      <c r="GK589" s="24"/>
      <c r="GL589" s="24"/>
      <c r="GM589" s="24"/>
      <c r="GN589" s="24"/>
      <c r="GO589" s="24"/>
      <c r="GX589">
        <v>2017</v>
      </c>
      <c r="GY589">
        <v>48</v>
      </c>
      <c r="GZ589" t="s">
        <v>33</v>
      </c>
      <c r="HA589">
        <v>100858</v>
      </c>
      <c r="HB589">
        <v>97813</v>
      </c>
      <c r="HC589">
        <v>419</v>
      </c>
      <c r="HD589">
        <v>330</v>
      </c>
      <c r="HE589">
        <v>0</v>
      </c>
      <c r="HF589">
        <v>802</v>
      </c>
      <c r="HG589">
        <v>0</v>
      </c>
      <c r="HH589">
        <v>0</v>
      </c>
      <c r="HI589">
        <v>709</v>
      </c>
      <c r="HZ589" s="24">
        <v>2017</v>
      </c>
      <c r="IA589" s="24">
        <v>48</v>
      </c>
      <c r="IB589" s="24" t="s">
        <v>33</v>
      </c>
      <c r="IC589" s="24">
        <v>7570</v>
      </c>
      <c r="ID589" s="24">
        <v>6571</v>
      </c>
    </row>
    <row r="590" spans="9:238" x14ac:dyDescent="0.4">
      <c r="I590" s="305">
        <v>2017</v>
      </c>
      <c r="J590" s="306">
        <v>48</v>
      </c>
      <c r="K590" s="306" t="s">
        <v>33</v>
      </c>
      <c r="L590" s="306">
        <v>101251</v>
      </c>
      <c r="M590" s="306">
        <v>95677</v>
      </c>
      <c r="N590" s="306">
        <v>275</v>
      </c>
      <c r="O590" s="306">
        <v>2883</v>
      </c>
      <c r="P590" s="306">
        <v>654</v>
      </c>
      <c r="Q590" s="306">
        <v>3</v>
      </c>
      <c r="R590" s="292"/>
      <c r="S590" s="292"/>
      <c r="T590" s="292"/>
      <c r="AI590" s="24"/>
      <c r="AJ590" s="24"/>
      <c r="AO590" s="24"/>
      <c r="AP590" s="24"/>
      <c r="AQ590" s="24"/>
      <c r="AR590" s="24"/>
      <c r="DD590" s="24"/>
      <c r="DE590" s="24"/>
      <c r="DF590" s="24"/>
      <c r="DG590" s="24"/>
      <c r="DJ590" s="24">
        <v>2018</v>
      </c>
      <c r="DK590" s="24">
        <v>25</v>
      </c>
      <c r="DL590" s="24" t="s">
        <v>33</v>
      </c>
      <c r="DM590" s="24">
        <v>2432</v>
      </c>
      <c r="DP590" s="24"/>
      <c r="DQ590" s="24"/>
      <c r="DR590" s="24"/>
      <c r="DS590" s="24"/>
      <c r="EI590" s="24">
        <v>2022</v>
      </c>
      <c r="EJ590" s="24">
        <v>44</v>
      </c>
      <c r="EK590" s="24" t="s">
        <v>558</v>
      </c>
      <c r="EL590" s="24" t="s">
        <v>554</v>
      </c>
      <c r="EM590" s="24" t="s">
        <v>215</v>
      </c>
      <c r="EN590" s="24">
        <v>1</v>
      </c>
      <c r="EO590" s="24"/>
      <c r="EP590" s="24"/>
      <c r="ES590" s="24">
        <v>2019</v>
      </c>
      <c r="ET590" s="24">
        <v>18</v>
      </c>
      <c r="EU590" s="24" t="s">
        <v>33</v>
      </c>
      <c r="EV590" s="24">
        <v>104000</v>
      </c>
      <c r="FW590" s="24">
        <v>2017</v>
      </c>
      <c r="FX590" s="24">
        <v>47</v>
      </c>
      <c r="FY590" s="24" t="s">
        <v>32</v>
      </c>
      <c r="FZ590" s="24">
        <v>800</v>
      </c>
      <c r="GA590" s="24">
        <v>656</v>
      </c>
      <c r="GB590" s="24"/>
      <c r="GC590" s="24"/>
      <c r="GD590" s="24"/>
      <c r="GE590" s="24"/>
      <c r="GF590" s="24"/>
      <c r="GG590" s="24"/>
      <c r="GH590" s="24"/>
      <c r="GK590" s="24"/>
      <c r="GL590" s="24"/>
      <c r="GM590" s="24"/>
      <c r="GN590" s="24"/>
      <c r="GO590" s="24"/>
      <c r="GX590">
        <v>2017</v>
      </c>
      <c r="GY590">
        <v>47</v>
      </c>
      <c r="GZ590" t="s">
        <v>32</v>
      </c>
      <c r="HA590">
        <v>7856</v>
      </c>
      <c r="HB590">
        <v>7437</v>
      </c>
      <c r="HC590">
        <v>13</v>
      </c>
      <c r="HD590">
        <v>3</v>
      </c>
      <c r="HE590">
        <v>1</v>
      </c>
      <c r="HF590">
        <v>25</v>
      </c>
      <c r="HG590">
        <v>0</v>
      </c>
      <c r="HH590">
        <v>0</v>
      </c>
      <c r="HI590">
        <v>69</v>
      </c>
      <c r="HZ590" s="24">
        <v>2017</v>
      </c>
      <c r="IA590" s="24">
        <v>47</v>
      </c>
      <c r="IB590" s="24" t="s">
        <v>32</v>
      </c>
      <c r="IC590" s="24">
        <v>764</v>
      </c>
      <c r="ID590" s="24">
        <v>638</v>
      </c>
    </row>
    <row r="591" spans="9:238" x14ac:dyDescent="0.4">
      <c r="I591" s="305">
        <v>2017</v>
      </c>
      <c r="J591" s="306">
        <v>47</v>
      </c>
      <c r="K591" s="306" t="s">
        <v>32</v>
      </c>
      <c r="L591" s="306">
        <v>9613</v>
      </c>
      <c r="M591" s="306">
        <v>9024</v>
      </c>
      <c r="N591" s="306">
        <v>35</v>
      </c>
      <c r="O591" s="306">
        <v>527</v>
      </c>
      <c r="P591" s="306">
        <v>111</v>
      </c>
      <c r="Q591" s="306">
        <v>1</v>
      </c>
      <c r="R591" s="292"/>
      <c r="S591" s="292"/>
      <c r="T591" s="292"/>
      <c r="AI591" s="24"/>
      <c r="AJ591" s="24"/>
      <c r="AO591" s="24"/>
      <c r="AP591" s="24"/>
      <c r="AQ591" s="24"/>
      <c r="AR591" s="24"/>
      <c r="DD591" s="24"/>
      <c r="DE591" s="24"/>
      <c r="DF591" s="24"/>
      <c r="DG591" s="24"/>
      <c r="DJ591" s="24">
        <v>2018</v>
      </c>
      <c r="DK591" s="24">
        <v>24</v>
      </c>
      <c r="DL591" s="24" t="s">
        <v>32</v>
      </c>
      <c r="DM591" s="24">
        <v>958</v>
      </c>
      <c r="DP591" s="24"/>
      <c r="DQ591" s="24"/>
      <c r="DR591" s="24"/>
      <c r="DS591" s="24"/>
      <c r="EI591" s="24">
        <v>2022</v>
      </c>
      <c r="EJ591" s="24">
        <v>44</v>
      </c>
      <c r="EK591" s="24" t="s">
        <v>558</v>
      </c>
      <c r="EL591" s="24" t="s">
        <v>235</v>
      </c>
      <c r="EM591" s="24" t="s">
        <v>210</v>
      </c>
      <c r="EN591" s="24">
        <v>1</v>
      </c>
      <c r="EO591" s="24"/>
      <c r="EP591" s="24"/>
      <c r="ES591" s="24">
        <v>2019</v>
      </c>
      <c r="ET591" s="24">
        <v>17</v>
      </c>
      <c r="EU591" s="24" t="s">
        <v>32</v>
      </c>
      <c r="EV591" s="24">
        <v>3014</v>
      </c>
      <c r="FW591" s="24">
        <v>2017</v>
      </c>
      <c r="FX591" s="24">
        <v>47</v>
      </c>
      <c r="FY591" s="24" t="s">
        <v>33</v>
      </c>
      <c r="FZ591" s="24">
        <v>7766</v>
      </c>
      <c r="GA591" s="24">
        <v>6045</v>
      </c>
      <c r="GB591" s="24"/>
      <c r="GC591" s="24"/>
      <c r="GD591" s="24"/>
      <c r="GE591" s="24"/>
      <c r="GF591" s="24"/>
      <c r="GG591" s="24"/>
      <c r="GH591" s="24"/>
      <c r="GK591" s="24"/>
      <c r="GL591" s="24"/>
      <c r="GM591" s="24"/>
      <c r="GN591" s="24"/>
      <c r="GO591" s="24"/>
      <c r="GX591">
        <v>2017</v>
      </c>
      <c r="GY591">
        <v>47</v>
      </c>
      <c r="GZ591" t="s">
        <v>33</v>
      </c>
      <c r="HA591">
        <v>137815</v>
      </c>
      <c r="HB591">
        <v>133940</v>
      </c>
      <c r="HC591">
        <v>835</v>
      </c>
      <c r="HD591">
        <v>78</v>
      </c>
      <c r="HE591">
        <v>0</v>
      </c>
      <c r="HF591">
        <v>681</v>
      </c>
      <c r="HG591">
        <v>0</v>
      </c>
      <c r="HH591">
        <v>0</v>
      </c>
      <c r="HI591">
        <v>751</v>
      </c>
      <c r="HZ591" s="24">
        <v>2017</v>
      </c>
      <c r="IA591" s="24">
        <v>47</v>
      </c>
      <c r="IB591" s="24" t="s">
        <v>33</v>
      </c>
      <c r="IC591" s="24">
        <v>7374</v>
      </c>
      <c r="ID591" s="24">
        <v>5989</v>
      </c>
    </row>
    <row r="592" spans="9:238" x14ac:dyDescent="0.4">
      <c r="I592" s="305">
        <v>2017</v>
      </c>
      <c r="J592" s="306">
        <v>47</v>
      </c>
      <c r="K592" s="306" t="s">
        <v>33</v>
      </c>
      <c r="L592" s="306">
        <v>150519</v>
      </c>
      <c r="M592" s="306">
        <v>142521</v>
      </c>
      <c r="N592" s="306">
        <v>421</v>
      </c>
      <c r="O592" s="306">
        <v>4126</v>
      </c>
      <c r="P592" s="306">
        <v>1433</v>
      </c>
      <c r="Q592" s="306">
        <v>2</v>
      </c>
      <c r="R592" s="292"/>
      <c r="S592" s="292"/>
      <c r="T592" s="292"/>
      <c r="AI592" s="24"/>
      <c r="AJ592" s="24"/>
      <c r="AO592" s="24"/>
      <c r="AP592" s="24"/>
      <c r="AQ592" s="24"/>
      <c r="AR592" s="24"/>
      <c r="DD592" s="24"/>
      <c r="DE592" s="24"/>
      <c r="DF592" s="24"/>
      <c r="DG592" s="24"/>
      <c r="DJ592" s="24">
        <v>2018</v>
      </c>
      <c r="DK592" s="24">
        <v>24</v>
      </c>
      <c r="DL592" s="24" t="s">
        <v>33</v>
      </c>
      <c r="DM592" s="24">
        <v>1104</v>
      </c>
      <c r="DP592" s="24"/>
      <c r="DQ592" s="24"/>
      <c r="DR592" s="24"/>
      <c r="DS592" s="24"/>
      <c r="EI592" s="24">
        <v>2022</v>
      </c>
      <c r="EJ592" s="24">
        <v>44</v>
      </c>
      <c r="EK592" s="24" t="s">
        <v>558</v>
      </c>
      <c r="EL592" s="24" t="s">
        <v>245</v>
      </c>
      <c r="EM592" s="24" t="s">
        <v>210</v>
      </c>
      <c r="EN592" s="24">
        <v>2</v>
      </c>
      <c r="EO592" s="24"/>
      <c r="EP592" s="24"/>
      <c r="ES592" s="24">
        <v>2019</v>
      </c>
      <c r="ET592" s="24">
        <v>17</v>
      </c>
      <c r="EU592" s="24" t="s">
        <v>33</v>
      </c>
      <c r="EV592" s="24">
        <v>103269</v>
      </c>
      <c r="FW592" s="24">
        <v>2017</v>
      </c>
      <c r="FX592" s="24">
        <v>46</v>
      </c>
      <c r="FY592" s="24" t="s">
        <v>32</v>
      </c>
      <c r="FZ592" s="24">
        <v>507</v>
      </c>
      <c r="GA592" s="24">
        <v>455</v>
      </c>
      <c r="GB592" s="24"/>
      <c r="GC592" s="24"/>
      <c r="GD592" s="24"/>
      <c r="GE592" s="24"/>
      <c r="GF592" s="24"/>
      <c r="GG592" s="24"/>
      <c r="GH592" s="24"/>
      <c r="GK592" s="24"/>
      <c r="GL592" s="24"/>
      <c r="GM592" s="24"/>
      <c r="GN592" s="24"/>
      <c r="GO592" s="24"/>
      <c r="GX592">
        <v>2017</v>
      </c>
      <c r="GY592">
        <v>46</v>
      </c>
      <c r="GZ592" t="s">
        <v>32</v>
      </c>
      <c r="HA592">
        <v>6980</v>
      </c>
      <c r="HB592">
        <v>6634</v>
      </c>
      <c r="HC592">
        <v>7</v>
      </c>
      <c r="HD592">
        <v>1</v>
      </c>
      <c r="HE592">
        <v>0</v>
      </c>
      <c r="HF592">
        <v>12</v>
      </c>
      <c r="HG592">
        <v>0</v>
      </c>
      <c r="HH592">
        <v>0</v>
      </c>
      <c r="HI592">
        <v>88</v>
      </c>
      <c r="HZ592" s="24">
        <v>2017</v>
      </c>
      <c r="IA592" s="24">
        <v>46</v>
      </c>
      <c r="IB592" s="24" t="s">
        <v>32</v>
      </c>
      <c r="IC592" s="24">
        <v>560</v>
      </c>
      <c r="ID592" s="24">
        <v>480</v>
      </c>
    </row>
    <row r="593" spans="9:238" x14ac:dyDescent="0.4">
      <c r="I593" s="305">
        <v>2017</v>
      </c>
      <c r="J593" s="306">
        <v>46</v>
      </c>
      <c r="K593" s="306" t="s">
        <v>32</v>
      </c>
      <c r="L593" s="306">
        <v>5184</v>
      </c>
      <c r="M593" s="306">
        <v>4949</v>
      </c>
      <c r="N593" s="306">
        <v>20</v>
      </c>
      <c r="O593" s="306">
        <v>184</v>
      </c>
      <c r="P593" s="306">
        <v>27</v>
      </c>
      <c r="Q593" s="306"/>
      <c r="R593" s="292"/>
      <c r="S593" s="292"/>
      <c r="T593" s="292"/>
      <c r="AI593" s="24"/>
      <c r="AJ593" s="24"/>
      <c r="AO593" s="24"/>
      <c r="AP593" s="24"/>
      <c r="AQ593" s="24"/>
      <c r="AR593" s="24"/>
      <c r="DD593" s="24"/>
      <c r="DE593" s="24"/>
      <c r="DF593" s="24"/>
      <c r="DG593" s="24"/>
      <c r="DJ593" s="24">
        <v>2018</v>
      </c>
      <c r="DK593" s="24">
        <v>23</v>
      </c>
      <c r="DL593" s="24" t="s">
        <v>32</v>
      </c>
      <c r="DM593" s="24">
        <v>1477</v>
      </c>
      <c r="DP593" s="24"/>
      <c r="DQ593" s="24"/>
      <c r="DR593" s="24"/>
      <c r="DS593" s="24"/>
      <c r="EI593" s="24">
        <v>2022</v>
      </c>
      <c r="EJ593" s="24">
        <v>44</v>
      </c>
      <c r="EK593" s="24" t="s">
        <v>33</v>
      </c>
      <c r="EL593" s="24" t="s">
        <v>240</v>
      </c>
      <c r="EM593" s="24" t="s">
        <v>210</v>
      </c>
      <c r="EN593" s="24">
        <v>1</v>
      </c>
      <c r="EO593" s="24"/>
      <c r="EP593" s="24"/>
      <c r="ES593" s="24">
        <v>2019</v>
      </c>
      <c r="ET593" s="24">
        <v>17</v>
      </c>
      <c r="EU593" s="24" t="s">
        <v>213</v>
      </c>
      <c r="EV593" s="24">
        <v>2</v>
      </c>
      <c r="FW593" s="24">
        <v>2017</v>
      </c>
      <c r="FX593" s="24">
        <v>46</v>
      </c>
      <c r="FY593" s="24" t="s">
        <v>33</v>
      </c>
      <c r="FZ593" s="24">
        <v>4882</v>
      </c>
      <c r="GA593" s="24">
        <v>4144</v>
      </c>
      <c r="GD593" s="24"/>
      <c r="GE593" s="24"/>
      <c r="GF593" s="24"/>
      <c r="GG593" s="24"/>
      <c r="GH593" s="24"/>
      <c r="GK593" s="24"/>
      <c r="GL593" s="24"/>
      <c r="GM593" s="24"/>
      <c r="GN593" s="24"/>
      <c r="GO593" s="24"/>
      <c r="GX593">
        <v>2017</v>
      </c>
      <c r="GY593">
        <v>46</v>
      </c>
      <c r="GZ593" t="s">
        <v>33</v>
      </c>
      <c r="HA593">
        <v>81824</v>
      </c>
      <c r="HB593">
        <v>79586</v>
      </c>
      <c r="HC593">
        <v>488</v>
      </c>
      <c r="HD593">
        <v>98</v>
      </c>
      <c r="HE593">
        <v>0</v>
      </c>
      <c r="HF593">
        <v>406</v>
      </c>
      <c r="HG593">
        <v>0</v>
      </c>
      <c r="HH593">
        <v>0</v>
      </c>
      <c r="HI593">
        <v>658</v>
      </c>
      <c r="HZ593" s="24">
        <v>2017</v>
      </c>
      <c r="IA593" s="24">
        <v>46</v>
      </c>
      <c r="IB593" s="24" t="s">
        <v>33</v>
      </c>
      <c r="IC593" s="24">
        <v>5301</v>
      </c>
      <c r="ID593" s="24">
        <v>4278</v>
      </c>
    </row>
    <row r="594" spans="9:238" x14ac:dyDescent="0.4">
      <c r="I594" s="305">
        <v>2017</v>
      </c>
      <c r="J594" s="306">
        <v>46</v>
      </c>
      <c r="K594" s="306" t="s">
        <v>33</v>
      </c>
      <c r="L594" s="306">
        <v>69006</v>
      </c>
      <c r="M594" s="306">
        <v>65852</v>
      </c>
      <c r="N594" s="306">
        <v>173</v>
      </c>
      <c r="O594" s="306">
        <v>1591</v>
      </c>
      <c r="P594" s="306">
        <v>513</v>
      </c>
      <c r="Q594" s="306"/>
      <c r="R594" s="292"/>
      <c r="S594" s="292"/>
      <c r="T594" s="292"/>
      <c r="AI594" s="24"/>
      <c r="AJ594" s="24"/>
      <c r="AO594" s="24"/>
      <c r="AP594" s="24"/>
      <c r="AQ594" s="24"/>
      <c r="AR594" s="24"/>
      <c r="DD594" s="24"/>
      <c r="DE594" s="24"/>
      <c r="DF594" s="24"/>
      <c r="DG594" s="24"/>
      <c r="DJ594" s="24">
        <v>2018</v>
      </c>
      <c r="DK594" s="24">
        <v>23</v>
      </c>
      <c r="DL594" s="24" t="s">
        <v>33</v>
      </c>
      <c r="DM594" s="24">
        <v>2290</v>
      </c>
      <c r="DP594" s="24"/>
      <c r="DQ594" s="24"/>
      <c r="DR594" s="24"/>
      <c r="DS594" s="24"/>
      <c r="EI594" s="24">
        <v>2022</v>
      </c>
      <c r="EJ594" s="24">
        <v>44</v>
      </c>
      <c r="EK594" s="24" t="s">
        <v>33</v>
      </c>
      <c r="EL594" s="24" t="s">
        <v>233</v>
      </c>
      <c r="EM594" s="24" t="s">
        <v>234</v>
      </c>
      <c r="EN594" s="24">
        <v>1</v>
      </c>
      <c r="EO594" s="24"/>
      <c r="EP594" s="24"/>
      <c r="ES594" s="24">
        <v>2019</v>
      </c>
      <c r="ET594" s="24">
        <v>16</v>
      </c>
      <c r="EU594" s="24" t="s">
        <v>32</v>
      </c>
      <c r="EV594" s="24">
        <v>4162</v>
      </c>
      <c r="FW594" s="24">
        <v>2017</v>
      </c>
      <c r="FX594" s="24">
        <v>45</v>
      </c>
      <c r="FY594" s="24" t="s">
        <v>32</v>
      </c>
      <c r="FZ594" s="24">
        <v>712</v>
      </c>
      <c r="GA594" s="24">
        <v>603</v>
      </c>
      <c r="GD594" s="24"/>
      <c r="GE594" s="24"/>
      <c r="GF594" s="24"/>
      <c r="GG594" s="24"/>
      <c r="GH594" s="24"/>
      <c r="GK594" s="24"/>
      <c r="GL594" s="24"/>
      <c r="GM594" s="24"/>
      <c r="GN594" s="24"/>
      <c r="GO594" s="24"/>
      <c r="GX594">
        <v>2017</v>
      </c>
      <c r="GY594">
        <v>45</v>
      </c>
      <c r="GZ594" t="s">
        <v>32</v>
      </c>
      <c r="HA594">
        <v>4681</v>
      </c>
      <c r="HB594">
        <v>4467</v>
      </c>
      <c r="HC594">
        <v>3</v>
      </c>
      <c r="HD594">
        <v>2</v>
      </c>
      <c r="HE594">
        <v>0</v>
      </c>
      <c r="HF594">
        <v>0</v>
      </c>
      <c r="HG594">
        <v>0</v>
      </c>
      <c r="HH594">
        <v>0</v>
      </c>
      <c r="HI594">
        <v>37</v>
      </c>
      <c r="HZ594" s="24">
        <v>2017</v>
      </c>
      <c r="IA594" s="24">
        <v>45</v>
      </c>
      <c r="IB594" s="24" t="s">
        <v>32</v>
      </c>
      <c r="IC594" s="24">
        <v>686</v>
      </c>
      <c r="ID594" s="24">
        <v>607</v>
      </c>
    </row>
    <row r="595" spans="9:238" x14ac:dyDescent="0.4">
      <c r="I595" s="305">
        <v>2017</v>
      </c>
      <c r="J595" s="306">
        <v>45</v>
      </c>
      <c r="K595" s="306" t="s">
        <v>32</v>
      </c>
      <c r="L595" s="306">
        <v>4832</v>
      </c>
      <c r="M595" s="306">
        <v>4578</v>
      </c>
      <c r="N595" s="306">
        <v>20</v>
      </c>
      <c r="O595" s="306">
        <v>208</v>
      </c>
      <c r="P595" s="306">
        <v>50</v>
      </c>
      <c r="Q595" s="306"/>
      <c r="R595" s="292"/>
      <c r="S595" s="292"/>
      <c r="T595" s="292"/>
      <c r="AI595" s="24"/>
      <c r="AJ595" s="24"/>
      <c r="AO595" s="24"/>
      <c r="AP595" s="24"/>
      <c r="AQ595" s="24"/>
      <c r="AR595" s="24"/>
      <c r="DD595" s="24"/>
      <c r="DE595" s="24"/>
      <c r="DF595" s="24"/>
      <c r="DG595" s="24"/>
      <c r="DJ595" s="24">
        <v>2018</v>
      </c>
      <c r="DK595" s="24">
        <v>23</v>
      </c>
      <c r="DL595" s="24"/>
      <c r="DM595" s="24">
        <v>1</v>
      </c>
      <c r="DP595" s="24"/>
      <c r="DQ595" s="24"/>
      <c r="DR595" s="24"/>
      <c r="DS595" s="24"/>
      <c r="EI595" s="24">
        <v>2022</v>
      </c>
      <c r="EJ595" s="24">
        <v>44</v>
      </c>
      <c r="EK595" s="24" t="s">
        <v>33</v>
      </c>
      <c r="EL595" s="24" t="s">
        <v>233</v>
      </c>
      <c r="EM595" s="24" t="s">
        <v>215</v>
      </c>
      <c r="EN595" s="24">
        <v>10</v>
      </c>
      <c r="EO595" s="24"/>
      <c r="EP595" s="24"/>
      <c r="ES595" s="24">
        <v>2019</v>
      </c>
      <c r="ET595" s="24">
        <v>16</v>
      </c>
      <c r="EU595" s="24" t="s">
        <v>33</v>
      </c>
      <c r="EV595" s="24">
        <v>108667</v>
      </c>
      <c r="FW595" s="24">
        <v>2017</v>
      </c>
      <c r="FX595" s="24">
        <v>45</v>
      </c>
      <c r="FY595" s="24" t="s">
        <v>33</v>
      </c>
      <c r="FZ595" s="24">
        <v>6037</v>
      </c>
      <c r="GA595" s="24">
        <v>5150</v>
      </c>
      <c r="GD595" s="24"/>
      <c r="GE595" s="24"/>
      <c r="GF595" s="24"/>
      <c r="GG595" s="24"/>
      <c r="GH595" s="24"/>
      <c r="GK595" s="24"/>
      <c r="GL595" s="24"/>
      <c r="GM595" s="24"/>
      <c r="GN595" s="24"/>
      <c r="GO595" s="24"/>
      <c r="GX595">
        <v>2017</v>
      </c>
      <c r="GY595">
        <v>45</v>
      </c>
      <c r="GZ595" t="s">
        <v>33</v>
      </c>
      <c r="HA595">
        <v>94872</v>
      </c>
      <c r="HB595">
        <v>92572</v>
      </c>
      <c r="HC595">
        <v>531</v>
      </c>
      <c r="HD595">
        <v>233</v>
      </c>
      <c r="HE595">
        <v>0</v>
      </c>
      <c r="HF595">
        <v>362</v>
      </c>
      <c r="HG595">
        <v>0</v>
      </c>
      <c r="HH595">
        <v>0</v>
      </c>
      <c r="HI595">
        <v>537</v>
      </c>
      <c r="HZ595" s="24">
        <v>2017</v>
      </c>
      <c r="IA595" s="24">
        <v>45</v>
      </c>
      <c r="IB595" s="24" t="s">
        <v>33</v>
      </c>
      <c r="IC595" s="24">
        <v>6007</v>
      </c>
      <c r="ID595" s="24">
        <v>5178</v>
      </c>
    </row>
    <row r="596" spans="9:238" x14ac:dyDescent="0.4">
      <c r="I596" s="305">
        <v>2017</v>
      </c>
      <c r="J596" s="306">
        <v>45</v>
      </c>
      <c r="K596" s="306" t="s">
        <v>33</v>
      </c>
      <c r="L596" s="306">
        <v>94550</v>
      </c>
      <c r="M596" s="306">
        <v>90031</v>
      </c>
      <c r="N596" s="306">
        <v>250</v>
      </c>
      <c r="O596" s="306">
        <v>2287</v>
      </c>
      <c r="P596" s="306">
        <v>621</v>
      </c>
      <c r="Q596" s="306"/>
      <c r="R596" s="292"/>
      <c r="S596" s="292"/>
      <c r="T596" s="292"/>
      <c r="AI596" s="24"/>
      <c r="AJ596" s="24"/>
      <c r="AO596" s="24"/>
      <c r="AP596" s="24"/>
      <c r="AQ596" s="24"/>
      <c r="AR596" s="24"/>
      <c r="DD596" s="24"/>
      <c r="DE596" s="24"/>
      <c r="DF596" s="24"/>
      <c r="DG596" s="24"/>
      <c r="DJ596" s="24">
        <v>2018</v>
      </c>
      <c r="DK596" s="24">
        <v>22</v>
      </c>
      <c r="DL596" s="24" t="s">
        <v>32</v>
      </c>
      <c r="DM596" s="24">
        <v>856</v>
      </c>
      <c r="DP596" s="24"/>
      <c r="DQ596" s="24"/>
      <c r="DR596" s="24"/>
      <c r="DS596" s="24"/>
      <c r="EI596" s="24">
        <v>2022</v>
      </c>
      <c r="EJ596" s="24">
        <v>44</v>
      </c>
      <c r="EK596" s="24" t="s">
        <v>237</v>
      </c>
      <c r="EL596" s="24" t="s">
        <v>557</v>
      </c>
      <c r="EM596" s="24" t="s">
        <v>210</v>
      </c>
      <c r="EN596" s="24">
        <v>1</v>
      </c>
      <c r="EO596" s="24"/>
      <c r="EP596" s="24"/>
      <c r="ES596" s="24">
        <v>2019</v>
      </c>
      <c r="ET596" s="24">
        <v>15</v>
      </c>
      <c r="EU596" s="24" t="s">
        <v>32</v>
      </c>
      <c r="EV596" s="24">
        <v>2613</v>
      </c>
      <c r="FW596" s="24">
        <v>2017</v>
      </c>
      <c r="FX596" s="24">
        <v>44</v>
      </c>
      <c r="FY596" s="24" t="s">
        <v>32</v>
      </c>
      <c r="FZ596" s="24">
        <v>642</v>
      </c>
      <c r="GA596" s="24">
        <v>599</v>
      </c>
      <c r="GD596" s="24"/>
      <c r="GE596" s="24"/>
      <c r="GF596" s="24"/>
      <c r="GG596" s="24"/>
      <c r="GH596" s="24"/>
      <c r="GK596" s="24"/>
      <c r="GL596" s="24"/>
      <c r="GM596" s="24"/>
      <c r="GN596" s="24"/>
      <c r="GO596" s="24"/>
      <c r="GX596">
        <v>2017</v>
      </c>
      <c r="GY596">
        <v>44</v>
      </c>
      <c r="GZ596" t="s">
        <v>32</v>
      </c>
      <c r="HA596">
        <v>5394</v>
      </c>
      <c r="HB596">
        <v>5211</v>
      </c>
      <c r="HC596">
        <v>2</v>
      </c>
      <c r="HD596">
        <v>2</v>
      </c>
      <c r="HE596">
        <v>0</v>
      </c>
      <c r="HF596">
        <v>1</v>
      </c>
      <c r="HG596">
        <v>0</v>
      </c>
      <c r="HH596">
        <v>0</v>
      </c>
      <c r="HI596">
        <v>40</v>
      </c>
      <c r="HZ596" s="24">
        <v>2017</v>
      </c>
      <c r="IA596" s="24">
        <v>44</v>
      </c>
      <c r="IB596" s="24" t="s">
        <v>32</v>
      </c>
      <c r="IC596" s="24">
        <v>614</v>
      </c>
      <c r="ID596" s="24">
        <v>542</v>
      </c>
    </row>
    <row r="597" spans="9:238" x14ac:dyDescent="0.4">
      <c r="I597" s="305">
        <v>2017</v>
      </c>
      <c r="J597" s="306">
        <v>44</v>
      </c>
      <c r="K597" s="306" t="s">
        <v>32</v>
      </c>
      <c r="L597" s="306">
        <v>5701</v>
      </c>
      <c r="M597" s="306">
        <v>5537</v>
      </c>
      <c r="N597" s="306">
        <v>18</v>
      </c>
      <c r="O597" s="306">
        <v>133</v>
      </c>
      <c r="P597" s="306">
        <v>18</v>
      </c>
      <c r="Q597" s="306">
        <v>1</v>
      </c>
      <c r="R597" s="292"/>
      <c r="S597" s="292"/>
      <c r="T597" s="292"/>
      <c r="AI597" s="24"/>
      <c r="AJ597" s="24"/>
      <c r="AO597" s="24"/>
      <c r="AP597" s="24"/>
      <c r="AQ597" s="24"/>
      <c r="AR597" s="24"/>
      <c r="DD597" s="24"/>
      <c r="DE597" s="24"/>
      <c r="DF597" s="24"/>
      <c r="DG597" s="24"/>
      <c r="DJ597" s="24">
        <v>2018</v>
      </c>
      <c r="DK597" s="24">
        <v>22</v>
      </c>
      <c r="DL597" s="24" t="s">
        <v>33</v>
      </c>
      <c r="DM597" s="24">
        <v>3429</v>
      </c>
      <c r="DP597" s="24"/>
      <c r="DQ597" s="24"/>
      <c r="DR597" s="24"/>
      <c r="DS597" s="24"/>
      <c r="EI597" s="24">
        <v>2022</v>
      </c>
      <c r="EJ597" s="24">
        <v>44</v>
      </c>
      <c r="EK597" s="24" t="s">
        <v>237</v>
      </c>
      <c r="EL597" s="24" t="s">
        <v>557</v>
      </c>
      <c r="EM597" s="24" t="s">
        <v>215</v>
      </c>
      <c r="EN597" s="24">
        <v>1</v>
      </c>
      <c r="EO597" s="24"/>
      <c r="EP597" s="24"/>
      <c r="ES597" s="24">
        <v>2019</v>
      </c>
      <c r="ET597" s="24">
        <v>15</v>
      </c>
      <c r="EU597" s="24" t="s">
        <v>33</v>
      </c>
      <c r="EV597" s="24">
        <v>107887</v>
      </c>
      <c r="FW597" s="24">
        <v>2017</v>
      </c>
      <c r="FX597" s="24">
        <v>44</v>
      </c>
      <c r="FY597" s="24" t="s">
        <v>33</v>
      </c>
      <c r="FZ597" s="24">
        <v>7090</v>
      </c>
      <c r="GA597" s="24">
        <v>5802</v>
      </c>
      <c r="GD597" s="24"/>
      <c r="GE597" s="24"/>
      <c r="GF597" s="24"/>
      <c r="GG597" s="24"/>
      <c r="GH597" s="24"/>
      <c r="GK597" s="24"/>
      <c r="GL597" s="24"/>
      <c r="GM597" s="24"/>
      <c r="GN597" s="24"/>
      <c r="GO597" s="24"/>
      <c r="GX597">
        <v>2017</v>
      </c>
      <c r="GY597">
        <v>44</v>
      </c>
      <c r="GZ597" t="s">
        <v>33</v>
      </c>
      <c r="HA597">
        <v>95150</v>
      </c>
      <c r="HB597">
        <v>92157</v>
      </c>
      <c r="HC597">
        <v>576</v>
      </c>
      <c r="HD597">
        <v>150</v>
      </c>
      <c r="HE597">
        <v>0</v>
      </c>
      <c r="HF597">
        <v>954</v>
      </c>
      <c r="HG597">
        <v>0</v>
      </c>
      <c r="HH597">
        <v>0</v>
      </c>
      <c r="HI597">
        <v>729</v>
      </c>
      <c r="HZ597" s="24">
        <v>2017</v>
      </c>
      <c r="IA597" s="24">
        <v>44</v>
      </c>
      <c r="IB597" s="24" t="s">
        <v>33</v>
      </c>
      <c r="IC597" s="24">
        <v>6984</v>
      </c>
      <c r="ID597" s="24">
        <v>5657</v>
      </c>
    </row>
    <row r="598" spans="9:238" x14ac:dyDescent="0.4">
      <c r="I598" s="305">
        <v>2017</v>
      </c>
      <c r="J598" s="306">
        <v>44</v>
      </c>
      <c r="K598" s="306" t="s">
        <v>33</v>
      </c>
      <c r="L598" s="306">
        <v>95419</v>
      </c>
      <c r="M598" s="306">
        <v>90137</v>
      </c>
      <c r="N598" s="306">
        <v>259</v>
      </c>
      <c r="O598" s="306">
        <v>2693</v>
      </c>
      <c r="P598" s="306">
        <v>831</v>
      </c>
      <c r="Q598" s="306">
        <v>1</v>
      </c>
      <c r="R598" s="292"/>
      <c r="S598" s="292"/>
      <c r="T598" s="292"/>
      <c r="AI598" s="24"/>
      <c r="AJ598" s="24"/>
      <c r="AO598" s="24"/>
      <c r="AP598" s="24"/>
      <c r="AQ598" s="24"/>
      <c r="AR598" s="24"/>
      <c r="DD598" s="24"/>
      <c r="DE598" s="24"/>
      <c r="DF598" s="24"/>
      <c r="DG598" s="24"/>
      <c r="DJ598" s="24">
        <v>2018</v>
      </c>
      <c r="DK598" s="24">
        <v>21</v>
      </c>
      <c r="DL598" s="24" t="s">
        <v>32</v>
      </c>
      <c r="DM598" s="24">
        <v>848</v>
      </c>
      <c r="DP598" s="24"/>
      <c r="DQ598" s="24"/>
      <c r="DR598" s="24"/>
      <c r="DS598" s="24"/>
      <c r="EI598" s="24">
        <v>2022</v>
      </c>
      <c r="EJ598" s="24">
        <v>44</v>
      </c>
      <c r="EK598" s="24" t="s">
        <v>237</v>
      </c>
      <c r="EL598" s="24" t="s">
        <v>233</v>
      </c>
      <c r="EM598" s="24" t="s">
        <v>215</v>
      </c>
      <c r="EN598" s="24">
        <v>2</v>
      </c>
      <c r="EO598" s="24"/>
      <c r="EP598" s="24"/>
      <c r="ES598" s="24">
        <v>2019</v>
      </c>
      <c r="ET598" s="24">
        <v>15</v>
      </c>
      <c r="EU598" s="24" t="s">
        <v>213</v>
      </c>
      <c r="EV598" s="24">
        <v>1</v>
      </c>
      <c r="FW598" s="24">
        <v>2017</v>
      </c>
      <c r="FX598" s="24">
        <v>43</v>
      </c>
      <c r="FY598" s="24" t="s">
        <v>32</v>
      </c>
      <c r="FZ598" s="24">
        <v>621</v>
      </c>
      <c r="GA598" s="24">
        <v>578</v>
      </c>
      <c r="GD598" s="24"/>
      <c r="GE598" s="24"/>
      <c r="GF598" s="24"/>
      <c r="GG598" s="24"/>
      <c r="GH598" s="24"/>
      <c r="GK598" s="24"/>
      <c r="GL598" s="24"/>
      <c r="GM598" s="24"/>
      <c r="GN598" s="24"/>
      <c r="GO598" s="24"/>
      <c r="GX598">
        <v>2017</v>
      </c>
      <c r="GY598">
        <v>43</v>
      </c>
      <c r="GZ598" t="s">
        <v>32</v>
      </c>
      <c r="HA598">
        <v>4817</v>
      </c>
      <c r="HB598">
        <v>4661</v>
      </c>
      <c r="HC598">
        <v>5</v>
      </c>
      <c r="HD598">
        <v>0</v>
      </c>
      <c r="HE598">
        <v>0</v>
      </c>
      <c r="HF598">
        <v>1</v>
      </c>
      <c r="HG598">
        <v>0</v>
      </c>
      <c r="HH598">
        <v>0</v>
      </c>
      <c r="HI598">
        <v>32</v>
      </c>
      <c r="HZ598" s="24">
        <v>2017</v>
      </c>
      <c r="IA598" s="24">
        <v>43</v>
      </c>
      <c r="IB598" s="24" t="s">
        <v>32</v>
      </c>
      <c r="IC598" s="24">
        <v>647</v>
      </c>
      <c r="ID598" s="24">
        <v>617</v>
      </c>
    </row>
    <row r="599" spans="9:238" x14ac:dyDescent="0.4">
      <c r="I599" s="305">
        <v>2017</v>
      </c>
      <c r="J599" s="306">
        <v>43</v>
      </c>
      <c r="K599" s="306" t="s">
        <v>32</v>
      </c>
      <c r="L599" s="306">
        <v>4566</v>
      </c>
      <c r="M599" s="306">
        <v>4305</v>
      </c>
      <c r="N599" s="306">
        <v>9</v>
      </c>
      <c r="O599" s="306">
        <v>180</v>
      </c>
      <c r="P599" s="306">
        <v>23</v>
      </c>
      <c r="Q599" s="306"/>
      <c r="R599" s="292"/>
      <c r="S599" s="292"/>
      <c r="T599" s="292"/>
      <c r="AI599" s="24"/>
      <c r="AJ599" s="24"/>
      <c r="AO599" s="24"/>
      <c r="AP599" s="24"/>
      <c r="AQ599" s="24"/>
      <c r="AR599" s="24"/>
      <c r="DD599" s="24"/>
      <c r="DE599" s="24"/>
      <c r="DF599" s="24"/>
      <c r="DG599" s="24"/>
      <c r="DJ599" s="24">
        <v>2018</v>
      </c>
      <c r="DK599" s="24">
        <v>21</v>
      </c>
      <c r="DL599" s="24" t="s">
        <v>33</v>
      </c>
      <c r="DM599" s="24">
        <v>4161</v>
      </c>
      <c r="DP599" s="24"/>
      <c r="DQ599" s="24"/>
      <c r="DR599" s="24"/>
      <c r="DS599" s="24"/>
      <c r="EI599" s="24">
        <v>2022</v>
      </c>
      <c r="EJ599" s="24">
        <v>44</v>
      </c>
      <c r="EK599" s="24" t="s">
        <v>237</v>
      </c>
      <c r="EL599" s="24" t="s">
        <v>235</v>
      </c>
      <c r="EM599" s="24" t="s">
        <v>215</v>
      </c>
      <c r="EN599" s="24">
        <v>4</v>
      </c>
      <c r="EO599" s="24"/>
      <c r="EP599" s="24"/>
      <c r="ES599" s="24">
        <v>2019</v>
      </c>
      <c r="ET599" s="24">
        <v>14</v>
      </c>
      <c r="EU599" s="24" t="s">
        <v>32</v>
      </c>
      <c r="EV599" s="24">
        <v>2862</v>
      </c>
      <c r="FW599" s="24">
        <v>2017</v>
      </c>
      <c r="FX599" s="24">
        <v>43</v>
      </c>
      <c r="FY599" s="24" t="s">
        <v>33</v>
      </c>
      <c r="FZ599" s="24">
        <v>5386</v>
      </c>
      <c r="GA599" s="24">
        <v>4660</v>
      </c>
      <c r="GD599" s="24"/>
      <c r="GE599" s="24"/>
      <c r="GF599" s="24"/>
      <c r="GG599" s="24"/>
      <c r="GH599" s="24"/>
      <c r="GK599" s="24"/>
      <c r="GL599" s="24"/>
      <c r="GM599" s="24"/>
      <c r="GN599" s="24"/>
      <c r="GO599" s="24"/>
      <c r="GX599">
        <v>2017</v>
      </c>
      <c r="GY599">
        <v>43</v>
      </c>
      <c r="GZ599" t="s">
        <v>33</v>
      </c>
      <c r="HA599">
        <v>84192</v>
      </c>
      <c r="HB599">
        <v>82416</v>
      </c>
      <c r="HC599">
        <v>253</v>
      </c>
      <c r="HD599">
        <v>69</v>
      </c>
      <c r="HE599">
        <v>0</v>
      </c>
      <c r="HF599">
        <v>217</v>
      </c>
      <c r="HG599">
        <v>0</v>
      </c>
      <c r="HH599">
        <v>0</v>
      </c>
      <c r="HI599">
        <v>400</v>
      </c>
      <c r="HZ599" s="24">
        <v>2017</v>
      </c>
      <c r="IA599" s="24">
        <v>43</v>
      </c>
      <c r="IB599" s="24" t="s">
        <v>33</v>
      </c>
      <c r="IC599" s="24">
        <v>5508</v>
      </c>
      <c r="ID599" s="24">
        <v>4837</v>
      </c>
    </row>
    <row r="600" spans="9:238" x14ac:dyDescent="0.4">
      <c r="I600" s="305">
        <v>2017</v>
      </c>
      <c r="J600" s="306">
        <v>43</v>
      </c>
      <c r="K600" s="306" t="s">
        <v>33</v>
      </c>
      <c r="L600" s="306">
        <v>83821</v>
      </c>
      <c r="M600" s="306">
        <v>80110</v>
      </c>
      <c r="N600" s="306">
        <v>169</v>
      </c>
      <c r="O600" s="306">
        <v>2001</v>
      </c>
      <c r="P600" s="306">
        <v>585</v>
      </c>
      <c r="Q600" s="306"/>
      <c r="R600" s="292"/>
      <c r="S600" s="292"/>
      <c r="T600" s="292"/>
      <c r="AI600" s="24"/>
      <c r="AJ600" s="24"/>
      <c r="AO600" s="24"/>
      <c r="AP600" s="24"/>
      <c r="AQ600" s="24"/>
      <c r="AR600" s="24"/>
      <c r="DD600" s="24"/>
      <c r="DE600" s="24"/>
      <c r="DF600" s="24"/>
      <c r="DG600" s="24"/>
      <c r="DJ600" s="24">
        <v>2018</v>
      </c>
      <c r="DK600" s="24">
        <v>20</v>
      </c>
      <c r="DL600" s="24" t="s">
        <v>32</v>
      </c>
      <c r="DM600" s="24">
        <v>603</v>
      </c>
      <c r="DP600" s="24"/>
      <c r="DQ600" s="24"/>
      <c r="DR600" s="24"/>
      <c r="DS600" s="24"/>
      <c r="EI600" s="24">
        <v>2022</v>
      </c>
      <c r="EJ600" s="24">
        <v>44</v>
      </c>
      <c r="EK600" s="24" t="s">
        <v>211</v>
      </c>
      <c r="EL600" s="24" t="s">
        <v>232</v>
      </c>
      <c r="EM600" s="24" t="s">
        <v>234</v>
      </c>
      <c r="EN600" s="24">
        <v>9</v>
      </c>
      <c r="EO600" s="24"/>
      <c r="EP600" s="24"/>
      <c r="ES600" s="24">
        <v>2019</v>
      </c>
      <c r="ET600" s="24">
        <v>14</v>
      </c>
      <c r="EU600" s="24" t="s">
        <v>33</v>
      </c>
      <c r="EV600" s="24">
        <v>108719</v>
      </c>
      <c r="FW600" s="24">
        <v>2017</v>
      </c>
      <c r="FX600" s="24">
        <v>42</v>
      </c>
      <c r="FY600" s="24" t="s">
        <v>32</v>
      </c>
      <c r="FZ600" s="24">
        <v>686</v>
      </c>
      <c r="GA600" s="24">
        <v>612</v>
      </c>
      <c r="GD600" s="24"/>
      <c r="GE600" s="24"/>
      <c r="GF600" s="24"/>
      <c r="GG600" s="24"/>
      <c r="GH600" s="24"/>
      <c r="GK600" s="24"/>
      <c r="GL600" s="24"/>
      <c r="GM600" s="24"/>
      <c r="GN600" s="24"/>
      <c r="GO600" s="24"/>
      <c r="GX600">
        <v>2017</v>
      </c>
      <c r="GY600">
        <v>42</v>
      </c>
      <c r="GZ600" t="s">
        <v>32</v>
      </c>
      <c r="HA600">
        <v>5692</v>
      </c>
      <c r="HB600">
        <v>5481</v>
      </c>
      <c r="HC600">
        <v>2</v>
      </c>
      <c r="HD600">
        <v>2</v>
      </c>
      <c r="HE600">
        <v>0</v>
      </c>
      <c r="HF600">
        <v>0</v>
      </c>
      <c r="HG600">
        <v>0</v>
      </c>
      <c r="HH600">
        <v>0</v>
      </c>
      <c r="HI600">
        <v>39</v>
      </c>
      <c r="HZ600" s="24">
        <v>2017</v>
      </c>
      <c r="IA600" s="24">
        <v>42</v>
      </c>
      <c r="IB600" s="24" t="s">
        <v>32</v>
      </c>
      <c r="IC600" s="24">
        <v>720</v>
      </c>
      <c r="ID600" s="24">
        <v>672</v>
      </c>
    </row>
    <row r="601" spans="9:238" x14ac:dyDescent="0.4">
      <c r="I601" s="305">
        <v>2017</v>
      </c>
      <c r="J601" s="306">
        <v>42</v>
      </c>
      <c r="K601" s="306" t="s">
        <v>32</v>
      </c>
      <c r="L601" s="306">
        <v>5571</v>
      </c>
      <c r="M601" s="306">
        <v>4710</v>
      </c>
      <c r="N601" s="306">
        <v>24</v>
      </c>
      <c r="O601" s="306">
        <v>374</v>
      </c>
      <c r="P601" s="306">
        <v>27</v>
      </c>
      <c r="Q601" s="306"/>
      <c r="R601" s="292"/>
      <c r="S601" s="292"/>
      <c r="T601" s="292"/>
      <c r="AI601" s="24"/>
      <c r="AJ601" s="24"/>
      <c r="AO601" s="24"/>
      <c r="AP601" s="24"/>
      <c r="AQ601" s="24"/>
      <c r="AR601" s="24"/>
      <c r="DD601" s="24"/>
      <c r="DE601" s="24"/>
      <c r="DF601" s="24"/>
      <c r="DG601" s="24"/>
      <c r="DJ601" s="24">
        <v>2018</v>
      </c>
      <c r="DK601" s="24">
        <v>20</v>
      </c>
      <c r="DL601" s="24" t="s">
        <v>33</v>
      </c>
      <c r="DM601" s="24">
        <v>2905</v>
      </c>
      <c r="DP601" s="24"/>
      <c r="DQ601" s="24"/>
      <c r="DR601" s="24"/>
      <c r="DS601" s="24"/>
      <c r="EI601" s="24">
        <v>2022</v>
      </c>
      <c r="EJ601" s="24">
        <v>44</v>
      </c>
      <c r="EK601" s="24" t="s">
        <v>211</v>
      </c>
      <c r="EL601" s="24" t="s">
        <v>212</v>
      </c>
      <c r="EM601" s="24" t="s">
        <v>210</v>
      </c>
      <c r="EN601" s="24">
        <v>8</v>
      </c>
      <c r="EO601" s="24"/>
      <c r="EP601" s="24"/>
      <c r="ES601" s="24">
        <v>2019</v>
      </c>
      <c r="ET601" s="24">
        <v>13</v>
      </c>
      <c r="EU601" s="24" t="s">
        <v>32</v>
      </c>
      <c r="EV601" s="24">
        <v>3843</v>
      </c>
      <c r="FW601" s="24">
        <v>2017</v>
      </c>
      <c r="FX601" s="24">
        <v>42</v>
      </c>
      <c r="FY601" s="24" t="s">
        <v>33</v>
      </c>
      <c r="FZ601" s="24">
        <v>6383</v>
      </c>
      <c r="GA601" s="24">
        <v>5539</v>
      </c>
      <c r="GD601" s="24"/>
      <c r="GE601" s="24"/>
      <c r="GF601" s="24"/>
      <c r="GG601" s="24"/>
      <c r="GH601" s="24"/>
      <c r="GK601" s="24"/>
      <c r="GL601" s="24"/>
      <c r="GM601" s="24"/>
      <c r="GN601" s="24"/>
      <c r="GO601" s="24"/>
      <c r="GX601">
        <v>2017</v>
      </c>
      <c r="GY601">
        <v>42</v>
      </c>
      <c r="GZ601" t="s">
        <v>33</v>
      </c>
      <c r="HA601">
        <v>93536</v>
      </c>
      <c r="HB601">
        <v>91378</v>
      </c>
      <c r="HC601">
        <v>138</v>
      </c>
      <c r="HD601">
        <v>62</v>
      </c>
      <c r="HE601">
        <v>2</v>
      </c>
      <c r="HF601">
        <v>160</v>
      </c>
      <c r="HG601">
        <v>0</v>
      </c>
      <c r="HH601">
        <v>0</v>
      </c>
      <c r="HI601">
        <v>473</v>
      </c>
      <c r="HZ601" s="24">
        <v>2017</v>
      </c>
      <c r="IA601" s="24">
        <v>42</v>
      </c>
      <c r="IB601" s="24" t="s">
        <v>33</v>
      </c>
      <c r="IC601" s="24">
        <v>6273</v>
      </c>
      <c r="ID601" s="24">
        <v>5449</v>
      </c>
    </row>
    <row r="602" spans="9:238" x14ac:dyDescent="0.4">
      <c r="I602" s="305">
        <v>2017</v>
      </c>
      <c r="J602" s="306">
        <v>42</v>
      </c>
      <c r="K602" s="306" t="s">
        <v>33</v>
      </c>
      <c r="L602" s="306">
        <v>94053</v>
      </c>
      <c r="M602" s="306">
        <v>89723</v>
      </c>
      <c r="N602" s="306">
        <v>190</v>
      </c>
      <c r="O602" s="306">
        <v>2438</v>
      </c>
      <c r="P602" s="306">
        <v>698</v>
      </c>
      <c r="Q602" s="306"/>
      <c r="R602" s="292"/>
      <c r="S602" s="292"/>
      <c r="T602" s="292"/>
      <c r="AI602" s="24"/>
      <c r="AJ602" s="24"/>
      <c r="AO602" s="24"/>
      <c r="AP602" s="24"/>
      <c r="AQ602" s="24"/>
      <c r="AR602" s="24"/>
      <c r="DD602" s="24"/>
      <c r="DE602" s="24"/>
      <c r="DF602" s="24"/>
      <c r="DG602" s="24"/>
      <c r="DJ602" s="24">
        <v>2018</v>
      </c>
      <c r="DK602" s="24">
        <v>19</v>
      </c>
      <c r="DL602" s="24" t="s">
        <v>32</v>
      </c>
      <c r="DM602" s="24">
        <v>317</v>
      </c>
      <c r="DP602" s="24"/>
      <c r="DQ602" s="24"/>
      <c r="DR602" s="24"/>
      <c r="DS602" s="24"/>
      <c r="EI602" s="24">
        <v>2022</v>
      </c>
      <c r="EJ602" s="24">
        <v>44</v>
      </c>
      <c r="EK602" s="24" t="s">
        <v>211</v>
      </c>
      <c r="EL602" s="24" t="s">
        <v>212</v>
      </c>
      <c r="EM602" s="24" t="s">
        <v>234</v>
      </c>
      <c r="EN602" s="24">
        <v>17</v>
      </c>
      <c r="EO602" s="24"/>
      <c r="EP602" s="24"/>
      <c r="ES602" s="24">
        <v>2019</v>
      </c>
      <c r="ET602" s="24">
        <v>13</v>
      </c>
      <c r="EU602" s="24" t="s">
        <v>33</v>
      </c>
      <c r="EV602" s="24">
        <v>99199</v>
      </c>
      <c r="FW602" s="24">
        <v>2017</v>
      </c>
      <c r="FX602" s="24">
        <v>41</v>
      </c>
      <c r="FY602" s="24" t="s">
        <v>32</v>
      </c>
      <c r="FZ602" s="24">
        <v>801</v>
      </c>
      <c r="GA602" s="24">
        <v>569</v>
      </c>
      <c r="GD602" s="24"/>
      <c r="GE602" s="24"/>
      <c r="GF602" s="24"/>
      <c r="GG602" s="24"/>
      <c r="GH602" s="24"/>
      <c r="GK602" s="24"/>
      <c r="GL602" s="24"/>
      <c r="GM602" s="24"/>
      <c r="GN602" s="24"/>
      <c r="GO602" s="24"/>
      <c r="GX602">
        <v>2017</v>
      </c>
      <c r="GY602">
        <v>41</v>
      </c>
      <c r="GZ602" t="s">
        <v>32</v>
      </c>
      <c r="HA602">
        <v>9073</v>
      </c>
      <c r="HB602">
        <v>6808</v>
      </c>
      <c r="HC602">
        <v>27</v>
      </c>
      <c r="HD602">
        <v>18</v>
      </c>
      <c r="HE602">
        <v>0</v>
      </c>
      <c r="HF602">
        <v>471</v>
      </c>
      <c r="HG602">
        <v>0</v>
      </c>
      <c r="HH602">
        <v>0</v>
      </c>
      <c r="HI602">
        <v>540</v>
      </c>
      <c r="HZ602" s="24">
        <v>2017</v>
      </c>
      <c r="IA602" s="24">
        <v>41</v>
      </c>
      <c r="IB602" s="24" t="s">
        <v>32</v>
      </c>
      <c r="IC602" s="24">
        <v>774</v>
      </c>
      <c r="ID602" s="24">
        <v>594</v>
      </c>
    </row>
    <row r="603" spans="9:238" x14ac:dyDescent="0.4">
      <c r="I603" s="305">
        <v>2017</v>
      </c>
      <c r="J603" s="306">
        <v>41</v>
      </c>
      <c r="K603" s="306" t="s">
        <v>32</v>
      </c>
      <c r="L603" s="306">
        <v>9206</v>
      </c>
      <c r="M603" s="306">
        <v>6658</v>
      </c>
      <c r="N603" s="306">
        <v>186</v>
      </c>
      <c r="O603" s="306">
        <v>1882</v>
      </c>
      <c r="P603" s="306">
        <v>102</v>
      </c>
      <c r="Q603" s="306">
        <v>4</v>
      </c>
      <c r="R603" s="292"/>
      <c r="S603" s="292"/>
      <c r="T603" s="292"/>
      <c r="AI603" s="24"/>
      <c r="AJ603" s="24"/>
      <c r="AO603" s="24"/>
      <c r="AP603" s="24"/>
      <c r="AQ603" s="24"/>
      <c r="AR603" s="24"/>
      <c r="DD603" s="24"/>
      <c r="DE603" s="24"/>
      <c r="DF603" s="24"/>
      <c r="DG603" s="24"/>
      <c r="DJ603" s="24">
        <v>2018</v>
      </c>
      <c r="DK603" s="24">
        <v>19</v>
      </c>
      <c r="DL603" s="24" t="s">
        <v>33</v>
      </c>
      <c r="DM603" s="24">
        <v>1779</v>
      </c>
      <c r="DP603" s="24"/>
      <c r="DQ603" s="24"/>
      <c r="DR603" s="24"/>
      <c r="DS603" s="24"/>
      <c r="EI603" s="24">
        <v>2022</v>
      </c>
      <c r="EJ603" s="24">
        <v>44</v>
      </c>
      <c r="EK603" s="24" t="s">
        <v>211</v>
      </c>
      <c r="EL603" s="24" t="s">
        <v>247</v>
      </c>
      <c r="EM603" s="24" t="s">
        <v>210</v>
      </c>
      <c r="EN603" s="24">
        <v>4</v>
      </c>
      <c r="EO603" s="24"/>
      <c r="EP603" s="24"/>
      <c r="ES603" s="24">
        <v>2019</v>
      </c>
      <c r="ET603" s="24">
        <v>12</v>
      </c>
      <c r="EU603" s="24" t="s">
        <v>32</v>
      </c>
      <c r="EV603" s="24">
        <v>2032</v>
      </c>
      <c r="FW603" s="24">
        <v>2017</v>
      </c>
      <c r="FX603" s="24">
        <v>41</v>
      </c>
      <c r="FY603" s="24" t="s">
        <v>33</v>
      </c>
      <c r="FZ603" s="24">
        <v>7287</v>
      </c>
      <c r="GA603" s="24">
        <v>6265</v>
      </c>
      <c r="GD603" s="24"/>
      <c r="GE603" s="24"/>
      <c r="GF603" s="24"/>
      <c r="GG603" s="24"/>
      <c r="GH603" s="24"/>
      <c r="GK603" s="24"/>
      <c r="GL603" s="24"/>
      <c r="GM603" s="24"/>
      <c r="GN603" s="24"/>
      <c r="GO603" s="24"/>
      <c r="GX603">
        <v>2017</v>
      </c>
      <c r="GY603">
        <v>41</v>
      </c>
      <c r="GZ603" t="s">
        <v>33</v>
      </c>
      <c r="HA603">
        <v>105379</v>
      </c>
      <c r="HB603">
        <v>102957</v>
      </c>
      <c r="HC603">
        <v>110</v>
      </c>
      <c r="HD603">
        <v>64</v>
      </c>
      <c r="HE603">
        <v>0</v>
      </c>
      <c r="HF603">
        <v>273</v>
      </c>
      <c r="HG603">
        <v>0</v>
      </c>
      <c r="HH603">
        <v>0</v>
      </c>
      <c r="HI603">
        <v>706</v>
      </c>
      <c r="HZ603" s="24">
        <v>2017</v>
      </c>
      <c r="IA603" s="24">
        <v>41</v>
      </c>
      <c r="IB603" s="24" t="s">
        <v>33</v>
      </c>
      <c r="IC603" s="24">
        <v>7090</v>
      </c>
      <c r="ID603" s="24">
        <v>6187</v>
      </c>
    </row>
    <row r="604" spans="9:238" x14ac:dyDescent="0.4">
      <c r="I604" s="305">
        <v>2017</v>
      </c>
      <c r="J604" s="306">
        <v>41</v>
      </c>
      <c r="K604" s="306" t="s">
        <v>33</v>
      </c>
      <c r="L604" s="306">
        <v>106253</v>
      </c>
      <c r="M604" s="306">
        <v>101059</v>
      </c>
      <c r="N604" s="306">
        <v>264</v>
      </c>
      <c r="O604" s="306">
        <v>2658</v>
      </c>
      <c r="P604" s="306">
        <v>938</v>
      </c>
      <c r="Q604" s="306"/>
      <c r="R604" s="292"/>
      <c r="S604" s="292"/>
      <c r="T604" s="292"/>
      <c r="AI604" s="24"/>
      <c r="AJ604" s="24"/>
      <c r="AO604" s="24"/>
      <c r="AP604" s="24"/>
      <c r="AQ604" s="24"/>
      <c r="AR604" s="24"/>
      <c r="DD604" s="24"/>
      <c r="DE604" s="24"/>
      <c r="DF604" s="24"/>
      <c r="DG604" s="24"/>
      <c r="DJ604" s="24">
        <v>2018</v>
      </c>
      <c r="DK604" s="24">
        <v>18</v>
      </c>
      <c r="DL604" s="24" t="s">
        <v>32</v>
      </c>
      <c r="DM604" s="24">
        <v>381</v>
      </c>
      <c r="DP604" s="24"/>
      <c r="DQ604" s="24"/>
      <c r="DR604" s="24"/>
      <c r="DS604" s="24"/>
      <c r="EI604" s="24">
        <v>2022</v>
      </c>
      <c r="EJ604" s="24">
        <v>44</v>
      </c>
      <c r="EK604" s="24" t="s">
        <v>211</v>
      </c>
      <c r="EL604" s="24" t="s">
        <v>247</v>
      </c>
      <c r="EM604" s="24" t="s">
        <v>234</v>
      </c>
      <c r="EN604" s="24">
        <v>6</v>
      </c>
      <c r="EO604" s="24"/>
      <c r="EP604" s="24"/>
      <c r="ES604" s="24">
        <v>2019</v>
      </c>
      <c r="ET604" s="24">
        <v>12</v>
      </c>
      <c r="EU604" s="24" t="s">
        <v>33</v>
      </c>
      <c r="EV604" s="24">
        <v>110592</v>
      </c>
      <c r="FW604" s="24">
        <v>2017</v>
      </c>
      <c r="FX604" s="24">
        <v>40</v>
      </c>
      <c r="FY604" s="24" t="s">
        <v>32</v>
      </c>
      <c r="FZ604" s="24">
        <v>680</v>
      </c>
      <c r="GA604" s="24">
        <v>589</v>
      </c>
      <c r="GD604" s="24"/>
      <c r="GE604" s="24"/>
      <c r="GF604" s="24"/>
      <c r="GG604" s="24"/>
      <c r="GH604" s="24"/>
      <c r="GK604" s="24"/>
      <c r="GL604" s="24"/>
      <c r="GM604" s="24"/>
      <c r="GN604" s="24"/>
      <c r="GO604" s="24"/>
      <c r="GX604">
        <v>2017</v>
      </c>
      <c r="GY604">
        <v>40</v>
      </c>
      <c r="GZ604" t="s">
        <v>32</v>
      </c>
      <c r="HA604">
        <v>6098</v>
      </c>
      <c r="HB604">
        <v>5890</v>
      </c>
      <c r="HC604">
        <v>0</v>
      </c>
      <c r="HD604">
        <v>3</v>
      </c>
      <c r="HE604">
        <v>0</v>
      </c>
      <c r="HF604">
        <v>4</v>
      </c>
      <c r="HG604">
        <v>0</v>
      </c>
      <c r="HH604">
        <v>0</v>
      </c>
      <c r="HI604">
        <v>62</v>
      </c>
      <c r="HZ604" s="24">
        <v>2017</v>
      </c>
      <c r="IA604" s="24">
        <v>40</v>
      </c>
      <c r="IB604" s="24" t="s">
        <v>32</v>
      </c>
      <c r="IC604" s="24">
        <v>658</v>
      </c>
      <c r="ID604" s="24">
        <v>581</v>
      </c>
    </row>
    <row r="605" spans="9:238" x14ac:dyDescent="0.4">
      <c r="I605" s="305">
        <v>2017</v>
      </c>
      <c r="J605" s="306">
        <v>40</v>
      </c>
      <c r="K605" s="306" t="s">
        <v>32</v>
      </c>
      <c r="L605" s="306">
        <v>6350</v>
      </c>
      <c r="M605" s="306">
        <v>5438</v>
      </c>
      <c r="N605" s="306">
        <v>50</v>
      </c>
      <c r="O605" s="306">
        <v>434</v>
      </c>
      <c r="P605" s="306">
        <v>66</v>
      </c>
      <c r="Q605" s="306"/>
      <c r="R605" s="292"/>
      <c r="S605" s="292"/>
      <c r="T605" s="292"/>
      <c r="AI605" s="24"/>
      <c r="AJ605" s="24"/>
      <c r="AO605" s="24"/>
      <c r="AP605" s="24"/>
      <c r="AQ605" s="24"/>
      <c r="AR605" s="24"/>
      <c r="DD605" s="24"/>
      <c r="DE605" s="24"/>
      <c r="DF605" s="24"/>
      <c r="DG605" s="24"/>
      <c r="DJ605" s="24">
        <v>2018</v>
      </c>
      <c r="DK605" s="24">
        <v>18</v>
      </c>
      <c r="DL605" s="24" t="s">
        <v>33</v>
      </c>
      <c r="DM605" s="24">
        <v>3376</v>
      </c>
      <c r="DP605" s="24"/>
      <c r="DQ605" s="24"/>
      <c r="DR605" s="24"/>
      <c r="DS605" s="24"/>
      <c r="EI605" s="24">
        <v>2022</v>
      </c>
      <c r="EJ605" s="24">
        <v>43</v>
      </c>
      <c r="EK605" s="24" t="s">
        <v>19</v>
      </c>
      <c r="EL605" s="24" t="s">
        <v>235</v>
      </c>
      <c r="EM605" s="24" t="s">
        <v>210</v>
      </c>
      <c r="EN605" s="24">
        <v>2</v>
      </c>
      <c r="EO605" s="24"/>
      <c r="EP605" s="24"/>
      <c r="ES605" s="24">
        <v>2019</v>
      </c>
      <c r="ET605" s="24">
        <v>11</v>
      </c>
      <c r="EU605" s="24" t="s">
        <v>32</v>
      </c>
      <c r="EV605" s="24">
        <v>2581</v>
      </c>
      <c r="FW605" s="24">
        <v>2017</v>
      </c>
      <c r="FX605" s="24">
        <v>40</v>
      </c>
      <c r="FY605" s="24" t="s">
        <v>33</v>
      </c>
      <c r="FZ605" s="24">
        <v>6547</v>
      </c>
      <c r="GA605" s="24">
        <v>5824</v>
      </c>
      <c r="GD605" s="24"/>
      <c r="GE605" s="24"/>
      <c r="GF605" s="24"/>
      <c r="GG605" s="24"/>
      <c r="GH605" s="24"/>
      <c r="GK605" s="24"/>
      <c r="GL605" s="24"/>
      <c r="GM605" s="24"/>
      <c r="GN605" s="24"/>
      <c r="GO605" s="24"/>
      <c r="GX605">
        <v>2017</v>
      </c>
      <c r="GY605">
        <v>40</v>
      </c>
      <c r="GZ605" t="s">
        <v>33</v>
      </c>
      <c r="HA605">
        <v>93539</v>
      </c>
      <c r="HB605">
        <v>91649</v>
      </c>
      <c r="HC605">
        <v>0</v>
      </c>
      <c r="HD605">
        <v>70</v>
      </c>
      <c r="HE605">
        <v>0</v>
      </c>
      <c r="HF605">
        <v>159</v>
      </c>
      <c r="HG605">
        <v>0</v>
      </c>
      <c r="HH605">
        <v>0</v>
      </c>
      <c r="HI605">
        <v>677</v>
      </c>
      <c r="HZ605" s="24">
        <v>2017</v>
      </c>
      <c r="IA605" s="24">
        <v>40</v>
      </c>
      <c r="IB605" s="24" t="s">
        <v>33</v>
      </c>
      <c r="IC605" s="24">
        <v>6741</v>
      </c>
      <c r="ID605" s="24">
        <v>5964</v>
      </c>
    </row>
    <row r="606" spans="9:238" x14ac:dyDescent="0.4">
      <c r="I606" s="305">
        <v>2017</v>
      </c>
      <c r="J606" s="306">
        <v>40</v>
      </c>
      <c r="K606" s="306" t="s">
        <v>33</v>
      </c>
      <c r="L606" s="306">
        <v>92187</v>
      </c>
      <c r="M606" s="306">
        <v>88095</v>
      </c>
      <c r="N606" s="306">
        <v>242</v>
      </c>
      <c r="O606" s="306">
        <v>2085</v>
      </c>
      <c r="P606" s="306">
        <v>583</v>
      </c>
      <c r="Q606" s="306"/>
      <c r="R606" s="292"/>
      <c r="S606" s="292"/>
      <c r="T606" s="292"/>
      <c r="AI606" s="24"/>
      <c r="AJ606" s="24"/>
      <c r="AO606" s="24"/>
      <c r="AP606" s="24"/>
      <c r="AQ606" s="24"/>
      <c r="AR606" s="24"/>
      <c r="DD606" s="24"/>
      <c r="DE606" s="24"/>
      <c r="DF606" s="24"/>
      <c r="DG606" s="24"/>
      <c r="DJ606" s="24">
        <v>2018</v>
      </c>
      <c r="DK606" s="24">
        <v>17</v>
      </c>
      <c r="DL606" s="24" t="s">
        <v>32</v>
      </c>
      <c r="DM606" s="24">
        <v>135</v>
      </c>
      <c r="DP606" s="24"/>
      <c r="DQ606" s="24"/>
      <c r="DR606" s="24"/>
      <c r="DS606" s="24"/>
      <c r="EI606" s="24">
        <v>2022</v>
      </c>
      <c r="EJ606" s="24">
        <v>43</v>
      </c>
      <c r="EK606" s="24" t="s">
        <v>19</v>
      </c>
      <c r="EL606" s="24" t="s">
        <v>243</v>
      </c>
      <c r="EM606" s="24" t="s">
        <v>210</v>
      </c>
      <c r="EN606" s="24">
        <v>2</v>
      </c>
      <c r="EO606" s="24"/>
      <c r="EP606" s="24"/>
      <c r="ES606" s="24">
        <v>2019</v>
      </c>
      <c r="ET606" s="24">
        <v>11</v>
      </c>
      <c r="EU606" s="24" t="s">
        <v>33</v>
      </c>
      <c r="EV606" s="24">
        <v>96011</v>
      </c>
      <c r="FW606" s="24">
        <v>2017</v>
      </c>
      <c r="FX606" s="24">
        <v>39</v>
      </c>
      <c r="FY606" s="24" t="s">
        <v>32</v>
      </c>
      <c r="FZ606" s="24">
        <v>783</v>
      </c>
      <c r="GA606" s="24">
        <v>694</v>
      </c>
      <c r="GD606" s="24"/>
      <c r="GE606" s="24"/>
      <c r="GF606" s="24"/>
      <c r="GG606" s="24"/>
      <c r="GH606" s="24"/>
      <c r="GK606" s="24"/>
      <c r="GL606" s="24"/>
      <c r="GM606" s="24"/>
      <c r="GN606" s="24"/>
      <c r="GO606" s="24"/>
      <c r="GX606">
        <v>2017</v>
      </c>
      <c r="GY606">
        <v>39</v>
      </c>
      <c r="GZ606" t="s">
        <v>32</v>
      </c>
      <c r="HA606">
        <v>5835</v>
      </c>
      <c r="HB606">
        <v>5614</v>
      </c>
      <c r="HC606">
        <v>0</v>
      </c>
      <c r="HD606">
        <v>0</v>
      </c>
      <c r="HE606">
        <v>0</v>
      </c>
      <c r="HF606">
        <v>0</v>
      </c>
      <c r="HG606">
        <v>0</v>
      </c>
      <c r="HH606">
        <v>0</v>
      </c>
      <c r="HI606">
        <v>52</v>
      </c>
      <c r="HZ606" s="24">
        <v>2017</v>
      </c>
      <c r="IA606" s="24">
        <v>39</v>
      </c>
      <c r="IB606" s="24" t="s">
        <v>32</v>
      </c>
      <c r="IC606" s="24">
        <v>806</v>
      </c>
      <c r="ID606" s="24">
        <v>729</v>
      </c>
    </row>
    <row r="607" spans="9:238" x14ac:dyDescent="0.4">
      <c r="I607" s="305">
        <v>2017</v>
      </c>
      <c r="J607" s="306">
        <v>39</v>
      </c>
      <c r="K607" s="306" t="s">
        <v>32</v>
      </c>
      <c r="L607" s="306">
        <v>5523</v>
      </c>
      <c r="M607" s="306">
        <v>4774</v>
      </c>
      <c r="N607" s="306">
        <v>26</v>
      </c>
      <c r="O607" s="306">
        <v>352</v>
      </c>
      <c r="P607" s="306">
        <v>59</v>
      </c>
      <c r="Q607" s="306"/>
      <c r="R607" s="292"/>
      <c r="S607" s="292"/>
      <c r="T607" s="292"/>
      <c r="AO607" s="24"/>
      <c r="AP607" s="24"/>
      <c r="AQ607" s="24"/>
      <c r="AR607" s="24"/>
      <c r="DD607" s="24"/>
      <c r="DE607" s="24"/>
      <c r="DF607" s="24"/>
      <c r="DG607" s="24"/>
      <c r="DJ607" s="24">
        <v>2018</v>
      </c>
      <c r="DK607" s="24">
        <v>17</v>
      </c>
      <c r="DL607" s="24" t="s">
        <v>33</v>
      </c>
      <c r="DM607" s="24">
        <v>2446</v>
      </c>
      <c r="DP607" s="24"/>
      <c r="DQ607" s="24"/>
      <c r="DR607" s="24"/>
      <c r="DS607" s="24"/>
      <c r="EI607" s="24">
        <v>2022</v>
      </c>
      <c r="EJ607" s="24">
        <v>43</v>
      </c>
      <c r="EK607" s="24" t="s">
        <v>208</v>
      </c>
      <c r="EL607" s="24" t="s">
        <v>554</v>
      </c>
      <c r="EM607" s="24" t="s">
        <v>210</v>
      </c>
      <c r="EN607" s="24">
        <v>12</v>
      </c>
      <c r="EO607" s="24"/>
      <c r="EP607" s="24"/>
      <c r="ES607" s="24">
        <v>2019</v>
      </c>
      <c r="ET607" s="24">
        <v>10</v>
      </c>
      <c r="EU607" s="24" t="s">
        <v>32</v>
      </c>
      <c r="EV607" s="24">
        <v>3353</v>
      </c>
      <c r="FW607" s="24">
        <v>2017</v>
      </c>
      <c r="FX607" s="24">
        <v>39</v>
      </c>
      <c r="FY607" s="24" t="s">
        <v>33</v>
      </c>
      <c r="FZ607" s="24">
        <v>6728</v>
      </c>
      <c r="GA607" s="24">
        <v>5915</v>
      </c>
      <c r="GD607" s="24"/>
      <c r="GE607" s="24"/>
      <c r="GF607" s="24"/>
      <c r="GG607" s="24"/>
      <c r="GH607" s="24"/>
      <c r="GK607" s="24"/>
      <c r="GL607" s="24"/>
      <c r="GM607" s="24"/>
      <c r="GN607" s="24"/>
      <c r="GX607">
        <v>2017</v>
      </c>
      <c r="GY607">
        <v>39</v>
      </c>
      <c r="GZ607" t="s">
        <v>33</v>
      </c>
      <c r="HA607">
        <v>96506</v>
      </c>
      <c r="HB607">
        <v>94742</v>
      </c>
      <c r="HC607">
        <v>9</v>
      </c>
      <c r="HD607">
        <v>32</v>
      </c>
      <c r="HE607">
        <v>0</v>
      </c>
      <c r="HF607">
        <v>179</v>
      </c>
      <c r="HG607">
        <v>0</v>
      </c>
      <c r="HH607">
        <v>0</v>
      </c>
      <c r="HI607">
        <v>526</v>
      </c>
      <c r="HZ607" s="24">
        <v>2017</v>
      </c>
      <c r="IA607" s="24">
        <v>39</v>
      </c>
      <c r="IB607" s="24" t="s">
        <v>33</v>
      </c>
      <c r="IC607" s="24">
        <v>6784</v>
      </c>
      <c r="ID607" s="24">
        <v>5962</v>
      </c>
    </row>
    <row r="608" spans="9:238" x14ac:dyDescent="0.4">
      <c r="I608" s="305">
        <v>2017</v>
      </c>
      <c r="J608" s="306">
        <v>39</v>
      </c>
      <c r="K608" s="306" t="s">
        <v>33</v>
      </c>
      <c r="L608" s="306">
        <v>96941</v>
      </c>
      <c r="M608" s="306">
        <v>92773</v>
      </c>
      <c r="N608" s="306">
        <v>194</v>
      </c>
      <c r="O608" s="306">
        <v>2073</v>
      </c>
      <c r="P608" s="306">
        <v>637</v>
      </c>
      <c r="Q608" s="306"/>
      <c r="R608" s="292"/>
      <c r="S608" s="292"/>
      <c r="T608" s="292"/>
      <c r="AO608" s="24"/>
      <c r="AP608" s="24"/>
      <c r="AQ608" s="24"/>
      <c r="AR608" s="24"/>
      <c r="DD608" s="24"/>
      <c r="DE608" s="24"/>
      <c r="DF608" s="24"/>
      <c r="DG608" s="24"/>
      <c r="DJ608" s="24">
        <v>2018</v>
      </c>
      <c r="DK608" s="24">
        <v>16</v>
      </c>
      <c r="DL608" s="24" t="s">
        <v>32</v>
      </c>
      <c r="DM608" s="24">
        <v>522</v>
      </c>
      <c r="DP608" s="24"/>
      <c r="DQ608" s="24"/>
      <c r="DR608" s="24"/>
      <c r="DS608" s="24"/>
      <c r="EI608" s="24">
        <v>2022</v>
      </c>
      <c r="EJ608" s="24">
        <v>43</v>
      </c>
      <c r="EK608" s="24" t="s">
        <v>208</v>
      </c>
      <c r="EL608" s="24" t="s">
        <v>554</v>
      </c>
      <c r="EM608" s="24" t="s">
        <v>215</v>
      </c>
      <c r="EN608" s="24">
        <v>1</v>
      </c>
      <c r="EO608" s="24"/>
      <c r="EP608" s="24"/>
      <c r="ES608" s="24">
        <v>2019</v>
      </c>
      <c r="ET608" s="24">
        <v>10</v>
      </c>
      <c r="EU608" s="24" t="s">
        <v>33</v>
      </c>
      <c r="EV608" s="24">
        <v>98624</v>
      </c>
      <c r="FW608" s="24">
        <v>2017</v>
      </c>
      <c r="FX608" s="24">
        <v>38</v>
      </c>
      <c r="FY608" s="24" t="s">
        <v>32</v>
      </c>
      <c r="FZ608" s="24">
        <v>684</v>
      </c>
      <c r="GA608" s="24">
        <v>613</v>
      </c>
      <c r="GD608" s="24"/>
      <c r="GE608" s="24"/>
      <c r="GF608" s="24"/>
      <c r="GG608" s="24"/>
      <c r="GH608" s="24"/>
      <c r="GK608" s="24"/>
      <c r="GL608" s="24"/>
      <c r="GM608" s="24"/>
      <c r="GN608" s="24"/>
      <c r="GX608">
        <v>2017</v>
      </c>
      <c r="GY608">
        <v>38</v>
      </c>
      <c r="GZ608" t="s">
        <v>32</v>
      </c>
      <c r="HA608">
        <v>5608</v>
      </c>
      <c r="HB608">
        <v>5336</v>
      </c>
      <c r="HC608">
        <v>0</v>
      </c>
      <c r="HD608">
        <v>5</v>
      </c>
      <c r="HE608">
        <v>0</v>
      </c>
      <c r="HF608">
        <v>0</v>
      </c>
      <c r="HG608">
        <v>0</v>
      </c>
      <c r="HH608">
        <v>0</v>
      </c>
      <c r="HI608">
        <v>112</v>
      </c>
      <c r="HZ608" s="24">
        <v>2017</v>
      </c>
      <c r="IA608" s="24">
        <v>38</v>
      </c>
      <c r="IB608" s="24" t="s">
        <v>32</v>
      </c>
      <c r="IC608" s="24">
        <v>673</v>
      </c>
      <c r="ID608" s="24">
        <v>608</v>
      </c>
    </row>
    <row r="609" spans="9:238" x14ac:dyDescent="0.4">
      <c r="I609" s="305">
        <v>2017</v>
      </c>
      <c r="J609" s="306">
        <v>38</v>
      </c>
      <c r="K609" s="306" t="s">
        <v>32</v>
      </c>
      <c r="L609" s="306">
        <v>5771</v>
      </c>
      <c r="M609" s="306">
        <v>5248</v>
      </c>
      <c r="N609" s="306">
        <v>31</v>
      </c>
      <c r="O609" s="306">
        <v>325</v>
      </c>
      <c r="P609" s="306">
        <v>30</v>
      </c>
      <c r="Q609" s="306"/>
      <c r="R609" s="292"/>
      <c r="S609" s="292"/>
      <c r="T609" s="292"/>
      <c r="AO609" s="24"/>
      <c r="AP609" s="24"/>
      <c r="AQ609" s="24"/>
      <c r="AR609" s="24"/>
      <c r="DD609" s="24"/>
      <c r="DE609" s="24"/>
      <c r="DF609" s="24"/>
      <c r="DG609" s="24"/>
      <c r="DJ609" s="24">
        <v>2018</v>
      </c>
      <c r="DK609" s="24">
        <v>16</v>
      </c>
      <c r="DL609" s="24" t="s">
        <v>33</v>
      </c>
      <c r="DM609" s="24">
        <v>2717</v>
      </c>
      <c r="DP609" s="24"/>
      <c r="DQ609" s="24"/>
      <c r="DR609" s="24"/>
      <c r="DS609" s="24"/>
      <c r="EI609" s="24">
        <v>2022</v>
      </c>
      <c r="EJ609" s="24">
        <v>43</v>
      </c>
      <c r="EK609" s="24" t="s">
        <v>208</v>
      </c>
      <c r="EL609" s="24" t="s">
        <v>351</v>
      </c>
      <c r="EM609" s="24" t="s">
        <v>210</v>
      </c>
      <c r="EN609" s="24">
        <v>1</v>
      </c>
      <c r="EO609" s="24"/>
      <c r="EP609" s="24"/>
      <c r="ES609" s="24">
        <v>2019</v>
      </c>
      <c r="ET609" s="24">
        <v>9</v>
      </c>
      <c r="EU609" s="24" t="s">
        <v>32</v>
      </c>
      <c r="EV609" s="24">
        <v>2249</v>
      </c>
      <c r="FW609" s="24">
        <v>2017</v>
      </c>
      <c r="FX609" s="24">
        <v>38</v>
      </c>
      <c r="FY609" s="24" t="s">
        <v>33</v>
      </c>
      <c r="FZ609" s="24">
        <v>6695</v>
      </c>
      <c r="GA609" s="24">
        <v>5842</v>
      </c>
      <c r="GD609" s="24"/>
      <c r="GE609" s="24"/>
      <c r="GF609" s="24"/>
      <c r="GG609" s="24"/>
      <c r="GH609" s="24"/>
      <c r="GK609" s="24"/>
      <c r="GL609" s="24"/>
      <c r="GM609" s="24"/>
      <c r="GN609" s="24"/>
      <c r="GX609">
        <v>2017</v>
      </c>
      <c r="GY609">
        <v>38</v>
      </c>
      <c r="GZ609" t="s">
        <v>33</v>
      </c>
      <c r="HA609">
        <v>99735</v>
      </c>
      <c r="HB609">
        <v>97679</v>
      </c>
      <c r="HC609">
        <v>0</v>
      </c>
      <c r="HD609">
        <v>46</v>
      </c>
      <c r="HE609">
        <v>0</v>
      </c>
      <c r="HF609">
        <v>168</v>
      </c>
      <c r="HG609">
        <v>0</v>
      </c>
      <c r="HH609">
        <v>0</v>
      </c>
      <c r="HI609">
        <v>656</v>
      </c>
      <c r="HZ609" s="24">
        <v>2017</v>
      </c>
      <c r="IA609" s="24">
        <v>38</v>
      </c>
      <c r="IB609" s="24" t="s">
        <v>33</v>
      </c>
      <c r="IC609" s="24">
        <v>6624</v>
      </c>
      <c r="ID609" s="24">
        <v>5787</v>
      </c>
    </row>
    <row r="610" spans="9:238" x14ac:dyDescent="0.4">
      <c r="I610" s="305">
        <v>2017</v>
      </c>
      <c r="J610" s="306">
        <v>38</v>
      </c>
      <c r="K610" s="306" t="s">
        <v>33</v>
      </c>
      <c r="L610" s="306">
        <v>100835</v>
      </c>
      <c r="M610" s="306">
        <v>96348</v>
      </c>
      <c r="N610" s="306">
        <v>266</v>
      </c>
      <c r="O610" s="306">
        <v>2394</v>
      </c>
      <c r="P610" s="306">
        <v>716</v>
      </c>
      <c r="Q610" s="306">
        <v>1</v>
      </c>
      <c r="R610" s="292"/>
      <c r="S610" s="292"/>
      <c r="T610" s="292"/>
      <c r="AO610" s="24"/>
      <c r="AP610" s="24"/>
      <c r="AQ610" s="24"/>
      <c r="AR610" s="24"/>
      <c r="DD610" s="24"/>
      <c r="DE610" s="24"/>
      <c r="DF610" s="24"/>
      <c r="DG610" s="24"/>
      <c r="DJ610" s="24">
        <v>2018</v>
      </c>
      <c r="DK610" s="24">
        <v>15</v>
      </c>
      <c r="DL610" s="24" t="s">
        <v>32</v>
      </c>
      <c r="DM610" s="24">
        <v>1433</v>
      </c>
      <c r="DP610" s="24"/>
      <c r="DQ610" s="24"/>
      <c r="DR610" s="24"/>
      <c r="DS610" s="24"/>
      <c r="EI610" s="24">
        <v>2022</v>
      </c>
      <c r="EJ610" s="24">
        <v>43</v>
      </c>
      <c r="EK610" s="24" t="s">
        <v>208</v>
      </c>
      <c r="EL610" s="24" t="s">
        <v>351</v>
      </c>
      <c r="EM610" s="24" t="s">
        <v>234</v>
      </c>
      <c r="EN610" s="24">
        <v>1</v>
      </c>
      <c r="EO610" s="24"/>
      <c r="EP610" s="24"/>
      <c r="ES610" s="24">
        <v>2019</v>
      </c>
      <c r="ET610" s="24">
        <v>9</v>
      </c>
      <c r="EU610" s="24" t="s">
        <v>33</v>
      </c>
      <c r="EV610" s="24">
        <v>90069</v>
      </c>
      <c r="FW610" s="24">
        <v>2017</v>
      </c>
      <c r="FX610" s="24">
        <v>37</v>
      </c>
      <c r="FY610" s="24" t="s">
        <v>32</v>
      </c>
      <c r="FZ610" s="24">
        <v>800</v>
      </c>
      <c r="GA610" s="24">
        <v>719</v>
      </c>
      <c r="GD610" s="24"/>
      <c r="GE610" s="24"/>
      <c r="GF610" s="24"/>
      <c r="GG610" s="24"/>
      <c r="GH610" s="24"/>
      <c r="GK610" s="24"/>
      <c r="GL610" s="24"/>
      <c r="GM610" s="24"/>
      <c r="GN610" s="24"/>
      <c r="GX610">
        <v>2017</v>
      </c>
      <c r="GY610">
        <v>37</v>
      </c>
      <c r="GZ610" t="s">
        <v>32</v>
      </c>
      <c r="HA610">
        <v>6043</v>
      </c>
      <c r="HB610">
        <v>5765</v>
      </c>
      <c r="HC610">
        <v>0</v>
      </c>
      <c r="HD610">
        <v>5</v>
      </c>
      <c r="HE610">
        <v>0</v>
      </c>
      <c r="HF610">
        <v>0</v>
      </c>
      <c r="HG610">
        <v>0</v>
      </c>
      <c r="HH610">
        <v>0</v>
      </c>
      <c r="HI610">
        <v>67</v>
      </c>
      <c r="HZ610" s="24">
        <v>2017</v>
      </c>
      <c r="IA610" s="24">
        <v>37</v>
      </c>
      <c r="IB610" s="24" t="s">
        <v>32</v>
      </c>
      <c r="IC610" s="24">
        <v>772</v>
      </c>
      <c r="ID610" s="24">
        <v>706</v>
      </c>
    </row>
    <row r="611" spans="9:238" x14ac:dyDescent="0.4">
      <c r="I611" s="305">
        <v>2017</v>
      </c>
      <c r="J611" s="306">
        <v>37</v>
      </c>
      <c r="K611" s="306" t="s">
        <v>32</v>
      </c>
      <c r="L611" s="306">
        <v>6061</v>
      </c>
      <c r="M611" s="306">
        <v>5319</v>
      </c>
      <c r="N611" s="306">
        <v>26</v>
      </c>
      <c r="O611" s="306">
        <v>354</v>
      </c>
      <c r="P611" s="306">
        <v>44</v>
      </c>
      <c r="Q611" s="306"/>
      <c r="R611" s="292"/>
      <c r="S611" s="292"/>
      <c r="T611" s="292"/>
      <c r="AO611" s="24"/>
      <c r="AP611" s="24"/>
      <c r="AQ611" s="24"/>
      <c r="AR611" s="24"/>
      <c r="DD611" s="24"/>
      <c r="DE611" s="24"/>
      <c r="DF611" s="24"/>
      <c r="DG611" s="24"/>
      <c r="DJ611" s="24">
        <v>2018</v>
      </c>
      <c r="DK611" s="24">
        <v>15</v>
      </c>
      <c r="DL611" s="24" t="s">
        <v>33</v>
      </c>
      <c r="DM611" s="24">
        <v>1722</v>
      </c>
      <c r="DP611" s="24"/>
      <c r="DQ611" s="24"/>
      <c r="DR611" s="24"/>
      <c r="DS611" s="24"/>
      <c r="EI611" s="24">
        <v>2022</v>
      </c>
      <c r="EJ611" s="24">
        <v>43</v>
      </c>
      <c r="EK611" s="24" t="s">
        <v>208</v>
      </c>
      <c r="EL611" s="24" t="s">
        <v>351</v>
      </c>
      <c r="EM611" s="24" t="s">
        <v>215</v>
      </c>
      <c r="EN611" s="24">
        <v>15</v>
      </c>
      <c r="EO611" s="24"/>
      <c r="EP611" s="24"/>
      <c r="ES611" s="24">
        <v>2019</v>
      </c>
      <c r="ET611" s="24">
        <v>8</v>
      </c>
      <c r="EU611" s="24" t="s">
        <v>32</v>
      </c>
      <c r="EV611" s="24">
        <v>2581</v>
      </c>
      <c r="FW611" s="24">
        <v>2017</v>
      </c>
      <c r="FX611" s="24">
        <v>37</v>
      </c>
      <c r="FY611" s="24" t="s">
        <v>33</v>
      </c>
      <c r="FZ611" s="24">
        <v>7157</v>
      </c>
      <c r="GA611" s="24">
        <v>6080</v>
      </c>
      <c r="GD611" s="24"/>
      <c r="GE611" s="24"/>
      <c r="GF611" s="24"/>
      <c r="GG611" s="24"/>
      <c r="GH611" s="24"/>
      <c r="GK611" s="24"/>
      <c r="GL611" s="24"/>
      <c r="GM611" s="24"/>
      <c r="GN611" s="24"/>
      <c r="GX611">
        <v>2017</v>
      </c>
      <c r="GY611">
        <v>37</v>
      </c>
      <c r="GZ611" t="s">
        <v>33</v>
      </c>
      <c r="HA611">
        <v>109975</v>
      </c>
      <c r="HB611">
        <v>106883</v>
      </c>
      <c r="HC611">
        <v>0</v>
      </c>
      <c r="HD611">
        <v>79</v>
      </c>
      <c r="HE611">
        <v>0</v>
      </c>
      <c r="HF611">
        <v>854</v>
      </c>
      <c r="HG611">
        <v>0</v>
      </c>
      <c r="HH611">
        <v>0</v>
      </c>
      <c r="HI611">
        <v>785</v>
      </c>
      <c r="HZ611" s="24">
        <v>2017</v>
      </c>
      <c r="IA611" s="24">
        <v>37</v>
      </c>
      <c r="IB611" s="24" t="s">
        <v>33</v>
      </c>
      <c r="IC611" s="24">
        <v>7125</v>
      </c>
      <c r="ID611" s="24">
        <v>6030</v>
      </c>
    </row>
    <row r="612" spans="9:238" x14ac:dyDescent="0.4">
      <c r="I612" s="305">
        <v>2017</v>
      </c>
      <c r="J612" s="306">
        <v>37</v>
      </c>
      <c r="K612" s="306" t="s">
        <v>33</v>
      </c>
      <c r="L612" s="306">
        <v>109650</v>
      </c>
      <c r="M612" s="306">
        <v>104073</v>
      </c>
      <c r="N612" s="306">
        <v>309</v>
      </c>
      <c r="O612" s="306">
        <v>2806</v>
      </c>
      <c r="P612" s="306">
        <v>611</v>
      </c>
      <c r="Q612" s="306"/>
      <c r="R612" s="292"/>
      <c r="S612" s="292"/>
      <c r="T612" s="292"/>
      <c r="AO612" s="24"/>
      <c r="AP612" s="24"/>
      <c r="AQ612" s="24"/>
      <c r="AR612" s="24"/>
      <c r="DD612" s="24"/>
      <c r="DE612" s="24"/>
      <c r="DF612" s="24"/>
      <c r="DG612" s="24"/>
      <c r="DJ612" s="24">
        <v>2018</v>
      </c>
      <c r="DK612" s="24">
        <v>14</v>
      </c>
      <c r="DL612" s="24" t="s">
        <v>32</v>
      </c>
      <c r="DM612" s="24">
        <v>1847</v>
      </c>
      <c r="DP612" s="24"/>
      <c r="DQ612" s="24"/>
      <c r="DR612" s="24"/>
      <c r="DS612" s="24"/>
      <c r="EI612" s="24">
        <v>2022</v>
      </c>
      <c r="EJ612" s="24">
        <v>43</v>
      </c>
      <c r="EK612" s="24" t="s">
        <v>208</v>
      </c>
      <c r="EL612" s="24" t="s">
        <v>235</v>
      </c>
      <c r="EM612" s="24" t="s">
        <v>210</v>
      </c>
      <c r="EN612" s="24">
        <v>12</v>
      </c>
      <c r="EO612" s="24"/>
      <c r="EP612" s="24"/>
      <c r="ES612" s="24">
        <v>2019</v>
      </c>
      <c r="ET612" s="24">
        <v>8</v>
      </c>
      <c r="EU612" s="24" t="s">
        <v>33</v>
      </c>
      <c r="EV612" s="24">
        <v>91890</v>
      </c>
      <c r="FW612" s="24">
        <v>2017</v>
      </c>
      <c r="FX612" s="24">
        <v>36</v>
      </c>
      <c r="FY612" s="24" t="s">
        <v>32</v>
      </c>
      <c r="FZ612" s="24">
        <v>688</v>
      </c>
      <c r="GA612" s="24">
        <v>568</v>
      </c>
      <c r="GD612" s="24"/>
      <c r="GE612" s="24"/>
      <c r="GF612" s="24"/>
      <c r="GG612" s="24"/>
      <c r="GH612" s="24"/>
      <c r="GK612" s="24"/>
      <c r="GL612" s="24"/>
      <c r="GM612" s="24"/>
      <c r="GN612" s="24"/>
      <c r="GX612">
        <v>2017</v>
      </c>
      <c r="GY612">
        <v>36</v>
      </c>
      <c r="GZ612" t="s">
        <v>32</v>
      </c>
      <c r="HA612">
        <v>7445</v>
      </c>
      <c r="HB612">
        <v>6725</v>
      </c>
      <c r="HC612">
        <v>0</v>
      </c>
      <c r="HD612">
        <v>17</v>
      </c>
      <c r="HE612">
        <v>0</v>
      </c>
      <c r="HF612">
        <v>0</v>
      </c>
      <c r="HG612">
        <v>0</v>
      </c>
      <c r="HH612">
        <v>0</v>
      </c>
      <c r="HI612">
        <v>398</v>
      </c>
      <c r="HZ612" s="24">
        <v>2017</v>
      </c>
      <c r="IA612" s="24">
        <v>36</v>
      </c>
      <c r="IB612" s="24" t="s">
        <v>32</v>
      </c>
      <c r="IC612" s="24">
        <v>695</v>
      </c>
      <c r="ID612" s="24">
        <v>610</v>
      </c>
    </row>
    <row r="613" spans="9:238" x14ac:dyDescent="0.4">
      <c r="I613" s="305">
        <v>2017</v>
      </c>
      <c r="J613" s="306">
        <v>36</v>
      </c>
      <c r="K613" s="306" t="s">
        <v>32</v>
      </c>
      <c r="L613" s="306">
        <v>7589</v>
      </c>
      <c r="M613" s="306">
        <v>6215</v>
      </c>
      <c r="N613" s="306">
        <v>49</v>
      </c>
      <c r="O613" s="306">
        <v>880</v>
      </c>
      <c r="P613" s="306">
        <v>57</v>
      </c>
      <c r="Q613" s="306"/>
      <c r="R613" s="292"/>
      <c r="S613" s="292"/>
      <c r="T613" s="292"/>
      <c r="AO613" s="24"/>
      <c r="AP613" s="24"/>
      <c r="AQ613" s="24"/>
      <c r="AR613" s="24"/>
      <c r="DD613" s="24"/>
      <c r="DE613" s="24"/>
      <c r="DF613" s="24"/>
      <c r="DG613" s="24"/>
      <c r="DJ613" s="24">
        <v>2018</v>
      </c>
      <c r="DK613" s="24">
        <v>14</v>
      </c>
      <c r="DL613" s="24" t="s">
        <v>33</v>
      </c>
      <c r="DM613" s="24">
        <v>1743</v>
      </c>
      <c r="DP613" s="24"/>
      <c r="DQ613" s="24"/>
      <c r="DR613" s="24"/>
      <c r="DS613" s="24"/>
      <c r="EI613" s="24">
        <v>2022</v>
      </c>
      <c r="EJ613" s="24">
        <v>43</v>
      </c>
      <c r="EK613" s="24" t="s">
        <v>208</v>
      </c>
      <c r="EL613" s="24" t="s">
        <v>235</v>
      </c>
      <c r="EM613" s="24" t="s">
        <v>234</v>
      </c>
      <c r="EN613" s="24">
        <v>3</v>
      </c>
      <c r="EO613" s="24"/>
      <c r="EP613" s="24"/>
      <c r="ES613" s="24">
        <v>2019</v>
      </c>
      <c r="ET613" s="24">
        <v>7</v>
      </c>
      <c r="EU613" s="24" t="s">
        <v>32</v>
      </c>
      <c r="EV613" s="24">
        <v>2977</v>
      </c>
      <c r="FW613" s="24">
        <v>2017</v>
      </c>
      <c r="FX613" s="24">
        <v>36</v>
      </c>
      <c r="FY613" s="24" t="s">
        <v>33</v>
      </c>
      <c r="FZ613" s="24">
        <v>6386</v>
      </c>
      <c r="GA613" s="24">
        <v>5597</v>
      </c>
      <c r="GD613" s="24"/>
      <c r="GE613" s="24"/>
      <c r="GF613" s="24"/>
      <c r="GG613" s="24"/>
      <c r="GH613" s="24"/>
      <c r="GK613" s="24"/>
      <c r="GL613" s="24"/>
      <c r="GM613" s="24"/>
      <c r="GN613" s="24"/>
      <c r="GX613">
        <v>2017</v>
      </c>
      <c r="GY613">
        <v>36</v>
      </c>
      <c r="GZ613" t="s">
        <v>33</v>
      </c>
      <c r="HA613">
        <v>102104</v>
      </c>
      <c r="HB613">
        <v>99157</v>
      </c>
      <c r="HC613">
        <v>1</v>
      </c>
      <c r="HD613">
        <v>60</v>
      </c>
      <c r="HE613">
        <v>0</v>
      </c>
      <c r="HF613">
        <v>410</v>
      </c>
      <c r="HG613">
        <v>0</v>
      </c>
      <c r="HH613">
        <v>0</v>
      </c>
      <c r="HI613">
        <v>1014</v>
      </c>
      <c r="HZ613" s="24">
        <v>2017</v>
      </c>
      <c r="IA613" s="24">
        <v>36</v>
      </c>
      <c r="IB613" s="24" t="s">
        <v>33</v>
      </c>
      <c r="IC613" s="24">
        <v>6305</v>
      </c>
      <c r="ID613" s="24">
        <v>5538</v>
      </c>
    </row>
    <row r="614" spans="9:238" x14ac:dyDescent="0.4">
      <c r="I614" s="305">
        <v>2017</v>
      </c>
      <c r="J614" s="306">
        <v>36</v>
      </c>
      <c r="K614" s="306" t="s">
        <v>33</v>
      </c>
      <c r="L614" s="306">
        <v>101726</v>
      </c>
      <c r="M614" s="306">
        <v>96525</v>
      </c>
      <c r="N614" s="306">
        <v>193</v>
      </c>
      <c r="O614" s="306">
        <v>2872</v>
      </c>
      <c r="P614" s="306">
        <v>514</v>
      </c>
      <c r="Q614" s="306"/>
      <c r="R614" s="292"/>
      <c r="S614" s="292"/>
      <c r="T614" s="292"/>
      <c r="AO614" s="24"/>
      <c r="AP614" s="24"/>
      <c r="AQ614" s="24"/>
      <c r="AR614" s="24"/>
      <c r="DD614" s="24"/>
      <c r="DE614" s="24"/>
      <c r="DF614" s="24"/>
      <c r="DG614" s="24"/>
      <c r="DJ614" s="24">
        <v>2018</v>
      </c>
      <c r="DK614" s="24">
        <v>13</v>
      </c>
      <c r="DL614" s="24" t="s">
        <v>32</v>
      </c>
      <c r="DM614" s="24">
        <v>49</v>
      </c>
      <c r="DP614" s="24"/>
      <c r="DQ614" s="24"/>
      <c r="DR614" s="24"/>
      <c r="DS614" s="24"/>
      <c r="EI614" s="24">
        <v>2022</v>
      </c>
      <c r="EJ614" s="24">
        <v>43</v>
      </c>
      <c r="EK614" s="24" t="s">
        <v>208</v>
      </c>
      <c r="EL614" s="24" t="s">
        <v>235</v>
      </c>
      <c r="EM614" s="24" t="s">
        <v>215</v>
      </c>
      <c r="EN614" s="24">
        <v>15</v>
      </c>
      <c r="EO614" s="24"/>
      <c r="EP614" s="24"/>
      <c r="ES614" s="24">
        <v>2019</v>
      </c>
      <c r="ET614" s="24">
        <v>7</v>
      </c>
      <c r="EU614" s="24" t="s">
        <v>33</v>
      </c>
      <c r="EV614" s="24">
        <v>91666</v>
      </c>
      <c r="FW614" s="24">
        <v>2017</v>
      </c>
      <c r="FX614" s="24">
        <v>35</v>
      </c>
      <c r="FY614" s="24" t="s">
        <v>32</v>
      </c>
      <c r="FZ614" s="24">
        <v>919</v>
      </c>
      <c r="GA614" s="24">
        <v>794</v>
      </c>
      <c r="GD614" s="24"/>
      <c r="GE614" s="24"/>
      <c r="GF614" s="24"/>
      <c r="GG614" s="24"/>
      <c r="GH614" s="24"/>
      <c r="GK614" s="24"/>
      <c r="GL614" s="24"/>
      <c r="GM614" s="24"/>
      <c r="GN614" s="24"/>
      <c r="GX614">
        <v>2017</v>
      </c>
      <c r="GY614">
        <v>35</v>
      </c>
      <c r="GZ614" t="s">
        <v>32</v>
      </c>
      <c r="HA614">
        <v>6246</v>
      </c>
      <c r="HB614">
        <v>5932</v>
      </c>
      <c r="HC614">
        <v>0</v>
      </c>
      <c r="HD614">
        <v>0</v>
      </c>
      <c r="HE614">
        <v>0</v>
      </c>
      <c r="HF614">
        <v>0</v>
      </c>
      <c r="HG614">
        <v>0</v>
      </c>
      <c r="HH614">
        <v>0</v>
      </c>
      <c r="HI614">
        <v>62</v>
      </c>
      <c r="HZ614" s="24">
        <v>2017</v>
      </c>
      <c r="IA614" s="24">
        <v>35</v>
      </c>
      <c r="IB614" s="24" t="s">
        <v>32</v>
      </c>
      <c r="IC614" s="24">
        <v>946</v>
      </c>
      <c r="ID614" s="24">
        <v>817</v>
      </c>
    </row>
    <row r="615" spans="9:238" x14ac:dyDescent="0.4">
      <c r="I615" s="305">
        <v>2017</v>
      </c>
      <c r="J615" s="306">
        <v>35</v>
      </c>
      <c r="K615" s="306" t="s">
        <v>32</v>
      </c>
      <c r="L615" s="306">
        <v>6063</v>
      </c>
      <c r="M615" s="306">
        <v>5608</v>
      </c>
      <c r="N615" s="306">
        <v>18</v>
      </c>
      <c r="O615" s="306">
        <v>305</v>
      </c>
      <c r="P615" s="306">
        <v>53</v>
      </c>
      <c r="Q615" s="306"/>
      <c r="R615" s="292"/>
      <c r="S615" s="292"/>
      <c r="T615" s="292"/>
      <c r="AO615" s="24"/>
      <c r="AP615" s="24"/>
      <c r="AQ615" s="24"/>
      <c r="AR615" s="24"/>
      <c r="DD615" s="24"/>
      <c r="DE615" s="24"/>
      <c r="DF615" s="24"/>
      <c r="DG615" s="24"/>
      <c r="DJ615" s="24">
        <v>2018</v>
      </c>
      <c r="DK615" s="24">
        <v>13</v>
      </c>
      <c r="DL615" s="24" t="s">
        <v>33</v>
      </c>
      <c r="DM615" s="24">
        <v>1200</v>
      </c>
      <c r="DP615" s="24"/>
      <c r="DQ615" s="24"/>
      <c r="DR615" s="24"/>
      <c r="DS615" s="24"/>
      <c r="EI615" s="24">
        <v>2022</v>
      </c>
      <c r="EJ615" s="24">
        <v>43</v>
      </c>
      <c r="EK615" s="24" t="s">
        <v>208</v>
      </c>
      <c r="EL615" s="24" t="s">
        <v>209</v>
      </c>
      <c r="EM615" s="24" t="s">
        <v>210</v>
      </c>
      <c r="EN615" s="24">
        <v>5</v>
      </c>
      <c r="EO615" s="24"/>
      <c r="EP615" s="24"/>
      <c r="ES615" s="24">
        <v>2019</v>
      </c>
      <c r="ET615" s="24">
        <v>6</v>
      </c>
      <c r="EU615" s="24" t="s">
        <v>32</v>
      </c>
      <c r="EV615" s="24">
        <v>2761</v>
      </c>
      <c r="FW615" s="24">
        <v>2017</v>
      </c>
      <c r="FX615" s="24">
        <v>35</v>
      </c>
      <c r="FY615" s="24" t="s">
        <v>33</v>
      </c>
      <c r="FZ615" s="24">
        <v>6312</v>
      </c>
      <c r="GA615" s="24">
        <v>5176</v>
      </c>
      <c r="GD615" s="24"/>
      <c r="GE615" s="24"/>
      <c r="GF615" s="24"/>
      <c r="GG615" s="24"/>
      <c r="GH615" s="24"/>
      <c r="GK615" s="24"/>
      <c r="GL615" s="24"/>
      <c r="GM615" s="24"/>
      <c r="GN615" s="24"/>
      <c r="GX615">
        <v>2017</v>
      </c>
      <c r="GY615">
        <v>35</v>
      </c>
      <c r="GZ615" t="s">
        <v>33</v>
      </c>
      <c r="HA615">
        <v>84081</v>
      </c>
      <c r="HB615">
        <v>69613</v>
      </c>
      <c r="HC615">
        <v>1</v>
      </c>
      <c r="HD615">
        <v>157</v>
      </c>
      <c r="HE615">
        <v>0</v>
      </c>
      <c r="HF615">
        <v>379</v>
      </c>
      <c r="HG615">
        <v>0</v>
      </c>
      <c r="HH615">
        <v>0</v>
      </c>
      <c r="HI615">
        <v>2545</v>
      </c>
      <c r="HZ615" s="24">
        <v>2017</v>
      </c>
      <c r="IA615" s="24">
        <v>35</v>
      </c>
      <c r="IB615" s="24" t="s">
        <v>33</v>
      </c>
      <c r="IC615" s="24">
        <v>6381</v>
      </c>
      <c r="ID615" s="24">
        <v>5230</v>
      </c>
    </row>
    <row r="616" spans="9:238" x14ac:dyDescent="0.4">
      <c r="I616" s="305">
        <v>2017</v>
      </c>
      <c r="J616" s="306">
        <v>35</v>
      </c>
      <c r="K616" s="306" t="s">
        <v>33</v>
      </c>
      <c r="L616" s="306">
        <v>83263</v>
      </c>
      <c r="M616" s="306">
        <v>67677</v>
      </c>
      <c r="N616" s="306">
        <v>421</v>
      </c>
      <c r="O616" s="306">
        <v>6088</v>
      </c>
      <c r="P616" s="306">
        <v>940</v>
      </c>
      <c r="Q616" s="306"/>
      <c r="R616" s="292"/>
      <c r="S616" s="292"/>
      <c r="T616" s="292"/>
      <c r="AO616" s="24"/>
      <c r="AP616" s="24"/>
      <c r="AQ616" s="24"/>
      <c r="AR616" s="24"/>
      <c r="DD616" s="24"/>
      <c r="DE616" s="24"/>
      <c r="DF616" s="24"/>
      <c r="DG616" s="24"/>
      <c r="DJ616" s="24">
        <v>2018</v>
      </c>
      <c r="DK616" s="24">
        <v>12</v>
      </c>
      <c r="DL616" s="24" t="s">
        <v>32</v>
      </c>
      <c r="DM616" s="24">
        <v>520</v>
      </c>
      <c r="DP616" s="24"/>
      <c r="DQ616" s="24"/>
      <c r="DR616" s="24"/>
      <c r="DS616" s="24"/>
      <c r="EI616" s="24">
        <v>2022</v>
      </c>
      <c r="EJ616" s="24">
        <v>43</v>
      </c>
      <c r="EK616" s="24" t="s">
        <v>208</v>
      </c>
      <c r="EL616" s="24" t="s">
        <v>209</v>
      </c>
      <c r="EM616" s="24" t="s">
        <v>234</v>
      </c>
      <c r="EN616" s="24">
        <v>1</v>
      </c>
      <c r="EO616" s="24"/>
      <c r="EP616" s="24"/>
      <c r="ES616" s="24">
        <v>2019</v>
      </c>
      <c r="ET616" s="24">
        <v>6</v>
      </c>
      <c r="EU616" s="24" t="s">
        <v>33</v>
      </c>
      <c r="EV616" s="24">
        <v>90277</v>
      </c>
      <c r="FW616" s="24">
        <v>2017</v>
      </c>
      <c r="FX616" s="24">
        <v>34</v>
      </c>
      <c r="FY616" s="24" t="s">
        <v>32</v>
      </c>
      <c r="FZ616" s="24">
        <v>848</v>
      </c>
      <c r="GA616" s="24">
        <v>725</v>
      </c>
      <c r="GD616" s="24"/>
      <c r="GE616" s="24"/>
      <c r="GF616" s="24"/>
      <c r="GG616" s="24"/>
      <c r="GH616" s="24"/>
      <c r="GX616">
        <v>2017</v>
      </c>
      <c r="GY616">
        <v>34</v>
      </c>
      <c r="GZ616" t="s">
        <v>32</v>
      </c>
      <c r="HA616">
        <v>6970</v>
      </c>
      <c r="HB616">
        <v>6471</v>
      </c>
      <c r="HC616">
        <v>0</v>
      </c>
      <c r="HD616">
        <v>3</v>
      </c>
      <c r="HE616">
        <v>0</v>
      </c>
      <c r="HF616">
        <v>10</v>
      </c>
      <c r="HG616">
        <v>0</v>
      </c>
      <c r="HH616">
        <v>0</v>
      </c>
      <c r="HI616">
        <v>169</v>
      </c>
      <c r="HZ616" s="24">
        <v>2017</v>
      </c>
      <c r="IA616" s="24">
        <v>34</v>
      </c>
      <c r="IB616" s="24" t="s">
        <v>32</v>
      </c>
      <c r="IC616" s="24">
        <v>801</v>
      </c>
      <c r="ID616" s="24">
        <v>695</v>
      </c>
    </row>
    <row r="617" spans="9:238" x14ac:dyDescent="0.4">
      <c r="I617" s="305">
        <v>2017</v>
      </c>
      <c r="J617" s="306">
        <v>34</v>
      </c>
      <c r="K617" s="306" t="s">
        <v>32</v>
      </c>
      <c r="L617" s="306">
        <v>6983</v>
      </c>
      <c r="M617" s="306">
        <v>5939</v>
      </c>
      <c r="N617" s="306">
        <v>22</v>
      </c>
      <c r="O617" s="306">
        <v>659</v>
      </c>
      <c r="P617" s="306">
        <v>37</v>
      </c>
      <c r="Q617" s="306">
        <v>1</v>
      </c>
      <c r="R617" s="292"/>
      <c r="S617" s="292"/>
      <c r="T617" s="292"/>
      <c r="AO617" s="24"/>
      <c r="AP617" s="24"/>
      <c r="AQ617" s="24"/>
      <c r="AR617" s="24"/>
      <c r="DD617" s="24"/>
      <c r="DE617" s="24"/>
      <c r="DF617" s="24"/>
      <c r="DG617" s="24"/>
      <c r="DJ617" s="24">
        <v>2018</v>
      </c>
      <c r="DK617" s="24">
        <v>12</v>
      </c>
      <c r="DL617" s="24" t="s">
        <v>33</v>
      </c>
      <c r="DM617" s="24">
        <v>1242</v>
      </c>
      <c r="DP617" s="24"/>
      <c r="DQ617" s="24"/>
      <c r="DR617" s="24"/>
      <c r="DS617" s="24"/>
      <c r="EI617" s="24">
        <v>2022</v>
      </c>
      <c r="EJ617" s="24">
        <v>43</v>
      </c>
      <c r="EK617" s="24" t="s">
        <v>33</v>
      </c>
      <c r="EL617" s="24" t="s">
        <v>240</v>
      </c>
      <c r="EM617" s="24" t="s">
        <v>215</v>
      </c>
      <c r="EN617" s="24">
        <v>1</v>
      </c>
      <c r="EO617" s="24"/>
      <c r="EP617" s="24"/>
      <c r="ES617" s="24">
        <v>2019</v>
      </c>
      <c r="ET617" s="24">
        <v>5</v>
      </c>
      <c r="EU617" s="24" t="s">
        <v>32</v>
      </c>
      <c r="EV617" s="24">
        <v>3239</v>
      </c>
      <c r="FW617" s="24">
        <v>2017</v>
      </c>
      <c r="FX617" s="24">
        <v>34</v>
      </c>
      <c r="FY617" s="24" t="s">
        <v>33</v>
      </c>
      <c r="FZ617" s="24">
        <v>7014</v>
      </c>
      <c r="GA617" s="24">
        <v>6312</v>
      </c>
      <c r="GD617" s="24"/>
      <c r="GE617" s="24"/>
      <c r="GF617" s="24"/>
      <c r="GG617" s="24"/>
      <c r="GH617" s="24"/>
      <c r="GX617">
        <v>2017</v>
      </c>
      <c r="GY617">
        <v>34</v>
      </c>
      <c r="GZ617" t="s">
        <v>33</v>
      </c>
      <c r="HA617">
        <v>99321</v>
      </c>
      <c r="HB617">
        <v>97443</v>
      </c>
      <c r="HC617">
        <v>0</v>
      </c>
      <c r="HD617">
        <v>21</v>
      </c>
      <c r="HE617">
        <v>0</v>
      </c>
      <c r="HF617">
        <v>406</v>
      </c>
      <c r="HG617">
        <v>0</v>
      </c>
      <c r="HH617">
        <v>0</v>
      </c>
      <c r="HI617">
        <v>375</v>
      </c>
      <c r="HZ617" s="24">
        <v>2017</v>
      </c>
      <c r="IA617" s="24">
        <v>34</v>
      </c>
      <c r="IB617" s="24" t="s">
        <v>33</v>
      </c>
      <c r="IC617" s="24">
        <v>7011</v>
      </c>
      <c r="ID617" s="24">
        <v>6330</v>
      </c>
    </row>
    <row r="618" spans="9:238" x14ac:dyDescent="0.4">
      <c r="I618" s="305">
        <v>2017</v>
      </c>
      <c r="J618" s="306">
        <v>34</v>
      </c>
      <c r="K618" s="306" t="s">
        <v>33</v>
      </c>
      <c r="L618" s="306">
        <v>100660</v>
      </c>
      <c r="M618" s="306">
        <v>96477</v>
      </c>
      <c r="N618" s="306">
        <v>119</v>
      </c>
      <c r="O618" s="306">
        <v>2167</v>
      </c>
      <c r="P618" s="306">
        <v>455</v>
      </c>
      <c r="Q618" s="306"/>
      <c r="R618" s="292"/>
      <c r="S618" s="292"/>
      <c r="T618" s="292"/>
      <c r="AO618" s="24"/>
      <c r="AP618" s="24"/>
      <c r="AQ618" s="24"/>
      <c r="AR618" s="24"/>
      <c r="DD618" s="24"/>
      <c r="DE618" s="24"/>
      <c r="DF618" s="24"/>
      <c r="DG618" s="24"/>
      <c r="DJ618" s="24">
        <v>2018</v>
      </c>
      <c r="DK618" s="24">
        <v>11</v>
      </c>
      <c r="DL618" s="24" t="s">
        <v>32</v>
      </c>
      <c r="DM618" s="24">
        <v>891</v>
      </c>
      <c r="DP618" s="24"/>
      <c r="DQ618" s="24"/>
      <c r="DR618" s="24"/>
      <c r="DS618" s="24"/>
      <c r="EI618" s="24">
        <v>2022</v>
      </c>
      <c r="EJ618" s="24">
        <v>43</v>
      </c>
      <c r="EK618" s="24" t="s">
        <v>33</v>
      </c>
      <c r="EL618" s="24" t="s">
        <v>560</v>
      </c>
      <c r="EM618" s="24" t="s">
        <v>210</v>
      </c>
      <c r="EN618" s="24">
        <v>1</v>
      </c>
      <c r="EO618" s="24"/>
      <c r="EP618" s="24"/>
      <c r="ES618" s="24">
        <v>2019</v>
      </c>
      <c r="ET618" s="24">
        <v>5</v>
      </c>
      <c r="EU618" s="24" t="s">
        <v>33</v>
      </c>
      <c r="EV618" s="24">
        <v>80803</v>
      </c>
      <c r="FW618" s="24">
        <v>2017</v>
      </c>
      <c r="FX618" s="24">
        <v>33</v>
      </c>
      <c r="FY618" s="24" t="s">
        <v>32</v>
      </c>
      <c r="FZ618" s="24">
        <v>585</v>
      </c>
      <c r="GA618" s="24">
        <v>525</v>
      </c>
      <c r="GD618" s="24"/>
      <c r="GE618" s="24"/>
      <c r="GF618" s="24"/>
      <c r="GG618" s="24"/>
      <c r="GH618" s="24"/>
      <c r="GX618">
        <v>2017</v>
      </c>
      <c r="GY618">
        <v>33</v>
      </c>
      <c r="GZ618" t="s">
        <v>32</v>
      </c>
      <c r="HA618">
        <v>5586</v>
      </c>
      <c r="HB618">
        <v>5352</v>
      </c>
      <c r="HC618">
        <v>0</v>
      </c>
      <c r="HD618">
        <v>0</v>
      </c>
      <c r="HE618">
        <v>0</v>
      </c>
      <c r="HF618">
        <v>1</v>
      </c>
      <c r="HG618">
        <v>0</v>
      </c>
      <c r="HH618">
        <v>0</v>
      </c>
      <c r="HI618">
        <v>96</v>
      </c>
      <c r="HZ618" s="24">
        <v>2017</v>
      </c>
      <c r="IA618" s="24">
        <v>33</v>
      </c>
      <c r="IB618" s="24" t="s">
        <v>32</v>
      </c>
      <c r="IC618" s="24">
        <v>634</v>
      </c>
      <c r="ID618" s="24">
        <v>584</v>
      </c>
    </row>
    <row r="619" spans="9:238" x14ac:dyDescent="0.4">
      <c r="I619" s="305">
        <v>2017</v>
      </c>
      <c r="J619" s="306">
        <v>33</v>
      </c>
      <c r="K619" s="306" t="s">
        <v>32</v>
      </c>
      <c r="L619" s="306">
        <v>5567</v>
      </c>
      <c r="M619" s="306">
        <v>4780</v>
      </c>
      <c r="N619" s="306">
        <v>41</v>
      </c>
      <c r="O619" s="306">
        <v>392</v>
      </c>
      <c r="P619" s="306">
        <v>33</v>
      </c>
      <c r="Q619" s="306">
        <v>3</v>
      </c>
      <c r="R619" s="292"/>
      <c r="S619" s="292"/>
      <c r="T619" s="292"/>
      <c r="AO619" s="24"/>
      <c r="AP619" s="24"/>
      <c r="AQ619" s="24"/>
      <c r="AR619" s="24"/>
      <c r="DD619" s="24"/>
      <c r="DE619" s="24"/>
      <c r="DF619" s="24"/>
      <c r="DG619" s="24"/>
      <c r="DJ619" s="24">
        <v>2018</v>
      </c>
      <c r="DK619" s="24">
        <v>11</v>
      </c>
      <c r="DL619" s="24" t="s">
        <v>33</v>
      </c>
      <c r="DM619" s="24">
        <v>2018</v>
      </c>
      <c r="DP619" s="24"/>
      <c r="DQ619" s="24"/>
      <c r="DR619" s="24"/>
      <c r="DS619" s="24"/>
      <c r="EI619" s="24">
        <v>2022</v>
      </c>
      <c r="EJ619" s="24">
        <v>43</v>
      </c>
      <c r="EK619" s="24" t="s">
        <v>33</v>
      </c>
      <c r="EL619" s="24" t="s">
        <v>233</v>
      </c>
      <c r="EM619" s="24" t="s">
        <v>215</v>
      </c>
      <c r="EN619" s="24">
        <v>7</v>
      </c>
      <c r="EO619" s="24"/>
      <c r="EP619" s="24"/>
      <c r="ES619" s="24">
        <v>2019</v>
      </c>
      <c r="ET619" s="24">
        <v>4</v>
      </c>
      <c r="EU619" s="24" t="s">
        <v>32</v>
      </c>
      <c r="EV619" s="24">
        <v>2481</v>
      </c>
      <c r="FW619" s="24">
        <v>2017</v>
      </c>
      <c r="FX619" s="24">
        <v>33</v>
      </c>
      <c r="FY619" s="24" t="s">
        <v>33</v>
      </c>
      <c r="FZ619" s="24">
        <v>7127</v>
      </c>
      <c r="GA619" s="24">
        <v>6077</v>
      </c>
      <c r="GD619" s="24"/>
      <c r="GE619" s="24"/>
      <c r="GF619" s="24"/>
      <c r="GG619" s="24"/>
      <c r="GH619" s="24"/>
      <c r="GX619">
        <v>2017</v>
      </c>
      <c r="GY619">
        <v>33</v>
      </c>
      <c r="GZ619" t="s">
        <v>33</v>
      </c>
      <c r="HA619">
        <v>111668</v>
      </c>
      <c r="HB619">
        <v>109218</v>
      </c>
      <c r="HC619">
        <v>0</v>
      </c>
      <c r="HD619">
        <v>63</v>
      </c>
      <c r="HE619">
        <v>0</v>
      </c>
      <c r="HF619">
        <v>521</v>
      </c>
      <c r="HG619">
        <v>0</v>
      </c>
      <c r="HH619">
        <v>0</v>
      </c>
      <c r="HI619">
        <v>536</v>
      </c>
      <c r="HZ619" s="24">
        <v>2017</v>
      </c>
      <c r="IA619" s="24">
        <v>33</v>
      </c>
      <c r="IB619" s="24" t="s">
        <v>33</v>
      </c>
      <c r="IC619" s="24">
        <v>7118</v>
      </c>
      <c r="ID619" s="24">
        <v>6147</v>
      </c>
    </row>
    <row r="620" spans="9:238" x14ac:dyDescent="0.4">
      <c r="I620" s="305">
        <v>2017</v>
      </c>
      <c r="J620" s="306">
        <v>33</v>
      </c>
      <c r="K620" s="306" t="s">
        <v>33</v>
      </c>
      <c r="L620" s="306">
        <v>111994</v>
      </c>
      <c r="M620" s="306">
        <v>106927</v>
      </c>
      <c r="N620" s="306">
        <v>283</v>
      </c>
      <c r="O620" s="306">
        <v>2338</v>
      </c>
      <c r="P620" s="306">
        <v>598</v>
      </c>
      <c r="Q620" s="306"/>
      <c r="R620" s="292"/>
      <c r="S620" s="292"/>
      <c r="T620" s="292"/>
      <c r="AO620" s="24"/>
      <c r="AP620" s="24"/>
      <c r="AQ620" s="24"/>
      <c r="AR620" s="24"/>
      <c r="DD620" s="24"/>
      <c r="DE620" s="24"/>
      <c r="DF620" s="24"/>
      <c r="DG620" s="24"/>
      <c r="DJ620" s="24">
        <v>2018</v>
      </c>
      <c r="DK620" s="24">
        <v>10</v>
      </c>
      <c r="DL620" s="24" t="s">
        <v>32</v>
      </c>
      <c r="DM620" s="24">
        <v>99</v>
      </c>
      <c r="DP620" s="24"/>
      <c r="DQ620" s="24"/>
      <c r="DR620" s="24"/>
      <c r="DS620" s="24"/>
      <c r="EI620" s="24">
        <v>2022</v>
      </c>
      <c r="EJ620" s="24">
        <v>43</v>
      </c>
      <c r="EK620" s="24" t="s">
        <v>33</v>
      </c>
      <c r="EL620" s="24" t="s">
        <v>244</v>
      </c>
      <c r="EM620" s="24" t="s">
        <v>210</v>
      </c>
      <c r="EN620" s="24">
        <v>8</v>
      </c>
      <c r="EO620" s="24"/>
      <c r="EP620" s="24"/>
      <c r="ES620" s="24">
        <v>2019</v>
      </c>
      <c r="ET620" s="24">
        <v>4</v>
      </c>
      <c r="EU620" s="24" t="s">
        <v>33</v>
      </c>
      <c r="EV620" s="24">
        <v>75791</v>
      </c>
      <c r="FW620" s="24">
        <v>2017</v>
      </c>
      <c r="FX620" s="24">
        <v>32</v>
      </c>
      <c r="FY620" s="24" t="s">
        <v>32</v>
      </c>
      <c r="FZ620" s="24">
        <v>774</v>
      </c>
      <c r="GA620" s="24">
        <v>639</v>
      </c>
      <c r="GD620" s="24"/>
      <c r="GE620" s="24"/>
      <c r="GF620" s="24"/>
      <c r="GG620" s="24"/>
      <c r="GH620" s="24"/>
      <c r="GX620">
        <v>2017</v>
      </c>
      <c r="GY620">
        <v>32</v>
      </c>
      <c r="GZ620" t="s">
        <v>32</v>
      </c>
      <c r="HA620">
        <v>6193</v>
      </c>
      <c r="HB620">
        <v>5956</v>
      </c>
      <c r="HC620">
        <v>0</v>
      </c>
      <c r="HD620">
        <v>0</v>
      </c>
      <c r="HE620">
        <v>0</v>
      </c>
      <c r="HF620">
        <v>0</v>
      </c>
      <c r="HG620">
        <v>0</v>
      </c>
      <c r="HH620">
        <v>0</v>
      </c>
      <c r="HI620">
        <v>64</v>
      </c>
      <c r="HZ620" s="24">
        <v>2017</v>
      </c>
      <c r="IA620" s="24">
        <v>32</v>
      </c>
      <c r="IB620" s="24" t="s">
        <v>32</v>
      </c>
      <c r="IC620" s="24">
        <v>737</v>
      </c>
      <c r="ID620" s="24">
        <v>619</v>
      </c>
    </row>
    <row r="621" spans="9:238" x14ac:dyDescent="0.4">
      <c r="I621" s="305">
        <v>2017</v>
      </c>
      <c r="J621" s="306">
        <v>32</v>
      </c>
      <c r="K621" s="306" t="s">
        <v>32</v>
      </c>
      <c r="L621" s="306">
        <v>6330</v>
      </c>
      <c r="M621" s="306">
        <v>5419</v>
      </c>
      <c r="N621" s="306">
        <v>23</v>
      </c>
      <c r="O621" s="306">
        <v>441</v>
      </c>
      <c r="P621" s="306">
        <v>67</v>
      </c>
      <c r="Q621" s="306"/>
      <c r="R621" s="292"/>
      <c r="S621" s="292"/>
      <c r="T621" s="292"/>
      <c r="AO621" s="24"/>
      <c r="AP621" s="24"/>
      <c r="AQ621" s="24"/>
      <c r="AR621" s="24"/>
      <c r="DD621" s="24"/>
      <c r="DE621" s="24"/>
      <c r="DF621" s="24"/>
      <c r="DG621" s="24"/>
      <c r="DJ621" s="24">
        <v>2018</v>
      </c>
      <c r="DK621" s="24">
        <v>10</v>
      </c>
      <c r="DL621" s="24" t="s">
        <v>33</v>
      </c>
      <c r="DM621" s="24">
        <v>1170</v>
      </c>
      <c r="DP621" s="24"/>
      <c r="DQ621" s="24"/>
      <c r="DR621" s="24"/>
      <c r="DS621" s="24"/>
      <c r="EI621" s="24">
        <v>2022</v>
      </c>
      <c r="EJ621" s="24">
        <v>43</v>
      </c>
      <c r="EK621" s="24" t="s">
        <v>33</v>
      </c>
      <c r="EL621" s="24" t="s">
        <v>238</v>
      </c>
      <c r="EM621" s="24" t="s">
        <v>210</v>
      </c>
      <c r="EN621" s="24">
        <v>30</v>
      </c>
      <c r="EO621" s="24"/>
      <c r="EP621" s="24"/>
      <c r="ES621" s="24">
        <v>2019</v>
      </c>
      <c r="ET621" s="24">
        <v>3</v>
      </c>
      <c r="EU621" s="24" t="s">
        <v>32</v>
      </c>
      <c r="EV621" s="24">
        <v>2685</v>
      </c>
      <c r="FW621" s="24">
        <v>2017</v>
      </c>
      <c r="FX621" s="24">
        <v>32</v>
      </c>
      <c r="FY621" s="24" t="s">
        <v>33</v>
      </c>
      <c r="FZ621" s="24">
        <v>6815</v>
      </c>
      <c r="GA621" s="24">
        <v>5927</v>
      </c>
      <c r="GD621" s="24"/>
      <c r="GE621" s="24"/>
      <c r="GF621" s="24"/>
      <c r="GG621" s="24"/>
      <c r="GH621" s="24"/>
      <c r="GX621">
        <v>2017</v>
      </c>
      <c r="GY621">
        <v>32</v>
      </c>
      <c r="GZ621" t="s">
        <v>33</v>
      </c>
      <c r="HA621">
        <v>99351</v>
      </c>
      <c r="HB621">
        <v>97386</v>
      </c>
      <c r="HC621">
        <v>0</v>
      </c>
      <c r="HD621">
        <v>44</v>
      </c>
      <c r="HE621">
        <v>0</v>
      </c>
      <c r="HF621">
        <v>336</v>
      </c>
      <c r="HG621">
        <v>0</v>
      </c>
      <c r="HH621">
        <v>0</v>
      </c>
      <c r="HI621">
        <v>532</v>
      </c>
      <c r="HZ621" s="24">
        <v>2017</v>
      </c>
      <c r="IA621" s="24">
        <v>32</v>
      </c>
      <c r="IB621" s="24" t="s">
        <v>33</v>
      </c>
      <c r="IC621" s="24">
        <v>6698</v>
      </c>
      <c r="ID621" s="24">
        <v>5775</v>
      </c>
    </row>
    <row r="622" spans="9:238" x14ac:dyDescent="0.4">
      <c r="I622" s="305">
        <v>2017</v>
      </c>
      <c r="J622" s="306">
        <v>32</v>
      </c>
      <c r="K622" s="306" t="s">
        <v>33</v>
      </c>
      <c r="L622" s="306">
        <v>98669</v>
      </c>
      <c r="M622" s="306">
        <v>94616</v>
      </c>
      <c r="N622" s="306">
        <v>99</v>
      </c>
      <c r="O622" s="306">
        <v>2157</v>
      </c>
      <c r="P622" s="306">
        <v>569</v>
      </c>
      <c r="Q622" s="306"/>
      <c r="R622" s="292"/>
      <c r="S622" s="292"/>
      <c r="T622" s="292"/>
      <c r="AO622" s="24"/>
      <c r="AP622" s="24"/>
      <c r="AQ622" s="24"/>
      <c r="AR622" s="24"/>
      <c r="DD622" s="24"/>
      <c r="DE622" s="24"/>
      <c r="DF622" s="24"/>
      <c r="DG622" s="24"/>
      <c r="DJ622" s="24">
        <v>2018</v>
      </c>
      <c r="DK622" s="24">
        <v>9</v>
      </c>
      <c r="DL622" s="24" t="s">
        <v>32</v>
      </c>
      <c r="DM622" s="24">
        <v>160</v>
      </c>
      <c r="DP622" s="24"/>
      <c r="DQ622" s="24"/>
      <c r="DR622" s="24"/>
      <c r="DS622" s="24"/>
      <c r="EI622" s="24">
        <v>2022</v>
      </c>
      <c r="EJ622" s="24">
        <v>43</v>
      </c>
      <c r="EK622" s="24" t="s">
        <v>33</v>
      </c>
      <c r="EL622" s="24" t="s">
        <v>238</v>
      </c>
      <c r="EM622" s="24" t="s">
        <v>215</v>
      </c>
      <c r="EN622" s="24">
        <v>23</v>
      </c>
      <c r="EO622" s="24"/>
      <c r="EP622" s="24"/>
      <c r="ES622" s="24">
        <v>2019</v>
      </c>
      <c r="ET622" s="24">
        <v>3</v>
      </c>
      <c r="EU622" s="24" t="s">
        <v>33</v>
      </c>
      <c r="EV622" s="24">
        <v>73997</v>
      </c>
      <c r="FW622" s="24">
        <v>2017</v>
      </c>
      <c r="FX622" s="24">
        <v>31</v>
      </c>
      <c r="FY622" s="24" t="s">
        <v>32</v>
      </c>
      <c r="FZ622" s="24">
        <v>937</v>
      </c>
      <c r="GA622" s="24">
        <v>864</v>
      </c>
      <c r="GD622" s="24"/>
      <c r="GE622" s="24"/>
      <c r="GF622" s="24"/>
      <c r="GG622" s="24"/>
      <c r="GH622" s="24"/>
      <c r="GX622">
        <v>2017</v>
      </c>
      <c r="GY622">
        <v>31</v>
      </c>
      <c r="GZ622" t="s">
        <v>32</v>
      </c>
      <c r="HA622">
        <v>7839</v>
      </c>
      <c r="HB622">
        <v>7501</v>
      </c>
      <c r="HC622">
        <v>0</v>
      </c>
      <c r="HD622">
        <v>0</v>
      </c>
      <c r="HE622">
        <v>0</v>
      </c>
      <c r="HF622">
        <v>0</v>
      </c>
      <c r="HG622">
        <v>0</v>
      </c>
      <c r="HH622">
        <v>0</v>
      </c>
      <c r="HI622">
        <v>161</v>
      </c>
      <c r="HZ622" s="24">
        <v>2017</v>
      </c>
      <c r="IA622" s="24">
        <v>31</v>
      </c>
      <c r="IB622" s="24" t="s">
        <v>32</v>
      </c>
      <c r="IC622" s="24">
        <v>945</v>
      </c>
      <c r="ID622" s="24">
        <v>875</v>
      </c>
    </row>
    <row r="623" spans="9:238" x14ac:dyDescent="0.4">
      <c r="I623" s="305">
        <v>2017</v>
      </c>
      <c r="J623" s="306">
        <v>31</v>
      </c>
      <c r="K623" s="306" t="s">
        <v>32</v>
      </c>
      <c r="L623" s="306">
        <v>8331</v>
      </c>
      <c r="M623" s="306">
        <v>7318</v>
      </c>
      <c r="N623" s="306">
        <v>132</v>
      </c>
      <c r="O623" s="306">
        <v>539</v>
      </c>
      <c r="P623" s="306">
        <v>86</v>
      </c>
      <c r="Q623" s="306"/>
      <c r="R623" s="292"/>
      <c r="S623" s="292"/>
      <c r="T623" s="292"/>
      <c r="AO623" s="24"/>
      <c r="AP623" s="24"/>
      <c r="AQ623" s="24"/>
      <c r="AR623" s="24"/>
      <c r="DD623" s="24"/>
      <c r="DE623" s="24"/>
      <c r="DF623" s="24"/>
      <c r="DG623" s="24"/>
      <c r="DJ623" s="24">
        <v>2018</v>
      </c>
      <c r="DK623" s="24">
        <v>9</v>
      </c>
      <c r="DL623" s="24" t="s">
        <v>33</v>
      </c>
      <c r="DM623" s="24">
        <v>1293</v>
      </c>
      <c r="DP623" s="24"/>
      <c r="DQ623" s="24"/>
      <c r="DR623" s="24"/>
      <c r="DS623" s="24"/>
      <c r="EI623" s="24">
        <v>2022</v>
      </c>
      <c r="EJ623" s="24">
        <v>43</v>
      </c>
      <c r="EK623" s="24" t="s">
        <v>33</v>
      </c>
      <c r="EL623" s="24" t="s">
        <v>247</v>
      </c>
      <c r="EM623" s="24" t="s">
        <v>210</v>
      </c>
      <c r="EN623" s="24">
        <v>1</v>
      </c>
      <c r="EO623" s="24"/>
      <c r="EP623" s="24"/>
      <c r="ES623" s="24">
        <v>2019</v>
      </c>
      <c r="ET623" s="24">
        <v>2</v>
      </c>
      <c r="EU623" s="24" t="s">
        <v>32</v>
      </c>
      <c r="EV623" s="24">
        <v>2901</v>
      </c>
      <c r="FW623" s="24">
        <v>2017</v>
      </c>
      <c r="FX623" s="24">
        <v>31</v>
      </c>
      <c r="FY623" s="24" t="s">
        <v>33</v>
      </c>
      <c r="FZ623" s="24">
        <v>6988</v>
      </c>
      <c r="GA623" s="24">
        <v>6317</v>
      </c>
      <c r="GD623" s="24"/>
      <c r="GE623" s="24"/>
      <c r="GF623" s="24"/>
      <c r="GG623" s="24"/>
      <c r="GH623" s="24"/>
      <c r="GX623">
        <v>2017</v>
      </c>
      <c r="GY623">
        <v>31</v>
      </c>
      <c r="GZ623" t="s">
        <v>33</v>
      </c>
      <c r="HA623">
        <v>98982</v>
      </c>
      <c r="HB623">
        <v>97288</v>
      </c>
      <c r="HC623">
        <v>0</v>
      </c>
      <c r="HD623">
        <v>34</v>
      </c>
      <c r="HE623">
        <v>0</v>
      </c>
      <c r="HF623">
        <v>148</v>
      </c>
      <c r="HG623">
        <v>0</v>
      </c>
      <c r="HH623">
        <v>0</v>
      </c>
      <c r="HI623">
        <v>558</v>
      </c>
      <c r="HZ623" s="24">
        <v>2017</v>
      </c>
      <c r="IA623" s="24">
        <v>31</v>
      </c>
      <c r="IB623" s="24" t="s">
        <v>33</v>
      </c>
      <c r="IC623" s="24">
        <v>7055</v>
      </c>
      <c r="ID623" s="24">
        <v>6402</v>
      </c>
    </row>
    <row r="624" spans="9:238" x14ac:dyDescent="0.4">
      <c r="I624" s="305">
        <v>2017</v>
      </c>
      <c r="J624" s="306">
        <v>31</v>
      </c>
      <c r="K624" s="306" t="s">
        <v>33</v>
      </c>
      <c r="L624" s="306">
        <v>99112</v>
      </c>
      <c r="M624" s="306">
        <v>94945</v>
      </c>
      <c r="N624" s="306">
        <v>232</v>
      </c>
      <c r="O624" s="306">
        <v>2090</v>
      </c>
      <c r="P624" s="306">
        <v>612</v>
      </c>
      <c r="Q624" s="306">
        <v>5</v>
      </c>
      <c r="R624" s="292"/>
      <c r="S624" s="292"/>
      <c r="T624" s="292"/>
      <c r="AO624" s="24"/>
      <c r="AP624" s="24"/>
      <c r="AQ624" s="24"/>
      <c r="AR624" s="24"/>
      <c r="DD624" s="24"/>
      <c r="DE624" s="24"/>
      <c r="DF624" s="24"/>
      <c r="DG624" s="24"/>
      <c r="DJ624" s="24">
        <v>2018</v>
      </c>
      <c r="DK624" s="24">
        <v>8</v>
      </c>
      <c r="DL624" s="24" t="s">
        <v>32</v>
      </c>
      <c r="DM624" s="24">
        <v>1097</v>
      </c>
      <c r="DP624" s="24"/>
      <c r="DQ624" s="24"/>
      <c r="DR624" s="24"/>
      <c r="DS624" s="24"/>
      <c r="EI624" s="24">
        <v>2022</v>
      </c>
      <c r="EJ624" s="24">
        <v>43</v>
      </c>
      <c r="EK624" s="24" t="s">
        <v>33</v>
      </c>
      <c r="EL624" s="24" t="s">
        <v>247</v>
      </c>
      <c r="EM624" s="24" t="s">
        <v>215</v>
      </c>
      <c r="EN624" s="24">
        <v>1</v>
      </c>
      <c r="EO624" s="24"/>
      <c r="EP624" s="24"/>
      <c r="ES624" s="24">
        <v>2019</v>
      </c>
      <c r="ET624" s="24">
        <v>2</v>
      </c>
      <c r="EU624" s="24" t="s">
        <v>33</v>
      </c>
      <c r="EV624" s="24">
        <v>81868</v>
      </c>
      <c r="FW624" s="24">
        <v>2017</v>
      </c>
      <c r="FX624" s="24">
        <v>30</v>
      </c>
      <c r="FY624" s="24" t="s">
        <v>32</v>
      </c>
      <c r="FZ624" s="24">
        <v>763</v>
      </c>
      <c r="GA624" s="24">
        <v>653</v>
      </c>
      <c r="GD624" s="24"/>
      <c r="GE624" s="24"/>
      <c r="GF624" s="24"/>
      <c r="GG624" s="24"/>
      <c r="GH624" s="24"/>
      <c r="GX624">
        <v>2017</v>
      </c>
      <c r="GY624">
        <v>30</v>
      </c>
      <c r="GZ624" t="s">
        <v>32</v>
      </c>
      <c r="HA624">
        <v>6168</v>
      </c>
      <c r="HB624">
        <v>5866</v>
      </c>
      <c r="HC624">
        <v>0</v>
      </c>
      <c r="HD624">
        <v>1</v>
      </c>
      <c r="HE624">
        <v>0</v>
      </c>
      <c r="HF624">
        <v>0</v>
      </c>
      <c r="HG624">
        <v>0</v>
      </c>
      <c r="HH624">
        <v>0</v>
      </c>
      <c r="HI624">
        <v>117</v>
      </c>
      <c r="HZ624" s="24">
        <v>2017</v>
      </c>
      <c r="IA624" s="24">
        <v>30</v>
      </c>
      <c r="IB624" s="24" t="s">
        <v>32</v>
      </c>
      <c r="IC624" s="24">
        <v>777</v>
      </c>
      <c r="ID624" s="24">
        <v>684</v>
      </c>
    </row>
    <row r="625" spans="9:238" x14ac:dyDescent="0.4">
      <c r="I625" s="305">
        <v>2017</v>
      </c>
      <c r="J625" s="306">
        <v>30</v>
      </c>
      <c r="K625" s="306" t="s">
        <v>32</v>
      </c>
      <c r="L625" s="306">
        <v>5495</v>
      </c>
      <c r="M625" s="306">
        <v>4605</v>
      </c>
      <c r="N625" s="306">
        <v>35</v>
      </c>
      <c r="O625" s="306">
        <v>491</v>
      </c>
      <c r="P625" s="306">
        <v>38</v>
      </c>
      <c r="Q625" s="306"/>
      <c r="R625" s="292"/>
      <c r="S625" s="292"/>
      <c r="T625" s="292"/>
      <c r="AO625" s="24"/>
      <c r="AP625" s="24"/>
      <c r="AQ625" s="24"/>
      <c r="AR625" s="24"/>
      <c r="DD625" s="24"/>
      <c r="DE625" s="24"/>
      <c r="DF625" s="24"/>
      <c r="DG625" s="24"/>
      <c r="DJ625" s="24">
        <v>2018</v>
      </c>
      <c r="DK625" s="24">
        <v>8</v>
      </c>
      <c r="DL625" s="24" t="s">
        <v>33</v>
      </c>
      <c r="DM625" s="24">
        <v>1852</v>
      </c>
      <c r="DP625" s="24"/>
      <c r="DQ625" s="24"/>
      <c r="DR625" s="24"/>
      <c r="DS625" s="24"/>
      <c r="EI625" s="24">
        <v>2022</v>
      </c>
      <c r="EJ625" s="24">
        <v>43</v>
      </c>
      <c r="EK625" s="24" t="s">
        <v>237</v>
      </c>
      <c r="EL625" s="24" t="s">
        <v>555</v>
      </c>
      <c r="EM625" s="24" t="s">
        <v>210</v>
      </c>
      <c r="EN625" s="24">
        <v>3</v>
      </c>
      <c r="EO625" s="24"/>
      <c r="EP625" s="24"/>
      <c r="ES625" s="24">
        <v>2019</v>
      </c>
      <c r="ET625" s="24">
        <v>1</v>
      </c>
      <c r="EU625" s="24" t="s">
        <v>32</v>
      </c>
      <c r="EV625" s="24">
        <v>3007</v>
      </c>
      <c r="FW625" s="24">
        <v>2017</v>
      </c>
      <c r="FX625" s="24">
        <v>30</v>
      </c>
      <c r="FY625" s="24" t="s">
        <v>33</v>
      </c>
      <c r="FZ625" s="24">
        <v>6836</v>
      </c>
      <c r="GA625" s="24">
        <v>5992</v>
      </c>
      <c r="GD625" s="24"/>
      <c r="GE625" s="24"/>
      <c r="GF625" s="24"/>
      <c r="GG625" s="24"/>
      <c r="GH625" s="24"/>
      <c r="GX625">
        <v>2017</v>
      </c>
      <c r="GY625">
        <v>30</v>
      </c>
      <c r="GZ625" t="s">
        <v>33</v>
      </c>
      <c r="HA625">
        <v>105954</v>
      </c>
      <c r="HB625">
        <v>103798</v>
      </c>
      <c r="HC625">
        <v>0</v>
      </c>
      <c r="HD625">
        <v>20</v>
      </c>
      <c r="HE625">
        <v>0</v>
      </c>
      <c r="HF625">
        <v>365</v>
      </c>
      <c r="HG625">
        <v>0</v>
      </c>
      <c r="HH625">
        <v>0</v>
      </c>
      <c r="HI625">
        <v>460</v>
      </c>
      <c r="HZ625" s="24">
        <v>2017</v>
      </c>
      <c r="IA625" s="24">
        <v>30</v>
      </c>
      <c r="IB625" s="24" t="s">
        <v>33</v>
      </c>
      <c r="IC625" s="24">
        <v>6909</v>
      </c>
      <c r="ID625" s="24">
        <v>6109</v>
      </c>
    </row>
    <row r="626" spans="9:238" x14ac:dyDescent="0.4">
      <c r="I626" s="305">
        <v>2017</v>
      </c>
      <c r="J626" s="306">
        <v>30</v>
      </c>
      <c r="K626" s="306" t="s">
        <v>33</v>
      </c>
      <c r="L626" s="306">
        <v>107006</v>
      </c>
      <c r="M626" s="306">
        <v>102263</v>
      </c>
      <c r="N626" s="306">
        <v>189</v>
      </c>
      <c r="O626" s="306">
        <v>2485</v>
      </c>
      <c r="P626" s="306">
        <v>574</v>
      </c>
      <c r="Q626" s="306">
        <v>5</v>
      </c>
      <c r="R626" s="292"/>
      <c r="S626" s="292"/>
      <c r="T626" s="292"/>
      <c r="AO626" s="24"/>
      <c r="AP626" s="24"/>
      <c r="AQ626" s="24"/>
      <c r="AR626" s="24"/>
      <c r="DD626" s="24"/>
      <c r="DE626" s="24"/>
      <c r="DF626" s="24"/>
      <c r="DG626" s="24"/>
      <c r="DJ626" s="24">
        <v>2018</v>
      </c>
      <c r="DK626" s="24">
        <v>7</v>
      </c>
      <c r="DL626" s="24" t="s">
        <v>32</v>
      </c>
      <c r="DM626" s="24">
        <v>518</v>
      </c>
      <c r="DP626" s="24"/>
      <c r="DQ626" s="24"/>
      <c r="DR626" s="24"/>
      <c r="DS626" s="24"/>
      <c r="EI626" s="24">
        <v>2022</v>
      </c>
      <c r="EJ626" s="24">
        <v>43</v>
      </c>
      <c r="EK626" s="24" t="s">
        <v>237</v>
      </c>
      <c r="EL626" s="24" t="s">
        <v>557</v>
      </c>
      <c r="EM626" s="24" t="s">
        <v>215</v>
      </c>
      <c r="EN626" s="24">
        <v>7</v>
      </c>
      <c r="EO626" s="24"/>
      <c r="EP626" s="24"/>
      <c r="ES626" s="24">
        <v>2019</v>
      </c>
      <c r="ET626" s="24">
        <v>1</v>
      </c>
      <c r="EU626" s="24" t="s">
        <v>33</v>
      </c>
      <c r="EV626" s="24">
        <v>90297</v>
      </c>
      <c r="FW626" s="24">
        <v>2017</v>
      </c>
      <c r="FX626" s="24">
        <v>29</v>
      </c>
      <c r="FY626" s="24" t="s">
        <v>32</v>
      </c>
      <c r="FZ626" s="24">
        <v>597</v>
      </c>
      <c r="GA626" s="24">
        <v>543</v>
      </c>
      <c r="GD626" s="24"/>
      <c r="GE626" s="24"/>
      <c r="GF626" s="24"/>
      <c r="GG626" s="24"/>
      <c r="GH626" s="24"/>
      <c r="GX626">
        <v>2017</v>
      </c>
      <c r="GY626">
        <v>29</v>
      </c>
      <c r="GZ626" t="s">
        <v>32</v>
      </c>
      <c r="HA626">
        <v>4413</v>
      </c>
      <c r="HB626">
        <v>4255</v>
      </c>
      <c r="HC626">
        <v>0</v>
      </c>
      <c r="HD626">
        <v>0</v>
      </c>
      <c r="HE626">
        <v>0</v>
      </c>
      <c r="HF626">
        <v>0</v>
      </c>
      <c r="HG626">
        <v>0</v>
      </c>
      <c r="HH626">
        <v>0</v>
      </c>
      <c r="HI626">
        <v>23</v>
      </c>
      <c r="HZ626" s="24">
        <v>2017</v>
      </c>
      <c r="IA626" s="24">
        <v>29</v>
      </c>
      <c r="IB626" s="24" t="s">
        <v>32</v>
      </c>
      <c r="IC626" s="24">
        <v>592</v>
      </c>
      <c r="ID626" s="24">
        <v>542</v>
      </c>
    </row>
    <row r="627" spans="9:238" x14ac:dyDescent="0.4">
      <c r="I627" s="305">
        <v>2017</v>
      </c>
      <c r="J627" s="306">
        <v>29</v>
      </c>
      <c r="K627" s="306" t="s">
        <v>32</v>
      </c>
      <c r="L627" s="306">
        <v>4456</v>
      </c>
      <c r="M627" s="306">
        <v>3804</v>
      </c>
      <c r="N627" s="306">
        <v>17</v>
      </c>
      <c r="O627" s="306">
        <v>327</v>
      </c>
      <c r="P627" s="306">
        <v>25</v>
      </c>
      <c r="Q627" s="306">
        <v>9</v>
      </c>
      <c r="R627" s="292"/>
      <c r="S627" s="292"/>
      <c r="T627" s="292"/>
      <c r="AO627" s="24"/>
      <c r="AP627" s="24"/>
      <c r="AQ627" s="24"/>
      <c r="AR627" s="24"/>
      <c r="DD627" s="24"/>
      <c r="DE627" s="24"/>
      <c r="DF627" s="24"/>
      <c r="DG627" s="24"/>
      <c r="DJ627" s="24">
        <v>2018</v>
      </c>
      <c r="DK627" s="24">
        <v>7</v>
      </c>
      <c r="DL627" s="24" t="s">
        <v>33</v>
      </c>
      <c r="DM627" s="24">
        <v>975</v>
      </c>
      <c r="DP627" s="24"/>
      <c r="DQ627" s="24"/>
      <c r="DR627" s="24"/>
      <c r="DS627" s="24"/>
      <c r="EI627" s="24">
        <v>2022</v>
      </c>
      <c r="EJ627" s="24">
        <v>43</v>
      </c>
      <c r="EK627" s="24" t="s">
        <v>237</v>
      </c>
      <c r="EL627" s="24" t="s">
        <v>233</v>
      </c>
      <c r="EM627" s="24" t="s">
        <v>234</v>
      </c>
      <c r="EN627" s="24">
        <v>1</v>
      </c>
      <c r="EO627" s="24"/>
      <c r="EP627" s="24"/>
      <c r="ES627" s="24">
        <v>2018</v>
      </c>
      <c r="ET627" s="24">
        <v>52</v>
      </c>
      <c r="EU627" s="24" t="s">
        <v>32</v>
      </c>
      <c r="EV627" s="24">
        <v>1625</v>
      </c>
      <c r="FW627" s="24">
        <v>2017</v>
      </c>
      <c r="FX627" s="24">
        <v>29</v>
      </c>
      <c r="FY627" s="24" t="s">
        <v>33</v>
      </c>
      <c r="FZ627" s="24">
        <v>7967</v>
      </c>
      <c r="GA627" s="24">
        <v>6844</v>
      </c>
      <c r="GD627" s="24"/>
      <c r="GE627" s="24"/>
      <c r="GF627" s="24"/>
      <c r="GG627" s="24"/>
      <c r="GH627" s="24"/>
      <c r="GX627">
        <v>2017</v>
      </c>
      <c r="GY627">
        <v>29</v>
      </c>
      <c r="GZ627" t="s">
        <v>33</v>
      </c>
      <c r="HA627">
        <v>121813</v>
      </c>
      <c r="HB627">
        <v>118313</v>
      </c>
      <c r="HC627">
        <v>0</v>
      </c>
      <c r="HD627">
        <v>47</v>
      </c>
      <c r="HE627">
        <v>0</v>
      </c>
      <c r="HF627">
        <v>739</v>
      </c>
      <c r="HG627">
        <v>0</v>
      </c>
      <c r="HH627">
        <v>0</v>
      </c>
      <c r="HI627">
        <v>952</v>
      </c>
      <c r="HZ627" s="24">
        <v>2017</v>
      </c>
      <c r="IA627" s="24">
        <v>29</v>
      </c>
      <c r="IB627" s="24" t="s">
        <v>33</v>
      </c>
      <c r="IC627" s="24">
        <v>7954</v>
      </c>
      <c r="ID627" s="24">
        <v>6842</v>
      </c>
    </row>
    <row r="628" spans="9:238" x14ac:dyDescent="0.4">
      <c r="I628" s="305">
        <v>2017</v>
      </c>
      <c r="J628" s="306">
        <v>29</v>
      </c>
      <c r="K628" s="306" t="s">
        <v>33</v>
      </c>
      <c r="L628" s="306">
        <v>121835</v>
      </c>
      <c r="M628" s="306">
        <v>115603</v>
      </c>
      <c r="N628" s="306">
        <v>225</v>
      </c>
      <c r="O628" s="306">
        <v>3268</v>
      </c>
      <c r="P628" s="306">
        <v>643</v>
      </c>
      <c r="Q628" s="306"/>
      <c r="R628" s="292"/>
      <c r="S628" s="292"/>
      <c r="T628" s="292"/>
      <c r="AO628" s="24"/>
      <c r="AP628" s="24"/>
      <c r="AQ628" s="24"/>
      <c r="AR628" s="24"/>
      <c r="DD628" s="24"/>
      <c r="DE628" s="24"/>
      <c r="DF628" s="24"/>
      <c r="DG628" s="24"/>
      <c r="DJ628" s="24">
        <v>2018</v>
      </c>
      <c r="DK628" s="24">
        <v>6</v>
      </c>
      <c r="DL628" s="24" t="s">
        <v>32</v>
      </c>
      <c r="DM628" s="24">
        <v>524</v>
      </c>
      <c r="DP628" s="24"/>
      <c r="DQ628" s="24"/>
      <c r="DR628" s="24"/>
      <c r="DS628" s="24"/>
      <c r="EI628" s="24">
        <v>2022</v>
      </c>
      <c r="EJ628" s="24">
        <v>43</v>
      </c>
      <c r="EK628" s="24" t="s">
        <v>237</v>
      </c>
      <c r="EL628" s="24" t="s">
        <v>233</v>
      </c>
      <c r="EM628" s="24" t="s">
        <v>215</v>
      </c>
      <c r="EN628" s="24">
        <v>3</v>
      </c>
      <c r="EO628" s="24"/>
      <c r="EP628" s="24"/>
      <c r="ES628" s="24">
        <v>2018</v>
      </c>
      <c r="ET628" s="24">
        <v>52</v>
      </c>
      <c r="EU628" s="24" t="s">
        <v>33</v>
      </c>
      <c r="EV628" s="24">
        <v>44331</v>
      </c>
      <c r="FW628" s="24">
        <v>2017</v>
      </c>
      <c r="FX628" s="24">
        <v>28</v>
      </c>
      <c r="FY628" s="24" t="s">
        <v>32</v>
      </c>
      <c r="FZ628" s="24">
        <v>589</v>
      </c>
      <c r="GA628" s="24">
        <v>563</v>
      </c>
      <c r="GD628" s="24"/>
      <c r="GE628" s="24"/>
      <c r="GF628" s="24"/>
      <c r="GG628" s="24"/>
      <c r="GH628" s="24"/>
      <c r="GX628">
        <v>2017</v>
      </c>
      <c r="GY628">
        <v>28</v>
      </c>
      <c r="GZ628" t="s">
        <v>32</v>
      </c>
      <c r="HA628">
        <v>5520</v>
      </c>
      <c r="HB628">
        <v>5376</v>
      </c>
      <c r="HC628">
        <v>0</v>
      </c>
      <c r="HD628">
        <v>1</v>
      </c>
      <c r="HE628">
        <v>0</v>
      </c>
      <c r="HF628">
        <v>0</v>
      </c>
      <c r="HG628">
        <v>0</v>
      </c>
      <c r="HH628">
        <v>0</v>
      </c>
      <c r="HI628">
        <v>36</v>
      </c>
      <c r="HZ628" s="24">
        <v>2017</v>
      </c>
      <c r="IA628" s="24">
        <v>28</v>
      </c>
      <c r="IB628" s="24" t="s">
        <v>32</v>
      </c>
      <c r="IC628" s="24">
        <v>558</v>
      </c>
      <c r="ID628" s="24">
        <v>543</v>
      </c>
    </row>
    <row r="629" spans="9:238" x14ac:dyDescent="0.4">
      <c r="I629" s="305">
        <v>2017</v>
      </c>
      <c r="J629" s="306">
        <v>28</v>
      </c>
      <c r="K629" s="306" t="s">
        <v>32</v>
      </c>
      <c r="L629" s="306">
        <v>5537</v>
      </c>
      <c r="M629" s="306">
        <v>4720</v>
      </c>
      <c r="N629" s="306">
        <v>38</v>
      </c>
      <c r="O629" s="306">
        <v>413</v>
      </c>
      <c r="P629" s="306">
        <v>18</v>
      </c>
      <c r="Q629" s="306"/>
      <c r="R629" s="292"/>
      <c r="S629" s="292"/>
      <c r="T629" s="292"/>
      <c r="AO629" s="24"/>
      <c r="AP629" s="24"/>
      <c r="AQ629" s="24"/>
      <c r="AR629" s="24"/>
      <c r="DD629" s="24"/>
      <c r="DE629" s="24"/>
      <c r="DF629" s="24"/>
      <c r="DG629" s="24"/>
      <c r="DJ629" s="24">
        <v>2018</v>
      </c>
      <c r="DK629" s="24">
        <v>6</v>
      </c>
      <c r="DL629" s="24" t="s">
        <v>33</v>
      </c>
      <c r="DM629" s="24">
        <v>1460</v>
      </c>
      <c r="DP629" s="24"/>
      <c r="DQ629" s="24"/>
      <c r="DR629" s="24"/>
      <c r="DS629" s="24"/>
      <c r="EI629" s="24">
        <v>2022</v>
      </c>
      <c r="EJ629" s="24">
        <v>43</v>
      </c>
      <c r="EK629" s="24" t="s">
        <v>237</v>
      </c>
      <c r="EL629" s="24" t="s">
        <v>235</v>
      </c>
      <c r="EM629" s="24" t="s">
        <v>210</v>
      </c>
      <c r="EN629" s="24">
        <v>1</v>
      </c>
      <c r="EO629" s="24"/>
      <c r="EP629" s="24"/>
      <c r="ES629" s="24">
        <v>2018</v>
      </c>
      <c r="ET629" s="24">
        <v>51</v>
      </c>
      <c r="EU629" s="24" t="s">
        <v>32</v>
      </c>
      <c r="EV629" s="24">
        <v>2127</v>
      </c>
      <c r="FW629" s="24">
        <v>2017</v>
      </c>
      <c r="FX629" s="24">
        <v>28</v>
      </c>
      <c r="FY629" s="24" t="s">
        <v>33</v>
      </c>
      <c r="FZ629" s="24">
        <v>7025</v>
      </c>
      <c r="GA629" s="24">
        <v>6255</v>
      </c>
      <c r="GD629" s="24"/>
      <c r="GE629" s="24"/>
      <c r="GF629" s="24"/>
      <c r="GG629" s="24"/>
      <c r="GH629" s="24"/>
      <c r="GX629">
        <v>2017</v>
      </c>
      <c r="GY629">
        <v>28</v>
      </c>
      <c r="GZ629" t="s">
        <v>33</v>
      </c>
      <c r="HA629">
        <v>107238</v>
      </c>
      <c r="HB629">
        <v>105332</v>
      </c>
      <c r="HC629">
        <v>0</v>
      </c>
      <c r="HD629">
        <v>72</v>
      </c>
      <c r="HE629">
        <v>0</v>
      </c>
      <c r="HF629">
        <v>207</v>
      </c>
      <c r="HG629">
        <v>0</v>
      </c>
      <c r="HH629">
        <v>0</v>
      </c>
      <c r="HI629">
        <v>501</v>
      </c>
      <c r="HZ629" s="24">
        <v>2017</v>
      </c>
      <c r="IA629" s="24">
        <v>28</v>
      </c>
      <c r="IB629" s="24" t="s">
        <v>33</v>
      </c>
      <c r="IC629" s="24">
        <v>6930</v>
      </c>
      <c r="ID629" s="24">
        <v>6280</v>
      </c>
    </row>
    <row r="630" spans="9:238" x14ac:dyDescent="0.4">
      <c r="I630" s="305">
        <v>2017</v>
      </c>
      <c r="J630" s="306">
        <v>28</v>
      </c>
      <c r="K630" s="306" t="s">
        <v>33</v>
      </c>
      <c r="L630" s="306">
        <v>106898</v>
      </c>
      <c r="M630" s="306">
        <v>102110</v>
      </c>
      <c r="N630" s="306">
        <v>229</v>
      </c>
      <c r="O630" s="306">
        <v>2515</v>
      </c>
      <c r="P630" s="306">
        <v>393</v>
      </c>
      <c r="Q630" s="306"/>
      <c r="R630" s="292"/>
      <c r="S630" s="292"/>
      <c r="T630" s="292"/>
      <c r="AO630" s="24"/>
      <c r="AP630" s="24"/>
      <c r="AQ630" s="24"/>
      <c r="AR630" s="24"/>
      <c r="DD630" s="24"/>
      <c r="DE630" s="24"/>
      <c r="DF630" s="24"/>
      <c r="DG630" s="24"/>
      <c r="DJ630" s="24">
        <v>2018</v>
      </c>
      <c r="DK630" s="24">
        <v>3</v>
      </c>
      <c r="DL630" s="24" t="s">
        <v>32</v>
      </c>
      <c r="DM630" s="24">
        <v>34</v>
      </c>
      <c r="DP630" s="24"/>
      <c r="DQ630" s="24"/>
      <c r="DR630" s="24"/>
      <c r="DS630" s="24"/>
      <c r="EI630" s="24">
        <v>2022</v>
      </c>
      <c r="EJ630" s="24">
        <v>43</v>
      </c>
      <c r="EK630" s="24" t="s">
        <v>237</v>
      </c>
      <c r="EL630" s="24" t="s">
        <v>235</v>
      </c>
      <c r="EM630" s="24" t="s">
        <v>215</v>
      </c>
      <c r="EN630" s="24">
        <v>2</v>
      </c>
      <c r="EO630" s="24"/>
      <c r="EP630" s="24"/>
      <c r="ES630" s="24">
        <v>2018</v>
      </c>
      <c r="ET630" s="24">
        <v>51</v>
      </c>
      <c r="EU630" s="24" t="s">
        <v>33</v>
      </c>
      <c r="EV630" s="24">
        <v>56222</v>
      </c>
      <c r="FW630" s="24">
        <v>2017</v>
      </c>
      <c r="FX630" s="24">
        <v>27</v>
      </c>
      <c r="FY630" s="24" t="s">
        <v>32</v>
      </c>
      <c r="FZ630" s="24">
        <v>697</v>
      </c>
      <c r="GA630" s="24">
        <v>673</v>
      </c>
      <c r="GD630" s="24"/>
      <c r="GE630" s="24"/>
      <c r="GF630" s="24"/>
      <c r="GG630" s="24"/>
      <c r="GH630" s="24"/>
      <c r="GX630">
        <v>2017</v>
      </c>
      <c r="GY630">
        <v>27</v>
      </c>
      <c r="GZ630" t="s">
        <v>32</v>
      </c>
      <c r="HA630">
        <v>6588</v>
      </c>
      <c r="HB630">
        <v>6385</v>
      </c>
      <c r="HC630">
        <v>0</v>
      </c>
      <c r="HD630">
        <v>0</v>
      </c>
      <c r="HE630">
        <v>0</v>
      </c>
      <c r="HF630">
        <v>0</v>
      </c>
      <c r="HG630">
        <v>0</v>
      </c>
      <c r="HH630">
        <v>0</v>
      </c>
      <c r="HI630">
        <v>42</v>
      </c>
      <c r="HZ630" s="24">
        <v>2017</v>
      </c>
      <c r="IA630" s="24">
        <v>27</v>
      </c>
      <c r="IB630" s="24" t="s">
        <v>32</v>
      </c>
      <c r="IC630" s="24">
        <v>713</v>
      </c>
      <c r="ID630" s="24">
        <v>700</v>
      </c>
    </row>
    <row r="631" spans="9:238" x14ac:dyDescent="0.4">
      <c r="I631" s="305">
        <v>2017</v>
      </c>
      <c r="J631" s="306">
        <v>27</v>
      </c>
      <c r="K631" s="306" t="s">
        <v>32</v>
      </c>
      <c r="L631" s="306">
        <v>6656</v>
      </c>
      <c r="M631" s="306">
        <v>6111</v>
      </c>
      <c r="N631" s="306">
        <v>26</v>
      </c>
      <c r="O631" s="306">
        <v>307</v>
      </c>
      <c r="P631" s="306">
        <v>9</v>
      </c>
      <c r="Q631" s="306"/>
      <c r="R631" s="292"/>
      <c r="S631" s="292"/>
      <c r="T631" s="292"/>
      <c r="AO631" s="24"/>
      <c r="AP631" s="24"/>
      <c r="AQ631" s="24"/>
      <c r="AR631" s="24"/>
      <c r="DD631" s="24"/>
      <c r="DE631" s="24"/>
      <c r="DF631" s="24"/>
      <c r="DG631" s="24"/>
      <c r="DJ631" s="24">
        <v>2018</v>
      </c>
      <c r="DK631" s="24">
        <v>3</v>
      </c>
      <c r="DL631" s="24" t="s">
        <v>33</v>
      </c>
      <c r="DM631" s="24">
        <v>148</v>
      </c>
      <c r="DP631" s="24"/>
      <c r="DQ631" s="24"/>
      <c r="DR631" s="24"/>
      <c r="DS631" s="24"/>
      <c r="EI631" s="24">
        <v>2022</v>
      </c>
      <c r="EJ631" s="24">
        <v>43</v>
      </c>
      <c r="EK631" s="24" t="s">
        <v>211</v>
      </c>
      <c r="EL631" s="24" t="s">
        <v>212</v>
      </c>
      <c r="EM631" s="24" t="s">
        <v>210</v>
      </c>
      <c r="EN631" s="24">
        <v>9</v>
      </c>
      <c r="EO631" s="24"/>
      <c r="EP631" s="24"/>
      <c r="ES631" s="24">
        <v>2018</v>
      </c>
      <c r="ET631" s="24">
        <v>50</v>
      </c>
      <c r="EU631" s="24" t="s">
        <v>32</v>
      </c>
      <c r="EV631" s="24">
        <v>2941</v>
      </c>
      <c r="FW631" s="24">
        <v>2017</v>
      </c>
      <c r="FX631" s="24">
        <v>27</v>
      </c>
      <c r="FY631" s="24" t="s">
        <v>33</v>
      </c>
      <c r="FZ631" s="24">
        <v>6769</v>
      </c>
      <c r="GA631" s="24">
        <v>6064</v>
      </c>
      <c r="GD631" s="24"/>
      <c r="GE631" s="24"/>
      <c r="GF631" s="24"/>
      <c r="GG631" s="24"/>
      <c r="GH631" s="24"/>
      <c r="GX631">
        <v>2017</v>
      </c>
      <c r="GY631">
        <v>27</v>
      </c>
      <c r="GZ631" t="s">
        <v>33</v>
      </c>
      <c r="HA631">
        <v>109684</v>
      </c>
      <c r="HB631">
        <v>107704</v>
      </c>
      <c r="HC631">
        <v>0</v>
      </c>
      <c r="HD631">
        <v>26</v>
      </c>
      <c r="HE631">
        <v>0</v>
      </c>
      <c r="HF631">
        <v>319</v>
      </c>
      <c r="HG631">
        <v>0</v>
      </c>
      <c r="HH631">
        <v>0</v>
      </c>
      <c r="HI631">
        <v>536</v>
      </c>
      <c r="HZ631" s="24">
        <v>2017</v>
      </c>
      <c r="IA631" s="24">
        <v>27</v>
      </c>
      <c r="IB631" s="24" t="s">
        <v>33</v>
      </c>
      <c r="IC631" s="24">
        <v>6830</v>
      </c>
      <c r="ID631" s="24">
        <v>6000</v>
      </c>
    </row>
    <row r="632" spans="9:238" x14ac:dyDescent="0.4">
      <c r="I632" s="305">
        <v>2017</v>
      </c>
      <c r="J632" s="306">
        <v>27</v>
      </c>
      <c r="K632" s="306" t="s">
        <v>33</v>
      </c>
      <c r="L632" s="306">
        <v>109177</v>
      </c>
      <c r="M632" s="306">
        <v>104999</v>
      </c>
      <c r="N632" s="306">
        <v>156</v>
      </c>
      <c r="O632" s="306">
        <v>2103</v>
      </c>
      <c r="P632" s="306">
        <v>496</v>
      </c>
      <c r="Q632" s="306"/>
      <c r="R632" s="292"/>
      <c r="S632" s="292"/>
      <c r="T632" s="292"/>
      <c r="AO632" s="24"/>
      <c r="AP632" s="24"/>
      <c r="AQ632" s="24"/>
      <c r="AR632" s="24"/>
      <c r="DD632" s="24"/>
      <c r="DE632" s="24"/>
      <c r="DF632" s="24"/>
      <c r="DG632" s="24"/>
      <c r="DJ632" s="24">
        <v>2018</v>
      </c>
      <c r="DK632" s="24">
        <v>2</v>
      </c>
      <c r="DL632" s="24" t="s">
        <v>32</v>
      </c>
      <c r="DM632" s="24">
        <v>167</v>
      </c>
      <c r="DP632" s="24"/>
      <c r="DQ632" s="24"/>
      <c r="DR632" s="24"/>
      <c r="DS632" s="24"/>
      <c r="EI632" s="24">
        <v>2022</v>
      </c>
      <c r="EJ632" s="24">
        <v>43</v>
      </c>
      <c r="EK632" s="24" t="s">
        <v>211</v>
      </c>
      <c r="EL632" s="24" t="s">
        <v>212</v>
      </c>
      <c r="EM632" s="24" t="s">
        <v>234</v>
      </c>
      <c r="EN632" s="24">
        <v>17</v>
      </c>
      <c r="EO632" s="24"/>
      <c r="EP632" s="24"/>
      <c r="ES632" s="24">
        <v>2018</v>
      </c>
      <c r="ET632" s="24">
        <v>50</v>
      </c>
      <c r="EU632" s="24" t="s">
        <v>33</v>
      </c>
      <c r="EV632" s="24">
        <v>82870</v>
      </c>
      <c r="FW632" s="24">
        <v>2017</v>
      </c>
      <c r="FX632" s="24">
        <v>26</v>
      </c>
      <c r="FY632" s="24" t="s">
        <v>32</v>
      </c>
      <c r="FZ632" s="24">
        <v>613</v>
      </c>
      <c r="GA632" s="24">
        <v>582</v>
      </c>
      <c r="GD632" s="24"/>
      <c r="GE632" s="24"/>
      <c r="GF632" s="24"/>
      <c r="GG632" s="24"/>
      <c r="GH632" s="24"/>
      <c r="GX632">
        <v>2017</v>
      </c>
      <c r="GY632">
        <v>26</v>
      </c>
      <c r="GZ632" t="s">
        <v>32</v>
      </c>
      <c r="HA632">
        <v>5055</v>
      </c>
      <c r="HB632">
        <v>4902</v>
      </c>
      <c r="HC632">
        <v>0</v>
      </c>
      <c r="HD632">
        <v>0</v>
      </c>
      <c r="HE632">
        <v>0</v>
      </c>
      <c r="HF632">
        <v>0</v>
      </c>
      <c r="HG632">
        <v>0</v>
      </c>
      <c r="HH632">
        <v>0</v>
      </c>
      <c r="HI632">
        <v>41</v>
      </c>
      <c r="HZ632" s="24">
        <v>2017</v>
      </c>
      <c r="IA632" s="24">
        <v>26</v>
      </c>
      <c r="IB632" s="24" t="s">
        <v>32</v>
      </c>
      <c r="IC632" s="24">
        <v>634</v>
      </c>
      <c r="ID632" s="24">
        <v>615</v>
      </c>
    </row>
    <row r="633" spans="9:238" x14ac:dyDescent="0.4">
      <c r="I633" s="305">
        <v>2017</v>
      </c>
      <c r="J633" s="306">
        <v>26</v>
      </c>
      <c r="K633" s="306" t="s">
        <v>32</v>
      </c>
      <c r="L633" s="306">
        <v>4980</v>
      </c>
      <c r="M633" s="306">
        <v>4196</v>
      </c>
      <c r="N633" s="306">
        <v>53</v>
      </c>
      <c r="O633" s="306">
        <v>370</v>
      </c>
      <c r="P633" s="306">
        <v>14</v>
      </c>
      <c r="Q633" s="306"/>
      <c r="R633" s="292"/>
      <c r="S633" s="292"/>
      <c r="T633" s="292"/>
      <c r="AO633" s="24"/>
      <c r="AP633" s="24"/>
      <c r="AQ633" s="24"/>
      <c r="AR633" s="24"/>
      <c r="DD633" s="24"/>
      <c r="DE633" s="24"/>
      <c r="DF633" s="24"/>
      <c r="DG633" s="24"/>
      <c r="DJ633" s="24">
        <v>2018</v>
      </c>
      <c r="DK633" s="24">
        <v>2</v>
      </c>
      <c r="DL633" s="24" t="s">
        <v>33</v>
      </c>
      <c r="DM633" s="24">
        <v>445</v>
      </c>
      <c r="DP633" s="24"/>
      <c r="DQ633" s="24"/>
      <c r="DR633" s="24"/>
      <c r="DS633" s="24"/>
      <c r="EI633" s="24">
        <v>2022</v>
      </c>
      <c r="EJ633" s="24">
        <v>43</v>
      </c>
      <c r="EK633" s="24" t="s">
        <v>211</v>
      </c>
      <c r="EL633" s="24" t="s">
        <v>247</v>
      </c>
      <c r="EM633" s="24" t="s">
        <v>210</v>
      </c>
      <c r="EN633" s="24">
        <v>10</v>
      </c>
      <c r="EO633" s="24"/>
      <c r="EP633" s="24"/>
      <c r="ES633" s="24">
        <v>2018</v>
      </c>
      <c r="ET633" s="24">
        <v>49</v>
      </c>
      <c r="EU633" s="24" t="s">
        <v>32</v>
      </c>
      <c r="EV633" s="24">
        <v>3580</v>
      </c>
      <c r="FW633" s="24">
        <v>2017</v>
      </c>
      <c r="FX633" s="24">
        <v>26</v>
      </c>
      <c r="FY633" s="24" t="s">
        <v>33</v>
      </c>
      <c r="FZ633" s="24">
        <v>6679</v>
      </c>
      <c r="GA633" s="24">
        <v>6256</v>
      </c>
      <c r="GD633" s="24"/>
      <c r="GE633" s="24"/>
      <c r="GF633" s="24"/>
      <c r="GG633" s="24"/>
      <c r="GH633" s="24"/>
      <c r="GX633">
        <v>2017</v>
      </c>
      <c r="GY633">
        <v>26</v>
      </c>
      <c r="GZ633" t="s">
        <v>33</v>
      </c>
      <c r="HA633">
        <v>86156</v>
      </c>
      <c r="HB633">
        <v>85050</v>
      </c>
      <c r="HC633">
        <v>0</v>
      </c>
      <c r="HD633">
        <v>20</v>
      </c>
      <c r="HE633">
        <v>0</v>
      </c>
      <c r="HF633">
        <v>135</v>
      </c>
      <c r="HG633">
        <v>0</v>
      </c>
      <c r="HH633">
        <v>0</v>
      </c>
      <c r="HI633">
        <v>362</v>
      </c>
      <c r="HZ633" s="24">
        <v>2017</v>
      </c>
      <c r="IA633" s="24">
        <v>26</v>
      </c>
      <c r="IB633" s="24" t="s">
        <v>33</v>
      </c>
      <c r="IC633" s="24">
        <v>6325</v>
      </c>
      <c r="ID633" s="24">
        <v>5917</v>
      </c>
    </row>
    <row r="634" spans="9:238" x14ac:dyDescent="0.4">
      <c r="I634" s="305">
        <v>2017</v>
      </c>
      <c r="J634" s="306">
        <v>26</v>
      </c>
      <c r="K634" s="306" t="s">
        <v>33</v>
      </c>
      <c r="L634" s="306">
        <v>85903</v>
      </c>
      <c r="M634" s="306">
        <v>82953</v>
      </c>
      <c r="N634" s="306">
        <v>134</v>
      </c>
      <c r="O634" s="306">
        <v>1400</v>
      </c>
      <c r="P634" s="306">
        <v>344</v>
      </c>
      <c r="Q634" s="306"/>
      <c r="R634" s="292"/>
      <c r="S634" s="292"/>
      <c r="T634" s="292"/>
      <c r="AO634" s="24"/>
      <c r="AP634" s="24"/>
      <c r="AQ634" s="24"/>
      <c r="AR634" s="24"/>
      <c r="DD634" s="24"/>
      <c r="DE634" s="24"/>
      <c r="DF634" s="24"/>
      <c r="DG634" s="24"/>
      <c r="DJ634" s="24">
        <v>2018</v>
      </c>
      <c r="DK634" s="24">
        <v>1</v>
      </c>
      <c r="DL634" s="24" t="s">
        <v>32</v>
      </c>
      <c r="DM634" s="24">
        <v>163</v>
      </c>
      <c r="DP634" s="24"/>
      <c r="DQ634" s="24"/>
      <c r="DR634" s="24"/>
      <c r="DS634" s="24"/>
      <c r="EI634" s="24">
        <v>2022</v>
      </c>
      <c r="EJ634" s="24">
        <v>43</v>
      </c>
      <c r="EK634" s="24" t="s">
        <v>211</v>
      </c>
      <c r="EL634" s="24" t="s">
        <v>247</v>
      </c>
      <c r="EM634" s="24" t="s">
        <v>234</v>
      </c>
      <c r="EN634" s="24">
        <v>12</v>
      </c>
      <c r="EO634" s="24"/>
      <c r="EP634" s="24"/>
      <c r="ES634" s="24">
        <v>2018</v>
      </c>
      <c r="ET634" s="24">
        <v>49</v>
      </c>
      <c r="EU634" s="24" t="s">
        <v>33</v>
      </c>
      <c r="EV634" s="24">
        <v>82232</v>
      </c>
      <c r="FW634" s="24">
        <v>2017</v>
      </c>
      <c r="FX634" s="24">
        <v>25</v>
      </c>
      <c r="FY634" s="24" t="s">
        <v>32</v>
      </c>
      <c r="FZ634" s="24">
        <v>853</v>
      </c>
      <c r="GA634" s="24">
        <v>775</v>
      </c>
      <c r="GD634" s="24"/>
      <c r="GE634" s="24"/>
      <c r="GF634" s="24"/>
      <c r="GG634" s="24"/>
      <c r="GH634" s="24"/>
      <c r="GX634">
        <v>2017</v>
      </c>
      <c r="GY634">
        <v>25</v>
      </c>
      <c r="GZ634" t="s">
        <v>32</v>
      </c>
      <c r="HA634">
        <v>6367</v>
      </c>
      <c r="HB634">
        <v>6131</v>
      </c>
      <c r="HC634">
        <v>0</v>
      </c>
      <c r="HD634">
        <v>3</v>
      </c>
      <c r="HE634">
        <v>0</v>
      </c>
      <c r="HF634">
        <v>1</v>
      </c>
      <c r="HG634">
        <v>0</v>
      </c>
      <c r="HH634">
        <v>0</v>
      </c>
      <c r="HI634">
        <v>91</v>
      </c>
      <c r="HZ634" s="24">
        <v>2017</v>
      </c>
      <c r="IA634" s="24">
        <v>25</v>
      </c>
      <c r="IB634" s="24" t="s">
        <v>32</v>
      </c>
      <c r="IC634" s="24">
        <v>783</v>
      </c>
      <c r="ID634" s="24">
        <v>722</v>
      </c>
    </row>
    <row r="635" spans="9:238" x14ac:dyDescent="0.4">
      <c r="I635" s="305">
        <v>2017</v>
      </c>
      <c r="J635" s="306">
        <v>25</v>
      </c>
      <c r="K635" s="306" t="s">
        <v>32</v>
      </c>
      <c r="L635" s="306">
        <v>6882</v>
      </c>
      <c r="M635" s="306">
        <v>5617</v>
      </c>
      <c r="N635" s="306">
        <v>59</v>
      </c>
      <c r="O635" s="306">
        <v>646</v>
      </c>
      <c r="P635" s="306">
        <v>20</v>
      </c>
      <c r="Q635" s="306"/>
      <c r="R635" s="292"/>
      <c r="S635" s="292"/>
      <c r="T635" s="292"/>
      <c r="AO635" s="24"/>
      <c r="AP635" s="24"/>
      <c r="AQ635" s="24"/>
      <c r="AR635" s="24"/>
      <c r="DD635" s="24"/>
      <c r="DE635" s="24"/>
      <c r="DF635" s="24"/>
      <c r="DG635" s="24"/>
      <c r="DJ635" s="24">
        <v>2018</v>
      </c>
      <c r="DK635" s="24">
        <v>1</v>
      </c>
      <c r="DL635" s="24" t="s">
        <v>33</v>
      </c>
      <c r="DM635" s="24">
        <v>917</v>
      </c>
      <c r="DP635" s="24"/>
      <c r="DQ635" s="24"/>
      <c r="DR635" s="24"/>
      <c r="DS635" s="24"/>
      <c r="EI635" s="24">
        <v>2022</v>
      </c>
      <c r="EJ635" s="24">
        <v>42</v>
      </c>
      <c r="EK635" s="24" t="s">
        <v>19</v>
      </c>
      <c r="EL635" s="24" t="s">
        <v>235</v>
      </c>
      <c r="EM635" s="24" t="s">
        <v>215</v>
      </c>
      <c r="EN635" s="24">
        <v>2</v>
      </c>
      <c r="EO635" s="24"/>
      <c r="EP635" s="24"/>
      <c r="ES635" s="24">
        <v>2018</v>
      </c>
      <c r="ET635" s="24">
        <v>48</v>
      </c>
      <c r="EU635" s="24" t="s">
        <v>32</v>
      </c>
      <c r="EV635" s="24">
        <v>3029</v>
      </c>
      <c r="FW635" s="24">
        <v>2017</v>
      </c>
      <c r="FX635" s="24">
        <v>25</v>
      </c>
      <c r="FY635" s="24" t="s">
        <v>33</v>
      </c>
      <c r="FZ635" s="24">
        <v>9068</v>
      </c>
      <c r="GA635" s="24">
        <v>7797</v>
      </c>
      <c r="GD635" s="24"/>
      <c r="GE635" s="24"/>
      <c r="GF635" s="24"/>
      <c r="GG635" s="24"/>
      <c r="GH635" s="24"/>
      <c r="GX635">
        <v>2017</v>
      </c>
      <c r="GY635">
        <v>25</v>
      </c>
      <c r="GZ635" t="s">
        <v>33</v>
      </c>
      <c r="HA635">
        <v>111013</v>
      </c>
      <c r="HB635">
        <v>108554</v>
      </c>
      <c r="HC635">
        <v>0</v>
      </c>
      <c r="HD635">
        <v>49</v>
      </c>
      <c r="HE635">
        <v>0</v>
      </c>
      <c r="HF635">
        <v>442</v>
      </c>
      <c r="HG635">
        <v>0</v>
      </c>
      <c r="HH635">
        <v>0</v>
      </c>
      <c r="HI635">
        <v>652</v>
      </c>
      <c r="HZ635" s="24">
        <v>2017</v>
      </c>
      <c r="IA635" s="24">
        <v>25</v>
      </c>
      <c r="IB635" s="24" t="s">
        <v>33</v>
      </c>
      <c r="IC635" s="24">
        <v>9502</v>
      </c>
      <c r="ID635" s="24">
        <v>8530</v>
      </c>
    </row>
    <row r="636" spans="9:238" x14ac:dyDescent="0.4">
      <c r="I636" s="305">
        <v>2017</v>
      </c>
      <c r="J636" s="306">
        <v>25</v>
      </c>
      <c r="K636" s="306" t="s">
        <v>33</v>
      </c>
      <c r="L636" s="306">
        <v>112895</v>
      </c>
      <c r="M636" s="306">
        <v>72334</v>
      </c>
      <c r="N636" s="306">
        <v>618</v>
      </c>
      <c r="O636" s="306">
        <v>15725</v>
      </c>
      <c r="P636" s="306">
        <v>664</v>
      </c>
      <c r="Q636" s="306">
        <v>8</v>
      </c>
      <c r="R636" s="292"/>
      <c r="S636" s="292"/>
      <c r="T636" s="292"/>
      <c r="AO636" s="24"/>
      <c r="AP636" s="24"/>
      <c r="AQ636" s="24"/>
      <c r="AR636" s="24"/>
      <c r="DD636" s="24"/>
      <c r="DE636" s="24"/>
      <c r="DF636" s="24"/>
      <c r="DG636" s="24"/>
      <c r="DJ636" s="24">
        <v>2017</v>
      </c>
      <c r="DK636" s="24">
        <v>52</v>
      </c>
      <c r="DL636" s="24" t="s">
        <v>32</v>
      </c>
      <c r="DM636" s="24">
        <v>247</v>
      </c>
      <c r="DP636" s="24"/>
      <c r="DQ636" s="24"/>
      <c r="DR636" s="24"/>
      <c r="DS636" s="24"/>
      <c r="EI636" s="24">
        <v>2022</v>
      </c>
      <c r="EJ636" s="24">
        <v>42</v>
      </c>
      <c r="EK636" s="24" t="s">
        <v>208</v>
      </c>
      <c r="EL636" s="24" t="s">
        <v>351</v>
      </c>
      <c r="EM636" s="24" t="s">
        <v>234</v>
      </c>
      <c r="EN636" s="24">
        <v>3</v>
      </c>
      <c r="EO636" s="24"/>
      <c r="EP636" s="24"/>
      <c r="ES636" s="24">
        <v>2018</v>
      </c>
      <c r="ET636" s="24">
        <v>48</v>
      </c>
      <c r="EU636" s="24" t="s">
        <v>33</v>
      </c>
      <c r="EV636" s="24">
        <v>73924</v>
      </c>
      <c r="FW636" s="24">
        <v>2017</v>
      </c>
      <c r="FX636" s="24">
        <v>24</v>
      </c>
      <c r="FY636" s="24" t="s">
        <v>32</v>
      </c>
      <c r="FZ636" s="24">
        <v>692</v>
      </c>
      <c r="GA636" s="24">
        <v>549</v>
      </c>
      <c r="GD636" s="24"/>
      <c r="GE636" s="24"/>
      <c r="GF636" s="24"/>
      <c r="GG636" s="24"/>
      <c r="GH636" s="24"/>
      <c r="GX636">
        <v>2017</v>
      </c>
      <c r="GY636">
        <v>24</v>
      </c>
      <c r="GZ636" t="s">
        <v>32</v>
      </c>
      <c r="HA636">
        <v>6224</v>
      </c>
      <c r="HB636">
        <v>5290</v>
      </c>
      <c r="HC636">
        <v>0</v>
      </c>
      <c r="HD636">
        <v>16</v>
      </c>
      <c r="HE636">
        <v>0</v>
      </c>
      <c r="HF636">
        <v>2</v>
      </c>
      <c r="HG636">
        <v>0</v>
      </c>
      <c r="HH636">
        <v>0</v>
      </c>
      <c r="HI636">
        <v>163</v>
      </c>
      <c r="HZ636" s="24">
        <v>2017</v>
      </c>
      <c r="IA636" s="24">
        <v>24</v>
      </c>
      <c r="IB636" s="24" t="s">
        <v>32</v>
      </c>
      <c r="IC636" s="24">
        <v>763</v>
      </c>
      <c r="ID636" s="24">
        <v>625</v>
      </c>
    </row>
    <row r="637" spans="9:238" x14ac:dyDescent="0.4">
      <c r="I637" s="305">
        <v>2017</v>
      </c>
      <c r="J637" s="306">
        <v>24</v>
      </c>
      <c r="K637" s="306" t="s">
        <v>32</v>
      </c>
      <c r="L637" s="306">
        <v>5738</v>
      </c>
      <c r="M637" s="306">
        <v>4404</v>
      </c>
      <c r="N637" s="306">
        <v>86</v>
      </c>
      <c r="O637" s="306">
        <v>805</v>
      </c>
      <c r="P637" s="306">
        <v>65</v>
      </c>
      <c r="Q637" s="306">
        <v>2</v>
      </c>
      <c r="R637" s="292"/>
      <c r="S637" s="292"/>
      <c r="T637" s="292"/>
      <c r="AO637" s="24"/>
      <c r="AP637" s="24"/>
      <c r="AQ637" s="24"/>
      <c r="AR637" s="24"/>
      <c r="DD637" s="24"/>
      <c r="DE637" s="24"/>
      <c r="DF637" s="24"/>
      <c r="DG637" s="24"/>
      <c r="DJ637" s="24">
        <v>2017</v>
      </c>
      <c r="DK637" s="24">
        <v>52</v>
      </c>
      <c r="DL637" s="24" t="s">
        <v>33</v>
      </c>
      <c r="DM637" s="24">
        <v>379</v>
      </c>
      <c r="DP637" s="24"/>
      <c r="DQ637" s="24"/>
      <c r="DR637" s="24"/>
      <c r="DS637" s="24"/>
      <c r="EI637" s="24">
        <v>2022</v>
      </c>
      <c r="EJ637" s="24">
        <v>42</v>
      </c>
      <c r="EK637" s="24" t="s">
        <v>208</v>
      </c>
      <c r="EL637" s="24" t="s">
        <v>351</v>
      </c>
      <c r="EM637" s="24" t="s">
        <v>215</v>
      </c>
      <c r="EN637" s="24">
        <v>11</v>
      </c>
      <c r="EO637" s="24"/>
      <c r="EP637" s="24"/>
      <c r="ES637" s="24">
        <v>2018</v>
      </c>
      <c r="ET637" s="24">
        <v>47</v>
      </c>
      <c r="EU637" s="24" t="s">
        <v>32</v>
      </c>
      <c r="EV637" s="24">
        <v>2725</v>
      </c>
      <c r="FW637" s="24">
        <v>2017</v>
      </c>
      <c r="FX637" s="24">
        <v>24</v>
      </c>
      <c r="FY637" s="24" t="s">
        <v>33</v>
      </c>
      <c r="FZ637" s="24">
        <v>10824</v>
      </c>
      <c r="GA637" s="24">
        <v>5528</v>
      </c>
      <c r="GD637" s="24"/>
      <c r="GE637" s="24"/>
      <c r="GF637" s="24"/>
      <c r="GG637" s="24"/>
      <c r="GH637" s="24"/>
      <c r="GX637">
        <v>2017</v>
      </c>
      <c r="GY637">
        <v>24</v>
      </c>
      <c r="GZ637" t="s">
        <v>33</v>
      </c>
      <c r="HA637">
        <v>121303</v>
      </c>
      <c r="HB637">
        <v>102426</v>
      </c>
      <c r="HC637">
        <v>0</v>
      </c>
      <c r="HD637">
        <v>191</v>
      </c>
      <c r="HE637">
        <v>0</v>
      </c>
      <c r="HF637">
        <v>717</v>
      </c>
      <c r="HG637">
        <v>0</v>
      </c>
      <c r="HH637">
        <v>0</v>
      </c>
      <c r="HI637">
        <v>4408</v>
      </c>
      <c r="HZ637" s="24">
        <v>2017</v>
      </c>
      <c r="IA637" s="24">
        <v>24</v>
      </c>
      <c r="IB637" s="24" t="s">
        <v>33</v>
      </c>
      <c r="IC637" s="24">
        <v>10298</v>
      </c>
      <c r="ID637" s="24">
        <v>5703</v>
      </c>
    </row>
    <row r="638" spans="9:238" x14ac:dyDescent="0.4">
      <c r="I638" s="305">
        <v>2017</v>
      </c>
      <c r="J638" s="306">
        <v>24</v>
      </c>
      <c r="K638" s="306" t="s">
        <v>33</v>
      </c>
      <c r="L638" s="306">
        <v>120745</v>
      </c>
      <c r="M638" s="306">
        <v>61478</v>
      </c>
      <c r="N638" s="306">
        <v>801</v>
      </c>
      <c r="O638" s="306">
        <v>40885</v>
      </c>
      <c r="P638" s="306">
        <v>1156</v>
      </c>
      <c r="Q638" s="306">
        <v>366</v>
      </c>
      <c r="R638" s="292"/>
      <c r="S638" s="292"/>
      <c r="T638" s="292"/>
      <c r="AO638" s="24"/>
      <c r="AP638" s="24"/>
      <c r="AQ638" s="24"/>
      <c r="AR638" s="24"/>
      <c r="DD638" s="24"/>
      <c r="DE638" s="24"/>
      <c r="DF638" s="24"/>
      <c r="DG638" s="24"/>
      <c r="DJ638" s="24">
        <v>2017</v>
      </c>
      <c r="DK638" s="24">
        <v>51</v>
      </c>
      <c r="DL638" s="24" t="s">
        <v>32</v>
      </c>
      <c r="DM638" s="24">
        <v>80</v>
      </c>
      <c r="DP638" s="24"/>
      <c r="DQ638" s="24"/>
      <c r="DR638" s="24"/>
      <c r="DS638" s="24"/>
      <c r="EI638" s="24">
        <v>2022</v>
      </c>
      <c r="EJ638" s="24">
        <v>42</v>
      </c>
      <c r="EK638" s="24" t="s">
        <v>208</v>
      </c>
      <c r="EL638" s="24" t="s">
        <v>235</v>
      </c>
      <c r="EM638" s="24" t="s">
        <v>210</v>
      </c>
      <c r="EN638" s="24">
        <v>17</v>
      </c>
      <c r="EO638" s="24"/>
      <c r="EP638" s="24"/>
      <c r="ES638" s="24">
        <v>2018</v>
      </c>
      <c r="ET638" s="24">
        <v>47</v>
      </c>
      <c r="EU638" s="24" t="s">
        <v>33</v>
      </c>
      <c r="EV638" s="24">
        <v>70803</v>
      </c>
      <c r="FW638" s="24">
        <v>2017</v>
      </c>
      <c r="FX638" s="24">
        <v>23</v>
      </c>
      <c r="FY638" s="24" t="s">
        <v>32</v>
      </c>
      <c r="FZ638" s="24">
        <v>626</v>
      </c>
      <c r="GA638" s="24">
        <v>559</v>
      </c>
      <c r="GD638" s="24"/>
      <c r="GE638" s="24"/>
      <c r="GF638" s="24"/>
      <c r="GG638" s="24"/>
      <c r="GH638" s="24"/>
      <c r="GX638">
        <v>2017</v>
      </c>
      <c r="GY638">
        <v>23</v>
      </c>
      <c r="GZ638" t="s">
        <v>32</v>
      </c>
      <c r="HA638">
        <v>4896</v>
      </c>
      <c r="HB638">
        <v>4749</v>
      </c>
      <c r="HC638">
        <v>0</v>
      </c>
      <c r="HD638">
        <v>1</v>
      </c>
      <c r="HE638">
        <v>0</v>
      </c>
      <c r="HF638">
        <v>0</v>
      </c>
      <c r="HG638">
        <v>0</v>
      </c>
      <c r="HH638">
        <v>0</v>
      </c>
      <c r="HI638">
        <v>60</v>
      </c>
      <c r="HZ638" s="24">
        <v>2017</v>
      </c>
      <c r="IA638" s="24">
        <v>23</v>
      </c>
      <c r="IB638" s="24" t="s">
        <v>32</v>
      </c>
      <c r="IC638" s="24">
        <v>628</v>
      </c>
      <c r="ID638" s="24">
        <v>577</v>
      </c>
    </row>
    <row r="639" spans="9:238" x14ac:dyDescent="0.4">
      <c r="I639" s="305">
        <v>2017</v>
      </c>
      <c r="J639" s="306">
        <v>23</v>
      </c>
      <c r="K639" s="306" t="s">
        <v>32</v>
      </c>
      <c r="L639" s="306">
        <v>4866</v>
      </c>
      <c r="M639" s="306">
        <v>3956</v>
      </c>
      <c r="N639" s="306">
        <v>22</v>
      </c>
      <c r="O639" s="306">
        <v>735</v>
      </c>
      <c r="P639" s="306">
        <v>14</v>
      </c>
      <c r="Q639" s="306">
        <v>1</v>
      </c>
      <c r="R639" s="292"/>
      <c r="S639" s="292"/>
      <c r="T639" s="292"/>
      <c r="AO639" s="24"/>
      <c r="AP639" s="24"/>
      <c r="AQ639" s="24"/>
      <c r="AR639" s="24"/>
      <c r="DD639" s="24"/>
      <c r="DE639" s="24"/>
      <c r="DF639" s="24"/>
      <c r="DG639" s="24"/>
      <c r="DJ639" s="24">
        <v>2017</v>
      </c>
      <c r="DK639" s="24">
        <v>51</v>
      </c>
      <c r="DL639" s="24" t="s">
        <v>33</v>
      </c>
      <c r="DM639" s="24">
        <v>206</v>
      </c>
      <c r="DP639" s="24"/>
      <c r="DQ639" s="24"/>
      <c r="DR639" s="24"/>
      <c r="DS639" s="24"/>
      <c r="EI639" s="24">
        <v>2022</v>
      </c>
      <c r="EJ639" s="24">
        <v>42</v>
      </c>
      <c r="EK639" s="24" t="s">
        <v>208</v>
      </c>
      <c r="EL639" s="24" t="s">
        <v>235</v>
      </c>
      <c r="EM639" s="24" t="s">
        <v>234</v>
      </c>
      <c r="EN639" s="24">
        <v>1</v>
      </c>
      <c r="EO639" s="24"/>
      <c r="EP639" s="24"/>
      <c r="ES639" s="24">
        <v>2018</v>
      </c>
      <c r="ET639" s="24">
        <v>46</v>
      </c>
      <c r="EU639" s="24" t="s">
        <v>32</v>
      </c>
      <c r="EV639" s="24">
        <v>2166</v>
      </c>
      <c r="FW639" s="24">
        <v>2017</v>
      </c>
      <c r="FX639" s="24">
        <v>23</v>
      </c>
      <c r="FY639" s="24" t="s">
        <v>33</v>
      </c>
      <c r="FZ639" s="24">
        <v>7006</v>
      </c>
      <c r="GA639" s="24">
        <v>5599</v>
      </c>
      <c r="GD639" s="24"/>
      <c r="GE639" s="24"/>
      <c r="GF639" s="24"/>
      <c r="GG639" s="24"/>
      <c r="GH639" s="24"/>
      <c r="GX639">
        <v>2017</v>
      </c>
      <c r="GY639">
        <v>23</v>
      </c>
      <c r="GZ639" t="s">
        <v>33</v>
      </c>
      <c r="HA639">
        <v>104439</v>
      </c>
      <c r="HB639">
        <v>101628</v>
      </c>
      <c r="HC639">
        <v>1</v>
      </c>
      <c r="HD639">
        <v>320</v>
      </c>
      <c r="HE639">
        <v>1</v>
      </c>
      <c r="HF639">
        <v>781</v>
      </c>
      <c r="HG639">
        <v>0</v>
      </c>
      <c r="HH639">
        <v>0</v>
      </c>
      <c r="HI639">
        <v>719</v>
      </c>
      <c r="HZ639" s="24">
        <v>2017</v>
      </c>
      <c r="IA639" s="24">
        <v>23</v>
      </c>
      <c r="IB639" s="24" t="s">
        <v>33</v>
      </c>
      <c r="IC639" s="24">
        <v>7320</v>
      </c>
      <c r="ID639" s="24">
        <v>5955</v>
      </c>
    </row>
    <row r="640" spans="9:238" x14ac:dyDescent="0.4">
      <c r="I640" s="305">
        <v>2017</v>
      </c>
      <c r="J640" s="306">
        <v>23</v>
      </c>
      <c r="K640" s="306" t="s">
        <v>33</v>
      </c>
      <c r="L640" s="306">
        <v>103372</v>
      </c>
      <c r="M640" s="306">
        <v>62266</v>
      </c>
      <c r="N640" s="306">
        <v>419</v>
      </c>
      <c r="O640" s="306">
        <v>33128</v>
      </c>
      <c r="P640" s="306">
        <v>585</v>
      </c>
      <c r="Q640" s="306">
        <v>3</v>
      </c>
      <c r="R640" s="292"/>
      <c r="S640" s="292"/>
      <c r="T640" s="292"/>
      <c r="AO640" s="24"/>
      <c r="AP640" s="24"/>
      <c r="AQ640" s="24"/>
      <c r="AR640" s="24"/>
      <c r="DD640" s="24"/>
      <c r="DE640" s="24"/>
      <c r="DF640" s="24"/>
      <c r="DG640" s="24"/>
      <c r="DJ640" s="24">
        <v>2017</v>
      </c>
      <c r="DK640" s="24">
        <v>50</v>
      </c>
      <c r="DL640" s="24" t="s">
        <v>32</v>
      </c>
      <c r="DM640" s="24">
        <v>73</v>
      </c>
      <c r="DP640" s="24"/>
      <c r="DQ640" s="24"/>
      <c r="DR640" s="24"/>
      <c r="DS640" s="24"/>
      <c r="EI640" s="24">
        <v>2022</v>
      </c>
      <c r="EJ640" s="24">
        <v>42</v>
      </c>
      <c r="EK640" s="24" t="s">
        <v>208</v>
      </c>
      <c r="EL640" s="24" t="s">
        <v>235</v>
      </c>
      <c r="EM640" s="24" t="s">
        <v>215</v>
      </c>
      <c r="EN640" s="24">
        <v>9</v>
      </c>
      <c r="EO640" s="24"/>
      <c r="EP640" s="24"/>
      <c r="ES640" s="24">
        <v>2018</v>
      </c>
      <c r="ET640" s="24">
        <v>46</v>
      </c>
      <c r="EU640" s="24" t="s">
        <v>33</v>
      </c>
      <c r="EV640" s="24">
        <v>64953</v>
      </c>
      <c r="FW640" s="24">
        <v>2017</v>
      </c>
      <c r="FX640" s="24">
        <v>22</v>
      </c>
      <c r="FY640" s="24" t="s">
        <v>32</v>
      </c>
      <c r="FZ640" s="24">
        <v>771</v>
      </c>
      <c r="GA640" s="24">
        <v>710</v>
      </c>
      <c r="GD640" s="24"/>
      <c r="GE640" s="24"/>
      <c r="GF640" s="24"/>
      <c r="GG640" s="24"/>
      <c r="GH640" s="24"/>
      <c r="GX640">
        <v>2017</v>
      </c>
      <c r="GY640">
        <v>22</v>
      </c>
      <c r="GZ640" t="s">
        <v>32</v>
      </c>
      <c r="HA640">
        <v>5338</v>
      </c>
      <c r="HB640">
        <v>5186</v>
      </c>
      <c r="HC640">
        <v>0</v>
      </c>
      <c r="HD640">
        <v>0</v>
      </c>
      <c r="HE640">
        <v>0</v>
      </c>
      <c r="HF640">
        <v>0</v>
      </c>
      <c r="HG640">
        <v>0</v>
      </c>
      <c r="HH640">
        <v>0</v>
      </c>
      <c r="HI640">
        <v>26</v>
      </c>
      <c r="HZ640" s="24">
        <v>2017</v>
      </c>
      <c r="IA640" s="24">
        <v>22</v>
      </c>
      <c r="IB640" s="24" t="s">
        <v>32</v>
      </c>
      <c r="IC640" s="24">
        <v>755</v>
      </c>
      <c r="ID640" s="24">
        <v>709</v>
      </c>
    </row>
    <row r="641" spans="9:238" x14ac:dyDescent="0.4">
      <c r="I641" s="305">
        <v>2017</v>
      </c>
      <c r="J641" s="306">
        <v>22</v>
      </c>
      <c r="K641" s="306" t="s">
        <v>32</v>
      </c>
      <c r="L641" s="306">
        <v>5478</v>
      </c>
      <c r="M641" s="306">
        <v>4460</v>
      </c>
      <c r="N641" s="306">
        <v>35</v>
      </c>
      <c r="O641" s="306">
        <v>899</v>
      </c>
      <c r="P641" s="306">
        <v>39</v>
      </c>
      <c r="Q641" s="306"/>
      <c r="R641" s="292"/>
      <c r="S641" s="292"/>
      <c r="T641" s="292"/>
      <c r="AO641" s="24"/>
      <c r="AP641" s="24"/>
      <c r="AQ641" s="24"/>
      <c r="AR641" s="24"/>
      <c r="DD641" s="24"/>
      <c r="DE641" s="24"/>
      <c r="DF641" s="24"/>
      <c r="DG641" s="24"/>
      <c r="DJ641" s="24">
        <v>2017</v>
      </c>
      <c r="DK641" s="24">
        <v>50</v>
      </c>
      <c r="DL641" s="24" t="s">
        <v>33</v>
      </c>
      <c r="DM641" s="24">
        <v>431</v>
      </c>
      <c r="DP641" s="24"/>
      <c r="DQ641" s="24"/>
      <c r="DR641" s="24"/>
      <c r="DS641" s="24"/>
      <c r="EI641" s="24">
        <v>2022</v>
      </c>
      <c r="EJ641" s="24">
        <v>42</v>
      </c>
      <c r="EK641" s="24" t="s">
        <v>208</v>
      </c>
      <c r="EL641" s="24" t="s">
        <v>209</v>
      </c>
      <c r="EM641" s="24" t="s">
        <v>210</v>
      </c>
      <c r="EN641" s="24">
        <v>4</v>
      </c>
      <c r="EO641" s="24"/>
      <c r="EP641" s="24"/>
      <c r="ES641" s="24">
        <v>2018</v>
      </c>
      <c r="ET641" s="24">
        <v>45</v>
      </c>
      <c r="EU641" s="24" t="s">
        <v>32</v>
      </c>
      <c r="EV641" s="24">
        <v>2081</v>
      </c>
      <c r="FW641" s="24">
        <v>2017</v>
      </c>
      <c r="FX641" s="24">
        <v>22</v>
      </c>
      <c r="FY641" s="24" t="s">
        <v>33</v>
      </c>
      <c r="FZ641" s="24">
        <v>6741</v>
      </c>
      <c r="GA641" s="24">
        <v>5877</v>
      </c>
      <c r="GD641" s="24"/>
      <c r="GE641" s="24"/>
      <c r="GF641" s="24"/>
      <c r="GG641" s="24"/>
      <c r="GH641" s="24"/>
      <c r="GX641">
        <v>2017</v>
      </c>
      <c r="GY641">
        <v>22</v>
      </c>
      <c r="GZ641" t="s">
        <v>33</v>
      </c>
      <c r="HA641">
        <v>105613</v>
      </c>
      <c r="HB641">
        <v>103715</v>
      </c>
      <c r="HC641">
        <v>0</v>
      </c>
      <c r="HD641">
        <v>14</v>
      </c>
      <c r="HE641">
        <v>0</v>
      </c>
      <c r="HF641">
        <v>128</v>
      </c>
      <c r="HG641">
        <v>0</v>
      </c>
      <c r="HH641">
        <v>0</v>
      </c>
      <c r="HI641">
        <v>503</v>
      </c>
      <c r="HZ641" s="24">
        <v>2017</v>
      </c>
      <c r="IA641" s="24">
        <v>22</v>
      </c>
      <c r="IB641" s="24" t="s">
        <v>33</v>
      </c>
      <c r="IC641" s="24">
        <v>6793</v>
      </c>
      <c r="ID641" s="24">
        <v>6198</v>
      </c>
    </row>
    <row r="642" spans="9:238" x14ac:dyDescent="0.4">
      <c r="I642" s="305">
        <v>2017</v>
      </c>
      <c r="J642" s="306">
        <v>22</v>
      </c>
      <c r="K642" s="306" t="s">
        <v>33</v>
      </c>
      <c r="L642" s="306">
        <v>106215</v>
      </c>
      <c r="M642" s="306">
        <v>63963</v>
      </c>
      <c r="N642" s="306">
        <v>407</v>
      </c>
      <c r="O642" s="306">
        <v>36614</v>
      </c>
      <c r="P642" s="306">
        <v>629</v>
      </c>
      <c r="Q642" s="306"/>
      <c r="R642" s="292"/>
      <c r="S642" s="292"/>
      <c r="T642" s="292"/>
      <c r="AO642" s="24"/>
      <c r="AP642" s="24"/>
      <c r="AQ642" s="24"/>
      <c r="AR642" s="24"/>
      <c r="DD642" s="24"/>
      <c r="DE642" s="24"/>
      <c r="DF642" s="24"/>
      <c r="DG642" s="24"/>
      <c r="DJ642" s="24">
        <v>2017</v>
      </c>
      <c r="DK642" s="24">
        <v>49</v>
      </c>
      <c r="DL642" s="24" t="s">
        <v>32</v>
      </c>
      <c r="DM642" s="24">
        <v>837</v>
      </c>
      <c r="DP642" s="24"/>
      <c r="DQ642" s="24"/>
      <c r="DR642" s="24"/>
      <c r="DS642" s="24"/>
      <c r="EI642" s="24">
        <v>2022</v>
      </c>
      <c r="EJ642" s="24">
        <v>42</v>
      </c>
      <c r="EK642" s="24" t="s">
        <v>33</v>
      </c>
      <c r="EL642" s="24" t="s">
        <v>233</v>
      </c>
      <c r="EM642" s="24" t="s">
        <v>210</v>
      </c>
      <c r="EN642" s="24">
        <v>11</v>
      </c>
      <c r="EO642" s="24"/>
      <c r="EP642" s="24"/>
      <c r="ES642" s="24">
        <v>2018</v>
      </c>
      <c r="ET642" s="24">
        <v>45</v>
      </c>
      <c r="EU642" s="24" t="s">
        <v>33</v>
      </c>
      <c r="EV642" s="24">
        <v>68907</v>
      </c>
      <c r="FW642" s="24">
        <v>2017</v>
      </c>
      <c r="FX642" s="24">
        <v>21</v>
      </c>
      <c r="FY642" s="24" t="s">
        <v>32</v>
      </c>
      <c r="FZ642" s="24">
        <v>734</v>
      </c>
      <c r="GA642" s="24">
        <v>685</v>
      </c>
      <c r="GD642" s="24"/>
      <c r="GE642" s="24"/>
      <c r="GF642" s="24"/>
      <c r="GG642" s="24"/>
      <c r="GH642" s="24"/>
      <c r="GX642">
        <v>2017</v>
      </c>
      <c r="GY642">
        <v>21</v>
      </c>
      <c r="GZ642" t="s">
        <v>32</v>
      </c>
      <c r="HA642">
        <v>7164</v>
      </c>
      <c r="HB642">
        <v>6979</v>
      </c>
      <c r="HC642">
        <v>0</v>
      </c>
      <c r="HD642">
        <v>1</v>
      </c>
      <c r="HE642">
        <v>0</v>
      </c>
      <c r="HF642">
        <v>0</v>
      </c>
      <c r="HG642">
        <v>0</v>
      </c>
      <c r="HH642">
        <v>0</v>
      </c>
      <c r="HI642">
        <v>55</v>
      </c>
      <c r="HZ642" s="24">
        <v>2017</v>
      </c>
      <c r="IA642" s="24">
        <v>21</v>
      </c>
      <c r="IB642" s="24" t="s">
        <v>32</v>
      </c>
      <c r="IC642" s="24">
        <v>732</v>
      </c>
      <c r="ID642" s="24">
        <v>689</v>
      </c>
    </row>
    <row r="643" spans="9:238" x14ac:dyDescent="0.4">
      <c r="I643" s="305">
        <v>2017</v>
      </c>
      <c r="J643" s="306">
        <v>21</v>
      </c>
      <c r="K643" s="306" t="s">
        <v>32</v>
      </c>
      <c r="L643" s="306">
        <v>7453</v>
      </c>
      <c r="M643" s="306">
        <v>6491</v>
      </c>
      <c r="N643" s="306">
        <v>42</v>
      </c>
      <c r="O643" s="306">
        <v>865</v>
      </c>
      <c r="P643" s="306">
        <v>15</v>
      </c>
      <c r="Q643" s="306"/>
      <c r="R643" s="292"/>
      <c r="S643" s="292"/>
      <c r="T643" s="292"/>
      <c r="AO643" s="24"/>
      <c r="AP643" s="24"/>
      <c r="AQ643" s="24"/>
      <c r="AR643" s="24"/>
      <c r="DJ643" s="24">
        <v>2017</v>
      </c>
      <c r="DK643" s="24">
        <v>49</v>
      </c>
      <c r="DL643" s="24" t="s">
        <v>33</v>
      </c>
      <c r="DM643" s="24">
        <v>315</v>
      </c>
      <c r="DP643" s="24"/>
      <c r="DQ643" s="24"/>
      <c r="DR643" s="24"/>
      <c r="DS643" s="24"/>
      <c r="EI643" s="24">
        <v>2022</v>
      </c>
      <c r="EJ643" s="24">
        <v>42</v>
      </c>
      <c r="EK643" s="24" t="s">
        <v>33</v>
      </c>
      <c r="EL643" s="24" t="s">
        <v>244</v>
      </c>
      <c r="EM643" s="24" t="s">
        <v>210</v>
      </c>
      <c r="EN643" s="24">
        <v>7</v>
      </c>
      <c r="EO643" s="24"/>
      <c r="EP643" s="24"/>
      <c r="ES643" s="24">
        <v>2018</v>
      </c>
      <c r="ET643" s="24">
        <v>44</v>
      </c>
      <c r="EU643" s="24" t="s">
        <v>32</v>
      </c>
      <c r="EV643" s="24">
        <v>2237</v>
      </c>
      <c r="FW643" s="24">
        <v>2017</v>
      </c>
      <c r="FX643" s="24">
        <v>21</v>
      </c>
      <c r="FY643" s="24" t="s">
        <v>33</v>
      </c>
      <c r="FZ643" s="24">
        <v>6905</v>
      </c>
      <c r="GA643" s="24">
        <v>6220</v>
      </c>
      <c r="GD643" s="24"/>
      <c r="GE643" s="24"/>
      <c r="GF643" s="24"/>
      <c r="GG643" s="24"/>
      <c r="GH643" s="24"/>
      <c r="GX643">
        <v>2017</v>
      </c>
      <c r="GY643">
        <v>21</v>
      </c>
      <c r="GZ643" t="s">
        <v>33</v>
      </c>
      <c r="HA643">
        <v>99855</v>
      </c>
      <c r="HB643">
        <v>98584</v>
      </c>
      <c r="HC643">
        <v>1</v>
      </c>
      <c r="HD643">
        <v>13</v>
      </c>
      <c r="HE643">
        <v>0</v>
      </c>
      <c r="HF643">
        <v>40</v>
      </c>
      <c r="HG643">
        <v>0</v>
      </c>
      <c r="HH643">
        <v>0</v>
      </c>
      <c r="HI643">
        <v>202</v>
      </c>
      <c r="HZ643" s="24">
        <v>2017</v>
      </c>
      <c r="IA643" s="24">
        <v>21</v>
      </c>
      <c r="IB643" s="24" t="s">
        <v>33</v>
      </c>
      <c r="IC643" s="24">
        <v>6868</v>
      </c>
      <c r="ID643" s="24">
        <v>6488</v>
      </c>
    </row>
    <row r="644" spans="9:238" x14ac:dyDescent="0.4">
      <c r="I644" s="305">
        <v>2017</v>
      </c>
      <c r="J644" s="306">
        <v>21</v>
      </c>
      <c r="K644" s="306" t="s">
        <v>33</v>
      </c>
      <c r="L644" s="306">
        <v>100116</v>
      </c>
      <c r="M644" s="306">
        <v>62043</v>
      </c>
      <c r="N644" s="306">
        <v>408</v>
      </c>
      <c r="O644" s="306">
        <v>31976</v>
      </c>
      <c r="P644" s="306">
        <v>479</v>
      </c>
      <c r="Q644" s="306"/>
      <c r="R644" s="292"/>
      <c r="S644" s="292"/>
      <c r="T644" s="292"/>
      <c r="AO644" s="24"/>
      <c r="AP644" s="24"/>
      <c r="AQ644" s="24"/>
      <c r="AR644" s="24"/>
      <c r="DJ644" s="24">
        <v>2017</v>
      </c>
      <c r="DK644" s="24">
        <v>48</v>
      </c>
      <c r="DL644" s="24" t="s">
        <v>32</v>
      </c>
      <c r="DM644" s="24">
        <v>1777</v>
      </c>
      <c r="DP644" s="24"/>
      <c r="DQ644" s="24"/>
      <c r="DR644" s="24"/>
      <c r="DS644" s="24"/>
      <c r="EI644" s="24">
        <v>2022</v>
      </c>
      <c r="EJ644" s="24">
        <v>42</v>
      </c>
      <c r="EK644" s="24" t="s">
        <v>33</v>
      </c>
      <c r="EL644" s="24" t="s">
        <v>238</v>
      </c>
      <c r="EM644" s="24" t="s">
        <v>210</v>
      </c>
      <c r="EN644" s="24">
        <v>2</v>
      </c>
      <c r="EO644" s="24"/>
      <c r="EP644" s="24"/>
      <c r="ES644" s="24">
        <v>2018</v>
      </c>
      <c r="ET644" s="24">
        <v>44</v>
      </c>
      <c r="EU644" s="24" t="s">
        <v>33</v>
      </c>
      <c r="EV644" s="24">
        <v>76446</v>
      </c>
      <c r="FW644" s="24">
        <v>2017</v>
      </c>
      <c r="FX644" s="24">
        <v>20</v>
      </c>
      <c r="FY644" s="24" t="s">
        <v>32</v>
      </c>
      <c r="FZ644" s="24">
        <v>913</v>
      </c>
      <c r="GA644" s="24">
        <v>785</v>
      </c>
      <c r="GD644" s="24"/>
      <c r="GE644" s="24"/>
      <c r="GF644" s="24"/>
      <c r="GG644" s="24"/>
      <c r="GH644" s="24"/>
      <c r="GX644">
        <v>2017</v>
      </c>
      <c r="GY644">
        <v>20</v>
      </c>
      <c r="GZ644" t="s">
        <v>32</v>
      </c>
      <c r="HA644">
        <v>8576</v>
      </c>
      <c r="HB644">
        <v>8322</v>
      </c>
      <c r="HC644">
        <v>0</v>
      </c>
      <c r="HD644">
        <v>1</v>
      </c>
      <c r="HE644">
        <v>0</v>
      </c>
      <c r="HF644">
        <v>2</v>
      </c>
      <c r="HG644">
        <v>0</v>
      </c>
      <c r="HH644">
        <v>0</v>
      </c>
      <c r="HI644">
        <v>60</v>
      </c>
      <c r="HZ644" s="24">
        <v>2017</v>
      </c>
      <c r="IA644" s="24">
        <v>20</v>
      </c>
      <c r="IB644" s="24" t="s">
        <v>32</v>
      </c>
      <c r="IC644" s="24">
        <v>875</v>
      </c>
      <c r="ID644" s="24">
        <v>783</v>
      </c>
    </row>
    <row r="645" spans="9:238" x14ac:dyDescent="0.4">
      <c r="I645" s="305">
        <v>2017</v>
      </c>
      <c r="J645" s="306">
        <v>20</v>
      </c>
      <c r="K645" s="306" t="s">
        <v>32</v>
      </c>
      <c r="L645" s="306">
        <v>8298</v>
      </c>
      <c r="M645" s="306">
        <v>6461</v>
      </c>
      <c r="N645" s="306">
        <v>68</v>
      </c>
      <c r="O645" s="306">
        <v>1697</v>
      </c>
      <c r="P645" s="306">
        <v>64</v>
      </c>
      <c r="Q645" s="306"/>
      <c r="R645" s="292"/>
      <c r="S645" s="292"/>
      <c r="T645" s="292"/>
      <c r="AO645" s="24"/>
      <c r="AP645" s="24"/>
      <c r="AQ645" s="24"/>
      <c r="AR645" s="24"/>
      <c r="DJ645" s="24">
        <v>2017</v>
      </c>
      <c r="DK645" s="24">
        <v>48</v>
      </c>
      <c r="DL645" s="24" t="s">
        <v>33</v>
      </c>
      <c r="DM645" s="24">
        <v>221</v>
      </c>
      <c r="DP645" s="24"/>
      <c r="DQ645" s="24"/>
      <c r="DR645" s="24"/>
      <c r="DS645" s="24"/>
      <c r="EI645" s="24">
        <v>2022</v>
      </c>
      <c r="EJ645" s="24">
        <v>42</v>
      </c>
      <c r="EK645" s="24" t="s">
        <v>33</v>
      </c>
      <c r="EL645" s="24" t="s">
        <v>238</v>
      </c>
      <c r="EM645" s="24" t="s">
        <v>215</v>
      </c>
      <c r="EN645" s="24">
        <v>1</v>
      </c>
      <c r="EO645" s="24"/>
      <c r="EP645" s="24"/>
      <c r="ES645" s="24">
        <v>2018</v>
      </c>
      <c r="ET645" s="24">
        <v>43</v>
      </c>
      <c r="EU645" s="24" t="s">
        <v>32</v>
      </c>
      <c r="EV645" s="24">
        <v>2781</v>
      </c>
      <c r="FW645" s="24">
        <v>2017</v>
      </c>
      <c r="FX645" s="24">
        <v>20</v>
      </c>
      <c r="FY645" s="24" t="s">
        <v>33</v>
      </c>
      <c r="FZ645" s="24">
        <v>7671</v>
      </c>
      <c r="GA645" s="24">
        <v>6794</v>
      </c>
      <c r="GD645" s="24"/>
      <c r="GE645" s="24"/>
      <c r="GF645" s="24"/>
      <c r="GG645" s="24"/>
      <c r="GH645" s="24"/>
      <c r="GX645">
        <v>2017</v>
      </c>
      <c r="GY645">
        <v>20</v>
      </c>
      <c r="GZ645" t="s">
        <v>33</v>
      </c>
      <c r="HA645">
        <v>116013</v>
      </c>
      <c r="HB645">
        <v>114544</v>
      </c>
      <c r="HC645">
        <v>0</v>
      </c>
      <c r="HD645">
        <v>22</v>
      </c>
      <c r="HE645">
        <v>0</v>
      </c>
      <c r="HF645">
        <v>257</v>
      </c>
      <c r="HG645">
        <v>1</v>
      </c>
      <c r="HH645">
        <v>0</v>
      </c>
      <c r="HI645">
        <v>342</v>
      </c>
      <c r="HZ645" s="24">
        <v>2017</v>
      </c>
      <c r="IA645" s="24">
        <v>20</v>
      </c>
      <c r="IB645" s="24" t="s">
        <v>33</v>
      </c>
      <c r="IC645" s="24">
        <v>7775</v>
      </c>
      <c r="ID645" s="24">
        <v>7190</v>
      </c>
    </row>
    <row r="646" spans="9:238" x14ac:dyDescent="0.4">
      <c r="I646" s="305">
        <v>2017</v>
      </c>
      <c r="J646" s="306">
        <v>20</v>
      </c>
      <c r="K646" s="306" t="s">
        <v>33</v>
      </c>
      <c r="L646" s="306">
        <v>117618</v>
      </c>
      <c r="M646" s="306">
        <v>70285</v>
      </c>
      <c r="N646" s="306">
        <v>550</v>
      </c>
      <c r="O646" s="306">
        <v>44670</v>
      </c>
      <c r="P646" s="306">
        <v>731</v>
      </c>
      <c r="Q646" s="306">
        <v>2</v>
      </c>
      <c r="R646" s="292"/>
      <c r="S646" s="292"/>
      <c r="T646" s="292"/>
      <c r="AO646" s="24"/>
      <c r="AP646" s="24"/>
      <c r="AQ646" s="24"/>
      <c r="AR646" s="24"/>
      <c r="DJ646" s="24">
        <v>2017</v>
      </c>
      <c r="DK646" s="24">
        <v>47</v>
      </c>
      <c r="DL646" s="24" t="s">
        <v>32</v>
      </c>
      <c r="DM646" s="24">
        <v>1121</v>
      </c>
      <c r="DP646" s="24"/>
      <c r="DQ646" s="24"/>
      <c r="DR646" s="24"/>
      <c r="DS646" s="24"/>
      <c r="EI646" s="24">
        <v>2022</v>
      </c>
      <c r="EJ646" s="24">
        <v>42</v>
      </c>
      <c r="EK646" s="24" t="s">
        <v>237</v>
      </c>
      <c r="EL646" s="24" t="s">
        <v>555</v>
      </c>
      <c r="EM646" s="24" t="s">
        <v>210</v>
      </c>
      <c r="EN646" s="24">
        <v>6</v>
      </c>
      <c r="EO646" s="24"/>
      <c r="EP646" s="24"/>
      <c r="ES646" s="24">
        <v>2018</v>
      </c>
      <c r="ET646" s="24">
        <v>43</v>
      </c>
      <c r="EU646" s="24" t="s">
        <v>33</v>
      </c>
      <c r="EV646" s="24">
        <v>78631</v>
      </c>
      <c r="FW646" s="24">
        <v>2017</v>
      </c>
      <c r="FX646" s="24">
        <v>19</v>
      </c>
      <c r="FY646" s="24" t="s">
        <v>32</v>
      </c>
      <c r="FZ646" s="24">
        <v>1024</v>
      </c>
      <c r="GA646" s="24">
        <v>881</v>
      </c>
      <c r="GD646" s="24"/>
      <c r="GE646" s="24"/>
      <c r="GF646" s="24"/>
      <c r="GG646" s="24"/>
      <c r="GH646" s="24"/>
      <c r="GX646">
        <v>2017</v>
      </c>
      <c r="GY646">
        <v>19</v>
      </c>
      <c r="GZ646" t="s">
        <v>32</v>
      </c>
      <c r="HA646">
        <v>7348</v>
      </c>
      <c r="HB646">
        <v>6750</v>
      </c>
      <c r="HC646">
        <v>0</v>
      </c>
      <c r="HD646">
        <v>3</v>
      </c>
      <c r="HE646">
        <v>0</v>
      </c>
      <c r="HF646">
        <v>2</v>
      </c>
      <c r="HG646">
        <v>0</v>
      </c>
      <c r="HH646">
        <v>0</v>
      </c>
      <c r="HI646">
        <v>165</v>
      </c>
      <c r="HZ646" s="24">
        <v>2017</v>
      </c>
      <c r="IA646" s="24">
        <v>19</v>
      </c>
      <c r="IB646" s="24" t="s">
        <v>32</v>
      </c>
      <c r="IC646" s="24">
        <v>1037</v>
      </c>
      <c r="ID646" s="24">
        <v>921</v>
      </c>
    </row>
    <row r="647" spans="9:238" x14ac:dyDescent="0.4">
      <c r="I647" s="305">
        <v>2017</v>
      </c>
      <c r="J647" s="306">
        <v>19</v>
      </c>
      <c r="K647" s="306" t="s">
        <v>32</v>
      </c>
      <c r="L647" s="306">
        <v>7215</v>
      </c>
      <c r="M647" s="306">
        <v>5594</v>
      </c>
      <c r="N647" s="306">
        <v>52</v>
      </c>
      <c r="O647" s="306">
        <v>1528</v>
      </c>
      <c r="P647" s="306">
        <v>30</v>
      </c>
      <c r="Q647" s="306"/>
      <c r="R647" s="292"/>
      <c r="S647" s="292"/>
      <c r="T647" s="292"/>
      <c r="DJ647" s="24">
        <v>2017</v>
      </c>
      <c r="DK647" s="24">
        <v>47</v>
      </c>
      <c r="DL647" s="24" t="s">
        <v>33</v>
      </c>
      <c r="DM647" s="24">
        <v>332</v>
      </c>
      <c r="DP647" s="24"/>
      <c r="DQ647" s="24"/>
      <c r="DR647" s="24"/>
      <c r="DS647" s="24"/>
      <c r="EI647" s="24">
        <v>2022</v>
      </c>
      <c r="EJ647" s="24">
        <v>42</v>
      </c>
      <c r="EK647" s="24" t="s">
        <v>237</v>
      </c>
      <c r="EL647" s="24" t="s">
        <v>555</v>
      </c>
      <c r="EM647" s="24" t="s">
        <v>215</v>
      </c>
      <c r="EN647" s="24">
        <v>1</v>
      </c>
      <c r="EO647" s="24"/>
      <c r="EP647" s="24"/>
      <c r="ES647" s="24">
        <v>2018</v>
      </c>
      <c r="ET647" s="24">
        <v>42</v>
      </c>
      <c r="EU647" s="24" t="s">
        <v>32</v>
      </c>
      <c r="EV647" s="24">
        <v>2690</v>
      </c>
      <c r="FW647" s="24">
        <v>2017</v>
      </c>
      <c r="FX647" s="24">
        <v>19</v>
      </c>
      <c r="FY647" s="24" t="s">
        <v>33</v>
      </c>
      <c r="FZ647" s="24">
        <v>7422</v>
      </c>
      <c r="GA647" s="24">
        <v>6489</v>
      </c>
      <c r="GD647" s="24"/>
      <c r="GE647" s="24"/>
      <c r="GF647" s="24"/>
      <c r="GG647" s="24"/>
      <c r="GH647" s="24"/>
      <c r="GX647">
        <v>2017</v>
      </c>
      <c r="GY647">
        <v>19</v>
      </c>
      <c r="GZ647" t="s">
        <v>33</v>
      </c>
      <c r="HA647">
        <v>107460</v>
      </c>
      <c r="HB647">
        <v>105899</v>
      </c>
      <c r="HC647">
        <v>0</v>
      </c>
      <c r="HD647">
        <v>29</v>
      </c>
      <c r="HE647">
        <v>0</v>
      </c>
      <c r="HF647">
        <v>100</v>
      </c>
      <c r="HG647">
        <v>0</v>
      </c>
      <c r="HH647">
        <v>0</v>
      </c>
      <c r="HI647">
        <v>587</v>
      </c>
      <c r="HZ647" s="24">
        <v>2017</v>
      </c>
      <c r="IA647" s="24">
        <v>19</v>
      </c>
      <c r="IB647" s="24" t="s">
        <v>33</v>
      </c>
      <c r="IC647" s="24">
        <v>7452</v>
      </c>
      <c r="ID647" s="24">
        <v>6979</v>
      </c>
    </row>
    <row r="648" spans="9:238" x14ac:dyDescent="0.4">
      <c r="I648" s="305">
        <v>2017</v>
      </c>
      <c r="J648" s="306">
        <v>19</v>
      </c>
      <c r="K648" s="306" t="s">
        <v>33</v>
      </c>
      <c r="L648" s="306">
        <v>105506</v>
      </c>
      <c r="M648" s="306">
        <v>57660</v>
      </c>
      <c r="N648" s="306">
        <v>568</v>
      </c>
      <c r="O648" s="306">
        <v>43721</v>
      </c>
      <c r="P648" s="306">
        <v>726</v>
      </c>
      <c r="Q648" s="306"/>
      <c r="R648" s="292"/>
      <c r="S648" s="292"/>
      <c r="T648" s="292"/>
      <c r="DJ648" s="24">
        <v>2017</v>
      </c>
      <c r="DK648" s="24">
        <v>46</v>
      </c>
      <c r="DL648" s="24" t="s">
        <v>32</v>
      </c>
      <c r="DM648" s="24">
        <v>36</v>
      </c>
      <c r="DP648" s="24"/>
      <c r="DQ648" s="24"/>
      <c r="DR648" s="24"/>
      <c r="DS648" s="24"/>
      <c r="EI648" s="24">
        <v>2022</v>
      </c>
      <c r="EJ648" s="24">
        <v>42</v>
      </c>
      <c r="EK648" s="24" t="s">
        <v>237</v>
      </c>
      <c r="EL648" s="24" t="s">
        <v>557</v>
      </c>
      <c r="EM648" s="24" t="s">
        <v>210</v>
      </c>
      <c r="EN648" s="24">
        <v>1</v>
      </c>
      <c r="EO648" s="24"/>
      <c r="EP648" s="24"/>
      <c r="ES648" s="24">
        <v>2018</v>
      </c>
      <c r="ET648" s="24">
        <v>42</v>
      </c>
      <c r="EU648" s="24" t="s">
        <v>33</v>
      </c>
      <c r="EV648" s="24">
        <v>78340</v>
      </c>
      <c r="FW648" s="24">
        <v>2017</v>
      </c>
      <c r="FX648" s="24">
        <v>18</v>
      </c>
      <c r="FY648" s="24" t="s">
        <v>32</v>
      </c>
      <c r="FZ648" s="24">
        <v>569</v>
      </c>
      <c r="GA648" s="24">
        <v>540</v>
      </c>
      <c r="GD648" s="24"/>
      <c r="GE648" s="24"/>
      <c r="GF648" s="24"/>
      <c r="GG648" s="24"/>
      <c r="GH648" s="24"/>
      <c r="GX648">
        <v>2017</v>
      </c>
      <c r="GY648">
        <v>18</v>
      </c>
      <c r="GZ648" t="s">
        <v>32</v>
      </c>
      <c r="HA648">
        <v>6043</v>
      </c>
      <c r="HB648">
        <v>5929</v>
      </c>
      <c r="HC648">
        <v>0</v>
      </c>
      <c r="HD648">
        <v>1</v>
      </c>
      <c r="HE648">
        <v>0</v>
      </c>
      <c r="HF648">
        <v>0</v>
      </c>
      <c r="HG648">
        <v>0</v>
      </c>
      <c r="HH648">
        <v>0</v>
      </c>
      <c r="HI648">
        <v>37</v>
      </c>
      <c r="HZ648" s="24">
        <v>2017</v>
      </c>
      <c r="IA648" s="24">
        <v>18</v>
      </c>
      <c r="IB648" s="24" t="s">
        <v>32</v>
      </c>
      <c r="IC648" s="24">
        <v>593</v>
      </c>
      <c r="ID648" s="24">
        <v>583</v>
      </c>
    </row>
    <row r="649" spans="9:238" x14ac:dyDescent="0.4">
      <c r="I649" s="305">
        <v>2017</v>
      </c>
      <c r="J649" s="306">
        <v>18</v>
      </c>
      <c r="K649" s="306" t="s">
        <v>32</v>
      </c>
      <c r="L649" s="306">
        <v>6415</v>
      </c>
      <c r="M649" s="306">
        <v>5371</v>
      </c>
      <c r="N649" s="306">
        <v>34</v>
      </c>
      <c r="O649" s="306">
        <v>849</v>
      </c>
      <c r="P649" s="306">
        <v>4</v>
      </c>
      <c r="Q649" s="306"/>
      <c r="R649" s="292"/>
      <c r="S649" s="292"/>
      <c r="T649" s="292"/>
      <c r="DJ649" s="24">
        <v>2017</v>
      </c>
      <c r="DK649" s="24">
        <v>46</v>
      </c>
      <c r="DL649" s="24" t="s">
        <v>33</v>
      </c>
      <c r="DM649" s="24">
        <v>1192</v>
      </c>
      <c r="DP649" s="24"/>
      <c r="DQ649" s="24"/>
      <c r="DR649" s="24"/>
      <c r="DS649" s="24"/>
      <c r="EI649" s="24">
        <v>2022</v>
      </c>
      <c r="EJ649" s="24">
        <v>42</v>
      </c>
      <c r="EK649" s="24" t="s">
        <v>237</v>
      </c>
      <c r="EL649" s="24" t="s">
        <v>557</v>
      </c>
      <c r="EM649" s="24" t="s">
        <v>234</v>
      </c>
      <c r="EN649" s="24">
        <v>2</v>
      </c>
      <c r="EO649" s="24"/>
      <c r="EP649" s="24"/>
      <c r="ES649" s="24">
        <v>2018</v>
      </c>
      <c r="ET649" s="24">
        <v>41</v>
      </c>
      <c r="EU649" s="24" t="s">
        <v>32</v>
      </c>
      <c r="EV649" s="24">
        <v>2669</v>
      </c>
      <c r="FW649" s="24">
        <v>2017</v>
      </c>
      <c r="FX649" s="24">
        <v>18</v>
      </c>
      <c r="FY649" s="24" t="s">
        <v>33</v>
      </c>
      <c r="FZ649" s="24">
        <v>7011</v>
      </c>
      <c r="GA649" s="24">
        <v>5399</v>
      </c>
      <c r="GD649" s="24"/>
      <c r="GE649" s="24"/>
      <c r="GF649" s="24"/>
      <c r="GG649" s="24"/>
      <c r="GH649" s="24"/>
      <c r="GX649">
        <v>2017</v>
      </c>
      <c r="GY649">
        <v>18</v>
      </c>
      <c r="GZ649" t="s">
        <v>33</v>
      </c>
      <c r="HA649">
        <v>112883</v>
      </c>
      <c r="HB649">
        <v>110009</v>
      </c>
      <c r="HC649">
        <v>0</v>
      </c>
      <c r="HD649">
        <v>41</v>
      </c>
      <c r="HE649">
        <v>0</v>
      </c>
      <c r="HF649">
        <v>876</v>
      </c>
      <c r="HG649">
        <v>0</v>
      </c>
      <c r="HH649">
        <v>0</v>
      </c>
      <c r="HI649">
        <v>609</v>
      </c>
      <c r="HZ649" s="24">
        <v>2017</v>
      </c>
      <c r="IA649" s="24">
        <v>18</v>
      </c>
      <c r="IB649" s="24" t="s">
        <v>33</v>
      </c>
      <c r="IC649" s="24">
        <v>6914</v>
      </c>
      <c r="ID649" s="24">
        <v>5728</v>
      </c>
    </row>
    <row r="650" spans="9:238" x14ac:dyDescent="0.4">
      <c r="I650" s="305">
        <v>2017</v>
      </c>
      <c r="J650" s="306">
        <v>18</v>
      </c>
      <c r="K650" s="306" t="s">
        <v>33</v>
      </c>
      <c r="L650" s="306">
        <v>112652</v>
      </c>
      <c r="M650" s="306">
        <v>63220</v>
      </c>
      <c r="N650" s="306">
        <v>527</v>
      </c>
      <c r="O650" s="306">
        <v>43738</v>
      </c>
      <c r="P650" s="306">
        <v>726</v>
      </c>
      <c r="Q650" s="306">
        <v>2</v>
      </c>
      <c r="R650" s="292"/>
      <c r="S650" s="292"/>
      <c r="T650" s="292"/>
      <c r="DJ650" s="24">
        <v>2017</v>
      </c>
      <c r="DK650" s="24">
        <v>44</v>
      </c>
      <c r="DL650" s="24" t="s">
        <v>32</v>
      </c>
      <c r="DM650" s="24">
        <v>798</v>
      </c>
      <c r="DP650" s="24"/>
      <c r="DQ650" s="24"/>
      <c r="DR650" s="24"/>
      <c r="DS650" s="24"/>
      <c r="EI650" s="24">
        <v>2022</v>
      </c>
      <c r="EJ650" s="24">
        <v>42</v>
      </c>
      <c r="EK650" s="24" t="s">
        <v>237</v>
      </c>
      <c r="EL650" s="24" t="s">
        <v>557</v>
      </c>
      <c r="EM650" s="24" t="s">
        <v>215</v>
      </c>
      <c r="EN650" s="24">
        <v>26</v>
      </c>
      <c r="EO650" s="24"/>
      <c r="EP650" s="24"/>
      <c r="ES650" s="24">
        <v>2018</v>
      </c>
      <c r="ET650" s="24">
        <v>41</v>
      </c>
      <c r="EU650" s="24" t="s">
        <v>33</v>
      </c>
      <c r="EV650" s="24">
        <v>78227</v>
      </c>
      <c r="FW650" s="24">
        <v>2017</v>
      </c>
      <c r="FX650" s="24">
        <v>17</v>
      </c>
      <c r="FY650" s="24" t="s">
        <v>32</v>
      </c>
      <c r="FZ650" s="24">
        <v>799</v>
      </c>
      <c r="GA650" s="24">
        <v>661</v>
      </c>
      <c r="GD650" s="24"/>
      <c r="GE650" s="24"/>
      <c r="GF650" s="24"/>
      <c r="GG650" s="24"/>
      <c r="GH650" s="24"/>
      <c r="GX650">
        <v>2017</v>
      </c>
      <c r="GY650">
        <v>17</v>
      </c>
      <c r="GZ650" t="s">
        <v>32</v>
      </c>
      <c r="HA650">
        <v>6138</v>
      </c>
      <c r="HB650">
        <v>5985</v>
      </c>
      <c r="HC650">
        <v>0</v>
      </c>
      <c r="HD650">
        <v>2</v>
      </c>
      <c r="HE650">
        <v>0</v>
      </c>
      <c r="HF650">
        <v>0</v>
      </c>
      <c r="HG650">
        <v>0</v>
      </c>
      <c r="HH650">
        <v>0</v>
      </c>
      <c r="HI650">
        <v>38</v>
      </c>
      <c r="HZ650" s="24">
        <v>2017</v>
      </c>
      <c r="IA650" s="24">
        <v>17</v>
      </c>
      <c r="IB650" s="24" t="s">
        <v>32</v>
      </c>
      <c r="IC650" s="24">
        <v>772</v>
      </c>
      <c r="ID650" s="24">
        <v>716</v>
      </c>
    </row>
    <row r="651" spans="9:238" x14ac:dyDescent="0.4">
      <c r="I651" s="305">
        <v>2017</v>
      </c>
      <c r="J651" s="306">
        <v>17</v>
      </c>
      <c r="K651" s="306" t="s">
        <v>32</v>
      </c>
      <c r="L651" s="306">
        <v>5925</v>
      </c>
      <c r="M651" s="306">
        <v>3818</v>
      </c>
      <c r="N651" s="306">
        <v>93</v>
      </c>
      <c r="O651" s="306">
        <v>1780</v>
      </c>
      <c r="P651" s="306">
        <v>64</v>
      </c>
      <c r="Q651" s="306"/>
      <c r="R651" s="292"/>
      <c r="S651" s="292"/>
      <c r="T651" s="292"/>
      <c r="DJ651" s="24">
        <v>2017</v>
      </c>
      <c r="DK651" s="24">
        <v>44</v>
      </c>
      <c r="DL651" s="24" t="s">
        <v>33</v>
      </c>
      <c r="DM651" s="24">
        <v>244</v>
      </c>
      <c r="DP651" s="24"/>
      <c r="DQ651" s="24"/>
      <c r="DR651" s="24"/>
      <c r="DS651" s="24"/>
      <c r="EI651" s="24">
        <v>2022</v>
      </c>
      <c r="EJ651" s="24">
        <v>42</v>
      </c>
      <c r="EK651" s="24" t="s">
        <v>237</v>
      </c>
      <c r="EL651" s="24" t="s">
        <v>233</v>
      </c>
      <c r="EM651" s="24" t="s">
        <v>210</v>
      </c>
      <c r="EN651" s="24">
        <v>4</v>
      </c>
      <c r="EO651" s="24"/>
      <c r="EP651" s="24"/>
      <c r="ES651" s="24">
        <v>2018</v>
      </c>
      <c r="ET651" s="24">
        <v>40</v>
      </c>
      <c r="EU651" s="24" t="s">
        <v>32</v>
      </c>
      <c r="EV651" s="24">
        <v>2515</v>
      </c>
      <c r="FW651" s="24">
        <v>2017</v>
      </c>
      <c r="FX651" s="24">
        <v>17</v>
      </c>
      <c r="FY651" s="24" t="s">
        <v>33</v>
      </c>
      <c r="FZ651" s="24">
        <v>7580</v>
      </c>
      <c r="GA651" s="24">
        <v>6195</v>
      </c>
      <c r="GD651" s="24"/>
      <c r="GE651" s="24"/>
      <c r="GF651" s="24"/>
      <c r="GG651" s="24"/>
      <c r="GH651" s="24"/>
      <c r="GX651">
        <v>2017</v>
      </c>
      <c r="GY651">
        <v>17</v>
      </c>
      <c r="GZ651" t="s">
        <v>33</v>
      </c>
      <c r="HA651">
        <v>106318</v>
      </c>
      <c r="HB651">
        <v>104233</v>
      </c>
      <c r="HC651">
        <v>0</v>
      </c>
      <c r="HD651">
        <v>65</v>
      </c>
      <c r="HE651">
        <v>0</v>
      </c>
      <c r="HF651">
        <v>524</v>
      </c>
      <c r="HG651">
        <v>0</v>
      </c>
      <c r="HH651">
        <v>0</v>
      </c>
      <c r="HI651">
        <v>591</v>
      </c>
      <c r="HZ651" s="24">
        <v>2017</v>
      </c>
      <c r="IA651" s="24">
        <v>17</v>
      </c>
      <c r="IB651" s="24" t="s">
        <v>33</v>
      </c>
      <c r="IC651" s="24">
        <v>7191</v>
      </c>
      <c r="ID651" s="24">
        <v>6369</v>
      </c>
    </row>
    <row r="652" spans="9:238" x14ac:dyDescent="0.4">
      <c r="I652" s="305">
        <v>2017</v>
      </c>
      <c r="J652" s="306">
        <v>17</v>
      </c>
      <c r="K652" s="306" t="s">
        <v>33</v>
      </c>
      <c r="L652" s="306">
        <v>106882</v>
      </c>
      <c r="M652" s="306">
        <v>55510</v>
      </c>
      <c r="N652" s="306">
        <v>566</v>
      </c>
      <c r="O652" s="306">
        <v>43694</v>
      </c>
      <c r="P652" s="306">
        <v>615</v>
      </c>
      <c r="Q652" s="306">
        <v>77</v>
      </c>
      <c r="R652" s="292"/>
      <c r="S652" s="292"/>
      <c r="T652" s="292"/>
      <c r="DJ652" s="24">
        <v>2017</v>
      </c>
      <c r="DK652" s="24">
        <v>43</v>
      </c>
      <c r="DL652" s="24" t="s">
        <v>32</v>
      </c>
      <c r="DM652" s="24">
        <v>1562</v>
      </c>
      <c r="DP652" s="24"/>
      <c r="DQ652" s="24"/>
      <c r="DR652" s="24"/>
      <c r="DS652" s="24"/>
      <c r="EI652" s="24">
        <v>2022</v>
      </c>
      <c r="EJ652" s="24">
        <v>42</v>
      </c>
      <c r="EK652" s="24" t="s">
        <v>237</v>
      </c>
      <c r="EL652" s="24" t="s">
        <v>233</v>
      </c>
      <c r="EM652" s="24" t="s">
        <v>234</v>
      </c>
      <c r="EN652" s="24">
        <v>1</v>
      </c>
      <c r="EO652" s="24"/>
      <c r="EP652" s="24"/>
      <c r="ES652" s="24">
        <v>2018</v>
      </c>
      <c r="ET652" s="24">
        <v>40</v>
      </c>
      <c r="EU652" s="24" t="s">
        <v>33</v>
      </c>
      <c r="EV652" s="24">
        <v>83629</v>
      </c>
      <c r="FW652" s="24">
        <v>2017</v>
      </c>
      <c r="FX652" s="24">
        <v>16</v>
      </c>
      <c r="FY652" s="24" t="s">
        <v>32</v>
      </c>
      <c r="FZ652" s="24">
        <v>709</v>
      </c>
      <c r="GA652" s="24">
        <v>646</v>
      </c>
      <c r="GD652" s="24"/>
      <c r="GE652" s="24"/>
      <c r="GF652" s="24"/>
      <c r="GG652" s="24"/>
      <c r="GH652" s="24"/>
      <c r="GX652">
        <v>2017</v>
      </c>
      <c r="GY652">
        <v>16</v>
      </c>
      <c r="GZ652" t="s">
        <v>32</v>
      </c>
      <c r="HA652">
        <v>5327</v>
      </c>
      <c r="HB652">
        <v>5181</v>
      </c>
      <c r="HC652">
        <v>0</v>
      </c>
      <c r="HD652">
        <v>0</v>
      </c>
      <c r="HE652">
        <v>0</v>
      </c>
      <c r="HF652">
        <v>3</v>
      </c>
      <c r="HG652">
        <v>0</v>
      </c>
      <c r="HH652">
        <v>0</v>
      </c>
      <c r="HI652">
        <v>45</v>
      </c>
      <c r="HZ652" s="24">
        <v>2017</v>
      </c>
      <c r="IA652" s="24">
        <v>16</v>
      </c>
      <c r="IB652" s="24" t="s">
        <v>32</v>
      </c>
      <c r="IC652" s="24">
        <v>711</v>
      </c>
      <c r="ID652" s="24">
        <v>663</v>
      </c>
    </row>
    <row r="653" spans="9:238" x14ac:dyDescent="0.4">
      <c r="I653" s="305">
        <v>2017</v>
      </c>
      <c r="J653" s="306">
        <v>16</v>
      </c>
      <c r="K653" s="306" t="s">
        <v>32</v>
      </c>
      <c r="L653" s="306">
        <v>5398</v>
      </c>
      <c r="M653" s="306">
        <v>3764</v>
      </c>
      <c r="N653" s="306">
        <v>58</v>
      </c>
      <c r="O653" s="306">
        <v>1495</v>
      </c>
      <c r="P653" s="306">
        <v>20</v>
      </c>
      <c r="Q653" s="306"/>
      <c r="R653" s="292"/>
      <c r="S653" s="292"/>
      <c r="T653" s="292"/>
      <c r="DJ653" s="307">
        <v>2017</v>
      </c>
      <c r="DK653" s="307">
        <v>43</v>
      </c>
      <c r="DL653" s="307" t="s">
        <v>33</v>
      </c>
      <c r="DM653" s="307">
        <v>333</v>
      </c>
      <c r="DP653" s="24"/>
      <c r="DQ653" s="24"/>
      <c r="DR653" s="24"/>
      <c r="DS653" s="24"/>
      <c r="EI653" s="24">
        <v>2022</v>
      </c>
      <c r="EJ653" s="24">
        <v>42</v>
      </c>
      <c r="EK653" s="24" t="s">
        <v>237</v>
      </c>
      <c r="EL653" s="24" t="s">
        <v>233</v>
      </c>
      <c r="EM653" s="24" t="s">
        <v>215</v>
      </c>
      <c r="EN653" s="24">
        <v>15</v>
      </c>
      <c r="EO653" s="24"/>
      <c r="EP653" s="24"/>
      <c r="ES653" s="24">
        <v>2018</v>
      </c>
      <c r="ET653" s="24">
        <v>39</v>
      </c>
      <c r="EU653" s="24" t="s">
        <v>32</v>
      </c>
      <c r="EV653" s="24">
        <v>2625</v>
      </c>
      <c r="FW653" s="24">
        <v>2017</v>
      </c>
      <c r="FX653" s="24">
        <v>16</v>
      </c>
      <c r="FY653" s="24" t="s">
        <v>33</v>
      </c>
      <c r="FZ653" s="24">
        <v>7677</v>
      </c>
      <c r="GA653" s="24">
        <v>5650</v>
      </c>
      <c r="GD653" s="24"/>
      <c r="GE653" s="24"/>
      <c r="GF653" s="24"/>
      <c r="GG653" s="24"/>
      <c r="GH653" s="24"/>
      <c r="GX653">
        <v>2017</v>
      </c>
      <c r="GY653">
        <v>16</v>
      </c>
      <c r="GZ653" t="s">
        <v>33</v>
      </c>
      <c r="HA653">
        <v>112502</v>
      </c>
      <c r="HB653">
        <v>109719</v>
      </c>
      <c r="HC653">
        <v>0</v>
      </c>
      <c r="HD653">
        <v>78</v>
      </c>
      <c r="HE653">
        <v>0</v>
      </c>
      <c r="HF653">
        <v>1115</v>
      </c>
      <c r="HG653">
        <v>0</v>
      </c>
      <c r="HH653">
        <v>0</v>
      </c>
      <c r="HI653">
        <v>720</v>
      </c>
      <c r="HZ653" s="24">
        <v>2017</v>
      </c>
      <c r="IA653" s="24">
        <v>16</v>
      </c>
      <c r="IB653" s="24" t="s">
        <v>33</v>
      </c>
      <c r="IC653" s="24">
        <v>8162</v>
      </c>
      <c r="ID653" s="24">
        <v>6581</v>
      </c>
    </row>
    <row r="654" spans="9:238" x14ac:dyDescent="0.4">
      <c r="I654" s="305">
        <v>2017</v>
      </c>
      <c r="J654" s="306">
        <v>16</v>
      </c>
      <c r="K654" s="306" t="s">
        <v>33</v>
      </c>
      <c r="L654" s="306">
        <v>112882</v>
      </c>
      <c r="M654" s="306">
        <v>58349</v>
      </c>
      <c r="N654" s="306">
        <v>644</v>
      </c>
      <c r="O654" s="306">
        <v>49441</v>
      </c>
      <c r="P654" s="306">
        <v>691</v>
      </c>
      <c r="Q654" s="306">
        <v>29</v>
      </c>
      <c r="R654" s="292"/>
      <c r="S654" s="292"/>
      <c r="T654" s="292"/>
      <c r="DJ654" s="307">
        <v>2017</v>
      </c>
      <c r="DK654" s="307">
        <v>42</v>
      </c>
      <c r="DL654" s="307" t="s">
        <v>32</v>
      </c>
      <c r="DM654" s="307">
        <v>670</v>
      </c>
      <c r="DP654" s="24"/>
      <c r="DQ654" s="24"/>
      <c r="DR654" s="24"/>
      <c r="DS654" s="24"/>
      <c r="EI654" s="24">
        <v>2022</v>
      </c>
      <c r="EJ654" s="24">
        <v>42</v>
      </c>
      <c r="EK654" s="24" t="s">
        <v>237</v>
      </c>
      <c r="EL654" s="24" t="s">
        <v>554</v>
      </c>
      <c r="EM654" s="24" t="s">
        <v>215</v>
      </c>
      <c r="EN654" s="24">
        <v>1</v>
      </c>
      <c r="EO654" s="24"/>
      <c r="EP654" s="24"/>
      <c r="ES654" s="24">
        <v>2018</v>
      </c>
      <c r="ET654" s="24">
        <v>39</v>
      </c>
      <c r="EU654" s="24" t="s">
        <v>33</v>
      </c>
      <c r="EV654" s="24">
        <v>82105</v>
      </c>
      <c r="FW654" s="24">
        <v>2017</v>
      </c>
      <c r="FX654" s="24">
        <v>15</v>
      </c>
      <c r="FY654" s="24" t="s">
        <v>32</v>
      </c>
      <c r="FZ654" s="24">
        <v>722</v>
      </c>
      <c r="GA654" s="24">
        <v>615</v>
      </c>
      <c r="GD654" s="24"/>
      <c r="GE654" s="24"/>
      <c r="GF654" s="24"/>
      <c r="GG654" s="24"/>
      <c r="GH654" s="24"/>
      <c r="GX654">
        <v>2017</v>
      </c>
      <c r="GY654">
        <v>15</v>
      </c>
      <c r="GZ654" t="s">
        <v>32</v>
      </c>
      <c r="HA654">
        <v>6445</v>
      </c>
      <c r="HB654">
        <v>6313</v>
      </c>
      <c r="HC654">
        <v>0</v>
      </c>
      <c r="HD654">
        <v>1</v>
      </c>
      <c r="HE654">
        <v>0</v>
      </c>
      <c r="HF654">
        <v>1</v>
      </c>
      <c r="HG654">
        <v>0</v>
      </c>
      <c r="HH654">
        <v>0</v>
      </c>
      <c r="HI654">
        <v>58</v>
      </c>
      <c r="HZ654" s="24">
        <v>2017</v>
      </c>
      <c r="IA654" s="24">
        <v>15</v>
      </c>
      <c r="IB654" s="24" t="s">
        <v>32</v>
      </c>
      <c r="IC654" s="24">
        <v>716</v>
      </c>
      <c r="ID654" s="24">
        <v>670</v>
      </c>
    </row>
    <row r="655" spans="9:238" x14ac:dyDescent="0.4">
      <c r="I655" s="305">
        <v>2017</v>
      </c>
      <c r="J655" s="306">
        <v>15</v>
      </c>
      <c r="K655" s="306" t="s">
        <v>32</v>
      </c>
      <c r="L655" s="306">
        <v>6421</v>
      </c>
      <c r="M655" s="306">
        <v>4129</v>
      </c>
      <c r="N655" s="306">
        <v>44</v>
      </c>
      <c r="O655" s="306">
        <v>1964</v>
      </c>
      <c r="P655" s="306">
        <v>38</v>
      </c>
      <c r="Q655" s="306">
        <v>1</v>
      </c>
      <c r="R655" s="292"/>
      <c r="S655" s="292"/>
      <c r="T655" s="292"/>
      <c r="DJ655" s="307">
        <v>2017</v>
      </c>
      <c r="DK655" s="307">
        <v>42</v>
      </c>
      <c r="DL655" s="307" t="s">
        <v>33</v>
      </c>
      <c r="DM655" s="307">
        <v>148</v>
      </c>
      <c r="DP655" s="24"/>
      <c r="DQ655" s="24"/>
      <c r="DR655" s="24"/>
      <c r="DS655" s="24"/>
      <c r="EI655" s="24">
        <v>2022</v>
      </c>
      <c r="EJ655" s="24">
        <v>42</v>
      </c>
      <c r="EK655" s="24" t="s">
        <v>237</v>
      </c>
      <c r="EL655" s="24" t="s">
        <v>235</v>
      </c>
      <c r="EM655" s="24" t="s">
        <v>210</v>
      </c>
      <c r="EN655" s="24">
        <v>6</v>
      </c>
      <c r="EO655" s="24"/>
      <c r="EP655" s="24"/>
      <c r="ES655" s="24">
        <v>2018</v>
      </c>
      <c r="ET655" s="24">
        <v>38</v>
      </c>
      <c r="EU655" s="24" t="s">
        <v>32</v>
      </c>
      <c r="EV655" s="24">
        <v>2454</v>
      </c>
      <c r="FW655" s="24">
        <v>2017</v>
      </c>
      <c r="FX655" s="24">
        <v>15</v>
      </c>
      <c r="FY655" s="24" t="s">
        <v>33</v>
      </c>
      <c r="FZ655" s="24">
        <v>6625</v>
      </c>
      <c r="GA655" s="24">
        <v>5214</v>
      </c>
      <c r="GD655" s="24"/>
      <c r="GE655" s="24"/>
      <c r="GF655" s="24"/>
      <c r="GG655" s="24"/>
      <c r="GH655" s="24"/>
      <c r="GX655">
        <v>2017</v>
      </c>
      <c r="GY655">
        <v>15</v>
      </c>
      <c r="GZ655" t="s">
        <v>33</v>
      </c>
      <c r="HA655">
        <v>105688</v>
      </c>
      <c r="HB655">
        <v>103156</v>
      </c>
      <c r="HC655">
        <v>1</v>
      </c>
      <c r="HD655">
        <v>205</v>
      </c>
      <c r="HE655">
        <v>0</v>
      </c>
      <c r="HF655">
        <v>667</v>
      </c>
      <c r="HG655">
        <v>1</v>
      </c>
      <c r="HH655">
        <v>0</v>
      </c>
      <c r="HI655">
        <v>471</v>
      </c>
      <c r="HZ655" s="24">
        <v>2017</v>
      </c>
      <c r="IA655" s="24">
        <v>15</v>
      </c>
      <c r="IB655" s="24" t="s">
        <v>33</v>
      </c>
      <c r="IC655" s="24">
        <v>6806</v>
      </c>
      <c r="ID655" s="24">
        <v>5787</v>
      </c>
    </row>
    <row r="656" spans="9:238" x14ac:dyDescent="0.4">
      <c r="I656" s="305">
        <v>2017</v>
      </c>
      <c r="J656" s="306">
        <v>15</v>
      </c>
      <c r="K656" s="306" t="s">
        <v>33</v>
      </c>
      <c r="L656" s="306">
        <v>104198</v>
      </c>
      <c r="M656" s="306">
        <v>53481</v>
      </c>
      <c r="N656" s="306">
        <v>634</v>
      </c>
      <c r="O656" s="306">
        <v>43147</v>
      </c>
      <c r="P656" s="306">
        <v>530</v>
      </c>
      <c r="Q656" s="306">
        <v>3</v>
      </c>
      <c r="R656" s="292"/>
      <c r="S656" s="292"/>
      <c r="T656" s="292"/>
      <c r="DJ656" s="307">
        <v>2017</v>
      </c>
      <c r="DK656" s="307">
        <v>41</v>
      </c>
      <c r="DL656" s="307" t="s">
        <v>32</v>
      </c>
      <c r="DM656" s="307">
        <v>957</v>
      </c>
      <c r="DP656" s="24"/>
      <c r="DQ656" s="24"/>
      <c r="DR656" s="24"/>
      <c r="DS656" s="24"/>
      <c r="EI656" s="24">
        <v>2022</v>
      </c>
      <c r="EJ656" s="24">
        <v>42</v>
      </c>
      <c r="EK656" s="24" t="s">
        <v>237</v>
      </c>
      <c r="EL656" s="24" t="s">
        <v>235</v>
      </c>
      <c r="EM656" s="24" t="s">
        <v>234</v>
      </c>
      <c r="EN656" s="24">
        <v>1</v>
      </c>
      <c r="EO656" s="24"/>
      <c r="EP656" s="24"/>
      <c r="ES656" s="24">
        <v>2018</v>
      </c>
      <c r="ET656" s="24">
        <v>38</v>
      </c>
      <c r="EU656" s="24" t="s">
        <v>33</v>
      </c>
      <c r="EV656" s="24">
        <v>86150</v>
      </c>
      <c r="FW656" s="24">
        <v>2017</v>
      </c>
      <c r="FX656" s="24">
        <v>14</v>
      </c>
      <c r="FY656" s="24" t="s">
        <v>32</v>
      </c>
      <c r="FZ656" s="24">
        <v>715</v>
      </c>
      <c r="GA656" s="24">
        <v>588</v>
      </c>
      <c r="GD656" s="24"/>
      <c r="GE656" s="24"/>
      <c r="GF656" s="24"/>
      <c r="GG656" s="24"/>
      <c r="GH656" s="24"/>
      <c r="GX656">
        <v>2017</v>
      </c>
      <c r="GY656">
        <v>14</v>
      </c>
      <c r="GZ656" t="s">
        <v>32</v>
      </c>
      <c r="HA656">
        <v>6706</v>
      </c>
      <c r="HB656">
        <v>6510</v>
      </c>
      <c r="HC656">
        <v>0</v>
      </c>
      <c r="HD656">
        <v>2</v>
      </c>
      <c r="HE656">
        <v>0</v>
      </c>
      <c r="HF656">
        <v>11</v>
      </c>
      <c r="HG656">
        <v>0</v>
      </c>
      <c r="HH656">
        <v>0</v>
      </c>
      <c r="HI656">
        <v>54</v>
      </c>
      <c r="HZ656" s="24">
        <v>2017</v>
      </c>
      <c r="IA656" s="24">
        <v>14</v>
      </c>
      <c r="IB656" s="24" t="s">
        <v>32</v>
      </c>
      <c r="IC656" s="24">
        <v>720</v>
      </c>
      <c r="ID656" s="24">
        <v>627</v>
      </c>
    </row>
    <row r="657" spans="9:238" x14ac:dyDescent="0.4">
      <c r="I657" s="305">
        <v>2017</v>
      </c>
      <c r="J657" s="306">
        <v>14</v>
      </c>
      <c r="K657" s="306" t="s">
        <v>32</v>
      </c>
      <c r="L657" s="306">
        <v>7110</v>
      </c>
      <c r="M657" s="306">
        <v>4873</v>
      </c>
      <c r="N657" s="306">
        <v>64</v>
      </c>
      <c r="O657" s="306">
        <v>1928</v>
      </c>
      <c r="P657" s="306">
        <v>24</v>
      </c>
      <c r="Q657" s="306">
        <v>1</v>
      </c>
      <c r="R657" s="292"/>
      <c r="S657" s="292"/>
      <c r="T657" s="292"/>
      <c r="DJ657" s="307">
        <v>2017</v>
      </c>
      <c r="DK657" s="307">
        <v>41</v>
      </c>
      <c r="DL657" s="307" t="s">
        <v>33</v>
      </c>
      <c r="DM657" s="307">
        <v>770</v>
      </c>
      <c r="DP657" s="24"/>
      <c r="DQ657" s="24"/>
      <c r="DR657" s="24"/>
      <c r="DS657" s="24"/>
      <c r="EI657" s="24">
        <v>2022</v>
      </c>
      <c r="EJ657" s="24">
        <v>42</v>
      </c>
      <c r="EK657" s="24" t="s">
        <v>237</v>
      </c>
      <c r="EL657" s="24" t="s">
        <v>235</v>
      </c>
      <c r="EM657" s="24" t="s">
        <v>215</v>
      </c>
      <c r="EN657" s="24">
        <v>3</v>
      </c>
      <c r="EO657" s="24"/>
      <c r="EP657" s="24"/>
      <c r="ES657" s="24">
        <v>2018</v>
      </c>
      <c r="ET657" s="24">
        <v>37</v>
      </c>
      <c r="EU657" s="24" t="s">
        <v>32</v>
      </c>
      <c r="EV657" s="24">
        <v>2703</v>
      </c>
      <c r="FW657" s="24">
        <v>2017</v>
      </c>
      <c r="FX657" s="24">
        <v>14</v>
      </c>
      <c r="FY657" s="24" t="s">
        <v>33</v>
      </c>
      <c r="FZ657" s="24">
        <v>8426</v>
      </c>
      <c r="GA657" s="24">
        <v>5667</v>
      </c>
      <c r="GD657" s="24"/>
      <c r="GE657" s="24"/>
      <c r="GF657" s="24"/>
      <c r="GG657" s="24"/>
      <c r="GH657" s="24"/>
      <c r="GX657">
        <v>2017</v>
      </c>
      <c r="GY657">
        <v>14</v>
      </c>
      <c r="GZ657" t="s">
        <v>33</v>
      </c>
      <c r="HA657">
        <v>99119</v>
      </c>
      <c r="HB657">
        <v>96162</v>
      </c>
      <c r="HC657">
        <v>0</v>
      </c>
      <c r="HD657">
        <v>240</v>
      </c>
      <c r="HE657">
        <v>0</v>
      </c>
      <c r="HF657">
        <v>1207</v>
      </c>
      <c r="HG657">
        <v>0</v>
      </c>
      <c r="HH657">
        <v>0</v>
      </c>
      <c r="HI657">
        <v>724</v>
      </c>
      <c r="HZ657" s="24">
        <v>2017</v>
      </c>
      <c r="IA657" s="24">
        <v>14</v>
      </c>
      <c r="IB657" s="24" t="s">
        <v>33</v>
      </c>
      <c r="IC657" s="24">
        <v>7787</v>
      </c>
      <c r="ID657" s="24">
        <v>5939</v>
      </c>
    </row>
    <row r="658" spans="9:238" x14ac:dyDescent="0.4">
      <c r="I658" s="305">
        <v>2017</v>
      </c>
      <c r="J658" s="306">
        <v>14</v>
      </c>
      <c r="K658" s="306" t="s">
        <v>33</v>
      </c>
      <c r="L658" s="306">
        <v>100993</v>
      </c>
      <c r="M658" s="306">
        <v>53140</v>
      </c>
      <c r="N658" s="306">
        <v>673</v>
      </c>
      <c r="O658" s="306">
        <v>41652</v>
      </c>
      <c r="P658" s="306">
        <v>652</v>
      </c>
      <c r="Q658" s="306">
        <v>4</v>
      </c>
      <c r="R658" s="292"/>
      <c r="S658" s="292"/>
      <c r="T658" s="292"/>
      <c r="DJ658" s="307">
        <v>2017</v>
      </c>
      <c r="DK658" s="307">
        <v>40</v>
      </c>
      <c r="DL658" s="307" t="s">
        <v>32</v>
      </c>
      <c r="DM658" s="307">
        <v>246</v>
      </c>
      <c r="DP658" s="24"/>
      <c r="DQ658" s="24"/>
      <c r="DR658" s="24"/>
      <c r="DS658" s="24"/>
      <c r="EI658" s="24">
        <v>2022</v>
      </c>
      <c r="EJ658" s="24">
        <v>42</v>
      </c>
      <c r="EK658" s="24" t="s">
        <v>237</v>
      </c>
      <c r="EL658" s="24" t="s">
        <v>247</v>
      </c>
      <c r="EM658" s="24" t="s">
        <v>210</v>
      </c>
      <c r="EN658" s="24">
        <v>3</v>
      </c>
      <c r="EO658" s="24"/>
      <c r="EP658" s="24"/>
      <c r="ES658" s="24">
        <v>2018</v>
      </c>
      <c r="ET658" s="24">
        <v>37</v>
      </c>
      <c r="EU658" s="24" t="s">
        <v>33</v>
      </c>
      <c r="EV658" s="24">
        <v>80665</v>
      </c>
      <c r="FW658" s="24">
        <v>2017</v>
      </c>
      <c r="FX658" s="24">
        <v>13</v>
      </c>
      <c r="FY658" s="24" t="s">
        <v>32</v>
      </c>
      <c r="FZ658" s="24">
        <v>747</v>
      </c>
      <c r="GA658" s="24">
        <v>660</v>
      </c>
      <c r="GD658" s="24"/>
      <c r="GE658" s="24"/>
      <c r="GF658" s="24"/>
      <c r="GG658" s="24"/>
      <c r="GH658" s="24"/>
      <c r="GX658">
        <v>2017</v>
      </c>
      <c r="GY658">
        <v>13</v>
      </c>
      <c r="GZ658" t="s">
        <v>32</v>
      </c>
      <c r="HA658">
        <v>6528</v>
      </c>
      <c r="HB658">
        <v>6340</v>
      </c>
      <c r="HC658">
        <v>0</v>
      </c>
      <c r="HD658">
        <v>14</v>
      </c>
      <c r="HE658">
        <v>0</v>
      </c>
      <c r="HF658">
        <v>1</v>
      </c>
      <c r="HG658">
        <v>0</v>
      </c>
      <c r="HH658">
        <v>0</v>
      </c>
      <c r="HI658">
        <v>75</v>
      </c>
      <c r="HZ658" s="24">
        <v>2017</v>
      </c>
      <c r="IA658" s="24">
        <v>13</v>
      </c>
      <c r="IB658" s="24" t="s">
        <v>32</v>
      </c>
      <c r="IC658" s="24">
        <v>770</v>
      </c>
      <c r="ID658" s="24">
        <v>713</v>
      </c>
    </row>
    <row r="659" spans="9:238" x14ac:dyDescent="0.4">
      <c r="I659" s="305">
        <v>2017</v>
      </c>
      <c r="J659" s="306">
        <v>13</v>
      </c>
      <c r="K659" s="306" t="s">
        <v>32</v>
      </c>
      <c r="L659" s="306">
        <v>5962</v>
      </c>
      <c r="M659" s="306">
        <v>4262</v>
      </c>
      <c r="N659" s="306">
        <v>46</v>
      </c>
      <c r="O659" s="306">
        <v>1483</v>
      </c>
      <c r="P659" s="306">
        <v>32</v>
      </c>
      <c r="Q659" s="306"/>
      <c r="R659" s="292"/>
      <c r="S659" s="292"/>
      <c r="T659" s="292"/>
      <c r="DJ659" s="307">
        <v>2017</v>
      </c>
      <c r="DK659" s="307">
        <v>40</v>
      </c>
      <c r="DL659" s="307" t="s">
        <v>33</v>
      </c>
      <c r="DM659" s="307">
        <v>1495</v>
      </c>
      <c r="DP659" s="24"/>
      <c r="DQ659" s="24"/>
      <c r="DR659" s="24"/>
      <c r="DS659" s="24"/>
      <c r="EI659" s="24">
        <v>2022</v>
      </c>
      <c r="EJ659" s="24">
        <v>42</v>
      </c>
      <c r="EK659" s="24" t="s">
        <v>211</v>
      </c>
      <c r="EL659" s="24" t="s">
        <v>232</v>
      </c>
      <c r="EM659" s="24" t="s">
        <v>234</v>
      </c>
      <c r="EN659" s="24">
        <v>2</v>
      </c>
      <c r="EO659" s="24"/>
      <c r="EP659" s="24"/>
      <c r="ES659" s="24">
        <v>2018</v>
      </c>
      <c r="ET659" s="24">
        <v>36</v>
      </c>
      <c r="EU659" s="24" t="s">
        <v>32</v>
      </c>
      <c r="EV659" s="24">
        <v>3221</v>
      </c>
      <c r="FW659" s="24">
        <v>2017</v>
      </c>
      <c r="FX659" s="24">
        <v>13</v>
      </c>
      <c r="FY659" s="24" t="s">
        <v>33</v>
      </c>
      <c r="FZ659" s="24">
        <v>10806</v>
      </c>
      <c r="GA659" s="24">
        <v>5646</v>
      </c>
      <c r="GD659" s="24"/>
      <c r="GE659" s="24"/>
      <c r="GF659" s="24"/>
      <c r="GG659" s="24"/>
      <c r="GH659" s="24"/>
      <c r="GX659">
        <v>2017</v>
      </c>
      <c r="GY659">
        <v>13</v>
      </c>
      <c r="GZ659" t="s">
        <v>33</v>
      </c>
      <c r="HA659">
        <v>103826</v>
      </c>
      <c r="HB659">
        <v>97347</v>
      </c>
      <c r="HC659">
        <v>2</v>
      </c>
      <c r="HD659">
        <v>209</v>
      </c>
      <c r="HE659">
        <v>0</v>
      </c>
      <c r="HF659">
        <v>3944</v>
      </c>
      <c r="HG659">
        <v>0</v>
      </c>
      <c r="HH659">
        <v>0</v>
      </c>
      <c r="HI659">
        <v>1316</v>
      </c>
      <c r="HZ659" s="24">
        <v>2017</v>
      </c>
      <c r="IA659" s="24">
        <v>13</v>
      </c>
      <c r="IB659" s="24" t="s">
        <v>33</v>
      </c>
      <c r="IC659" s="24">
        <v>10967</v>
      </c>
      <c r="ID659" s="24">
        <v>6322</v>
      </c>
    </row>
    <row r="660" spans="9:238" x14ac:dyDescent="0.4">
      <c r="I660" s="305">
        <v>2017</v>
      </c>
      <c r="J660" s="306">
        <v>13</v>
      </c>
      <c r="K660" s="306" t="s">
        <v>33</v>
      </c>
      <c r="L660" s="306">
        <v>103694</v>
      </c>
      <c r="M660" s="306">
        <v>54266</v>
      </c>
      <c r="N660" s="306">
        <v>686</v>
      </c>
      <c r="O660" s="306">
        <v>42962</v>
      </c>
      <c r="P660" s="306">
        <v>849</v>
      </c>
      <c r="Q660" s="306">
        <v>38</v>
      </c>
      <c r="R660" s="292"/>
      <c r="S660" s="292"/>
      <c r="T660" s="292"/>
      <c r="DJ660" s="307">
        <v>2017</v>
      </c>
      <c r="DK660" s="307">
        <v>39</v>
      </c>
      <c r="DL660" s="307" t="s">
        <v>32</v>
      </c>
      <c r="DM660" s="307">
        <v>1206</v>
      </c>
      <c r="DP660" s="24"/>
      <c r="DQ660" s="24"/>
      <c r="DR660" s="24"/>
      <c r="DS660" s="24"/>
      <c r="EI660" s="24">
        <v>2022</v>
      </c>
      <c r="EJ660" s="24">
        <v>42</v>
      </c>
      <c r="EK660" s="24" t="s">
        <v>211</v>
      </c>
      <c r="EL660" s="24" t="s">
        <v>212</v>
      </c>
      <c r="EM660" s="24" t="s">
        <v>210</v>
      </c>
      <c r="EN660" s="24">
        <v>14</v>
      </c>
      <c r="EO660" s="24"/>
      <c r="EP660" s="24"/>
      <c r="ES660" s="24">
        <v>2018</v>
      </c>
      <c r="ET660" s="24">
        <v>36</v>
      </c>
      <c r="EU660" s="24" t="s">
        <v>33</v>
      </c>
      <c r="EV660" s="24">
        <v>75602</v>
      </c>
      <c r="FW660" s="24">
        <v>2017</v>
      </c>
      <c r="FX660" s="24">
        <v>12</v>
      </c>
      <c r="FY660" s="24" t="s">
        <v>32</v>
      </c>
      <c r="FZ660" s="24">
        <v>599</v>
      </c>
      <c r="GA660" s="24">
        <v>488</v>
      </c>
      <c r="GD660" s="24"/>
      <c r="GE660" s="24"/>
      <c r="GF660" s="24"/>
      <c r="GG660" s="24"/>
      <c r="GH660" s="24"/>
      <c r="GX660">
        <v>2017</v>
      </c>
      <c r="GY660">
        <v>12</v>
      </c>
      <c r="GZ660" t="s">
        <v>32</v>
      </c>
      <c r="HA660">
        <v>4741</v>
      </c>
      <c r="HB660">
        <v>4616</v>
      </c>
      <c r="HC660">
        <v>0</v>
      </c>
      <c r="HD660">
        <v>1</v>
      </c>
      <c r="HE660">
        <v>0</v>
      </c>
      <c r="HF660">
        <v>5</v>
      </c>
      <c r="HG660">
        <v>0</v>
      </c>
      <c r="HH660">
        <v>0</v>
      </c>
      <c r="HI660">
        <v>29</v>
      </c>
      <c r="HZ660" s="24">
        <v>2017</v>
      </c>
      <c r="IA660" s="24">
        <v>12</v>
      </c>
      <c r="IB660" s="24" t="s">
        <v>32</v>
      </c>
      <c r="IC660" s="24">
        <v>602</v>
      </c>
      <c r="ID660" s="24">
        <v>568</v>
      </c>
    </row>
    <row r="661" spans="9:238" x14ac:dyDescent="0.4">
      <c r="I661" s="305">
        <v>2017</v>
      </c>
      <c r="J661" s="306">
        <v>12</v>
      </c>
      <c r="K661" s="306" t="s">
        <v>32</v>
      </c>
      <c r="L661" s="306">
        <v>4793</v>
      </c>
      <c r="M661" s="306">
        <v>2954</v>
      </c>
      <c r="N661" s="306">
        <v>101</v>
      </c>
      <c r="O661" s="306">
        <v>1599</v>
      </c>
      <c r="P661" s="306">
        <v>17</v>
      </c>
      <c r="Q661" s="306"/>
      <c r="R661" s="292"/>
      <c r="S661" s="292"/>
      <c r="T661" s="292"/>
      <c r="DJ661" s="24">
        <v>2017</v>
      </c>
      <c r="DK661" s="24">
        <v>39</v>
      </c>
      <c r="DL661" s="24" t="s">
        <v>33</v>
      </c>
      <c r="DM661" s="24">
        <v>108</v>
      </c>
      <c r="DP661" s="24"/>
      <c r="DQ661" s="24"/>
      <c r="DR661" s="24"/>
      <c r="DS661" s="24"/>
      <c r="EI661" s="24">
        <v>2022</v>
      </c>
      <c r="EJ661" s="24">
        <v>42</v>
      </c>
      <c r="EK661" s="24" t="s">
        <v>211</v>
      </c>
      <c r="EL661" s="24" t="s">
        <v>212</v>
      </c>
      <c r="EM661" s="24" t="s">
        <v>234</v>
      </c>
      <c r="EN661" s="24">
        <v>23</v>
      </c>
      <c r="EO661" s="24"/>
      <c r="EP661" s="24"/>
      <c r="ES661" s="24">
        <v>2018</v>
      </c>
      <c r="ET661" s="24">
        <v>35</v>
      </c>
      <c r="EU661" s="24" t="s">
        <v>32</v>
      </c>
      <c r="EV661" s="24">
        <v>1844</v>
      </c>
      <c r="FW661" s="24">
        <v>2017</v>
      </c>
      <c r="FX661" s="24">
        <v>12</v>
      </c>
      <c r="FY661" s="24" t="s">
        <v>33</v>
      </c>
      <c r="FZ661" s="24">
        <v>6632</v>
      </c>
      <c r="GA661" s="24">
        <v>4728</v>
      </c>
      <c r="GD661" s="24"/>
      <c r="GE661" s="24"/>
      <c r="GF661" s="24"/>
      <c r="GG661" s="24"/>
      <c r="GH661" s="24"/>
      <c r="GX661">
        <v>2017</v>
      </c>
      <c r="GY661">
        <v>12</v>
      </c>
      <c r="GZ661" t="s">
        <v>33</v>
      </c>
      <c r="HA661">
        <v>101961</v>
      </c>
      <c r="HB661">
        <v>97011</v>
      </c>
      <c r="HC661">
        <v>1</v>
      </c>
      <c r="HD661">
        <v>314</v>
      </c>
      <c r="HE661">
        <v>0</v>
      </c>
      <c r="HF661">
        <v>1383</v>
      </c>
      <c r="HG661">
        <v>0</v>
      </c>
      <c r="HH661">
        <v>0</v>
      </c>
      <c r="HI661">
        <v>1027</v>
      </c>
      <c r="HZ661" s="24">
        <v>2017</v>
      </c>
      <c r="IA661" s="24">
        <v>12</v>
      </c>
      <c r="IB661" s="24" t="s">
        <v>33</v>
      </c>
      <c r="IC661" s="24">
        <v>6931</v>
      </c>
      <c r="ID661" s="24">
        <v>5184</v>
      </c>
    </row>
    <row r="662" spans="9:238" x14ac:dyDescent="0.4">
      <c r="I662" s="305">
        <v>2017</v>
      </c>
      <c r="J662" s="306">
        <v>12</v>
      </c>
      <c r="K662" s="306" t="s">
        <v>33</v>
      </c>
      <c r="L662" s="306">
        <v>101462</v>
      </c>
      <c r="M662" s="306">
        <v>51464</v>
      </c>
      <c r="N662" s="306">
        <v>792</v>
      </c>
      <c r="O662" s="306">
        <v>44088</v>
      </c>
      <c r="P662" s="306">
        <v>803</v>
      </c>
      <c r="Q662" s="306">
        <v>17</v>
      </c>
      <c r="R662" s="292"/>
      <c r="S662" s="292"/>
      <c r="T662" s="292"/>
      <c r="DJ662" s="24">
        <v>2017</v>
      </c>
      <c r="DK662" s="24">
        <v>38</v>
      </c>
      <c r="DL662" s="24" t="s">
        <v>32</v>
      </c>
      <c r="DM662" s="24">
        <v>251</v>
      </c>
      <c r="DP662" s="24"/>
      <c r="DQ662" s="24"/>
      <c r="DR662" s="24"/>
      <c r="DS662" s="24"/>
      <c r="EI662" s="24">
        <v>2022</v>
      </c>
      <c r="EJ662" s="24">
        <v>42</v>
      </c>
      <c r="EK662" s="24" t="s">
        <v>211</v>
      </c>
      <c r="EL662" s="24" t="s">
        <v>212</v>
      </c>
      <c r="EM662" s="24" t="s">
        <v>215</v>
      </c>
      <c r="EN662" s="24">
        <v>1</v>
      </c>
      <c r="EO662" s="24"/>
      <c r="EP662" s="24"/>
      <c r="ES662" s="24">
        <v>2018</v>
      </c>
      <c r="ET662" s="24">
        <v>35</v>
      </c>
      <c r="EU662" s="24" t="s">
        <v>33</v>
      </c>
      <c r="EV662" s="24">
        <v>77612</v>
      </c>
      <c r="FW662" s="24">
        <v>2017</v>
      </c>
      <c r="FX662" s="24">
        <v>11</v>
      </c>
      <c r="FY662" s="24" t="s">
        <v>32</v>
      </c>
      <c r="FZ662" s="24">
        <v>656</v>
      </c>
      <c r="GA662" s="24">
        <v>596</v>
      </c>
      <c r="GD662" s="24"/>
      <c r="GE662" s="24"/>
      <c r="GF662" s="24"/>
      <c r="GG662" s="24"/>
      <c r="GH662" s="24"/>
      <c r="GX662">
        <v>2017</v>
      </c>
      <c r="GY662">
        <v>11</v>
      </c>
      <c r="GZ662" t="s">
        <v>32</v>
      </c>
      <c r="HA662">
        <v>4927</v>
      </c>
      <c r="HB662">
        <v>4774</v>
      </c>
      <c r="HC662">
        <v>0</v>
      </c>
      <c r="HD662">
        <v>4</v>
      </c>
      <c r="HE662">
        <v>0</v>
      </c>
      <c r="HF662">
        <v>0</v>
      </c>
      <c r="HG662">
        <v>0</v>
      </c>
      <c r="HH662">
        <v>0</v>
      </c>
      <c r="HI662">
        <v>36</v>
      </c>
      <c r="HZ662" s="24">
        <v>2017</v>
      </c>
      <c r="IA662" s="24">
        <v>11</v>
      </c>
      <c r="IB662" s="24" t="s">
        <v>32</v>
      </c>
      <c r="IC662" s="24">
        <v>659</v>
      </c>
      <c r="ID662" s="24">
        <v>629</v>
      </c>
    </row>
    <row r="663" spans="9:238" x14ac:dyDescent="0.4">
      <c r="I663" s="305">
        <v>2017</v>
      </c>
      <c r="J663" s="306">
        <v>11</v>
      </c>
      <c r="K663" s="306" t="s">
        <v>32</v>
      </c>
      <c r="L663" s="306">
        <v>4962</v>
      </c>
      <c r="M663" s="306">
        <v>3591</v>
      </c>
      <c r="N663" s="306">
        <v>47</v>
      </c>
      <c r="O663" s="306">
        <v>1245</v>
      </c>
      <c r="P663" s="306">
        <v>35</v>
      </c>
      <c r="Q663" s="306"/>
      <c r="R663" s="292"/>
      <c r="S663" s="292"/>
      <c r="T663" s="292"/>
      <c r="DJ663" s="308">
        <v>2017</v>
      </c>
      <c r="DK663" s="308">
        <v>38</v>
      </c>
      <c r="DL663" s="308" t="s">
        <v>33</v>
      </c>
      <c r="DM663" s="308">
        <v>973</v>
      </c>
      <c r="DP663" s="24"/>
      <c r="DQ663" s="24"/>
      <c r="DR663" s="24"/>
      <c r="DS663" s="24"/>
      <c r="EI663" s="24">
        <v>2022</v>
      </c>
      <c r="EJ663" s="24">
        <v>42</v>
      </c>
      <c r="EK663" s="24" t="s">
        <v>211</v>
      </c>
      <c r="EL663" s="24" t="s">
        <v>247</v>
      </c>
      <c r="EM663" s="24" t="s">
        <v>210</v>
      </c>
      <c r="EN663" s="24">
        <v>2</v>
      </c>
      <c r="EO663" s="24"/>
      <c r="EP663" s="24"/>
      <c r="ES663" s="24">
        <v>2018</v>
      </c>
      <c r="ET663" s="24">
        <v>34</v>
      </c>
      <c r="EU663" s="24" t="s">
        <v>32</v>
      </c>
      <c r="EV663" s="24">
        <v>2556</v>
      </c>
      <c r="FW663" s="24">
        <v>2017</v>
      </c>
      <c r="FX663" s="24">
        <v>11</v>
      </c>
      <c r="FY663" s="24" t="s">
        <v>33</v>
      </c>
      <c r="FZ663" s="24">
        <v>5153</v>
      </c>
      <c r="GA663" s="24">
        <v>3955</v>
      </c>
      <c r="GD663" s="24"/>
      <c r="GE663" s="24"/>
      <c r="GF663" s="24"/>
      <c r="GG663" s="24"/>
      <c r="GH663" s="24"/>
      <c r="GX663">
        <v>2017</v>
      </c>
      <c r="GY663">
        <v>11</v>
      </c>
      <c r="GZ663" t="s">
        <v>33</v>
      </c>
      <c r="HA663">
        <v>110886</v>
      </c>
      <c r="HB663">
        <v>99505</v>
      </c>
      <c r="HC663">
        <v>3</v>
      </c>
      <c r="HD663">
        <v>347</v>
      </c>
      <c r="HE663">
        <v>0</v>
      </c>
      <c r="HF663">
        <v>2903</v>
      </c>
      <c r="HG663">
        <v>0</v>
      </c>
      <c r="HH663">
        <v>0</v>
      </c>
      <c r="HI663">
        <v>1846</v>
      </c>
      <c r="HZ663" s="24">
        <v>2017</v>
      </c>
      <c r="IA663" s="24">
        <v>11</v>
      </c>
      <c r="IB663" s="24" t="s">
        <v>33</v>
      </c>
      <c r="IC663" s="24">
        <v>5279</v>
      </c>
      <c r="ID663" s="24">
        <v>4376</v>
      </c>
    </row>
    <row r="664" spans="9:238" x14ac:dyDescent="0.4">
      <c r="I664" s="305">
        <v>2017</v>
      </c>
      <c r="J664" s="306">
        <v>11</v>
      </c>
      <c r="K664" s="306" t="s">
        <v>33</v>
      </c>
      <c r="L664" s="306">
        <v>111825</v>
      </c>
      <c r="M664" s="306">
        <v>59477</v>
      </c>
      <c r="N664" s="306">
        <v>807</v>
      </c>
      <c r="O664" s="306">
        <v>46758</v>
      </c>
      <c r="P664" s="306">
        <v>757</v>
      </c>
      <c r="Q664" s="306"/>
      <c r="R664" s="292"/>
      <c r="S664" s="292"/>
      <c r="T664" s="292"/>
      <c r="DJ664" s="308">
        <v>2017</v>
      </c>
      <c r="DK664" s="308">
        <v>37</v>
      </c>
      <c r="DL664" s="308" t="s">
        <v>32</v>
      </c>
      <c r="DM664" s="308">
        <v>529</v>
      </c>
      <c r="DP664" s="24"/>
      <c r="DQ664" s="24"/>
      <c r="DR664" s="24"/>
      <c r="DS664" s="24"/>
      <c r="EI664" s="24">
        <v>2022</v>
      </c>
      <c r="EJ664" s="24">
        <v>42</v>
      </c>
      <c r="EK664" s="24" t="s">
        <v>211</v>
      </c>
      <c r="EL664" s="24" t="s">
        <v>247</v>
      </c>
      <c r="EM664" s="24" t="s">
        <v>234</v>
      </c>
      <c r="EN664" s="24">
        <v>16</v>
      </c>
      <c r="EO664" s="24"/>
      <c r="EP664" s="24"/>
      <c r="ES664" s="24">
        <v>2018</v>
      </c>
      <c r="ET664" s="24">
        <v>34</v>
      </c>
      <c r="EU664" s="24" t="s">
        <v>33</v>
      </c>
      <c r="EV664" s="24">
        <v>77319</v>
      </c>
      <c r="FW664" s="24">
        <v>2017</v>
      </c>
      <c r="FX664" s="24">
        <v>10</v>
      </c>
      <c r="FY664" s="24" t="s">
        <v>32</v>
      </c>
      <c r="FZ664" s="24">
        <v>545</v>
      </c>
      <c r="GA664" s="24">
        <v>493</v>
      </c>
      <c r="GD664" s="24"/>
      <c r="GE664" s="24"/>
      <c r="GF664" s="24"/>
      <c r="GG664" s="24"/>
      <c r="GH664" s="24"/>
      <c r="GX664">
        <v>2017</v>
      </c>
      <c r="GY664">
        <v>10</v>
      </c>
      <c r="GZ664" t="s">
        <v>32</v>
      </c>
      <c r="HA664">
        <v>5523</v>
      </c>
      <c r="HB664">
        <v>5377</v>
      </c>
      <c r="HC664">
        <v>0</v>
      </c>
      <c r="HD664">
        <v>5</v>
      </c>
      <c r="HE664">
        <v>0</v>
      </c>
      <c r="HF664">
        <v>1</v>
      </c>
      <c r="HG664">
        <v>0</v>
      </c>
      <c r="HH664">
        <v>0</v>
      </c>
      <c r="HI664">
        <v>64</v>
      </c>
      <c r="HZ664" s="24">
        <v>2017</v>
      </c>
      <c r="IA664" s="24">
        <v>10</v>
      </c>
      <c r="IB664" s="24" t="s">
        <v>32</v>
      </c>
      <c r="IC664" s="24">
        <v>537</v>
      </c>
      <c r="ID664" s="24">
        <v>524</v>
      </c>
    </row>
    <row r="665" spans="9:238" x14ac:dyDescent="0.4">
      <c r="I665" s="305">
        <v>2017</v>
      </c>
      <c r="J665" s="306">
        <v>10</v>
      </c>
      <c r="K665" s="306" t="s">
        <v>32</v>
      </c>
      <c r="L665" s="306">
        <v>5530</v>
      </c>
      <c r="M665" s="306">
        <v>3742</v>
      </c>
      <c r="N665" s="306">
        <v>80</v>
      </c>
      <c r="O665" s="306">
        <v>1788</v>
      </c>
      <c r="P665" s="306">
        <v>21</v>
      </c>
      <c r="Q665" s="306"/>
      <c r="R665" s="292"/>
      <c r="S665" s="292"/>
      <c r="T665" s="292"/>
      <c r="DJ665" s="24">
        <v>2017</v>
      </c>
      <c r="DK665" s="24">
        <v>37</v>
      </c>
      <c r="DL665" s="24" t="s">
        <v>33</v>
      </c>
      <c r="DM665" s="24">
        <v>603</v>
      </c>
      <c r="DP665" s="24"/>
      <c r="DQ665" s="24"/>
      <c r="DR665" s="24"/>
      <c r="DS665" s="24"/>
      <c r="EI665" s="24">
        <v>2022</v>
      </c>
      <c r="EJ665" s="24">
        <v>41</v>
      </c>
      <c r="EK665" s="24" t="s">
        <v>19</v>
      </c>
      <c r="EL665" s="24" t="s">
        <v>233</v>
      </c>
      <c r="EM665" s="24" t="s">
        <v>210</v>
      </c>
      <c r="EN665" s="24">
        <v>4</v>
      </c>
      <c r="EO665" s="24"/>
      <c r="EP665" s="24"/>
      <c r="ES665" s="24">
        <v>2018</v>
      </c>
      <c r="ET665" s="24">
        <v>33</v>
      </c>
      <c r="EU665" s="24" t="s">
        <v>32</v>
      </c>
      <c r="EV665" s="24">
        <v>2195</v>
      </c>
      <c r="FW665" s="24">
        <v>2017</v>
      </c>
      <c r="FX665" s="24">
        <v>10</v>
      </c>
      <c r="FY665" s="24" t="s">
        <v>33</v>
      </c>
      <c r="FZ665" s="24">
        <v>5029</v>
      </c>
      <c r="GA665" s="24">
        <v>4334</v>
      </c>
      <c r="GD665" s="24"/>
      <c r="GE665" s="24"/>
      <c r="GF665" s="24"/>
      <c r="GG665" s="24"/>
      <c r="GH665" s="24"/>
      <c r="GX665">
        <v>2017</v>
      </c>
      <c r="GY665">
        <v>10</v>
      </c>
      <c r="GZ665" t="s">
        <v>33</v>
      </c>
      <c r="HA665">
        <v>90635</v>
      </c>
      <c r="HB665">
        <v>89108</v>
      </c>
      <c r="HC665">
        <v>1</v>
      </c>
      <c r="HD665">
        <v>23</v>
      </c>
      <c r="HE665">
        <v>0</v>
      </c>
      <c r="HF665">
        <v>241</v>
      </c>
      <c r="HG665">
        <v>0</v>
      </c>
      <c r="HH665">
        <v>0</v>
      </c>
      <c r="HI665">
        <v>550</v>
      </c>
      <c r="HZ665" s="24">
        <v>2017</v>
      </c>
      <c r="IA665" s="24">
        <v>10</v>
      </c>
      <c r="IB665" s="24" t="s">
        <v>33</v>
      </c>
      <c r="IC665" s="24">
        <v>4934</v>
      </c>
      <c r="ID665" s="24">
        <v>4523</v>
      </c>
    </row>
    <row r="666" spans="9:238" x14ac:dyDescent="0.4">
      <c r="I666" s="305">
        <v>2017</v>
      </c>
      <c r="J666" s="306">
        <v>10</v>
      </c>
      <c r="K666" s="306" t="s">
        <v>33</v>
      </c>
      <c r="L666" s="306">
        <v>89084</v>
      </c>
      <c r="M666" s="306">
        <v>47334</v>
      </c>
      <c r="N666" s="306">
        <v>712</v>
      </c>
      <c r="O666" s="306">
        <v>41708</v>
      </c>
      <c r="P666" s="306">
        <v>416</v>
      </c>
      <c r="Q666" s="306"/>
      <c r="R666" s="292"/>
      <c r="S666" s="292"/>
      <c r="T666" s="292"/>
      <c r="DJ666" s="24">
        <v>2017</v>
      </c>
      <c r="DK666" s="24">
        <v>36</v>
      </c>
      <c r="DL666" s="24" t="s">
        <v>32</v>
      </c>
      <c r="DM666" s="24">
        <v>410</v>
      </c>
      <c r="DP666" s="24"/>
      <c r="DQ666" s="24"/>
      <c r="DR666" s="24"/>
      <c r="DS666" s="24"/>
      <c r="EI666" s="24">
        <v>2022</v>
      </c>
      <c r="EJ666" s="24">
        <v>41</v>
      </c>
      <c r="EK666" s="24" t="s">
        <v>19</v>
      </c>
      <c r="EL666" s="24" t="s">
        <v>235</v>
      </c>
      <c r="EM666" s="24" t="s">
        <v>210</v>
      </c>
      <c r="EN666" s="24">
        <v>2</v>
      </c>
      <c r="EO666" s="24"/>
      <c r="EP666" s="24"/>
      <c r="ES666" s="24">
        <v>2018</v>
      </c>
      <c r="ET666" s="24">
        <v>33</v>
      </c>
      <c r="EU666" s="24" t="s">
        <v>33</v>
      </c>
      <c r="EV666" s="24">
        <v>77594</v>
      </c>
      <c r="FW666" s="24">
        <v>2017</v>
      </c>
      <c r="FX666" s="24">
        <v>9</v>
      </c>
      <c r="FY666" s="24" t="s">
        <v>32</v>
      </c>
      <c r="FZ666" s="24">
        <v>530</v>
      </c>
      <c r="GA666" s="24">
        <v>435</v>
      </c>
      <c r="GD666" s="24"/>
      <c r="GE666" s="24"/>
      <c r="GF666" s="24"/>
      <c r="GG666" s="24"/>
      <c r="GH666" s="24"/>
      <c r="GX666">
        <v>2017</v>
      </c>
      <c r="GY666">
        <v>9</v>
      </c>
      <c r="GZ666" t="s">
        <v>32</v>
      </c>
      <c r="HA666">
        <v>5695</v>
      </c>
      <c r="HB666">
        <v>5476</v>
      </c>
      <c r="HC666">
        <v>0</v>
      </c>
      <c r="HD666">
        <v>0</v>
      </c>
      <c r="HE666">
        <v>0</v>
      </c>
      <c r="HF666">
        <v>0</v>
      </c>
      <c r="HG666">
        <v>0</v>
      </c>
      <c r="HH666">
        <v>0</v>
      </c>
      <c r="HI666">
        <v>88</v>
      </c>
      <c r="HZ666" s="24">
        <v>2017</v>
      </c>
      <c r="IA666" s="24">
        <v>9</v>
      </c>
      <c r="IB666" s="24" t="s">
        <v>32</v>
      </c>
      <c r="IC666" s="24">
        <v>520</v>
      </c>
      <c r="ID666" s="24">
        <v>487</v>
      </c>
    </row>
    <row r="667" spans="9:238" x14ac:dyDescent="0.4">
      <c r="I667" s="305">
        <v>2017</v>
      </c>
      <c r="J667" s="306">
        <v>9</v>
      </c>
      <c r="K667" s="306" t="s">
        <v>32</v>
      </c>
      <c r="L667" s="306">
        <v>6036</v>
      </c>
      <c r="M667" s="306">
        <v>3744</v>
      </c>
      <c r="N667" s="306">
        <v>83</v>
      </c>
      <c r="O667" s="306">
        <v>2290</v>
      </c>
      <c r="P667" s="306">
        <v>49</v>
      </c>
      <c r="Q667" s="306"/>
      <c r="R667" s="292"/>
      <c r="S667" s="292"/>
      <c r="T667" s="292"/>
      <c r="DJ667" s="24">
        <v>2017</v>
      </c>
      <c r="DK667" s="24">
        <v>36</v>
      </c>
      <c r="DL667" s="24" t="s">
        <v>33</v>
      </c>
      <c r="DM667" s="24">
        <v>1366</v>
      </c>
      <c r="DP667" s="24"/>
      <c r="DQ667" s="24"/>
      <c r="DR667" s="24"/>
      <c r="DS667" s="24"/>
      <c r="EI667" s="24">
        <v>2022</v>
      </c>
      <c r="EJ667" s="24">
        <v>41</v>
      </c>
      <c r="EK667" s="24" t="s">
        <v>208</v>
      </c>
      <c r="EL667" s="24" t="s">
        <v>351</v>
      </c>
      <c r="EM667" s="24" t="s">
        <v>234</v>
      </c>
      <c r="EN667" s="24">
        <v>14</v>
      </c>
      <c r="EO667" s="24"/>
      <c r="EP667" s="24"/>
      <c r="ES667" s="24">
        <v>2018</v>
      </c>
      <c r="ET667" s="24">
        <v>32</v>
      </c>
      <c r="EU667" s="24" t="s">
        <v>32</v>
      </c>
      <c r="EV667" s="24">
        <v>2025</v>
      </c>
      <c r="FW667" s="24">
        <v>2017</v>
      </c>
      <c r="FX667" s="24">
        <v>9</v>
      </c>
      <c r="FY667" s="24" t="s">
        <v>33</v>
      </c>
      <c r="FZ667" s="24">
        <v>5958</v>
      </c>
      <c r="GA667" s="24">
        <v>4896</v>
      </c>
      <c r="GD667" s="24"/>
      <c r="GE667" s="24"/>
      <c r="GF667" s="24"/>
      <c r="GG667" s="24"/>
      <c r="GH667" s="24"/>
      <c r="GX667">
        <v>2017</v>
      </c>
      <c r="GY667">
        <v>9</v>
      </c>
      <c r="GZ667" t="s">
        <v>33</v>
      </c>
      <c r="HA667">
        <v>94293</v>
      </c>
      <c r="HB667">
        <v>90248</v>
      </c>
      <c r="HC667">
        <v>0</v>
      </c>
      <c r="HD667">
        <v>41</v>
      </c>
      <c r="HE667">
        <v>1</v>
      </c>
      <c r="HF667">
        <v>1065</v>
      </c>
      <c r="HG667">
        <v>0</v>
      </c>
      <c r="HH667">
        <v>0</v>
      </c>
      <c r="HI667">
        <v>1109</v>
      </c>
      <c r="HZ667" s="24">
        <v>2017</v>
      </c>
      <c r="IA667" s="24">
        <v>9</v>
      </c>
      <c r="IB667" s="24" t="s">
        <v>33</v>
      </c>
      <c r="IC667" s="24">
        <v>6040</v>
      </c>
      <c r="ID667" s="24">
        <v>5394</v>
      </c>
    </row>
    <row r="668" spans="9:238" x14ac:dyDescent="0.4">
      <c r="I668" s="305">
        <v>2017</v>
      </c>
      <c r="J668" s="306">
        <v>9</v>
      </c>
      <c r="K668" s="306" t="s">
        <v>33</v>
      </c>
      <c r="L668" s="306">
        <v>94824</v>
      </c>
      <c r="M668" s="306">
        <v>47687</v>
      </c>
      <c r="N668" s="306">
        <v>808</v>
      </c>
      <c r="O668" s="306">
        <v>47117</v>
      </c>
      <c r="P668" s="306">
        <v>760</v>
      </c>
      <c r="Q668" s="306">
        <v>1</v>
      </c>
      <c r="R668" s="292"/>
      <c r="S668" s="292"/>
      <c r="T668" s="292"/>
      <c r="DJ668" s="24">
        <v>2017</v>
      </c>
      <c r="DK668" s="24">
        <v>35</v>
      </c>
      <c r="DL668" s="24" t="s">
        <v>32</v>
      </c>
      <c r="DM668" s="24">
        <v>347</v>
      </c>
      <c r="DP668" s="24"/>
      <c r="DQ668" s="24"/>
      <c r="DR668" s="24"/>
      <c r="DS668" s="24"/>
      <c r="EI668" s="24">
        <v>2022</v>
      </c>
      <c r="EJ668" s="24">
        <v>41</v>
      </c>
      <c r="EK668" s="24" t="s">
        <v>208</v>
      </c>
      <c r="EL668" s="24" t="s">
        <v>351</v>
      </c>
      <c r="EM668" s="24" t="s">
        <v>215</v>
      </c>
      <c r="EN668" s="24">
        <v>4</v>
      </c>
      <c r="EO668" s="24"/>
      <c r="EP668" s="24"/>
      <c r="ES668" s="24">
        <v>2018</v>
      </c>
      <c r="ET668" s="24">
        <v>32</v>
      </c>
      <c r="EU668" s="24" t="s">
        <v>33</v>
      </c>
      <c r="EV668" s="24">
        <v>83764</v>
      </c>
      <c r="FW668" s="24">
        <v>2017</v>
      </c>
      <c r="FX668" s="24">
        <v>8</v>
      </c>
      <c r="FY668" s="24" t="s">
        <v>32</v>
      </c>
      <c r="FZ668" s="24">
        <v>666</v>
      </c>
      <c r="GA668" s="24">
        <v>591</v>
      </c>
      <c r="GD668" s="24"/>
      <c r="GE668" s="24"/>
      <c r="GF668" s="24"/>
      <c r="GG668" s="24"/>
      <c r="GH668" s="24"/>
      <c r="GX668">
        <v>2017</v>
      </c>
      <c r="GY668">
        <v>8</v>
      </c>
      <c r="GZ668" t="s">
        <v>32</v>
      </c>
      <c r="HA668">
        <v>5188</v>
      </c>
      <c r="HB668">
        <v>4963</v>
      </c>
      <c r="HC668">
        <v>0</v>
      </c>
      <c r="HD668">
        <v>2</v>
      </c>
      <c r="HE668">
        <v>0</v>
      </c>
      <c r="HF668">
        <v>0</v>
      </c>
      <c r="HG668">
        <v>0</v>
      </c>
      <c r="HH668">
        <v>0</v>
      </c>
      <c r="HI668">
        <v>66</v>
      </c>
      <c r="HZ668" s="24">
        <v>2017</v>
      </c>
      <c r="IA668" s="24">
        <v>8</v>
      </c>
      <c r="IB668" s="24" t="s">
        <v>32</v>
      </c>
      <c r="IC668" s="24">
        <v>644</v>
      </c>
      <c r="ID668" s="24">
        <v>576</v>
      </c>
    </row>
    <row r="669" spans="9:238" x14ac:dyDescent="0.4">
      <c r="I669" s="305">
        <v>2017</v>
      </c>
      <c r="J669" s="306">
        <v>8</v>
      </c>
      <c r="K669" s="306" t="s">
        <v>32</v>
      </c>
      <c r="L669" s="306">
        <v>4883</v>
      </c>
      <c r="M669" s="306">
        <v>3248</v>
      </c>
      <c r="N669" s="306">
        <v>93</v>
      </c>
      <c r="O669" s="306">
        <v>1635</v>
      </c>
      <c r="P669" s="306">
        <v>51</v>
      </c>
      <c r="Q669" s="306"/>
      <c r="R669" s="292"/>
      <c r="S669" s="292"/>
      <c r="T669" s="292"/>
      <c r="DJ669" s="309">
        <v>2017</v>
      </c>
      <c r="DK669" s="309">
        <v>35</v>
      </c>
      <c r="DL669" s="309" t="s">
        <v>33</v>
      </c>
      <c r="DM669" s="309">
        <v>242</v>
      </c>
      <c r="DP669" s="24"/>
      <c r="DQ669" s="24"/>
      <c r="DR669" s="24"/>
      <c r="DS669" s="24"/>
      <c r="EI669" s="24">
        <v>2022</v>
      </c>
      <c r="EJ669" s="24">
        <v>41</v>
      </c>
      <c r="EK669" s="24" t="s">
        <v>208</v>
      </c>
      <c r="EL669" s="24" t="s">
        <v>235</v>
      </c>
      <c r="EM669" s="24" t="s">
        <v>210</v>
      </c>
      <c r="EN669" s="24">
        <v>10</v>
      </c>
      <c r="EO669" s="24"/>
      <c r="EP669" s="24"/>
      <c r="ES669" s="24">
        <v>2018</v>
      </c>
      <c r="ET669" s="24">
        <v>31</v>
      </c>
      <c r="EU669" s="24" t="s">
        <v>32</v>
      </c>
      <c r="EV669" s="24">
        <v>2535</v>
      </c>
      <c r="FW669" s="24">
        <v>2017</v>
      </c>
      <c r="FX669" s="24">
        <v>8</v>
      </c>
      <c r="FY669" s="24" t="s">
        <v>33</v>
      </c>
      <c r="FZ669" s="24">
        <v>4900</v>
      </c>
      <c r="GA669" s="24">
        <v>3906</v>
      </c>
      <c r="GD669" s="24"/>
      <c r="GE669" s="24"/>
      <c r="GF669" s="24"/>
      <c r="GG669" s="24"/>
      <c r="GH669" s="24"/>
      <c r="GX669">
        <v>2017</v>
      </c>
      <c r="GY669">
        <v>8</v>
      </c>
      <c r="GZ669" t="s">
        <v>33</v>
      </c>
      <c r="HA669">
        <v>94355</v>
      </c>
      <c r="HB669">
        <v>85454</v>
      </c>
      <c r="HC669">
        <v>0</v>
      </c>
      <c r="HD669">
        <v>125</v>
      </c>
      <c r="HE669">
        <v>0</v>
      </c>
      <c r="HF669">
        <v>2475</v>
      </c>
      <c r="HG669">
        <v>0</v>
      </c>
      <c r="HH669">
        <v>0</v>
      </c>
      <c r="HI669">
        <v>1789</v>
      </c>
      <c r="HZ669" s="24">
        <v>2017</v>
      </c>
      <c r="IA669" s="24">
        <v>8</v>
      </c>
      <c r="IB669" s="24" t="s">
        <v>33</v>
      </c>
      <c r="IC669" s="24">
        <v>4933</v>
      </c>
      <c r="ID669" s="24">
        <v>4160</v>
      </c>
    </row>
    <row r="670" spans="9:238" x14ac:dyDescent="0.4">
      <c r="I670" s="305">
        <v>2017</v>
      </c>
      <c r="J670" s="306">
        <v>8</v>
      </c>
      <c r="K670" s="306" t="s">
        <v>33</v>
      </c>
      <c r="L670" s="306">
        <v>94261</v>
      </c>
      <c r="M670" s="306">
        <v>44877</v>
      </c>
      <c r="N670" s="306">
        <v>818</v>
      </c>
      <c r="O670" s="306">
        <v>49361</v>
      </c>
      <c r="P670" s="306">
        <v>679</v>
      </c>
      <c r="Q670" s="306"/>
      <c r="R670" s="292"/>
      <c r="S670" s="292"/>
      <c r="T670" s="292"/>
      <c r="DJ670" s="309">
        <v>2017</v>
      </c>
      <c r="DK670" s="309">
        <v>34</v>
      </c>
      <c r="DL670" s="309" t="s">
        <v>32</v>
      </c>
      <c r="DM670" s="309">
        <v>213</v>
      </c>
      <c r="DP670" s="24"/>
      <c r="DQ670" s="24"/>
      <c r="DR670" s="24"/>
      <c r="DS670" s="24"/>
      <c r="EI670" s="24">
        <v>2022</v>
      </c>
      <c r="EJ670" s="24">
        <v>41</v>
      </c>
      <c r="EK670" s="24" t="s">
        <v>208</v>
      </c>
      <c r="EL670" s="24" t="s">
        <v>235</v>
      </c>
      <c r="EM670" s="24" t="s">
        <v>234</v>
      </c>
      <c r="EN670" s="24">
        <v>15</v>
      </c>
      <c r="EO670" s="24"/>
      <c r="EP670" s="24"/>
      <c r="ES670" s="24">
        <v>2018</v>
      </c>
      <c r="ET670" s="24">
        <v>31</v>
      </c>
      <c r="EU670" s="24" t="s">
        <v>33</v>
      </c>
      <c r="EV670" s="24">
        <v>82041</v>
      </c>
      <c r="FW670" s="24">
        <v>2017</v>
      </c>
      <c r="FX670" s="24">
        <v>7</v>
      </c>
      <c r="FY670" s="24" t="s">
        <v>32</v>
      </c>
      <c r="FZ670" s="24">
        <v>634</v>
      </c>
      <c r="GA670" s="24">
        <v>557</v>
      </c>
      <c r="GD670" s="24"/>
      <c r="GE670" s="24"/>
      <c r="GF670" s="24"/>
      <c r="GG670" s="24"/>
      <c r="GH670" s="24"/>
      <c r="GX670">
        <v>2017</v>
      </c>
      <c r="GY670">
        <v>7</v>
      </c>
      <c r="GZ670" t="s">
        <v>32</v>
      </c>
      <c r="HA670">
        <v>4423</v>
      </c>
      <c r="HB670">
        <v>4263</v>
      </c>
      <c r="HC670">
        <v>0</v>
      </c>
      <c r="HD670">
        <v>1</v>
      </c>
      <c r="HE670">
        <v>0</v>
      </c>
      <c r="HF670">
        <v>0</v>
      </c>
      <c r="HG670">
        <v>0</v>
      </c>
      <c r="HH670">
        <v>0</v>
      </c>
      <c r="HI670">
        <v>49</v>
      </c>
      <c r="HZ670" s="24">
        <v>2017</v>
      </c>
      <c r="IA670" s="24">
        <v>7</v>
      </c>
      <c r="IB670" s="24" t="s">
        <v>32</v>
      </c>
      <c r="IC670" s="24">
        <v>673</v>
      </c>
      <c r="ID670" s="24">
        <v>622</v>
      </c>
    </row>
    <row r="671" spans="9:238" x14ac:dyDescent="0.4">
      <c r="I671" s="305">
        <v>2017</v>
      </c>
      <c r="J671" s="306">
        <v>7</v>
      </c>
      <c r="K671" s="306" t="s">
        <v>32</v>
      </c>
      <c r="L671" s="306">
        <v>4422</v>
      </c>
      <c r="M671" s="306">
        <v>3030</v>
      </c>
      <c r="N671" s="306">
        <v>59</v>
      </c>
      <c r="O671" s="306">
        <v>1392</v>
      </c>
      <c r="P671" s="306">
        <v>31</v>
      </c>
      <c r="Q671" s="306"/>
      <c r="R671" s="292"/>
      <c r="S671" s="292"/>
      <c r="T671" s="292"/>
      <c r="DJ671" s="309">
        <v>2017</v>
      </c>
      <c r="DK671" s="309">
        <v>34</v>
      </c>
      <c r="DL671" s="309" t="s">
        <v>33</v>
      </c>
      <c r="DM671" s="309">
        <v>656</v>
      </c>
      <c r="DP671" s="24"/>
      <c r="DQ671" s="24"/>
      <c r="DR671" s="24"/>
      <c r="DS671" s="24"/>
      <c r="EI671" s="24">
        <v>2022</v>
      </c>
      <c r="EJ671" s="24">
        <v>41</v>
      </c>
      <c r="EK671" s="24" t="s">
        <v>208</v>
      </c>
      <c r="EL671" s="24" t="s">
        <v>235</v>
      </c>
      <c r="EM671" s="24" t="s">
        <v>215</v>
      </c>
      <c r="EN671" s="24">
        <v>5</v>
      </c>
      <c r="EO671" s="24"/>
      <c r="EP671" s="24"/>
      <c r="ES671" s="24">
        <v>2018</v>
      </c>
      <c r="ET671" s="24">
        <v>30</v>
      </c>
      <c r="EU671" s="24" t="s">
        <v>32</v>
      </c>
      <c r="EV671" s="24">
        <v>1832</v>
      </c>
      <c r="FW671" s="24">
        <v>2017</v>
      </c>
      <c r="FX671" s="24">
        <v>7</v>
      </c>
      <c r="FY671" s="24" t="s">
        <v>33</v>
      </c>
      <c r="FZ671" s="24">
        <v>4903</v>
      </c>
      <c r="GA671" s="24">
        <v>4196</v>
      </c>
      <c r="GD671" s="24"/>
      <c r="GE671" s="24"/>
      <c r="GF671" s="24"/>
      <c r="GG671" s="24"/>
      <c r="GH671" s="24"/>
      <c r="GX671">
        <v>2017</v>
      </c>
      <c r="GY671">
        <v>7</v>
      </c>
      <c r="GZ671" t="s">
        <v>33</v>
      </c>
      <c r="HA671">
        <v>88538</v>
      </c>
      <c r="HB671">
        <v>86478</v>
      </c>
      <c r="HC671">
        <v>2</v>
      </c>
      <c r="HD671">
        <v>167</v>
      </c>
      <c r="HE671">
        <v>1</v>
      </c>
      <c r="HF671">
        <v>142</v>
      </c>
      <c r="HG671">
        <v>0</v>
      </c>
      <c r="HH671">
        <v>0</v>
      </c>
      <c r="HI671">
        <v>597</v>
      </c>
      <c r="HZ671" s="24">
        <v>2017</v>
      </c>
      <c r="IA671" s="24">
        <v>7</v>
      </c>
      <c r="IB671" s="24" t="s">
        <v>33</v>
      </c>
      <c r="IC671" s="24">
        <v>4832</v>
      </c>
      <c r="ID671" s="24">
        <v>4372</v>
      </c>
    </row>
    <row r="672" spans="9:238" x14ac:dyDescent="0.4">
      <c r="I672" s="305">
        <v>2017</v>
      </c>
      <c r="J672" s="306">
        <v>7</v>
      </c>
      <c r="K672" s="306" t="s">
        <v>33</v>
      </c>
      <c r="L672" s="306">
        <v>87934</v>
      </c>
      <c r="M672" s="306">
        <v>45972</v>
      </c>
      <c r="N672" s="306">
        <v>744</v>
      </c>
      <c r="O672" s="306">
        <v>41941</v>
      </c>
      <c r="P672" s="306">
        <v>637</v>
      </c>
      <c r="Q672" s="306">
        <v>5</v>
      </c>
      <c r="R672" s="292"/>
      <c r="S672" s="292"/>
      <c r="T672" s="292"/>
      <c r="DJ672" s="309">
        <v>2017</v>
      </c>
      <c r="DK672" s="309">
        <v>33</v>
      </c>
      <c r="DL672" s="309" t="s">
        <v>32</v>
      </c>
      <c r="DM672" s="309">
        <v>189</v>
      </c>
      <c r="DP672" s="24"/>
      <c r="DQ672" s="24"/>
      <c r="DR672" s="24"/>
      <c r="DS672" s="24"/>
      <c r="EI672" s="24">
        <v>2022</v>
      </c>
      <c r="EJ672" s="24">
        <v>41</v>
      </c>
      <c r="EK672" s="24" t="s">
        <v>208</v>
      </c>
      <c r="EL672" s="24" t="s">
        <v>209</v>
      </c>
      <c r="EM672" s="24" t="s">
        <v>210</v>
      </c>
      <c r="EN672" s="24">
        <v>3</v>
      </c>
      <c r="EO672" s="24"/>
      <c r="EP672" s="24"/>
      <c r="ES672" s="24">
        <v>2018</v>
      </c>
      <c r="ET672" s="24">
        <v>30</v>
      </c>
      <c r="EU672" s="24" t="s">
        <v>33</v>
      </c>
      <c r="EV672" s="24">
        <v>81396</v>
      </c>
      <c r="FW672" s="24">
        <v>2017</v>
      </c>
      <c r="FX672" s="24">
        <v>6</v>
      </c>
      <c r="FY672" s="24" t="s">
        <v>32</v>
      </c>
      <c r="FZ672" s="24">
        <v>676</v>
      </c>
      <c r="GA672" s="24">
        <v>638</v>
      </c>
      <c r="GD672" s="24"/>
      <c r="GE672" s="24"/>
      <c r="GF672" s="24"/>
      <c r="GG672" s="24"/>
      <c r="GH672" s="24"/>
      <c r="GX672">
        <v>2017</v>
      </c>
      <c r="GY672">
        <v>6</v>
      </c>
      <c r="GZ672" t="s">
        <v>32</v>
      </c>
      <c r="HA672">
        <v>4691</v>
      </c>
      <c r="HB672">
        <v>4552</v>
      </c>
      <c r="HC672">
        <v>0</v>
      </c>
      <c r="HD672">
        <v>1</v>
      </c>
      <c r="HE672">
        <v>0</v>
      </c>
      <c r="HF672">
        <v>0</v>
      </c>
      <c r="HG672">
        <v>0</v>
      </c>
      <c r="HH672">
        <v>0</v>
      </c>
      <c r="HI672">
        <v>40</v>
      </c>
      <c r="HZ672" s="24">
        <v>2017</v>
      </c>
      <c r="IA672" s="24">
        <v>6</v>
      </c>
      <c r="IB672" s="24" t="s">
        <v>32</v>
      </c>
      <c r="IC672" s="24">
        <v>614</v>
      </c>
      <c r="ID672" s="24">
        <v>595</v>
      </c>
    </row>
    <row r="673" spans="9:238" x14ac:dyDescent="0.4">
      <c r="I673" s="305">
        <v>2017</v>
      </c>
      <c r="J673" s="306">
        <v>6</v>
      </c>
      <c r="K673" s="306" t="s">
        <v>32</v>
      </c>
      <c r="L673" s="306">
        <v>4985</v>
      </c>
      <c r="M673" s="306">
        <v>3793</v>
      </c>
      <c r="N673" s="306">
        <v>55</v>
      </c>
      <c r="O673" s="306">
        <v>1191</v>
      </c>
      <c r="P673" s="306">
        <v>29</v>
      </c>
      <c r="Q673" s="306"/>
      <c r="R673" s="292"/>
      <c r="S673" s="292"/>
      <c r="T673" s="292"/>
      <c r="DJ673" s="309">
        <v>2017</v>
      </c>
      <c r="DK673" s="309">
        <v>33</v>
      </c>
      <c r="DL673" s="309" t="s">
        <v>33</v>
      </c>
      <c r="DM673" s="309">
        <v>798</v>
      </c>
      <c r="DP673" s="24"/>
      <c r="DQ673" s="24"/>
      <c r="DR673" s="24"/>
      <c r="DS673" s="24"/>
      <c r="EI673" s="24">
        <v>2022</v>
      </c>
      <c r="EJ673" s="24">
        <v>41</v>
      </c>
      <c r="EK673" s="24" t="s">
        <v>208</v>
      </c>
      <c r="EL673" s="24" t="s">
        <v>209</v>
      </c>
      <c r="EM673" s="24" t="s">
        <v>234</v>
      </c>
      <c r="EN673" s="24">
        <v>1</v>
      </c>
      <c r="EO673" s="24"/>
      <c r="EP673" s="24"/>
      <c r="ES673" s="24">
        <v>2018</v>
      </c>
      <c r="ET673" s="24">
        <v>29</v>
      </c>
      <c r="EU673" s="24" t="s">
        <v>32</v>
      </c>
      <c r="EV673" s="24">
        <v>2071</v>
      </c>
      <c r="FW673" s="24">
        <v>2017</v>
      </c>
      <c r="FX673" s="24">
        <v>6</v>
      </c>
      <c r="FY673" s="24" t="s">
        <v>33</v>
      </c>
      <c r="FZ673" s="24">
        <v>4910</v>
      </c>
      <c r="GA673" s="24">
        <v>3697</v>
      </c>
      <c r="GD673" s="24"/>
      <c r="GE673" s="24"/>
      <c r="GF673" s="24"/>
      <c r="GG673" s="24"/>
      <c r="GH673" s="24"/>
      <c r="GX673">
        <v>2017</v>
      </c>
      <c r="GY673">
        <v>6</v>
      </c>
      <c r="GZ673" t="s">
        <v>33</v>
      </c>
      <c r="HA673">
        <v>90567</v>
      </c>
      <c r="HB673">
        <v>87904</v>
      </c>
      <c r="HC673">
        <v>0</v>
      </c>
      <c r="HD673">
        <v>15</v>
      </c>
      <c r="HE673">
        <v>0</v>
      </c>
      <c r="HF673">
        <v>870</v>
      </c>
      <c r="HG673">
        <v>0</v>
      </c>
      <c r="HH673">
        <v>0</v>
      </c>
      <c r="HI673">
        <v>613</v>
      </c>
      <c r="HZ673" s="24">
        <v>2017</v>
      </c>
      <c r="IA673" s="24">
        <v>6</v>
      </c>
      <c r="IB673" s="24" t="s">
        <v>33</v>
      </c>
      <c r="IC673" s="24">
        <v>4924</v>
      </c>
      <c r="ID673" s="24">
        <v>3988</v>
      </c>
    </row>
    <row r="674" spans="9:238" x14ac:dyDescent="0.4">
      <c r="I674" s="305">
        <v>2017</v>
      </c>
      <c r="J674" s="306">
        <v>6</v>
      </c>
      <c r="K674" s="306" t="s">
        <v>33</v>
      </c>
      <c r="L674" s="306">
        <v>92471</v>
      </c>
      <c r="M674" s="306">
        <v>48197</v>
      </c>
      <c r="N674" s="306">
        <v>854</v>
      </c>
      <c r="O674" s="306">
        <v>44263</v>
      </c>
      <c r="P674" s="306">
        <v>745</v>
      </c>
      <c r="Q674" s="306">
        <v>8</v>
      </c>
      <c r="R674" s="292"/>
      <c r="S674" s="292"/>
      <c r="T674" s="292"/>
      <c r="DJ674" s="309">
        <v>2017</v>
      </c>
      <c r="DK674" s="309">
        <v>32</v>
      </c>
      <c r="DL674" s="309" t="s">
        <v>32</v>
      </c>
      <c r="DM674" s="309">
        <v>334</v>
      </c>
      <c r="DP674" s="24"/>
      <c r="DQ674" s="24"/>
      <c r="DR674" s="24"/>
      <c r="DS674" s="24"/>
      <c r="EI674" s="24">
        <v>2022</v>
      </c>
      <c r="EJ674" s="24">
        <v>41</v>
      </c>
      <c r="EK674" s="24" t="s">
        <v>208</v>
      </c>
      <c r="EL674" s="24" t="s">
        <v>209</v>
      </c>
      <c r="EM674" s="24" t="s">
        <v>215</v>
      </c>
      <c r="EN674" s="24">
        <v>1</v>
      </c>
      <c r="EO674" s="24"/>
      <c r="EP674" s="24"/>
      <c r="ES674" s="24">
        <v>2018</v>
      </c>
      <c r="ET674" s="24">
        <v>29</v>
      </c>
      <c r="EU674" s="24" t="s">
        <v>33</v>
      </c>
      <c r="EV674" s="24">
        <v>76122</v>
      </c>
      <c r="FW674" s="24">
        <v>2017</v>
      </c>
      <c r="FX674" s="24">
        <v>5</v>
      </c>
      <c r="FY674" s="24" t="s">
        <v>32</v>
      </c>
      <c r="FZ674" s="24">
        <v>661</v>
      </c>
      <c r="GA674" s="24">
        <v>585</v>
      </c>
      <c r="GD674" s="24"/>
      <c r="GE674" s="24"/>
      <c r="GF674" s="24"/>
      <c r="GG674" s="24"/>
      <c r="GH674" s="24"/>
      <c r="GX674">
        <v>2017</v>
      </c>
      <c r="GY674">
        <v>5</v>
      </c>
      <c r="GZ674" t="s">
        <v>32</v>
      </c>
      <c r="HA674">
        <v>7586</v>
      </c>
      <c r="HB674">
        <v>7205</v>
      </c>
      <c r="HC674">
        <v>0</v>
      </c>
      <c r="HD674">
        <v>0</v>
      </c>
      <c r="HE674">
        <v>0</v>
      </c>
      <c r="HF674">
        <v>29</v>
      </c>
      <c r="HG674">
        <v>0</v>
      </c>
      <c r="HH674">
        <v>0</v>
      </c>
      <c r="HI674">
        <v>96</v>
      </c>
      <c r="HZ674" s="24">
        <v>2017</v>
      </c>
      <c r="IA674" s="24">
        <v>5</v>
      </c>
      <c r="IB674" s="24" t="s">
        <v>32</v>
      </c>
      <c r="IC674" s="24">
        <v>697</v>
      </c>
      <c r="ID674" s="24">
        <v>649</v>
      </c>
    </row>
    <row r="675" spans="9:238" x14ac:dyDescent="0.4">
      <c r="I675" s="305">
        <v>2017</v>
      </c>
      <c r="J675" s="306">
        <v>5</v>
      </c>
      <c r="K675" s="306" t="s">
        <v>32</v>
      </c>
      <c r="L675" s="306">
        <v>7522</v>
      </c>
      <c r="M675" s="306">
        <v>6186</v>
      </c>
      <c r="N675" s="306">
        <v>60</v>
      </c>
      <c r="O675" s="306">
        <v>1336</v>
      </c>
      <c r="P675" s="306">
        <v>34</v>
      </c>
      <c r="Q675" s="306"/>
      <c r="R675" s="292"/>
      <c r="S675" s="292"/>
      <c r="T675" s="292"/>
      <c r="DJ675" s="24">
        <v>2017</v>
      </c>
      <c r="DK675" s="24">
        <v>32</v>
      </c>
      <c r="DL675" s="24" t="s">
        <v>33</v>
      </c>
      <c r="DM675" s="24">
        <v>484</v>
      </c>
      <c r="DP675" s="24"/>
      <c r="DQ675" s="24"/>
      <c r="DR675" s="24"/>
      <c r="DS675" s="24"/>
      <c r="EI675" s="24">
        <v>2022</v>
      </c>
      <c r="EJ675" s="24">
        <v>41</v>
      </c>
      <c r="EK675" s="24" t="s">
        <v>208</v>
      </c>
      <c r="EL675" s="24" t="s">
        <v>245</v>
      </c>
      <c r="EM675" s="24" t="s">
        <v>210</v>
      </c>
      <c r="EN675" s="24">
        <v>1</v>
      </c>
      <c r="EO675" s="24"/>
      <c r="EP675" s="24"/>
      <c r="ES675" s="24">
        <v>2018</v>
      </c>
      <c r="ET675" s="24">
        <v>28</v>
      </c>
      <c r="EU675" s="24" t="s">
        <v>32</v>
      </c>
      <c r="EV675" s="24">
        <v>2256</v>
      </c>
      <c r="FW675" s="24">
        <v>2017</v>
      </c>
      <c r="FX675" s="24">
        <v>5</v>
      </c>
      <c r="FY675" s="24" t="s">
        <v>33</v>
      </c>
      <c r="FZ675" s="24">
        <v>4546</v>
      </c>
      <c r="GA675" s="24">
        <v>3783</v>
      </c>
      <c r="GD675" s="24"/>
      <c r="GE675" s="24"/>
      <c r="GF675" s="24"/>
      <c r="GG675" s="24"/>
      <c r="GH675" s="24"/>
      <c r="GX675">
        <v>2017</v>
      </c>
      <c r="GY675">
        <v>5</v>
      </c>
      <c r="GZ675" t="s">
        <v>33</v>
      </c>
      <c r="HA675">
        <v>85770</v>
      </c>
      <c r="HB675">
        <v>83431</v>
      </c>
      <c r="HC675">
        <v>0</v>
      </c>
      <c r="HD675">
        <v>32</v>
      </c>
      <c r="HE675">
        <v>0</v>
      </c>
      <c r="HF675">
        <v>329</v>
      </c>
      <c r="HG675">
        <v>0</v>
      </c>
      <c r="HH675">
        <v>0</v>
      </c>
      <c r="HI675">
        <v>674</v>
      </c>
      <c r="HZ675" s="24">
        <v>2017</v>
      </c>
      <c r="IA675" s="24">
        <v>5</v>
      </c>
      <c r="IB675" s="24" t="s">
        <v>33</v>
      </c>
      <c r="IC675" s="24">
        <v>4586</v>
      </c>
      <c r="ID675" s="24">
        <v>4068</v>
      </c>
    </row>
    <row r="676" spans="9:238" x14ac:dyDescent="0.4">
      <c r="I676" s="305">
        <v>2017</v>
      </c>
      <c r="J676" s="306">
        <v>5</v>
      </c>
      <c r="K676" s="306" t="s">
        <v>33</v>
      </c>
      <c r="L676" s="306">
        <v>83727</v>
      </c>
      <c r="M676" s="306">
        <v>43435</v>
      </c>
      <c r="N676" s="306">
        <v>785</v>
      </c>
      <c r="O676" s="306">
        <v>40283</v>
      </c>
      <c r="P676" s="306">
        <v>599</v>
      </c>
      <c r="Q676" s="306">
        <v>3</v>
      </c>
      <c r="R676" s="292"/>
      <c r="S676" s="292"/>
      <c r="T676" s="292"/>
      <c r="DJ676" s="24">
        <v>2017</v>
      </c>
      <c r="DK676" s="24">
        <v>31</v>
      </c>
      <c r="DL676" s="24" t="s">
        <v>32</v>
      </c>
      <c r="DM676" s="24">
        <v>291</v>
      </c>
      <c r="DP676" s="24"/>
      <c r="DQ676" s="24"/>
      <c r="DR676" s="24"/>
      <c r="DS676" s="24"/>
      <c r="EI676" s="24">
        <v>2022</v>
      </c>
      <c r="EJ676" s="24">
        <v>41</v>
      </c>
      <c r="EK676" s="24" t="s">
        <v>558</v>
      </c>
      <c r="EL676" s="24" t="s">
        <v>235</v>
      </c>
      <c r="EM676" s="24" t="s">
        <v>215</v>
      </c>
      <c r="EN676" s="24">
        <v>2</v>
      </c>
      <c r="EO676" s="24"/>
      <c r="EP676" s="24"/>
      <c r="ES676" s="24">
        <v>2018</v>
      </c>
      <c r="ET676" s="24">
        <v>28</v>
      </c>
      <c r="EU676" s="24" t="s">
        <v>33</v>
      </c>
      <c r="EV676" s="24">
        <v>82396</v>
      </c>
      <c r="FW676" s="24">
        <v>2017</v>
      </c>
      <c r="FX676" s="24">
        <v>4</v>
      </c>
      <c r="FY676" s="24" t="s">
        <v>32</v>
      </c>
      <c r="FZ676" s="24">
        <v>665</v>
      </c>
      <c r="GA676" s="24">
        <v>566</v>
      </c>
      <c r="GD676" s="24"/>
      <c r="GE676" s="24"/>
      <c r="GF676" s="24"/>
      <c r="GG676" s="24"/>
      <c r="GH676" s="24"/>
      <c r="GX676">
        <v>2017</v>
      </c>
      <c r="GY676">
        <v>4</v>
      </c>
      <c r="GZ676" t="s">
        <v>32</v>
      </c>
      <c r="HA676">
        <v>5342</v>
      </c>
      <c r="HB676">
        <v>5127</v>
      </c>
      <c r="HC676">
        <v>0</v>
      </c>
      <c r="HD676">
        <v>0</v>
      </c>
      <c r="HE676">
        <v>0</v>
      </c>
      <c r="HF676">
        <v>2</v>
      </c>
      <c r="HG676">
        <v>0</v>
      </c>
      <c r="HH676">
        <v>0</v>
      </c>
      <c r="HI676">
        <v>89</v>
      </c>
      <c r="HZ676" s="24">
        <v>2017</v>
      </c>
      <c r="IA676" s="24">
        <v>4</v>
      </c>
      <c r="IB676" s="24" t="s">
        <v>32</v>
      </c>
      <c r="IC676" s="24">
        <v>640</v>
      </c>
      <c r="ID676" s="24">
        <v>582</v>
      </c>
    </row>
    <row r="677" spans="9:238" x14ac:dyDescent="0.4">
      <c r="I677" s="305">
        <v>2017</v>
      </c>
      <c r="J677" s="306">
        <v>4</v>
      </c>
      <c r="K677" s="306" t="s">
        <v>32</v>
      </c>
      <c r="L677" s="306">
        <v>5113</v>
      </c>
      <c r="M677" s="306">
        <v>3221</v>
      </c>
      <c r="N677" s="306">
        <v>95</v>
      </c>
      <c r="O677" s="306">
        <v>1892</v>
      </c>
      <c r="P677" s="306">
        <v>17</v>
      </c>
      <c r="Q677" s="306"/>
      <c r="R677" s="292"/>
      <c r="S677" s="292"/>
      <c r="T677" s="292"/>
      <c r="DJ677" s="310">
        <v>2017</v>
      </c>
      <c r="DK677" s="310">
        <v>31</v>
      </c>
      <c r="DL677" s="310" t="s">
        <v>33</v>
      </c>
      <c r="DM677" s="310">
        <v>939</v>
      </c>
      <c r="DP677" s="24"/>
      <c r="DQ677" s="24"/>
      <c r="DR677" s="24"/>
      <c r="DS677" s="24"/>
      <c r="EI677" s="24">
        <v>2022</v>
      </c>
      <c r="EJ677" s="24">
        <v>41</v>
      </c>
      <c r="EK677" s="24" t="s">
        <v>33</v>
      </c>
      <c r="EL677" s="24" t="s">
        <v>233</v>
      </c>
      <c r="EM677" s="24" t="s">
        <v>210</v>
      </c>
      <c r="EN677" s="24">
        <v>9</v>
      </c>
      <c r="EO677" s="24"/>
      <c r="EP677" s="24"/>
      <c r="ES677" s="24">
        <v>2018</v>
      </c>
      <c r="ET677" s="24">
        <v>27</v>
      </c>
      <c r="EU677" s="24" t="s">
        <v>32</v>
      </c>
      <c r="EV677" s="24">
        <v>2348</v>
      </c>
      <c r="FW677" s="24">
        <v>2017</v>
      </c>
      <c r="FX677" s="24">
        <v>4</v>
      </c>
      <c r="FY677" s="24" t="s">
        <v>33</v>
      </c>
      <c r="FZ677" s="24">
        <v>4487</v>
      </c>
      <c r="GA677" s="24">
        <v>3814</v>
      </c>
      <c r="GD677" s="24"/>
      <c r="GE677" s="24"/>
      <c r="GF677" s="24"/>
      <c r="GG677" s="24"/>
      <c r="GH677" s="24"/>
      <c r="GX677">
        <v>2017</v>
      </c>
      <c r="GY677">
        <v>4</v>
      </c>
      <c r="GZ677" t="s">
        <v>33</v>
      </c>
      <c r="HA677">
        <v>80559</v>
      </c>
      <c r="HB677">
        <v>79383</v>
      </c>
      <c r="HC677">
        <v>0</v>
      </c>
      <c r="HD677">
        <v>17</v>
      </c>
      <c r="HE677">
        <v>0</v>
      </c>
      <c r="HF677">
        <v>113</v>
      </c>
      <c r="HG677">
        <v>0</v>
      </c>
      <c r="HH677">
        <v>0</v>
      </c>
      <c r="HI677">
        <v>406</v>
      </c>
      <c r="HZ677" s="24">
        <v>2017</v>
      </c>
      <c r="IA677" s="24">
        <v>4</v>
      </c>
      <c r="IB677" s="24" t="s">
        <v>33</v>
      </c>
      <c r="IC677" s="24">
        <v>4356</v>
      </c>
      <c r="ID677" s="24">
        <v>3989</v>
      </c>
    </row>
    <row r="678" spans="9:238" x14ac:dyDescent="0.4">
      <c r="I678" s="305">
        <v>2017</v>
      </c>
      <c r="J678" s="306">
        <v>4</v>
      </c>
      <c r="K678" s="306" t="s">
        <v>33</v>
      </c>
      <c r="L678" s="306">
        <v>80714</v>
      </c>
      <c r="M678" s="306">
        <v>42065</v>
      </c>
      <c r="N678" s="306">
        <v>537</v>
      </c>
      <c r="O678" s="306">
        <v>38633</v>
      </c>
      <c r="P678" s="306">
        <v>612</v>
      </c>
      <c r="Q678" s="306">
        <v>2</v>
      </c>
      <c r="R678" s="292"/>
      <c r="S678" s="292"/>
      <c r="T678" s="292"/>
      <c r="DJ678" s="310">
        <v>2017</v>
      </c>
      <c r="DK678" s="310">
        <v>30</v>
      </c>
      <c r="DL678" s="310" t="s">
        <v>32</v>
      </c>
      <c r="DM678" s="310">
        <v>977</v>
      </c>
      <c r="DP678" s="24"/>
      <c r="DQ678" s="24"/>
      <c r="DR678" s="24"/>
      <c r="DS678" s="24"/>
      <c r="EI678" s="24">
        <v>2022</v>
      </c>
      <c r="EJ678" s="24">
        <v>41</v>
      </c>
      <c r="EK678" s="24" t="s">
        <v>33</v>
      </c>
      <c r="EL678" s="24" t="s">
        <v>238</v>
      </c>
      <c r="EM678" s="24" t="s">
        <v>210</v>
      </c>
      <c r="EN678" s="24">
        <v>8</v>
      </c>
      <c r="EO678" s="24"/>
      <c r="EP678" s="24"/>
      <c r="ES678" s="24">
        <v>2018</v>
      </c>
      <c r="ET678" s="24">
        <v>27</v>
      </c>
      <c r="EU678" s="24" t="s">
        <v>33</v>
      </c>
      <c r="EV678" s="24">
        <v>84682</v>
      </c>
      <c r="FW678" s="24">
        <v>2017</v>
      </c>
      <c r="FX678" s="24">
        <v>3</v>
      </c>
      <c r="FY678" s="24" t="s">
        <v>32</v>
      </c>
      <c r="FZ678" s="24">
        <v>510</v>
      </c>
      <c r="GA678" s="24">
        <v>436</v>
      </c>
      <c r="GD678" s="24"/>
      <c r="GE678" s="24"/>
      <c r="GF678" s="24"/>
      <c r="GG678" s="24"/>
      <c r="GH678" s="24"/>
      <c r="GX678">
        <v>2017</v>
      </c>
      <c r="GY678">
        <v>3</v>
      </c>
      <c r="GZ678" t="s">
        <v>32</v>
      </c>
      <c r="HA678">
        <v>4623</v>
      </c>
      <c r="HB678">
        <v>4323</v>
      </c>
      <c r="HC678">
        <v>0</v>
      </c>
      <c r="HD678">
        <v>0</v>
      </c>
      <c r="HE678">
        <v>0</v>
      </c>
      <c r="HF678">
        <v>0</v>
      </c>
      <c r="HG678">
        <v>0</v>
      </c>
      <c r="HH678">
        <v>0</v>
      </c>
      <c r="HI678">
        <v>176</v>
      </c>
      <c r="HZ678" s="24">
        <v>2017</v>
      </c>
      <c r="IA678" s="24">
        <v>3</v>
      </c>
      <c r="IB678" s="24" t="s">
        <v>32</v>
      </c>
      <c r="IC678" s="24">
        <v>581</v>
      </c>
      <c r="ID678" s="24">
        <v>545</v>
      </c>
    </row>
    <row r="679" spans="9:238" x14ac:dyDescent="0.4">
      <c r="I679" s="305">
        <v>2017</v>
      </c>
      <c r="J679" s="306">
        <v>3</v>
      </c>
      <c r="K679" s="306" t="s">
        <v>32</v>
      </c>
      <c r="L679" s="306">
        <v>4688</v>
      </c>
      <c r="M679" s="306">
        <v>2799</v>
      </c>
      <c r="N679" s="306">
        <v>245</v>
      </c>
      <c r="O679" s="306">
        <v>1889</v>
      </c>
      <c r="P679" s="306">
        <v>22</v>
      </c>
      <c r="Q679" s="306"/>
      <c r="R679" s="292"/>
      <c r="S679" s="292"/>
      <c r="T679" s="292"/>
      <c r="DJ679" s="24">
        <v>2017</v>
      </c>
      <c r="DK679" s="24">
        <v>30</v>
      </c>
      <c r="DL679" s="24" t="s">
        <v>33</v>
      </c>
      <c r="DM679" s="24">
        <v>1794</v>
      </c>
      <c r="DP679" s="24"/>
      <c r="DQ679" s="24"/>
      <c r="DR679" s="24"/>
      <c r="DS679" s="24"/>
      <c r="EI679" s="24">
        <v>2022</v>
      </c>
      <c r="EJ679" s="24">
        <v>41</v>
      </c>
      <c r="EK679" s="24" t="s">
        <v>33</v>
      </c>
      <c r="EL679" s="24" t="s">
        <v>247</v>
      </c>
      <c r="EM679" s="24" t="s">
        <v>210</v>
      </c>
      <c r="EN679" s="24">
        <v>3</v>
      </c>
      <c r="EO679" s="24"/>
      <c r="EP679" s="24"/>
      <c r="ES679" s="24">
        <v>2018</v>
      </c>
      <c r="ET679" s="24">
        <v>26</v>
      </c>
      <c r="EU679" s="24" t="s">
        <v>32</v>
      </c>
      <c r="EV679" s="24">
        <v>1959</v>
      </c>
      <c r="FW679" s="24">
        <v>2017</v>
      </c>
      <c r="FX679" s="24">
        <v>3</v>
      </c>
      <c r="FY679" s="24" t="s">
        <v>33</v>
      </c>
      <c r="FZ679" s="24">
        <v>4033</v>
      </c>
      <c r="GA679" s="24">
        <v>3177</v>
      </c>
      <c r="GD679" s="24"/>
      <c r="GE679" s="24"/>
      <c r="GF679" s="24"/>
      <c r="GG679" s="24"/>
      <c r="GH679" s="24"/>
      <c r="GX679">
        <v>2017</v>
      </c>
      <c r="GY679">
        <v>3</v>
      </c>
      <c r="GZ679" t="s">
        <v>33</v>
      </c>
      <c r="HA679">
        <v>86604</v>
      </c>
      <c r="HB679">
        <v>83184</v>
      </c>
      <c r="HC679">
        <v>0</v>
      </c>
      <c r="HD679">
        <v>211</v>
      </c>
      <c r="HE679">
        <v>0</v>
      </c>
      <c r="HF679">
        <v>230</v>
      </c>
      <c r="HG679">
        <v>0</v>
      </c>
      <c r="HH679">
        <v>0</v>
      </c>
      <c r="HI679">
        <v>1090</v>
      </c>
      <c r="HZ679" s="24">
        <v>2017</v>
      </c>
      <c r="IA679" s="24">
        <v>3</v>
      </c>
      <c r="IB679" s="24" t="s">
        <v>33</v>
      </c>
      <c r="IC679" s="24">
        <v>4310</v>
      </c>
      <c r="ID679" s="24">
        <v>3704</v>
      </c>
    </row>
    <row r="680" spans="9:238" x14ac:dyDescent="0.4">
      <c r="I680" s="305">
        <v>2017</v>
      </c>
      <c r="J680" s="306">
        <v>3</v>
      </c>
      <c r="K680" s="306" t="s">
        <v>33</v>
      </c>
      <c r="L680" s="306">
        <v>86751</v>
      </c>
      <c r="M680" s="306">
        <v>44984</v>
      </c>
      <c r="N680" s="306">
        <v>1199</v>
      </c>
      <c r="O680" s="306">
        <v>41755</v>
      </c>
      <c r="P680" s="306">
        <v>620</v>
      </c>
      <c r="Q680" s="306">
        <v>6</v>
      </c>
      <c r="R680" s="292"/>
      <c r="S680" s="292"/>
      <c r="T680" s="292"/>
      <c r="DJ680" s="24">
        <v>2017</v>
      </c>
      <c r="DK680" s="24">
        <v>29</v>
      </c>
      <c r="DL680" s="24" t="s">
        <v>32</v>
      </c>
      <c r="DM680" s="24">
        <v>115</v>
      </c>
      <c r="DP680" s="24"/>
      <c r="DQ680" s="24"/>
      <c r="DR680" s="24"/>
      <c r="DS680" s="24"/>
      <c r="EI680" s="24">
        <v>2022</v>
      </c>
      <c r="EJ680" s="24">
        <v>41</v>
      </c>
      <c r="EK680" s="24" t="s">
        <v>237</v>
      </c>
      <c r="EL680" s="24" t="s">
        <v>555</v>
      </c>
      <c r="EM680" s="24" t="s">
        <v>210</v>
      </c>
      <c r="EN680" s="24">
        <v>3</v>
      </c>
      <c r="EO680" s="24"/>
      <c r="EP680" s="24"/>
      <c r="ES680" s="24">
        <v>2018</v>
      </c>
      <c r="ET680" s="24">
        <v>26</v>
      </c>
      <c r="EU680" s="24" t="s">
        <v>33</v>
      </c>
      <c r="EV680" s="24">
        <v>69783</v>
      </c>
      <c r="FW680" s="24">
        <v>2017</v>
      </c>
      <c r="FX680" s="24">
        <v>2</v>
      </c>
      <c r="FY680" s="24" t="s">
        <v>32</v>
      </c>
      <c r="FZ680" s="24">
        <v>681</v>
      </c>
      <c r="GA680" s="24">
        <v>501</v>
      </c>
      <c r="GD680" s="24"/>
      <c r="GE680" s="24"/>
      <c r="GF680" s="24"/>
      <c r="GG680" s="24"/>
      <c r="GH680" s="24"/>
      <c r="GX680">
        <v>2017</v>
      </c>
      <c r="GY680">
        <v>2</v>
      </c>
      <c r="GZ680" t="s">
        <v>32</v>
      </c>
      <c r="HA680">
        <v>8104</v>
      </c>
      <c r="HB680">
        <v>7652</v>
      </c>
      <c r="HC680">
        <v>0</v>
      </c>
      <c r="HD680">
        <v>8</v>
      </c>
      <c r="HE680">
        <v>0</v>
      </c>
      <c r="HF680">
        <v>173</v>
      </c>
      <c r="HG680">
        <v>0</v>
      </c>
      <c r="HH680">
        <v>0</v>
      </c>
      <c r="HI680">
        <v>125</v>
      </c>
      <c r="HZ680" s="24">
        <v>2017</v>
      </c>
      <c r="IA680" s="24">
        <v>2</v>
      </c>
      <c r="IB680" s="24" t="s">
        <v>32</v>
      </c>
      <c r="IC680" s="24">
        <v>630</v>
      </c>
      <c r="ID680" s="24">
        <v>494</v>
      </c>
    </row>
    <row r="681" spans="9:238" x14ac:dyDescent="0.4">
      <c r="I681" s="305">
        <v>2017</v>
      </c>
      <c r="J681" s="306">
        <v>2</v>
      </c>
      <c r="K681" s="306" t="s">
        <v>32</v>
      </c>
      <c r="L681" s="306">
        <v>8990</v>
      </c>
      <c r="M681" s="306">
        <v>6098</v>
      </c>
      <c r="N681" s="306">
        <v>176</v>
      </c>
      <c r="O681" s="306">
        <v>2889</v>
      </c>
      <c r="P681" s="306">
        <v>63</v>
      </c>
      <c r="Q681" s="306"/>
      <c r="R681" s="292"/>
      <c r="S681" s="292"/>
      <c r="T681" s="292"/>
      <c r="DJ681" s="24">
        <v>2017</v>
      </c>
      <c r="DK681" s="24">
        <v>29</v>
      </c>
      <c r="DL681" s="24" t="s">
        <v>33</v>
      </c>
      <c r="DM681" s="24">
        <v>2022</v>
      </c>
      <c r="DP681" s="24"/>
      <c r="DQ681" s="24"/>
      <c r="DR681" s="24"/>
      <c r="DS681" s="24"/>
      <c r="EI681" s="24">
        <v>2022</v>
      </c>
      <c r="EJ681" s="24">
        <v>41</v>
      </c>
      <c r="EK681" s="24" t="s">
        <v>237</v>
      </c>
      <c r="EL681" s="24" t="s">
        <v>555</v>
      </c>
      <c r="EM681" s="24" t="s">
        <v>215</v>
      </c>
      <c r="EN681" s="24">
        <v>1</v>
      </c>
      <c r="EO681" s="24"/>
      <c r="EP681" s="24"/>
      <c r="ES681" s="24">
        <v>2018</v>
      </c>
      <c r="ET681" s="24">
        <v>25</v>
      </c>
      <c r="EU681" s="24" t="s">
        <v>32</v>
      </c>
      <c r="EV681" s="24">
        <v>2371</v>
      </c>
      <c r="FW681" s="24">
        <v>2017</v>
      </c>
      <c r="FX681" s="24">
        <v>2</v>
      </c>
      <c r="FY681" s="24" t="s">
        <v>33</v>
      </c>
      <c r="FZ681" s="24">
        <v>4028</v>
      </c>
      <c r="GA681" s="24">
        <v>3417</v>
      </c>
      <c r="GD681" s="24"/>
      <c r="GE681" s="24"/>
      <c r="GF681" s="24"/>
      <c r="GG681" s="24"/>
      <c r="GH681" s="24"/>
      <c r="GX681">
        <v>2017</v>
      </c>
      <c r="GY681">
        <v>2</v>
      </c>
      <c r="GZ681" t="s">
        <v>33</v>
      </c>
      <c r="HA681">
        <v>70615</v>
      </c>
      <c r="HB681">
        <v>69152</v>
      </c>
      <c r="HC681">
        <v>0</v>
      </c>
      <c r="HD681">
        <v>10</v>
      </c>
      <c r="HE681">
        <v>0</v>
      </c>
      <c r="HF681">
        <v>103</v>
      </c>
      <c r="HG681">
        <v>1</v>
      </c>
      <c r="HH681">
        <v>0</v>
      </c>
      <c r="HI681">
        <v>461</v>
      </c>
      <c r="HZ681" s="24">
        <v>2017</v>
      </c>
      <c r="IA681" s="24">
        <v>2</v>
      </c>
      <c r="IB681" s="24" t="s">
        <v>33</v>
      </c>
      <c r="IC681" s="24">
        <v>4005</v>
      </c>
      <c r="ID681" s="24">
        <v>3637</v>
      </c>
    </row>
    <row r="682" spans="9:238" x14ac:dyDescent="0.4">
      <c r="I682" s="305">
        <v>2017</v>
      </c>
      <c r="J682" s="306">
        <v>2</v>
      </c>
      <c r="K682" s="306" t="s">
        <v>33</v>
      </c>
      <c r="L682" s="306">
        <v>70068</v>
      </c>
      <c r="M682" s="306">
        <v>35963</v>
      </c>
      <c r="N682" s="306">
        <v>528</v>
      </c>
      <c r="O682" s="306">
        <v>34093</v>
      </c>
      <c r="P682" s="306">
        <v>426</v>
      </c>
      <c r="Q682" s="306"/>
      <c r="R682" s="292"/>
      <c r="S682" s="292"/>
      <c r="T682" s="292"/>
      <c r="DJ682" s="24">
        <v>2017</v>
      </c>
      <c r="DK682" s="24">
        <v>28</v>
      </c>
      <c r="DL682" s="24" t="s">
        <v>32</v>
      </c>
      <c r="DM682" s="24">
        <v>374</v>
      </c>
      <c r="DP682" s="24"/>
      <c r="DQ682" s="24"/>
      <c r="DR682" s="24"/>
      <c r="DS682" s="24"/>
      <c r="EI682" s="24">
        <v>2022</v>
      </c>
      <c r="EJ682" s="24">
        <v>41</v>
      </c>
      <c r="EK682" s="24" t="s">
        <v>237</v>
      </c>
      <c r="EL682" s="24" t="s">
        <v>557</v>
      </c>
      <c r="EM682" s="24" t="s">
        <v>210</v>
      </c>
      <c r="EN682" s="24">
        <v>2</v>
      </c>
      <c r="EO682" s="24"/>
      <c r="EP682" s="24"/>
      <c r="ES682" s="24">
        <v>2018</v>
      </c>
      <c r="ET682" s="24">
        <v>25</v>
      </c>
      <c r="EU682" s="24" t="s">
        <v>33</v>
      </c>
      <c r="EV682" s="24">
        <v>79408</v>
      </c>
      <c r="FW682" s="24">
        <v>2017</v>
      </c>
      <c r="FX682" s="24">
        <v>1</v>
      </c>
      <c r="FY682" s="24" t="s">
        <v>32</v>
      </c>
      <c r="FZ682" s="24">
        <v>608</v>
      </c>
      <c r="GA682" s="24">
        <v>532</v>
      </c>
      <c r="GD682" s="24"/>
      <c r="GE682" s="24"/>
      <c r="GF682" s="24"/>
      <c r="GG682" s="24"/>
      <c r="GH682" s="24"/>
      <c r="GX682">
        <v>2017</v>
      </c>
      <c r="GY682">
        <v>1</v>
      </c>
      <c r="GZ682" t="s">
        <v>32</v>
      </c>
      <c r="HA682">
        <v>7472</v>
      </c>
      <c r="HB682">
        <v>7224</v>
      </c>
      <c r="HC682">
        <v>0</v>
      </c>
      <c r="HD682">
        <v>0</v>
      </c>
      <c r="HE682">
        <v>0</v>
      </c>
      <c r="HF682">
        <v>13</v>
      </c>
      <c r="HG682">
        <v>0</v>
      </c>
      <c r="HH682">
        <v>0</v>
      </c>
      <c r="HI682">
        <v>68</v>
      </c>
      <c r="HZ682" s="24">
        <v>2017</v>
      </c>
      <c r="IA682" s="24">
        <v>1</v>
      </c>
      <c r="IB682" s="24" t="s">
        <v>32</v>
      </c>
      <c r="IC682" s="24">
        <v>619</v>
      </c>
      <c r="ID682" s="24">
        <v>583</v>
      </c>
    </row>
    <row r="683" spans="9:238" x14ac:dyDescent="0.4">
      <c r="I683" s="305">
        <v>2017</v>
      </c>
      <c r="J683" s="306">
        <v>1</v>
      </c>
      <c r="K683" s="306" t="s">
        <v>32</v>
      </c>
      <c r="L683" s="306">
        <v>6645</v>
      </c>
      <c r="M683" s="306">
        <v>4367</v>
      </c>
      <c r="N683" s="306">
        <v>89</v>
      </c>
      <c r="O683" s="306">
        <v>2278</v>
      </c>
      <c r="P683" s="306">
        <v>31</v>
      </c>
      <c r="Q683" s="306"/>
      <c r="R683" s="292"/>
      <c r="S683" s="292"/>
      <c r="T683" s="292"/>
      <c r="DJ683" s="311">
        <v>2017</v>
      </c>
      <c r="DK683" s="311">
        <v>28</v>
      </c>
      <c r="DL683" s="311" t="s">
        <v>33</v>
      </c>
      <c r="DM683" s="311">
        <v>3215</v>
      </c>
      <c r="DP683" s="24"/>
      <c r="DQ683" s="24"/>
      <c r="DR683" s="24"/>
      <c r="DS683" s="24"/>
      <c r="EI683" s="24">
        <v>2022</v>
      </c>
      <c r="EJ683" s="24">
        <v>41</v>
      </c>
      <c r="EK683" s="24" t="s">
        <v>237</v>
      </c>
      <c r="EL683" s="24" t="s">
        <v>557</v>
      </c>
      <c r="EM683" s="24" t="s">
        <v>215</v>
      </c>
      <c r="EN683" s="24">
        <v>21</v>
      </c>
      <c r="EO683" s="24"/>
      <c r="EP683" s="24"/>
      <c r="ES683" s="24">
        <v>2018</v>
      </c>
      <c r="ET683" s="24">
        <v>24</v>
      </c>
      <c r="EU683" s="24" t="s">
        <v>32</v>
      </c>
      <c r="EV683" s="24">
        <v>2589</v>
      </c>
      <c r="FW683" s="24">
        <v>2017</v>
      </c>
      <c r="FX683" s="24">
        <v>1</v>
      </c>
      <c r="FY683" s="24" t="s">
        <v>33</v>
      </c>
      <c r="FZ683" s="24">
        <v>3967</v>
      </c>
      <c r="GA683" s="24">
        <v>3150</v>
      </c>
      <c r="GD683" s="24"/>
      <c r="GE683" s="24"/>
      <c r="GF683" s="24"/>
      <c r="GG683" s="24"/>
      <c r="GH683" s="24"/>
      <c r="GX683">
        <v>2017</v>
      </c>
      <c r="GY683">
        <v>1</v>
      </c>
      <c r="GZ683" t="s">
        <v>33</v>
      </c>
      <c r="HA683">
        <v>72450</v>
      </c>
      <c r="HB683">
        <v>70790</v>
      </c>
      <c r="HC683">
        <v>0</v>
      </c>
      <c r="HD683">
        <v>11</v>
      </c>
      <c r="HE683">
        <v>0</v>
      </c>
      <c r="HF683">
        <v>467</v>
      </c>
      <c r="HG683">
        <v>0</v>
      </c>
      <c r="HH683">
        <v>0</v>
      </c>
      <c r="HI683">
        <v>434</v>
      </c>
      <c r="HZ683" s="24">
        <v>2017</v>
      </c>
      <c r="IA683" s="24">
        <v>1</v>
      </c>
      <c r="IB683" s="24" t="s">
        <v>33</v>
      </c>
      <c r="IC683" s="24">
        <v>3950</v>
      </c>
      <c r="ID683" s="24">
        <v>3364</v>
      </c>
    </row>
    <row r="684" spans="9:238" x14ac:dyDescent="0.4">
      <c r="I684" s="305">
        <v>2017</v>
      </c>
      <c r="J684" s="306">
        <v>1</v>
      </c>
      <c r="K684" s="306" t="s">
        <v>33</v>
      </c>
      <c r="L684" s="306">
        <v>71799</v>
      </c>
      <c r="M684" s="306">
        <v>36146</v>
      </c>
      <c r="N684" s="306">
        <v>544</v>
      </c>
      <c r="O684" s="306">
        <v>35645</v>
      </c>
      <c r="P684" s="306">
        <v>525</v>
      </c>
      <c r="Q684" s="306"/>
      <c r="R684" s="292"/>
      <c r="S684" s="292"/>
      <c r="T684" s="292"/>
      <c r="DJ684" s="311">
        <v>2017</v>
      </c>
      <c r="DK684" s="311">
        <v>27</v>
      </c>
      <c r="DL684" s="311" t="s">
        <v>32</v>
      </c>
      <c r="DM684" s="311">
        <v>596</v>
      </c>
      <c r="DP684" s="24"/>
      <c r="DQ684" s="24"/>
      <c r="DR684" s="24"/>
      <c r="DS684" s="24"/>
      <c r="EI684" s="24">
        <v>2022</v>
      </c>
      <c r="EJ684" s="24">
        <v>41</v>
      </c>
      <c r="EK684" s="24" t="s">
        <v>237</v>
      </c>
      <c r="EL684" s="24" t="s">
        <v>233</v>
      </c>
      <c r="EM684" s="24" t="s">
        <v>210</v>
      </c>
      <c r="EN684" s="24">
        <v>3</v>
      </c>
      <c r="EO684" s="24"/>
      <c r="EP684" s="24"/>
      <c r="ES684" s="24">
        <v>2018</v>
      </c>
      <c r="ET684" s="24">
        <v>24</v>
      </c>
      <c r="EU684" s="24" t="s">
        <v>33</v>
      </c>
      <c r="EV684" s="24">
        <v>82777</v>
      </c>
      <c r="FW684" s="24">
        <v>2016</v>
      </c>
      <c r="FX684" s="24">
        <v>52</v>
      </c>
      <c r="FY684" s="24" t="s">
        <v>32</v>
      </c>
      <c r="FZ684" s="24">
        <v>607</v>
      </c>
      <c r="GA684" s="24">
        <v>547</v>
      </c>
      <c r="GD684" s="24"/>
      <c r="GE684" s="24"/>
      <c r="GF684" s="24"/>
      <c r="GG684" s="24"/>
      <c r="GH684" s="24"/>
      <c r="GX684">
        <v>2016</v>
      </c>
      <c r="GY684">
        <v>52</v>
      </c>
      <c r="GZ684" t="s">
        <v>32</v>
      </c>
      <c r="HA684">
        <v>6288</v>
      </c>
      <c r="HB684">
        <v>6107</v>
      </c>
      <c r="HC684">
        <v>0</v>
      </c>
      <c r="HD684">
        <v>1</v>
      </c>
      <c r="HE684">
        <v>0</v>
      </c>
      <c r="HF684">
        <v>0</v>
      </c>
      <c r="HG684">
        <v>0</v>
      </c>
      <c r="HH684">
        <v>0</v>
      </c>
      <c r="HI684">
        <v>75</v>
      </c>
      <c r="HZ684" s="24">
        <v>2016</v>
      </c>
      <c r="IA684" s="24">
        <v>52</v>
      </c>
      <c r="IB684" s="24" t="s">
        <v>32</v>
      </c>
      <c r="IC684" s="24">
        <v>591</v>
      </c>
      <c r="ID684" s="24">
        <v>567</v>
      </c>
    </row>
    <row r="685" spans="9:238" x14ac:dyDescent="0.4">
      <c r="I685" s="305">
        <v>2016</v>
      </c>
      <c r="J685" s="306">
        <v>52</v>
      </c>
      <c r="K685" s="306" t="s">
        <v>32</v>
      </c>
      <c r="L685" s="306">
        <v>6516</v>
      </c>
      <c r="M685" s="306">
        <v>5014</v>
      </c>
      <c r="N685" s="306">
        <v>47</v>
      </c>
      <c r="O685" s="306">
        <v>1502</v>
      </c>
      <c r="P685" s="306">
        <v>25</v>
      </c>
      <c r="Q685" s="306"/>
      <c r="R685" s="292"/>
      <c r="S685" s="292"/>
      <c r="T685" s="292"/>
      <c r="DJ685" s="24">
        <v>2017</v>
      </c>
      <c r="DK685" s="24">
        <v>27</v>
      </c>
      <c r="DL685" s="24" t="s">
        <v>33</v>
      </c>
      <c r="DM685" s="24">
        <v>1918</v>
      </c>
      <c r="DP685" s="24"/>
      <c r="DQ685" s="24"/>
      <c r="DR685" s="24"/>
      <c r="DS685" s="24"/>
      <c r="EI685" s="24">
        <v>2022</v>
      </c>
      <c r="EJ685" s="24">
        <v>41</v>
      </c>
      <c r="EK685" s="24" t="s">
        <v>237</v>
      </c>
      <c r="EL685" s="24" t="s">
        <v>233</v>
      </c>
      <c r="EM685" s="24" t="s">
        <v>215</v>
      </c>
      <c r="EN685" s="24">
        <v>1</v>
      </c>
      <c r="EO685" s="24"/>
      <c r="EP685" s="24"/>
      <c r="ES685" s="24">
        <v>2018</v>
      </c>
      <c r="ET685" s="24">
        <v>23</v>
      </c>
      <c r="EU685" s="24" t="s">
        <v>32</v>
      </c>
      <c r="EV685" s="24">
        <v>2951</v>
      </c>
      <c r="FW685" s="24">
        <v>2016</v>
      </c>
      <c r="FX685" s="24">
        <v>52</v>
      </c>
      <c r="FY685" s="24" t="s">
        <v>33</v>
      </c>
      <c r="FZ685" s="24">
        <v>2751</v>
      </c>
      <c r="GA685" s="24">
        <v>2357</v>
      </c>
      <c r="GD685" s="24"/>
      <c r="GE685" s="24"/>
      <c r="GF685" s="24"/>
      <c r="GG685" s="24"/>
      <c r="GH685" s="24"/>
      <c r="GX685">
        <v>2016</v>
      </c>
      <c r="GY685">
        <v>52</v>
      </c>
      <c r="GZ685" t="s">
        <v>33</v>
      </c>
      <c r="HA685">
        <v>58241</v>
      </c>
      <c r="HB685">
        <v>57539</v>
      </c>
      <c r="HC685">
        <v>0</v>
      </c>
      <c r="HD685">
        <v>8</v>
      </c>
      <c r="HE685">
        <v>0</v>
      </c>
      <c r="HF685">
        <v>73</v>
      </c>
      <c r="HG685">
        <v>0</v>
      </c>
      <c r="HH685">
        <v>0</v>
      </c>
      <c r="HI685">
        <v>152</v>
      </c>
      <c r="HZ685" s="24">
        <v>2016</v>
      </c>
      <c r="IA685" s="24">
        <v>52</v>
      </c>
      <c r="IB685" s="24" t="s">
        <v>33</v>
      </c>
      <c r="IC685" s="24">
        <v>2813</v>
      </c>
      <c r="ID685" s="24">
        <v>2663</v>
      </c>
    </row>
    <row r="686" spans="9:238" x14ac:dyDescent="0.4">
      <c r="I686" s="305">
        <v>2016</v>
      </c>
      <c r="J686" s="306">
        <v>52</v>
      </c>
      <c r="K686" s="306" t="s">
        <v>33</v>
      </c>
      <c r="L686" s="306">
        <v>58000</v>
      </c>
      <c r="M686" s="306">
        <v>31212</v>
      </c>
      <c r="N686" s="306">
        <v>382</v>
      </c>
      <c r="O686" s="306">
        <v>26787</v>
      </c>
      <c r="P686" s="306">
        <v>291</v>
      </c>
      <c r="Q686" s="306"/>
      <c r="R686" s="292"/>
      <c r="S686" s="292"/>
      <c r="T686" s="292"/>
      <c r="DJ686" s="24">
        <v>2017</v>
      </c>
      <c r="DK686" s="24">
        <v>26</v>
      </c>
      <c r="DL686" s="24" t="s">
        <v>32</v>
      </c>
      <c r="DM686" s="24">
        <v>284</v>
      </c>
      <c r="DP686" s="24"/>
      <c r="DQ686" s="24"/>
      <c r="DR686" s="24"/>
      <c r="DS686" s="24"/>
      <c r="EI686" s="24">
        <v>2022</v>
      </c>
      <c r="EJ686" s="24">
        <v>41</v>
      </c>
      <c r="EK686" s="24" t="s">
        <v>237</v>
      </c>
      <c r="EL686" s="24" t="s">
        <v>554</v>
      </c>
      <c r="EM686" s="24" t="s">
        <v>210</v>
      </c>
      <c r="EN686" s="24">
        <v>1</v>
      </c>
      <c r="EO686" s="24"/>
      <c r="EP686" s="24"/>
      <c r="ES686" s="24">
        <v>2018</v>
      </c>
      <c r="ET686" s="24">
        <v>23</v>
      </c>
      <c r="EU686" s="24" t="s">
        <v>33</v>
      </c>
      <c r="EV686" s="24">
        <v>84674</v>
      </c>
      <c r="FW686" s="24">
        <v>2016</v>
      </c>
      <c r="FX686" s="24">
        <v>51</v>
      </c>
      <c r="FY686" s="24" t="s">
        <v>32</v>
      </c>
      <c r="FZ686" s="24">
        <v>676</v>
      </c>
      <c r="GA686" s="24">
        <v>632</v>
      </c>
      <c r="GD686" s="24"/>
      <c r="GE686" s="24"/>
      <c r="GF686" s="24"/>
      <c r="GG686" s="24"/>
      <c r="GH686" s="24"/>
      <c r="GX686">
        <v>2016</v>
      </c>
      <c r="GY686">
        <v>51</v>
      </c>
      <c r="GZ686" t="s">
        <v>32</v>
      </c>
      <c r="HA686">
        <v>9014</v>
      </c>
      <c r="HB686">
        <v>8718</v>
      </c>
      <c r="HC686">
        <v>0</v>
      </c>
      <c r="HD686">
        <v>3</v>
      </c>
      <c r="HE686">
        <v>0</v>
      </c>
      <c r="HF686">
        <v>17</v>
      </c>
      <c r="HG686">
        <v>0</v>
      </c>
      <c r="HH686">
        <v>0</v>
      </c>
      <c r="HI686">
        <v>105</v>
      </c>
      <c r="HZ686" s="24">
        <v>2016</v>
      </c>
      <c r="IA686" s="24">
        <v>51</v>
      </c>
      <c r="IB686" s="24" t="s">
        <v>32</v>
      </c>
      <c r="IC686" s="24">
        <v>720</v>
      </c>
      <c r="ID686" s="24">
        <v>701</v>
      </c>
    </row>
    <row r="687" spans="9:238" x14ac:dyDescent="0.4">
      <c r="I687" s="305">
        <v>2016</v>
      </c>
      <c r="J687" s="306">
        <v>51</v>
      </c>
      <c r="K687" s="306" t="s">
        <v>32</v>
      </c>
      <c r="L687" s="306">
        <v>8627</v>
      </c>
      <c r="M687" s="306">
        <v>6132</v>
      </c>
      <c r="N687" s="306">
        <v>103</v>
      </c>
      <c r="O687" s="306">
        <v>2493</v>
      </c>
      <c r="P687" s="306">
        <v>16</v>
      </c>
      <c r="Q687" s="306"/>
      <c r="R687" s="292"/>
      <c r="S687" s="292"/>
      <c r="T687" s="292"/>
      <c r="DJ687" s="24">
        <v>2017</v>
      </c>
      <c r="DK687" s="24">
        <v>26</v>
      </c>
      <c r="DL687" s="24" t="s">
        <v>33</v>
      </c>
      <c r="DM687" s="24">
        <v>2973</v>
      </c>
      <c r="DP687" s="24"/>
      <c r="DQ687" s="24"/>
      <c r="DR687" s="24"/>
      <c r="DS687" s="24"/>
      <c r="EI687" s="24">
        <v>2022</v>
      </c>
      <c r="EJ687" s="24">
        <v>41</v>
      </c>
      <c r="EK687" s="24" t="s">
        <v>237</v>
      </c>
      <c r="EL687" s="24" t="s">
        <v>554</v>
      </c>
      <c r="EM687" s="24" t="s">
        <v>215</v>
      </c>
      <c r="EN687" s="24">
        <v>4</v>
      </c>
      <c r="EO687" s="24"/>
      <c r="EP687" s="24"/>
      <c r="ES687" s="24">
        <v>2018</v>
      </c>
      <c r="ET687" s="24">
        <v>22</v>
      </c>
      <c r="EU687" s="24" t="s">
        <v>32</v>
      </c>
      <c r="EV687" s="24">
        <v>2509</v>
      </c>
      <c r="FW687" s="24">
        <v>2016</v>
      </c>
      <c r="FX687" s="24">
        <v>51</v>
      </c>
      <c r="FY687" s="24" t="s">
        <v>33</v>
      </c>
      <c r="FZ687" s="24">
        <v>5723</v>
      </c>
      <c r="GA687" s="24">
        <v>5149</v>
      </c>
      <c r="GD687" s="24"/>
      <c r="GE687" s="24"/>
      <c r="GF687" s="24"/>
      <c r="GG687" s="24"/>
      <c r="GH687" s="24"/>
      <c r="GX687">
        <v>2016</v>
      </c>
      <c r="GY687">
        <v>51</v>
      </c>
      <c r="GZ687" t="s">
        <v>33</v>
      </c>
      <c r="HA687">
        <v>57608</v>
      </c>
      <c r="HB687">
        <v>56651</v>
      </c>
      <c r="HC687">
        <v>0</v>
      </c>
      <c r="HD687">
        <v>17</v>
      </c>
      <c r="HE687">
        <v>0</v>
      </c>
      <c r="HF687">
        <v>289</v>
      </c>
      <c r="HG687">
        <v>0</v>
      </c>
      <c r="HH687">
        <v>0</v>
      </c>
      <c r="HI687">
        <v>136</v>
      </c>
      <c r="HZ687" s="24">
        <v>2016</v>
      </c>
      <c r="IA687" s="24">
        <v>51</v>
      </c>
      <c r="IB687" s="24" t="s">
        <v>33</v>
      </c>
      <c r="IC687" s="24">
        <v>5594</v>
      </c>
      <c r="ID687" s="24">
        <v>5385</v>
      </c>
    </row>
    <row r="688" spans="9:238" x14ac:dyDescent="0.4">
      <c r="I688" s="305">
        <v>2016</v>
      </c>
      <c r="J688" s="306">
        <v>51</v>
      </c>
      <c r="K688" s="306" t="s">
        <v>33</v>
      </c>
      <c r="L688" s="306">
        <v>55803</v>
      </c>
      <c r="M688" s="306">
        <v>27261</v>
      </c>
      <c r="N688" s="306">
        <v>446</v>
      </c>
      <c r="O688" s="306">
        <v>28539</v>
      </c>
      <c r="P688" s="306">
        <v>267</v>
      </c>
      <c r="Q688" s="306"/>
      <c r="R688" s="292"/>
      <c r="S688" s="292"/>
      <c r="T688" s="292"/>
      <c r="DJ688" s="24">
        <v>2017</v>
      </c>
      <c r="DK688" s="24">
        <v>25</v>
      </c>
      <c r="DL688" s="24" t="s">
        <v>32</v>
      </c>
      <c r="DM688" s="24">
        <v>754</v>
      </c>
      <c r="DP688" s="24"/>
      <c r="DQ688" s="24"/>
      <c r="DR688" s="24"/>
      <c r="DS688" s="24"/>
      <c r="EI688" s="24">
        <v>2022</v>
      </c>
      <c r="EJ688" s="24">
        <v>41</v>
      </c>
      <c r="EK688" s="24" t="s">
        <v>237</v>
      </c>
      <c r="EL688" s="24" t="s">
        <v>235</v>
      </c>
      <c r="EM688" s="24" t="s">
        <v>210</v>
      </c>
      <c r="EN688" s="24">
        <v>3</v>
      </c>
      <c r="EO688" s="24"/>
      <c r="EP688" s="24"/>
      <c r="ES688" s="24">
        <v>2018</v>
      </c>
      <c r="ET688" s="24">
        <v>22</v>
      </c>
      <c r="EU688" s="24" t="s">
        <v>33</v>
      </c>
      <c r="EV688" s="24">
        <v>75173</v>
      </c>
      <c r="FW688" s="24">
        <v>2016</v>
      </c>
      <c r="FX688" s="24">
        <v>50</v>
      </c>
      <c r="FY688" s="24" t="s">
        <v>32</v>
      </c>
      <c r="FZ688" s="24">
        <v>665</v>
      </c>
      <c r="GA688" s="24">
        <v>605</v>
      </c>
      <c r="GD688" s="24"/>
      <c r="GE688" s="24"/>
      <c r="GF688" s="24"/>
      <c r="GG688" s="24"/>
      <c r="GH688" s="24"/>
      <c r="GX688">
        <v>2016</v>
      </c>
      <c r="GY688">
        <v>50</v>
      </c>
      <c r="GZ688" t="s">
        <v>32</v>
      </c>
      <c r="HA688">
        <v>4685</v>
      </c>
      <c r="HB688">
        <v>4476</v>
      </c>
      <c r="HC688">
        <v>0</v>
      </c>
      <c r="HD688">
        <v>0</v>
      </c>
      <c r="HE688">
        <v>0</v>
      </c>
      <c r="HF688">
        <v>0</v>
      </c>
      <c r="HG688">
        <v>0</v>
      </c>
      <c r="HH688">
        <v>0</v>
      </c>
      <c r="HI688">
        <v>92</v>
      </c>
      <c r="HZ688" s="24">
        <v>2016</v>
      </c>
      <c r="IA688" s="24">
        <v>50</v>
      </c>
      <c r="IB688" s="24" t="s">
        <v>32</v>
      </c>
      <c r="IC688" s="24">
        <v>638</v>
      </c>
      <c r="ID688" s="24">
        <v>625</v>
      </c>
    </row>
    <row r="689" spans="9:238" x14ac:dyDescent="0.4">
      <c r="I689" s="305">
        <v>2016</v>
      </c>
      <c r="J689" s="306">
        <v>50</v>
      </c>
      <c r="K689" s="306" t="s">
        <v>32</v>
      </c>
      <c r="L689" s="306">
        <v>4745</v>
      </c>
      <c r="M689" s="306">
        <v>2957</v>
      </c>
      <c r="N689" s="306">
        <v>72</v>
      </c>
      <c r="O689" s="306">
        <v>1788</v>
      </c>
      <c r="P689" s="306">
        <v>26</v>
      </c>
      <c r="Q689" s="306"/>
      <c r="R689" s="292"/>
      <c r="S689" s="292"/>
      <c r="T689" s="292"/>
      <c r="DJ689" s="313">
        <v>2017</v>
      </c>
      <c r="DK689" s="313">
        <v>25</v>
      </c>
      <c r="DL689" s="313" t="s">
        <v>33</v>
      </c>
      <c r="DM689" s="313">
        <v>3445</v>
      </c>
      <c r="DP689" s="24"/>
      <c r="DQ689" s="24"/>
      <c r="DR689" s="24"/>
      <c r="DS689" s="24"/>
      <c r="EI689" s="24">
        <v>2022</v>
      </c>
      <c r="EJ689" s="24">
        <v>41</v>
      </c>
      <c r="EK689" s="24" t="s">
        <v>237</v>
      </c>
      <c r="EL689" s="24" t="s">
        <v>235</v>
      </c>
      <c r="EM689" s="24" t="s">
        <v>234</v>
      </c>
      <c r="EN689" s="24">
        <v>5</v>
      </c>
      <c r="EO689" s="24"/>
      <c r="EP689" s="24"/>
      <c r="ES689" s="24">
        <v>2018</v>
      </c>
      <c r="ET689" s="24">
        <v>21</v>
      </c>
      <c r="EU689" s="24" t="s">
        <v>32</v>
      </c>
      <c r="EV689" s="24">
        <v>2332</v>
      </c>
      <c r="FW689" s="24">
        <v>2016</v>
      </c>
      <c r="FX689" s="24">
        <v>50</v>
      </c>
      <c r="FY689" s="24" t="s">
        <v>33</v>
      </c>
      <c r="FZ689" s="24">
        <v>6297</v>
      </c>
      <c r="GA689" s="24">
        <v>5472</v>
      </c>
      <c r="GD689" s="24"/>
      <c r="GE689" s="24"/>
      <c r="GF689" s="24"/>
      <c r="GG689" s="24"/>
      <c r="GH689" s="24"/>
      <c r="GX689">
        <v>2016</v>
      </c>
      <c r="GY689">
        <v>50</v>
      </c>
      <c r="GZ689" t="s">
        <v>33</v>
      </c>
      <c r="HA689">
        <v>64587</v>
      </c>
      <c r="HB689">
        <v>63629</v>
      </c>
      <c r="HC689">
        <v>1</v>
      </c>
      <c r="HD689">
        <v>21</v>
      </c>
      <c r="HE689">
        <v>0</v>
      </c>
      <c r="HF689">
        <v>188</v>
      </c>
      <c r="HG689">
        <v>0</v>
      </c>
      <c r="HH689">
        <v>0</v>
      </c>
      <c r="HI689">
        <v>237</v>
      </c>
      <c r="HZ689" s="24">
        <v>2016</v>
      </c>
      <c r="IA689" s="24">
        <v>50</v>
      </c>
      <c r="IB689" s="24" t="s">
        <v>33</v>
      </c>
      <c r="IC689" s="24">
        <v>6149</v>
      </c>
      <c r="ID689" s="24">
        <v>5857</v>
      </c>
    </row>
    <row r="690" spans="9:238" x14ac:dyDescent="0.4">
      <c r="I690" s="305">
        <v>2016</v>
      </c>
      <c r="J690" s="306">
        <v>50</v>
      </c>
      <c r="K690" s="306" t="s">
        <v>33</v>
      </c>
      <c r="L690" s="306">
        <v>66602</v>
      </c>
      <c r="M690" s="306">
        <v>30703</v>
      </c>
      <c r="N690" s="306">
        <v>634</v>
      </c>
      <c r="O690" s="306">
        <v>35885</v>
      </c>
      <c r="P690" s="306">
        <v>588</v>
      </c>
      <c r="Q690" s="306"/>
      <c r="R690" s="292"/>
      <c r="S690" s="292"/>
      <c r="T690" s="292"/>
      <c r="DJ690" s="313">
        <v>2017</v>
      </c>
      <c r="DK690" s="313">
        <v>24</v>
      </c>
      <c r="DL690" s="313" t="s">
        <v>32</v>
      </c>
      <c r="DM690" s="313">
        <v>1092</v>
      </c>
      <c r="DP690" s="24"/>
      <c r="DQ690" s="24"/>
      <c r="DR690" s="24"/>
      <c r="DS690" s="24"/>
      <c r="EI690" s="24">
        <v>2022</v>
      </c>
      <c r="EJ690" s="24">
        <v>41</v>
      </c>
      <c r="EK690" s="24" t="s">
        <v>237</v>
      </c>
      <c r="EL690" s="24" t="s">
        <v>235</v>
      </c>
      <c r="EM690" s="24" t="s">
        <v>215</v>
      </c>
      <c r="EN690" s="24">
        <v>5</v>
      </c>
      <c r="EO690" s="24"/>
      <c r="EP690" s="24"/>
      <c r="ES690" s="24">
        <v>2018</v>
      </c>
      <c r="ET690" s="24">
        <v>21</v>
      </c>
      <c r="EU690" s="24" t="s">
        <v>33</v>
      </c>
      <c r="EV690" s="24">
        <v>72465</v>
      </c>
      <c r="FW690" s="24">
        <v>2016</v>
      </c>
      <c r="FX690" s="24">
        <v>49</v>
      </c>
      <c r="FY690" s="24" t="s">
        <v>32</v>
      </c>
      <c r="FZ690" s="24">
        <v>687</v>
      </c>
      <c r="GA690" s="24">
        <v>620</v>
      </c>
      <c r="GD690" s="24"/>
      <c r="GE690" s="24"/>
      <c r="GF690" s="24"/>
      <c r="GG690" s="24"/>
      <c r="GH690" s="24"/>
      <c r="GX690">
        <v>2016</v>
      </c>
      <c r="GY690">
        <v>49</v>
      </c>
      <c r="GZ690" t="s">
        <v>32</v>
      </c>
      <c r="HA690">
        <v>5415</v>
      </c>
      <c r="HB690">
        <v>5217</v>
      </c>
      <c r="HC690">
        <v>0</v>
      </c>
      <c r="HD690">
        <v>2</v>
      </c>
      <c r="HE690">
        <v>0</v>
      </c>
      <c r="HF690">
        <v>3</v>
      </c>
      <c r="HG690">
        <v>0</v>
      </c>
      <c r="HH690">
        <v>0</v>
      </c>
      <c r="HI690">
        <v>82</v>
      </c>
      <c r="HZ690" s="24">
        <v>2016</v>
      </c>
      <c r="IA690" s="24">
        <v>49</v>
      </c>
      <c r="IB690" s="24" t="s">
        <v>32</v>
      </c>
      <c r="IC690" s="24">
        <v>700</v>
      </c>
      <c r="ID690" s="24">
        <v>652</v>
      </c>
    </row>
    <row r="691" spans="9:238" x14ac:dyDescent="0.4">
      <c r="I691" s="305">
        <v>2016</v>
      </c>
      <c r="J691" s="306">
        <v>49</v>
      </c>
      <c r="K691" s="306" t="s">
        <v>32</v>
      </c>
      <c r="L691" s="306">
        <v>5560</v>
      </c>
      <c r="M691" s="306">
        <v>3794</v>
      </c>
      <c r="N691" s="306">
        <v>69</v>
      </c>
      <c r="O691" s="306">
        <v>1766</v>
      </c>
      <c r="P691" s="306">
        <v>29</v>
      </c>
      <c r="Q691" s="306"/>
      <c r="R691" s="292"/>
      <c r="S691" s="292"/>
      <c r="T691" s="292"/>
      <c r="DJ691" s="313">
        <v>2017</v>
      </c>
      <c r="DK691" s="313">
        <v>24</v>
      </c>
      <c r="DL691" s="313" t="s">
        <v>33</v>
      </c>
      <c r="DM691" s="313">
        <v>3604</v>
      </c>
      <c r="DP691" s="24"/>
      <c r="DQ691" s="24"/>
      <c r="DR691" s="24"/>
      <c r="DS691" s="24"/>
      <c r="EI691" s="24">
        <v>2022</v>
      </c>
      <c r="EJ691" s="24">
        <v>41</v>
      </c>
      <c r="EK691" s="24" t="s">
        <v>237</v>
      </c>
      <c r="EL691" s="24" t="s">
        <v>247</v>
      </c>
      <c r="EM691" s="24" t="s">
        <v>210</v>
      </c>
      <c r="EN691" s="24">
        <v>11</v>
      </c>
      <c r="EO691" s="24"/>
      <c r="EP691" s="24"/>
      <c r="ES691" s="24">
        <v>2018</v>
      </c>
      <c r="ET691" s="24">
        <v>20</v>
      </c>
      <c r="EU691" s="24" t="s">
        <v>32</v>
      </c>
      <c r="EV691" s="24">
        <v>2391</v>
      </c>
      <c r="FW691" s="24">
        <v>2016</v>
      </c>
      <c r="FX691" s="24">
        <v>49</v>
      </c>
      <c r="FY691" s="24" t="s">
        <v>33</v>
      </c>
      <c r="FZ691" s="24">
        <v>3899</v>
      </c>
      <c r="GA691" s="24">
        <v>3195</v>
      </c>
      <c r="GD691" s="24"/>
      <c r="GE691" s="24"/>
      <c r="GF691" s="24"/>
      <c r="GG691" s="24"/>
      <c r="GH691" s="24"/>
      <c r="GX691">
        <v>2016</v>
      </c>
      <c r="GY691">
        <v>49</v>
      </c>
      <c r="GZ691" t="s">
        <v>33</v>
      </c>
      <c r="HA691">
        <v>73564</v>
      </c>
      <c r="HB691">
        <v>70114</v>
      </c>
      <c r="HC691">
        <v>0</v>
      </c>
      <c r="HD691">
        <v>106</v>
      </c>
      <c r="HE691">
        <v>0</v>
      </c>
      <c r="HF691">
        <v>1948</v>
      </c>
      <c r="HG691">
        <v>0</v>
      </c>
      <c r="HH691">
        <v>0</v>
      </c>
      <c r="HI691">
        <v>854</v>
      </c>
      <c r="HZ691" s="24">
        <v>2016</v>
      </c>
      <c r="IA691" s="24">
        <v>49</v>
      </c>
      <c r="IB691" s="24" t="s">
        <v>33</v>
      </c>
      <c r="IC691" s="24">
        <v>4119</v>
      </c>
      <c r="ID691" s="24">
        <v>3786</v>
      </c>
    </row>
    <row r="692" spans="9:238" x14ac:dyDescent="0.4">
      <c r="I692" s="305">
        <v>2016</v>
      </c>
      <c r="J692" s="306">
        <v>49</v>
      </c>
      <c r="K692" s="306" t="s">
        <v>33</v>
      </c>
      <c r="L692" s="306">
        <v>73498</v>
      </c>
      <c r="M692" s="306">
        <v>36874</v>
      </c>
      <c r="N692" s="306">
        <v>531</v>
      </c>
      <c r="O692" s="306">
        <v>36601</v>
      </c>
      <c r="P692" s="306">
        <v>415</v>
      </c>
      <c r="Q692" s="306"/>
      <c r="R692" s="292"/>
      <c r="S692" s="292"/>
      <c r="T692" s="292"/>
      <c r="DJ692" s="313">
        <v>2017</v>
      </c>
      <c r="DK692" s="313">
        <v>23</v>
      </c>
      <c r="DL692" s="313" t="s">
        <v>32</v>
      </c>
      <c r="DM692" s="313">
        <v>944</v>
      </c>
      <c r="DP692" s="24"/>
      <c r="DQ692" s="24"/>
      <c r="DR692" s="24"/>
      <c r="DS692" s="24"/>
      <c r="EI692" s="24">
        <v>2022</v>
      </c>
      <c r="EJ692" s="24">
        <v>41</v>
      </c>
      <c r="EK692" s="24" t="s">
        <v>237</v>
      </c>
      <c r="EL692" s="24" t="s">
        <v>247</v>
      </c>
      <c r="EM692" s="24" t="s">
        <v>234</v>
      </c>
      <c r="EN692" s="24">
        <v>2</v>
      </c>
      <c r="EO692" s="24"/>
      <c r="EP692" s="24"/>
      <c r="ES692" s="24">
        <v>2018</v>
      </c>
      <c r="ET692" s="24">
        <v>20</v>
      </c>
      <c r="EU692" s="24" t="s">
        <v>33</v>
      </c>
      <c r="EV692" s="24">
        <v>82115</v>
      </c>
      <c r="FW692" s="24">
        <v>2016</v>
      </c>
      <c r="FX692" s="24">
        <v>48</v>
      </c>
      <c r="FY692" s="24" t="s">
        <v>32</v>
      </c>
      <c r="FZ692" s="24">
        <v>529</v>
      </c>
      <c r="GA692" s="24">
        <v>453</v>
      </c>
      <c r="GD692" s="24"/>
      <c r="GE692" s="24"/>
      <c r="GF692" s="24"/>
      <c r="GG692" s="24"/>
      <c r="GH692" s="24"/>
      <c r="GX692">
        <v>2016</v>
      </c>
      <c r="GY692">
        <v>48</v>
      </c>
      <c r="GZ692" t="s">
        <v>32</v>
      </c>
      <c r="HA692">
        <v>5740</v>
      </c>
      <c r="HB692">
        <v>5512</v>
      </c>
      <c r="HC692">
        <v>0</v>
      </c>
      <c r="HD692">
        <v>0</v>
      </c>
      <c r="HE692">
        <v>0</v>
      </c>
      <c r="HF692">
        <v>4</v>
      </c>
      <c r="HG692">
        <v>0</v>
      </c>
      <c r="HH692">
        <v>0</v>
      </c>
      <c r="HI692">
        <v>92</v>
      </c>
      <c r="HZ692" s="24">
        <v>2016</v>
      </c>
      <c r="IA692" s="24">
        <v>48</v>
      </c>
      <c r="IB692" s="24" t="s">
        <v>32</v>
      </c>
      <c r="IC692" s="24">
        <v>539</v>
      </c>
      <c r="ID692" s="24">
        <v>490</v>
      </c>
    </row>
    <row r="693" spans="9:238" x14ac:dyDescent="0.4">
      <c r="I693" s="305">
        <v>2016</v>
      </c>
      <c r="J693" s="306">
        <v>48</v>
      </c>
      <c r="K693" s="306" t="s">
        <v>32</v>
      </c>
      <c r="L693" s="306">
        <v>5709</v>
      </c>
      <c r="M693" s="306">
        <v>4419</v>
      </c>
      <c r="N693" s="306">
        <v>34</v>
      </c>
      <c r="O693" s="306">
        <v>1290</v>
      </c>
      <c r="P693" s="306">
        <v>29</v>
      </c>
      <c r="Q693" s="306"/>
      <c r="R693" s="292"/>
      <c r="S693" s="292"/>
      <c r="T693" s="292"/>
      <c r="DJ693" s="24">
        <v>2017</v>
      </c>
      <c r="DK693" s="24">
        <v>23</v>
      </c>
      <c r="DL693" s="24" t="s">
        <v>33</v>
      </c>
      <c r="DM693" s="24">
        <v>2068</v>
      </c>
      <c r="DP693" s="24"/>
      <c r="DQ693" s="24"/>
      <c r="DR693" s="24"/>
      <c r="DS693" s="24"/>
      <c r="EI693" s="24">
        <v>2022</v>
      </c>
      <c r="EJ693" s="24">
        <v>41</v>
      </c>
      <c r="EK693" s="24" t="s">
        <v>237</v>
      </c>
      <c r="EL693" s="24" t="s">
        <v>247</v>
      </c>
      <c r="EM693" s="24" t="s">
        <v>215</v>
      </c>
      <c r="EN693" s="24">
        <v>2</v>
      </c>
      <c r="EO693" s="24"/>
      <c r="EP693" s="24"/>
      <c r="ES693" s="24">
        <v>2018</v>
      </c>
      <c r="ET693" s="24">
        <v>19</v>
      </c>
      <c r="EU693" s="24" t="s">
        <v>32</v>
      </c>
      <c r="EV693" s="24">
        <v>2399</v>
      </c>
      <c r="FW693" s="24">
        <v>2016</v>
      </c>
      <c r="FX693" s="24">
        <v>48</v>
      </c>
      <c r="FY693" s="24" t="s">
        <v>33</v>
      </c>
      <c r="FZ693" s="24">
        <v>4269</v>
      </c>
      <c r="GA693" s="24">
        <v>3666</v>
      </c>
      <c r="GD693" s="24"/>
      <c r="GE693" s="24"/>
      <c r="GF693" s="24"/>
      <c r="GG693" s="24"/>
      <c r="GH693" s="24"/>
      <c r="GX693">
        <v>2016</v>
      </c>
      <c r="GY693">
        <v>48</v>
      </c>
      <c r="GZ693" t="s">
        <v>33</v>
      </c>
      <c r="HA693">
        <v>65517</v>
      </c>
      <c r="HB693">
        <v>64053</v>
      </c>
      <c r="HC693">
        <v>0</v>
      </c>
      <c r="HD693">
        <v>79</v>
      </c>
      <c r="HE693">
        <v>0</v>
      </c>
      <c r="HF693">
        <v>478</v>
      </c>
      <c r="HG693">
        <v>0</v>
      </c>
      <c r="HH693">
        <v>0</v>
      </c>
      <c r="HI693">
        <v>268</v>
      </c>
      <c r="HZ693" s="24">
        <v>2016</v>
      </c>
      <c r="IA693" s="24">
        <v>48</v>
      </c>
      <c r="IB693" s="24" t="s">
        <v>33</v>
      </c>
      <c r="IC693" s="24">
        <v>4238</v>
      </c>
      <c r="ID693" s="24">
        <v>3848</v>
      </c>
    </row>
    <row r="694" spans="9:238" x14ac:dyDescent="0.4">
      <c r="I694" s="305">
        <v>2016</v>
      </c>
      <c r="J694" s="306">
        <v>48</v>
      </c>
      <c r="K694" s="306" t="s">
        <v>33</v>
      </c>
      <c r="L694" s="306">
        <v>64538</v>
      </c>
      <c r="M694" s="306">
        <v>33241</v>
      </c>
      <c r="N694" s="306">
        <v>524</v>
      </c>
      <c r="O694" s="306">
        <v>31279</v>
      </c>
      <c r="P694" s="306">
        <v>377</v>
      </c>
      <c r="Q694" s="306"/>
      <c r="R694" s="292"/>
      <c r="S694" s="292"/>
      <c r="T694" s="292"/>
      <c r="DJ694" s="24">
        <v>2017</v>
      </c>
      <c r="DK694" s="24">
        <v>22</v>
      </c>
      <c r="DL694" s="24" t="s">
        <v>32</v>
      </c>
      <c r="DM694" s="24">
        <v>351</v>
      </c>
      <c r="DP694" s="24"/>
      <c r="DQ694" s="24"/>
      <c r="DR694" s="24"/>
      <c r="DS694" s="24"/>
      <c r="EI694" s="24">
        <v>2022</v>
      </c>
      <c r="EJ694" s="24">
        <v>41</v>
      </c>
      <c r="EK694" s="24" t="s">
        <v>211</v>
      </c>
      <c r="EL694" s="24" t="s">
        <v>212</v>
      </c>
      <c r="EM694" s="24" t="s">
        <v>210</v>
      </c>
      <c r="EN694" s="24">
        <v>14</v>
      </c>
      <c r="EO694" s="24"/>
      <c r="EP694" s="24"/>
      <c r="ES694" s="24">
        <v>2018</v>
      </c>
      <c r="ET694" s="24">
        <v>19</v>
      </c>
      <c r="EU694" s="24" t="s">
        <v>33</v>
      </c>
      <c r="EV694" s="24">
        <v>88864</v>
      </c>
      <c r="FW694" s="24">
        <v>2016</v>
      </c>
      <c r="FX694" s="24">
        <v>47</v>
      </c>
      <c r="FY694" s="24" t="s">
        <v>32</v>
      </c>
      <c r="FZ694" s="24">
        <v>842</v>
      </c>
      <c r="GA694" s="24">
        <v>735</v>
      </c>
      <c r="GD694" s="24"/>
      <c r="GE694" s="24"/>
      <c r="GF694" s="24"/>
      <c r="GG694" s="24"/>
      <c r="GH694" s="24"/>
      <c r="GX694">
        <v>2016</v>
      </c>
      <c r="GY694">
        <v>47</v>
      </c>
      <c r="GZ694" t="s">
        <v>32</v>
      </c>
      <c r="HA694">
        <v>8555</v>
      </c>
      <c r="HB694">
        <v>8191</v>
      </c>
      <c r="HC694">
        <v>0</v>
      </c>
      <c r="HD694">
        <v>2</v>
      </c>
      <c r="HE694">
        <v>0</v>
      </c>
      <c r="HF694">
        <v>3</v>
      </c>
      <c r="HG694">
        <v>0</v>
      </c>
      <c r="HH694">
        <v>0</v>
      </c>
      <c r="HI694">
        <v>206</v>
      </c>
      <c r="HZ694" s="24">
        <v>2016</v>
      </c>
      <c r="IA694" s="24">
        <v>47</v>
      </c>
      <c r="IB694" s="24" t="s">
        <v>32</v>
      </c>
      <c r="IC694" s="24">
        <v>769</v>
      </c>
      <c r="ID694" s="24">
        <v>714</v>
      </c>
    </row>
    <row r="695" spans="9:238" x14ac:dyDescent="0.4">
      <c r="I695" s="305">
        <v>2016</v>
      </c>
      <c r="J695" s="306">
        <v>47</v>
      </c>
      <c r="K695" s="306" t="s">
        <v>32</v>
      </c>
      <c r="L695" s="306">
        <v>9795</v>
      </c>
      <c r="M695" s="306">
        <v>6012</v>
      </c>
      <c r="N695" s="306">
        <v>183</v>
      </c>
      <c r="O695" s="306">
        <v>3783</v>
      </c>
      <c r="P695" s="306">
        <v>52</v>
      </c>
      <c r="Q695" s="306"/>
      <c r="R695" s="292"/>
      <c r="S695" s="292"/>
      <c r="T695" s="292"/>
      <c r="DJ695" s="24">
        <v>2017</v>
      </c>
      <c r="DK695" s="24">
        <v>22</v>
      </c>
      <c r="DL695" s="24" t="s">
        <v>33</v>
      </c>
      <c r="DM695" s="24">
        <v>917</v>
      </c>
      <c r="DP695" s="24"/>
      <c r="DQ695" s="24"/>
      <c r="DR695" s="24"/>
      <c r="DS695" s="24"/>
      <c r="EI695" s="24">
        <v>2022</v>
      </c>
      <c r="EJ695" s="24">
        <v>41</v>
      </c>
      <c r="EK695" s="24" t="s">
        <v>211</v>
      </c>
      <c r="EL695" s="24" t="s">
        <v>212</v>
      </c>
      <c r="EM695" s="24" t="s">
        <v>234</v>
      </c>
      <c r="EN695" s="24">
        <v>11</v>
      </c>
      <c r="EO695" s="24"/>
      <c r="EP695" s="24"/>
      <c r="ES695" s="24">
        <v>2018</v>
      </c>
      <c r="ET695" s="24">
        <v>18</v>
      </c>
      <c r="EU695" s="24" t="s">
        <v>32</v>
      </c>
      <c r="EV695" s="24">
        <v>2851</v>
      </c>
      <c r="FW695" s="24">
        <v>2016</v>
      </c>
      <c r="FX695" s="24">
        <v>47</v>
      </c>
      <c r="FY695" s="24" t="s">
        <v>33</v>
      </c>
      <c r="FZ695" s="24">
        <v>3877</v>
      </c>
      <c r="GA695" s="24">
        <v>3142</v>
      </c>
      <c r="GD695" s="24"/>
      <c r="GE695" s="24"/>
      <c r="GF695" s="24"/>
      <c r="GG695" s="24"/>
      <c r="GH695" s="24"/>
      <c r="GX695">
        <v>2016</v>
      </c>
      <c r="GY695">
        <v>47</v>
      </c>
      <c r="GZ695" t="s">
        <v>33</v>
      </c>
      <c r="HA695">
        <v>93723</v>
      </c>
      <c r="HB695">
        <v>91307</v>
      </c>
      <c r="HC695">
        <v>0</v>
      </c>
      <c r="HD695">
        <v>30</v>
      </c>
      <c r="HE695">
        <v>0</v>
      </c>
      <c r="HF695">
        <v>288</v>
      </c>
      <c r="HG695">
        <v>0</v>
      </c>
      <c r="HH695">
        <v>0</v>
      </c>
      <c r="HI695">
        <v>621</v>
      </c>
      <c r="HZ695" s="24">
        <v>2016</v>
      </c>
      <c r="IA695" s="24">
        <v>47</v>
      </c>
      <c r="IB695" s="24" t="s">
        <v>33</v>
      </c>
      <c r="IC695" s="24">
        <v>3945</v>
      </c>
      <c r="ID695" s="24">
        <v>3620</v>
      </c>
    </row>
    <row r="696" spans="9:238" x14ac:dyDescent="0.4">
      <c r="I696" s="305">
        <v>2016</v>
      </c>
      <c r="J696" s="306">
        <v>47</v>
      </c>
      <c r="K696" s="306" t="s">
        <v>33</v>
      </c>
      <c r="L696" s="306">
        <v>101163</v>
      </c>
      <c r="M696" s="306">
        <v>48497</v>
      </c>
      <c r="N696" s="306">
        <v>674</v>
      </c>
      <c r="O696" s="306">
        <v>52641</v>
      </c>
      <c r="P696" s="306">
        <v>676</v>
      </c>
      <c r="Q696" s="306"/>
      <c r="R696" s="292"/>
      <c r="S696" s="292"/>
      <c r="T696" s="292"/>
      <c r="DJ696" s="24">
        <v>2017</v>
      </c>
      <c r="DK696" s="24">
        <v>21</v>
      </c>
      <c r="DL696" s="24" t="s">
        <v>32</v>
      </c>
      <c r="DM696" s="24">
        <v>212</v>
      </c>
      <c r="DP696" s="24"/>
      <c r="DQ696" s="24"/>
      <c r="DR696" s="24"/>
      <c r="DS696" s="24"/>
      <c r="EI696" s="24">
        <v>2022</v>
      </c>
      <c r="EJ696" s="24">
        <v>41</v>
      </c>
      <c r="EK696" s="24" t="s">
        <v>211</v>
      </c>
      <c r="EL696" s="24" t="s">
        <v>212</v>
      </c>
      <c r="EM696" s="24" t="s">
        <v>215</v>
      </c>
      <c r="EN696" s="24">
        <v>4</v>
      </c>
      <c r="EO696" s="24"/>
      <c r="EP696" s="24"/>
      <c r="ES696" s="24">
        <v>2018</v>
      </c>
      <c r="ET696" s="24">
        <v>18</v>
      </c>
      <c r="EU696" s="24" t="s">
        <v>33</v>
      </c>
      <c r="EV696" s="24">
        <v>79198</v>
      </c>
      <c r="FW696" s="24">
        <v>2016</v>
      </c>
      <c r="FX696" s="24">
        <v>46</v>
      </c>
      <c r="FY696" s="24" t="s">
        <v>32</v>
      </c>
      <c r="FZ696" s="24">
        <v>595</v>
      </c>
      <c r="GA696" s="24">
        <v>437</v>
      </c>
      <c r="GD696" s="24"/>
      <c r="GE696" s="24"/>
      <c r="GF696" s="24"/>
      <c r="GG696" s="24"/>
      <c r="GH696" s="24"/>
      <c r="GX696">
        <v>2016</v>
      </c>
      <c r="GY696">
        <v>46</v>
      </c>
      <c r="GZ696" t="s">
        <v>32</v>
      </c>
      <c r="HA696">
        <v>5465</v>
      </c>
      <c r="HB696">
        <v>5170</v>
      </c>
      <c r="HC696">
        <v>0</v>
      </c>
      <c r="HD696">
        <v>0</v>
      </c>
      <c r="HE696">
        <v>0</v>
      </c>
      <c r="HF696">
        <v>0</v>
      </c>
      <c r="HG696">
        <v>0</v>
      </c>
      <c r="HH696">
        <v>0</v>
      </c>
      <c r="HI696">
        <v>83</v>
      </c>
      <c r="HZ696" s="24">
        <v>2016</v>
      </c>
      <c r="IA696" s="24">
        <v>46</v>
      </c>
      <c r="IB696" s="24" t="s">
        <v>32</v>
      </c>
      <c r="IC696" s="24">
        <v>637</v>
      </c>
      <c r="ID696" s="24">
        <v>508</v>
      </c>
    </row>
    <row r="697" spans="9:238" x14ac:dyDescent="0.4">
      <c r="I697" s="305">
        <v>2016</v>
      </c>
      <c r="J697" s="306">
        <v>46</v>
      </c>
      <c r="K697" s="306" t="s">
        <v>32</v>
      </c>
      <c r="L697" s="306">
        <v>4121</v>
      </c>
      <c r="M697" s="306">
        <v>2527</v>
      </c>
      <c r="N697" s="306">
        <v>53</v>
      </c>
      <c r="O697" s="306">
        <v>1594</v>
      </c>
      <c r="P697" s="306">
        <v>121</v>
      </c>
      <c r="Q697" s="306"/>
      <c r="R697" s="292"/>
      <c r="S697" s="292"/>
      <c r="T697" s="292"/>
      <c r="DJ697" s="24">
        <v>2017</v>
      </c>
      <c r="DK697" s="24">
        <v>21</v>
      </c>
      <c r="DL697" s="24" t="s">
        <v>33</v>
      </c>
      <c r="DM697" s="24">
        <v>344</v>
      </c>
      <c r="DP697" s="24"/>
      <c r="DQ697" s="24"/>
      <c r="DR697" s="24"/>
      <c r="DS697" s="24"/>
      <c r="EI697" s="24">
        <v>2022</v>
      </c>
      <c r="EJ697" s="24">
        <v>41</v>
      </c>
      <c r="EK697" s="24" t="s">
        <v>211</v>
      </c>
      <c r="EL697" s="24" t="s">
        <v>247</v>
      </c>
      <c r="EM697" s="24" t="s">
        <v>210</v>
      </c>
      <c r="EN697" s="24">
        <v>4</v>
      </c>
      <c r="EO697" s="24"/>
      <c r="EP697" s="24"/>
      <c r="ES697" s="24">
        <v>2018</v>
      </c>
      <c r="ET697" s="24">
        <v>17</v>
      </c>
      <c r="EU697" s="24" t="s">
        <v>32</v>
      </c>
      <c r="EV697" s="24">
        <v>2804</v>
      </c>
      <c r="FW697" s="24">
        <v>2016</v>
      </c>
      <c r="FX697" s="24">
        <v>46</v>
      </c>
      <c r="FY697" s="24" t="s">
        <v>33</v>
      </c>
      <c r="FZ697" s="24">
        <v>3027</v>
      </c>
      <c r="GA697" s="24">
        <v>2634</v>
      </c>
      <c r="GD697" s="24"/>
      <c r="GE697" s="24"/>
      <c r="GF697" s="24"/>
      <c r="GG697" s="24"/>
      <c r="GH697" s="24"/>
      <c r="GX697">
        <v>2016</v>
      </c>
      <c r="GY697">
        <v>46</v>
      </c>
      <c r="GZ697" t="s">
        <v>33</v>
      </c>
      <c r="HA697">
        <v>53233</v>
      </c>
      <c r="HB697">
        <v>52428</v>
      </c>
      <c r="HC697">
        <v>1</v>
      </c>
      <c r="HD697">
        <v>13</v>
      </c>
      <c r="HE697">
        <v>0</v>
      </c>
      <c r="HF697">
        <v>73</v>
      </c>
      <c r="HG697">
        <v>0</v>
      </c>
      <c r="HH697">
        <v>0</v>
      </c>
      <c r="HI697">
        <v>318</v>
      </c>
      <c r="HZ697" s="24">
        <v>2016</v>
      </c>
      <c r="IA697" s="24">
        <v>46</v>
      </c>
      <c r="IB697" s="24" t="s">
        <v>33</v>
      </c>
      <c r="IC697" s="24">
        <v>3024</v>
      </c>
      <c r="ID697" s="24">
        <v>2820</v>
      </c>
    </row>
    <row r="698" spans="9:238" x14ac:dyDescent="0.4">
      <c r="I698" s="305">
        <v>2016</v>
      </c>
      <c r="J698" s="306">
        <v>46</v>
      </c>
      <c r="K698" s="306" t="s">
        <v>33</v>
      </c>
      <c r="L698" s="306">
        <v>45916</v>
      </c>
      <c r="M698" s="306">
        <v>35870</v>
      </c>
      <c r="N698" s="306">
        <v>143</v>
      </c>
      <c r="O698" s="306">
        <v>10046</v>
      </c>
      <c r="P698" s="306">
        <v>278</v>
      </c>
      <c r="Q698" s="306"/>
      <c r="R698" s="292"/>
      <c r="S698" s="292"/>
      <c r="T698" s="292"/>
      <c r="DJ698" s="24">
        <v>2017</v>
      </c>
      <c r="DK698" s="24">
        <v>20</v>
      </c>
      <c r="DL698" s="24" t="s">
        <v>32</v>
      </c>
      <c r="DM698" s="24">
        <v>551</v>
      </c>
      <c r="DP698" s="24"/>
      <c r="DQ698" s="24"/>
      <c r="DR698" s="24"/>
      <c r="DS698" s="24"/>
      <c r="EI698" s="24">
        <v>2022</v>
      </c>
      <c r="EJ698" s="24">
        <v>41</v>
      </c>
      <c r="EK698" s="24" t="s">
        <v>211</v>
      </c>
      <c r="EL698" s="24" t="s">
        <v>247</v>
      </c>
      <c r="EM698" s="24" t="s">
        <v>234</v>
      </c>
      <c r="EN698" s="24">
        <v>10</v>
      </c>
      <c r="EO698" s="24"/>
      <c r="EP698" s="24"/>
      <c r="ES698" s="24">
        <v>2018</v>
      </c>
      <c r="ET698" s="24">
        <v>17</v>
      </c>
      <c r="EU698" s="24" t="s">
        <v>33</v>
      </c>
      <c r="EV698" s="24">
        <v>82089</v>
      </c>
      <c r="FW698" s="24">
        <v>2016</v>
      </c>
      <c r="FX698" s="24">
        <v>45</v>
      </c>
      <c r="FY698" s="24" t="s">
        <v>32</v>
      </c>
      <c r="FZ698" s="24">
        <v>669</v>
      </c>
      <c r="GA698" s="24">
        <v>615</v>
      </c>
      <c r="GD698" s="24"/>
      <c r="GE698" s="24"/>
      <c r="GF698" s="24"/>
      <c r="GG698" s="24"/>
      <c r="GH698" s="24"/>
      <c r="GX698">
        <v>2016</v>
      </c>
      <c r="GY698">
        <v>45</v>
      </c>
      <c r="GZ698" t="s">
        <v>32</v>
      </c>
      <c r="HA698">
        <v>3991</v>
      </c>
      <c r="HB698">
        <v>3851</v>
      </c>
      <c r="HC698">
        <v>0</v>
      </c>
      <c r="HD698">
        <v>2</v>
      </c>
      <c r="HE698">
        <v>0</v>
      </c>
      <c r="HF698">
        <v>0</v>
      </c>
      <c r="HG698">
        <v>0</v>
      </c>
      <c r="HH698">
        <v>0</v>
      </c>
      <c r="HI698">
        <v>20</v>
      </c>
      <c r="HZ698" s="24">
        <v>2016</v>
      </c>
      <c r="IA698" s="24">
        <v>45</v>
      </c>
      <c r="IB698" s="24" t="s">
        <v>32</v>
      </c>
      <c r="IC698" s="24">
        <v>689</v>
      </c>
      <c r="ID698" s="24">
        <v>655</v>
      </c>
    </row>
    <row r="699" spans="9:238" x14ac:dyDescent="0.4">
      <c r="I699" s="305">
        <v>2016</v>
      </c>
      <c r="J699" s="306">
        <v>45</v>
      </c>
      <c r="K699" s="306" t="s">
        <v>32</v>
      </c>
      <c r="L699" s="306">
        <v>3998</v>
      </c>
      <c r="M699" s="306">
        <v>3286</v>
      </c>
      <c r="N699" s="306">
        <v>34</v>
      </c>
      <c r="O699" s="306">
        <v>712</v>
      </c>
      <c r="P699" s="306">
        <v>30</v>
      </c>
      <c r="Q699" s="306"/>
      <c r="R699" s="292"/>
      <c r="S699" s="292"/>
      <c r="T699" s="292"/>
      <c r="DJ699" s="24">
        <v>2017</v>
      </c>
      <c r="DK699" s="24">
        <v>20</v>
      </c>
      <c r="DL699" s="24" t="s">
        <v>33</v>
      </c>
      <c r="DM699" s="24">
        <v>3695</v>
      </c>
      <c r="DP699" s="24"/>
      <c r="DQ699" s="24"/>
      <c r="DR699" s="24"/>
      <c r="DS699" s="24"/>
      <c r="EI699" s="24">
        <v>2022</v>
      </c>
      <c r="EJ699" s="24">
        <v>41</v>
      </c>
      <c r="EK699" s="24" t="s">
        <v>213</v>
      </c>
      <c r="EL699" s="24" t="s">
        <v>214</v>
      </c>
      <c r="EM699" s="24" t="s">
        <v>215</v>
      </c>
      <c r="EN699" s="24">
        <v>1</v>
      </c>
      <c r="EO699" s="24"/>
      <c r="EP699" s="24"/>
      <c r="ES699" s="24">
        <v>2018</v>
      </c>
      <c r="ET699" s="24">
        <v>16</v>
      </c>
      <c r="EU699" s="24" t="s">
        <v>32</v>
      </c>
      <c r="EV699" s="24">
        <v>2765</v>
      </c>
      <c r="FW699" s="24">
        <v>2016</v>
      </c>
      <c r="FX699" s="24">
        <v>45</v>
      </c>
      <c r="FY699" s="24" t="s">
        <v>33</v>
      </c>
      <c r="FZ699" s="24">
        <v>3305</v>
      </c>
      <c r="GA699" s="24">
        <v>2950</v>
      </c>
      <c r="GD699" s="24"/>
      <c r="GE699" s="24"/>
      <c r="GF699" s="24"/>
      <c r="GG699" s="24"/>
      <c r="GH699" s="24"/>
      <c r="GX699">
        <v>2016</v>
      </c>
      <c r="GY699">
        <v>45</v>
      </c>
      <c r="GZ699" t="s">
        <v>33</v>
      </c>
      <c r="HA699">
        <v>63364</v>
      </c>
      <c r="HB699">
        <v>62354</v>
      </c>
      <c r="HC699">
        <v>0</v>
      </c>
      <c r="HD699">
        <v>56</v>
      </c>
      <c r="HE699">
        <v>0</v>
      </c>
      <c r="HF699">
        <v>85</v>
      </c>
      <c r="HG699">
        <v>0</v>
      </c>
      <c r="HH699">
        <v>0</v>
      </c>
      <c r="HI699">
        <v>395</v>
      </c>
      <c r="HZ699" s="24">
        <v>2016</v>
      </c>
      <c r="IA699" s="24">
        <v>45</v>
      </c>
      <c r="IB699" s="24" t="s">
        <v>33</v>
      </c>
      <c r="IC699" s="24">
        <v>3278</v>
      </c>
      <c r="ID699" s="24">
        <v>3030</v>
      </c>
    </row>
    <row r="700" spans="9:238" x14ac:dyDescent="0.4">
      <c r="I700" s="305">
        <v>2016</v>
      </c>
      <c r="J700" s="306">
        <v>45</v>
      </c>
      <c r="K700" s="306" t="s">
        <v>33</v>
      </c>
      <c r="L700" s="306">
        <v>63711</v>
      </c>
      <c r="M700" s="306">
        <v>58201</v>
      </c>
      <c r="N700" s="306">
        <v>159</v>
      </c>
      <c r="O700" s="306">
        <v>5510</v>
      </c>
      <c r="P700" s="306">
        <v>326</v>
      </c>
      <c r="Q700" s="306"/>
      <c r="R700" s="292"/>
      <c r="S700" s="292"/>
      <c r="T700" s="292"/>
      <c r="DJ700" s="24">
        <v>2017</v>
      </c>
      <c r="DK700" s="24">
        <v>19</v>
      </c>
      <c r="DL700" s="24" t="s">
        <v>32</v>
      </c>
      <c r="DM700" s="24">
        <v>571</v>
      </c>
      <c r="DP700" s="24"/>
      <c r="DQ700" s="24"/>
      <c r="DR700" s="24"/>
      <c r="DS700" s="24"/>
      <c r="EI700" s="24">
        <v>2022</v>
      </c>
      <c r="EJ700" s="24">
        <v>40</v>
      </c>
      <c r="EK700" s="24" t="s">
        <v>19</v>
      </c>
      <c r="EL700" s="24" t="s">
        <v>233</v>
      </c>
      <c r="EM700" s="24" t="s">
        <v>215</v>
      </c>
      <c r="EN700" s="24">
        <v>1</v>
      </c>
      <c r="EO700" s="24"/>
      <c r="EP700" s="24"/>
      <c r="ES700" s="24">
        <v>2018</v>
      </c>
      <c r="ET700" s="24">
        <v>16</v>
      </c>
      <c r="EU700" s="24" t="s">
        <v>33</v>
      </c>
      <c r="EV700" s="24">
        <v>84317</v>
      </c>
      <c r="FW700" s="24">
        <v>2016</v>
      </c>
      <c r="FX700" s="24">
        <v>44</v>
      </c>
      <c r="FY700" s="24" t="s">
        <v>32</v>
      </c>
      <c r="FZ700" s="24">
        <v>547</v>
      </c>
      <c r="GA700" s="24">
        <v>447</v>
      </c>
      <c r="GD700" s="24"/>
      <c r="GE700" s="24"/>
      <c r="GF700" s="24"/>
      <c r="GG700" s="24"/>
      <c r="GH700" s="24"/>
      <c r="GX700">
        <v>2016</v>
      </c>
      <c r="GY700">
        <v>44</v>
      </c>
      <c r="GZ700" t="s">
        <v>32</v>
      </c>
      <c r="HA700">
        <v>4991</v>
      </c>
      <c r="HB700">
        <v>4842</v>
      </c>
      <c r="HC700">
        <v>0</v>
      </c>
      <c r="HD700">
        <v>2</v>
      </c>
      <c r="HE700">
        <v>0</v>
      </c>
      <c r="HF700">
        <v>10</v>
      </c>
      <c r="HG700">
        <v>0</v>
      </c>
      <c r="HH700">
        <v>0</v>
      </c>
      <c r="HI700">
        <v>56</v>
      </c>
      <c r="HZ700" s="24">
        <v>2016</v>
      </c>
      <c r="IA700" s="24">
        <v>44</v>
      </c>
      <c r="IB700" s="24" t="s">
        <v>32</v>
      </c>
      <c r="IC700" s="24">
        <v>549</v>
      </c>
      <c r="ID700" s="24">
        <v>526</v>
      </c>
    </row>
    <row r="701" spans="9:238" x14ac:dyDescent="0.4">
      <c r="I701" s="305">
        <v>2016</v>
      </c>
      <c r="J701" s="306">
        <v>44</v>
      </c>
      <c r="K701" s="306" t="s">
        <v>32</v>
      </c>
      <c r="L701" s="306">
        <v>5437</v>
      </c>
      <c r="M701" s="306">
        <v>3021</v>
      </c>
      <c r="N701" s="306">
        <v>66</v>
      </c>
      <c r="O701" s="306">
        <v>2416</v>
      </c>
      <c r="P701" s="306">
        <v>39</v>
      </c>
      <c r="Q701" s="306"/>
      <c r="R701" s="292"/>
      <c r="S701" s="292"/>
      <c r="T701" s="292"/>
      <c r="DJ701" s="24">
        <v>2017</v>
      </c>
      <c r="DK701" s="24">
        <v>19</v>
      </c>
      <c r="DL701" s="24" t="s">
        <v>33</v>
      </c>
      <c r="DM701" s="24">
        <v>2438</v>
      </c>
      <c r="DP701" s="24"/>
      <c r="DQ701" s="24"/>
      <c r="DR701" s="24"/>
      <c r="DS701" s="24"/>
      <c r="EI701" s="24">
        <v>2022</v>
      </c>
      <c r="EJ701" s="24">
        <v>40</v>
      </c>
      <c r="EK701" s="24" t="s">
        <v>19</v>
      </c>
      <c r="EL701" s="24" t="s">
        <v>235</v>
      </c>
      <c r="EM701" s="24" t="s">
        <v>210</v>
      </c>
      <c r="EN701" s="24">
        <v>3</v>
      </c>
      <c r="EO701" s="24"/>
      <c r="EP701" s="24"/>
      <c r="ES701" s="24">
        <v>2018</v>
      </c>
      <c r="ET701" s="24">
        <v>15</v>
      </c>
      <c r="EU701" s="24" t="s">
        <v>32</v>
      </c>
      <c r="EV701" s="24">
        <v>2923</v>
      </c>
      <c r="FW701" s="24">
        <v>2016</v>
      </c>
      <c r="FX701" s="24">
        <v>44</v>
      </c>
      <c r="FY701" s="24" t="s">
        <v>33</v>
      </c>
      <c r="FZ701" s="24">
        <v>3062</v>
      </c>
      <c r="GA701" s="24">
        <v>2763</v>
      </c>
      <c r="GD701" s="24"/>
      <c r="GE701" s="24"/>
      <c r="GF701" s="24"/>
      <c r="GG701" s="24"/>
      <c r="GH701" s="24"/>
      <c r="GX701">
        <v>2016</v>
      </c>
      <c r="GY701">
        <v>44</v>
      </c>
      <c r="GZ701" t="s">
        <v>33</v>
      </c>
      <c r="HA701">
        <v>59910</v>
      </c>
      <c r="HB701">
        <v>58743</v>
      </c>
      <c r="HC701">
        <v>0</v>
      </c>
      <c r="HD701">
        <v>52</v>
      </c>
      <c r="HE701">
        <v>0</v>
      </c>
      <c r="HF701">
        <v>92</v>
      </c>
      <c r="HG701">
        <v>0</v>
      </c>
      <c r="HH701">
        <v>0</v>
      </c>
      <c r="HI701">
        <v>329</v>
      </c>
      <c r="HZ701" s="24">
        <v>2016</v>
      </c>
      <c r="IA701" s="24">
        <v>44</v>
      </c>
      <c r="IB701" s="24" t="s">
        <v>33</v>
      </c>
      <c r="IC701" s="24">
        <v>3105</v>
      </c>
      <c r="ID701" s="24">
        <v>2985</v>
      </c>
    </row>
    <row r="702" spans="9:238" x14ac:dyDescent="0.4">
      <c r="I702" s="305">
        <v>2016</v>
      </c>
      <c r="J702" s="306">
        <v>44</v>
      </c>
      <c r="K702" s="306" t="s">
        <v>33</v>
      </c>
      <c r="L702" s="306">
        <v>59893</v>
      </c>
      <c r="M702" s="306">
        <v>54261</v>
      </c>
      <c r="N702" s="306">
        <v>184</v>
      </c>
      <c r="O702" s="306">
        <v>5628</v>
      </c>
      <c r="P702" s="306">
        <v>218</v>
      </c>
      <c r="Q702" s="306"/>
      <c r="R702" s="292"/>
      <c r="S702" s="292"/>
      <c r="T702" s="292"/>
      <c r="DJ702" s="24">
        <v>2017</v>
      </c>
      <c r="DK702" s="24">
        <v>17</v>
      </c>
      <c r="DL702" s="24" t="s">
        <v>32</v>
      </c>
      <c r="DM702" s="24">
        <v>390</v>
      </c>
      <c r="DP702" s="24"/>
      <c r="DQ702" s="24"/>
      <c r="DR702" s="24"/>
      <c r="DS702" s="24"/>
      <c r="EI702" s="24">
        <v>2022</v>
      </c>
      <c r="EJ702" s="24">
        <v>40</v>
      </c>
      <c r="EK702" s="24" t="s">
        <v>19</v>
      </c>
      <c r="EL702" s="24" t="s">
        <v>235</v>
      </c>
      <c r="EM702" s="24" t="s">
        <v>215</v>
      </c>
      <c r="EN702" s="24">
        <v>1</v>
      </c>
      <c r="EO702" s="24"/>
      <c r="EP702" s="24"/>
      <c r="ES702" s="24">
        <v>2018</v>
      </c>
      <c r="ET702" s="24">
        <v>15</v>
      </c>
      <c r="EU702" s="24" t="s">
        <v>33</v>
      </c>
      <c r="EV702" s="24">
        <v>81957</v>
      </c>
      <c r="FW702" s="24">
        <v>2016</v>
      </c>
      <c r="FX702" s="24">
        <v>43</v>
      </c>
      <c r="FY702" s="24" t="s">
        <v>32</v>
      </c>
      <c r="FZ702" s="24">
        <v>510</v>
      </c>
      <c r="GA702" s="24">
        <v>360</v>
      </c>
      <c r="GD702" s="24"/>
      <c r="GE702" s="24"/>
      <c r="GF702" s="24"/>
      <c r="GG702" s="24"/>
      <c r="GH702" s="24"/>
      <c r="GX702">
        <v>2016</v>
      </c>
      <c r="GY702">
        <v>43</v>
      </c>
      <c r="GZ702" t="s">
        <v>32</v>
      </c>
      <c r="HA702">
        <v>4520</v>
      </c>
      <c r="HB702">
        <v>4286</v>
      </c>
      <c r="HC702">
        <v>0</v>
      </c>
      <c r="HD702">
        <v>1</v>
      </c>
      <c r="HE702">
        <v>0</v>
      </c>
      <c r="HF702">
        <v>25</v>
      </c>
      <c r="HG702">
        <v>0</v>
      </c>
      <c r="HH702">
        <v>0</v>
      </c>
      <c r="HI702">
        <v>105</v>
      </c>
      <c r="HZ702" s="24">
        <v>2016</v>
      </c>
      <c r="IA702" s="24">
        <v>43</v>
      </c>
      <c r="IB702" s="24" t="s">
        <v>32</v>
      </c>
      <c r="IC702" s="24">
        <v>497</v>
      </c>
      <c r="ID702" s="24">
        <v>416</v>
      </c>
    </row>
    <row r="703" spans="9:238" x14ac:dyDescent="0.4">
      <c r="I703" s="305">
        <v>2016</v>
      </c>
      <c r="J703" s="306">
        <v>43</v>
      </c>
      <c r="K703" s="306" t="s">
        <v>32</v>
      </c>
      <c r="L703" s="306">
        <v>4118</v>
      </c>
      <c r="M703" s="306">
        <v>2515</v>
      </c>
      <c r="N703" s="306">
        <v>90</v>
      </c>
      <c r="O703" s="306">
        <v>1603</v>
      </c>
      <c r="P703" s="306">
        <v>59</v>
      </c>
      <c r="Q703" s="306"/>
      <c r="R703" s="292"/>
      <c r="S703" s="292"/>
      <c r="T703" s="292"/>
      <c r="DJ703" s="314">
        <v>2017</v>
      </c>
      <c r="DK703" s="314">
        <v>17</v>
      </c>
      <c r="DL703" s="314" t="s">
        <v>33</v>
      </c>
      <c r="DM703" s="314">
        <v>2387</v>
      </c>
      <c r="DP703" s="24"/>
      <c r="DQ703" s="24"/>
      <c r="DR703" s="24"/>
      <c r="DS703" s="24"/>
      <c r="EI703" s="24">
        <v>2022</v>
      </c>
      <c r="EJ703" s="24">
        <v>40</v>
      </c>
      <c r="EK703" s="24" t="s">
        <v>208</v>
      </c>
      <c r="EL703" s="24" t="s">
        <v>351</v>
      </c>
      <c r="EM703" s="24" t="s">
        <v>234</v>
      </c>
      <c r="EN703" s="24">
        <v>19</v>
      </c>
      <c r="EO703" s="24"/>
      <c r="EP703" s="24"/>
      <c r="ES703" s="24">
        <v>2018</v>
      </c>
      <c r="ET703" s="24">
        <v>14</v>
      </c>
      <c r="EU703" s="24" t="s">
        <v>32</v>
      </c>
      <c r="EV703" s="24">
        <v>2407</v>
      </c>
      <c r="FW703" s="24">
        <v>2016</v>
      </c>
      <c r="FX703" s="24">
        <v>43</v>
      </c>
      <c r="FY703" s="24" t="s">
        <v>33</v>
      </c>
      <c r="FZ703" s="24">
        <v>3261</v>
      </c>
      <c r="GA703" s="24">
        <v>2776</v>
      </c>
      <c r="GD703" s="24"/>
      <c r="GE703" s="24"/>
      <c r="GF703" s="24"/>
      <c r="GG703" s="24"/>
      <c r="GH703" s="24"/>
      <c r="GX703">
        <v>2016</v>
      </c>
      <c r="GY703">
        <v>43</v>
      </c>
      <c r="GZ703" t="s">
        <v>33</v>
      </c>
      <c r="HA703">
        <v>60914</v>
      </c>
      <c r="HB703">
        <v>57579</v>
      </c>
      <c r="HC703">
        <v>0</v>
      </c>
      <c r="HD703">
        <v>33</v>
      </c>
      <c r="HE703">
        <v>0</v>
      </c>
      <c r="HF703">
        <v>95</v>
      </c>
      <c r="HG703">
        <v>0</v>
      </c>
      <c r="HH703">
        <v>0</v>
      </c>
      <c r="HI703">
        <v>670</v>
      </c>
      <c r="HZ703" s="24">
        <v>2016</v>
      </c>
      <c r="IA703" s="24">
        <v>43</v>
      </c>
      <c r="IB703" s="24" t="s">
        <v>33</v>
      </c>
      <c r="IC703" s="24">
        <v>3249</v>
      </c>
      <c r="ID703" s="24">
        <v>2898</v>
      </c>
    </row>
    <row r="704" spans="9:238" x14ac:dyDescent="0.4">
      <c r="I704" s="305">
        <v>2016</v>
      </c>
      <c r="J704" s="306">
        <v>43</v>
      </c>
      <c r="K704" s="306" t="s">
        <v>33</v>
      </c>
      <c r="L704" s="306">
        <v>61134</v>
      </c>
      <c r="M704" s="306">
        <v>54206</v>
      </c>
      <c r="N704" s="306">
        <v>269</v>
      </c>
      <c r="O704" s="306">
        <v>6927</v>
      </c>
      <c r="P704" s="306">
        <v>339</v>
      </c>
      <c r="Q704" s="306">
        <v>2</v>
      </c>
      <c r="R704" s="292"/>
      <c r="S704" s="292"/>
      <c r="T704" s="292"/>
      <c r="DJ704" s="314">
        <v>2017</v>
      </c>
      <c r="DK704" s="314">
        <v>16</v>
      </c>
      <c r="DL704" s="314" t="s">
        <v>32</v>
      </c>
      <c r="DM704" s="314">
        <v>591</v>
      </c>
      <c r="DP704" s="24"/>
      <c r="DQ704" s="24"/>
      <c r="DR704" s="24"/>
      <c r="DS704" s="24"/>
      <c r="EI704" s="24">
        <v>2022</v>
      </c>
      <c r="EJ704" s="24">
        <v>40</v>
      </c>
      <c r="EK704" s="24" t="s">
        <v>208</v>
      </c>
      <c r="EL704" s="24" t="s">
        <v>235</v>
      </c>
      <c r="EM704" s="24" t="s">
        <v>210</v>
      </c>
      <c r="EN704" s="24">
        <v>4</v>
      </c>
      <c r="EO704" s="24"/>
      <c r="EP704" s="24"/>
      <c r="ES704" s="24">
        <v>2018</v>
      </c>
      <c r="ET704" s="24">
        <v>14</v>
      </c>
      <c r="EU704" s="24" t="s">
        <v>33</v>
      </c>
      <c r="EV704" s="24">
        <v>67846</v>
      </c>
      <c r="FW704" s="24">
        <v>2016</v>
      </c>
      <c r="FX704" s="24">
        <v>42</v>
      </c>
      <c r="FY704" s="24" t="s">
        <v>32</v>
      </c>
      <c r="FZ704" s="24">
        <v>588</v>
      </c>
      <c r="GA704" s="24">
        <v>532</v>
      </c>
      <c r="GD704" s="24"/>
      <c r="GE704" s="24"/>
      <c r="GF704" s="24"/>
      <c r="GG704" s="24"/>
      <c r="GH704" s="24"/>
      <c r="GX704">
        <v>2016</v>
      </c>
      <c r="GY704">
        <v>42</v>
      </c>
      <c r="GZ704" t="s">
        <v>32</v>
      </c>
      <c r="HA704">
        <v>4284</v>
      </c>
      <c r="HB704">
        <v>4172</v>
      </c>
      <c r="HC704">
        <v>0</v>
      </c>
      <c r="HD704">
        <v>1</v>
      </c>
      <c r="HE704">
        <v>0</v>
      </c>
      <c r="HF704">
        <v>0</v>
      </c>
      <c r="HG704">
        <v>0</v>
      </c>
      <c r="HH704">
        <v>0</v>
      </c>
      <c r="HI704">
        <v>35</v>
      </c>
      <c r="HZ704" s="24">
        <v>2016</v>
      </c>
      <c r="IA704" s="24">
        <v>42</v>
      </c>
      <c r="IB704" s="24" t="s">
        <v>32</v>
      </c>
      <c r="IC704" s="24">
        <v>609</v>
      </c>
      <c r="ID704" s="24">
        <v>581</v>
      </c>
    </row>
    <row r="705" spans="9:238" x14ac:dyDescent="0.4">
      <c r="I705" s="305">
        <v>2016</v>
      </c>
      <c r="J705" s="306">
        <v>42</v>
      </c>
      <c r="K705" s="306" t="s">
        <v>32</v>
      </c>
      <c r="L705" s="306">
        <v>4201</v>
      </c>
      <c r="M705" s="306">
        <v>2614</v>
      </c>
      <c r="N705" s="306">
        <v>40</v>
      </c>
      <c r="O705" s="306">
        <v>1584</v>
      </c>
      <c r="P705" s="306">
        <v>22</v>
      </c>
      <c r="Q705" s="306"/>
      <c r="R705" s="292"/>
      <c r="S705" s="292"/>
      <c r="T705" s="292"/>
      <c r="DJ705" s="314">
        <v>2017</v>
      </c>
      <c r="DK705" s="314">
        <v>16</v>
      </c>
      <c r="DL705" s="314" t="s">
        <v>33</v>
      </c>
      <c r="DM705" s="314">
        <v>2030</v>
      </c>
      <c r="DP705" s="24"/>
      <c r="DQ705" s="24"/>
      <c r="DR705" s="24"/>
      <c r="DS705" s="24"/>
      <c r="EI705" s="24">
        <v>2022</v>
      </c>
      <c r="EJ705" s="24">
        <v>40</v>
      </c>
      <c r="EK705" s="24" t="s">
        <v>208</v>
      </c>
      <c r="EL705" s="24" t="s">
        <v>235</v>
      </c>
      <c r="EM705" s="24" t="s">
        <v>234</v>
      </c>
      <c r="EN705" s="24">
        <v>24</v>
      </c>
      <c r="EO705" s="24"/>
      <c r="EP705" s="24"/>
      <c r="ES705" s="24">
        <v>2018</v>
      </c>
      <c r="ET705" s="24">
        <v>13</v>
      </c>
      <c r="EU705" s="24" t="s">
        <v>32</v>
      </c>
      <c r="EV705" s="24">
        <v>2813</v>
      </c>
      <c r="FW705" s="24">
        <v>2016</v>
      </c>
      <c r="FX705" s="24">
        <v>42</v>
      </c>
      <c r="FY705" s="24" t="s">
        <v>33</v>
      </c>
      <c r="FZ705" s="24">
        <v>3233</v>
      </c>
      <c r="GA705" s="24">
        <v>2758</v>
      </c>
      <c r="GD705" s="24"/>
      <c r="GE705" s="24"/>
      <c r="GF705" s="24"/>
      <c r="GG705" s="24"/>
      <c r="GH705" s="24"/>
      <c r="GX705">
        <v>2016</v>
      </c>
      <c r="GY705">
        <v>42</v>
      </c>
      <c r="GZ705" t="s">
        <v>33</v>
      </c>
      <c r="HA705">
        <v>66389</v>
      </c>
      <c r="HB705">
        <v>65104</v>
      </c>
      <c r="HC705">
        <v>0</v>
      </c>
      <c r="HD705">
        <v>69</v>
      </c>
      <c r="HE705">
        <v>0</v>
      </c>
      <c r="HF705">
        <v>130</v>
      </c>
      <c r="HG705">
        <v>0</v>
      </c>
      <c r="HH705">
        <v>0</v>
      </c>
      <c r="HI705">
        <v>368</v>
      </c>
      <c r="HZ705" s="24">
        <v>2016</v>
      </c>
      <c r="IA705" s="24">
        <v>42</v>
      </c>
      <c r="IB705" s="24" t="s">
        <v>33</v>
      </c>
      <c r="IC705" s="24">
        <v>3177</v>
      </c>
      <c r="ID705" s="24">
        <v>2850</v>
      </c>
    </row>
    <row r="706" spans="9:238" x14ac:dyDescent="0.4">
      <c r="I706" s="305">
        <v>2016</v>
      </c>
      <c r="J706" s="306">
        <v>42</v>
      </c>
      <c r="K706" s="306" t="s">
        <v>33</v>
      </c>
      <c r="L706" s="306">
        <v>67032</v>
      </c>
      <c r="M706" s="306">
        <v>61678</v>
      </c>
      <c r="N706" s="306">
        <v>205</v>
      </c>
      <c r="O706" s="306">
        <v>5353</v>
      </c>
      <c r="P706" s="306">
        <v>307</v>
      </c>
      <c r="Q706" s="306"/>
      <c r="R706" s="292"/>
      <c r="S706" s="292"/>
      <c r="T706" s="292"/>
      <c r="DJ706" s="314">
        <v>2017</v>
      </c>
      <c r="DK706" s="314">
        <v>15</v>
      </c>
      <c r="DL706" s="314" t="s">
        <v>32</v>
      </c>
      <c r="DM706" s="314">
        <v>414</v>
      </c>
      <c r="DP706" s="24"/>
      <c r="DQ706" s="24"/>
      <c r="DR706" s="24"/>
      <c r="DS706" s="24"/>
      <c r="EI706" s="24">
        <v>2022</v>
      </c>
      <c r="EJ706" s="24">
        <v>40</v>
      </c>
      <c r="EK706" s="24" t="s">
        <v>208</v>
      </c>
      <c r="EL706" s="24" t="s">
        <v>209</v>
      </c>
      <c r="EM706" s="24" t="s">
        <v>210</v>
      </c>
      <c r="EN706" s="24">
        <v>7</v>
      </c>
      <c r="EO706" s="24"/>
      <c r="EP706" s="24"/>
      <c r="ES706" s="24">
        <v>2018</v>
      </c>
      <c r="ET706" s="24">
        <v>13</v>
      </c>
      <c r="EU706" s="24" t="s">
        <v>33</v>
      </c>
      <c r="EV706" s="24">
        <v>75792</v>
      </c>
      <c r="FW706" s="24">
        <v>2016</v>
      </c>
      <c r="FX706" s="24">
        <v>41</v>
      </c>
      <c r="FY706" s="24" t="s">
        <v>32</v>
      </c>
      <c r="FZ706" s="24">
        <v>497</v>
      </c>
      <c r="GA706" s="24">
        <v>431</v>
      </c>
      <c r="GD706" s="24"/>
      <c r="GE706" s="24"/>
      <c r="GF706" s="24"/>
      <c r="GG706" s="24"/>
      <c r="GH706" s="24"/>
      <c r="GX706">
        <v>2016</v>
      </c>
      <c r="GY706">
        <v>41</v>
      </c>
      <c r="GZ706" t="s">
        <v>32</v>
      </c>
      <c r="HA706">
        <v>4227</v>
      </c>
      <c r="HB706">
        <v>4031</v>
      </c>
      <c r="HC706">
        <v>0</v>
      </c>
      <c r="HD706">
        <v>1</v>
      </c>
      <c r="HE706">
        <v>0</v>
      </c>
      <c r="HF706">
        <v>25</v>
      </c>
      <c r="HG706">
        <v>0</v>
      </c>
      <c r="HH706">
        <v>0</v>
      </c>
      <c r="HI706">
        <v>102</v>
      </c>
      <c r="HZ706" s="24">
        <v>2016</v>
      </c>
      <c r="IA706" s="24">
        <v>41</v>
      </c>
      <c r="IB706" s="24" t="s">
        <v>32</v>
      </c>
      <c r="IC706" s="24">
        <v>470</v>
      </c>
      <c r="ID706" s="24">
        <v>438</v>
      </c>
    </row>
    <row r="707" spans="9:238" x14ac:dyDescent="0.4">
      <c r="I707" s="305">
        <v>2016</v>
      </c>
      <c r="J707" s="306">
        <v>41</v>
      </c>
      <c r="K707" s="306" t="s">
        <v>32</v>
      </c>
      <c r="L707" s="306">
        <v>4436</v>
      </c>
      <c r="M707" s="306">
        <v>3078</v>
      </c>
      <c r="N707" s="306">
        <v>45</v>
      </c>
      <c r="O707" s="306">
        <v>1358</v>
      </c>
      <c r="P707" s="306">
        <v>18</v>
      </c>
      <c r="Q707" s="306"/>
      <c r="R707" s="292"/>
      <c r="S707" s="292"/>
      <c r="T707" s="292"/>
      <c r="DJ707" s="314">
        <v>2017</v>
      </c>
      <c r="DK707" s="314">
        <v>15</v>
      </c>
      <c r="DL707" s="314" t="s">
        <v>33</v>
      </c>
      <c r="DM707" s="314">
        <v>2715</v>
      </c>
      <c r="DP707" s="24"/>
      <c r="DQ707" s="24"/>
      <c r="DR707" s="24"/>
      <c r="DS707" s="24"/>
      <c r="EI707" s="24">
        <v>2022</v>
      </c>
      <c r="EJ707" s="24">
        <v>40</v>
      </c>
      <c r="EK707" s="24" t="s">
        <v>208</v>
      </c>
      <c r="EL707" s="24" t="s">
        <v>247</v>
      </c>
      <c r="EM707" s="24" t="s">
        <v>210</v>
      </c>
      <c r="EN707" s="24">
        <v>1</v>
      </c>
      <c r="EO707" s="24"/>
      <c r="EP707" s="24"/>
      <c r="ES707" s="24">
        <v>2018</v>
      </c>
      <c r="ET707" s="24">
        <v>12</v>
      </c>
      <c r="EU707" s="24" t="s">
        <v>32</v>
      </c>
      <c r="EV707" s="24">
        <v>2612</v>
      </c>
      <c r="FW707" s="24">
        <v>2016</v>
      </c>
      <c r="FX707" s="24">
        <v>41</v>
      </c>
      <c r="FY707" s="24" t="s">
        <v>33</v>
      </c>
      <c r="FZ707" s="24">
        <v>3658</v>
      </c>
      <c r="GA707" s="24">
        <v>2916</v>
      </c>
      <c r="GD707" s="24"/>
      <c r="GE707" s="24"/>
      <c r="GF707" s="24"/>
      <c r="GG707" s="24"/>
      <c r="GH707" s="24"/>
      <c r="GX707">
        <v>2016</v>
      </c>
      <c r="GY707">
        <v>41</v>
      </c>
      <c r="GZ707" t="s">
        <v>33</v>
      </c>
      <c r="HA707">
        <v>72615</v>
      </c>
      <c r="HB707">
        <v>71061</v>
      </c>
      <c r="HC707">
        <v>0</v>
      </c>
      <c r="HD707">
        <v>80</v>
      </c>
      <c r="HE707">
        <v>0</v>
      </c>
      <c r="HF707">
        <v>245</v>
      </c>
      <c r="HG707">
        <v>0</v>
      </c>
      <c r="HH707">
        <v>0</v>
      </c>
      <c r="HI707">
        <v>500</v>
      </c>
      <c r="HZ707" s="24">
        <v>2016</v>
      </c>
      <c r="IA707" s="24">
        <v>41</v>
      </c>
      <c r="IB707" s="24" t="s">
        <v>33</v>
      </c>
      <c r="IC707" s="24">
        <v>3658</v>
      </c>
      <c r="ID707" s="24">
        <v>3132</v>
      </c>
    </row>
    <row r="708" spans="9:238" x14ac:dyDescent="0.4">
      <c r="I708" s="305">
        <v>2016</v>
      </c>
      <c r="J708" s="306">
        <v>41</v>
      </c>
      <c r="K708" s="306" t="s">
        <v>33</v>
      </c>
      <c r="L708" s="306">
        <v>72422</v>
      </c>
      <c r="M708" s="306">
        <v>66280</v>
      </c>
      <c r="N708" s="306">
        <v>257</v>
      </c>
      <c r="O708" s="306">
        <v>6142</v>
      </c>
      <c r="P708" s="306">
        <v>420</v>
      </c>
      <c r="Q708" s="306">
        <v>1</v>
      </c>
      <c r="R708" s="292"/>
      <c r="S708" s="292"/>
      <c r="T708" s="292"/>
      <c r="DJ708" s="314">
        <v>2017</v>
      </c>
      <c r="DK708" s="314">
        <v>14</v>
      </c>
      <c r="DL708" s="314" t="s">
        <v>32</v>
      </c>
      <c r="DM708" s="314">
        <v>1481</v>
      </c>
      <c r="DP708" s="24"/>
      <c r="DQ708" s="24"/>
      <c r="DR708" s="24"/>
      <c r="DS708" s="24"/>
      <c r="EI708" s="24">
        <v>2022</v>
      </c>
      <c r="EJ708" s="24">
        <v>40</v>
      </c>
      <c r="EK708" s="24" t="s">
        <v>208</v>
      </c>
      <c r="EL708" s="24" t="s">
        <v>247</v>
      </c>
      <c r="EM708" s="24" t="s">
        <v>234</v>
      </c>
      <c r="EN708" s="24">
        <v>1</v>
      </c>
      <c r="EO708" s="24"/>
      <c r="EP708" s="24"/>
      <c r="ES708" s="24">
        <v>2018</v>
      </c>
      <c r="ET708" s="24">
        <v>12</v>
      </c>
      <c r="EU708" s="24" t="s">
        <v>33</v>
      </c>
      <c r="EV708" s="24">
        <v>67894</v>
      </c>
      <c r="FW708" s="24">
        <v>2016</v>
      </c>
      <c r="FX708" s="24">
        <v>40</v>
      </c>
      <c r="FY708" s="24" t="s">
        <v>32</v>
      </c>
      <c r="FZ708" s="24">
        <v>578</v>
      </c>
      <c r="GA708" s="24">
        <v>477</v>
      </c>
      <c r="GD708" s="24"/>
      <c r="GE708" s="24"/>
      <c r="GF708" s="24"/>
      <c r="GG708" s="24"/>
      <c r="GH708" s="24"/>
      <c r="GX708">
        <v>2016</v>
      </c>
      <c r="GY708">
        <v>40</v>
      </c>
      <c r="GZ708" t="s">
        <v>32</v>
      </c>
      <c r="HA708">
        <v>7359</v>
      </c>
      <c r="HB708">
        <v>6161</v>
      </c>
      <c r="HC708">
        <v>0</v>
      </c>
      <c r="HD708">
        <v>1</v>
      </c>
      <c r="HE708">
        <v>0</v>
      </c>
      <c r="HF708">
        <v>208</v>
      </c>
      <c r="HG708">
        <v>1</v>
      </c>
      <c r="HH708">
        <v>0</v>
      </c>
      <c r="HI708">
        <v>933</v>
      </c>
      <c r="HZ708" s="24">
        <v>2016</v>
      </c>
      <c r="IA708" s="24">
        <v>40</v>
      </c>
      <c r="IB708" s="24" t="s">
        <v>32</v>
      </c>
      <c r="IC708" s="24">
        <v>584</v>
      </c>
      <c r="ID708" s="24">
        <v>508</v>
      </c>
    </row>
    <row r="709" spans="9:238" x14ac:dyDescent="0.4">
      <c r="I709" s="305">
        <v>2016</v>
      </c>
      <c r="J709" s="306">
        <v>40</v>
      </c>
      <c r="K709" s="306" t="s">
        <v>32</v>
      </c>
      <c r="L709" s="306">
        <v>7613</v>
      </c>
      <c r="M709" s="306">
        <v>4663</v>
      </c>
      <c r="N709" s="306">
        <v>131</v>
      </c>
      <c r="O709" s="306">
        <v>2949</v>
      </c>
      <c r="P709" s="306">
        <v>350</v>
      </c>
      <c r="Q709" s="306"/>
      <c r="R709" s="292"/>
      <c r="S709" s="292"/>
      <c r="T709" s="292"/>
      <c r="DJ709" s="24">
        <v>2017</v>
      </c>
      <c r="DK709" s="24">
        <v>14</v>
      </c>
      <c r="DL709" s="24" t="s">
        <v>33</v>
      </c>
      <c r="DM709" s="24">
        <v>2342</v>
      </c>
      <c r="DP709" s="24"/>
      <c r="DQ709" s="24"/>
      <c r="DR709" s="24"/>
      <c r="DS709" s="24"/>
      <c r="EI709" s="24">
        <v>2022</v>
      </c>
      <c r="EJ709" s="24">
        <v>40</v>
      </c>
      <c r="EK709" s="24" t="s">
        <v>208</v>
      </c>
      <c r="EL709" s="24" t="s">
        <v>245</v>
      </c>
      <c r="EM709" s="24" t="s">
        <v>234</v>
      </c>
      <c r="EN709" s="24">
        <v>3</v>
      </c>
      <c r="EO709" s="24"/>
      <c r="EP709" s="24"/>
      <c r="ES709" s="24">
        <v>2018</v>
      </c>
      <c r="ET709" s="24">
        <v>11</v>
      </c>
      <c r="EU709" s="24" t="s">
        <v>32</v>
      </c>
      <c r="EV709" s="24">
        <v>3434</v>
      </c>
      <c r="FW709" s="24">
        <v>2016</v>
      </c>
      <c r="FX709" s="24">
        <v>40</v>
      </c>
      <c r="FY709" s="24" t="s">
        <v>33</v>
      </c>
      <c r="FZ709" s="24">
        <v>3958</v>
      </c>
      <c r="GA709" s="24">
        <v>3480</v>
      </c>
      <c r="GD709" s="24"/>
      <c r="GE709" s="24"/>
      <c r="GF709" s="24"/>
      <c r="GG709" s="24"/>
      <c r="GH709" s="24"/>
      <c r="GX709">
        <v>2016</v>
      </c>
      <c r="GY709">
        <v>40</v>
      </c>
      <c r="GZ709" t="s">
        <v>33</v>
      </c>
      <c r="HA709">
        <v>65382</v>
      </c>
      <c r="HB709">
        <v>63924</v>
      </c>
      <c r="HC709">
        <v>0</v>
      </c>
      <c r="HD709">
        <v>250</v>
      </c>
      <c r="HE709">
        <v>0</v>
      </c>
      <c r="HF709">
        <v>390</v>
      </c>
      <c r="HG709">
        <v>0</v>
      </c>
      <c r="HH709">
        <v>0</v>
      </c>
      <c r="HI709">
        <v>501</v>
      </c>
      <c r="HZ709" s="24">
        <v>2016</v>
      </c>
      <c r="IA709" s="24">
        <v>40</v>
      </c>
      <c r="IB709" s="24" t="s">
        <v>33</v>
      </c>
      <c r="IC709" s="24">
        <v>3840</v>
      </c>
      <c r="ID709" s="24">
        <v>3549</v>
      </c>
    </row>
    <row r="710" spans="9:238" x14ac:dyDescent="0.4">
      <c r="I710" s="305">
        <v>2016</v>
      </c>
      <c r="J710" s="306">
        <v>40</v>
      </c>
      <c r="K710" s="306" t="s">
        <v>33</v>
      </c>
      <c r="L710" s="306">
        <v>65613</v>
      </c>
      <c r="M710" s="306">
        <v>58507</v>
      </c>
      <c r="N710" s="306">
        <v>212</v>
      </c>
      <c r="O710" s="306">
        <v>7106</v>
      </c>
      <c r="P710" s="306">
        <v>403</v>
      </c>
      <c r="Q710" s="306"/>
      <c r="R710" s="292"/>
      <c r="S710" s="292"/>
      <c r="T710" s="292"/>
      <c r="DJ710" s="24">
        <v>2017</v>
      </c>
      <c r="DK710" s="24">
        <v>13</v>
      </c>
      <c r="DL710" s="24" t="s">
        <v>32</v>
      </c>
      <c r="DM710" s="24">
        <v>1123</v>
      </c>
      <c r="DP710" s="24"/>
      <c r="DQ710" s="24"/>
      <c r="DR710" s="24"/>
      <c r="DS710" s="24"/>
      <c r="EI710" s="24">
        <v>2022</v>
      </c>
      <c r="EJ710" s="24">
        <v>40</v>
      </c>
      <c r="EK710" s="24" t="s">
        <v>558</v>
      </c>
      <c r="EL710" s="24" t="s">
        <v>235</v>
      </c>
      <c r="EM710" s="24" t="s">
        <v>210</v>
      </c>
      <c r="EN710" s="24">
        <v>6</v>
      </c>
      <c r="EO710" s="24"/>
      <c r="EP710" s="24"/>
      <c r="ES710" s="24">
        <v>2018</v>
      </c>
      <c r="ET710" s="24">
        <v>11</v>
      </c>
      <c r="EU710" s="24" t="s">
        <v>33</v>
      </c>
      <c r="EV710" s="24">
        <v>75069</v>
      </c>
      <c r="FW710" s="24">
        <v>2016</v>
      </c>
      <c r="FX710" s="24">
        <v>39</v>
      </c>
      <c r="FY710" s="24" t="s">
        <v>32</v>
      </c>
      <c r="FZ710" s="24">
        <v>583</v>
      </c>
      <c r="GA710" s="24">
        <v>520</v>
      </c>
      <c r="GD710" s="24"/>
      <c r="GE710" s="24"/>
      <c r="GF710" s="24"/>
      <c r="GG710" s="24"/>
      <c r="GH710" s="24"/>
      <c r="GX710">
        <v>2016</v>
      </c>
      <c r="GY710">
        <v>39</v>
      </c>
      <c r="GZ710" t="s">
        <v>32</v>
      </c>
      <c r="HA710">
        <v>5775</v>
      </c>
      <c r="HB710">
        <v>5595</v>
      </c>
      <c r="HC710">
        <v>0</v>
      </c>
      <c r="HD710">
        <v>2</v>
      </c>
      <c r="HE710">
        <v>0</v>
      </c>
      <c r="HF710">
        <v>7</v>
      </c>
      <c r="HG710">
        <v>0</v>
      </c>
      <c r="HH710">
        <v>0</v>
      </c>
      <c r="HI710">
        <v>63</v>
      </c>
      <c r="HZ710" s="24">
        <v>2016</v>
      </c>
      <c r="IA710" s="24">
        <v>39</v>
      </c>
      <c r="IB710" s="24" t="s">
        <v>32</v>
      </c>
      <c r="IC710" s="24">
        <v>607</v>
      </c>
      <c r="ID710" s="24">
        <v>578</v>
      </c>
    </row>
    <row r="711" spans="9:238" x14ac:dyDescent="0.4">
      <c r="I711" s="305">
        <v>2016</v>
      </c>
      <c r="J711" s="306">
        <v>39</v>
      </c>
      <c r="K711" s="306" t="s">
        <v>32</v>
      </c>
      <c r="L711" s="306">
        <v>5356</v>
      </c>
      <c r="M711" s="306">
        <v>3542</v>
      </c>
      <c r="N711" s="306">
        <v>88</v>
      </c>
      <c r="O711" s="306">
        <v>1800</v>
      </c>
      <c r="P711" s="306">
        <v>37</v>
      </c>
      <c r="Q711" s="306"/>
      <c r="R711" s="292"/>
      <c r="S711" s="292"/>
      <c r="T711" s="292"/>
      <c r="DJ711" s="315">
        <v>2017</v>
      </c>
      <c r="DK711" s="315">
        <v>13</v>
      </c>
      <c r="DL711" s="315" t="s">
        <v>33</v>
      </c>
      <c r="DM711" s="315">
        <v>1446</v>
      </c>
      <c r="DP711" s="24"/>
      <c r="DQ711" s="24"/>
      <c r="DR711" s="24"/>
      <c r="DS711" s="24"/>
      <c r="EI711" s="24">
        <v>2022</v>
      </c>
      <c r="EJ711" s="24">
        <v>40</v>
      </c>
      <c r="EK711" s="24" t="s">
        <v>558</v>
      </c>
      <c r="EL711" s="24" t="s">
        <v>245</v>
      </c>
      <c r="EM711" s="24" t="s">
        <v>210</v>
      </c>
      <c r="EN711" s="24">
        <v>2</v>
      </c>
      <c r="EO711" s="24"/>
      <c r="EP711" s="24"/>
      <c r="ES711" s="24">
        <v>2018</v>
      </c>
      <c r="ET711" s="24">
        <v>10</v>
      </c>
      <c r="EU711" s="24" t="s">
        <v>32</v>
      </c>
      <c r="EV711" s="24">
        <v>1780</v>
      </c>
      <c r="FW711" s="24">
        <v>2016</v>
      </c>
      <c r="FX711" s="24">
        <v>39</v>
      </c>
      <c r="FY711" s="24" t="s">
        <v>33</v>
      </c>
      <c r="FZ711" s="24">
        <v>3833</v>
      </c>
      <c r="GA711" s="24">
        <v>3366</v>
      </c>
      <c r="GD711" s="24"/>
      <c r="GE711" s="24"/>
      <c r="GF711" s="24"/>
      <c r="GG711" s="24"/>
      <c r="GH711" s="24"/>
      <c r="GX711">
        <v>2016</v>
      </c>
      <c r="GY711">
        <v>39</v>
      </c>
      <c r="GZ711" t="s">
        <v>33</v>
      </c>
      <c r="HA711">
        <v>71779</v>
      </c>
      <c r="HB711">
        <v>70640</v>
      </c>
      <c r="HC711">
        <v>1</v>
      </c>
      <c r="HD711">
        <v>47</v>
      </c>
      <c r="HE711">
        <v>0</v>
      </c>
      <c r="HF711">
        <v>249</v>
      </c>
      <c r="HG711">
        <v>0</v>
      </c>
      <c r="HH711">
        <v>0</v>
      </c>
      <c r="HI711">
        <v>337</v>
      </c>
      <c r="HZ711" s="24">
        <v>2016</v>
      </c>
      <c r="IA711" s="24">
        <v>39</v>
      </c>
      <c r="IB711" s="24" t="s">
        <v>33</v>
      </c>
      <c r="IC711" s="24">
        <v>3916</v>
      </c>
      <c r="ID711" s="24">
        <v>3656</v>
      </c>
    </row>
    <row r="712" spans="9:238" x14ac:dyDescent="0.4">
      <c r="I712" s="305">
        <v>2016</v>
      </c>
      <c r="J712" s="306">
        <v>39</v>
      </c>
      <c r="K712" s="306" t="s">
        <v>33</v>
      </c>
      <c r="L712" s="306">
        <v>71910</v>
      </c>
      <c r="M712" s="306">
        <v>65764</v>
      </c>
      <c r="N712" s="306">
        <v>195</v>
      </c>
      <c r="O712" s="306">
        <v>6141</v>
      </c>
      <c r="P712" s="306">
        <v>345</v>
      </c>
      <c r="Q712" s="306"/>
      <c r="R712" s="292"/>
      <c r="S712" s="292"/>
      <c r="T712" s="292"/>
      <c r="DJ712" s="315">
        <v>2017</v>
      </c>
      <c r="DK712" s="315">
        <v>12</v>
      </c>
      <c r="DL712" s="315" t="s">
        <v>32</v>
      </c>
      <c r="DM712" s="315">
        <v>186</v>
      </c>
      <c r="DP712" s="24"/>
      <c r="DQ712" s="24"/>
      <c r="DR712" s="24"/>
      <c r="DS712" s="24"/>
      <c r="EI712" s="24">
        <v>2022</v>
      </c>
      <c r="EJ712" s="24">
        <v>40</v>
      </c>
      <c r="EK712" s="24" t="s">
        <v>33</v>
      </c>
      <c r="EL712" s="24" t="s">
        <v>233</v>
      </c>
      <c r="EM712" s="24" t="s">
        <v>210</v>
      </c>
      <c r="EN712" s="24">
        <v>3</v>
      </c>
      <c r="EO712" s="24"/>
      <c r="EP712" s="24"/>
      <c r="ES712" s="24">
        <v>2018</v>
      </c>
      <c r="ET712" s="24">
        <v>10</v>
      </c>
      <c r="EU712" s="24" t="s">
        <v>33</v>
      </c>
      <c r="EV712" s="24">
        <v>63322</v>
      </c>
      <c r="FW712" s="24">
        <v>2016</v>
      </c>
      <c r="FX712" s="24">
        <v>38</v>
      </c>
      <c r="FY712" s="24" t="s">
        <v>32</v>
      </c>
      <c r="FZ712" s="24">
        <v>550</v>
      </c>
      <c r="GA712" s="24">
        <v>484</v>
      </c>
      <c r="GD712" s="24"/>
      <c r="GE712" s="24"/>
      <c r="GF712" s="24"/>
      <c r="GG712" s="24"/>
      <c r="GH712" s="24"/>
      <c r="GX712">
        <v>2016</v>
      </c>
      <c r="GY712">
        <v>38</v>
      </c>
      <c r="GZ712" t="s">
        <v>32</v>
      </c>
      <c r="HA712">
        <v>4565</v>
      </c>
      <c r="HB712">
        <v>4411</v>
      </c>
      <c r="HC712">
        <v>0</v>
      </c>
      <c r="HD712">
        <v>1</v>
      </c>
      <c r="HE712">
        <v>0</v>
      </c>
      <c r="HF712">
        <v>3</v>
      </c>
      <c r="HG712">
        <v>0</v>
      </c>
      <c r="HH712">
        <v>0</v>
      </c>
      <c r="HI712">
        <v>56</v>
      </c>
      <c r="HZ712" s="24">
        <v>2016</v>
      </c>
      <c r="IA712" s="24">
        <v>38</v>
      </c>
      <c r="IB712" s="24" t="s">
        <v>32</v>
      </c>
      <c r="IC712" s="24">
        <v>520</v>
      </c>
      <c r="ID712" s="24">
        <v>473</v>
      </c>
    </row>
    <row r="713" spans="9:238" x14ac:dyDescent="0.4">
      <c r="I713" s="305">
        <v>2016</v>
      </c>
      <c r="J713" s="306">
        <v>38</v>
      </c>
      <c r="K713" s="306" t="s">
        <v>32</v>
      </c>
      <c r="L713" s="306">
        <v>4621</v>
      </c>
      <c r="M713" s="306">
        <v>3189</v>
      </c>
      <c r="N713" s="306">
        <v>40</v>
      </c>
      <c r="O713" s="306">
        <v>1432</v>
      </c>
      <c r="P713" s="306">
        <v>26</v>
      </c>
      <c r="Q713" s="306"/>
      <c r="R713" s="292"/>
      <c r="S713" s="292"/>
      <c r="T713" s="292"/>
      <c r="DJ713" s="24">
        <v>2017</v>
      </c>
      <c r="DK713" s="24">
        <v>12</v>
      </c>
      <c r="DL713" s="24" t="s">
        <v>33</v>
      </c>
      <c r="DM713" s="24">
        <v>2296</v>
      </c>
      <c r="DP713" s="24"/>
      <c r="DQ713" s="24"/>
      <c r="DR713" s="24"/>
      <c r="DS713" s="24"/>
      <c r="EI713" s="24">
        <v>2022</v>
      </c>
      <c r="EJ713" s="24">
        <v>40</v>
      </c>
      <c r="EK713" s="24" t="s">
        <v>33</v>
      </c>
      <c r="EL713" s="24" t="s">
        <v>235</v>
      </c>
      <c r="EM713" s="24" t="s">
        <v>210</v>
      </c>
      <c r="EN713" s="24">
        <v>10</v>
      </c>
      <c r="EO713" s="24"/>
      <c r="EP713" s="24"/>
      <c r="ES713" s="24">
        <v>2018</v>
      </c>
      <c r="ET713" s="24">
        <v>9</v>
      </c>
      <c r="EU713" s="24" t="s">
        <v>32</v>
      </c>
      <c r="EV713" s="24">
        <v>2285</v>
      </c>
      <c r="FW713" s="24">
        <v>2016</v>
      </c>
      <c r="FX713" s="24">
        <v>38</v>
      </c>
      <c r="FY713" s="24" t="s">
        <v>33</v>
      </c>
      <c r="FZ713" s="24">
        <v>3833</v>
      </c>
      <c r="GA713" s="24">
        <v>3340</v>
      </c>
      <c r="GD713" s="24"/>
      <c r="GE713" s="24"/>
      <c r="GF713" s="24"/>
      <c r="GG713" s="24"/>
      <c r="GH713" s="24"/>
      <c r="GX713">
        <v>2016</v>
      </c>
      <c r="GY713">
        <v>38</v>
      </c>
      <c r="GZ713" t="s">
        <v>33</v>
      </c>
      <c r="HA713">
        <v>75884</v>
      </c>
      <c r="HB713">
        <v>74003</v>
      </c>
      <c r="HC713">
        <v>0</v>
      </c>
      <c r="HD713">
        <v>380</v>
      </c>
      <c r="HE713">
        <v>0</v>
      </c>
      <c r="HF713">
        <v>514</v>
      </c>
      <c r="HG713">
        <v>0</v>
      </c>
      <c r="HH713">
        <v>0</v>
      </c>
      <c r="HI713">
        <v>310</v>
      </c>
      <c r="HZ713" s="24">
        <v>2016</v>
      </c>
      <c r="IA713" s="24">
        <v>38</v>
      </c>
      <c r="IB713" s="24" t="s">
        <v>33</v>
      </c>
      <c r="IC713" s="24">
        <v>3893</v>
      </c>
      <c r="ID713" s="24">
        <v>3588</v>
      </c>
    </row>
    <row r="714" spans="9:238" x14ac:dyDescent="0.4">
      <c r="I714" s="305">
        <v>2016</v>
      </c>
      <c r="J714" s="306">
        <v>38</v>
      </c>
      <c r="K714" s="306" t="s">
        <v>33</v>
      </c>
      <c r="L714" s="306">
        <v>75740</v>
      </c>
      <c r="M714" s="306">
        <v>69105</v>
      </c>
      <c r="N714" s="306">
        <v>186</v>
      </c>
      <c r="O714" s="306">
        <v>6635</v>
      </c>
      <c r="P714" s="306">
        <v>359</v>
      </c>
      <c r="Q714" s="306"/>
      <c r="R714" s="292"/>
      <c r="S714" s="292"/>
      <c r="T714" s="292"/>
      <c r="DJ714" s="24">
        <v>2017</v>
      </c>
      <c r="DK714" s="24">
        <v>11</v>
      </c>
      <c r="DL714" s="24" t="s">
        <v>32</v>
      </c>
      <c r="DM714" s="24">
        <v>262</v>
      </c>
      <c r="DP714" s="24"/>
      <c r="DQ714" s="24"/>
      <c r="DR714" s="24"/>
      <c r="DS714" s="24"/>
      <c r="EI714" s="24">
        <v>2022</v>
      </c>
      <c r="EJ714" s="24">
        <v>40</v>
      </c>
      <c r="EK714" s="24" t="s">
        <v>33</v>
      </c>
      <c r="EL714" s="24" t="s">
        <v>247</v>
      </c>
      <c r="EM714" s="24" t="s">
        <v>210</v>
      </c>
      <c r="EN714" s="24">
        <v>4</v>
      </c>
      <c r="EO714" s="24"/>
      <c r="EP714" s="24"/>
      <c r="ES714" s="24">
        <v>2018</v>
      </c>
      <c r="ET714" s="24">
        <v>9</v>
      </c>
      <c r="EU714" s="24" t="s">
        <v>33</v>
      </c>
      <c r="EV714" s="24">
        <v>67213</v>
      </c>
      <c r="FW714" s="24">
        <v>2016</v>
      </c>
      <c r="FX714" s="24">
        <v>37</v>
      </c>
      <c r="FY714" s="24" t="s">
        <v>32</v>
      </c>
      <c r="FZ714" s="24">
        <v>616</v>
      </c>
      <c r="GA714" s="24">
        <v>562</v>
      </c>
      <c r="GD714" s="24"/>
      <c r="GE714" s="24"/>
      <c r="GF714" s="24"/>
      <c r="GG714" s="24"/>
      <c r="GH714" s="24"/>
      <c r="GX714">
        <v>2016</v>
      </c>
      <c r="GY714">
        <v>37</v>
      </c>
      <c r="GZ714" t="s">
        <v>32</v>
      </c>
      <c r="HA714">
        <v>4895</v>
      </c>
      <c r="HB714">
        <v>4728</v>
      </c>
      <c r="HC714">
        <v>0</v>
      </c>
      <c r="HD714">
        <v>18</v>
      </c>
      <c r="HE714">
        <v>0</v>
      </c>
      <c r="HF714">
        <v>0</v>
      </c>
      <c r="HG714">
        <v>0</v>
      </c>
      <c r="HH714">
        <v>0</v>
      </c>
      <c r="HI714">
        <v>55</v>
      </c>
      <c r="HZ714" s="24">
        <v>2016</v>
      </c>
      <c r="IA714" s="24">
        <v>37</v>
      </c>
      <c r="IB714" s="24" t="s">
        <v>32</v>
      </c>
      <c r="IC714" s="24">
        <v>605</v>
      </c>
      <c r="ID714" s="24">
        <v>583</v>
      </c>
    </row>
    <row r="715" spans="9:238" x14ac:dyDescent="0.4">
      <c r="I715" s="305">
        <v>2016</v>
      </c>
      <c r="J715" s="306">
        <v>37</v>
      </c>
      <c r="K715" s="306" t="s">
        <v>32</v>
      </c>
      <c r="L715" s="306">
        <v>4961</v>
      </c>
      <c r="M715" s="306">
        <v>3526</v>
      </c>
      <c r="N715" s="306">
        <v>48</v>
      </c>
      <c r="O715" s="306">
        <v>1434</v>
      </c>
      <c r="P715" s="306">
        <v>15</v>
      </c>
      <c r="Q715" s="306"/>
      <c r="R715" s="292"/>
      <c r="S715" s="292"/>
      <c r="T715" s="292"/>
      <c r="DJ715" s="24">
        <v>2017</v>
      </c>
      <c r="DK715" s="24">
        <v>11</v>
      </c>
      <c r="DL715" s="24" t="s">
        <v>33</v>
      </c>
      <c r="DM715" s="24">
        <v>525</v>
      </c>
      <c r="DP715" s="24"/>
      <c r="DQ715" s="24"/>
      <c r="DR715" s="24"/>
      <c r="DS715" s="24"/>
      <c r="EI715" s="24">
        <v>2022</v>
      </c>
      <c r="EJ715" s="24">
        <v>40</v>
      </c>
      <c r="EK715" s="24" t="s">
        <v>237</v>
      </c>
      <c r="EL715" s="24" t="s">
        <v>555</v>
      </c>
      <c r="EM715" s="24" t="s">
        <v>210</v>
      </c>
      <c r="EN715" s="24">
        <v>4</v>
      </c>
      <c r="EO715" s="24"/>
      <c r="EP715" s="24"/>
      <c r="ES715" s="24">
        <v>2018</v>
      </c>
      <c r="ET715" s="24">
        <v>8</v>
      </c>
      <c r="EU715" s="24" t="s">
        <v>32</v>
      </c>
      <c r="EV715" s="24">
        <v>2873</v>
      </c>
      <c r="FW715" s="24">
        <v>2016</v>
      </c>
      <c r="FX715" s="24">
        <v>37</v>
      </c>
      <c r="FY715" s="24" t="s">
        <v>33</v>
      </c>
      <c r="FZ715" s="24">
        <v>4192</v>
      </c>
      <c r="GA715" s="24">
        <v>3398</v>
      </c>
      <c r="GD715" s="24"/>
      <c r="GE715" s="24"/>
      <c r="GF715" s="24"/>
      <c r="GG715" s="24"/>
      <c r="GH715" s="24"/>
      <c r="GX715">
        <v>2016</v>
      </c>
      <c r="GY715">
        <v>37</v>
      </c>
      <c r="GZ715" t="s">
        <v>33</v>
      </c>
      <c r="HA715">
        <v>86304</v>
      </c>
      <c r="HB715">
        <v>82927</v>
      </c>
      <c r="HC715">
        <v>0</v>
      </c>
      <c r="HD715">
        <v>47</v>
      </c>
      <c r="HE715">
        <v>0</v>
      </c>
      <c r="HF715">
        <v>548</v>
      </c>
      <c r="HG715">
        <v>0</v>
      </c>
      <c r="HH715">
        <v>0</v>
      </c>
      <c r="HI715">
        <v>917</v>
      </c>
      <c r="HZ715" s="24">
        <v>2016</v>
      </c>
      <c r="IA715" s="24">
        <v>37</v>
      </c>
      <c r="IB715" s="24" t="s">
        <v>33</v>
      </c>
      <c r="IC715" s="24">
        <v>4173</v>
      </c>
      <c r="ID715" s="24">
        <v>3578</v>
      </c>
    </row>
    <row r="716" spans="9:238" x14ac:dyDescent="0.4">
      <c r="I716" s="305">
        <v>2016</v>
      </c>
      <c r="J716" s="306">
        <v>37</v>
      </c>
      <c r="K716" s="306" t="s">
        <v>33</v>
      </c>
      <c r="L716" s="306">
        <v>87418</v>
      </c>
      <c r="M716" s="306">
        <v>79147</v>
      </c>
      <c r="N716" s="306">
        <v>349</v>
      </c>
      <c r="O716" s="306">
        <v>8269</v>
      </c>
      <c r="P716" s="306">
        <v>567</v>
      </c>
      <c r="Q716" s="306"/>
      <c r="R716" s="292"/>
      <c r="S716" s="292"/>
      <c r="T716" s="292"/>
      <c r="DJ716" s="24">
        <v>2017</v>
      </c>
      <c r="DK716" s="24">
        <v>10</v>
      </c>
      <c r="DL716" s="24" t="s">
        <v>32</v>
      </c>
      <c r="DM716" s="24">
        <v>107</v>
      </c>
      <c r="DP716" s="24"/>
      <c r="DQ716" s="24"/>
      <c r="DR716" s="24"/>
      <c r="DS716" s="24"/>
      <c r="EI716" s="24">
        <v>2022</v>
      </c>
      <c r="EJ716" s="24">
        <v>40</v>
      </c>
      <c r="EK716" s="24" t="s">
        <v>237</v>
      </c>
      <c r="EL716" s="24" t="s">
        <v>555</v>
      </c>
      <c r="EM716" s="24" t="s">
        <v>215</v>
      </c>
      <c r="EN716" s="24">
        <v>2</v>
      </c>
      <c r="EO716" s="24"/>
      <c r="EP716" s="24"/>
      <c r="ES716" s="24">
        <v>2018</v>
      </c>
      <c r="ET716" s="24">
        <v>8</v>
      </c>
      <c r="EU716" s="24" t="s">
        <v>33</v>
      </c>
      <c r="EV716" s="24">
        <v>53429</v>
      </c>
      <c r="FW716" s="24">
        <v>2016</v>
      </c>
      <c r="FX716" s="24">
        <v>36</v>
      </c>
      <c r="FY716" s="24" t="s">
        <v>32</v>
      </c>
      <c r="FZ716" s="24">
        <v>648</v>
      </c>
      <c r="GA716" s="24">
        <v>536</v>
      </c>
      <c r="GD716" s="24"/>
      <c r="GE716" s="24"/>
      <c r="GF716" s="24"/>
      <c r="GG716" s="24"/>
      <c r="GH716" s="24"/>
      <c r="GX716">
        <v>2016</v>
      </c>
      <c r="GY716">
        <v>36</v>
      </c>
      <c r="GZ716" t="s">
        <v>32</v>
      </c>
      <c r="HA716">
        <v>5680</v>
      </c>
      <c r="HB716">
        <v>5478</v>
      </c>
      <c r="HC716">
        <v>0</v>
      </c>
      <c r="HD716">
        <v>2</v>
      </c>
      <c r="HE716">
        <v>0</v>
      </c>
      <c r="HF716">
        <v>8</v>
      </c>
      <c r="HG716">
        <v>0</v>
      </c>
      <c r="HH716">
        <v>0</v>
      </c>
      <c r="HI716">
        <v>66</v>
      </c>
      <c r="HZ716" s="24">
        <v>2016</v>
      </c>
      <c r="IA716" s="24">
        <v>36</v>
      </c>
      <c r="IB716" s="24" t="s">
        <v>32</v>
      </c>
      <c r="IC716" s="24">
        <v>642</v>
      </c>
      <c r="ID716" s="24">
        <v>590</v>
      </c>
    </row>
    <row r="717" spans="9:238" x14ac:dyDescent="0.4">
      <c r="I717" s="305">
        <v>2016</v>
      </c>
      <c r="J717" s="306">
        <v>36</v>
      </c>
      <c r="K717" s="306" t="s">
        <v>32</v>
      </c>
      <c r="L717" s="306">
        <v>6074</v>
      </c>
      <c r="M717" s="306">
        <v>4276</v>
      </c>
      <c r="N717" s="306">
        <v>51</v>
      </c>
      <c r="O717" s="306">
        <v>1798</v>
      </c>
      <c r="P717" s="306">
        <v>28</v>
      </c>
      <c r="Q717" s="306"/>
      <c r="R717" s="292"/>
      <c r="S717" s="292"/>
      <c r="T717" s="292"/>
      <c r="DJ717" s="24">
        <v>2017</v>
      </c>
      <c r="DK717" s="24">
        <v>10</v>
      </c>
      <c r="DL717" s="24" t="s">
        <v>33</v>
      </c>
      <c r="DM717" s="24">
        <v>1043</v>
      </c>
      <c r="DP717" s="24"/>
      <c r="DQ717" s="24"/>
      <c r="DR717" s="24"/>
      <c r="DS717" s="24"/>
      <c r="EI717" s="24">
        <v>2022</v>
      </c>
      <c r="EJ717" s="24">
        <v>40</v>
      </c>
      <c r="EK717" s="24" t="s">
        <v>237</v>
      </c>
      <c r="EL717" s="24" t="s">
        <v>557</v>
      </c>
      <c r="EM717" s="24" t="s">
        <v>210</v>
      </c>
      <c r="EN717" s="24">
        <v>14</v>
      </c>
      <c r="EO717" s="24"/>
      <c r="EP717" s="24"/>
      <c r="ES717" s="24">
        <v>2018</v>
      </c>
      <c r="ET717" s="24">
        <v>7</v>
      </c>
      <c r="EU717" s="24" t="s">
        <v>32</v>
      </c>
      <c r="EV717" s="24">
        <v>2728</v>
      </c>
      <c r="FW717" s="24">
        <v>2016</v>
      </c>
      <c r="FX717" s="24">
        <v>36</v>
      </c>
      <c r="FY717" s="24" t="s">
        <v>33</v>
      </c>
      <c r="FZ717" s="24">
        <v>3994</v>
      </c>
      <c r="GA717" s="24">
        <v>3563</v>
      </c>
      <c r="GD717" s="24"/>
      <c r="GE717" s="24"/>
      <c r="GF717" s="24"/>
      <c r="GG717" s="24"/>
      <c r="GH717" s="24"/>
      <c r="GX717">
        <v>2016</v>
      </c>
      <c r="GY717">
        <v>36</v>
      </c>
      <c r="GZ717" t="s">
        <v>33</v>
      </c>
      <c r="HA717">
        <v>75672</v>
      </c>
      <c r="HB717">
        <v>74130</v>
      </c>
      <c r="HC717">
        <v>1</v>
      </c>
      <c r="HD717">
        <v>97</v>
      </c>
      <c r="HE717">
        <v>0</v>
      </c>
      <c r="HF717">
        <v>302</v>
      </c>
      <c r="HG717">
        <v>0</v>
      </c>
      <c r="HH717">
        <v>0</v>
      </c>
      <c r="HI717">
        <v>322</v>
      </c>
      <c r="HZ717" s="24">
        <v>2016</v>
      </c>
      <c r="IA717" s="24">
        <v>36</v>
      </c>
      <c r="IB717" s="24" t="s">
        <v>33</v>
      </c>
      <c r="IC717" s="24">
        <v>3986</v>
      </c>
      <c r="ID717" s="24">
        <v>3717</v>
      </c>
    </row>
    <row r="718" spans="9:238" x14ac:dyDescent="0.4">
      <c r="I718" s="305">
        <v>2016</v>
      </c>
      <c r="J718" s="306">
        <v>36</v>
      </c>
      <c r="K718" s="306" t="s">
        <v>33</v>
      </c>
      <c r="L718" s="306">
        <v>74996</v>
      </c>
      <c r="M718" s="306">
        <v>68658</v>
      </c>
      <c r="N718" s="306">
        <v>214</v>
      </c>
      <c r="O718" s="306">
        <v>6334</v>
      </c>
      <c r="P718" s="306">
        <v>377</v>
      </c>
      <c r="Q718" s="306"/>
      <c r="R718" s="292"/>
      <c r="S718" s="292"/>
      <c r="T718" s="292"/>
      <c r="DJ718" s="316">
        <v>2017</v>
      </c>
      <c r="DK718" s="316">
        <v>9</v>
      </c>
      <c r="DL718" s="316" t="s">
        <v>32</v>
      </c>
      <c r="DM718" s="316">
        <v>952</v>
      </c>
      <c r="DP718" s="24"/>
      <c r="DQ718" s="24"/>
      <c r="DR718" s="24"/>
      <c r="DS718" s="24"/>
      <c r="EI718" s="24">
        <v>2022</v>
      </c>
      <c r="EJ718" s="24">
        <v>40</v>
      </c>
      <c r="EK718" s="24" t="s">
        <v>237</v>
      </c>
      <c r="EL718" s="24" t="s">
        <v>557</v>
      </c>
      <c r="EM718" s="24" t="s">
        <v>215</v>
      </c>
      <c r="EN718" s="24">
        <v>46</v>
      </c>
      <c r="EO718" s="24"/>
      <c r="EP718" s="24"/>
      <c r="ES718" s="24">
        <v>2018</v>
      </c>
      <c r="ET718" s="24">
        <v>7</v>
      </c>
      <c r="EU718" s="24" t="s">
        <v>33</v>
      </c>
      <c r="EV718" s="24">
        <v>54406</v>
      </c>
      <c r="FW718" s="24">
        <v>2016</v>
      </c>
      <c r="FX718" s="24">
        <v>35</v>
      </c>
      <c r="FY718" s="24" t="s">
        <v>32</v>
      </c>
      <c r="FZ718" s="24">
        <v>691</v>
      </c>
      <c r="GA718" s="24">
        <v>594</v>
      </c>
      <c r="GD718" s="24"/>
      <c r="GE718" s="24"/>
      <c r="GF718" s="24"/>
      <c r="GG718" s="24"/>
      <c r="GH718" s="24"/>
      <c r="GX718">
        <v>2016</v>
      </c>
      <c r="GY718">
        <v>35</v>
      </c>
      <c r="GZ718" t="s">
        <v>32</v>
      </c>
      <c r="HA718">
        <v>5589</v>
      </c>
      <c r="HB718">
        <v>5423</v>
      </c>
      <c r="HC718">
        <v>0</v>
      </c>
      <c r="HD718">
        <v>2</v>
      </c>
      <c r="HE718">
        <v>0</v>
      </c>
      <c r="HF718">
        <v>2</v>
      </c>
      <c r="HG718">
        <v>0</v>
      </c>
      <c r="HH718">
        <v>0</v>
      </c>
      <c r="HI718">
        <v>74</v>
      </c>
      <c r="HZ718" s="24">
        <v>2016</v>
      </c>
      <c r="IA718" s="24">
        <v>35</v>
      </c>
      <c r="IB718" s="24" t="s">
        <v>32</v>
      </c>
      <c r="IC718" s="24">
        <v>723</v>
      </c>
      <c r="ID718" s="24">
        <v>702</v>
      </c>
    </row>
    <row r="719" spans="9:238" x14ac:dyDescent="0.4">
      <c r="I719" s="305">
        <v>2016</v>
      </c>
      <c r="J719" s="306">
        <v>35</v>
      </c>
      <c r="K719" s="306" t="s">
        <v>32</v>
      </c>
      <c r="L719" s="306">
        <v>5091</v>
      </c>
      <c r="M719" s="306">
        <v>3460</v>
      </c>
      <c r="N719" s="306">
        <v>79</v>
      </c>
      <c r="O719" s="306">
        <v>1631</v>
      </c>
      <c r="P719" s="306">
        <v>19</v>
      </c>
      <c r="Q719" s="306"/>
      <c r="R719" s="292"/>
      <c r="S719" s="292"/>
      <c r="T719" s="292"/>
      <c r="DJ719" s="316">
        <v>2017</v>
      </c>
      <c r="DK719" s="316">
        <v>9</v>
      </c>
      <c r="DL719" s="316" t="s">
        <v>33</v>
      </c>
      <c r="DM719" s="316">
        <v>1804</v>
      </c>
      <c r="DP719" s="24"/>
      <c r="DQ719" s="24"/>
      <c r="DR719" s="24"/>
      <c r="DS719" s="24"/>
      <c r="EI719" s="24">
        <v>2022</v>
      </c>
      <c r="EJ719" s="24">
        <v>40</v>
      </c>
      <c r="EK719" s="24" t="s">
        <v>237</v>
      </c>
      <c r="EL719" s="24" t="s">
        <v>233</v>
      </c>
      <c r="EM719" s="24" t="s">
        <v>210</v>
      </c>
      <c r="EN719" s="24">
        <v>1</v>
      </c>
      <c r="EO719" s="24"/>
      <c r="EP719" s="24"/>
      <c r="ES719" s="24">
        <v>2018</v>
      </c>
      <c r="ET719" s="24">
        <v>6</v>
      </c>
      <c r="EU719" s="24" t="s">
        <v>32</v>
      </c>
      <c r="EV719" s="24">
        <v>2555</v>
      </c>
      <c r="FW719" s="24">
        <v>2016</v>
      </c>
      <c r="FX719" s="24">
        <v>35</v>
      </c>
      <c r="FY719" s="24" t="s">
        <v>33</v>
      </c>
      <c r="FZ719" s="24">
        <v>3776</v>
      </c>
      <c r="GA719" s="24">
        <v>3327</v>
      </c>
      <c r="GD719" s="24"/>
      <c r="GE719" s="24"/>
      <c r="GF719" s="24"/>
      <c r="GG719" s="24"/>
      <c r="GH719" s="24"/>
      <c r="GX719">
        <v>2016</v>
      </c>
      <c r="GY719">
        <v>35</v>
      </c>
      <c r="GZ719" t="s">
        <v>33</v>
      </c>
      <c r="HA719">
        <v>70608</v>
      </c>
      <c r="HB719">
        <v>69450</v>
      </c>
      <c r="HC719">
        <v>0</v>
      </c>
      <c r="HD719">
        <v>61</v>
      </c>
      <c r="HE719">
        <v>0</v>
      </c>
      <c r="HF719">
        <v>185</v>
      </c>
      <c r="HG719">
        <v>0</v>
      </c>
      <c r="HH719">
        <v>0</v>
      </c>
      <c r="HI719">
        <v>326</v>
      </c>
      <c r="HZ719" s="24">
        <v>2016</v>
      </c>
      <c r="IA719" s="24">
        <v>35</v>
      </c>
      <c r="IB719" s="24" t="s">
        <v>33</v>
      </c>
      <c r="IC719" s="24">
        <v>3831</v>
      </c>
      <c r="ID719" s="24">
        <v>3568</v>
      </c>
    </row>
    <row r="720" spans="9:238" x14ac:dyDescent="0.4">
      <c r="I720" s="305">
        <v>2016</v>
      </c>
      <c r="J720" s="306">
        <v>35</v>
      </c>
      <c r="K720" s="306" t="s">
        <v>33</v>
      </c>
      <c r="L720" s="306">
        <v>70302</v>
      </c>
      <c r="M720" s="306">
        <v>64990</v>
      </c>
      <c r="N720" s="306">
        <v>109</v>
      </c>
      <c r="O720" s="306">
        <v>5312</v>
      </c>
      <c r="P720" s="306">
        <v>302</v>
      </c>
      <c r="Q720" s="306"/>
      <c r="R720" s="292"/>
      <c r="S720" s="292"/>
      <c r="T720" s="292"/>
      <c r="DJ720" s="316">
        <v>2017</v>
      </c>
      <c r="DK720" s="316">
        <v>8</v>
      </c>
      <c r="DL720" s="316" t="s">
        <v>32</v>
      </c>
      <c r="DM720" s="316">
        <v>327</v>
      </c>
      <c r="DP720" s="24"/>
      <c r="DQ720" s="24"/>
      <c r="DR720" s="24"/>
      <c r="DS720" s="24"/>
      <c r="EI720" s="24">
        <v>2022</v>
      </c>
      <c r="EJ720" s="24">
        <v>40</v>
      </c>
      <c r="EK720" s="24" t="s">
        <v>237</v>
      </c>
      <c r="EL720" s="24" t="s">
        <v>554</v>
      </c>
      <c r="EM720" s="24" t="s">
        <v>210</v>
      </c>
      <c r="EN720" s="24">
        <v>7</v>
      </c>
      <c r="EO720" s="24"/>
      <c r="EP720" s="24"/>
      <c r="ES720" s="24">
        <v>2018</v>
      </c>
      <c r="ET720" s="24">
        <v>6</v>
      </c>
      <c r="EU720" s="24" t="s">
        <v>33</v>
      </c>
      <c r="EV720" s="24">
        <v>53529</v>
      </c>
      <c r="FW720" s="24">
        <v>2016</v>
      </c>
      <c r="FX720" s="24">
        <v>34</v>
      </c>
      <c r="FY720" s="24" t="s">
        <v>32</v>
      </c>
      <c r="FZ720" s="24">
        <v>610</v>
      </c>
      <c r="GA720" s="24">
        <v>531</v>
      </c>
      <c r="GD720" s="24"/>
      <c r="GE720" s="24"/>
      <c r="GF720" s="24"/>
      <c r="GG720" s="24"/>
      <c r="GH720" s="24"/>
      <c r="GX720">
        <v>2016</v>
      </c>
      <c r="GY720">
        <v>34</v>
      </c>
      <c r="GZ720" t="s">
        <v>32</v>
      </c>
      <c r="HA720">
        <v>4821</v>
      </c>
      <c r="HB720">
        <v>4598</v>
      </c>
      <c r="HC720">
        <v>0</v>
      </c>
      <c r="HD720">
        <v>17</v>
      </c>
      <c r="HE720">
        <v>0</v>
      </c>
      <c r="HF720">
        <v>0</v>
      </c>
      <c r="HG720">
        <v>0</v>
      </c>
      <c r="HH720">
        <v>0</v>
      </c>
      <c r="HI720">
        <v>71</v>
      </c>
      <c r="HZ720" s="24">
        <v>2016</v>
      </c>
      <c r="IA720" s="24">
        <v>34</v>
      </c>
      <c r="IB720" s="24" t="s">
        <v>32</v>
      </c>
      <c r="IC720" s="24">
        <v>585</v>
      </c>
      <c r="ID720" s="24">
        <v>550</v>
      </c>
    </row>
    <row r="721" spans="9:238" x14ac:dyDescent="0.4">
      <c r="I721" s="305">
        <v>2016</v>
      </c>
      <c r="J721" s="306">
        <v>34</v>
      </c>
      <c r="K721" s="306" t="s">
        <v>32</v>
      </c>
      <c r="L721" s="306">
        <v>4926</v>
      </c>
      <c r="M721" s="306">
        <v>3086</v>
      </c>
      <c r="N721" s="306">
        <v>57</v>
      </c>
      <c r="O721" s="306">
        <v>1840</v>
      </c>
      <c r="P721" s="306">
        <v>19</v>
      </c>
      <c r="Q721" s="306"/>
      <c r="R721" s="292"/>
      <c r="S721" s="292"/>
      <c r="T721" s="292"/>
      <c r="DJ721" s="316">
        <v>2017</v>
      </c>
      <c r="DK721" s="316">
        <v>8</v>
      </c>
      <c r="DL721" s="316" t="s">
        <v>33</v>
      </c>
      <c r="DM721" s="316">
        <v>2696</v>
      </c>
      <c r="DP721" s="24"/>
      <c r="DQ721" s="24"/>
      <c r="DR721" s="24"/>
      <c r="DS721" s="24"/>
      <c r="EI721" s="24">
        <v>2022</v>
      </c>
      <c r="EJ721" s="24">
        <v>40</v>
      </c>
      <c r="EK721" s="24" t="s">
        <v>237</v>
      </c>
      <c r="EL721" s="24" t="s">
        <v>235</v>
      </c>
      <c r="EM721" s="24" t="s">
        <v>210</v>
      </c>
      <c r="EN721" s="24">
        <v>9</v>
      </c>
      <c r="EO721" s="24"/>
      <c r="EP721" s="24"/>
      <c r="ES721" s="24">
        <v>2018</v>
      </c>
      <c r="ET721" s="24">
        <v>5</v>
      </c>
      <c r="EU721" s="24" t="s">
        <v>32</v>
      </c>
      <c r="EV721" s="24">
        <v>2311</v>
      </c>
      <c r="FW721" s="24">
        <v>2016</v>
      </c>
      <c r="FX721" s="24">
        <v>34</v>
      </c>
      <c r="FY721" s="24" t="s">
        <v>33</v>
      </c>
      <c r="FZ721" s="24">
        <v>4754</v>
      </c>
      <c r="GA721" s="24">
        <v>4153</v>
      </c>
      <c r="GD721" s="24"/>
      <c r="GE721" s="24"/>
      <c r="GF721" s="24"/>
      <c r="GG721" s="24"/>
      <c r="GH721" s="24"/>
      <c r="GX721">
        <v>2016</v>
      </c>
      <c r="GY721">
        <v>34</v>
      </c>
      <c r="GZ721" t="s">
        <v>33</v>
      </c>
      <c r="HA721">
        <v>81070</v>
      </c>
      <c r="HB721">
        <v>79027</v>
      </c>
      <c r="HC721">
        <v>0</v>
      </c>
      <c r="HD721">
        <v>214</v>
      </c>
      <c r="HE721">
        <v>0</v>
      </c>
      <c r="HF721">
        <v>314</v>
      </c>
      <c r="HG721">
        <v>0</v>
      </c>
      <c r="HH721">
        <v>0</v>
      </c>
      <c r="HI721">
        <v>473</v>
      </c>
      <c r="HZ721" s="24">
        <v>2016</v>
      </c>
      <c r="IA721" s="24">
        <v>34</v>
      </c>
      <c r="IB721" s="24" t="s">
        <v>33</v>
      </c>
      <c r="IC721" s="24">
        <v>4577</v>
      </c>
      <c r="ID721" s="24">
        <v>4197</v>
      </c>
    </row>
    <row r="722" spans="9:238" x14ac:dyDescent="0.4">
      <c r="I722" s="305">
        <v>2016</v>
      </c>
      <c r="J722" s="306">
        <v>34</v>
      </c>
      <c r="K722" s="306" t="s">
        <v>33</v>
      </c>
      <c r="L722" s="306">
        <v>82430</v>
      </c>
      <c r="M722" s="306">
        <v>74736</v>
      </c>
      <c r="N722" s="306">
        <v>188</v>
      </c>
      <c r="O722" s="306">
        <v>7692</v>
      </c>
      <c r="P722" s="306">
        <v>712</v>
      </c>
      <c r="Q722" s="306"/>
      <c r="R722" s="292"/>
      <c r="S722" s="292"/>
      <c r="T722" s="292"/>
      <c r="DJ722" s="316">
        <v>2017</v>
      </c>
      <c r="DK722" s="316">
        <v>7</v>
      </c>
      <c r="DL722" s="316" t="s">
        <v>32</v>
      </c>
      <c r="DM722" s="316">
        <v>400</v>
      </c>
      <c r="DP722" s="24"/>
      <c r="DQ722" s="24"/>
      <c r="DR722" s="24"/>
      <c r="DS722" s="24"/>
      <c r="EI722" s="24">
        <v>2022</v>
      </c>
      <c r="EJ722" s="24">
        <v>40</v>
      </c>
      <c r="EK722" s="24" t="s">
        <v>237</v>
      </c>
      <c r="EL722" s="24" t="s">
        <v>235</v>
      </c>
      <c r="EM722" s="24" t="s">
        <v>234</v>
      </c>
      <c r="EN722" s="24">
        <v>3</v>
      </c>
      <c r="EO722" s="24"/>
      <c r="EP722" s="24"/>
      <c r="ES722" s="24">
        <v>2018</v>
      </c>
      <c r="ET722" s="24">
        <v>5</v>
      </c>
      <c r="EU722" s="24" t="s">
        <v>33</v>
      </c>
      <c r="EV722" s="24">
        <v>56556</v>
      </c>
      <c r="FW722" s="24">
        <v>2016</v>
      </c>
      <c r="FX722" s="24">
        <v>33</v>
      </c>
      <c r="FY722" s="24" t="s">
        <v>32</v>
      </c>
      <c r="FZ722" s="24">
        <v>545</v>
      </c>
      <c r="GA722" s="24">
        <v>467</v>
      </c>
      <c r="GD722" s="24"/>
      <c r="GE722" s="24"/>
      <c r="GF722" s="24"/>
      <c r="GG722" s="24"/>
      <c r="GH722" s="24"/>
      <c r="GX722">
        <v>2016</v>
      </c>
      <c r="GY722">
        <v>33</v>
      </c>
      <c r="GZ722" t="s">
        <v>32</v>
      </c>
      <c r="HA722">
        <v>5610</v>
      </c>
      <c r="HB722">
        <v>5206</v>
      </c>
      <c r="HC722">
        <v>0</v>
      </c>
      <c r="HD722">
        <v>4</v>
      </c>
      <c r="HE722">
        <v>0</v>
      </c>
      <c r="HF722">
        <v>8</v>
      </c>
      <c r="HG722">
        <v>1</v>
      </c>
      <c r="HH722">
        <v>0</v>
      </c>
      <c r="HI722">
        <v>178</v>
      </c>
      <c r="HZ722" s="24">
        <v>2016</v>
      </c>
      <c r="IA722" s="24">
        <v>33</v>
      </c>
      <c r="IB722" s="24" t="s">
        <v>32</v>
      </c>
      <c r="IC722" s="24">
        <v>593</v>
      </c>
      <c r="ID722" s="24">
        <v>548</v>
      </c>
    </row>
    <row r="723" spans="9:238" x14ac:dyDescent="0.4">
      <c r="I723" s="305">
        <v>2016</v>
      </c>
      <c r="J723" s="306">
        <v>33</v>
      </c>
      <c r="K723" s="306" t="s">
        <v>32</v>
      </c>
      <c r="L723" s="306">
        <v>5508</v>
      </c>
      <c r="M723" s="306">
        <v>4573</v>
      </c>
      <c r="N723" s="306">
        <v>67</v>
      </c>
      <c r="O723" s="306">
        <v>933</v>
      </c>
      <c r="P723" s="306">
        <v>47</v>
      </c>
      <c r="Q723" s="306"/>
      <c r="R723" s="292"/>
      <c r="S723" s="292"/>
      <c r="T723" s="292"/>
      <c r="DJ723" s="316">
        <v>2017</v>
      </c>
      <c r="DK723" s="316">
        <v>7</v>
      </c>
      <c r="DL723" s="316" t="s">
        <v>33</v>
      </c>
      <c r="DM723" s="316">
        <v>1761</v>
      </c>
      <c r="DP723" s="24"/>
      <c r="DQ723" s="24"/>
      <c r="DR723" s="24"/>
      <c r="DS723" s="24"/>
      <c r="EI723" s="24">
        <v>2022</v>
      </c>
      <c r="EJ723" s="24">
        <v>40</v>
      </c>
      <c r="EK723" s="24" t="s">
        <v>237</v>
      </c>
      <c r="EL723" s="24" t="s">
        <v>235</v>
      </c>
      <c r="EM723" s="24" t="s">
        <v>215</v>
      </c>
      <c r="EN723" s="24">
        <v>1</v>
      </c>
      <c r="EO723" s="24"/>
      <c r="EP723" s="24"/>
      <c r="ES723" s="24">
        <v>2018</v>
      </c>
      <c r="ET723" s="24">
        <v>4</v>
      </c>
      <c r="EU723" s="24" t="s">
        <v>32</v>
      </c>
      <c r="EV723" s="24">
        <v>3503</v>
      </c>
      <c r="FW723" s="24">
        <v>2016</v>
      </c>
      <c r="FX723" s="24">
        <v>33</v>
      </c>
      <c r="FY723" s="24" t="s">
        <v>33</v>
      </c>
      <c r="FZ723" s="24">
        <v>4369</v>
      </c>
      <c r="GA723" s="24">
        <v>3883</v>
      </c>
      <c r="GD723" s="24"/>
      <c r="GE723" s="24"/>
      <c r="GF723" s="24"/>
      <c r="GG723" s="24"/>
      <c r="GH723" s="24"/>
      <c r="GX723">
        <v>2016</v>
      </c>
      <c r="GY723">
        <v>33</v>
      </c>
      <c r="GZ723" t="s">
        <v>33</v>
      </c>
      <c r="HA723">
        <v>90283</v>
      </c>
      <c r="HB723">
        <v>88800</v>
      </c>
      <c r="HC723">
        <v>0</v>
      </c>
      <c r="HD723">
        <v>58</v>
      </c>
      <c r="HE723">
        <v>0</v>
      </c>
      <c r="HF723">
        <v>290</v>
      </c>
      <c r="HG723">
        <v>0</v>
      </c>
      <c r="HH723">
        <v>0</v>
      </c>
      <c r="HI723">
        <v>460</v>
      </c>
      <c r="HZ723" s="24">
        <v>2016</v>
      </c>
      <c r="IA723" s="24">
        <v>33</v>
      </c>
      <c r="IB723" s="24" t="s">
        <v>33</v>
      </c>
      <c r="IC723" s="24">
        <v>4375</v>
      </c>
      <c r="ID723" s="24">
        <v>4113</v>
      </c>
    </row>
    <row r="724" spans="9:238" x14ac:dyDescent="0.4">
      <c r="I724" s="305">
        <v>2016</v>
      </c>
      <c r="J724" s="306">
        <v>33</v>
      </c>
      <c r="K724" s="306" t="s">
        <v>33</v>
      </c>
      <c r="L724" s="306">
        <v>90861</v>
      </c>
      <c r="M724" s="306">
        <v>84274</v>
      </c>
      <c r="N724" s="306">
        <v>289</v>
      </c>
      <c r="O724" s="306">
        <v>6585</v>
      </c>
      <c r="P724" s="306">
        <v>366</v>
      </c>
      <c r="Q724" s="306">
        <v>4</v>
      </c>
      <c r="R724" s="292"/>
      <c r="S724" s="292"/>
      <c r="T724" s="292"/>
      <c r="DJ724" s="316">
        <v>2017</v>
      </c>
      <c r="DK724" s="316">
        <v>6</v>
      </c>
      <c r="DL724" s="316" t="s">
        <v>32</v>
      </c>
      <c r="DM724" s="316">
        <v>1033</v>
      </c>
      <c r="DP724" s="24"/>
      <c r="DQ724" s="24"/>
      <c r="DR724" s="24"/>
      <c r="DS724" s="24"/>
      <c r="EI724" s="24">
        <v>2022</v>
      </c>
      <c r="EJ724" s="24">
        <v>40</v>
      </c>
      <c r="EK724" s="24" t="s">
        <v>237</v>
      </c>
      <c r="EL724" s="24" t="s">
        <v>247</v>
      </c>
      <c r="EM724" s="24" t="s">
        <v>210</v>
      </c>
      <c r="EN724" s="24">
        <v>14</v>
      </c>
      <c r="EO724" s="24"/>
      <c r="EP724" s="24"/>
      <c r="ES724" s="24">
        <v>2018</v>
      </c>
      <c r="ET724" s="24">
        <v>4</v>
      </c>
      <c r="EU724" s="24" t="s">
        <v>33</v>
      </c>
      <c r="EV724" s="24">
        <v>54673</v>
      </c>
      <c r="FW724" s="24">
        <v>2016</v>
      </c>
      <c r="FX724" s="24">
        <v>32</v>
      </c>
      <c r="FY724" s="24" t="s">
        <v>32</v>
      </c>
      <c r="FZ724" s="24">
        <v>595</v>
      </c>
      <c r="GA724" s="24">
        <v>453</v>
      </c>
      <c r="GD724" s="24"/>
      <c r="GE724" s="24"/>
      <c r="GF724" s="24"/>
      <c r="GG724" s="24"/>
      <c r="GH724" s="24"/>
      <c r="GX724">
        <v>2016</v>
      </c>
      <c r="GY724">
        <v>32</v>
      </c>
      <c r="GZ724" t="s">
        <v>32</v>
      </c>
      <c r="HA724">
        <v>5114</v>
      </c>
      <c r="HB724">
        <v>4913</v>
      </c>
      <c r="HC724">
        <v>0</v>
      </c>
      <c r="HD724">
        <v>3</v>
      </c>
      <c r="HE724">
        <v>0</v>
      </c>
      <c r="HF724">
        <v>0</v>
      </c>
      <c r="HG724">
        <v>0</v>
      </c>
      <c r="HH724">
        <v>0</v>
      </c>
      <c r="HI724">
        <v>55</v>
      </c>
      <c r="HZ724" s="24">
        <v>2016</v>
      </c>
      <c r="IA724" s="24">
        <v>32</v>
      </c>
      <c r="IB724" s="24" t="s">
        <v>32</v>
      </c>
      <c r="IC724" s="24">
        <v>542</v>
      </c>
      <c r="ID724" s="24">
        <v>470</v>
      </c>
    </row>
    <row r="725" spans="9:238" x14ac:dyDescent="0.4">
      <c r="I725" s="305">
        <v>2016</v>
      </c>
      <c r="J725" s="306">
        <v>32</v>
      </c>
      <c r="K725" s="306" t="s">
        <v>32</v>
      </c>
      <c r="L725" s="306">
        <v>5218</v>
      </c>
      <c r="M725" s="306">
        <v>3264</v>
      </c>
      <c r="N725" s="306">
        <v>76</v>
      </c>
      <c r="O725" s="306">
        <v>1954</v>
      </c>
      <c r="P725" s="306">
        <v>62</v>
      </c>
      <c r="Q725" s="306"/>
      <c r="R725" s="292"/>
      <c r="S725" s="292"/>
      <c r="T725" s="292"/>
      <c r="DJ725" s="316">
        <v>2017</v>
      </c>
      <c r="DK725" s="316">
        <v>6</v>
      </c>
      <c r="DL725" s="316" t="s">
        <v>33</v>
      </c>
      <c r="DM725" s="316">
        <v>1750</v>
      </c>
      <c r="DP725" s="24"/>
      <c r="DQ725" s="24"/>
      <c r="DR725" s="24"/>
      <c r="DS725" s="24"/>
      <c r="EI725" s="24">
        <v>2022</v>
      </c>
      <c r="EJ725" s="24">
        <v>40</v>
      </c>
      <c r="EK725" s="24" t="s">
        <v>211</v>
      </c>
      <c r="EL725" s="24" t="s">
        <v>212</v>
      </c>
      <c r="EM725" s="24" t="s">
        <v>210</v>
      </c>
      <c r="EN725" s="24">
        <v>8</v>
      </c>
      <c r="EO725" s="24"/>
      <c r="EP725" s="24"/>
      <c r="ES725" s="24">
        <v>2018</v>
      </c>
      <c r="ET725" s="24">
        <v>3</v>
      </c>
      <c r="EU725" s="24" t="s">
        <v>32</v>
      </c>
      <c r="EV725" s="24">
        <v>2868</v>
      </c>
      <c r="FW725" s="24">
        <v>2016</v>
      </c>
      <c r="FX725" s="24">
        <v>32</v>
      </c>
      <c r="FY725" s="24" t="s">
        <v>33</v>
      </c>
      <c r="FZ725" s="24">
        <v>3887</v>
      </c>
      <c r="GA725" s="24">
        <v>3486</v>
      </c>
      <c r="GD725" s="24"/>
      <c r="GE725" s="24"/>
      <c r="GF725" s="24"/>
      <c r="GG725" s="24"/>
      <c r="GH725" s="24"/>
      <c r="GX725">
        <v>2016</v>
      </c>
      <c r="GY725">
        <v>32</v>
      </c>
      <c r="GZ725" t="s">
        <v>33</v>
      </c>
      <c r="HA725">
        <v>81427</v>
      </c>
      <c r="HB725">
        <v>79930</v>
      </c>
      <c r="HC725">
        <v>0</v>
      </c>
      <c r="HD725">
        <v>68</v>
      </c>
      <c r="HE725">
        <v>0</v>
      </c>
      <c r="HF725">
        <v>480</v>
      </c>
      <c r="HG725">
        <v>0</v>
      </c>
      <c r="HH725">
        <v>0</v>
      </c>
      <c r="HI725">
        <v>500</v>
      </c>
      <c r="HZ725" s="24">
        <v>2016</v>
      </c>
      <c r="IA725" s="24">
        <v>32</v>
      </c>
      <c r="IB725" s="24" t="s">
        <v>33</v>
      </c>
      <c r="IC725" s="24">
        <v>4028</v>
      </c>
      <c r="ID725" s="24">
        <v>3705</v>
      </c>
    </row>
    <row r="726" spans="9:238" x14ac:dyDescent="0.4">
      <c r="I726" s="305">
        <v>2016</v>
      </c>
      <c r="J726" s="306">
        <v>32</v>
      </c>
      <c r="K726" s="306" t="s">
        <v>33</v>
      </c>
      <c r="L726" s="306">
        <v>80060</v>
      </c>
      <c r="M726" s="306">
        <v>73453</v>
      </c>
      <c r="N726" s="306">
        <v>216</v>
      </c>
      <c r="O726" s="306">
        <v>6607</v>
      </c>
      <c r="P726" s="306">
        <v>388</v>
      </c>
      <c r="Q726" s="306"/>
      <c r="R726" s="292"/>
      <c r="S726" s="292"/>
      <c r="T726" s="292"/>
      <c r="DJ726" s="316">
        <v>2017</v>
      </c>
      <c r="DK726" s="316">
        <v>5</v>
      </c>
      <c r="DL726" s="316" t="s">
        <v>32</v>
      </c>
      <c r="DM726" s="316">
        <v>508</v>
      </c>
      <c r="DP726" s="24"/>
      <c r="DQ726" s="24"/>
      <c r="DR726" s="24"/>
      <c r="DS726" s="24"/>
      <c r="EI726" s="24">
        <v>2022</v>
      </c>
      <c r="EJ726" s="24">
        <v>40</v>
      </c>
      <c r="EK726" s="24" t="s">
        <v>211</v>
      </c>
      <c r="EL726" s="24" t="s">
        <v>212</v>
      </c>
      <c r="EM726" s="24" t="s">
        <v>234</v>
      </c>
      <c r="EN726" s="24">
        <v>20</v>
      </c>
      <c r="EO726" s="24"/>
      <c r="EP726" s="24"/>
      <c r="ES726" s="24">
        <v>2018</v>
      </c>
      <c r="ET726" s="24">
        <v>3</v>
      </c>
      <c r="EU726" s="24" t="s">
        <v>33</v>
      </c>
      <c r="EV726" s="24">
        <v>43944</v>
      </c>
      <c r="FW726" s="24">
        <v>2016</v>
      </c>
      <c r="FX726" s="24">
        <v>31</v>
      </c>
      <c r="FY726" s="24" t="s">
        <v>32</v>
      </c>
      <c r="FZ726" s="24">
        <v>602</v>
      </c>
      <c r="GA726" s="24">
        <v>458</v>
      </c>
      <c r="GD726" s="24"/>
      <c r="GE726" s="24"/>
      <c r="GF726" s="24"/>
      <c r="GG726" s="24"/>
      <c r="GH726" s="24"/>
      <c r="GX726">
        <v>2016</v>
      </c>
      <c r="GY726">
        <v>31</v>
      </c>
      <c r="GZ726" t="s">
        <v>32</v>
      </c>
      <c r="HA726">
        <v>5822</v>
      </c>
      <c r="HB726">
        <v>5509</v>
      </c>
      <c r="HC726">
        <v>0</v>
      </c>
      <c r="HD726">
        <v>24</v>
      </c>
      <c r="HE726">
        <v>0</v>
      </c>
      <c r="HF726">
        <v>47</v>
      </c>
      <c r="HG726">
        <v>0</v>
      </c>
      <c r="HH726">
        <v>0</v>
      </c>
      <c r="HI726">
        <v>101</v>
      </c>
      <c r="HZ726" s="24">
        <v>2016</v>
      </c>
      <c r="IA726" s="24">
        <v>31</v>
      </c>
      <c r="IB726" s="24" t="s">
        <v>32</v>
      </c>
      <c r="IC726" s="24">
        <v>593</v>
      </c>
      <c r="ID726" s="24">
        <v>502</v>
      </c>
    </row>
    <row r="727" spans="9:238" x14ac:dyDescent="0.4">
      <c r="I727" s="305">
        <v>2016</v>
      </c>
      <c r="J727" s="306">
        <v>31</v>
      </c>
      <c r="K727" s="306" t="s">
        <v>32</v>
      </c>
      <c r="L727" s="306">
        <v>6349</v>
      </c>
      <c r="M727" s="306">
        <v>3672</v>
      </c>
      <c r="N727" s="306">
        <v>99</v>
      </c>
      <c r="O727" s="306">
        <v>2675</v>
      </c>
      <c r="P727" s="306">
        <v>72</v>
      </c>
      <c r="Q727" s="306"/>
      <c r="R727" s="292"/>
      <c r="S727" s="292"/>
      <c r="T727" s="292"/>
      <c r="DJ727" s="316">
        <v>2017</v>
      </c>
      <c r="DK727" s="316">
        <v>5</v>
      </c>
      <c r="DL727" s="316" t="s">
        <v>33</v>
      </c>
      <c r="DM727" s="316">
        <v>3636</v>
      </c>
      <c r="DP727" s="24"/>
      <c r="DQ727" s="24"/>
      <c r="DR727" s="24"/>
      <c r="DS727" s="24"/>
      <c r="EI727" s="24">
        <v>2022</v>
      </c>
      <c r="EJ727" s="24">
        <v>40</v>
      </c>
      <c r="EK727" s="24" t="s">
        <v>211</v>
      </c>
      <c r="EL727" s="24" t="s">
        <v>247</v>
      </c>
      <c r="EM727" s="24" t="s">
        <v>210</v>
      </c>
      <c r="EN727" s="24">
        <v>4</v>
      </c>
      <c r="EO727" s="24"/>
      <c r="EP727" s="24"/>
      <c r="ES727" s="24">
        <v>2018</v>
      </c>
      <c r="ET727" s="24">
        <v>2</v>
      </c>
      <c r="EU727" s="24" t="s">
        <v>32</v>
      </c>
      <c r="EV727" s="24">
        <v>2348</v>
      </c>
      <c r="FW727" s="24">
        <v>2016</v>
      </c>
      <c r="FX727" s="24">
        <v>31</v>
      </c>
      <c r="FY727" s="24" t="s">
        <v>33</v>
      </c>
      <c r="FZ727" s="24">
        <v>3908</v>
      </c>
      <c r="GA727" s="24">
        <v>3341</v>
      </c>
      <c r="GD727" s="24"/>
      <c r="GE727" s="24"/>
      <c r="GF727" s="24"/>
      <c r="GG727" s="24"/>
      <c r="GH727" s="24"/>
      <c r="GX727">
        <v>2016</v>
      </c>
      <c r="GY727">
        <v>31</v>
      </c>
      <c r="GZ727" t="s">
        <v>33</v>
      </c>
      <c r="HA727">
        <v>76455</v>
      </c>
      <c r="HB727">
        <v>74894</v>
      </c>
      <c r="HC727">
        <v>0</v>
      </c>
      <c r="HD727">
        <v>54</v>
      </c>
      <c r="HE727">
        <v>0</v>
      </c>
      <c r="HF727">
        <v>309</v>
      </c>
      <c r="HG727">
        <v>0</v>
      </c>
      <c r="HH727">
        <v>0</v>
      </c>
      <c r="HI727">
        <v>360</v>
      </c>
      <c r="HZ727" s="24">
        <v>2016</v>
      </c>
      <c r="IA727" s="24">
        <v>31</v>
      </c>
      <c r="IB727" s="24" t="s">
        <v>33</v>
      </c>
      <c r="IC727" s="24">
        <v>3860</v>
      </c>
      <c r="ID727" s="24">
        <v>3542</v>
      </c>
    </row>
    <row r="728" spans="9:238" x14ac:dyDescent="0.4">
      <c r="I728" s="305">
        <v>2016</v>
      </c>
      <c r="J728" s="306">
        <v>31</v>
      </c>
      <c r="K728" s="306" t="s">
        <v>33</v>
      </c>
      <c r="L728" s="306">
        <v>76045</v>
      </c>
      <c r="M728" s="306">
        <v>69463</v>
      </c>
      <c r="N728" s="306">
        <v>319</v>
      </c>
      <c r="O728" s="306">
        <v>6582</v>
      </c>
      <c r="P728" s="306">
        <v>449</v>
      </c>
      <c r="Q728" s="306">
        <v>4</v>
      </c>
      <c r="R728" s="296"/>
      <c r="S728" s="296"/>
      <c r="T728" s="296"/>
      <c r="DJ728" s="316">
        <v>2017</v>
      </c>
      <c r="DK728" s="316">
        <v>4</v>
      </c>
      <c r="DL728" s="316" t="s">
        <v>32</v>
      </c>
      <c r="DM728" s="316">
        <v>494</v>
      </c>
      <c r="DP728" s="24"/>
      <c r="DQ728" s="24"/>
      <c r="DR728" s="24"/>
      <c r="DS728" s="24"/>
      <c r="EI728" s="24">
        <v>2022</v>
      </c>
      <c r="EJ728" s="24">
        <v>40</v>
      </c>
      <c r="EK728" s="24" t="s">
        <v>211</v>
      </c>
      <c r="EL728" s="24" t="s">
        <v>247</v>
      </c>
      <c r="EM728" s="24" t="s">
        <v>234</v>
      </c>
      <c r="EN728" s="24">
        <v>8</v>
      </c>
      <c r="EO728" s="24"/>
      <c r="EP728" s="24"/>
      <c r="ES728" s="24">
        <v>2018</v>
      </c>
      <c r="ET728" s="24">
        <v>2</v>
      </c>
      <c r="EU728" s="24" t="s">
        <v>33</v>
      </c>
      <c r="EV728" s="24">
        <v>47496</v>
      </c>
      <c r="FW728" s="24">
        <v>2016</v>
      </c>
      <c r="FX728" s="24">
        <v>30</v>
      </c>
      <c r="FY728" s="24" t="s">
        <v>32</v>
      </c>
      <c r="FZ728" s="24">
        <v>596</v>
      </c>
      <c r="GA728" s="24">
        <v>448</v>
      </c>
      <c r="GD728" s="24"/>
      <c r="GE728" s="24"/>
      <c r="GF728" s="24"/>
      <c r="GG728" s="24"/>
      <c r="GH728" s="24"/>
      <c r="GX728">
        <v>2016</v>
      </c>
      <c r="GY728">
        <v>30</v>
      </c>
      <c r="GZ728" t="s">
        <v>32</v>
      </c>
      <c r="HA728">
        <v>5293</v>
      </c>
      <c r="HB728">
        <v>4983</v>
      </c>
      <c r="HC728">
        <v>0</v>
      </c>
      <c r="HD728">
        <v>66</v>
      </c>
      <c r="HE728">
        <v>0</v>
      </c>
      <c r="HF728">
        <v>44</v>
      </c>
      <c r="HG728">
        <v>0</v>
      </c>
      <c r="HH728">
        <v>0</v>
      </c>
      <c r="HI728">
        <v>66</v>
      </c>
      <c r="HZ728" s="24">
        <v>2016</v>
      </c>
      <c r="IA728" s="24">
        <v>30</v>
      </c>
      <c r="IB728" s="24" t="s">
        <v>32</v>
      </c>
      <c r="IC728" s="24">
        <v>610</v>
      </c>
      <c r="ID728" s="24">
        <v>489</v>
      </c>
    </row>
    <row r="729" spans="9:238" x14ac:dyDescent="0.4">
      <c r="I729" s="305">
        <v>2016</v>
      </c>
      <c r="J729" s="306">
        <v>30</v>
      </c>
      <c r="K729" s="306" t="s">
        <v>32</v>
      </c>
      <c r="L729" s="306">
        <v>4682</v>
      </c>
      <c r="M729" s="306">
        <v>3784</v>
      </c>
      <c r="N729" s="306">
        <v>28</v>
      </c>
      <c r="O729" s="306">
        <v>898</v>
      </c>
      <c r="P729" s="306">
        <v>29</v>
      </c>
      <c r="Q729" s="306"/>
      <c r="R729" s="296"/>
      <c r="S729" s="296"/>
      <c r="T729" s="296"/>
      <c r="DJ729" s="316">
        <v>2017</v>
      </c>
      <c r="DK729" s="316">
        <v>4</v>
      </c>
      <c r="DL729" s="316" t="s">
        <v>33</v>
      </c>
      <c r="DM729" s="316">
        <v>2273</v>
      </c>
      <c r="DP729" s="24"/>
      <c r="DQ729" s="24"/>
      <c r="DR729" s="24"/>
      <c r="DS729" s="24"/>
      <c r="EI729" s="24">
        <v>2022</v>
      </c>
      <c r="EJ729" s="24">
        <v>40</v>
      </c>
      <c r="EK729" s="24" t="s">
        <v>211</v>
      </c>
      <c r="EL729" s="24" t="s">
        <v>247</v>
      </c>
      <c r="EM729" s="24" t="s">
        <v>215</v>
      </c>
      <c r="EN729" s="24">
        <v>4</v>
      </c>
      <c r="EO729" s="24"/>
      <c r="EP729" s="24"/>
      <c r="ES729" s="24">
        <v>2018</v>
      </c>
      <c r="ET729" s="24">
        <v>1</v>
      </c>
      <c r="EU729" s="24" t="s">
        <v>32</v>
      </c>
      <c r="EV729" s="24">
        <v>3213</v>
      </c>
      <c r="FW729" s="24">
        <v>2016</v>
      </c>
      <c r="FX729" s="24">
        <v>30</v>
      </c>
      <c r="FY729" s="24" t="s">
        <v>33</v>
      </c>
      <c r="FZ729" s="24">
        <v>4288</v>
      </c>
      <c r="GA729" s="24">
        <v>3800</v>
      </c>
      <c r="GD729" s="24"/>
      <c r="GE729" s="24"/>
      <c r="GF729" s="24"/>
      <c r="GG729" s="24"/>
      <c r="GH729" s="24"/>
      <c r="GX729">
        <v>2016</v>
      </c>
      <c r="GY729">
        <v>30</v>
      </c>
      <c r="GZ729" t="s">
        <v>33</v>
      </c>
      <c r="HA729">
        <v>80611</v>
      </c>
      <c r="HB729">
        <v>78964</v>
      </c>
      <c r="HC729">
        <v>0</v>
      </c>
      <c r="HD729">
        <v>176</v>
      </c>
      <c r="HE729">
        <v>0</v>
      </c>
      <c r="HF729">
        <v>386</v>
      </c>
      <c r="HG729">
        <v>0</v>
      </c>
      <c r="HH729">
        <v>0</v>
      </c>
      <c r="HI729">
        <v>513</v>
      </c>
      <c r="HZ729" s="24">
        <v>2016</v>
      </c>
      <c r="IA729" s="24">
        <v>30</v>
      </c>
      <c r="IB729" s="24" t="s">
        <v>33</v>
      </c>
      <c r="IC729" s="24">
        <v>4181</v>
      </c>
      <c r="ID729" s="24">
        <v>3921</v>
      </c>
    </row>
    <row r="730" spans="9:238" x14ac:dyDescent="0.4">
      <c r="I730" s="305">
        <v>2016</v>
      </c>
      <c r="J730" s="306">
        <v>30</v>
      </c>
      <c r="K730" s="306" t="s">
        <v>33</v>
      </c>
      <c r="L730" s="306">
        <v>81823</v>
      </c>
      <c r="M730" s="306">
        <v>74637</v>
      </c>
      <c r="N730" s="306">
        <v>208</v>
      </c>
      <c r="O730" s="306">
        <v>7186</v>
      </c>
      <c r="P730" s="306">
        <v>443</v>
      </c>
      <c r="Q730" s="306">
        <v>2</v>
      </c>
      <c r="R730" s="24"/>
      <c r="S730" s="24"/>
      <c r="T730" s="24"/>
      <c r="DJ730" s="24">
        <v>2017</v>
      </c>
      <c r="DK730" s="24">
        <v>3</v>
      </c>
      <c r="DL730" s="24" t="s">
        <v>32</v>
      </c>
      <c r="DM730" s="24">
        <v>234</v>
      </c>
      <c r="DP730" s="24"/>
      <c r="DQ730" s="24"/>
      <c r="DR730" s="24"/>
      <c r="DS730" s="24"/>
      <c r="EI730" s="24">
        <v>2022</v>
      </c>
      <c r="EJ730" s="24">
        <v>39</v>
      </c>
      <c r="EK730" s="24" t="s">
        <v>19</v>
      </c>
      <c r="EL730" s="24" t="s">
        <v>247</v>
      </c>
      <c r="EM730" s="24" t="s">
        <v>210</v>
      </c>
      <c r="EN730" s="24">
        <v>1</v>
      </c>
      <c r="EO730" s="24"/>
      <c r="EP730" s="24"/>
      <c r="ES730" s="24">
        <v>2018</v>
      </c>
      <c r="ET730" s="24">
        <v>1</v>
      </c>
      <c r="EU730" s="24" t="s">
        <v>33</v>
      </c>
      <c r="EV730" s="24">
        <v>45283</v>
      </c>
      <c r="FW730" s="24">
        <v>2016</v>
      </c>
      <c r="FX730" s="24">
        <v>29</v>
      </c>
      <c r="FY730" s="24" t="s">
        <v>32</v>
      </c>
      <c r="FZ730" s="24">
        <v>639</v>
      </c>
      <c r="GA730" s="24">
        <v>575</v>
      </c>
      <c r="GD730" s="24"/>
      <c r="GE730" s="24"/>
      <c r="GF730" s="24"/>
      <c r="GG730" s="24"/>
      <c r="GH730" s="24"/>
      <c r="GX730">
        <v>2016</v>
      </c>
      <c r="GY730">
        <v>29</v>
      </c>
      <c r="GZ730" t="s">
        <v>32</v>
      </c>
      <c r="HA730">
        <v>4415</v>
      </c>
      <c r="HB730">
        <v>4280</v>
      </c>
      <c r="HC730">
        <v>0</v>
      </c>
      <c r="HD730">
        <v>3</v>
      </c>
      <c r="HE730">
        <v>0</v>
      </c>
      <c r="HF730">
        <v>4</v>
      </c>
      <c r="HG730">
        <v>0</v>
      </c>
      <c r="HH730">
        <v>0</v>
      </c>
      <c r="HI730">
        <v>42</v>
      </c>
      <c r="HZ730" s="24">
        <v>2016</v>
      </c>
      <c r="IA730" s="24">
        <v>29</v>
      </c>
      <c r="IB730" s="24" t="s">
        <v>32</v>
      </c>
      <c r="IC730" s="24">
        <v>637</v>
      </c>
      <c r="ID730" s="24">
        <v>619</v>
      </c>
    </row>
    <row r="731" spans="9:238" x14ac:dyDescent="0.4">
      <c r="I731" s="305">
        <v>2016</v>
      </c>
      <c r="J731" s="306">
        <v>29</v>
      </c>
      <c r="K731" s="306" t="s">
        <v>32</v>
      </c>
      <c r="L731" s="306">
        <v>4434</v>
      </c>
      <c r="M731" s="306">
        <v>2712</v>
      </c>
      <c r="N731" s="306">
        <v>47</v>
      </c>
      <c r="O731" s="306">
        <v>1720</v>
      </c>
      <c r="P731" s="306">
        <v>20</v>
      </c>
      <c r="Q731" s="306"/>
      <c r="R731" s="24"/>
      <c r="S731" s="24"/>
      <c r="T731" s="24"/>
      <c r="DJ731" s="24">
        <v>2017</v>
      </c>
      <c r="DK731" s="24">
        <v>3</v>
      </c>
      <c r="DL731" s="24" t="s">
        <v>33</v>
      </c>
      <c r="DM731" s="24">
        <v>1809</v>
      </c>
      <c r="DP731" s="24"/>
      <c r="DQ731" s="24"/>
      <c r="DR731" s="24"/>
      <c r="DS731" s="24"/>
      <c r="EI731" s="24">
        <v>2022</v>
      </c>
      <c r="EJ731" s="24">
        <v>39</v>
      </c>
      <c r="EK731" s="24" t="s">
        <v>208</v>
      </c>
      <c r="EL731" s="24" t="s">
        <v>351</v>
      </c>
      <c r="EM731" s="24" t="s">
        <v>234</v>
      </c>
      <c r="EN731" s="24">
        <v>24</v>
      </c>
      <c r="EO731" s="24"/>
      <c r="EP731" s="24"/>
      <c r="ES731" s="24">
        <v>2017</v>
      </c>
      <c r="ET731" s="24">
        <v>52</v>
      </c>
      <c r="EU731" s="24" t="s">
        <v>32</v>
      </c>
      <c r="EV731" s="24">
        <v>1530</v>
      </c>
      <c r="FW731" s="24">
        <v>2016</v>
      </c>
      <c r="FX731" s="24">
        <v>29</v>
      </c>
      <c r="FY731" s="24" t="s">
        <v>33</v>
      </c>
      <c r="FZ731" s="24">
        <v>4725</v>
      </c>
      <c r="GA731" s="24">
        <v>3955</v>
      </c>
      <c r="GD731" s="24"/>
      <c r="GE731" s="24"/>
      <c r="GF731" s="24"/>
      <c r="GG731" s="24"/>
      <c r="GH731" s="24"/>
      <c r="GX731">
        <v>2016</v>
      </c>
      <c r="GY731">
        <v>29</v>
      </c>
      <c r="GZ731" t="s">
        <v>33</v>
      </c>
      <c r="HA731">
        <v>92716</v>
      </c>
      <c r="HB731">
        <v>89132</v>
      </c>
      <c r="HC731">
        <v>0</v>
      </c>
      <c r="HD731">
        <v>88</v>
      </c>
      <c r="HE731">
        <v>0</v>
      </c>
      <c r="HF731">
        <v>1347</v>
      </c>
      <c r="HG731">
        <v>0</v>
      </c>
      <c r="HH731">
        <v>0</v>
      </c>
      <c r="HI731">
        <v>753</v>
      </c>
      <c r="HZ731" s="24">
        <v>2016</v>
      </c>
      <c r="IA731" s="24">
        <v>29</v>
      </c>
      <c r="IB731" s="24" t="s">
        <v>33</v>
      </c>
      <c r="IC731" s="24">
        <v>4720</v>
      </c>
      <c r="ID731" s="24">
        <v>4172</v>
      </c>
    </row>
    <row r="732" spans="9:238" x14ac:dyDescent="0.4">
      <c r="I732" s="305">
        <v>2016</v>
      </c>
      <c r="J732" s="306">
        <v>29</v>
      </c>
      <c r="K732" s="306" t="s">
        <v>33</v>
      </c>
      <c r="L732" s="306">
        <v>93064</v>
      </c>
      <c r="M732" s="306">
        <v>83838</v>
      </c>
      <c r="N732" s="306">
        <v>455</v>
      </c>
      <c r="O732" s="306">
        <v>9226</v>
      </c>
      <c r="P732" s="306">
        <v>568</v>
      </c>
      <c r="Q732" s="306"/>
      <c r="R732" s="297"/>
      <c r="S732" s="297"/>
      <c r="T732" s="297"/>
      <c r="DJ732" s="24">
        <v>2017</v>
      </c>
      <c r="DK732" s="24">
        <v>2</v>
      </c>
      <c r="DL732" s="24" t="s">
        <v>32</v>
      </c>
      <c r="DM732" s="24">
        <v>301</v>
      </c>
      <c r="DP732" s="24"/>
      <c r="DQ732" s="24"/>
      <c r="DR732" s="24"/>
      <c r="DS732" s="24"/>
      <c r="EI732" s="24">
        <v>2022</v>
      </c>
      <c r="EJ732" s="24">
        <v>39</v>
      </c>
      <c r="EK732" s="24" t="s">
        <v>208</v>
      </c>
      <c r="EL732" s="24" t="s">
        <v>235</v>
      </c>
      <c r="EM732" s="24" t="s">
        <v>210</v>
      </c>
      <c r="EN732" s="24">
        <v>8</v>
      </c>
      <c r="EO732" s="24"/>
      <c r="EP732" s="24"/>
      <c r="ES732" s="24">
        <v>2017</v>
      </c>
      <c r="ET732" s="24">
        <v>52</v>
      </c>
      <c r="EU732" s="24" t="s">
        <v>33</v>
      </c>
      <c r="EV732" s="24">
        <v>43214</v>
      </c>
      <c r="FW732" s="24">
        <v>2016</v>
      </c>
      <c r="FX732" s="24">
        <v>28</v>
      </c>
      <c r="FY732" s="24" t="s">
        <v>32</v>
      </c>
      <c r="FZ732" s="24">
        <v>694</v>
      </c>
      <c r="GA732" s="24">
        <v>591</v>
      </c>
      <c r="GD732" s="24"/>
      <c r="GE732" s="24"/>
      <c r="GF732" s="24"/>
      <c r="GG732" s="24"/>
      <c r="GH732" s="24"/>
      <c r="GX732">
        <v>2016</v>
      </c>
      <c r="GY732">
        <v>28</v>
      </c>
      <c r="GZ732" t="s">
        <v>32</v>
      </c>
      <c r="HA732">
        <v>4394</v>
      </c>
      <c r="HB732">
        <v>4220</v>
      </c>
      <c r="HC732">
        <v>0</v>
      </c>
      <c r="HD732">
        <v>0</v>
      </c>
      <c r="HE732">
        <v>0</v>
      </c>
      <c r="HF732">
        <v>0</v>
      </c>
      <c r="HG732">
        <v>0</v>
      </c>
      <c r="HH732">
        <v>0</v>
      </c>
      <c r="HI732">
        <v>40</v>
      </c>
      <c r="HZ732" s="24">
        <v>2016</v>
      </c>
      <c r="IA732" s="24">
        <v>28</v>
      </c>
      <c r="IB732" s="24" t="s">
        <v>32</v>
      </c>
      <c r="IC732" s="24">
        <v>682</v>
      </c>
      <c r="ID732" s="24">
        <v>616</v>
      </c>
    </row>
    <row r="733" spans="9:238" x14ac:dyDescent="0.4">
      <c r="I733" s="305">
        <v>2016</v>
      </c>
      <c r="J733" s="306">
        <v>28</v>
      </c>
      <c r="K733" s="306" t="s">
        <v>32</v>
      </c>
      <c r="L733" s="306">
        <v>4411</v>
      </c>
      <c r="M733" s="306">
        <v>2799</v>
      </c>
      <c r="N733" s="306">
        <v>47</v>
      </c>
      <c r="O733" s="306">
        <v>1611</v>
      </c>
      <c r="P733" s="306">
        <v>36</v>
      </c>
      <c r="Q733" s="306"/>
      <c r="R733" s="297"/>
      <c r="S733" s="297"/>
      <c r="T733" s="297"/>
      <c r="DJ733" s="24">
        <v>2017</v>
      </c>
      <c r="DK733" s="24">
        <v>2</v>
      </c>
      <c r="DL733" s="24" t="s">
        <v>33</v>
      </c>
      <c r="DM733" s="24">
        <v>2602</v>
      </c>
      <c r="DP733" s="24"/>
      <c r="DQ733" s="24"/>
      <c r="DR733" s="24"/>
      <c r="DS733" s="24"/>
      <c r="EI733" s="24">
        <v>2022</v>
      </c>
      <c r="EJ733" s="24">
        <v>39</v>
      </c>
      <c r="EK733" s="24" t="s">
        <v>208</v>
      </c>
      <c r="EL733" s="24" t="s">
        <v>235</v>
      </c>
      <c r="EM733" s="24" t="s">
        <v>234</v>
      </c>
      <c r="EN733" s="24">
        <v>28</v>
      </c>
      <c r="EO733" s="24"/>
      <c r="EP733" s="24"/>
      <c r="ES733" s="24">
        <v>2017</v>
      </c>
      <c r="ET733" s="24">
        <v>51</v>
      </c>
      <c r="EU733" s="24" t="s">
        <v>32</v>
      </c>
      <c r="EV733" s="24">
        <v>2432</v>
      </c>
      <c r="FW733" s="24">
        <v>2016</v>
      </c>
      <c r="FX733" s="24">
        <v>28</v>
      </c>
      <c r="FY733" s="24" t="s">
        <v>33</v>
      </c>
      <c r="FZ733" s="24">
        <v>4721</v>
      </c>
      <c r="GA733" s="24">
        <v>4184</v>
      </c>
      <c r="GD733" s="24"/>
      <c r="GE733" s="24"/>
      <c r="GF733" s="24"/>
      <c r="GG733" s="24"/>
      <c r="GH733" s="24"/>
      <c r="GX733">
        <v>2016</v>
      </c>
      <c r="GY733">
        <v>28</v>
      </c>
      <c r="GZ733" t="s">
        <v>33</v>
      </c>
      <c r="HA733">
        <v>78995</v>
      </c>
      <c r="HB733">
        <v>77321</v>
      </c>
      <c r="HC733">
        <v>0</v>
      </c>
      <c r="HD733">
        <v>32</v>
      </c>
      <c r="HE733">
        <v>0</v>
      </c>
      <c r="HF733">
        <v>478</v>
      </c>
      <c r="HG733">
        <v>0</v>
      </c>
      <c r="HH733">
        <v>0</v>
      </c>
      <c r="HI733">
        <v>615</v>
      </c>
      <c r="HZ733" s="24">
        <v>2016</v>
      </c>
      <c r="IA733" s="24">
        <v>28</v>
      </c>
      <c r="IB733" s="24" t="s">
        <v>33</v>
      </c>
      <c r="IC733" s="24">
        <v>4818</v>
      </c>
      <c r="ID733" s="24">
        <v>4473</v>
      </c>
    </row>
    <row r="734" spans="9:238" x14ac:dyDescent="0.4">
      <c r="I734" s="305">
        <v>2016</v>
      </c>
      <c r="J734" s="306">
        <v>28</v>
      </c>
      <c r="K734" s="306" t="s">
        <v>33</v>
      </c>
      <c r="L734" s="306">
        <v>77431</v>
      </c>
      <c r="M734" s="306">
        <v>70432</v>
      </c>
      <c r="N734" s="306">
        <v>309</v>
      </c>
      <c r="O734" s="306">
        <v>6999</v>
      </c>
      <c r="P734" s="306">
        <v>638</v>
      </c>
      <c r="Q734" s="306"/>
      <c r="R734" s="297"/>
      <c r="S734" s="297"/>
      <c r="T734" s="297"/>
      <c r="DJ734" s="24">
        <v>2017</v>
      </c>
      <c r="DK734" s="24">
        <v>1</v>
      </c>
      <c r="DL734" s="24" t="s">
        <v>32</v>
      </c>
      <c r="DM734" s="24">
        <v>43</v>
      </c>
      <c r="DP734" s="24"/>
      <c r="DQ734" s="24"/>
      <c r="DR734" s="24"/>
      <c r="DS734" s="24"/>
      <c r="EI734" s="24">
        <v>2022</v>
      </c>
      <c r="EJ734" s="24">
        <v>39</v>
      </c>
      <c r="EK734" s="24" t="s">
        <v>208</v>
      </c>
      <c r="EL734" s="24" t="s">
        <v>235</v>
      </c>
      <c r="EM734" s="24" t="s">
        <v>215</v>
      </c>
      <c r="EN734" s="24">
        <v>14</v>
      </c>
      <c r="EO734" s="24"/>
      <c r="EP734" s="24"/>
      <c r="ES734" s="24">
        <v>2017</v>
      </c>
      <c r="ET734" s="24">
        <v>51</v>
      </c>
      <c r="EU734" s="24" t="s">
        <v>33</v>
      </c>
      <c r="EV734" s="24">
        <v>33251</v>
      </c>
      <c r="FW734" s="24">
        <v>2016</v>
      </c>
      <c r="FX734" s="24">
        <v>27</v>
      </c>
      <c r="FY734" s="24" t="s">
        <v>32</v>
      </c>
      <c r="FZ734" s="24">
        <v>541</v>
      </c>
      <c r="GA734" s="24">
        <v>505</v>
      </c>
      <c r="GD734" s="24"/>
      <c r="GE734" s="24"/>
      <c r="GF734" s="24"/>
      <c r="GG734" s="24"/>
      <c r="GH734" s="24"/>
      <c r="GX734">
        <v>2016</v>
      </c>
      <c r="GY734">
        <v>27</v>
      </c>
      <c r="GZ734" t="s">
        <v>32</v>
      </c>
      <c r="HA734">
        <v>4420</v>
      </c>
      <c r="HB734">
        <v>4270</v>
      </c>
      <c r="HC734">
        <v>0</v>
      </c>
      <c r="HD734">
        <v>1</v>
      </c>
      <c r="HE734">
        <v>0</v>
      </c>
      <c r="HF734">
        <v>0</v>
      </c>
      <c r="HG734">
        <v>0</v>
      </c>
      <c r="HH734">
        <v>0</v>
      </c>
      <c r="HI734">
        <v>46</v>
      </c>
      <c r="HZ734" s="24">
        <v>2016</v>
      </c>
      <c r="IA734" s="24">
        <v>27</v>
      </c>
      <c r="IB734" s="24" t="s">
        <v>32</v>
      </c>
      <c r="IC734" s="24">
        <v>502</v>
      </c>
      <c r="ID734" s="24">
        <v>457</v>
      </c>
    </row>
    <row r="735" spans="9:238" x14ac:dyDescent="0.4">
      <c r="I735" s="305">
        <v>2016</v>
      </c>
      <c r="J735" s="306">
        <v>27</v>
      </c>
      <c r="K735" s="306" t="s">
        <v>32</v>
      </c>
      <c r="L735" s="306">
        <v>4584</v>
      </c>
      <c r="M735" s="306">
        <v>2976</v>
      </c>
      <c r="N735" s="306">
        <v>45</v>
      </c>
      <c r="O735" s="306">
        <v>1608</v>
      </c>
      <c r="P735" s="306">
        <v>23</v>
      </c>
      <c r="Q735" s="306"/>
      <c r="R735" s="297"/>
      <c r="S735" s="297"/>
      <c r="T735" s="297"/>
      <c r="DJ735" s="24">
        <v>2017</v>
      </c>
      <c r="DK735" s="24">
        <v>1</v>
      </c>
      <c r="DL735" s="24" t="s">
        <v>33</v>
      </c>
      <c r="DM735" s="24">
        <v>886</v>
      </c>
      <c r="DP735" s="24"/>
      <c r="DQ735" s="24"/>
      <c r="DR735" s="24"/>
      <c r="DS735" s="24"/>
      <c r="EI735" s="24">
        <v>2022</v>
      </c>
      <c r="EJ735" s="24">
        <v>39</v>
      </c>
      <c r="EK735" s="24" t="s">
        <v>208</v>
      </c>
      <c r="EL735" s="24" t="s">
        <v>209</v>
      </c>
      <c r="EM735" s="24" t="s">
        <v>210</v>
      </c>
      <c r="EN735" s="24">
        <v>6</v>
      </c>
      <c r="EO735" s="24"/>
      <c r="EP735" s="24"/>
      <c r="ES735" s="24">
        <v>2017</v>
      </c>
      <c r="ET735" s="24">
        <v>50</v>
      </c>
      <c r="EU735" s="24" t="s">
        <v>32</v>
      </c>
      <c r="EV735" s="24">
        <v>2422</v>
      </c>
      <c r="FW735" s="24">
        <v>2016</v>
      </c>
      <c r="FX735" s="24">
        <v>27</v>
      </c>
      <c r="FY735" s="24" t="s">
        <v>33</v>
      </c>
      <c r="FZ735" s="24">
        <v>4269</v>
      </c>
      <c r="GA735" s="24">
        <v>3851</v>
      </c>
      <c r="GD735" s="24"/>
      <c r="GE735" s="24"/>
      <c r="GF735" s="24"/>
      <c r="GG735" s="24"/>
      <c r="GH735" s="24"/>
      <c r="GX735">
        <v>2016</v>
      </c>
      <c r="GY735">
        <v>27</v>
      </c>
      <c r="GZ735" t="s">
        <v>33</v>
      </c>
      <c r="HA735">
        <v>78208</v>
      </c>
      <c r="HB735">
        <v>77050</v>
      </c>
      <c r="HC735">
        <v>1</v>
      </c>
      <c r="HD735">
        <v>34</v>
      </c>
      <c r="HE735">
        <v>0</v>
      </c>
      <c r="HF735">
        <v>238</v>
      </c>
      <c r="HG735">
        <v>1</v>
      </c>
      <c r="HH735">
        <v>0</v>
      </c>
      <c r="HI735">
        <v>403</v>
      </c>
      <c r="HZ735" s="24">
        <v>2016</v>
      </c>
      <c r="IA735" s="24">
        <v>27</v>
      </c>
      <c r="IB735" s="24" t="s">
        <v>33</v>
      </c>
      <c r="IC735" s="24">
        <v>4219</v>
      </c>
      <c r="ID735" s="24">
        <v>4004</v>
      </c>
    </row>
    <row r="736" spans="9:238" x14ac:dyDescent="0.4">
      <c r="I736" s="305">
        <v>2016</v>
      </c>
      <c r="J736" s="306">
        <v>27</v>
      </c>
      <c r="K736" s="306" t="s">
        <v>33</v>
      </c>
      <c r="L736" s="306">
        <v>78702</v>
      </c>
      <c r="M736" s="306">
        <v>72268</v>
      </c>
      <c r="N736" s="306">
        <v>223</v>
      </c>
      <c r="O736" s="306">
        <v>6434</v>
      </c>
      <c r="P736" s="306">
        <v>407</v>
      </c>
      <c r="Q736" s="306">
        <v>3</v>
      </c>
      <c r="R736" s="297"/>
      <c r="S736" s="297"/>
      <c r="T736" s="297"/>
      <c r="DJ736" s="24">
        <v>2016</v>
      </c>
      <c r="DK736" s="24">
        <v>52</v>
      </c>
      <c r="DL736" s="24" t="s">
        <v>32</v>
      </c>
      <c r="DM736" s="24">
        <v>25</v>
      </c>
      <c r="DP736" s="24"/>
      <c r="DQ736" s="24"/>
      <c r="DR736" s="24"/>
      <c r="DS736" s="24"/>
      <c r="EI736" s="24">
        <v>2022</v>
      </c>
      <c r="EJ736" s="24">
        <v>39</v>
      </c>
      <c r="EK736" s="24" t="s">
        <v>208</v>
      </c>
      <c r="EL736" s="24" t="s">
        <v>209</v>
      </c>
      <c r="EM736" s="24" t="s">
        <v>234</v>
      </c>
      <c r="EN736" s="24">
        <v>3</v>
      </c>
      <c r="EO736" s="24"/>
      <c r="EP736" s="24"/>
      <c r="ES736" s="24">
        <v>2017</v>
      </c>
      <c r="ET736" s="24">
        <v>50</v>
      </c>
      <c r="EU736" s="24" t="s">
        <v>33</v>
      </c>
      <c r="EV736" s="24">
        <v>49345</v>
      </c>
      <c r="FW736" s="24">
        <v>2016</v>
      </c>
      <c r="FX736" s="24">
        <v>26</v>
      </c>
      <c r="FY736" s="24" t="s">
        <v>32</v>
      </c>
      <c r="FZ736" s="24">
        <v>678</v>
      </c>
      <c r="GA736" s="24">
        <v>621</v>
      </c>
      <c r="GD736" s="24"/>
      <c r="GE736" s="24"/>
      <c r="GF736" s="24"/>
      <c r="GG736" s="24"/>
      <c r="GH736" s="24"/>
      <c r="GX736">
        <v>2016</v>
      </c>
      <c r="GY736">
        <v>26</v>
      </c>
      <c r="GZ736" t="s">
        <v>32</v>
      </c>
      <c r="HA736">
        <v>5091</v>
      </c>
      <c r="HB736">
        <v>4883</v>
      </c>
      <c r="HC736">
        <v>0</v>
      </c>
      <c r="HD736">
        <v>1</v>
      </c>
      <c r="HE736">
        <v>0</v>
      </c>
      <c r="HF736">
        <v>0</v>
      </c>
      <c r="HG736">
        <v>0</v>
      </c>
      <c r="HH736">
        <v>0</v>
      </c>
      <c r="HI736">
        <v>94</v>
      </c>
      <c r="HZ736" s="24">
        <v>2016</v>
      </c>
      <c r="IA736" s="24">
        <v>26</v>
      </c>
      <c r="IB736" s="24" t="s">
        <v>32</v>
      </c>
      <c r="IC736" s="24">
        <v>694</v>
      </c>
      <c r="ID736" s="24">
        <v>656</v>
      </c>
    </row>
    <row r="737" spans="9:238" x14ac:dyDescent="0.4">
      <c r="I737" s="305">
        <v>2016</v>
      </c>
      <c r="J737" s="306">
        <v>26</v>
      </c>
      <c r="K737" s="306" t="s">
        <v>32</v>
      </c>
      <c r="L737" s="306">
        <v>5051</v>
      </c>
      <c r="M737" s="306">
        <v>3666</v>
      </c>
      <c r="N737" s="306">
        <v>53</v>
      </c>
      <c r="O737" s="306">
        <v>1385</v>
      </c>
      <c r="P737" s="306">
        <v>27</v>
      </c>
      <c r="Q737" s="306"/>
      <c r="R737" s="297"/>
      <c r="S737" s="297"/>
      <c r="T737" s="297"/>
      <c r="DJ737" s="24">
        <v>2016</v>
      </c>
      <c r="DK737" s="24">
        <v>52</v>
      </c>
      <c r="DL737" s="24" t="s">
        <v>33</v>
      </c>
      <c r="DM737" s="24">
        <v>1253</v>
      </c>
      <c r="DP737" s="24"/>
      <c r="DQ737" s="24"/>
      <c r="DR737" s="24"/>
      <c r="DS737" s="24"/>
      <c r="EI737" s="24">
        <v>2022</v>
      </c>
      <c r="EJ737" s="24">
        <v>39</v>
      </c>
      <c r="EK737" s="24" t="s">
        <v>208</v>
      </c>
      <c r="EL737" s="24" t="s">
        <v>209</v>
      </c>
      <c r="EM737" s="24" t="s">
        <v>215</v>
      </c>
      <c r="EN737" s="24">
        <v>2</v>
      </c>
      <c r="EO737" s="24"/>
      <c r="EP737" s="24"/>
      <c r="ES737" s="24">
        <v>2017</v>
      </c>
      <c r="ET737" s="24">
        <v>49</v>
      </c>
      <c r="EU737" s="24" t="s">
        <v>32</v>
      </c>
      <c r="EV737" s="24">
        <v>4357</v>
      </c>
      <c r="FW737" s="24">
        <v>2016</v>
      </c>
      <c r="FX737" s="24">
        <v>26</v>
      </c>
      <c r="FY737" s="24" t="s">
        <v>33</v>
      </c>
      <c r="FZ737" s="24">
        <v>3977</v>
      </c>
      <c r="GA737" s="24">
        <v>3589</v>
      </c>
      <c r="GD737" s="24"/>
      <c r="GE737" s="24"/>
      <c r="GF737" s="24"/>
      <c r="GG737" s="24"/>
      <c r="GH737" s="24"/>
      <c r="GX737">
        <v>2016</v>
      </c>
      <c r="GY737">
        <v>26</v>
      </c>
      <c r="GZ737" t="s">
        <v>33</v>
      </c>
      <c r="HA737">
        <v>68591</v>
      </c>
      <c r="HB737">
        <v>67708</v>
      </c>
      <c r="HC737">
        <v>0</v>
      </c>
      <c r="HD737">
        <v>17</v>
      </c>
      <c r="HE737">
        <v>0</v>
      </c>
      <c r="HF737">
        <v>109</v>
      </c>
      <c r="HG737">
        <v>0</v>
      </c>
      <c r="HH737">
        <v>0</v>
      </c>
      <c r="HI737">
        <v>281</v>
      </c>
      <c r="HZ737" s="24">
        <v>2016</v>
      </c>
      <c r="IA737" s="24">
        <v>26</v>
      </c>
      <c r="IB737" s="24" t="s">
        <v>33</v>
      </c>
      <c r="IC737" s="24">
        <v>3733</v>
      </c>
      <c r="ID737" s="24">
        <v>3555</v>
      </c>
    </row>
    <row r="738" spans="9:238" x14ac:dyDescent="0.4">
      <c r="I738" s="305">
        <v>2016</v>
      </c>
      <c r="J738" s="306">
        <v>26</v>
      </c>
      <c r="K738" s="306" t="s">
        <v>33</v>
      </c>
      <c r="L738" s="306">
        <v>67751</v>
      </c>
      <c r="M738" s="306">
        <v>62924</v>
      </c>
      <c r="N738" s="306">
        <v>161</v>
      </c>
      <c r="O738" s="306">
        <v>4826</v>
      </c>
      <c r="P738" s="306">
        <v>338</v>
      </c>
      <c r="Q738" s="306"/>
      <c r="R738" s="297"/>
      <c r="S738" s="297"/>
      <c r="T738" s="297"/>
      <c r="DJ738" s="317">
        <v>2016</v>
      </c>
      <c r="DK738" s="317">
        <v>51</v>
      </c>
      <c r="DL738" s="317" t="s">
        <v>32</v>
      </c>
      <c r="DM738" s="317">
        <v>0</v>
      </c>
      <c r="DP738" s="24"/>
      <c r="DQ738" s="24"/>
      <c r="DR738" s="24"/>
      <c r="DS738" s="24"/>
      <c r="EI738" s="24">
        <v>2022</v>
      </c>
      <c r="EJ738" s="24">
        <v>39</v>
      </c>
      <c r="EK738" s="24" t="s">
        <v>208</v>
      </c>
      <c r="EL738" s="24" t="s">
        <v>247</v>
      </c>
      <c r="EM738" s="24" t="s">
        <v>234</v>
      </c>
      <c r="EN738" s="24">
        <v>3</v>
      </c>
      <c r="EO738" s="24"/>
      <c r="EP738" s="24"/>
      <c r="ES738" s="24">
        <v>2017</v>
      </c>
      <c r="ET738" s="24">
        <v>49</v>
      </c>
      <c r="EU738" s="24" t="s">
        <v>33</v>
      </c>
      <c r="EV738" s="24">
        <v>51916</v>
      </c>
      <c r="FW738" s="24">
        <v>2016</v>
      </c>
      <c r="FX738" s="24">
        <v>25</v>
      </c>
      <c r="FY738" s="24" t="s">
        <v>32</v>
      </c>
      <c r="FZ738" s="24">
        <v>766</v>
      </c>
      <c r="GA738" s="24">
        <v>701</v>
      </c>
      <c r="GD738" s="24"/>
      <c r="GE738" s="24"/>
      <c r="GF738" s="24"/>
      <c r="GG738" s="24"/>
      <c r="GH738" s="24"/>
      <c r="GX738">
        <v>2016</v>
      </c>
      <c r="GY738">
        <v>25</v>
      </c>
      <c r="GZ738" t="s">
        <v>32</v>
      </c>
      <c r="HA738">
        <v>5653</v>
      </c>
      <c r="HB738">
        <v>5448</v>
      </c>
      <c r="HC738">
        <v>0</v>
      </c>
      <c r="HD738">
        <v>0</v>
      </c>
      <c r="HE738">
        <v>0</v>
      </c>
      <c r="HF738">
        <v>8</v>
      </c>
      <c r="HG738">
        <v>0</v>
      </c>
      <c r="HH738">
        <v>0</v>
      </c>
      <c r="HI738">
        <v>65</v>
      </c>
      <c r="HZ738" s="24">
        <v>2016</v>
      </c>
      <c r="IA738" s="24">
        <v>25</v>
      </c>
      <c r="IB738" s="24" t="s">
        <v>32</v>
      </c>
      <c r="IC738" s="24">
        <v>810</v>
      </c>
      <c r="ID738" s="24">
        <v>784</v>
      </c>
    </row>
    <row r="739" spans="9:238" x14ac:dyDescent="0.4">
      <c r="I739" s="305">
        <v>2016</v>
      </c>
      <c r="J739" s="306">
        <v>25</v>
      </c>
      <c r="K739" s="306" t="s">
        <v>32</v>
      </c>
      <c r="L739" s="306">
        <v>5862</v>
      </c>
      <c r="M739" s="306">
        <v>4214</v>
      </c>
      <c r="N739" s="306">
        <v>55</v>
      </c>
      <c r="O739" s="306">
        <v>1648</v>
      </c>
      <c r="P739" s="306">
        <v>36</v>
      </c>
      <c r="Q739" s="306"/>
      <c r="R739" s="297"/>
      <c r="S739" s="297"/>
      <c r="T739" s="297"/>
      <c r="DJ739" s="317">
        <v>2016</v>
      </c>
      <c r="DK739" s="317">
        <v>51</v>
      </c>
      <c r="DL739" s="317" t="s">
        <v>33</v>
      </c>
      <c r="DM739" s="317">
        <v>1770</v>
      </c>
      <c r="DP739" s="24"/>
      <c r="DQ739" s="24"/>
      <c r="DR739" s="24"/>
      <c r="DS739" s="24"/>
      <c r="EI739" s="24">
        <v>2022</v>
      </c>
      <c r="EJ739" s="24">
        <v>39</v>
      </c>
      <c r="EK739" s="24" t="s">
        <v>208</v>
      </c>
      <c r="EL739" s="24" t="s">
        <v>245</v>
      </c>
      <c r="EM739" s="24" t="s">
        <v>234</v>
      </c>
      <c r="EN739" s="24">
        <v>1</v>
      </c>
      <c r="EO739" s="24"/>
      <c r="EP739" s="24"/>
      <c r="ES739" s="24">
        <v>2017</v>
      </c>
      <c r="ET739" s="24">
        <v>48</v>
      </c>
      <c r="EU739" s="24" t="s">
        <v>32</v>
      </c>
      <c r="EV739" s="24">
        <v>2708</v>
      </c>
      <c r="FW739" s="24">
        <v>2016</v>
      </c>
      <c r="FX739" s="24">
        <v>25</v>
      </c>
      <c r="FY739" s="24" t="s">
        <v>33</v>
      </c>
      <c r="FZ739" s="24">
        <v>5925</v>
      </c>
      <c r="GA739" s="24">
        <v>5053</v>
      </c>
      <c r="GD739" s="24"/>
      <c r="GE739" s="24"/>
      <c r="GF739" s="24"/>
      <c r="GG739" s="24"/>
      <c r="GH739" s="24"/>
      <c r="GX739">
        <v>2016</v>
      </c>
      <c r="GY739">
        <v>25</v>
      </c>
      <c r="GZ739" t="s">
        <v>33</v>
      </c>
      <c r="HA739">
        <v>82573</v>
      </c>
      <c r="HB739">
        <v>80254</v>
      </c>
      <c r="HC739">
        <v>0</v>
      </c>
      <c r="HD739">
        <v>56</v>
      </c>
      <c r="HE739">
        <v>0</v>
      </c>
      <c r="HF739">
        <v>661</v>
      </c>
      <c r="HG739">
        <v>0</v>
      </c>
      <c r="HH739">
        <v>0</v>
      </c>
      <c r="HI739">
        <v>656</v>
      </c>
      <c r="HZ739" s="24">
        <v>2016</v>
      </c>
      <c r="IA739" s="24">
        <v>25</v>
      </c>
      <c r="IB739" s="24" t="s">
        <v>33</v>
      </c>
      <c r="IC739" s="24">
        <v>6158</v>
      </c>
      <c r="ID739" s="24">
        <v>5541</v>
      </c>
    </row>
    <row r="740" spans="9:238" x14ac:dyDescent="0.4">
      <c r="I740" s="305">
        <v>2016</v>
      </c>
      <c r="J740" s="306">
        <v>25</v>
      </c>
      <c r="K740" s="306" t="s">
        <v>33</v>
      </c>
      <c r="L740" s="306">
        <v>83844</v>
      </c>
      <c r="M740" s="306">
        <v>74066</v>
      </c>
      <c r="N740" s="306">
        <v>401</v>
      </c>
      <c r="O740" s="306">
        <v>9777</v>
      </c>
      <c r="P740" s="306">
        <v>577</v>
      </c>
      <c r="Q740" s="306">
        <v>7</v>
      </c>
      <c r="R740" s="297"/>
      <c r="S740" s="297"/>
      <c r="T740" s="297"/>
      <c r="DJ740" s="317">
        <v>2016</v>
      </c>
      <c r="DK740" s="317">
        <v>50</v>
      </c>
      <c r="DL740" s="317" t="s">
        <v>32</v>
      </c>
      <c r="DM740" s="317">
        <v>1372</v>
      </c>
      <c r="DP740" s="24"/>
      <c r="DQ740" s="24"/>
      <c r="DR740" s="24"/>
      <c r="DS740" s="24"/>
      <c r="EI740" s="24">
        <v>2022</v>
      </c>
      <c r="EJ740" s="24">
        <v>39</v>
      </c>
      <c r="EK740" s="24" t="s">
        <v>558</v>
      </c>
      <c r="EL740" s="24" t="s">
        <v>557</v>
      </c>
      <c r="EM740" s="24" t="s">
        <v>234</v>
      </c>
      <c r="EN740" s="24">
        <v>1</v>
      </c>
      <c r="EO740" s="24"/>
      <c r="EP740" s="24"/>
      <c r="ES740" s="24">
        <v>2017</v>
      </c>
      <c r="ET740" s="24">
        <v>48</v>
      </c>
      <c r="EU740" s="24" t="s">
        <v>33</v>
      </c>
      <c r="EV740" s="24">
        <v>45743</v>
      </c>
      <c r="FW740" s="24">
        <v>2016</v>
      </c>
      <c r="FX740" s="24">
        <v>24</v>
      </c>
      <c r="FY740" s="24" t="s">
        <v>32</v>
      </c>
      <c r="FZ740" s="24">
        <v>550</v>
      </c>
      <c r="GA740" s="24">
        <v>500</v>
      </c>
      <c r="GD740" s="24"/>
      <c r="GE740" s="24"/>
      <c r="GF740" s="24"/>
      <c r="GG740" s="24"/>
      <c r="GH740" s="24"/>
      <c r="GX740">
        <v>2016</v>
      </c>
      <c r="GY740">
        <v>24</v>
      </c>
      <c r="GZ740" t="s">
        <v>32</v>
      </c>
      <c r="HA740">
        <v>4865</v>
      </c>
      <c r="HB740">
        <v>4720</v>
      </c>
      <c r="HC740">
        <v>0</v>
      </c>
      <c r="HD740">
        <v>1</v>
      </c>
      <c r="HE740">
        <v>0</v>
      </c>
      <c r="HF740">
        <v>0</v>
      </c>
      <c r="HG740">
        <v>0</v>
      </c>
      <c r="HH740">
        <v>0</v>
      </c>
      <c r="HI740">
        <v>53</v>
      </c>
      <c r="HZ740" s="24">
        <v>2016</v>
      </c>
      <c r="IA740" s="24">
        <v>24</v>
      </c>
      <c r="IB740" s="24" t="s">
        <v>32</v>
      </c>
      <c r="IC740" s="24">
        <v>547</v>
      </c>
      <c r="ID740" s="24">
        <v>521</v>
      </c>
    </row>
    <row r="741" spans="9:238" x14ac:dyDescent="0.4">
      <c r="I741" s="305">
        <v>2016</v>
      </c>
      <c r="J741" s="306">
        <v>24</v>
      </c>
      <c r="K741" s="306" t="s">
        <v>32</v>
      </c>
      <c r="L741" s="306">
        <v>4583</v>
      </c>
      <c r="M741" s="306">
        <v>3468</v>
      </c>
      <c r="N741" s="306">
        <v>36</v>
      </c>
      <c r="O741" s="306">
        <v>1115</v>
      </c>
      <c r="P741" s="306">
        <v>11</v>
      </c>
      <c r="Q741" s="306"/>
      <c r="R741" s="297"/>
      <c r="S741" s="297"/>
      <c r="T741" s="297"/>
      <c r="DJ741" s="317">
        <v>2016</v>
      </c>
      <c r="DK741" s="317">
        <v>50</v>
      </c>
      <c r="DL741" s="317" t="s">
        <v>33</v>
      </c>
      <c r="DM741" s="317">
        <v>1418</v>
      </c>
      <c r="DP741" s="24"/>
      <c r="DQ741" s="24"/>
      <c r="DR741" s="24"/>
      <c r="DS741" s="24"/>
      <c r="EI741" s="24">
        <v>2022</v>
      </c>
      <c r="EJ741" s="24">
        <v>39</v>
      </c>
      <c r="EK741" s="24" t="s">
        <v>558</v>
      </c>
      <c r="EL741" s="24" t="s">
        <v>235</v>
      </c>
      <c r="EM741" s="24" t="s">
        <v>234</v>
      </c>
      <c r="EN741" s="24">
        <v>2</v>
      </c>
      <c r="EO741" s="24"/>
      <c r="EP741" s="24"/>
      <c r="ES741" s="24">
        <v>2017</v>
      </c>
      <c r="ET741" s="24">
        <v>47</v>
      </c>
      <c r="EU741" s="24" t="s">
        <v>32</v>
      </c>
      <c r="EV741" s="24">
        <v>2678</v>
      </c>
      <c r="FW741" s="24">
        <v>2016</v>
      </c>
      <c r="FX741" s="24">
        <v>24</v>
      </c>
      <c r="FY741" s="24" t="s">
        <v>33</v>
      </c>
      <c r="FZ741" s="24">
        <v>4233</v>
      </c>
      <c r="GA741" s="24">
        <v>3763</v>
      </c>
      <c r="GD741" s="24"/>
      <c r="GE741" s="24"/>
      <c r="GF741" s="24"/>
      <c r="GG741" s="24"/>
      <c r="GH741" s="24"/>
      <c r="GX741">
        <v>2016</v>
      </c>
      <c r="GY741">
        <v>24</v>
      </c>
      <c r="GZ741" t="s">
        <v>33</v>
      </c>
      <c r="HA741">
        <v>85922</v>
      </c>
      <c r="HB741">
        <v>84293</v>
      </c>
      <c r="HC741">
        <v>0</v>
      </c>
      <c r="HD741">
        <v>72</v>
      </c>
      <c r="HE741">
        <v>0</v>
      </c>
      <c r="HF741">
        <v>431</v>
      </c>
      <c r="HG741">
        <v>0</v>
      </c>
      <c r="HH741">
        <v>0</v>
      </c>
      <c r="HI741">
        <v>515</v>
      </c>
      <c r="HZ741" s="24">
        <v>2016</v>
      </c>
      <c r="IA741" s="24">
        <v>24</v>
      </c>
      <c r="IB741" s="24" t="s">
        <v>33</v>
      </c>
      <c r="IC741" s="24">
        <v>4228</v>
      </c>
      <c r="ID741" s="24">
        <v>3919</v>
      </c>
    </row>
    <row r="742" spans="9:238" x14ac:dyDescent="0.4">
      <c r="I742" s="305">
        <v>2016</v>
      </c>
      <c r="J742" s="306">
        <v>24</v>
      </c>
      <c r="K742" s="306" t="s">
        <v>33</v>
      </c>
      <c r="L742" s="306">
        <v>85911</v>
      </c>
      <c r="M742" s="306">
        <v>79144</v>
      </c>
      <c r="N742" s="306">
        <v>180</v>
      </c>
      <c r="O742" s="306">
        <v>6766</v>
      </c>
      <c r="P742" s="306">
        <v>425</v>
      </c>
      <c r="Q742" s="306">
        <v>8</v>
      </c>
      <c r="R742" s="297"/>
      <c r="S742" s="297"/>
      <c r="T742" s="297"/>
      <c r="DJ742" s="24">
        <v>2016</v>
      </c>
      <c r="DK742" s="24">
        <v>49</v>
      </c>
      <c r="DL742" s="24" t="s">
        <v>32</v>
      </c>
      <c r="DM742" s="24">
        <v>1396</v>
      </c>
      <c r="DP742" s="24"/>
      <c r="DQ742" s="24"/>
      <c r="DR742" s="24"/>
      <c r="DS742" s="24"/>
      <c r="EI742" s="24">
        <v>2022</v>
      </c>
      <c r="EJ742" s="24">
        <v>39</v>
      </c>
      <c r="EK742" s="24" t="s">
        <v>33</v>
      </c>
      <c r="EL742" s="24" t="s">
        <v>242</v>
      </c>
      <c r="EM742" s="24" t="s">
        <v>210</v>
      </c>
      <c r="EN742" s="24">
        <v>1</v>
      </c>
      <c r="EO742" s="24"/>
      <c r="EP742" s="24"/>
      <c r="ES742" s="24">
        <v>2017</v>
      </c>
      <c r="ET742" s="24">
        <v>47</v>
      </c>
      <c r="EU742" s="24" t="s">
        <v>33</v>
      </c>
      <c r="EV742" s="24">
        <v>41315</v>
      </c>
      <c r="FW742" s="24">
        <v>2016</v>
      </c>
      <c r="FX742" s="24">
        <v>23</v>
      </c>
      <c r="FY742" s="24" t="s">
        <v>32</v>
      </c>
      <c r="FZ742" s="24">
        <v>685</v>
      </c>
      <c r="GA742" s="24">
        <v>542</v>
      </c>
      <c r="GD742" s="24"/>
      <c r="GE742" s="24"/>
      <c r="GF742" s="24"/>
      <c r="GG742" s="24"/>
      <c r="GH742" s="24"/>
      <c r="GX742">
        <v>2016</v>
      </c>
      <c r="GY742">
        <v>23</v>
      </c>
      <c r="GZ742" t="s">
        <v>32</v>
      </c>
      <c r="HA742">
        <v>4941</v>
      </c>
      <c r="HB742">
        <v>4642</v>
      </c>
      <c r="HC742">
        <v>0</v>
      </c>
      <c r="HD742">
        <v>11</v>
      </c>
      <c r="HE742">
        <v>0</v>
      </c>
      <c r="HF742">
        <v>18</v>
      </c>
      <c r="HG742">
        <v>0</v>
      </c>
      <c r="HH742">
        <v>0</v>
      </c>
      <c r="HI742">
        <v>138</v>
      </c>
      <c r="HZ742" s="24">
        <v>2016</v>
      </c>
      <c r="IA742" s="24">
        <v>23</v>
      </c>
      <c r="IB742" s="24" t="s">
        <v>32</v>
      </c>
      <c r="IC742" s="24">
        <v>672</v>
      </c>
      <c r="ID742" s="24">
        <v>610</v>
      </c>
    </row>
    <row r="743" spans="9:238" x14ac:dyDescent="0.4">
      <c r="I743" s="305">
        <v>2016</v>
      </c>
      <c r="J743" s="306">
        <v>23</v>
      </c>
      <c r="K743" s="306" t="s">
        <v>32</v>
      </c>
      <c r="L743" s="306">
        <v>5067</v>
      </c>
      <c r="M743" s="306">
        <v>3298</v>
      </c>
      <c r="N743" s="306">
        <v>93</v>
      </c>
      <c r="O743" s="306">
        <v>1769</v>
      </c>
      <c r="P743" s="306">
        <v>45</v>
      </c>
      <c r="Q743" s="306">
        <v>2</v>
      </c>
      <c r="R743" s="297"/>
      <c r="S743" s="297"/>
      <c r="T743" s="297"/>
      <c r="DJ743" s="24">
        <v>2016</v>
      </c>
      <c r="DK743" s="24">
        <v>49</v>
      </c>
      <c r="DL743" s="24" t="s">
        <v>33</v>
      </c>
      <c r="DM743" s="24">
        <v>5470</v>
      </c>
      <c r="DP743" s="24"/>
      <c r="DQ743" s="24"/>
      <c r="DR743" s="24"/>
      <c r="DS743" s="24"/>
      <c r="EI743" s="24">
        <v>2022</v>
      </c>
      <c r="EJ743" s="24">
        <v>39</v>
      </c>
      <c r="EK743" s="24" t="s">
        <v>33</v>
      </c>
      <c r="EL743" s="24" t="s">
        <v>233</v>
      </c>
      <c r="EM743" s="24" t="s">
        <v>210</v>
      </c>
      <c r="EN743" s="24">
        <v>3</v>
      </c>
      <c r="EO743" s="24"/>
      <c r="EP743" s="24"/>
      <c r="ES743" s="24">
        <v>2017</v>
      </c>
      <c r="ET743" s="24">
        <v>46</v>
      </c>
      <c r="EU743" s="24" t="s">
        <v>32</v>
      </c>
      <c r="EV743" s="24">
        <v>2333</v>
      </c>
      <c r="FW743" s="24">
        <v>2016</v>
      </c>
      <c r="FX743" s="24">
        <v>23</v>
      </c>
      <c r="FY743" s="24" t="s">
        <v>33</v>
      </c>
      <c r="FZ743" s="24">
        <v>3908</v>
      </c>
      <c r="GA743" s="24">
        <v>3338</v>
      </c>
      <c r="GD743" s="24"/>
      <c r="GE743" s="24"/>
      <c r="GF743" s="24"/>
      <c r="GG743" s="24"/>
      <c r="GH743" s="24"/>
      <c r="GX743">
        <v>2016</v>
      </c>
      <c r="GY743">
        <v>23</v>
      </c>
      <c r="GZ743" t="s">
        <v>33</v>
      </c>
      <c r="HA743">
        <v>74499</v>
      </c>
      <c r="HB743">
        <v>72988</v>
      </c>
      <c r="HC743">
        <v>0</v>
      </c>
      <c r="HD743">
        <v>137</v>
      </c>
      <c r="HE743">
        <v>0</v>
      </c>
      <c r="HF743">
        <v>172</v>
      </c>
      <c r="HG743">
        <v>0</v>
      </c>
      <c r="HH743">
        <v>0</v>
      </c>
      <c r="HI743">
        <v>570</v>
      </c>
      <c r="HZ743" s="24">
        <v>2016</v>
      </c>
      <c r="IA743" s="24">
        <v>23</v>
      </c>
      <c r="IB743" s="24" t="s">
        <v>33</v>
      </c>
      <c r="IC743" s="24">
        <v>3957</v>
      </c>
      <c r="ID743" s="24">
        <v>3730</v>
      </c>
    </row>
    <row r="744" spans="9:238" x14ac:dyDescent="0.4">
      <c r="I744" s="305">
        <v>2016</v>
      </c>
      <c r="J744" s="306">
        <v>23</v>
      </c>
      <c r="K744" s="306" t="s">
        <v>33</v>
      </c>
      <c r="L744" s="306">
        <v>74130</v>
      </c>
      <c r="M744" s="306">
        <v>67885</v>
      </c>
      <c r="N744" s="306">
        <v>197</v>
      </c>
      <c r="O744" s="306">
        <v>6245</v>
      </c>
      <c r="P744" s="306">
        <v>611</v>
      </c>
      <c r="Q744" s="306">
        <v>1</v>
      </c>
      <c r="R744" s="297"/>
      <c r="S744" s="297"/>
      <c r="T744" s="297"/>
      <c r="DJ744" s="318">
        <v>2016</v>
      </c>
      <c r="DK744" s="318">
        <v>48</v>
      </c>
      <c r="DL744" s="318" t="s">
        <v>32</v>
      </c>
      <c r="DM744" s="318">
        <v>742</v>
      </c>
      <c r="DP744" s="24"/>
      <c r="DQ744" s="24"/>
      <c r="DR744" s="24"/>
      <c r="DS744" s="24"/>
      <c r="EI744" s="24">
        <v>2022</v>
      </c>
      <c r="EJ744" s="24">
        <v>39</v>
      </c>
      <c r="EK744" s="24" t="s">
        <v>33</v>
      </c>
      <c r="EL744" s="24" t="s">
        <v>233</v>
      </c>
      <c r="EM744" s="24" t="s">
        <v>215</v>
      </c>
      <c r="EN744" s="24">
        <v>39</v>
      </c>
      <c r="EO744" s="24"/>
      <c r="EP744" s="24"/>
      <c r="ES744" s="24">
        <v>2017</v>
      </c>
      <c r="ET744" s="24">
        <v>46</v>
      </c>
      <c r="EU744" s="24" t="s">
        <v>33</v>
      </c>
      <c r="EV744" s="24">
        <v>35949</v>
      </c>
      <c r="FW744" s="24">
        <v>2016</v>
      </c>
      <c r="FX744" s="24">
        <v>22</v>
      </c>
      <c r="FY744" s="24" t="s">
        <v>32</v>
      </c>
      <c r="FZ744" s="24">
        <v>616</v>
      </c>
      <c r="GA744" s="24">
        <v>503</v>
      </c>
      <c r="GD744" s="24"/>
      <c r="GE744" s="24"/>
      <c r="GF744" s="24"/>
      <c r="GG744" s="24"/>
      <c r="GH744" s="24"/>
      <c r="GX744">
        <v>2016</v>
      </c>
      <c r="GY744">
        <v>22</v>
      </c>
      <c r="GZ744" t="s">
        <v>32</v>
      </c>
      <c r="HA744">
        <v>5382</v>
      </c>
      <c r="HB744">
        <v>5124</v>
      </c>
      <c r="HC744">
        <v>0</v>
      </c>
      <c r="HD744">
        <v>2</v>
      </c>
      <c r="HE744">
        <v>0</v>
      </c>
      <c r="HF744">
        <v>5</v>
      </c>
      <c r="HG744">
        <v>0</v>
      </c>
      <c r="HH744">
        <v>0</v>
      </c>
      <c r="HI744">
        <v>91</v>
      </c>
      <c r="HZ744" s="24">
        <v>2016</v>
      </c>
      <c r="IA744" s="24">
        <v>22</v>
      </c>
      <c r="IB744" s="24" t="s">
        <v>32</v>
      </c>
      <c r="IC744" s="24">
        <v>601</v>
      </c>
      <c r="ID744" s="24">
        <v>549</v>
      </c>
    </row>
    <row r="745" spans="9:238" x14ac:dyDescent="0.4">
      <c r="I745" s="305">
        <v>2016</v>
      </c>
      <c r="J745" s="306">
        <v>22</v>
      </c>
      <c r="K745" s="306" t="s">
        <v>32</v>
      </c>
      <c r="L745" s="306">
        <v>5374</v>
      </c>
      <c r="M745" s="306">
        <v>4055</v>
      </c>
      <c r="N745" s="306">
        <v>55</v>
      </c>
      <c r="O745" s="306">
        <v>1319</v>
      </c>
      <c r="P745" s="306">
        <v>52</v>
      </c>
      <c r="Q745" s="306"/>
      <c r="R745" s="297"/>
      <c r="S745" s="297"/>
      <c r="T745" s="297"/>
      <c r="DJ745" s="318">
        <v>2016</v>
      </c>
      <c r="DK745" s="318">
        <v>48</v>
      </c>
      <c r="DL745" s="318" t="s">
        <v>33</v>
      </c>
      <c r="DM745" s="318">
        <v>5684</v>
      </c>
      <c r="DP745" s="24"/>
      <c r="DQ745" s="24"/>
      <c r="DR745" s="24"/>
      <c r="DS745" s="24"/>
      <c r="EI745" s="24">
        <v>2022</v>
      </c>
      <c r="EJ745" s="24">
        <v>39</v>
      </c>
      <c r="EK745" s="24" t="s">
        <v>33</v>
      </c>
      <c r="EL745" s="24" t="s">
        <v>244</v>
      </c>
      <c r="EM745" s="24" t="s">
        <v>210</v>
      </c>
      <c r="EN745" s="24">
        <v>10</v>
      </c>
      <c r="EO745" s="24"/>
      <c r="EP745" s="24"/>
      <c r="ES745" s="24">
        <v>2017</v>
      </c>
      <c r="ET745" s="24">
        <v>45</v>
      </c>
      <c r="EU745" s="24" t="s">
        <v>32</v>
      </c>
      <c r="EV745" s="24">
        <v>1520</v>
      </c>
      <c r="FW745" s="24">
        <v>2016</v>
      </c>
      <c r="FX745" s="24">
        <v>22</v>
      </c>
      <c r="FY745" s="24" t="s">
        <v>33</v>
      </c>
      <c r="FZ745" s="24">
        <v>4540</v>
      </c>
      <c r="GA745" s="24">
        <v>3754</v>
      </c>
      <c r="GD745" s="24"/>
      <c r="GE745" s="24"/>
      <c r="GF745" s="24"/>
      <c r="GG745" s="24"/>
      <c r="GH745" s="24"/>
      <c r="GX745">
        <v>2016</v>
      </c>
      <c r="GY745">
        <v>22</v>
      </c>
      <c r="GZ745" t="s">
        <v>33</v>
      </c>
      <c r="HA745">
        <v>81759</v>
      </c>
      <c r="HB745">
        <v>78158</v>
      </c>
      <c r="HC745">
        <v>0</v>
      </c>
      <c r="HD745">
        <v>949</v>
      </c>
      <c r="HE745">
        <v>0</v>
      </c>
      <c r="HF745">
        <v>798</v>
      </c>
      <c r="HG745">
        <v>0</v>
      </c>
      <c r="HH745">
        <v>0</v>
      </c>
      <c r="HI745">
        <v>1642</v>
      </c>
      <c r="HZ745" s="24">
        <v>2016</v>
      </c>
      <c r="IA745" s="24">
        <v>22</v>
      </c>
      <c r="IB745" s="24" t="s">
        <v>33</v>
      </c>
      <c r="IC745" s="24">
        <v>4591</v>
      </c>
      <c r="ID745" s="24">
        <v>3928</v>
      </c>
    </row>
    <row r="746" spans="9:238" x14ac:dyDescent="0.4">
      <c r="I746" s="305">
        <v>2016</v>
      </c>
      <c r="J746" s="306">
        <v>22</v>
      </c>
      <c r="K746" s="306" t="s">
        <v>33</v>
      </c>
      <c r="L746" s="306">
        <v>81796</v>
      </c>
      <c r="M746" s="306">
        <v>73179</v>
      </c>
      <c r="N746" s="306">
        <v>177</v>
      </c>
      <c r="O746" s="306">
        <v>8616</v>
      </c>
      <c r="P746" s="306">
        <v>1220</v>
      </c>
      <c r="Q746" s="306">
        <v>1</v>
      </c>
      <c r="R746" s="297"/>
      <c r="S746" s="297"/>
      <c r="T746" s="297"/>
      <c r="DJ746" s="318">
        <v>2016</v>
      </c>
      <c r="DK746" s="318">
        <v>47</v>
      </c>
      <c r="DL746" s="318" t="s">
        <v>32</v>
      </c>
      <c r="DM746" s="318">
        <v>131</v>
      </c>
      <c r="DP746" s="24"/>
      <c r="DQ746" s="24"/>
      <c r="DR746" s="24"/>
      <c r="DS746" s="24"/>
      <c r="EI746" s="24">
        <v>2022</v>
      </c>
      <c r="EJ746" s="24">
        <v>39</v>
      </c>
      <c r="EK746" s="24" t="s">
        <v>33</v>
      </c>
      <c r="EL746" s="24" t="s">
        <v>238</v>
      </c>
      <c r="EM746" s="24" t="s">
        <v>210</v>
      </c>
      <c r="EN746" s="24">
        <v>34</v>
      </c>
      <c r="EO746" s="24"/>
      <c r="EP746" s="24"/>
      <c r="ES746" s="24">
        <v>2017</v>
      </c>
      <c r="ET746" s="24">
        <v>45</v>
      </c>
      <c r="EU746" s="24" t="s">
        <v>33</v>
      </c>
      <c r="EV746" s="24">
        <v>43986</v>
      </c>
      <c r="FW746" s="24">
        <v>2016</v>
      </c>
      <c r="FX746" s="24">
        <v>21</v>
      </c>
      <c r="FY746" s="24" t="s">
        <v>32</v>
      </c>
      <c r="FZ746" s="24">
        <v>770</v>
      </c>
      <c r="GA746" s="24">
        <v>616</v>
      </c>
      <c r="GD746" s="24"/>
      <c r="GE746" s="24"/>
      <c r="GF746" s="24"/>
      <c r="GG746" s="24"/>
      <c r="GH746" s="24"/>
      <c r="GX746">
        <v>2016</v>
      </c>
      <c r="GY746">
        <v>21</v>
      </c>
      <c r="GZ746" t="s">
        <v>32</v>
      </c>
      <c r="HA746">
        <v>8079</v>
      </c>
      <c r="HB746">
        <v>7293</v>
      </c>
      <c r="HC746">
        <v>0</v>
      </c>
      <c r="HD746">
        <v>4</v>
      </c>
      <c r="HE746">
        <v>0</v>
      </c>
      <c r="HF746">
        <v>7</v>
      </c>
      <c r="HG746">
        <v>0</v>
      </c>
      <c r="HH746">
        <v>0</v>
      </c>
      <c r="HI746">
        <v>238</v>
      </c>
      <c r="HZ746" s="24">
        <v>2016</v>
      </c>
      <c r="IA746" s="24">
        <v>21</v>
      </c>
      <c r="IB746" s="24" t="s">
        <v>32</v>
      </c>
      <c r="IC746" s="24">
        <v>757</v>
      </c>
      <c r="ID746" s="24">
        <v>628</v>
      </c>
    </row>
    <row r="747" spans="9:238" x14ac:dyDescent="0.4">
      <c r="I747" s="305">
        <v>2016</v>
      </c>
      <c r="J747" s="306">
        <v>21</v>
      </c>
      <c r="K747" s="306" t="s">
        <v>32</v>
      </c>
      <c r="L747" s="306">
        <v>8426</v>
      </c>
      <c r="M747" s="306">
        <v>6343</v>
      </c>
      <c r="N747" s="306">
        <v>82</v>
      </c>
      <c r="O747" s="306">
        <v>2083</v>
      </c>
      <c r="P747" s="306">
        <v>78</v>
      </c>
      <c r="Q747" s="306"/>
      <c r="R747" s="297"/>
      <c r="S747" s="297"/>
      <c r="T747" s="297"/>
      <c r="DJ747" s="318">
        <v>2016</v>
      </c>
      <c r="DK747" s="318">
        <v>47</v>
      </c>
      <c r="DL747" s="318" t="s">
        <v>33</v>
      </c>
      <c r="DM747" s="318">
        <v>3285</v>
      </c>
      <c r="DP747" s="24"/>
      <c r="DQ747" s="24"/>
      <c r="DR747" s="24"/>
      <c r="DS747" s="24"/>
      <c r="EI747" s="24">
        <v>2022</v>
      </c>
      <c r="EJ747" s="24">
        <v>39</v>
      </c>
      <c r="EK747" s="24" t="s">
        <v>33</v>
      </c>
      <c r="EL747" s="24" t="s">
        <v>579</v>
      </c>
      <c r="EM747" s="24" t="s">
        <v>210</v>
      </c>
      <c r="EN747" s="24">
        <v>2</v>
      </c>
      <c r="EO747" s="24"/>
      <c r="EP747" s="24"/>
      <c r="ES747" s="24">
        <v>2017</v>
      </c>
      <c r="ET747" s="24">
        <v>44</v>
      </c>
      <c r="EU747" s="24" t="s">
        <v>32</v>
      </c>
      <c r="EV747" s="24">
        <v>4048</v>
      </c>
      <c r="FW747" s="24">
        <v>2016</v>
      </c>
      <c r="FX747" s="24">
        <v>21</v>
      </c>
      <c r="FY747" s="24" t="s">
        <v>33</v>
      </c>
      <c r="FZ747" s="24">
        <v>4235</v>
      </c>
      <c r="GA747" s="24">
        <v>3611</v>
      </c>
      <c r="GD747" s="24"/>
      <c r="GE747" s="24"/>
      <c r="GF747" s="24"/>
      <c r="GG747" s="24"/>
      <c r="GH747" s="24"/>
      <c r="GX747">
        <v>2016</v>
      </c>
      <c r="GY747">
        <v>21</v>
      </c>
      <c r="GZ747" t="s">
        <v>33</v>
      </c>
      <c r="HA747">
        <v>75145</v>
      </c>
      <c r="HB747">
        <v>73488</v>
      </c>
      <c r="HC747">
        <v>0</v>
      </c>
      <c r="HD747">
        <v>95</v>
      </c>
      <c r="HE747">
        <v>0</v>
      </c>
      <c r="HF747">
        <v>268</v>
      </c>
      <c r="HG747">
        <v>0</v>
      </c>
      <c r="HH747">
        <v>0</v>
      </c>
      <c r="HI747">
        <v>525</v>
      </c>
      <c r="HZ747" s="24">
        <v>2016</v>
      </c>
      <c r="IA747" s="24">
        <v>21</v>
      </c>
      <c r="IB747" s="24" t="s">
        <v>33</v>
      </c>
      <c r="IC747" s="24">
        <v>3958</v>
      </c>
      <c r="ID747" s="24">
        <v>3636</v>
      </c>
    </row>
    <row r="748" spans="9:238" x14ac:dyDescent="0.4">
      <c r="I748" s="305">
        <v>2016</v>
      </c>
      <c r="J748" s="306">
        <v>21</v>
      </c>
      <c r="K748" s="306" t="s">
        <v>33</v>
      </c>
      <c r="L748" s="306">
        <v>75680</v>
      </c>
      <c r="M748" s="306">
        <v>69298</v>
      </c>
      <c r="N748" s="306">
        <v>222</v>
      </c>
      <c r="O748" s="306">
        <v>6381</v>
      </c>
      <c r="P748" s="306">
        <v>474</v>
      </c>
      <c r="Q748" s="306"/>
      <c r="R748" s="297"/>
      <c r="S748" s="297"/>
      <c r="T748" s="297"/>
      <c r="DJ748" s="318">
        <v>2016</v>
      </c>
      <c r="DK748" s="318">
        <v>46</v>
      </c>
      <c r="DL748" s="318" t="s">
        <v>32</v>
      </c>
      <c r="DM748" s="318">
        <v>188</v>
      </c>
      <c r="DP748" s="24"/>
      <c r="DQ748" s="24"/>
      <c r="DR748" s="24"/>
      <c r="DS748" s="24"/>
      <c r="EI748" s="24">
        <v>2022</v>
      </c>
      <c r="EJ748" s="24">
        <v>39</v>
      </c>
      <c r="EK748" s="24" t="s">
        <v>237</v>
      </c>
      <c r="EL748" s="24" t="s">
        <v>555</v>
      </c>
      <c r="EM748" s="24" t="s">
        <v>210</v>
      </c>
      <c r="EN748" s="24">
        <v>1</v>
      </c>
      <c r="EO748" s="24"/>
      <c r="EP748" s="24"/>
      <c r="ES748" s="307">
        <v>2017</v>
      </c>
      <c r="ET748" s="307">
        <v>44</v>
      </c>
      <c r="EU748" s="307" t="s">
        <v>33</v>
      </c>
      <c r="EV748" s="307">
        <v>45927</v>
      </c>
      <c r="FW748" s="24">
        <v>2016</v>
      </c>
      <c r="FX748" s="24">
        <v>20</v>
      </c>
      <c r="FY748" s="24" t="s">
        <v>32</v>
      </c>
      <c r="FZ748" s="24">
        <v>839</v>
      </c>
      <c r="GA748" s="24">
        <v>704</v>
      </c>
      <c r="GD748" s="24"/>
      <c r="GE748" s="24"/>
      <c r="GF748" s="24"/>
      <c r="GG748" s="24"/>
      <c r="GH748" s="24"/>
      <c r="GX748">
        <v>2016</v>
      </c>
      <c r="GY748">
        <v>20</v>
      </c>
      <c r="GZ748" t="s">
        <v>32</v>
      </c>
      <c r="HA748">
        <v>6116</v>
      </c>
      <c r="HB748">
        <v>5767</v>
      </c>
      <c r="HC748">
        <v>0</v>
      </c>
      <c r="HD748">
        <v>4</v>
      </c>
      <c r="HE748">
        <v>0</v>
      </c>
      <c r="HF748">
        <v>18</v>
      </c>
      <c r="HG748">
        <v>0</v>
      </c>
      <c r="HH748">
        <v>0</v>
      </c>
      <c r="HI748">
        <v>164</v>
      </c>
      <c r="HZ748" s="24">
        <v>2016</v>
      </c>
      <c r="IA748" s="24">
        <v>20</v>
      </c>
      <c r="IB748" s="24" t="s">
        <v>32</v>
      </c>
      <c r="IC748" s="24">
        <v>884</v>
      </c>
      <c r="ID748" s="24">
        <v>817</v>
      </c>
    </row>
    <row r="749" spans="9:238" x14ac:dyDescent="0.4">
      <c r="I749" s="305">
        <v>2016</v>
      </c>
      <c r="J749" s="306">
        <v>20</v>
      </c>
      <c r="K749" s="306" t="s">
        <v>32</v>
      </c>
      <c r="L749" s="306">
        <v>5597</v>
      </c>
      <c r="M749" s="306">
        <v>4308</v>
      </c>
      <c r="N749" s="306">
        <v>40</v>
      </c>
      <c r="O749" s="306">
        <v>1289</v>
      </c>
      <c r="P749" s="306">
        <v>59</v>
      </c>
      <c r="Q749" s="306"/>
      <c r="R749" s="297"/>
      <c r="S749" s="297"/>
      <c r="T749" s="297"/>
      <c r="DJ749" s="318">
        <v>2016</v>
      </c>
      <c r="DK749" s="318">
        <v>46</v>
      </c>
      <c r="DL749" s="318" t="s">
        <v>33</v>
      </c>
      <c r="DM749" s="318">
        <v>1738</v>
      </c>
      <c r="DP749" s="24"/>
      <c r="DQ749" s="24"/>
      <c r="DR749" s="24"/>
      <c r="DS749" s="24"/>
      <c r="EI749" s="24">
        <v>2022</v>
      </c>
      <c r="EJ749" s="24">
        <v>39</v>
      </c>
      <c r="EK749" s="24" t="s">
        <v>237</v>
      </c>
      <c r="EL749" s="24" t="s">
        <v>557</v>
      </c>
      <c r="EM749" s="24" t="s">
        <v>210</v>
      </c>
      <c r="EN749" s="24">
        <v>5</v>
      </c>
      <c r="EO749" s="24"/>
      <c r="EP749" s="24"/>
      <c r="ES749" s="307">
        <v>2017</v>
      </c>
      <c r="ET749" s="307">
        <v>43</v>
      </c>
      <c r="EU749" s="307" t="s">
        <v>32</v>
      </c>
      <c r="EV749" s="307">
        <v>3161</v>
      </c>
      <c r="FW749" s="24">
        <v>2016</v>
      </c>
      <c r="FX749" s="24">
        <v>20</v>
      </c>
      <c r="FY749" s="24" t="s">
        <v>33</v>
      </c>
      <c r="FZ749" s="24">
        <v>4526</v>
      </c>
      <c r="GA749" s="24">
        <v>3686</v>
      </c>
      <c r="GD749" s="24"/>
      <c r="GE749" s="24"/>
      <c r="GF749" s="24"/>
      <c r="GG749" s="24"/>
      <c r="GH749" s="24"/>
      <c r="GX749">
        <v>2016</v>
      </c>
      <c r="GY749">
        <v>20</v>
      </c>
      <c r="GZ749" t="s">
        <v>33</v>
      </c>
      <c r="HA749">
        <v>92148</v>
      </c>
      <c r="HB749">
        <v>86294</v>
      </c>
      <c r="HC749">
        <v>0</v>
      </c>
      <c r="HD749">
        <v>157</v>
      </c>
      <c r="HE749">
        <v>0</v>
      </c>
      <c r="HF749">
        <v>2490</v>
      </c>
      <c r="HG749">
        <v>0</v>
      </c>
      <c r="HH749">
        <v>0</v>
      </c>
      <c r="HI749">
        <v>1651</v>
      </c>
      <c r="HZ749" s="24">
        <v>2016</v>
      </c>
      <c r="IA749" s="24">
        <v>20</v>
      </c>
      <c r="IB749" s="24" t="s">
        <v>33</v>
      </c>
      <c r="IC749" s="24">
        <v>4839</v>
      </c>
      <c r="ID749" s="24">
        <v>4181</v>
      </c>
    </row>
    <row r="750" spans="9:238" x14ac:dyDescent="0.4">
      <c r="I750" s="305">
        <v>2016</v>
      </c>
      <c r="J750" s="306">
        <v>20</v>
      </c>
      <c r="K750" s="306" t="s">
        <v>33</v>
      </c>
      <c r="L750" s="306">
        <v>91868</v>
      </c>
      <c r="M750" s="306">
        <v>80006</v>
      </c>
      <c r="N750" s="306">
        <v>375</v>
      </c>
      <c r="O750" s="306">
        <v>11856</v>
      </c>
      <c r="P750" s="306">
        <v>728</v>
      </c>
      <c r="Q750" s="306">
        <v>3</v>
      </c>
      <c r="R750" s="297"/>
      <c r="S750" s="297"/>
      <c r="T750" s="297"/>
      <c r="DJ750" s="24">
        <v>2016</v>
      </c>
      <c r="DK750" s="24">
        <v>45</v>
      </c>
      <c r="DL750" s="24" t="s">
        <v>32</v>
      </c>
      <c r="DM750" s="24">
        <v>109</v>
      </c>
      <c r="DP750" s="24"/>
      <c r="DQ750" s="24"/>
      <c r="DR750" s="24"/>
      <c r="DS750" s="24"/>
      <c r="EI750" s="24">
        <v>2022</v>
      </c>
      <c r="EJ750" s="24">
        <v>39</v>
      </c>
      <c r="EK750" s="24" t="s">
        <v>237</v>
      </c>
      <c r="EL750" s="24" t="s">
        <v>557</v>
      </c>
      <c r="EM750" s="24" t="s">
        <v>234</v>
      </c>
      <c r="EN750" s="24">
        <v>2</v>
      </c>
      <c r="EO750" s="24"/>
      <c r="EP750" s="24"/>
      <c r="ES750" s="307">
        <v>2017</v>
      </c>
      <c r="ET750" s="307">
        <v>43</v>
      </c>
      <c r="EU750" s="307" t="s">
        <v>33</v>
      </c>
      <c r="EV750" s="307">
        <v>46558</v>
      </c>
      <c r="FW750" s="24">
        <v>2016</v>
      </c>
      <c r="FX750" s="24">
        <v>19</v>
      </c>
      <c r="FY750" s="24" t="s">
        <v>32</v>
      </c>
      <c r="FZ750" s="24">
        <v>701</v>
      </c>
      <c r="GA750" s="24">
        <v>621</v>
      </c>
      <c r="GD750" s="24"/>
      <c r="GE750" s="24"/>
      <c r="GF750" s="24"/>
      <c r="GG750" s="24"/>
      <c r="GH750" s="24"/>
      <c r="GX750">
        <v>2016</v>
      </c>
      <c r="GY750">
        <v>19</v>
      </c>
      <c r="GZ750" t="s">
        <v>32</v>
      </c>
      <c r="HA750">
        <v>4483</v>
      </c>
      <c r="HB750">
        <v>4301</v>
      </c>
      <c r="HC750">
        <v>0</v>
      </c>
      <c r="HD750">
        <v>1</v>
      </c>
      <c r="HE750">
        <v>0</v>
      </c>
      <c r="HF750">
        <v>3</v>
      </c>
      <c r="HG750">
        <v>0</v>
      </c>
      <c r="HH750">
        <v>0</v>
      </c>
      <c r="HI750">
        <v>85</v>
      </c>
      <c r="HZ750" s="24">
        <v>2016</v>
      </c>
      <c r="IA750" s="24">
        <v>19</v>
      </c>
      <c r="IB750" s="24" t="s">
        <v>32</v>
      </c>
      <c r="IC750" s="24">
        <v>718</v>
      </c>
      <c r="ID750" s="24">
        <v>659</v>
      </c>
    </row>
    <row r="751" spans="9:238" x14ac:dyDescent="0.4">
      <c r="I751" s="305">
        <v>2016</v>
      </c>
      <c r="J751" s="306">
        <v>19</v>
      </c>
      <c r="K751" s="306" t="s">
        <v>32</v>
      </c>
      <c r="L751" s="306">
        <v>4569</v>
      </c>
      <c r="M751" s="306">
        <v>3614</v>
      </c>
      <c r="N751" s="306">
        <v>27</v>
      </c>
      <c r="O751" s="306">
        <v>955</v>
      </c>
      <c r="P751" s="306">
        <v>26</v>
      </c>
      <c r="Q751" s="306"/>
      <c r="R751" s="297"/>
      <c r="S751" s="297"/>
      <c r="T751" s="297"/>
      <c r="DJ751" s="24">
        <v>2016</v>
      </c>
      <c r="DK751" s="24">
        <v>45</v>
      </c>
      <c r="DL751" s="24" t="s">
        <v>33</v>
      </c>
      <c r="DM751" s="24">
        <v>6186</v>
      </c>
      <c r="DP751" s="24"/>
      <c r="DQ751" s="24"/>
      <c r="DR751" s="24"/>
      <c r="DS751" s="24"/>
      <c r="EI751" s="24">
        <v>2022</v>
      </c>
      <c r="EJ751" s="24">
        <v>39</v>
      </c>
      <c r="EK751" s="24" t="s">
        <v>237</v>
      </c>
      <c r="EL751" s="24" t="s">
        <v>557</v>
      </c>
      <c r="EM751" s="24" t="s">
        <v>215</v>
      </c>
      <c r="EN751" s="24">
        <v>4</v>
      </c>
      <c r="EO751" s="24"/>
      <c r="EP751" s="24"/>
      <c r="ES751" s="307">
        <v>2017</v>
      </c>
      <c r="ET751" s="307">
        <v>42</v>
      </c>
      <c r="EU751" s="307" t="s">
        <v>32</v>
      </c>
      <c r="EV751" s="307">
        <v>2083</v>
      </c>
      <c r="FW751" s="24">
        <v>2016</v>
      </c>
      <c r="FX751" s="24">
        <v>19</v>
      </c>
      <c r="FY751" s="24" t="s">
        <v>33</v>
      </c>
      <c r="FZ751" s="24">
        <v>4005</v>
      </c>
      <c r="GA751" s="24">
        <v>3438</v>
      </c>
      <c r="GD751" s="24"/>
      <c r="GE751" s="24"/>
      <c r="GF751" s="24"/>
      <c r="GG751" s="24"/>
      <c r="GH751" s="24"/>
      <c r="GX751">
        <v>2016</v>
      </c>
      <c r="GY751">
        <v>19</v>
      </c>
      <c r="GZ751" t="s">
        <v>33</v>
      </c>
      <c r="HA751">
        <v>76791</v>
      </c>
      <c r="HB751">
        <v>74585</v>
      </c>
      <c r="HC751">
        <v>0</v>
      </c>
      <c r="HD751">
        <v>75</v>
      </c>
      <c r="HE751">
        <v>0</v>
      </c>
      <c r="HF751">
        <v>684</v>
      </c>
      <c r="HG751">
        <v>0</v>
      </c>
      <c r="HH751">
        <v>0</v>
      </c>
      <c r="HI751">
        <v>462</v>
      </c>
      <c r="HZ751" s="24">
        <v>2016</v>
      </c>
      <c r="IA751" s="24">
        <v>19</v>
      </c>
      <c r="IB751" s="24" t="s">
        <v>33</v>
      </c>
      <c r="IC751" s="24">
        <v>3915</v>
      </c>
      <c r="ID751" s="24">
        <v>3535</v>
      </c>
    </row>
    <row r="752" spans="9:238" x14ac:dyDescent="0.4">
      <c r="I752" s="305">
        <v>2016</v>
      </c>
      <c r="J752" s="306">
        <v>19</v>
      </c>
      <c r="K752" s="306" t="s">
        <v>33</v>
      </c>
      <c r="L752" s="306">
        <v>76767</v>
      </c>
      <c r="M752" s="306">
        <v>69815</v>
      </c>
      <c r="N752" s="306">
        <v>122</v>
      </c>
      <c r="O752" s="306">
        <v>6952</v>
      </c>
      <c r="P752" s="306">
        <v>430</v>
      </c>
      <c r="Q752" s="306">
        <v>10</v>
      </c>
      <c r="R752" s="297"/>
      <c r="S752" s="297"/>
      <c r="T752" s="297"/>
      <c r="DJ752" s="24">
        <v>2016</v>
      </c>
      <c r="DK752" s="24">
        <v>44</v>
      </c>
      <c r="DL752" s="24" t="s">
        <v>32</v>
      </c>
      <c r="DM752" s="24">
        <v>46</v>
      </c>
      <c r="DP752" s="24"/>
      <c r="DQ752" s="24"/>
      <c r="DR752" s="24"/>
      <c r="DS752" s="24"/>
      <c r="EI752" s="24">
        <v>2022</v>
      </c>
      <c r="EJ752" s="24">
        <v>39</v>
      </c>
      <c r="EK752" s="24" t="s">
        <v>237</v>
      </c>
      <c r="EL752" s="24" t="s">
        <v>235</v>
      </c>
      <c r="EM752" s="24" t="s">
        <v>210</v>
      </c>
      <c r="EN752" s="24">
        <v>1</v>
      </c>
      <c r="EO752" s="24"/>
      <c r="EP752" s="24"/>
      <c r="ES752" s="307">
        <v>2017</v>
      </c>
      <c r="ET752" s="307">
        <v>42</v>
      </c>
      <c r="EU752" s="307" t="s">
        <v>33</v>
      </c>
      <c r="EV752" s="307">
        <v>49307</v>
      </c>
      <c r="FW752" s="24">
        <v>2016</v>
      </c>
      <c r="FX752" s="24">
        <v>18</v>
      </c>
      <c r="FY752" s="24" t="s">
        <v>32</v>
      </c>
      <c r="FZ752" s="24">
        <v>682</v>
      </c>
      <c r="GA752" s="24">
        <v>627</v>
      </c>
      <c r="GD752" s="24"/>
      <c r="GE752" s="24"/>
      <c r="GF752" s="24"/>
      <c r="GG752" s="24"/>
      <c r="GH752" s="24"/>
      <c r="GX752">
        <v>2016</v>
      </c>
      <c r="GY752">
        <v>18</v>
      </c>
      <c r="GZ752" t="s">
        <v>32</v>
      </c>
      <c r="HA752">
        <v>5002</v>
      </c>
      <c r="HB752">
        <v>4847</v>
      </c>
      <c r="HC752">
        <v>0</v>
      </c>
      <c r="HD752">
        <v>4</v>
      </c>
      <c r="HE752">
        <v>0</v>
      </c>
      <c r="HF752">
        <v>0</v>
      </c>
      <c r="HG752">
        <v>0</v>
      </c>
      <c r="HH752">
        <v>0</v>
      </c>
      <c r="HI752">
        <v>61</v>
      </c>
      <c r="HZ752" s="24">
        <v>2016</v>
      </c>
      <c r="IA752" s="24">
        <v>18</v>
      </c>
      <c r="IB752" s="24" t="s">
        <v>32</v>
      </c>
      <c r="IC752" s="24">
        <v>620</v>
      </c>
      <c r="ID752" s="24">
        <v>588</v>
      </c>
    </row>
    <row r="753" spans="9:238" x14ac:dyDescent="0.4">
      <c r="I753" s="305">
        <v>2016</v>
      </c>
      <c r="J753" s="306">
        <v>18</v>
      </c>
      <c r="K753" s="306" t="s">
        <v>32</v>
      </c>
      <c r="L753" s="306">
        <v>5324</v>
      </c>
      <c r="M753" s="306">
        <v>4873</v>
      </c>
      <c r="N753" s="306">
        <v>22</v>
      </c>
      <c r="O753" s="306">
        <v>451</v>
      </c>
      <c r="P753" s="306">
        <v>45</v>
      </c>
      <c r="Q753" s="306">
        <v>1</v>
      </c>
      <c r="R753" s="297"/>
      <c r="S753" s="297"/>
      <c r="T753" s="297"/>
      <c r="DJ753" s="24">
        <v>2016</v>
      </c>
      <c r="DK753" s="24">
        <v>44</v>
      </c>
      <c r="DL753" s="24" t="s">
        <v>33</v>
      </c>
      <c r="DM753" s="24">
        <v>6125</v>
      </c>
      <c r="DP753" s="24"/>
      <c r="DQ753" s="24"/>
      <c r="DR753" s="24"/>
      <c r="DS753" s="24"/>
      <c r="EI753" s="24">
        <v>2022</v>
      </c>
      <c r="EJ753" s="24">
        <v>39</v>
      </c>
      <c r="EK753" s="24" t="s">
        <v>237</v>
      </c>
      <c r="EL753" s="24" t="s">
        <v>235</v>
      </c>
      <c r="EM753" s="24" t="s">
        <v>215</v>
      </c>
      <c r="EN753" s="24">
        <v>2</v>
      </c>
      <c r="EO753" s="24"/>
      <c r="EP753" s="24"/>
      <c r="ES753" s="307">
        <v>2017</v>
      </c>
      <c r="ET753" s="307">
        <v>41</v>
      </c>
      <c r="EU753" s="307" t="s">
        <v>32</v>
      </c>
      <c r="EV753" s="307">
        <v>2464</v>
      </c>
      <c r="FW753" s="24">
        <v>2016</v>
      </c>
      <c r="FX753" s="24">
        <v>18</v>
      </c>
      <c r="FY753" s="24" t="s">
        <v>33</v>
      </c>
      <c r="FZ753" s="24">
        <v>4057</v>
      </c>
      <c r="GA753" s="24">
        <v>3443</v>
      </c>
      <c r="GD753" s="24"/>
      <c r="GE753" s="24"/>
      <c r="GF753" s="24"/>
      <c r="GG753" s="24"/>
      <c r="GH753" s="24"/>
      <c r="GX753">
        <v>2016</v>
      </c>
      <c r="GY753">
        <v>18</v>
      </c>
      <c r="GZ753" t="s">
        <v>33</v>
      </c>
      <c r="HA753">
        <v>77274</v>
      </c>
      <c r="HB753">
        <v>73767</v>
      </c>
      <c r="HC753">
        <v>0</v>
      </c>
      <c r="HD753">
        <v>193</v>
      </c>
      <c r="HE753">
        <v>0</v>
      </c>
      <c r="HF753">
        <v>1851</v>
      </c>
      <c r="HG753">
        <v>0</v>
      </c>
      <c r="HH753">
        <v>0</v>
      </c>
      <c r="HI753">
        <v>608</v>
      </c>
      <c r="HZ753" s="24">
        <v>2016</v>
      </c>
      <c r="IA753" s="24">
        <v>18</v>
      </c>
      <c r="IB753" s="24" t="s">
        <v>33</v>
      </c>
      <c r="IC753" s="24">
        <v>4054</v>
      </c>
      <c r="ID753" s="24">
        <v>3627</v>
      </c>
    </row>
    <row r="754" spans="9:238" x14ac:dyDescent="0.4">
      <c r="I754" s="305">
        <v>2016</v>
      </c>
      <c r="J754" s="306">
        <v>18</v>
      </c>
      <c r="K754" s="306" t="s">
        <v>33</v>
      </c>
      <c r="L754" s="306">
        <v>76998</v>
      </c>
      <c r="M754" s="306">
        <v>68399</v>
      </c>
      <c r="N754" s="306">
        <v>131</v>
      </c>
      <c r="O754" s="306">
        <v>8593</v>
      </c>
      <c r="P754" s="306">
        <v>473</v>
      </c>
      <c r="Q754" s="306">
        <v>23</v>
      </c>
      <c r="R754" s="297"/>
      <c r="S754" s="297"/>
      <c r="T754" s="297"/>
      <c r="DJ754" s="24">
        <v>2016</v>
      </c>
      <c r="DK754" s="24">
        <v>43</v>
      </c>
      <c r="DL754" s="24" t="s">
        <v>32</v>
      </c>
      <c r="DM754" s="24">
        <v>573</v>
      </c>
      <c r="DP754" s="24"/>
      <c r="DQ754" s="24"/>
      <c r="DR754" s="24"/>
      <c r="DS754" s="24"/>
      <c r="EI754" s="24">
        <v>2022</v>
      </c>
      <c r="EJ754" s="24">
        <v>39</v>
      </c>
      <c r="EK754" s="24" t="s">
        <v>237</v>
      </c>
      <c r="EL754" s="24" t="s">
        <v>247</v>
      </c>
      <c r="EM754" s="24" t="s">
        <v>210</v>
      </c>
      <c r="EN754" s="24">
        <v>3</v>
      </c>
      <c r="EO754" s="24"/>
      <c r="EP754" s="24"/>
      <c r="ES754" s="307">
        <v>2017</v>
      </c>
      <c r="ET754" s="307">
        <v>41</v>
      </c>
      <c r="EU754" s="307" t="s">
        <v>33</v>
      </c>
      <c r="EV754" s="307">
        <v>41162</v>
      </c>
      <c r="FW754" s="24">
        <v>2016</v>
      </c>
      <c r="FX754" s="24">
        <v>17</v>
      </c>
      <c r="FY754" s="24" t="s">
        <v>32</v>
      </c>
      <c r="FZ754" s="24">
        <v>769</v>
      </c>
      <c r="GA754" s="24">
        <v>656</v>
      </c>
      <c r="GD754" s="24"/>
      <c r="GE754" s="24"/>
      <c r="GF754" s="24"/>
      <c r="GG754" s="24"/>
      <c r="GH754" s="24"/>
      <c r="GX754">
        <v>2016</v>
      </c>
      <c r="GY754">
        <v>17</v>
      </c>
      <c r="GZ754" t="s">
        <v>32</v>
      </c>
      <c r="HA754">
        <v>5541</v>
      </c>
      <c r="HB754">
        <v>5290</v>
      </c>
      <c r="HC754">
        <v>0</v>
      </c>
      <c r="HD754">
        <v>4</v>
      </c>
      <c r="HE754">
        <v>0</v>
      </c>
      <c r="HF754">
        <v>32</v>
      </c>
      <c r="HG754">
        <v>0</v>
      </c>
      <c r="HH754">
        <v>0</v>
      </c>
      <c r="HI754">
        <v>82</v>
      </c>
      <c r="HZ754" s="24">
        <v>2016</v>
      </c>
      <c r="IA754" s="24">
        <v>17</v>
      </c>
      <c r="IB754" s="24" t="s">
        <v>32</v>
      </c>
      <c r="IC754" s="24">
        <v>798</v>
      </c>
      <c r="ID754" s="24">
        <v>685</v>
      </c>
    </row>
    <row r="755" spans="9:238" x14ac:dyDescent="0.4">
      <c r="I755" s="305">
        <v>2016</v>
      </c>
      <c r="J755" s="306">
        <v>17</v>
      </c>
      <c r="K755" s="306" t="s">
        <v>32</v>
      </c>
      <c r="L755" s="306">
        <v>5290</v>
      </c>
      <c r="M755" s="306">
        <v>4966</v>
      </c>
      <c r="N755" s="306">
        <v>11</v>
      </c>
      <c r="O755" s="306">
        <v>324</v>
      </c>
      <c r="P755" s="306">
        <v>37</v>
      </c>
      <c r="Q755" s="306"/>
      <c r="R755" s="297"/>
      <c r="S755" s="297"/>
      <c r="T755" s="297"/>
      <c r="DJ755" s="24">
        <v>2016</v>
      </c>
      <c r="DK755" s="24">
        <v>43</v>
      </c>
      <c r="DL755" s="24" t="s">
        <v>33</v>
      </c>
      <c r="DM755" s="24">
        <v>7368</v>
      </c>
      <c r="DP755" s="24"/>
      <c r="DQ755" s="24"/>
      <c r="DR755" s="24"/>
      <c r="DS755" s="24"/>
      <c r="EI755" s="24">
        <v>2022</v>
      </c>
      <c r="EJ755" s="24">
        <v>39</v>
      </c>
      <c r="EK755" s="24" t="s">
        <v>237</v>
      </c>
      <c r="EL755" s="24" t="s">
        <v>247</v>
      </c>
      <c r="EM755" s="24" t="s">
        <v>215</v>
      </c>
      <c r="EN755" s="24">
        <v>1</v>
      </c>
      <c r="EO755" s="24"/>
      <c r="EP755" s="24"/>
      <c r="ES755" s="307">
        <v>2017</v>
      </c>
      <c r="ET755" s="307">
        <v>40</v>
      </c>
      <c r="EU755" s="307" t="s">
        <v>32</v>
      </c>
      <c r="EV755" s="307">
        <v>2502</v>
      </c>
      <c r="FW755" s="24">
        <v>2016</v>
      </c>
      <c r="FX755" s="24">
        <v>17</v>
      </c>
      <c r="FY755" s="24" t="s">
        <v>33</v>
      </c>
      <c r="FZ755" s="24">
        <v>3712</v>
      </c>
      <c r="GA755" s="24">
        <v>3150</v>
      </c>
      <c r="GD755" s="24"/>
      <c r="GE755" s="24"/>
      <c r="GF755" s="24"/>
      <c r="GG755" s="24"/>
      <c r="GH755" s="24"/>
      <c r="GX755">
        <v>2016</v>
      </c>
      <c r="GY755">
        <v>17</v>
      </c>
      <c r="GZ755" t="s">
        <v>33</v>
      </c>
      <c r="HA755">
        <v>78132</v>
      </c>
      <c r="HB755">
        <v>73712</v>
      </c>
      <c r="HC755">
        <v>0</v>
      </c>
      <c r="HD755">
        <v>213</v>
      </c>
      <c r="HE755">
        <v>1</v>
      </c>
      <c r="HF755">
        <v>1258</v>
      </c>
      <c r="HG755">
        <v>0</v>
      </c>
      <c r="HH755">
        <v>0</v>
      </c>
      <c r="HI755">
        <v>693</v>
      </c>
      <c r="HZ755" s="24">
        <v>2016</v>
      </c>
      <c r="IA755" s="24">
        <v>17</v>
      </c>
      <c r="IB755" s="24" t="s">
        <v>33</v>
      </c>
      <c r="IC755" s="24">
        <v>3753</v>
      </c>
      <c r="ID755" s="24">
        <v>3427</v>
      </c>
    </row>
    <row r="756" spans="9:238" x14ac:dyDescent="0.4">
      <c r="I756" s="305">
        <v>2016</v>
      </c>
      <c r="J756" s="306">
        <v>17</v>
      </c>
      <c r="K756" s="306" t="s">
        <v>33</v>
      </c>
      <c r="L756" s="306">
        <v>78895</v>
      </c>
      <c r="M756" s="306">
        <v>69309</v>
      </c>
      <c r="N756" s="306">
        <v>215</v>
      </c>
      <c r="O756" s="306">
        <v>9586</v>
      </c>
      <c r="P756" s="306">
        <v>632</v>
      </c>
      <c r="Q756" s="306">
        <v>9</v>
      </c>
      <c r="R756" s="297"/>
      <c r="S756" s="297"/>
      <c r="T756" s="297"/>
      <c r="DJ756" s="24">
        <v>2016</v>
      </c>
      <c r="DK756" s="24">
        <v>41</v>
      </c>
      <c r="DL756" s="24" t="s">
        <v>32</v>
      </c>
      <c r="DM756" s="24">
        <v>40</v>
      </c>
      <c r="DP756" s="24"/>
      <c r="DQ756" s="24"/>
      <c r="DR756" s="24"/>
      <c r="DS756" s="24"/>
      <c r="EI756" s="24">
        <v>2022</v>
      </c>
      <c r="EJ756" s="24">
        <v>39</v>
      </c>
      <c r="EK756" s="24" t="s">
        <v>211</v>
      </c>
      <c r="EL756" s="24" t="s">
        <v>232</v>
      </c>
      <c r="EM756" s="24" t="s">
        <v>234</v>
      </c>
      <c r="EN756" s="24">
        <v>1</v>
      </c>
      <c r="EO756" s="24"/>
      <c r="EP756" s="24"/>
      <c r="ES756" s="307">
        <v>2017</v>
      </c>
      <c r="ET756" s="307">
        <v>40</v>
      </c>
      <c r="EU756" s="307" t="s">
        <v>33</v>
      </c>
      <c r="EV756" s="307">
        <v>51528</v>
      </c>
      <c r="FW756" s="24">
        <v>2016</v>
      </c>
      <c r="FX756" s="24">
        <v>16</v>
      </c>
      <c r="FY756" s="24" t="s">
        <v>32</v>
      </c>
      <c r="FZ756" s="24">
        <v>701</v>
      </c>
      <c r="GA756" s="24">
        <v>663</v>
      </c>
      <c r="GD756" s="24"/>
      <c r="GE756" s="24"/>
      <c r="GF756" s="24"/>
      <c r="GG756" s="24"/>
      <c r="GH756" s="24"/>
      <c r="GX756">
        <v>2016</v>
      </c>
      <c r="GY756">
        <v>16</v>
      </c>
      <c r="GZ756" t="s">
        <v>32</v>
      </c>
      <c r="HA756">
        <v>4442</v>
      </c>
      <c r="HB756">
        <v>4319</v>
      </c>
      <c r="HC756">
        <v>0</v>
      </c>
      <c r="HD756">
        <v>3</v>
      </c>
      <c r="HE756">
        <v>0</v>
      </c>
      <c r="HF756">
        <v>0</v>
      </c>
      <c r="HG756">
        <v>0</v>
      </c>
      <c r="HH756">
        <v>0</v>
      </c>
      <c r="HI756">
        <v>37</v>
      </c>
      <c r="HZ756" s="24">
        <v>2016</v>
      </c>
      <c r="IA756" s="24">
        <v>16</v>
      </c>
      <c r="IB756" s="24" t="s">
        <v>32</v>
      </c>
      <c r="IC756" s="24">
        <v>690</v>
      </c>
      <c r="ID756" s="24">
        <v>661</v>
      </c>
    </row>
    <row r="757" spans="9:238" x14ac:dyDescent="0.4">
      <c r="I757" s="305">
        <v>2016</v>
      </c>
      <c r="J757" s="306">
        <v>16</v>
      </c>
      <c r="K757" s="306" t="s">
        <v>32</v>
      </c>
      <c r="L757" s="306">
        <v>4434</v>
      </c>
      <c r="M757" s="306">
        <v>4285</v>
      </c>
      <c r="N757" s="306">
        <v>10</v>
      </c>
      <c r="O757" s="306">
        <v>149</v>
      </c>
      <c r="P757" s="306">
        <v>34</v>
      </c>
      <c r="Q757" s="306">
        <v>3</v>
      </c>
      <c r="R757" s="297"/>
      <c r="S757" s="297"/>
      <c r="T757" s="297"/>
      <c r="DJ757" s="24">
        <v>2016</v>
      </c>
      <c r="DK757" s="24">
        <v>41</v>
      </c>
      <c r="DL757" s="24" t="s">
        <v>33</v>
      </c>
      <c r="DM757" s="24">
        <v>13963</v>
      </c>
      <c r="DP757" s="24"/>
      <c r="DQ757" s="24"/>
      <c r="DR757" s="24"/>
      <c r="DS757" s="24"/>
      <c r="EI757" s="24">
        <v>2022</v>
      </c>
      <c r="EJ757" s="24">
        <v>39</v>
      </c>
      <c r="EK757" s="24" t="s">
        <v>211</v>
      </c>
      <c r="EL757" s="24" t="s">
        <v>212</v>
      </c>
      <c r="EM757" s="24" t="s">
        <v>210</v>
      </c>
      <c r="EN757" s="24">
        <v>10</v>
      </c>
      <c r="EO757" s="24"/>
      <c r="EP757" s="24"/>
      <c r="ES757" s="307">
        <v>2017</v>
      </c>
      <c r="ET757" s="307">
        <v>39</v>
      </c>
      <c r="EU757" s="307" t="s">
        <v>32</v>
      </c>
      <c r="EV757" s="307">
        <v>3425</v>
      </c>
      <c r="FW757" s="24">
        <v>2016</v>
      </c>
      <c r="FX757" s="24">
        <v>16</v>
      </c>
      <c r="FY757" s="24" t="s">
        <v>33</v>
      </c>
      <c r="FZ757" s="24">
        <v>4030</v>
      </c>
      <c r="GA757" s="24">
        <v>3482</v>
      </c>
      <c r="GD757" s="24"/>
      <c r="GE757" s="24"/>
      <c r="GF757" s="24"/>
      <c r="GG757" s="24"/>
      <c r="GH757" s="24"/>
      <c r="GX757">
        <v>2016</v>
      </c>
      <c r="GY757">
        <v>16</v>
      </c>
      <c r="GZ757" t="s">
        <v>33</v>
      </c>
      <c r="HA757">
        <v>80508</v>
      </c>
      <c r="HB757">
        <v>75818</v>
      </c>
      <c r="HC757">
        <v>0</v>
      </c>
      <c r="HD757">
        <v>277</v>
      </c>
      <c r="HE757">
        <v>0</v>
      </c>
      <c r="HF757">
        <v>2427</v>
      </c>
      <c r="HG757">
        <v>0</v>
      </c>
      <c r="HH757">
        <v>0</v>
      </c>
      <c r="HI757">
        <v>992</v>
      </c>
      <c r="HZ757" s="24">
        <v>2016</v>
      </c>
      <c r="IA757" s="24">
        <v>16</v>
      </c>
      <c r="IB757" s="24" t="s">
        <v>33</v>
      </c>
      <c r="IC757" s="24">
        <v>4002</v>
      </c>
      <c r="ID757" s="24">
        <v>3557</v>
      </c>
    </row>
    <row r="758" spans="9:238" x14ac:dyDescent="0.4">
      <c r="I758" s="305">
        <v>2016</v>
      </c>
      <c r="J758" s="306">
        <v>16</v>
      </c>
      <c r="K758" s="306" t="s">
        <v>33</v>
      </c>
      <c r="L758" s="306">
        <v>80916</v>
      </c>
      <c r="M758" s="306">
        <v>71995</v>
      </c>
      <c r="N758" s="306">
        <v>223</v>
      </c>
      <c r="O758" s="306">
        <v>8921</v>
      </c>
      <c r="P758" s="306">
        <v>576</v>
      </c>
      <c r="Q758" s="306">
        <v>9</v>
      </c>
      <c r="R758" s="297"/>
      <c r="S758" s="297"/>
      <c r="T758" s="297"/>
      <c r="DJ758" s="24">
        <v>2016</v>
      </c>
      <c r="DK758" s="24">
        <v>40</v>
      </c>
      <c r="DL758" s="24" t="s">
        <v>32</v>
      </c>
      <c r="DM758" s="24">
        <v>993</v>
      </c>
      <c r="DP758" s="24"/>
      <c r="DQ758" s="24"/>
      <c r="DR758" s="24"/>
      <c r="DS758" s="24"/>
      <c r="EI758" s="24">
        <v>2022</v>
      </c>
      <c r="EJ758" s="24">
        <v>39</v>
      </c>
      <c r="EK758" s="24" t="s">
        <v>211</v>
      </c>
      <c r="EL758" s="24" t="s">
        <v>212</v>
      </c>
      <c r="EM758" s="24" t="s">
        <v>234</v>
      </c>
      <c r="EN758" s="24">
        <v>19</v>
      </c>
      <c r="EO758" s="24"/>
      <c r="EP758" s="24"/>
      <c r="ES758" s="24">
        <v>2017</v>
      </c>
      <c r="ET758" s="24">
        <v>39</v>
      </c>
      <c r="EU758" s="24" t="s">
        <v>33</v>
      </c>
      <c r="EV758" s="24">
        <v>47591</v>
      </c>
      <c r="FW758" s="24">
        <v>2016</v>
      </c>
      <c r="FX758" s="24">
        <v>15</v>
      </c>
      <c r="FY758" s="24" t="s">
        <v>32</v>
      </c>
      <c r="FZ758" s="24">
        <v>532</v>
      </c>
      <c r="GA758" s="24">
        <v>507</v>
      </c>
      <c r="GD758" s="24"/>
      <c r="GE758" s="24"/>
      <c r="GF758" s="24"/>
      <c r="GG758" s="24"/>
      <c r="GH758" s="24"/>
      <c r="GX758">
        <v>2016</v>
      </c>
      <c r="GY758">
        <v>15</v>
      </c>
      <c r="GZ758" t="s">
        <v>32</v>
      </c>
      <c r="HA758">
        <v>4413</v>
      </c>
      <c r="HB758">
        <v>4272</v>
      </c>
      <c r="HC758">
        <v>0</v>
      </c>
      <c r="HD758">
        <v>0</v>
      </c>
      <c r="HE758">
        <v>0</v>
      </c>
      <c r="HF758">
        <v>0</v>
      </c>
      <c r="HG758">
        <v>0</v>
      </c>
      <c r="HH758">
        <v>0</v>
      </c>
      <c r="HI758">
        <v>36</v>
      </c>
      <c r="HZ758" s="24">
        <v>2016</v>
      </c>
      <c r="IA758" s="24">
        <v>15</v>
      </c>
      <c r="IB758" s="24" t="s">
        <v>32</v>
      </c>
      <c r="IC758" s="24">
        <v>561</v>
      </c>
      <c r="ID758" s="24">
        <v>530</v>
      </c>
    </row>
    <row r="759" spans="9:238" x14ac:dyDescent="0.4">
      <c r="I759" s="305">
        <v>2016</v>
      </c>
      <c r="J759" s="306">
        <v>15</v>
      </c>
      <c r="K759" s="306" t="s">
        <v>32</v>
      </c>
      <c r="L759" s="306">
        <v>4388</v>
      </c>
      <c r="M759" s="306">
        <v>4204</v>
      </c>
      <c r="N759" s="306">
        <v>7</v>
      </c>
      <c r="O759" s="306">
        <v>184</v>
      </c>
      <c r="P759" s="306">
        <v>25</v>
      </c>
      <c r="Q759" s="306">
        <v>3</v>
      </c>
      <c r="R759" s="297"/>
      <c r="S759" s="297"/>
      <c r="T759" s="297"/>
      <c r="DJ759" s="24">
        <v>2016</v>
      </c>
      <c r="DK759" s="24">
        <v>40</v>
      </c>
      <c r="DL759" s="24" t="s">
        <v>33</v>
      </c>
      <c r="DM759" s="24">
        <v>12183</v>
      </c>
      <c r="DP759" s="24"/>
      <c r="DQ759" s="24"/>
      <c r="DR759" s="24"/>
      <c r="DS759" s="24"/>
      <c r="EI759" s="24">
        <v>2022</v>
      </c>
      <c r="EJ759" s="24">
        <v>39</v>
      </c>
      <c r="EK759" s="24" t="s">
        <v>211</v>
      </c>
      <c r="EL759" s="24" t="s">
        <v>247</v>
      </c>
      <c r="EM759" s="24" t="s">
        <v>210</v>
      </c>
      <c r="EN759" s="24">
        <v>3</v>
      </c>
      <c r="EO759" s="24"/>
      <c r="EP759" s="24"/>
      <c r="ES759" s="24">
        <v>2017</v>
      </c>
      <c r="ET759" s="24">
        <v>38</v>
      </c>
      <c r="EU759" s="24" t="s">
        <v>32</v>
      </c>
      <c r="EV759" s="24">
        <v>2803</v>
      </c>
      <c r="FW759" s="24">
        <v>2016</v>
      </c>
      <c r="FX759" s="24">
        <v>15</v>
      </c>
      <c r="FY759" s="24" t="s">
        <v>33</v>
      </c>
      <c r="FZ759" s="24">
        <v>4378</v>
      </c>
      <c r="GA759" s="24">
        <v>3606</v>
      </c>
      <c r="GD759" s="24"/>
      <c r="GE759" s="24"/>
      <c r="GF759" s="24"/>
      <c r="GG759" s="24"/>
      <c r="GH759" s="24"/>
      <c r="GX759">
        <v>2016</v>
      </c>
      <c r="GY759">
        <v>15</v>
      </c>
      <c r="GZ759" t="s">
        <v>33</v>
      </c>
      <c r="HA759">
        <v>91394</v>
      </c>
      <c r="HB759">
        <v>83408</v>
      </c>
      <c r="HC759">
        <v>0</v>
      </c>
      <c r="HD759">
        <v>277</v>
      </c>
      <c r="HE759">
        <v>0</v>
      </c>
      <c r="HF759">
        <v>3242</v>
      </c>
      <c r="HG759">
        <v>0</v>
      </c>
      <c r="HH759">
        <v>0</v>
      </c>
      <c r="HI759">
        <v>925</v>
      </c>
      <c r="HZ759" s="24">
        <v>2016</v>
      </c>
      <c r="IA759" s="24">
        <v>15</v>
      </c>
      <c r="IB759" s="24" t="s">
        <v>33</v>
      </c>
      <c r="IC759" s="24">
        <v>4254</v>
      </c>
      <c r="ID759" s="24">
        <v>3791</v>
      </c>
    </row>
    <row r="760" spans="9:238" x14ac:dyDescent="0.4">
      <c r="I760" s="305">
        <v>2016</v>
      </c>
      <c r="J760" s="306">
        <v>15</v>
      </c>
      <c r="K760" s="306" t="s">
        <v>33</v>
      </c>
      <c r="L760" s="306">
        <v>91377</v>
      </c>
      <c r="M760" s="306">
        <v>78499</v>
      </c>
      <c r="N760" s="306">
        <v>325</v>
      </c>
      <c r="O760" s="306">
        <v>12865</v>
      </c>
      <c r="P760" s="306">
        <v>537</v>
      </c>
      <c r="Q760" s="306">
        <v>2</v>
      </c>
      <c r="R760" s="297"/>
      <c r="S760" s="297"/>
      <c r="T760" s="297"/>
      <c r="DJ760" s="319">
        <v>2016</v>
      </c>
      <c r="DK760" s="319">
        <v>39</v>
      </c>
      <c r="DL760" s="319" t="s">
        <v>32</v>
      </c>
      <c r="DM760" s="319">
        <v>323</v>
      </c>
      <c r="DP760" s="24"/>
      <c r="DQ760" s="24"/>
      <c r="DR760" s="24"/>
      <c r="DS760" s="24"/>
      <c r="EI760" s="24">
        <v>2022</v>
      </c>
      <c r="EJ760" s="24">
        <v>39</v>
      </c>
      <c r="EK760" s="24" t="s">
        <v>211</v>
      </c>
      <c r="EL760" s="24" t="s">
        <v>247</v>
      </c>
      <c r="EM760" s="24" t="s">
        <v>234</v>
      </c>
      <c r="EN760" s="24">
        <v>4</v>
      </c>
      <c r="EO760" s="24"/>
      <c r="EP760" s="24"/>
      <c r="ES760" s="24">
        <v>2017</v>
      </c>
      <c r="ET760" s="24">
        <v>38</v>
      </c>
      <c r="EU760" s="24" t="s">
        <v>33</v>
      </c>
      <c r="EV760" s="24">
        <v>51140</v>
      </c>
      <c r="FW760" s="24">
        <v>2016</v>
      </c>
      <c r="FX760" s="24">
        <v>14</v>
      </c>
      <c r="FY760" s="24" t="s">
        <v>32</v>
      </c>
      <c r="FZ760" s="24">
        <v>649</v>
      </c>
      <c r="GA760" s="24">
        <v>570</v>
      </c>
      <c r="GD760" s="24"/>
      <c r="GE760" s="24"/>
      <c r="GF760" s="24"/>
      <c r="GG760" s="24"/>
      <c r="GH760" s="24"/>
      <c r="GX760">
        <v>2016</v>
      </c>
      <c r="GY760">
        <v>14</v>
      </c>
      <c r="GZ760" t="s">
        <v>32</v>
      </c>
      <c r="HA760">
        <v>5198</v>
      </c>
      <c r="HB760">
        <v>4921</v>
      </c>
      <c r="HC760">
        <v>0</v>
      </c>
      <c r="HD760">
        <v>83</v>
      </c>
      <c r="HE760">
        <v>0</v>
      </c>
      <c r="HF760">
        <v>2</v>
      </c>
      <c r="HG760">
        <v>0</v>
      </c>
      <c r="HH760">
        <v>0</v>
      </c>
      <c r="HI760">
        <v>112</v>
      </c>
      <c r="HZ760" s="24">
        <v>2016</v>
      </c>
      <c r="IA760" s="24">
        <v>14</v>
      </c>
      <c r="IB760" s="24" t="s">
        <v>32</v>
      </c>
      <c r="IC760" s="24">
        <v>599</v>
      </c>
      <c r="ID760" s="24">
        <v>534</v>
      </c>
    </row>
    <row r="761" spans="9:238" x14ac:dyDescent="0.4">
      <c r="I761" s="305">
        <v>2016</v>
      </c>
      <c r="J761" s="306">
        <v>14</v>
      </c>
      <c r="K761" s="306" t="s">
        <v>32</v>
      </c>
      <c r="L761" s="306">
        <v>5558</v>
      </c>
      <c r="M761" s="306">
        <v>5153</v>
      </c>
      <c r="N761" s="306">
        <v>27</v>
      </c>
      <c r="O761" s="306">
        <v>405</v>
      </c>
      <c r="P761" s="306">
        <v>63</v>
      </c>
      <c r="Q761" s="306"/>
      <c r="R761" s="297"/>
      <c r="S761" s="297"/>
      <c r="T761" s="297"/>
      <c r="DJ761" s="319">
        <v>2016</v>
      </c>
      <c r="DK761" s="319">
        <v>39</v>
      </c>
      <c r="DL761" s="319" t="s">
        <v>33</v>
      </c>
      <c r="DM761" s="319">
        <v>10421</v>
      </c>
      <c r="DP761" s="24"/>
      <c r="DQ761" s="24"/>
      <c r="DR761" s="24"/>
      <c r="DS761" s="24"/>
      <c r="EI761" s="24">
        <v>2022</v>
      </c>
      <c r="EJ761" s="24">
        <v>38</v>
      </c>
      <c r="EK761" s="24" t="s">
        <v>19</v>
      </c>
      <c r="EL761" s="24" t="s">
        <v>247</v>
      </c>
      <c r="EM761" s="24" t="s">
        <v>215</v>
      </c>
      <c r="EN761" s="24">
        <v>6</v>
      </c>
      <c r="EO761" s="24"/>
      <c r="EP761" s="24"/>
      <c r="ES761" s="24">
        <v>2017</v>
      </c>
      <c r="ET761" s="24">
        <v>37</v>
      </c>
      <c r="EU761" s="24" t="s">
        <v>32</v>
      </c>
      <c r="EV761" s="24">
        <v>3362</v>
      </c>
      <c r="FW761" s="24">
        <v>2016</v>
      </c>
      <c r="FX761" s="24">
        <v>14</v>
      </c>
      <c r="FY761" s="24" t="s">
        <v>33</v>
      </c>
      <c r="FZ761" s="24">
        <v>4398</v>
      </c>
      <c r="GA761" s="24">
        <v>3719</v>
      </c>
      <c r="GD761" s="24"/>
      <c r="GE761" s="24"/>
      <c r="GF761" s="24"/>
      <c r="GG761" s="24"/>
      <c r="GH761" s="24"/>
      <c r="GX761">
        <v>2016</v>
      </c>
      <c r="GY761">
        <v>14</v>
      </c>
      <c r="GZ761" t="s">
        <v>33</v>
      </c>
      <c r="HA761">
        <v>82641</v>
      </c>
      <c r="HB761">
        <v>77382</v>
      </c>
      <c r="HC761">
        <v>0</v>
      </c>
      <c r="HD761">
        <v>1222</v>
      </c>
      <c r="HE761">
        <v>0</v>
      </c>
      <c r="HF761">
        <v>1797</v>
      </c>
      <c r="HG761">
        <v>0</v>
      </c>
      <c r="HH761">
        <v>0</v>
      </c>
      <c r="HI761">
        <v>654</v>
      </c>
      <c r="HZ761" s="24">
        <v>2016</v>
      </c>
      <c r="IA761" s="24">
        <v>14</v>
      </c>
      <c r="IB761" s="24" t="s">
        <v>33</v>
      </c>
      <c r="IC761" s="24">
        <v>4433</v>
      </c>
      <c r="ID761" s="24">
        <v>3939</v>
      </c>
    </row>
    <row r="762" spans="9:238" x14ac:dyDescent="0.4">
      <c r="I762" s="305">
        <v>2016</v>
      </c>
      <c r="J762" s="306">
        <v>14</v>
      </c>
      <c r="K762" s="306" t="s">
        <v>33</v>
      </c>
      <c r="L762" s="306">
        <v>84557</v>
      </c>
      <c r="M762" s="306">
        <v>73874</v>
      </c>
      <c r="N762" s="306">
        <v>258</v>
      </c>
      <c r="O762" s="306">
        <v>10679</v>
      </c>
      <c r="P762" s="306">
        <v>541</v>
      </c>
      <c r="Q762" s="306">
        <v>5</v>
      </c>
      <c r="R762" s="297"/>
      <c r="S762" s="297"/>
      <c r="T762" s="297"/>
      <c r="DJ762" s="319">
        <v>2016</v>
      </c>
      <c r="DK762" s="319">
        <v>38</v>
      </c>
      <c r="DL762" s="319" t="s">
        <v>32</v>
      </c>
      <c r="DM762" s="319">
        <v>1244</v>
      </c>
      <c r="DP762" s="24"/>
      <c r="DQ762" s="24"/>
      <c r="DR762" s="24"/>
      <c r="DS762" s="24"/>
      <c r="EI762" s="24">
        <v>2022</v>
      </c>
      <c r="EJ762" s="24">
        <v>38</v>
      </c>
      <c r="EK762" s="24" t="s">
        <v>208</v>
      </c>
      <c r="EL762" s="24" t="s">
        <v>351</v>
      </c>
      <c r="EM762" s="24" t="s">
        <v>234</v>
      </c>
      <c r="EN762" s="24">
        <v>8</v>
      </c>
      <c r="EO762" s="24"/>
      <c r="EP762" s="24"/>
      <c r="ES762" s="308">
        <v>2017</v>
      </c>
      <c r="ET762" s="308">
        <v>37</v>
      </c>
      <c r="EU762" s="308" t="s">
        <v>33</v>
      </c>
      <c r="EV762" s="308">
        <v>48577</v>
      </c>
      <c r="FW762" s="24">
        <v>2016</v>
      </c>
      <c r="FX762" s="24">
        <v>13</v>
      </c>
      <c r="FY762" s="24" t="s">
        <v>32</v>
      </c>
      <c r="FZ762" s="24">
        <v>662</v>
      </c>
      <c r="GA762" s="24">
        <v>528</v>
      </c>
      <c r="GD762" s="24"/>
      <c r="GE762" s="24"/>
      <c r="GF762" s="24"/>
      <c r="GG762" s="24"/>
      <c r="GH762" s="24"/>
      <c r="GX762">
        <v>2016</v>
      </c>
      <c r="GY762">
        <v>13</v>
      </c>
      <c r="GZ762" t="s">
        <v>32</v>
      </c>
      <c r="HA762">
        <v>5305</v>
      </c>
      <c r="HB762">
        <v>4619</v>
      </c>
      <c r="HC762">
        <v>0</v>
      </c>
      <c r="HD762">
        <v>341</v>
      </c>
      <c r="HE762">
        <v>0</v>
      </c>
      <c r="HF762">
        <v>5</v>
      </c>
      <c r="HG762">
        <v>0</v>
      </c>
      <c r="HH762">
        <v>0</v>
      </c>
      <c r="HI762">
        <v>181</v>
      </c>
      <c r="HZ762" s="24">
        <v>2016</v>
      </c>
      <c r="IA762" s="24">
        <v>13</v>
      </c>
      <c r="IB762" s="24" t="s">
        <v>32</v>
      </c>
      <c r="IC762" s="24">
        <v>675</v>
      </c>
      <c r="ID762" s="24">
        <v>524</v>
      </c>
    </row>
    <row r="763" spans="9:238" x14ac:dyDescent="0.4">
      <c r="I763" s="305">
        <v>2016</v>
      </c>
      <c r="J763" s="306">
        <v>13</v>
      </c>
      <c r="K763" s="306" t="s">
        <v>32</v>
      </c>
      <c r="L763" s="306">
        <v>5004</v>
      </c>
      <c r="M763" s="306">
        <v>4426</v>
      </c>
      <c r="N763" s="306">
        <v>39</v>
      </c>
      <c r="O763" s="306">
        <v>577</v>
      </c>
      <c r="P763" s="306">
        <v>84</v>
      </c>
      <c r="Q763" s="306"/>
      <c r="R763" s="297"/>
      <c r="S763" s="297"/>
      <c r="T763" s="297"/>
      <c r="DJ763" s="319">
        <v>2016</v>
      </c>
      <c r="DK763" s="319">
        <v>38</v>
      </c>
      <c r="DL763" s="319" t="s">
        <v>33</v>
      </c>
      <c r="DM763" s="319">
        <v>14385</v>
      </c>
      <c r="DP763" s="24"/>
      <c r="DQ763" s="24"/>
      <c r="DR763" s="24"/>
      <c r="DS763" s="24"/>
      <c r="EI763" s="24">
        <v>2022</v>
      </c>
      <c r="EJ763" s="24">
        <v>38</v>
      </c>
      <c r="EK763" s="24" t="s">
        <v>208</v>
      </c>
      <c r="EL763" s="24" t="s">
        <v>351</v>
      </c>
      <c r="EM763" s="24" t="s">
        <v>215</v>
      </c>
      <c r="EN763" s="24">
        <v>9</v>
      </c>
      <c r="EO763" s="24"/>
      <c r="EP763" s="24"/>
      <c r="ES763" s="308">
        <v>2017</v>
      </c>
      <c r="ET763" s="308">
        <v>36</v>
      </c>
      <c r="EU763" s="308" t="s">
        <v>32</v>
      </c>
      <c r="EV763" s="308">
        <v>2277</v>
      </c>
      <c r="FW763" s="24">
        <v>2016</v>
      </c>
      <c r="FX763" s="24">
        <v>13</v>
      </c>
      <c r="FY763" s="24" t="s">
        <v>33</v>
      </c>
      <c r="FZ763" s="24">
        <v>4073</v>
      </c>
      <c r="GA763" s="24">
        <v>3053</v>
      </c>
      <c r="GD763" s="24"/>
      <c r="GE763" s="24"/>
      <c r="GF763" s="24"/>
      <c r="GG763" s="24"/>
      <c r="GH763" s="24"/>
      <c r="GX763">
        <v>2016</v>
      </c>
      <c r="GY763">
        <v>13</v>
      </c>
      <c r="GZ763" t="s">
        <v>33</v>
      </c>
      <c r="HA763">
        <v>87453</v>
      </c>
      <c r="HB763">
        <v>74814</v>
      </c>
      <c r="HC763">
        <v>0</v>
      </c>
      <c r="HD763">
        <v>2687</v>
      </c>
      <c r="HE763">
        <v>1</v>
      </c>
      <c r="HF763">
        <v>1419</v>
      </c>
      <c r="HG763">
        <v>0</v>
      </c>
      <c r="HH763">
        <v>0</v>
      </c>
      <c r="HI763">
        <v>1302</v>
      </c>
      <c r="HZ763" s="24">
        <v>2016</v>
      </c>
      <c r="IA763" s="24">
        <v>13</v>
      </c>
      <c r="IB763" s="24" t="s">
        <v>33</v>
      </c>
      <c r="IC763" s="24">
        <v>4136</v>
      </c>
      <c r="ID763" s="24">
        <v>3260</v>
      </c>
    </row>
    <row r="764" spans="9:238" x14ac:dyDescent="0.4">
      <c r="I764" s="305">
        <v>2016</v>
      </c>
      <c r="J764" s="306">
        <v>13</v>
      </c>
      <c r="K764" s="306" t="s">
        <v>33</v>
      </c>
      <c r="L764" s="306">
        <v>86483</v>
      </c>
      <c r="M764" s="306">
        <v>70282</v>
      </c>
      <c r="N764" s="306">
        <v>262</v>
      </c>
      <c r="O764" s="306">
        <v>16199</v>
      </c>
      <c r="P764" s="306">
        <v>1097</v>
      </c>
      <c r="Q764" s="306">
        <v>6</v>
      </c>
      <c r="R764" s="297"/>
      <c r="S764" s="297"/>
      <c r="T764" s="297"/>
      <c r="DJ764" s="24">
        <v>2016</v>
      </c>
      <c r="DK764" s="24">
        <v>37</v>
      </c>
      <c r="DL764" s="24" t="s">
        <v>32</v>
      </c>
      <c r="DM764" s="24">
        <v>702</v>
      </c>
      <c r="DP764" s="24"/>
      <c r="DQ764" s="24"/>
      <c r="DR764" s="24"/>
      <c r="DS764" s="24"/>
      <c r="EI764" s="24">
        <v>2022</v>
      </c>
      <c r="EJ764" s="24">
        <v>38</v>
      </c>
      <c r="EK764" s="24" t="s">
        <v>208</v>
      </c>
      <c r="EL764" s="24" t="s">
        <v>235</v>
      </c>
      <c r="EM764" s="24" t="s">
        <v>210</v>
      </c>
      <c r="EN764" s="24">
        <v>40</v>
      </c>
      <c r="EO764" s="24"/>
      <c r="EP764" s="24"/>
      <c r="ES764" s="308">
        <v>2017</v>
      </c>
      <c r="ET764" s="308">
        <v>36</v>
      </c>
      <c r="EU764" s="308" t="s">
        <v>33</v>
      </c>
      <c r="EV764" s="308">
        <v>51379</v>
      </c>
      <c r="FW764" s="24">
        <v>2016</v>
      </c>
      <c r="FX764" s="24">
        <v>12</v>
      </c>
      <c r="FY764" s="24" t="s">
        <v>32</v>
      </c>
      <c r="FZ764" s="24">
        <v>661</v>
      </c>
      <c r="GA764" s="24">
        <v>585</v>
      </c>
      <c r="GD764" s="24"/>
      <c r="GE764" s="24"/>
      <c r="GF764" s="24"/>
      <c r="GG764" s="24"/>
      <c r="GH764" s="24"/>
      <c r="GX764">
        <v>2016</v>
      </c>
      <c r="GY764">
        <v>12</v>
      </c>
      <c r="GZ764" t="s">
        <v>32</v>
      </c>
      <c r="HA764">
        <v>4492</v>
      </c>
      <c r="HB764">
        <v>4074</v>
      </c>
      <c r="HC764">
        <v>0</v>
      </c>
      <c r="HD764">
        <v>193</v>
      </c>
      <c r="HE764">
        <v>0</v>
      </c>
      <c r="HF764">
        <v>1</v>
      </c>
      <c r="HG764">
        <v>0</v>
      </c>
      <c r="HH764">
        <v>0</v>
      </c>
      <c r="HI764">
        <v>95</v>
      </c>
      <c r="HZ764" s="24">
        <v>2016</v>
      </c>
      <c r="IA764" s="24">
        <v>12</v>
      </c>
      <c r="IB764" s="24" t="s">
        <v>32</v>
      </c>
      <c r="IC764" s="24">
        <v>692</v>
      </c>
      <c r="ID764" s="24">
        <v>608</v>
      </c>
    </row>
    <row r="765" spans="9:238" x14ac:dyDescent="0.4">
      <c r="I765" s="305">
        <v>2016</v>
      </c>
      <c r="J765" s="306">
        <v>12</v>
      </c>
      <c r="K765" s="306" t="s">
        <v>32</v>
      </c>
      <c r="L765" s="306">
        <v>4436</v>
      </c>
      <c r="M765" s="306">
        <v>4022</v>
      </c>
      <c r="N765" s="306">
        <v>16</v>
      </c>
      <c r="O765" s="306">
        <v>414</v>
      </c>
      <c r="P765" s="306">
        <v>68</v>
      </c>
      <c r="Q765" s="306"/>
      <c r="R765" s="297"/>
      <c r="S765" s="297"/>
      <c r="T765" s="297"/>
      <c r="DJ765" s="24">
        <v>2016</v>
      </c>
      <c r="DK765" s="24">
        <v>37</v>
      </c>
      <c r="DL765" s="24" t="s">
        <v>33</v>
      </c>
      <c r="DM765" s="24">
        <v>10899</v>
      </c>
      <c r="DP765" s="24"/>
      <c r="DQ765" s="24"/>
      <c r="DR765" s="24"/>
      <c r="DS765" s="24"/>
      <c r="EI765" s="24">
        <v>2022</v>
      </c>
      <c r="EJ765" s="24">
        <v>38</v>
      </c>
      <c r="EK765" s="24" t="s">
        <v>208</v>
      </c>
      <c r="EL765" s="24" t="s">
        <v>235</v>
      </c>
      <c r="EM765" s="24" t="s">
        <v>234</v>
      </c>
      <c r="EN765" s="24">
        <v>26</v>
      </c>
      <c r="EO765" s="24"/>
      <c r="EP765" s="24"/>
      <c r="ES765" s="24">
        <v>2017</v>
      </c>
      <c r="ET765" s="24">
        <v>35</v>
      </c>
      <c r="EU765" s="24" t="s">
        <v>32</v>
      </c>
      <c r="EV765" s="24">
        <v>2321</v>
      </c>
      <c r="FW765" s="24">
        <v>2016</v>
      </c>
      <c r="FX765" s="24">
        <v>12</v>
      </c>
      <c r="FY765" s="24" t="s">
        <v>33</v>
      </c>
      <c r="FZ765" s="24">
        <v>3558</v>
      </c>
      <c r="GA765" s="24">
        <v>2952</v>
      </c>
      <c r="GD765" s="24"/>
      <c r="GE765" s="24"/>
      <c r="GF765" s="24"/>
      <c r="GG765" s="24"/>
      <c r="GH765" s="24"/>
      <c r="GX765">
        <v>2016</v>
      </c>
      <c r="GY765">
        <v>12</v>
      </c>
      <c r="GZ765" t="s">
        <v>33</v>
      </c>
      <c r="HA765">
        <v>81775</v>
      </c>
      <c r="HB765">
        <v>76476</v>
      </c>
      <c r="HC765">
        <v>0</v>
      </c>
      <c r="HD765">
        <v>2355</v>
      </c>
      <c r="HE765">
        <v>0</v>
      </c>
      <c r="HF765">
        <v>1345</v>
      </c>
      <c r="HG765">
        <v>0</v>
      </c>
      <c r="HH765">
        <v>0</v>
      </c>
      <c r="HI765">
        <v>553</v>
      </c>
      <c r="HZ765" s="24">
        <v>2016</v>
      </c>
      <c r="IA765" s="24">
        <v>12</v>
      </c>
      <c r="IB765" s="24" t="s">
        <v>33</v>
      </c>
      <c r="IC765" s="24">
        <v>3612</v>
      </c>
      <c r="ID765" s="24">
        <v>3119</v>
      </c>
    </row>
    <row r="766" spans="9:238" x14ac:dyDescent="0.4">
      <c r="I766" s="305">
        <v>2016</v>
      </c>
      <c r="J766" s="306">
        <v>12</v>
      </c>
      <c r="K766" s="306" t="s">
        <v>33</v>
      </c>
      <c r="L766" s="306">
        <v>80971</v>
      </c>
      <c r="M766" s="306">
        <v>71715</v>
      </c>
      <c r="N766" s="306">
        <v>291</v>
      </c>
      <c r="O766" s="306">
        <v>9252</v>
      </c>
      <c r="P766" s="306">
        <v>643</v>
      </c>
      <c r="Q766" s="306">
        <v>4</v>
      </c>
      <c r="R766" s="297"/>
      <c r="S766" s="297"/>
      <c r="T766" s="297"/>
      <c r="DJ766" s="320">
        <v>2016</v>
      </c>
      <c r="DK766" s="320">
        <v>36</v>
      </c>
      <c r="DL766" s="320" t="s">
        <v>32</v>
      </c>
      <c r="DM766" s="320">
        <v>0</v>
      </c>
      <c r="DP766" s="24"/>
      <c r="DQ766" s="24"/>
      <c r="DR766" s="24"/>
      <c r="DS766" s="24"/>
      <c r="EI766" s="24">
        <v>2022</v>
      </c>
      <c r="EJ766" s="24">
        <v>38</v>
      </c>
      <c r="EK766" s="24" t="s">
        <v>208</v>
      </c>
      <c r="EL766" s="24" t="s">
        <v>235</v>
      </c>
      <c r="EM766" s="24" t="s">
        <v>215</v>
      </c>
      <c r="EN766" s="24">
        <v>22</v>
      </c>
      <c r="EO766" s="24"/>
      <c r="EP766" s="24"/>
      <c r="ES766" s="24">
        <v>2017</v>
      </c>
      <c r="ET766" s="24">
        <v>35</v>
      </c>
      <c r="EU766" s="24" t="s">
        <v>33</v>
      </c>
      <c r="EV766" s="24">
        <v>38272</v>
      </c>
      <c r="FW766" s="24">
        <v>2016</v>
      </c>
      <c r="FX766" s="24">
        <v>11</v>
      </c>
      <c r="FY766" s="24" t="s">
        <v>32</v>
      </c>
      <c r="FZ766" s="24">
        <v>725</v>
      </c>
      <c r="GA766" s="24">
        <v>608</v>
      </c>
      <c r="GD766" s="24"/>
      <c r="GE766" s="24"/>
      <c r="GF766" s="24"/>
      <c r="GG766" s="24"/>
      <c r="GH766" s="24"/>
      <c r="GX766">
        <v>2016</v>
      </c>
      <c r="GY766">
        <v>11</v>
      </c>
      <c r="GZ766" t="s">
        <v>32</v>
      </c>
      <c r="HA766">
        <v>4579</v>
      </c>
      <c r="HB766">
        <v>4158</v>
      </c>
      <c r="HC766">
        <v>0</v>
      </c>
      <c r="HD766">
        <v>211</v>
      </c>
      <c r="HE766">
        <v>0</v>
      </c>
      <c r="HF766">
        <v>2</v>
      </c>
      <c r="HG766">
        <v>0</v>
      </c>
      <c r="HH766">
        <v>0</v>
      </c>
      <c r="HI766">
        <v>108</v>
      </c>
      <c r="HZ766" s="24">
        <v>2016</v>
      </c>
      <c r="IA766" s="24">
        <v>11</v>
      </c>
      <c r="IB766" s="24" t="s">
        <v>32</v>
      </c>
      <c r="IC766" s="24">
        <v>737</v>
      </c>
      <c r="ID766" s="24">
        <v>627</v>
      </c>
    </row>
    <row r="767" spans="9:238" x14ac:dyDescent="0.4">
      <c r="I767" s="305">
        <v>2016</v>
      </c>
      <c r="J767" s="306">
        <v>11</v>
      </c>
      <c r="K767" s="306" t="s">
        <v>32</v>
      </c>
      <c r="L767" s="306">
        <v>4631</v>
      </c>
      <c r="M767" s="306">
        <v>4221</v>
      </c>
      <c r="N767" s="306">
        <v>11</v>
      </c>
      <c r="O767" s="306">
        <v>410</v>
      </c>
      <c r="P767" s="306">
        <v>51</v>
      </c>
      <c r="Q767" s="306">
        <v>3</v>
      </c>
      <c r="R767" s="297"/>
      <c r="S767" s="297"/>
      <c r="T767" s="297"/>
      <c r="DJ767" s="320">
        <v>2016</v>
      </c>
      <c r="DK767" s="320">
        <v>36</v>
      </c>
      <c r="DL767" s="320" t="s">
        <v>33</v>
      </c>
      <c r="DM767" s="320">
        <v>8560</v>
      </c>
      <c r="DP767" s="24"/>
      <c r="DQ767" s="24"/>
      <c r="DR767" s="24"/>
      <c r="DS767" s="24"/>
      <c r="EI767" s="24">
        <v>2022</v>
      </c>
      <c r="EJ767" s="24">
        <v>38</v>
      </c>
      <c r="EK767" s="24" t="s">
        <v>208</v>
      </c>
      <c r="EL767" s="24" t="s">
        <v>209</v>
      </c>
      <c r="EM767" s="24" t="s">
        <v>210</v>
      </c>
      <c r="EN767" s="24">
        <v>9</v>
      </c>
      <c r="EO767" s="24"/>
      <c r="EP767" s="24"/>
      <c r="ES767" s="24">
        <v>2017</v>
      </c>
      <c r="ET767" s="24">
        <v>34</v>
      </c>
      <c r="EU767" s="24" t="s">
        <v>32</v>
      </c>
      <c r="EV767" s="24">
        <v>2909</v>
      </c>
      <c r="FW767" s="24">
        <v>2016</v>
      </c>
      <c r="FX767" s="24">
        <v>11</v>
      </c>
      <c r="FY767" s="24" t="s">
        <v>33</v>
      </c>
      <c r="FZ767" s="24">
        <v>3459</v>
      </c>
      <c r="GA767" s="24">
        <v>2785</v>
      </c>
      <c r="GD767" s="24"/>
      <c r="GE767" s="24"/>
      <c r="GF767" s="24"/>
      <c r="GG767" s="24"/>
      <c r="GH767" s="24"/>
      <c r="GX767">
        <v>2016</v>
      </c>
      <c r="GY767">
        <v>11</v>
      </c>
      <c r="GZ767" t="s">
        <v>33</v>
      </c>
      <c r="HA767">
        <v>97478</v>
      </c>
      <c r="HB767">
        <v>84255</v>
      </c>
      <c r="HC767">
        <v>0</v>
      </c>
      <c r="HD767">
        <v>2365</v>
      </c>
      <c r="HE767">
        <v>0</v>
      </c>
      <c r="HF767">
        <v>5935</v>
      </c>
      <c r="HG767">
        <v>0</v>
      </c>
      <c r="HH767">
        <v>0</v>
      </c>
      <c r="HI767">
        <v>1719</v>
      </c>
      <c r="HZ767" s="24">
        <v>2016</v>
      </c>
      <c r="IA767" s="24">
        <v>11</v>
      </c>
      <c r="IB767" s="24" t="s">
        <v>33</v>
      </c>
      <c r="IC767" s="24">
        <v>3449</v>
      </c>
      <c r="ID767" s="24">
        <v>2900</v>
      </c>
    </row>
    <row r="768" spans="9:238" x14ac:dyDescent="0.4">
      <c r="I768" s="305">
        <v>2016</v>
      </c>
      <c r="J768" s="306">
        <v>11</v>
      </c>
      <c r="K768" s="306" t="s">
        <v>33</v>
      </c>
      <c r="L768" s="306">
        <v>99487</v>
      </c>
      <c r="M768" s="306">
        <v>82021</v>
      </c>
      <c r="N768" s="306">
        <v>453</v>
      </c>
      <c r="O768" s="306">
        <v>17466</v>
      </c>
      <c r="P768" s="306">
        <v>928</v>
      </c>
      <c r="Q768" s="306">
        <v>5</v>
      </c>
      <c r="R768" s="297"/>
      <c r="S768" s="297"/>
      <c r="T768" s="297"/>
      <c r="DJ768" s="320">
        <v>2016</v>
      </c>
      <c r="DK768" s="320">
        <v>34</v>
      </c>
      <c r="DL768" s="320" t="s">
        <v>32</v>
      </c>
      <c r="DM768" s="320">
        <v>55</v>
      </c>
      <c r="DP768" s="24"/>
      <c r="DQ768" s="24"/>
      <c r="DR768" s="24"/>
      <c r="DS768" s="24"/>
      <c r="EI768" s="24">
        <v>2022</v>
      </c>
      <c r="EJ768" s="24">
        <v>38</v>
      </c>
      <c r="EK768" s="24" t="s">
        <v>208</v>
      </c>
      <c r="EL768" s="24" t="s">
        <v>209</v>
      </c>
      <c r="EM768" s="24" t="s">
        <v>234</v>
      </c>
      <c r="EN768" s="24">
        <v>2</v>
      </c>
      <c r="EO768" s="24"/>
      <c r="EP768" s="24"/>
      <c r="ES768" s="24">
        <v>2017</v>
      </c>
      <c r="ET768" s="24">
        <v>34</v>
      </c>
      <c r="EU768" s="24" t="s">
        <v>33</v>
      </c>
      <c r="EV768" s="24">
        <v>51858</v>
      </c>
      <c r="FW768" s="24">
        <v>2016</v>
      </c>
      <c r="FX768" s="24">
        <v>10</v>
      </c>
      <c r="FY768" s="24" t="s">
        <v>32</v>
      </c>
      <c r="FZ768" s="24">
        <v>671</v>
      </c>
      <c r="GA768" s="24">
        <v>575</v>
      </c>
      <c r="GD768" s="24"/>
      <c r="GE768" s="24"/>
      <c r="GF768" s="24"/>
      <c r="GG768" s="24"/>
      <c r="GH768" s="24"/>
      <c r="GX768">
        <v>2016</v>
      </c>
      <c r="GY768">
        <v>10</v>
      </c>
      <c r="GZ768" t="s">
        <v>32</v>
      </c>
      <c r="HA768">
        <v>4976</v>
      </c>
      <c r="HB768">
        <v>4685</v>
      </c>
      <c r="HC768">
        <v>0</v>
      </c>
      <c r="HD768">
        <v>93</v>
      </c>
      <c r="HE768">
        <v>0</v>
      </c>
      <c r="HF768">
        <v>7</v>
      </c>
      <c r="HG768">
        <v>0</v>
      </c>
      <c r="HH768">
        <v>0</v>
      </c>
      <c r="HI768">
        <v>116</v>
      </c>
      <c r="HZ768" s="24">
        <v>2016</v>
      </c>
      <c r="IA768" s="24">
        <v>10</v>
      </c>
      <c r="IB768" s="24" t="s">
        <v>32</v>
      </c>
      <c r="IC768" s="24">
        <v>647</v>
      </c>
      <c r="ID768" s="24">
        <v>551</v>
      </c>
    </row>
    <row r="769" spans="9:238" x14ac:dyDescent="0.4">
      <c r="I769" s="305">
        <v>2016</v>
      </c>
      <c r="J769" s="306">
        <v>10</v>
      </c>
      <c r="K769" s="306" t="s">
        <v>32</v>
      </c>
      <c r="L769" s="306">
        <v>4999</v>
      </c>
      <c r="M769" s="306">
        <v>4713</v>
      </c>
      <c r="N769" s="306">
        <v>41</v>
      </c>
      <c r="O769" s="306">
        <v>286</v>
      </c>
      <c r="P769" s="306">
        <v>72</v>
      </c>
      <c r="Q769" s="306"/>
      <c r="R769" s="297"/>
      <c r="S769" s="297"/>
      <c r="T769" s="297"/>
      <c r="DJ769" s="320">
        <v>2016</v>
      </c>
      <c r="DK769" s="320">
        <v>34</v>
      </c>
      <c r="DL769" s="320" t="s">
        <v>33</v>
      </c>
      <c r="DM769" s="320">
        <v>10855</v>
      </c>
      <c r="DP769" s="24"/>
      <c r="DQ769" s="24"/>
      <c r="DR769" s="24"/>
      <c r="DS769" s="24"/>
      <c r="EI769" s="24">
        <v>2022</v>
      </c>
      <c r="EJ769" s="24">
        <v>38</v>
      </c>
      <c r="EK769" s="24" t="s">
        <v>558</v>
      </c>
      <c r="EL769" s="24" t="s">
        <v>555</v>
      </c>
      <c r="EM769" s="24" t="s">
        <v>210</v>
      </c>
      <c r="EN769" s="24">
        <v>6</v>
      </c>
      <c r="EO769" s="24"/>
      <c r="EP769" s="24"/>
      <c r="ES769" s="24">
        <v>2017</v>
      </c>
      <c r="ET769" s="24">
        <v>33</v>
      </c>
      <c r="EU769" s="24" t="s">
        <v>32</v>
      </c>
      <c r="EV769" s="24">
        <v>3500</v>
      </c>
      <c r="FW769" s="24">
        <v>2016</v>
      </c>
      <c r="FX769" s="24">
        <v>10</v>
      </c>
      <c r="FY769" s="24" t="s">
        <v>33</v>
      </c>
      <c r="FZ769" s="24">
        <v>3552</v>
      </c>
      <c r="GA769" s="24">
        <v>2755</v>
      </c>
      <c r="GD769" s="24"/>
      <c r="GE769" s="24"/>
      <c r="GF769" s="24"/>
      <c r="GG769" s="24"/>
      <c r="GH769" s="24"/>
      <c r="GX769">
        <v>2016</v>
      </c>
      <c r="GY769">
        <v>10</v>
      </c>
      <c r="GZ769" t="s">
        <v>33</v>
      </c>
      <c r="HA769">
        <v>83354</v>
      </c>
      <c r="HB769">
        <v>76944</v>
      </c>
      <c r="HC769">
        <v>0</v>
      </c>
      <c r="HD769">
        <v>2268</v>
      </c>
      <c r="HE769">
        <v>0</v>
      </c>
      <c r="HF769">
        <v>1508</v>
      </c>
      <c r="HG769">
        <v>0</v>
      </c>
      <c r="HH769">
        <v>0</v>
      </c>
      <c r="HI769">
        <v>612</v>
      </c>
      <c r="HZ769" s="24">
        <v>2016</v>
      </c>
      <c r="IA769" s="24">
        <v>10</v>
      </c>
      <c r="IB769" s="24" t="s">
        <v>33</v>
      </c>
      <c r="IC769" s="24">
        <v>3548</v>
      </c>
      <c r="ID769" s="24">
        <v>2950</v>
      </c>
    </row>
    <row r="770" spans="9:238" x14ac:dyDescent="0.4">
      <c r="I770" s="305">
        <v>2016</v>
      </c>
      <c r="J770" s="306">
        <v>10</v>
      </c>
      <c r="K770" s="306" t="s">
        <v>33</v>
      </c>
      <c r="L770" s="306">
        <v>81430</v>
      </c>
      <c r="M770" s="306">
        <v>70965</v>
      </c>
      <c r="N770" s="306">
        <v>183</v>
      </c>
      <c r="O770" s="306">
        <v>10465</v>
      </c>
      <c r="P770" s="306">
        <v>535</v>
      </c>
      <c r="Q770" s="306">
        <v>11</v>
      </c>
      <c r="R770" s="297"/>
      <c r="S770" s="297"/>
      <c r="T770" s="297"/>
      <c r="DJ770" s="320">
        <v>2016</v>
      </c>
      <c r="DK770" s="320">
        <v>33</v>
      </c>
      <c r="DL770" s="320" t="s">
        <v>32</v>
      </c>
      <c r="DM770" s="320">
        <v>161</v>
      </c>
      <c r="DP770" s="24"/>
      <c r="DQ770" s="24"/>
      <c r="DR770" s="24"/>
      <c r="DS770" s="24"/>
      <c r="EI770" s="24">
        <v>2022</v>
      </c>
      <c r="EJ770" s="24">
        <v>38</v>
      </c>
      <c r="EK770" s="24" t="s">
        <v>558</v>
      </c>
      <c r="EL770" s="24" t="s">
        <v>557</v>
      </c>
      <c r="EM770" s="24" t="s">
        <v>215</v>
      </c>
      <c r="EN770" s="24">
        <v>1</v>
      </c>
      <c r="EO770" s="24"/>
      <c r="EP770" s="24"/>
      <c r="ES770" s="309">
        <v>2017</v>
      </c>
      <c r="ET770" s="309">
        <v>33</v>
      </c>
      <c r="EU770" s="309" t="s">
        <v>33</v>
      </c>
      <c r="EV770" s="309">
        <v>53228</v>
      </c>
      <c r="FW770" s="24">
        <v>2016</v>
      </c>
      <c r="FX770" s="24">
        <v>9</v>
      </c>
      <c r="FY770" s="24" t="s">
        <v>32</v>
      </c>
      <c r="FZ770" s="24">
        <v>786</v>
      </c>
      <c r="GA770" s="24">
        <v>534</v>
      </c>
      <c r="GD770" s="24"/>
      <c r="GE770" s="24"/>
      <c r="GF770" s="24"/>
      <c r="GG770" s="24"/>
      <c r="GH770" s="24"/>
      <c r="GX770">
        <v>2016</v>
      </c>
      <c r="GY770">
        <v>9</v>
      </c>
      <c r="GZ770" t="s">
        <v>32</v>
      </c>
      <c r="HA770">
        <v>5801</v>
      </c>
      <c r="HB770">
        <v>5321</v>
      </c>
      <c r="HC770">
        <v>0</v>
      </c>
      <c r="HD770">
        <v>146</v>
      </c>
      <c r="HE770">
        <v>0</v>
      </c>
      <c r="HF770">
        <v>14</v>
      </c>
      <c r="HG770">
        <v>0</v>
      </c>
      <c r="HH770">
        <v>0</v>
      </c>
      <c r="HI770">
        <v>140</v>
      </c>
      <c r="HZ770" s="24">
        <v>2016</v>
      </c>
      <c r="IA770" s="24">
        <v>9</v>
      </c>
      <c r="IB770" s="24" t="s">
        <v>32</v>
      </c>
      <c r="IC770" s="24">
        <v>742</v>
      </c>
      <c r="ID770" s="24">
        <v>543</v>
      </c>
    </row>
    <row r="771" spans="9:238" x14ac:dyDescent="0.4">
      <c r="I771" s="305">
        <v>2016</v>
      </c>
      <c r="J771" s="306">
        <v>9</v>
      </c>
      <c r="K771" s="306" t="s">
        <v>32</v>
      </c>
      <c r="L771" s="306">
        <v>6115</v>
      </c>
      <c r="M771" s="306">
        <v>5566</v>
      </c>
      <c r="N771" s="306">
        <v>36</v>
      </c>
      <c r="O771" s="306">
        <v>549</v>
      </c>
      <c r="P771" s="306">
        <v>110</v>
      </c>
      <c r="Q771" s="306">
        <v>12</v>
      </c>
      <c r="R771" s="297"/>
      <c r="S771" s="297"/>
      <c r="T771" s="297"/>
      <c r="DJ771" s="320">
        <v>2016</v>
      </c>
      <c r="DK771" s="320">
        <v>33</v>
      </c>
      <c r="DL771" s="320" t="s">
        <v>33</v>
      </c>
      <c r="DM771" s="320">
        <v>6666</v>
      </c>
      <c r="DP771" s="24"/>
      <c r="DQ771" s="24"/>
      <c r="DR771" s="24"/>
      <c r="DS771" s="24"/>
      <c r="EI771" s="24">
        <v>2022</v>
      </c>
      <c r="EJ771" s="24">
        <v>38</v>
      </c>
      <c r="EK771" s="24" t="s">
        <v>558</v>
      </c>
      <c r="EL771" s="24" t="s">
        <v>554</v>
      </c>
      <c r="EM771" s="24" t="s">
        <v>210</v>
      </c>
      <c r="EN771" s="24">
        <v>2</v>
      </c>
      <c r="EO771" s="24"/>
      <c r="EP771" s="24"/>
      <c r="ES771" s="309">
        <v>2017</v>
      </c>
      <c r="ET771" s="309">
        <v>32</v>
      </c>
      <c r="EU771" s="309" t="s">
        <v>32</v>
      </c>
      <c r="EV771" s="309">
        <v>2543</v>
      </c>
      <c r="FW771" s="24">
        <v>2016</v>
      </c>
      <c r="FX771" s="24">
        <v>9</v>
      </c>
      <c r="FY771" s="24" t="s">
        <v>33</v>
      </c>
      <c r="FZ771" s="24">
        <v>3507</v>
      </c>
      <c r="GA771" s="24">
        <v>2694</v>
      </c>
      <c r="GD771" s="24"/>
      <c r="GE771" s="24"/>
      <c r="GF771" s="24"/>
      <c r="GG771" s="24"/>
      <c r="GH771" s="24"/>
      <c r="GX771">
        <v>2016</v>
      </c>
      <c r="GY771">
        <v>9</v>
      </c>
      <c r="GZ771" t="s">
        <v>33</v>
      </c>
      <c r="HA771">
        <v>79515</v>
      </c>
      <c r="HB771">
        <v>74923</v>
      </c>
      <c r="HC771">
        <v>0</v>
      </c>
      <c r="HD771">
        <v>1541</v>
      </c>
      <c r="HE771">
        <v>0</v>
      </c>
      <c r="HF771">
        <v>930</v>
      </c>
      <c r="HG771">
        <v>0</v>
      </c>
      <c r="HH771">
        <v>0</v>
      </c>
      <c r="HI771">
        <v>723</v>
      </c>
      <c r="HZ771" s="24">
        <v>2016</v>
      </c>
      <c r="IA771" s="24">
        <v>9</v>
      </c>
      <c r="IB771" s="24" t="s">
        <v>33</v>
      </c>
      <c r="IC771" s="24">
        <v>3321</v>
      </c>
      <c r="ID771" s="24">
        <v>2656</v>
      </c>
    </row>
    <row r="772" spans="9:238" x14ac:dyDescent="0.4">
      <c r="I772" s="305">
        <v>2016</v>
      </c>
      <c r="J772" s="306">
        <v>9</v>
      </c>
      <c r="K772" s="306" t="s">
        <v>33</v>
      </c>
      <c r="L772" s="306">
        <v>84283</v>
      </c>
      <c r="M772" s="306">
        <v>74551</v>
      </c>
      <c r="N772" s="306">
        <v>330</v>
      </c>
      <c r="O772" s="306">
        <v>9726</v>
      </c>
      <c r="P772" s="306">
        <v>848</v>
      </c>
      <c r="Q772" s="306">
        <v>11</v>
      </c>
      <c r="R772" s="297"/>
      <c r="S772" s="297"/>
      <c r="T772" s="297"/>
      <c r="DJ772" s="24">
        <v>2016</v>
      </c>
      <c r="DK772" s="24">
        <v>32</v>
      </c>
      <c r="DL772" s="24" t="s">
        <v>32</v>
      </c>
      <c r="DM772" s="24">
        <v>421</v>
      </c>
      <c r="DP772" s="24"/>
      <c r="DQ772" s="24"/>
      <c r="DR772" s="24"/>
      <c r="DS772" s="24"/>
      <c r="EI772" s="24">
        <v>2022</v>
      </c>
      <c r="EJ772" s="24">
        <v>38</v>
      </c>
      <c r="EK772" s="24" t="s">
        <v>558</v>
      </c>
      <c r="EL772" s="24" t="s">
        <v>554</v>
      </c>
      <c r="EM772" s="24" t="s">
        <v>215</v>
      </c>
      <c r="EN772" s="24">
        <v>1</v>
      </c>
      <c r="EO772" s="24"/>
      <c r="EP772" s="24"/>
      <c r="ES772" s="309">
        <v>2017</v>
      </c>
      <c r="ET772" s="309">
        <v>32</v>
      </c>
      <c r="EU772" s="309" t="s">
        <v>33</v>
      </c>
      <c r="EV772" s="309">
        <v>50177</v>
      </c>
      <c r="FW772" s="24">
        <v>2016</v>
      </c>
      <c r="FX772" s="24">
        <v>8</v>
      </c>
      <c r="FY772" s="24" t="s">
        <v>32</v>
      </c>
      <c r="FZ772" s="24">
        <v>700</v>
      </c>
      <c r="GA772" s="24">
        <v>537</v>
      </c>
      <c r="GD772" s="24"/>
      <c r="GE772" s="24"/>
      <c r="GF772" s="24"/>
      <c r="GG772" s="24"/>
      <c r="GH772" s="24"/>
      <c r="GX772">
        <v>2016</v>
      </c>
      <c r="GY772">
        <v>8</v>
      </c>
      <c r="GZ772" t="s">
        <v>32</v>
      </c>
      <c r="HA772">
        <v>5480</v>
      </c>
      <c r="HB772">
        <v>5038</v>
      </c>
      <c r="HC772">
        <v>0</v>
      </c>
      <c r="HD772">
        <v>103</v>
      </c>
      <c r="HE772">
        <v>0</v>
      </c>
      <c r="HF772">
        <v>25</v>
      </c>
      <c r="HG772">
        <v>0</v>
      </c>
      <c r="HH772">
        <v>0</v>
      </c>
      <c r="HI772">
        <v>123</v>
      </c>
      <c r="HZ772" s="24">
        <v>2016</v>
      </c>
      <c r="IA772" s="24">
        <v>8</v>
      </c>
      <c r="IB772" s="24" t="s">
        <v>32</v>
      </c>
      <c r="IC772" s="24">
        <v>743</v>
      </c>
      <c r="ID772" s="24">
        <v>522</v>
      </c>
    </row>
    <row r="773" spans="9:238" x14ac:dyDescent="0.4">
      <c r="I773" s="305">
        <v>2016</v>
      </c>
      <c r="J773" s="306">
        <v>8</v>
      </c>
      <c r="K773" s="306" t="s">
        <v>32</v>
      </c>
      <c r="L773" s="306">
        <v>5203</v>
      </c>
      <c r="M773" s="306">
        <v>4808</v>
      </c>
      <c r="N773" s="306">
        <v>23</v>
      </c>
      <c r="O773" s="306">
        <v>395</v>
      </c>
      <c r="P773" s="306">
        <v>83</v>
      </c>
      <c r="Q773" s="306">
        <v>13</v>
      </c>
      <c r="R773" s="297"/>
      <c r="S773" s="297"/>
      <c r="T773" s="297"/>
      <c r="DJ773" s="24">
        <v>2016</v>
      </c>
      <c r="DK773" s="24">
        <v>32</v>
      </c>
      <c r="DL773" s="24" t="s">
        <v>33</v>
      </c>
      <c r="DM773" s="24">
        <v>13726</v>
      </c>
      <c r="DP773" s="24"/>
      <c r="DQ773" s="24"/>
      <c r="DR773" s="24"/>
      <c r="DS773" s="24"/>
      <c r="EI773" s="24">
        <v>2022</v>
      </c>
      <c r="EJ773" s="24">
        <v>38</v>
      </c>
      <c r="EK773" s="24" t="s">
        <v>558</v>
      </c>
      <c r="EL773" s="24" t="s">
        <v>235</v>
      </c>
      <c r="EM773" s="24" t="s">
        <v>210</v>
      </c>
      <c r="EN773" s="24">
        <v>31</v>
      </c>
      <c r="EO773" s="24"/>
      <c r="EP773" s="24"/>
      <c r="ES773" s="309">
        <v>2017</v>
      </c>
      <c r="ET773" s="309">
        <v>31</v>
      </c>
      <c r="EU773" s="309" t="s">
        <v>32</v>
      </c>
      <c r="EV773" s="309">
        <v>1478</v>
      </c>
      <c r="FW773" s="24">
        <v>2016</v>
      </c>
      <c r="FX773" s="24">
        <v>8</v>
      </c>
      <c r="FY773" s="24" t="s">
        <v>33</v>
      </c>
      <c r="FZ773" s="24">
        <v>4079</v>
      </c>
      <c r="GA773" s="24">
        <v>3113</v>
      </c>
      <c r="GD773" s="24"/>
      <c r="GE773" s="24"/>
      <c r="GF773" s="24"/>
      <c r="GG773" s="24"/>
      <c r="GH773" s="24"/>
      <c r="GX773">
        <v>2016</v>
      </c>
      <c r="GY773">
        <v>8</v>
      </c>
      <c r="GZ773" t="s">
        <v>33</v>
      </c>
      <c r="HA773">
        <v>92454</v>
      </c>
      <c r="HB773">
        <v>85923</v>
      </c>
      <c r="HC773">
        <v>0</v>
      </c>
      <c r="HD773">
        <v>1627</v>
      </c>
      <c r="HE773">
        <v>0</v>
      </c>
      <c r="HF773">
        <v>1612</v>
      </c>
      <c r="HG773">
        <v>0</v>
      </c>
      <c r="HH773">
        <v>0</v>
      </c>
      <c r="HI773">
        <v>921</v>
      </c>
      <c r="HZ773" s="24">
        <v>2016</v>
      </c>
      <c r="IA773" s="24">
        <v>8</v>
      </c>
      <c r="IB773" s="24" t="s">
        <v>33</v>
      </c>
      <c r="IC773" s="24">
        <v>4151</v>
      </c>
      <c r="ID773" s="24">
        <v>3287</v>
      </c>
    </row>
    <row r="774" spans="9:238" x14ac:dyDescent="0.4">
      <c r="I774" s="305">
        <v>2016</v>
      </c>
      <c r="J774" s="306">
        <v>8</v>
      </c>
      <c r="K774" s="306" t="s">
        <v>33</v>
      </c>
      <c r="L774" s="306">
        <v>92119</v>
      </c>
      <c r="M774" s="306">
        <v>80888</v>
      </c>
      <c r="N774" s="306">
        <v>325</v>
      </c>
      <c r="O774" s="306">
        <v>11230</v>
      </c>
      <c r="P774" s="306">
        <v>854</v>
      </c>
      <c r="Q774" s="306"/>
      <c r="R774" s="297"/>
      <c r="S774" s="297"/>
      <c r="T774" s="297"/>
      <c r="DJ774" s="24">
        <v>2016</v>
      </c>
      <c r="DK774" s="24">
        <v>31</v>
      </c>
      <c r="DL774" s="24" t="s">
        <v>32</v>
      </c>
      <c r="DM774" s="24">
        <v>299</v>
      </c>
      <c r="DP774" s="24"/>
      <c r="DQ774" s="24"/>
      <c r="DR774" s="24"/>
      <c r="DS774" s="24"/>
      <c r="EI774" s="24">
        <v>2022</v>
      </c>
      <c r="EJ774" s="24">
        <v>38</v>
      </c>
      <c r="EK774" s="24" t="s">
        <v>558</v>
      </c>
      <c r="EL774" s="24" t="s">
        <v>235</v>
      </c>
      <c r="EM774" s="24" t="s">
        <v>234</v>
      </c>
      <c r="EN774" s="24">
        <v>1</v>
      </c>
      <c r="EO774" s="24"/>
      <c r="EP774" s="24"/>
      <c r="ES774" s="309">
        <v>2017</v>
      </c>
      <c r="ET774" s="309">
        <v>31</v>
      </c>
      <c r="EU774" s="309" t="s">
        <v>33</v>
      </c>
      <c r="EV774" s="309">
        <v>48308</v>
      </c>
      <c r="FW774" s="24">
        <v>2016</v>
      </c>
      <c r="FX774" s="24">
        <v>7</v>
      </c>
      <c r="FY774" s="24" t="s">
        <v>32</v>
      </c>
      <c r="FZ774" s="24">
        <v>585</v>
      </c>
      <c r="GA774" s="24">
        <v>390</v>
      </c>
      <c r="GD774" s="24"/>
      <c r="GE774" s="24"/>
      <c r="GF774" s="24"/>
      <c r="GG774" s="24"/>
      <c r="GH774" s="24"/>
      <c r="GX774">
        <v>2016</v>
      </c>
      <c r="GY774">
        <v>7</v>
      </c>
      <c r="GZ774" t="s">
        <v>32</v>
      </c>
      <c r="HA774">
        <v>4939</v>
      </c>
      <c r="HB774">
        <v>4434</v>
      </c>
      <c r="HC774">
        <v>0</v>
      </c>
      <c r="HD774">
        <v>212</v>
      </c>
      <c r="HE774">
        <v>0</v>
      </c>
      <c r="HF774">
        <v>15</v>
      </c>
      <c r="HG774">
        <v>0</v>
      </c>
      <c r="HH774">
        <v>0</v>
      </c>
      <c r="HI774">
        <v>139</v>
      </c>
      <c r="HZ774" s="24">
        <v>2016</v>
      </c>
      <c r="IA774" s="24">
        <v>7</v>
      </c>
      <c r="IB774" s="24" t="s">
        <v>32</v>
      </c>
      <c r="IC774" s="24">
        <v>630</v>
      </c>
      <c r="ID774" s="24">
        <v>434</v>
      </c>
    </row>
    <row r="775" spans="9:238" x14ac:dyDescent="0.4">
      <c r="I775" s="305">
        <v>2016</v>
      </c>
      <c r="J775" s="306">
        <v>7</v>
      </c>
      <c r="K775" s="306" t="s">
        <v>32</v>
      </c>
      <c r="L775" s="306">
        <v>4991</v>
      </c>
      <c r="M775" s="306">
        <v>4473</v>
      </c>
      <c r="N775" s="306">
        <v>24</v>
      </c>
      <c r="O775" s="306">
        <v>518</v>
      </c>
      <c r="P775" s="306">
        <v>56</v>
      </c>
      <c r="Q775" s="306">
        <v>3</v>
      </c>
      <c r="R775" s="297"/>
      <c r="S775" s="297"/>
      <c r="T775" s="297"/>
      <c r="DJ775" s="24">
        <v>2016</v>
      </c>
      <c r="DK775" s="24">
        <v>31</v>
      </c>
      <c r="DL775" s="24" t="s">
        <v>33</v>
      </c>
      <c r="DM775" s="24">
        <v>10268</v>
      </c>
      <c r="DP775" s="24"/>
      <c r="DQ775" s="24"/>
      <c r="DR775" s="24"/>
      <c r="DS775" s="24"/>
      <c r="EI775" s="24">
        <v>2022</v>
      </c>
      <c r="EJ775" s="24">
        <v>38</v>
      </c>
      <c r="EK775" s="24" t="s">
        <v>558</v>
      </c>
      <c r="EL775" s="24" t="s">
        <v>235</v>
      </c>
      <c r="EM775" s="24" t="s">
        <v>215</v>
      </c>
      <c r="EN775" s="24">
        <v>18</v>
      </c>
      <c r="EO775" s="24"/>
      <c r="EP775" s="24"/>
      <c r="ES775" s="309">
        <v>2017</v>
      </c>
      <c r="ET775" s="309">
        <v>30</v>
      </c>
      <c r="EU775" s="309" t="s">
        <v>32</v>
      </c>
      <c r="EV775" s="309">
        <v>2776</v>
      </c>
      <c r="FW775" s="24">
        <v>2016</v>
      </c>
      <c r="FX775" s="24">
        <v>7</v>
      </c>
      <c r="FY775" s="24" t="s">
        <v>33</v>
      </c>
      <c r="FZ775" s="24">
        <v>3327</v>
      </c>
      <c r="GA775" s="24">
        <v>2582</v>
      </c>
      <c r="GD775" s="24"/>
      <c r="GE775" s="24"/>
      <c r="GF775" s="24"/>
      <c r="GG775" s="24"/>
      <c r="GH775" s="24"/>
      <c r="GX775">
        <v>2016</v>
      </c>
      <c r="GY775">
        <v>7</v>
      </c>
      <c r="GZ775" t="s">
        <v>33</v>
      </c>
      <c r="HA775">
        <v>88158</v>
      </c>
      <c r="HB775">
        <v>82536</v>
      </c>
      <c r="HC775">
        <v>0</v>
      </c>
      <c r="HD775">
        <v>1628</v>
      </c>
      <c r="HE775">
        <v>0</v>
      </c>
      <c r="HF775">
        <v>1094</v>
      </c>
      <c r="HG775">
        <v>0</v>
      </c>
      <c r="HH775">
        <v>0</v>
      </c>
      <c r="HI775">
        <v>650</v>
      </c>
      <c r="HZ775" s="24">
        <v>2016</v>
      </c>
      <c r="IA775" s="24">
        <v>7</v>
      </c>
      <c r="IB775" s="24" t="s">
        <v>33</v>
      </c>
      <c r="IC775" s="24">
        <v>3298</v>
      </c>
      <c r="ID775" s="24">
        <v>2678</v>
      </c>
    </row>
    <row r="776" spans="9:238" x14ac:dyDescent="0.4">
      <c r="I776" s="305">
        <v>2016</v>
      </c>
      <c r="J776" s="306">
        <v>7</v>
      </c>
      <c r="K776" s="306" t="s">
        <v>33</v>
      </c>
      <c r="L776" s="306">
        <v>88312</v>
      </c>
      <c r="M776" s="306">
        <v>78452</v>
      </c>
      <c r="N776" s="306">
        <v>254</v>
      </c>
      <c r="O776" s="306">
        <v>9860</v>
      </c>
      <c r="P776" s="306">
        <v>628</v>
      </c>
      <c r="Q776" s="306">
        <v>1</v>
      </c>
      <c r="R776" s="297"/>
      <c r="S776" s="297"/>
      <c r="T776" s="297"/>
      <c r="DJ776" s="321">
        <v>2016</v>
      </c>
      <c r="DK776" s="321">
        <v>30</v>
      </c>
      <c r="DL776" s="321" t="s">
        <v>32</v>
      </c>
      <c r="DM776" s="321">
        <v>725</v>
      </c>
      <c r="DP776" s="24"/>
      <c r="DQ776" s="24"/>
      <c r="DR776" s="24"/>
      <c r="DS776" s="24"/>
      <c r="EI776" s="24">
        <v>2022</v>
      </c>
      <c r="EJ776" s="24">
        <v>38</v>
      </c>
      <c r="EK776" s="24" t="s">
        <v>558</v>
      </c>
      <c r="EL776" s="24" t="s">
        <v>245</v>
      </c>
      <c r="EM776" s="24" t="s">
        <v>210</v>
      </c>
      <c r="EN776" s="24">
        <v>15</v>
      </c>
      <c r="EO776" s="24"/>
      <c r="EP776" s="24"/>
      <c r="ES776" s="309">
        <v>2017</v>
      </c>
      <c r="ET776" s="309">
        <v>30</v>
      </c>
      <c r="EU776" s="309" t="s">
        <v>33</v>
      </c>
      <c r="EV776" s="309">
        <v>50064</v>
      </c>
      <c r="FW776" s="24">
        <v>2016</v>
      </c>
      <c r="FX776" s="24">
        <v>6</v>
      </c>
      <c r="FY776" s="24" t="s">
        <v>32</v>
      </c>
      <c r="FZ776" s="24">
        <v>452</v>
      </c>
      <c r="GA776" s="24">
        <v>423</v>
      </c>
      <c r="GD776" s="24"/>
      <c r="GE776" s="24"/>
      <c r="GF776" s="24"/>
      <c r="GG776" s="24"/>
      <c r="GH776" s="24"/>
      <c r="GX776">
        <v>2016</v>
      </c>
      <c r="GY776">
        <v>6</v>
      </c>
      <c r="GZ776" t="s">
        <v>32</v>
      </c>
      <c r="HA776">
        <v>4542</v>
      </c>
      <c r="HB776">
        <v>4280</v>
      </c>
      <c r="HC776">
        <v>0</v>
      </c>
      <c r="HD776">
        <v>118</v>
      </c>
      <c r="HE776">
        <v>0</v>
      </c>
      <c r="HF776">
        <v>0</v>
      </c>
      <c r="HG776">
        <v>0</v>
      </c>
      <c r="HH776">
        <v>0</v>
      </c>
      <c r="HI776">
        <v>77</v>
      </c>
      <c r="HZ776" s="24">
        <v>2016</v>
      </c>
      <c r="IA776" s="24">
        <v>6</v>
      </c>
      <c r="IB776" s="24" t="s">
        <v>32</v>
      </c>
      <c r="IC776" s="24">
        <v>437</v>
      </c>
      <c r="ID776" s="24">
        <v>407</v>
      </c>
    </row>
    <row r="777" spans="9:238" x14ac:dyDescent="0.4">
      <c r="I777" s="305">
        <v>2016</v>
      </c>
      <c r="J777" s="306">
        <v>6</v>
      </c>
      <c r="K777" s="306" t="s">
        <v>32</v>
      </c>
      <c r="L777" s="306">
        <v>4372</v>
      </c>
      <c r="M777" s="306">
        <v>4165</v>
      </c>
      <c r="N777" s="306">
        <v>31</v>
      </c>
      <c r="O777" s="306">
        <v>207</v>
      </c>
      <c r="P777" s="306">
        <v>27</v>
      </c>
      <c r="Q777" s="306">
        <v>5</v>
      </c>
      <c r="R777" s="297"/>
      <c r="S777" s="297"/>
      <c r="T777" s="297"/>
      <c r="DJ777" s="321">
        <v>2016</v>
      </c>
      <c r="DK777" s="321">
        <v>30</v>
      </c>
      <c r="DL777" s="321" t="s">
        <v>33</v>
      </c>
      <c r="DM777" s="321">
        <v>10618</v>
      </c>
      <c r="DP777" s="24"/>
      <c r="DQ777" s="24"/>
      <c r="DR777" s="24"/>
      <c r="DS777" s="24"/>
      <c r="EI777" s="24">
        <v>2022</v>
      </c>
      <c r="EJ777" s="24">
        <v>38</v>
      </c>
      <c r="EK777" s="24" t="s">
        <v>33</v>
      </c>
      <c r="EL777" s="24" t="s">
        <v>240</v>
      </c>
      <c r="EM777" s="24" t="s">
        <v>210</v>
      </c>
      <c r="EN777" s="24">
        <v>2</v>
      </c>
      <c r="EO777" s="24"/>
      <c r="EP777" s="24"/>
      <c r="ES777" s="24">
        <v>2017</v>
      </c>
      <c r="ET777" s="24">
        <v>29</v>
      </c>
      <c r="EU777" s="24" t="s">
        <v>32</v>
      </c>
      <c r="EV777" s="24">
        <v>1861</v>
      </c>
      <c r="FW777" s="24">
        <v>2016</v>
      </c>
      <c r="FX777" s="24">
        <v>6</v>
      </c>
      <c r="FY777" s="24" t="s">
        <v>33</v>
      </c>
      <c r="FZ777" s="24">
        <v>3238</v>
      </c>
      <c r="GA777" s="24">
        <v>2505</v>
      </c>
      <c r="GD777" s="24"/>
      <c r="GE777" s="24"/>
      <c r="GF777" s="24"/>
      <c r="GG777" s="24"/>
      <c r="GH777" s="24"/>
      <c r="GX777">
        <v>2016</v>
      </c>
      <c r="GY777">
        <v>6</v>
      </c>
      <c r="GZ777" t="s">
        <v>33</v>
      </c>
      <c r="HA777">
        <v>87012</v>
      </c>
      <c r="HB777">
        <v>79899</v>
      </c>
      <c r="HC777">
        <v>0</v>
      </c>
      <c r="HD777">
        <v>1624</v>
      </c>
      <c r="HE777">
        <v>0</v>
      </c>
      <c r="HF777">
        <v>2477</v>
      </c>
      <c r="HG777">
        <v>0</v>
      </c>
      <c r="HH777">
        <v>0</v>
      </c>
      <c r="HI777">
        <v>916</v>
      </c>
      <c r="HZ777" s="24">
        <v>2016</v>
      </c>
      <c r="IA777" s="24">
        <v>6</v>
      </c>
      <c r="IB777" s="24" t="s">
        <v>33</v>
      </c>
      <c r="IC777" s="24">
        <v>3153</v>
      </c>
      <c r="ID777" s="24">
        <v>2553</v>
      </c>
    </row>
    <row r="778" spans="9:238" x14ac:dyDescent="0.4">
      <c r="I778" s="305">
        <v>2016</v>
      </c>
      <c r="J778" s="306">
        <v>6</v>
      </c>
      <c r="K778" s="306" t="s">
        <v>33</v>
      </c>
      <c r="L778" s="306">
        <v>86212</v>
      </c>
      <c r="M778" s="306">
        <v>75142</v>
      </c>
      <c r="N778" s="306">
        <v>256</v>
      </c>
      <c r="O778" s="306">
        <v>11062</v>
      </c>
      <c r="P778" s="306">
        <v>633</v>
      </c>
      <c r="Q778" s="306">
        <v>6</v>
      </c>
      <c r="R778" s="297"/>
      <c r="S778" s="297"/>
      <c r="T778" s="297"/>
      <c r="DJ778" s="24">
        <v>2016</v>
      </c>
      <c r="DK778" s="24">
        <v>29</v>
      </c>
      <c r="DL778" s="24" t="s">
        <v>32</v>
      </c>
      <c r="DM778" s="24">
        <v>238</v>
      </c>
      <c r="DP778" s="24"/>
      <c r="DQ778" s="24"/>
      <c r="DR778" s="24"/>
      <c r="DS778" s="24"/>
      <c r="EI778" s="24">
        <v>2022</v>
      </c>
      <c r="EJ778" s="24">
        <v>38</v>
      </c>
      <c r="EK778" s="24" t="s">
        <v>33</v>
      </c>
      <c r="EL778" s="24" t="s">
        <v>233</v>
      </c>
      <c r="EM778" s="24" t="s">
        <v>210</v>
      </c>
      <c r="EN778" s="24">
        <v>7</v>
      </c>
      <c r="EO778" s="24"/>
      <c r="EP778" s="24"/>
      <c r="ES778" s="24">
        <v>2017</v>
      </c>
      <c r="ET778" s="24">
        <v>29</v>
      </c>
      <c r="EU778" s="24" t="s">
        <v>33</v>
      </c>
      <c r="EV778" s="24">
        <v>49292</v>
      </c>
      <c r="FW778" s="24">
        <v>2016</v>
      </c>
      <c r="FX778" s="24">
        <v>5</v>
      </c>
      <c r="FY778" s="24" t="s">
        <v>32</v>
      </c>
      <c r="FZ778" s="24">
        <v>506</v>
      </c>
      <c r="GA778" s="24">
        <v>472</v>
      </c>
      <c r="GD778" s="24"/>
      <c r="GE778" s="24"/>
      <c r="GF778" s="24"/>
      <c r="GG778" s="24"/>
      <c r="GH778" s="24"/>
      <c r="GX778">
        <v>2016</v>
      </c>
      <c r="GY778">
        <v>5</v>
      </c>
      <c r="GZ778" t="s">
        <v>32</v>
      </c>
      <c r="HA778">
        <v>4784</v>
      </c>
      <c r="HB778">
        <v>4566</v>
      </c>
      <c r="HC778">
        <v>0</v>
      </c>
      <c r="HD778">
        <v>53</v>
      </c>
      <c r="HE778">
        <v>0</v>
      </c>
      <c r="HF778">
        <v>1</v>
      </c>
      <c r="HG778">
        <v>0</v>
      </c>
      <c r="HH778">
        <v>0</v>
      </c>
      <c r="HI778">
        <v>80</v>
      </c>
      <c r="HZ778" s="24">
        <v>2016</v>
      </c>
      <c r="IA778" s="24">
        <v>5</v>
      </c>
      <c r="IB778" s="24" t="s">
        <v>32</v>
      </c>
      <c r="IC778" s="24">
        <v>499</v>
      </c>
      <c r="ID778" s="24">
        <v>460</v>
      </c>
    </row>
    <row r="779" spans="9:238" x14ac:dyDescent="0.4">
      <c r="I779" s="305">
        <v>2016</v>
      </c>
      <c r="J779" s="306">
        <v>5</v>
      </c>
      <c r="K779" s="306" t="s">
        <v>32</v>
      </c>
      <c r="L779" s="306">
        <v>5165</v>
      </c>
      <c r="M779" s="306">
        <v>4938</v>
      </c>
      <c r="N779" s="306">
        <v>6</v>
      </c>
      <c r="O779" s="306">
        <v>227</v>
      </c>
      <c r="P779" s="306">
        <v>27</v>
      </c>
      <c r="Q779" s="306">
        <v>1</v>
      </c>
      <c r="R779" s="297"/>
      <c r="S779" s="297"/>
      <c r="T779" s="297"/>
      <c r="DJ779" s="24">
        <v>2016</v>
      </c>
      <c r="DK779" s="24">
        <v>29</v>
      </c>
      <c r="DL779" s="24" t="s">
        <v>33</v>
      </c>
      <c r="DM779" s="24">
        <v>8072</v>
      </c>
      <c r="DP779" s="24"/>
      <c r="DQ779" s="24"/>
      <c r="DR779" s="24"/>
      <c r="DS779" s="24"/>
      <c r="EI779" s="24">
        <v>2022</v>
      </c>
      <c r="EJ779" s="24">
        <v>38</v>
      </c>
      <c r="EK779" s="24" t="s">
        <v>33</v>
      </c>
      <c r="EL779" s="24" t="s">
        <v>233</v>
      </c>
      <c r="EM779" s="24" t="s">
        <v>215</v>
      </c>
      <c r="EN779" s="24">
        <v>1</v>
      </c>
      <c r="EO779" s="24"/>
      <c r="EP779" s="24"/>
      <c r="ES779" s="24">
        <v>2017</v>
      </c>
      <c r="ET779" s="24">
        <v>28</v>
      </c>
      <c r="EU779" s="24" t="s">
        <v>32</v>
      </c>
      <c r="EV779" s="24">
        <v>3127</v>
      </c>
      <c r="FW779" s="24">
        <v>2016</v>
      </c>
      <c r="FX779" s="24">
        <v>5</v>
      </c>
      <c r="FY779" s="24" t="s">
        <v>33</v>
      </c>
      <c r="FZ779" s="24">
        <v>3973</v>
      </c>
      <c r="GA779" s="24">
        <v>2995</v>
      </c>
      <c r="GD779" s="24"/>
      <c r="GE779" s="24"/>
      <c r="GF779" s="24"/>
      <c r="GG779" s="24"/>
      <c r="GH779" s="24"/>
      <c r="GX779">
        <v>2016</v>
      </c>
      <c r="GY779">
        <v>5</v>
      </c>
      <c r="GZ779" t="s">
        <v>33</v>
      </c>
      <c r="HA779">
        <v>81105</v>
      </c>
      <c r="HB779">
        <v>73398</v>
      </c>
      <c r="HC779">
        <v>1</v>
      </c>
      <c r="HD779">
        <v>1527</v>
      </c>
      <c r="HE779">
        <v>0</v>
      </c>
      <c r="HF779">
        <v>2686</v>
      </c>
      <c r="HG779">
        <v>0</v>
      </c>
      <c r="HH779">
        <v>0</v>
      </c>
      <c r="HI779">
        <v>1027</v>
      </c>
      <c r="HZ779" s="24">
        <v>2016</v>
      </c>
      <c r="IA779" s="24">
        <v>5</v>
      </c>
      <c r="IB779" s="24" t="s">
        <v>33</v>
      </c>
      <c r="IC779" s="24">
        <v>3889</v>
      </c>
      <c r="ID779" s="24">
        <v>3226</v>
      </c>
    </row>
    <row r="780" spans="9:238" x14ac:dyDescent="0.4">
      <c r="I780" s="305">
        <v>2016</v>
      </c>
      <c r="J780" s="306">
        <v>5</v>
      </c>
      <c r="K780" s="306" t="s">
        <v>33</v>
      </c>
      <c r="L780" s="306">
        <v>80623</v>
      </c>
      <c r="M780" s="306">
        <v>68246</v>
      </c>
      <c r="N780" s="306">
        <v>456</v>
      </c>
      <c r="O780" s="306">
        <v>12370</v>
      </c>
      <c r="P780" s="306">
        <v>797</v>
      </c>
      <c r="Q780" s="306">
        <v>67</v>
      </c>
      <c r="R780" s="297"/>
      <c r="S780" s="297"/>
      <c r="T780" s="297"/>
      <c r="DJ780" s="322">
        <v>2016</v>
      </c>
      <c r="DK780" s="322">
        <v>28</v>
      </c>
      <c r="DL780" s="322" t="s">
        <v>32</v>
      </c>
      <c r="DM780" s="322">
        <v>27</v>
      </c>
      <c r="DP780" s="24"/>
      <c r="DQ780" s="24"/>
      <c r="DR780" s="24"/>
      <c r="DS780" s="24"/>
      <c r="EI780" s="24">
        <v>2022</v>
      </c>
      <c r="EJ780" s="24">
        <v>38</v>
      </c>
      <c r="EK780" s="24" t="s">
        <v>33</v>
      </c>
      <c r="EL780" s="24" t="s">
        <v>235</v>
      </c>
      <c r="EM780" s="24" t="s">
        <v>210</v>
      </c>
      <c r="EN780" s="24">
        <v>2</v>
      </c>
      <c r="EO780" s="24"/>
      <c r="EP780" s="24"/>
      <c r="ES780" s="310">
        <v>2017</v>
      </c>
      <c r="ET780" s="310">
        <v>28</v>
      </c>
      <c r="EU780" s="310" t="s">
        <v>33</v>
      </c>
      <c r="EV780" s="310">
        <v>52173</v>
      </c>
      <c r="FW780" s="24">
        <v>2016</v>
      </c>
      <c r="FX780" s="24">
        <v>4</v>
      </c>
      <c r="FY780" s="24" t="s">
        <v>32</v>
      </c>
      <c r="FZ780" s="24">
        <v>643</v>
      </c>
      <c r="GA780" s="24">
        <v>497</v>
      </c>
      <c r="GD780" s="24"/>
      <c r="GE780" s="24"/>
      <c r="GF780" s="24"/>
      <c r="GG780" s="24"/>
      <c r="GH780" s="24"/>
      <c r="GX780">
        <v>2016</v>
      </c>
      <c r="GY780">
        <v>4</v>
      </c>
      <c r="GZ780" t="s">
        <v>32</v>
      </c>
      <c r="HA780">
        <v>4991</v>
      </c>
      <c r="HB780">
        <v>4602</v>
      </c>
      <c r="HC780">
        <v>0</v>
      </c>
      <c r="HD780">
        <v>85</v>
      </c>
      <c r="HE780">
        <v>0</v>
      </c>
      <c r="HF780">
        <v>28</v>
      </c>
      <c r="HG780">
        <v>0</v>
      </c>
      <c r="HH780">
        <v>0</v>
      </c>
      <c r="HI780">
        <v>109</v>
      </c>
      <c r="HZ780" s="24">
        <v>2016</v>
      </c>
      <c r="IA780" s="24">
        <v>4</v>
      </c>
      <c r="IB780" s="24" t="s">
        <v>32</v>
      </c>
      <c r="IC780" s="24">
        <v>656</v>
      </c>
      <c r="ID780" s="24">
        <v>516</v>
      </c>
    </row>
    <row r="781" spans="9:238" x14ac:dyDescent="0.4">
      <c r="I781" s="305">
        <v>2016</v>
      </c>
      <c r="J781" s="306">
        <v>4</v>
      </c>
      <c r="K781" s="306" t="s">
        <v>32</v>
      </c>
      <c r="L781" s="306">
        <v>4675</v>
      </c>
      <c r="M781" s="306">
        <v>4289</v>
      </c>
      <c r="N781" s="306">
        <v>15</v>
      </c>
      <c r="O781" s="306">
        <v>386</v>
      </c>
      <c r="P781" s="306">
        <v>59</v>
      </c>
      <c r="Q781" s="306"/>
      <c r="R781" s="297"/>
      <c r="S781" s="297"/>
      <c r="T781" s="297"/>
      <c r="DJ781" s="322">
        <v>2016</v>
      </c>
      <c r="DK781" s="322">
        <v>28</v>
      </c>
      <c r="DL781" s="322" t="s">
        <v>33</v>
      </c>
      <c r="DM781" s="322">
        <v>2417</v>
      </c>
      <c r="DP781" s="24"/>
      <c r="DQ781" s="24"/>
      <c r="DR781" s="24"/>
      <c r="DS781" s="24"/>
      <c r="EI781" s="24">
        <v>2022</v>
      </c>
      <c r="EJ781" s="24">
        <v>38</v>
      </c>
      <c r="EK781" s="24" t="s">
        <v>33</v>
      </c>
      <c r="EL781" s="24" t="s">
        <v>235</v>
      </c>
      <c r="EM781" s="24" t="s">
        <v>234</v>
      </c>
      <c r="EN781" s="24">
        <v>2</v>
      </c>
      <c r="EO781" s="24"/>
      <c r="EP781" s="24"/>
      <c r="ES781" s="310">
        <v>2017</v>
      </c>
      <c r="ET781" s="310">
        <v>27</v>
      </c>
      <c r="EU781" s="310" t="s">
        <v>32</v>
      </c>
      <c r="EV781" s="310">
        <v>3010</v>
      </c>
      <c r="FW781" s="24">
        <v>2016</v>
      </c>
      <c r="FX781" s="24">
        <v>4</v>
      </c>
      <c r="FY781" s="24" t="s">
        <v>33</v>
      </c>
      <c r="FZ781" s="24">
        <v>3481</v>
      </c>
      <c r="GA781" s="24">
        <v>2695</v>
      </c>
      <c r="GD781" s="24"/>
      <c r="GE781" s="24"/>
      <c r="GF781" s="24"/>
      <c r="GG781" s="24"/>
      <c r="GH781" s="24"/>
      <c r="GX781">
        <v>2016</v>
      </c>
      <c r="GY781">
        <v>4</v>
      </c>
      <c r="GZ781" t="s">
        <v>33</v>
      </c>
      <c r="HA781">
        <v>79210</v>
      </c>
      <c r="HB781">
        <v>73784</v>
      </c>
      <c r="HC781">
        <v>0</v>
      </c>
      <c r="HD781">
        <v>1085</v>
      </c>
      <c r="HE781">
        <v>1</v>
      </c>
      <c r="HF781">
        <v>1337</v>
      </c>
      <c r="HG781">
        <v>0</v>
      </c>
      <c r="HH781">
        <v>0</v>
      </c>
      <c r="HI781">
        <v>699</v>
      </c>
      <c r="HZ781" s="24">
        <v>2016</v>
      </c>
      <c r="IA781" s="24">
        <v>4</v>
      </c>
      <c r="IB781" s="24" t="s">
        <v>33</v>
      </c>
      <c r="IC781" s="24">
        <v>3695</v>
      </c>
      <c r="ID781" s="24">
        <v>2977</v>
      </c>
    </row>
    <row r="782" spans="9:238" x14ac:dyDescent="0.4">
      <c r="I782" s="305">
        <v>2016</v>
      </c>
      <c r="J782" s="306">
        <v>4</v>
      </c>
      <c r="K782" s="306" t="s">
        <v>33</v>
      </c>
      <c r="L782" s="306">
        <v>79089</v>
      </c>
      <c r="M782" s="306">
        <v>69847</v>
      </c>
      <c r="N782" s="306">
        <v>215</v>
      </c>
      <c r="O782" s="306">
        <v>9242</v>
      </c>
      <c r="P782" s="306">
        <v>749</v>
      </c>
      <c r="Q782" s="306">
        <v>10</v>
      </c>
      <c r="R782" s="297"/>
      <c r="S782" s="297"/>
      <c r="T782" s="297"/>
      <c r="DJ782" s="24">
        <v>2016</v>
      </c>
      <c r="DK782" s="24">
        <v>27</v>
      </c>
      <c r="DL782" s="24" t="s">
        <v>32</v>
      </c>
      <c r="DM782" s="24">
        <v>364</v>
      </c>
      <c r="DP782" s="24"/>
      <c r="DQ782" s="24"/>
      <c r="DR782" s="24"/>
      <c r="DS782" s="24"/>
      <c r="EI782" s="24">
        <v>2022</v>
      </c>
      <c r="EJ782" s="24">
        <v>38</v>
      </c>
      <c r="EK782" s="24" t="s">
        <v>33</v>
      </c>
      <c r="EL782" s="24" t="s">
        <v>238</v>
      </c>
      <c r="EM782" s="24" t="s">
        <v>210</v>
      </c>
      <c r="EN782" s="24">
        <v>5</v>
      </c>
      <c r="EO782" s="24"/>
      <c r="EP782" s="24"/>
      <c r="ES782" s="310">
        <v>2017</v>
      </c>
      <c r="ET782" s="310">
        <v>27</v>
      </c>
      <c r="EU782" s="310" t="s">
        <v>33</v>
      </c>
      <c r="EV782" s="310">
        <v>59173</v>
      </c>
      <c r="FW782" s="24">
        <v>2016</v>
      </c>
      <c r="FX782" s="24">
        <v>3</v>
      </c>
      <c r="FY782" s="24" t="s">
        <v>32</v>
      </c>
      <c r="FZ782" s="24">
        <v>469</v>
      </c>
      <c r="GA782" s="24">
        <v>406</v>
      </c>
      <c r="GD782" s="24"/>
      <c r="GE782" s="24"/>
      <c r="GF782" s="24"/>
      <c r="GG782" s="24"/>
      <c r="GH782" s="24"/>
      <c r="GX782">
        <v>2016</v>
      </c>
      <c r="GY782">
        <v>3</v>
      </c>
      <c r="GZ782" t="s">
        <v>32</v>
      </c>
      <c r="HA782">
        <v>4248</v>
      </c>
      <c r="HB782">
        <v>3988</v>
      </c>
      <c r="HC782">
        <v>0</v>
      </c>
      <c r="HD782">
        <v>71</v>
      </c>
      <c r="HE782">
        <v>0</v>
      </c>
      <c r="HF782">
        <v>0</v>
      </c>
      <c r="HG782">
        <v>0</v>
      </c>
      <c r="HH782">
        <v>0</v>
      </c>
      <c r="HI782">
        <v>75</v>
      </c>
      <c r="HZ782" s="24">
        <v>2016</v>
      </c>
      <c r="IA782" s="24">
        <v>3</v>
      </c>
      <c r="IB782" s="24" t="s">
        <v>32</v>
      </c>
      <c r="IC782" s="24">
        <v>452</v>
      </c>
      <c r="ID782" s="24">
        <v>385</v>
      </c>
    </row>
    <row r="783" spans="9:238" x14ac:dyDescent="0.4">
      <c r="I783" s="305">
        <v>2016</v>
      </c>
      <c r="J783" s="306">
        <v>3</v>
      </c>
      <c r="K783" s="306" t="s">
        <v>32</v>
      </c>
      <c r="L783" s="306">
        <v>4280</v>
      </c>
      <c r="M783" s="306">
        <v>3972</v>
      </c>
      <c r="N783" s="306">
        <v>34</v>
      </c>
      <c r="O783" s="306">
        <v>308</v>
      </c>
      <c r="P783" s="306">
        <v>49</v>
      </c>
      <c r="Q783" s="306"/>
      <c r="R783" s="297"/>
      <c r="S783" s="297"/>
      <c r="T783" s="297"/>
      <c r="DJ783" s="24">
        <v>2016</v>
      </c>
      <c r="DK783" s="24">
        <v>27</v>
      </c>
      <c r="DL783" s="24" t="s">
        <v>33</v>
      </c>
      <c r="DM783" s="24">
        <v>2667</v>
      </c>
      <c r="DP783" s="24"/>
      <c r="DQ783" s="24"/>
      <c r="DR783" s="24"/>
      <c r="DS783" s="24"/>
      <c r="EI783" s="24">
        <v>2022</v>
      </c>
      <c r="EJ783" s="24">
        <v>38</v>
      </c>
      <c r="EK783" s="24" t="s">
        <v>33</v>
      </c>
      <c r="EL783" s="24" t="s">
        <v>247</v>
      </c>
      <c r="EM783" s="24" t="s">
        <v>210</v>
      </c>
      <c r="EN783" s="24">
        <v>2</v>
      </c>
      <c r="EO783" s="24"/>
      <c r="EP783" s="24"/>
      <c r="ES783" s="24">
        <v>2017</v>
      </c>
      <c r="ET783" s="24">
        <v>26</v>
      </c>
      <c r="EU783" s="24" t="s">
        <v>32</v>
      </c>
      <c r="EV783" s="24">
        <v>2784</v>
      </c>
      <c r="FW783" s="24">
        <v>2016</v>
      </c>
      <c r="FX783" s="24">
        <v>3</v>
      </c>
      <c r="FY783" s="24" t="s">
        <v>33</v>
      </c>
      <c r="FZ783" s="24">
        <v>3365</v>
      </c>
      <c r="GA783" s="24">
        <v>2250</v>
      </c>
      <c r="GD783" s="24"/>
      <c r="GE783" s="24"/>
      <c r="GF783" s="24"/>
      <c r="GG783" s="24"/>
      <c r="GH783" s="24"/>
      <c r="GX783">
        <v>2016</v>
      </c>
      <c r="GY783">
        <v>3</v>
      </c>
      <c r="GZ783" t="s">
        <v>33</v>
      </c>
      <c r="HA783">
        <v>87464</v>
      </c>
      <c r="HB783">
        <v>77447</v>
      </c>
      <c r="HC783">
        <v>1</v>
      </c>
      <c r="HD783">
        <v>1023</v>
      </c>
      <c r="HE783">
        <v>0</v>
      </c>
      <c r="HF783">
        <v>1935</v>
      </c>
      <c r="HG783">
        <v>0</v>
      </c>
      <c r="HH783">
        <v>0</v>
      </c>
      <c r="HI783">
        <v>1406</v>
      </c>
      <c r="HZ783" s="24">
        <v>2016</v>
      </c>
      <c r="IA783" s="24">
        <v>3</v>
      </c>
      <c r="IB783" s="24" t="s">
        <v>33</v>
      </c>
      <c r="IC783" s="24">
        <v>3251</v>
      </c>
      <c r="ID783" s="24">
        <v>2197</v>
      </c>
    </row>
    <row r="784" spans="9:238" x14ac:dyDescent="0.4">
      <c r="I784" s="305">
        <v>2016</v>
      </c>
      <c r="J784" s="306">
        <v>3</v>
      </c>
      <c r="K784" s="306" t="s">
        <v>33</v>
      </c>
      <c r="L784" s="306">
        <v>88747</v>
      </c>
      <c r="M784" s="306">
        <v>74812</v>
      </c>
      <c r="N784" s="306">
        <v>284</v>
      </c>
      <c r="O784" s="306">
        <v>13935</v>
      </c>
      <c r="P784" s="306">
        <v>776</v>
      </c>
      <c r="Q784" s="306">
        <v>46</v>
      </c>
      <c r="R784" s="297"/>
      <c r="S784" s="297"/>
      <c r="T784" s="297"/>
      <c r="DJ784" s="24">
        <v>2016</v>
      </c>
      <c r="DK784" s="24">
        <v>26</v>
      </c>
      <c r="DL784" s="24" t="s">
        <v>32</v>
      </c>
      <c r="DM784" s="24">
        <v>120</v>
      </c>
      <c r="DP784" s="24"/>
      <c r="DQ784" s="24"/>
      <c r="DR784" s="24"/>
      <c r="DS784" s="24"/>
      <c r="EI784" s="24">
        <v>2022</v>
      </c>
      <c r="EJ784" s="24">
        <v>38</v>
      </c>
      <c r="EK784" s="24" t="s">
        <v>237</v>
      </c>
      <c r="EL784" s="24" t="s">
        <v>239</v>
      </c>
      <c r="EM784" s="24" t="s">
        <v>234</v>
      </c>
      <c r="EN784" s="24">
        <v>4</v>
      </c>
      <c r="EO784" s="24"/>
      <c r="EP784" s="24"/>
      <c r="ES784" s="24">
        <v>2017</v>
      </c>
      <c r="ET784" s="24">
        <v>26</v>
      </c>
      <c r="EU784" s="24" t="s">
        <v>33</v>
      </c>
      <c r="EV784" s="24">
        <v>42603</v>
      </c>
      <c r="FW784" s="24">
        <v>2016</v>
      </c>
      <c r="FX784" s="24">
        <v>2</v>
      </c>
      <c r="FY784" s="24" t="s">
        <v>32</v>
      </c>
      <c r="FZ784" s="24">
        <v>482</v>
      </c>
      <c r="GA784" s="24">
        <v>364</v>
      </c>
      <c r="GD784" s="24"/>
      <c r="GE784" s="24"/>
      <c r="GF784" s="24"/>
      <c r="GG784" s="24"/>
      <c r="GH784" s="24"/>
      <c r="GX784">
        <v>2016</v>
      </c>
      <c r="GY784">
        <v>2</v>
      </c>
      <c r="GZ784" t="s">
        <v>32</v>
      </c>
      <c r="HA784">
        <v>4984</v>
      </c>
      <c r="HB784">
        <v>4695</v>
      </c>
      <c r="HC784">
        <v>0</v>
      </c>
      <c r="HD784">
        <v>67</v>
      </c>
      <c r="HE784">
        <v>0</v>
      </c>
      <c r="HF784">
        <v>4</v>
      </c>
      <c r="HG784">
        <v>0</v>
      </c>
      <c r="HH784">
        <v>0</v>
      </c>
      <c r="HI784">
        <v>105</v>
      </c>
      <c r="HZ784" s="24">
        <v>2016</v>
      </c>
      <c r="IA784" s="24">
        <v>2</v>
      </c>
      <c r="IB784" s="24" t="s">
        <v>32</v>
      </c>
      <c r="IC784" s="24">
        <v>494</v>
      </c>
      <c r="ID784" s="24">
        <v>375</v>
      </c>
    </row>
    <row r="785" spans="9:238" x14ac:dyDescent="0.4">
      <c r="I785" s="305">
        <v>2016</v>
      </c>
      <c r="J785" s="306">
        <v>2</v>
      </c>
      <c r="K785" s="306" t="s">
        <v>32</v>
      </c>
      <c r="L785" s="306">
        <v>5173</v>
      </c>
      <c r="M785" s="306">
        <v>4895</v>
      </c>
      <c r="N785" s="306">
        <v>13</v>
      </c>
      <c r="O785" s="306">
        <v>278</v>
      </c>
      <c r="P785" s="306">
        <v>52</v>
      </c>
      <c r="Q785" s="306"/>
      <c r="R785" s="297"/>
      <c r="S785" s="297"/>
      <c r="T785" s="297"/>
      <c r="DJ785" s="24">
        <v>2016</v>
      </c>
      <c r="DK785" s="24">
        <v>26</v>
      </c>
      <c r="DL785" s="24" t="s">
        <v>33</v>
      </c>
      <c r="DM785" s="24">
        <v>3788</v>
      </c>
      <c r="DP785" s="24"/>
      <c r="DQ785" s="24"/>
      <c r="DR785" s="24"/>
      <c r="DS785" s="24"/>
      <c r="EI785" s="24">
        <v>2022</v>
      </c>
      <c r="EJ785" s="24">
        <v>38</v>
      </c>
      <c r="EK785" s="24" t="s">
        <v>237</v>
      </c>
      <c r="EL785" s="24" t="s">
        <v>557</v>
      </c>
      <c r="EM785" s="24" t="s">
        <v>210</v>
      </c>
      <c r="EN785" s="24">
        <v>3</v>
      </c>
      <c r="EO785" s="24"/>
      <c r="EP785" s="24"/>
      <c r="ES785" s="24">
        <v>2017</v>
      </c>
      <c r="ET785" s="24">
        <v>25</v>
      </c>
      <c r="EU785" s="24" t="s">
        <v>32</v>
      </c>
      <c r="EV785" s="24">
        <v>3063</v>
      </c>
      <c r="FW785" s="24">
        <v>2016</v>
      </c>
      <c r="FX785" s="24">
        <v>2</v>
      </c>
      <c r="FY785" s="24" t="s">
        <v>33</v>
      </c>
      <c r="FZ785" s="24">
        <v>2745</v>
      </c>
      <c r="GA785" s="24">
        <v>2291</v>
      </c>
      <c r="GD785" s="24"/>
      <c r="GE785" s="24"/>
      <c r="GF785" s="24"/>
      <c r="GG785" s="24"/>
      <c r="GH785" s="24"/>
      <c r="GX785">
        <v>2016</v>
      </c>
      <c r="GY785">
        <v>2</v>
      </c>
      <c r="GZ785" t="s">
        <v>33</v>
      </c>
      <c r="HA785">
        <v>64995</v>
      </c>
      <c r="HB785">
        <v>61952</v>
      </c>
      <c r="HC785">
        <v>0</v>
      </c>
      <c r="HD785">
        <v>894</v>
      </c>
      <c r="HE785">
        <v>0</v>
      </c>
      <c r="HF785">
        <v>491</v>
      </c>
      <c r="HG785">
        <v>0</v>
      </c>
      <c r="HH785">
        <v>0</v>
      </c>
      <c r="HI785">
        <v>583</v>
      </c>
      <c r="HZ785" s="24">
        <v>2016</v>
      </c>
      <c r="IA785" s="24">
        <v>2</v>
      </c>
      <c r="IB785" s="24" t="s">
        <v>33</v>
      </c>
      <c r="IC785" s="24">
        <v>2818</v>
      </c>
      <c r="ID785" s="24">
        <v>2472</v>
      </c>
    </row>
    <row r="786" spans="9:238" x14ac:dyDescent="0.4">
      <c r="I786" s="305">
        <v>2016</v>
      </c>
      <c r="J786" s="306">
        <v>2</v>
      </c>
      <c r="K786" s="306" t="s">
        <v>33</v>
      </c>
      <c r="L786" s="306">
        <v>62655</v>
      </c>
      <c r="M786" s="306">
        <v>55765</v>
      </c>
      <c r="N786" s="306">
        <v>167</v>
      </c>
      <c r="O786" s="306">
        <v>6889</v>
      </c>
      <c r="P786" s="306">
        <v>533</v>
      </c>
      <c r="Q786" s="306">
        <v>6</v>
      </c>
      <c r="R786" s="298"/>
      <c r="S786" s="298"/>
      <c r="T786" s="298"/>
      <c r="DJ786" s="323">
        <v>2016</v>
      </c>
      <c r="DK786" s="323">
        <v>25</v>
      </c>
      <c r="DL786" s="323" t="s">
        <v>32</v>
      </c>
      <c r="DM786" s="323">
        <v>400</v>
      </c>
      <c r="DP786" s="24"/>
      <c r="DQ786" s="24"/>
      <c r="DR786" s="24"/>
      <c r="DS786" s="24"/>
      <c r="EI786" s="24">
        <v>2022</v>
      </c>
      <c r="EJ786" s="24">
        <v>38</v>
      </c>
      <c r="EK786" s="24" t="s">
        <v>237</v>
      </c>
      <c r="EL786" s="24" t="s">
        <v>557</v>
      </c>
      <c r="EM786" s="24" t="s">
        <v>234</v>
      </c>
      <c r="EN786" s="24">
        <v>4</v>
      </c>
      <c r="EO786" s="24"/>
      <c r="EP786" s="24"/>
      <c r="ES786" s="24">
        <v>2017</v>
      </c>
      <c r="ET786" s="24">
        <v>25</v>
      </c>
      <c r="EU786" s="24" t="s">
        <v>33</v>
      </c>
      <c r="EV786" s="24">
        <v>52410</v>
      </c>
      <c r="FW786" s="24">
        <v>2016</v>
      </c>
      <c r="FX786" s="24">
        <v>1</v>
      </c>
      <c r="FY786" s="24" t="s">
        <v>32</v>
      </c>
      <c r="FZ786" s="24">
        <v>567</v>
      </c>
      <c r="GA786" s="24">
        <v>493</v>
      </c>
      <c r="GD786" s="24"/>
      <c r="GE786" s="24"/>
      <c r="GF786" s="24"/>
      <c r="GG786" s="24"/>
      <c r="GH786" s="24"/>
      <c r="GX786">
        <v>2016</v>
      </c>
      <c r="GY786">
        <v>1</v>
      </c>
      <c r="GZ786" t="s">
        <v>32</v>
      </c>
      <c r="HA786">
        <v>4531</v>
      </c>
      <c r="HB786">
        <v>4305</v>
      </c>
      <c r="HC786">
        <v>0</v>
      </c>
      <c r="HD786">
        <v>55</v>
      </c>
      <c r="HE786">
        <v>0</v>
      </c>
      <c r="HF786">
        <v>0</v>
      </c>
      <c r="HG786">
        <v>0</v>
      </c>
      <c r="HH786">
        <v>0</v>
      </c>
      <c r="HI786">
        <v>54</v>
      </c>
      <c r="HZ786" s="24">
        <v>2016</v>
      </c>
      <c r="IA786" s="24">
        <v>1</v>
      </c>
      <c r="IB786" s="24" t="s">
        <v>32</v>
      </c>
      <c r="IC786" s="24">
        <v>583</v>
      </c>
      <c r="ID786" s="24">
        <v>511</v>
      </c>
    </row>
    <row r="787" spans="9:238" x14ac:dyDescent="0.4">
      <c r="I787" s="305">
        <v>2016</v>
      </c>
      <c r="J787" s="306">
        <v>1</v>
      </c>
      <c r="K787" s="306" t="s">
        <v>32</v>
      </c>
      <c r="L787" s="306">
        <v>4323</v>
      </c>
      <c r="M787" s="306">
        <v>4081</v>
      </c>
      <c r="N787" s="306">
        <v>21</v>
      </c>
      <c r="O787" s="306">
        <v>242</v>
      </c>
      <c r="P787" s="306">
        <v>71</v>
      </c>
      <c r="Q787" s="306"/>
      <c r="R787" s="298"/>
      <c r="S787" s="298"/>
      <c r="T787" s="298"/>
      <c r="DJ787" s="323">
        <v>2016</v>
      </c>
      <c r="DK787" s="323">
        <v>25</v>
      </c>
      <c r="DL787" s="323" t="s">
        <v>33</v>
      </c>
      <c r="DM787" s="323">
        <v>6361</v>
      </c>
      <c r="DP787" s="24"/>
      <c r="DQ787" s="24"/>
      <c r="DR787" s="24"/>
      <c r="DS787" s="24"/>
      <c r="EI787" s="24">
        <v>2022</v>
      </c>
      <c r="EJ787" s="24">
        <v>38</v>
      </c>
      <c r="EK787" s="24" t="s">
        <v>237</v>
      </c>
      <c r="EL787" s="24" t="s">
        <v>557</v>
      </c>
      <c r="EM787" s="24" t="s">
        <v>215</v>
      </c>
      <c r="EN787" s="24">
        <v>17</v>
      </c>
      <c r="EO787" s="24"/>
      <c r="EP787" s="24"/>
      <c r="ES787" s="24">
        <v>2017</v>
      </c>
      <c r="ET787" s="24">
        <v>24</v>
      </c>
      <c r="EU787" s="24" t="s">
        <v>32</v>
      </c>
      <c r="EV787" s="24">
        <v>3223</v>
      </c>
      <c r="FW787" s="24">
        <v>2016</v>
      </c>
      <c r="FX787" s="24">
        <v>1</v>
      </c>
      <c r="FY787" s="24" t="s">
        <v>33</v>
      </c>
      <c r="FZ787" s="24">
        <v>3260</v>
      </c>
      <c r="GA787" s="24">
        <v>2408</v>
      </c>
      <c r="GD787" s="24"/>
      <c r="GE787" s="24"/>
      <c r="GF787" s="24"/>
      <c r="GG787" s="24"/>
      <c r="GH787" s="24"/>
      <c r="GX787">
        <v>2016</v>
      </c>
      <c r="GY787">
        <v>1</v>
      </c>
      <c r="GZ787" t="s">
        <v>33</v>
      </c>
      <c r="HA787">
        <v>63184</v>
      </c>
      <c r="HB787">
        <v>59763</v>
      </c>
      <c r="HC787">
        <v>0</v>
      </c>
      <c r="HD787">
        <v>524</v>
      </c>
      <c r="HE787">
        <v>0</v>
      </c>
      <c r="HF787">
        <v>962</v>
      </c>
      <c r="HG787">
        <v>0</v>
      </c>
      <c r="HH787">
        <v>0</v>
      </c>
      <c r="HI787">
        <v>631</v>
      </c>
      <c r="HZ787" s="24">
        <v>2016</v>
      </c>
      <c r="IA787" s="24">
        <v>1</v>
      </c>
      <c r="IB787" s="24" t="s">
        <v>33</v>
      </c>
      <c r="IC787" s="24">
        <v>3220</v>
      </c>
      <c r="ID787" s="24">
        <v>2483</v>
      </c>
    </row>
    <row r="788" spans="9:238" x14ac:dyDescent="0.4">
      <c r="I788" s="305">
        <v>2016</v>
      </c>
      <c r="J788" s="306">
        <v>1</v>
      </c>
      <c r="K788" s="306" t="s">
        <v>33</v>
      </c>
      <c r="L788" s="306">
        <v>63460</v>
      </c>
      <c r="M788" s="306">
        <v>56144</v>
      </c>
      <c r="N788" s="306">
        <v>242</v>
      </c>
      <c r="O788" s="306">
        <v>7315</v>
      </c>
      <c r="P788" s="306">
        <v>598</v>
      </c>
      <c r="Q788" s="306">
        <v>22</v>
      </c>
      <c r="R788" s="298"/>
      <c r="S788" s="298"/>
      <c r="T788" s="298"/>
      <c r="DJ788" s="24">
        <v>2016</v>
      </c>
      <c r="DK788" s="24">
        <v>24</v>
      </c>
      <c r="DL788" s="24" t="s">
        <v>32</v>
      </c>
      <c r="DM788" s="24">
        <v>646</v>
      </c>
      <c r="DP788" s="24"/>
      <c r="DQ788" s="24"/>
      <c r="DR788" s="24"/>
      <c r="DS788" s="24"/>
      <c r="EI788" s="24">
        <v>2022</v>
      </c>
      <c r="EJ788" s="24">
        <v>38</v>
      </c>
      <c r="EK788" s="24" t="s">
        <v>237</v>
      </c>
      <c r="EL788" s="24" t="s">
        <v>233</v>
      </c>
      <c r="EM788" s="24" t="s">
        <v>234</v>
      </c>
      <c r="EN788" s="24">
        <v>5</v>
      </c>
      <c r="EO788" s="24"/>
      <c r="EP788" s="24"/>
      <c r="ES788" s="24">
        <v>2017</v>
      </c>
      <c r="ET788" s="24">
        <v>24</v>
      </c>
      <c r="EU788" s="24" t="s">
        <v>33</v>
      </c>
      <c r="EV788" s="24">
        <v>46286</v>
      </c>
      <c r="FW788" s="24">
        <v>2015</v>
      </c>
      <c r="FX788" s="24">
        <v>53</v>
      </c>
      <c r="FY788" s="24" t="s">
        <v>32</v>
      </c>
      <c r="FZ788" s="24">
        <v>432</v>
      </c>
      <c r="GA788" s="24">
        <v>372</v>
      </c>
      <c r="GD788" s="24"/>
      <c r="GE788" s="24"/>
      <c r="GF788" s="24"/>
      <c r="GG788" s="24"/>
      <c r="GH788" s="24"/>
      <c r="GX788">
        <v>2015</v>
      </c>
      <c r="GY788">
        <v>53</v>
      </c>
      <c r="GZ788" t="s">
        <v>32</v>
      </c>
      <c r="HA788">
        <v>4279</v>
      </c>
      <c r="HB788">
        <v>3591</v>
      </c>
      <c r="HC788">
        <v>0</v>
      </c>
      <c r="HD788">
        <v>40</v>
      </c>
      <c r="HE788">
        <v>0</v>
      </c>
      <c r="HF788">
        <v>4</v>
      </c>
      <c r="HG788">
        <v>0</v>
      </c>
      <c r="HH788">
        <v>0</v>
      </c>
      <c r="HI788">
        <v>163</v>
      </c>
      <c r="HZ788" s="24">
        <v>2015</v>
      </c>
      <c r="IA788" s="24">
        <v>53</v>
      </c>
      <c r="IB788" s="24" t="s">
        <v>32</v>
      </c>
      <c r="IC788" s="24">
        <v>430</v>
      </c>
      <c r="ID788" s="24">
        <v>376</v>
      </c>
    </row>
    <row r="789" spans="9:238" x14ac:dyDescent="0.4">
      <c r="I789" s="305">
        <v>2015</v>
      </c>
      <c r="J789" s="306">
        <v>53</v>
      </c>
      <c r="K789" s="306" t="s">
        <v>32</v>
      </c>
      <c r="L789" s="306">
        <v>4483</v>
      </c>
      <c r="M789" s="306">
        <v>3734</v>
      </c>
      <c r="N789" s="306">
        <v>8</v>
      </c>
      <c r="O789" s="306">
        <v>749</v>
      </c>
      <c r="P789" s="306">
        <v>35</v>
      </c>
      <c r="Q789" s="306"/>
      <c r="R789" s="298"/>
      <c r="S789" s="298"/>
      <c r="T789" s="298"/>
      <c r="DJ789" s="24">
        <v>2016</v>
      </c>
      <c r="DK789" s="24">
        <v>24</v>
      </c>
      <c r="DL789" s="24" t="s">
        <v>33</v>
      </c>
      <c r="DM789" s="24">
        <v>10974</v>
      </c>
      <c r="DP789" s="24"/>
      <c r="DQ789" s="24"/>
      <c r="DR789" s="24"/>
      <c r="DS789" s="24"/>
      <c r="EI789" s="24">
        <v>2022</v>
      </c>
      <c r="EJ789" s="24">
        <v>38</v>
      </c>
      <c r="EK789" s="24" t="s">
        <v>237</v>
      </c>
      <c r="EL789" s="24" t="s">
        <v>233</v>
      </c>
      <c r="EM789" s="24" t="s">
        <v>215</v>
      </c>
      <c r="EN789" s="24">
        <v>4</v>
      </c>
      <c r="EO789" s="24"/>
      <c r="EP789" s="24"/>
      <c r="ES789" s="311">
        <v>2017</v>
      </c>
      <c r="ET789" s="311">
        <v>23</v>
      </c>
      <c r="EU789" s="311" t="s">
        <v>32</v>
      </c>
      <c r="EV789" s="311">
        <v>3839</v>
      </c>
      <c r="FW789" s="24">
        <v>2015</v>
      </c>
      <c r="FX789" s="24">
        <v>53</v>
      </c>
      <c r="FY789" s="24" t="s">
        <v>33</v>
      </c>
      <c r="FZ789" s="24">
        <v>2224</v>
      </c>
      <c r="GA789" s="24">
        <v>1786</v>
      </c>
      <c r="GD789" s="24"/>
      <c r="GE789" s="24"/>
      <c r="GF789" s="24"/>
      <c r="GG789" s="24"/>
      <c r="GH789" s="24"/>
      <c r="GX789">
        <v>2015</v>
      </c>
      <c r="GY789">
        <v>53</v>
      </c>
      <c r="GZ789" t="s">
        <v>33</v>
      </c>
      <c r="HA789">
        <v>54877</v>
      </c>
      <c r="HB789">
        <v>49882</v>
      </c>
      <c r="HC789">
        <v>0</v>
      </c>
      <c r="HD789">
        <v>447</v>
      </c>
      <c r="HE789">
        <v>0</v>
      </c>
      <c r="HF789">
        <v>314</v>
      </c>
      <c r="HG789">
        <v>0</v>
      </c>
      <c r="HH789">
        <v>0</v>
      </c>
      <c r="HI789">
        <v>697</v>
      </c>
      <c r="HZ789" s="24">
        <v>2015</v>
      </c>
      <c r="IA789" s="24">
        <v>53</v>
      </c>
      <c r="IB789" s="24" t="s">
        <v>33</v>
      </c>
      <c r="IC789" s="24">
        <v>2463</v>
      </c>
      <c r="ID789" s="24">
        <v>2183</v>
      </c>
    </row>
    <row r="790" spans="9:238" x14ac:dyDescent="0.4">
      <c r="I790" s="305">
        <v>2015</v>
      </c>
      <c r="J790" s="306">
        <v>53</v>
      </c>
      <c r="K790" s="306" t="s">
        <v>33</v>
      </c>
      <c r="L790" s="306">
        <v>53997</v>
      </c>
      <c r="M790" s="306">
        <v>46221</v>
      </c>
      <c r="N790" s="306">
        <v>79</v>
      </c>
      <c r="O790" s="306">
        <v>7776</v>
      </c>
      <c r="P790" s="306">
        <v>493</v>
      </c>
      <c r="Q790" s="306">
        <v>8</v>
      </c>
      <c r="R790" s="298"/>
      <c r="S790" s="298"/>
      <c r="T790" s="298"/>
      <c r="DJ790" s="24">
        <v>2016</v>
      </c>
      <c r="DK790" s="24">
        <v>23</v>
      </c>
      <c r="DL790" s="24" t="s">
        <v>32</v>
      </c>
      <c r="DM790" s="24">
        <v>236</v>
      </c>
      <c r="DP790" s="24"/>
      <c r="DQ790" s="24"/>
      <c r="DR790" s="24"/>
      <c r="DS790" s="24"/>
      <c r="EI790" s="24">
        <v>2022</v>
      </c>
      <c r="EJ790" s="24">
        <v>38</v>
      </c>
      <c r="EK790" s="24" t="s">
        <v>237</v>
      </c>
      <c r="EL790" s="24" t="s">
        <v>554</v>
      </c>
      <c r="EM790" s="24" t="s">
        <v>210</v>
      </c>
      <c r="EN790" s="24">
        <v>1</v>
      </c>
      <c r="EO790" s="24"/>
      <c r="EP790" s="24"/>
      <c r="ES790" s="311">
        <v>2017</v>
      </c>
      <c r="ET790" s="311">
        <v>23</v>
      </c>
      <c r="EU790" s="311" t="s">
        <v>33</v>
      </c>
      <c r="EV790" s="311">
        <v>56996</v>
      </c>
      <c r="FW790" s="24">
        <v>2015</v>
      </c>
      <c r="FX790" s="24">
        <v>52</v>
      </c>
      <c r="FY790" s="24" t="s">
        <v>32</v>
      </c>
      <c r="FZ790" s="24">
        <v>615</v>
      </c>
      <c r="GA790" s="24">
        <v>345</v>
      </c>
      <c r="GD790" s="24"/>
      <c r="GE790" s="24"/>
      <c r="GF790" s="24"/>
      <c r="GG790" s="24"/>
      <c r="GH790" s="24"/>
      <c r="GX790">
        <v>2015</v>
      </c>
      <c r="GY790">
        <v>52</v>
      </c>
      <c r="GZ790" t="s">
        <v>32</v>
      </c>
      <c r="HA790">
        <v>7469</v>
      </c>
      <c r="HB790">
        <v>5606</v>
      </c>
      <c r="HC790">
        <v>0</v>
      </c>
      <c r="HD790">
        <v>43</v>
      </c>
      <c r="HE790">
        <v>0</v>
      </c>
      <c r="HF790">
        <v>91</v>
      </c>
      <c r="HG790">
        <v>0</v>
      </c>
      <c r="HH790">
        <v>0</v>
      </c>
      <c r="HI790">
        <v>590</v>
      </c>
      <c r="HZ790" s="24">
        <v>2015</v>
      </c>
      <c r="IA790" s="24">
        <v>52</v>
      </c>
      <c r="IB790" s="24" t="s">
        <v>32</v>
      </c>
      <c r="IC790" s="24">
        <v>633</v>
      </c>
      <c r="ID790" s="24">
        <v>358</v>
      </c>
    </row>
    <row r="791" spans="9:238" x14ac:dyDescent="0.4">
      <c r="I791" s="305">
        <v>2015</v>
      </c>
      <c r="J791" s="306">
        <v>52</v>
      </c>
      <c r="K791" s="306" t="s">
        <v>32</v>
      </c>
      <c r="L791" s="306">
        <v>7088</v>
      </c>
      <c r="M791" s="306">
        <v>5258</v>
      </c>
      <c r="N791" s="306"/>
      <c r="O791" s="306">
        <v>1830</v>
      </c>
      <c r="P791" s="306">
        <v>142</v>
      </c>
      <c r="Q791" s="306">
        <v>5</v>
      </c>
      <c r="R791" s="298"/>
      <c r="S791" s="298"/>
      <c r="T791" s="298"/>
      <c r="DJ791" s="24">
        <v>2016</v>
      </c>
      <c r="DK791" s="24">
        <v>23</v>
      </c>
      <c r="DL791" s="24" t="s">
        <v>33</v>
      </c>
      <c r="DM791" s="24">
        <v>15053</v>
      </c>
      <c r="DP791" s="24"/>
      <c r="DQ791" s="24"/>
      <c r="DR791" s="24"/>
      <c r="DS791" s="24"/>
      <c r="EI791" s="24">
        <v>2022</v>
      </c>
      <c r="EJ791" s="24">
        <v>38</v>
      </c>
      <c r="EK791" s="24" t="s">
        <v>237</v>
      </c>
      <c r="EL791" s="24" t="s">
        <v>554</v>
      </c>
      <c r="EM791" s="24" t="s">
        <v>215</v>
      </c>
      <c r="EN791" s="24">
        <v>1</v>
      </c>
      <c r="EO791" s="24"/>
      <c r="EP791" s="24"/>
      <c r="ES791" s="24">
        <v>2017</v>
      </c>
      <c r="ET791" s="24">
        <v>22</v>
      </c>
      <c r="EU791" s="24" t="s">
        <v>32</v>
      </c>
      <c r="EV791" s="24">
        <v>3028</v>
      </c>
      <c r="FW791" s="24">
        <v>2015</v>
      </c>
      <c r="FX791" s="24">
        <v>52</v>
      </c>
      <c r="FY791" s="24" t="s">
        <v>33</v>
      </c>
      <c r="FZ791" s="24">
        <v>5322</v>
      </c>
      <c r="GA791" s="24">
        <v>4248</v>
      </c>
      <c r="GD791" s="24"/>
      <c r="GE791" s="24"/>
      <c r="GF791" s="24"/>
      <c r="GG791" s="24"/>
      <c r="GH791" s="24"/>
      <c r="GX791">
        <v>2015</v>
      </c>
      <c r="GY791">
        <v>52</v>
      </c>
      <c r="GZ791" t="s">
        <v>33</v>
      </c>
      <c r="HA791">
        <v>83173</v>
      </c>
      <c r="HB791">
        <v>74256</v>
      </c>
      <c r="HC791">
        <v>1</v>
      </c>
      <c r="HD791">
        <v>309</v>
      </c>
      <c r="HE791">
        <v>0</v>
      </c>
      <c r="HF791">
        <v>2186</v>
      </c>
      <c r="HG791">
        <v>0</v>
      </c>
      <c r="HH791">
        <v>0</v>
      </c>
      <c r="HI791">
        <v>993</v>
      </c>
      <c r="HZ791" s="24">
        <v>2015</v>
      </c>
      <c r="IA791" s="24">
        <v>52</v>
      </c>
      <c r="IB791" s="24" t="s">
        <v>33</v>
      </c>
      <c r="IC791" s="24">
        <v>5234</v>
      </c>
      <c r="ID791" s="24">
        <v>4387</v>
      </c>
    </row>
    <row r="792" spans="9:238" x14ac:dyDescent="0.4">
      <c r="I792" s="305">
        <v>2015</v>
      </c>
      <c r="J792" s="306">
        <v>52</v>
      </c>
      <c r="K792" s="306" t="s">
        <v>33</v>
      </c>
      <c r="L792" s="306">
        <v>81182</v>
      </c>
      <c r="M792" s="306">
        <v>66705</v>
      </c>
      <c r="N792" s="306">
        <v>5</v>
      </c>
      <c r="O792" s="306">
        <v>14473</v>
      </c>
      <c r="P792" s="306">
        <v>811</v>
      </c>
      <c r="Q792" s="306">
        <v>32</v>
      </c>
      <c r="R792" s="24"/>
      <c r="S792" s="24"/>
      <c r="T792" s="24"/>
      <c r="DJ792" s="24">
        <v>2016</v>
      </c>
      <c r="DK792" s="24">
        <v>22</v>
      </c>
      <c r="DL792" s="24" t="s">
        <v>32</v>
      </c>
      <c r="DM792" s="24">
        <v>436</v>
      </c>
      <c r="DP792" s="24"/>
      <c r="DQ792" s="24"/>
      <c r="DR792" s="24"/>
      <c r="DS792" s="24"/>
      <c r="EI792" s="24">
        <v>2022</v>
      </c>
      <c r="EJ792" s="24">
        <v>38</v>
      </c>
      <c r="EK792" s="24" t="s">
        <v>237</v>
      </c>
      <c r="EL792" s="24" t="s">
        <v>235</v>
      </c>
      <c r="EM792" s="24" t="s">
        <v>234</v>
      </c>
      <c r="EN792" s="24">
        <v>1</v>
      </c>
      <c r="EO792" s="24"/>
      <c r="EP792" s="24"/>
      <c r="ES792" s="24">
        <v>2017</v>
      </c>
      <c r="ET792" s="24">
        <v>22</v>
      </c>
      <c r="EU792" s="24" t="s">
        <v>33</v>
      </c>
      <c r="EV792" s="24">
        <v>62988</v>
      </c>
      <c r="FW792" s="24">
        <v>2015</v>
      </c>
      <c r="FX792" s="24">
        <v>51</v>
      </c>
      <c r="FY792" s="24" t="s">
        <v>32</v>
      </c>
      <c r="FZ792" s="24">
        <v>693</v>
      </c>
      <c r="GA792" s="24">
        <v>558</v>
      </c>
      <c r="GD792" s="24"/>
      <c r="GE792" s="24"/>
      <c r="GF792" s="24"/>
      <c r="GG792" s="24"/>
      <c r="GH792" s="24"/>
      <c r="GX792">
        <v>2015</v>
      </c>
      <c r="GY792">
        <v>51</v>
      </c>
      <c r="GZ792" t="s">
        <v>32</v>
      </c>
      <c r="HA792">
        <v>3202</v>
      </c>
      <c r="HB792">
        <v>2881</v>
      </c>
      <c r="HC792">
        <v>0</v>
      </c>
      <c r="HD792">
        <v>94</v>
      </c>
      <c r="HE792">
        <v>0</v>
      </c>
      <c r="HF792">
        <v>10</v>
      </c>
      <c r="HG792">
        <v>0</v>
      </c>
      <c r="HH792">
        <v>0</v>
      </c>
      <c r="HI792">
        <v>144</v>
      </c>
      <c r="HZ792" s="24">
        <v>2015</v>
      </c>
      <c r="IA792" s="24">
        <v>51</v>
      </c>
      <c r="IB792" s="24" t="s">
        <v>32</v>
      </c>
      <c r="IC792" s="24">
        <v>626</v>
      </c>
      <c r="ID792" s="24">
        <v>497</v>
      </c>
    </row>
    <row r="793" spans="9:238" x14ac:dyDescent="0.4">
      <c r="I793" s="305">
        <v>2015</v>
      </c>
      <c r="J793" s="306">
        <v>51</v>
      </c>
      <c r="K793" s="306" t="s">
        <v>32</v>
      </c>
      <c r="L793" s="306">
        <v>3570</v>
      </c>
      <c r="M793" s="306">
        <v>3151</v>
      </c>
      <c r="N793" s="306"/>
      <c r="O793" s="306">
        <v>418</v>
      </c>
      <c r="P793" s="306">
        <v>80</v>
      </c>
      <c r="Q793" s="306"/>
      <c r="R793" s="24"/>
      <c r="S793" s="24"/>
      <c r="T793" s="24"/>
      <c r="DJ793" s="24">
        <v>2016</v>
      </c>
      <c r="DK793" s="24">
        <v>22</v>
      </c>
      <c r="DL793" s="24" t="s">
        <v>33</v>
      </c>
      <c r="DM793" s="24">
        <v>17603</v>
      </c>
      <c r="DP793" s="24"/>
      <c r="DQ793" s="24"/>
      <c r="DR793" s="24"/>
      <c r="DS793" s="24"/>
      <c r="EI793" s="24">
        <v>2022</v>
      </c>
      <c r="EJ793" s="24">
        <v>38</v>
      </c>
      <c r="EK793" s="24" t="s">
        <v>237</v>
      </c>
      <c r="EL793" s="24" t="s">
        <v>235</v>
      </c>
      <c r="EM793" s="24" t="s">
        <v>215</v>
      </c>
      <c r="EN793" s="24">
        <v>4</v>
      </c>
      <c r="EO793" s="24"/>
      <c r="EP793" s="24"/>
      <c r="ES793" s="24">
        <v>2017</v>
      </c>
      <c r="ET793" s="24">
        <v>21</v>
      </c>
      <c r="EU793" s="24" t="s">
        <v>32</v>
      </c>
      <c r="EV793" s="24">
        <v>2900</v>
      </c>
      <c r="FW793" s="24">
        <v>2015</v>
      </c>
      <c r="FX793" s="24">
        <v>51</v>
      </c>
      <c r="FY793" s="24" t="s">
        <v>33</v>
      </c>
      <c r="FZ793" s="24">
        <v>5065</v>
      </c>
      <c r="GA793" s="24">
        <v>4127</v>
      </c>
      <c r="GD793" s="24"/>
      <c r="GE793" s="24"/>
      <c r="GF793" s="24"/>
      <c r="GG793" s="24"/>
      <c r="GH793" s="24"/>
      <c r="GX793">
        <v>2015</v>
      </c>
      <c r="GY793">
        <v>51</v>
      </c>
      <c r="GZ793" t="s">
        <v>33</v>
      </c>
      <c r="HA793">
        <v>47208</v>
      </c>
      <c r="HB793">
        <v>45281</v>
      </c>
      <c r="HC793">
        <v>0</v>
      </c>
      <c r="HD793">
        <v>604</v>
      </c>
      <c r="HE793">
        <v>0</v>
      </c>
      <c r="HF793">
        <v>217</v>
      </c>
      <c r="HG793">
        <v>0</v>
      </c>
      <c r="HH793">
        <v>0</v>
      </c>
      <c r="HI793">
        <v>544</v>
      </c>
      <c r="HZ793" s="24">
        <v>2015</v>
      </c>
      <c r="IA793" s="24">
        <v>51</v>
      </c>
      <c r="IB793" s="24" t="s">
        <v>33</v>
      </c>
      <c r="IC793" s="24">
        <v>4794</v>
      </c>
      <c r="ID793" s="24">
        <v>4211</v>
      </c>
    </row>
    <row r="794" spans="9:238" x14ac:dyDescent="0.4">
      <c r="I794" s="305">
        <v>2015</v>
      </c>
      <c r="J794" s="306">
        <v>51</v>
      </c>
      <c r="K794" s="306" t="s">
        <v>33</v>
      </c>
      <c r="L794" s="306">
        <v>49663</v>
      </c>
      <c r="M794" s="306">
        <v>41321</v>
      </c>
      <c r="N794" s="306"/>
      <c r="O794" s="306">
        <v>8342</v>
      </c>
      <c r="P794" s="306">
        <v>844</v>
      </c>
      <c r="Q794" s="306">
        <v>11</v>
      </c>
      <c r="R794" s="298"/>
      <c r="S794" s="298"/>
      <c r="T794" s="298"/>
      <c r="DJ794" s="24">
        <v>2016</v>
      </c>
      <c r="DK794" s="24">
        <v>21</v>
      </c>
      <c r="DL794" s="24" t="s">
        <v>32</v>
      </c>
      <c r="DM794" s="24">
        <v>2</v>
      </c>
      <c r="DP794" s="24"/>
      <c r="DQ794" s="24"/>
      <c r="DR794" s="24"/>
      <c r="DS794" s="24"/>
      <c r="EI794" s="24">
        <v>2022</v>
      </c>
      <c r="EJ794" s="24">
        <v>38</v>
      </c>
      <c r="EK794" s="24" t="s">
        <v>237</v>
      </c>
      <c r="EL794" s="24" t="s">
        <v>247</v>
      </c>
      <c r="EM794" s="24" t="s">
        <v>210</v>
      </c>
      <c r="EN794" s="24">
        <v>7</v>
      </c>
      <c r="EO794" s="24"/>
      <c r="EP794" s="24"/>
      <c r="ES794" s="24">
        <v>2017</v>
      </c>
      <c r="ET794" s="24">
        <v>21</v>
      </c>
      <c r="EU794" s="24" t="s">
        <v>33</v>
      </c>
      <c r="EV794" s="24">
        <v>59613</v>
      </c>
      <c r="FW794" s="24">
        <v>2015</v>
      </c>
      <c r="FX794" s="24">
        <v>50</v>
      </c>
      <c r="FY794" s="24" t="s">
        <v>32</v>
      </c>
      <c r="FZ794" s="24">
        <v>669</v>
      </c>
      <c r="GA794" s="24">
        <v>570</v>
      </c>
      <c r="GD794" s="24"/>
      <c r="GE794" s="24"/>
      <c r="GF794" s="24"/>
      <c r="GG794" s="24"/>
      <c r="GH794" s="24"/>
      <c r="GX794">
        <v>2015</v>
      </c>
      <c r="GY794">
        <v>50</v>
      </c>
      <c r="GZ794" t="s">
        <v>32</v>
      </c>
      <c r="HA794">
        <v>4944</v>
      </c>
      <c r="HB794">
        <v>4026</v>
      </c>
      <c r="HC794">
        <v>0</v>
      </c>
      <c r="HD794">
        <v>108</v>
      </c>
      <c r="HE794">
        <v>0</v>
      </c>
      <c r="HF794">
        <v>17</v>
      </c>
      <c r="HG794">
        <v>0</v>
      </c>
      <c r="HH794">
        <v>0</v>
      </c>
      <c r="HI794">
        <v>261</v>
      </c>
      <c r="HZ794" s="24">
        <v>2015</v>
      </c>
      <c r="IA794" s="24">
        <v>50</v>
      </c>
      <c r="IB794" s="24" t="s">
        <v>32</v>
      </c>
      <c r="IC794" s="24">
        <v>661</v>
      </c>
      <c r="ID794" s="24">
        <v>545</v>
      </c>
    </row>
    <row r="795" spans="9:238" x14ac:dyDescent="0.4">
      <c r="I795" s="305">
        <v>2015</v>
      </c>
      <c r="J795" s="306">
        <v>50</v>
      </c>
      <c r="K795" s="306" t="s">
        <v>32</v>
      </c>
      <c r="L795" s="306">
        <v>4805</v>
      </c>
      <c r="M795" s="306">
        <v>3929</v>
      </c>
      <c r="N795" s="306"/>
      <c r="O795" s="306">
        <v>876</v>
      </c>
      <c r="P795" s="306">
        <v>67</v>
      </c>
      <c r="Q795" s="306"/>
      <c r="R795" s="298"/>
      <c r="S795" s="298"/>
      <c r="T795" s="298"/>
      <c r="DJ795" s="24">
        <v>2016</v>
      </c>
      <c r="DK795" s="24">
        <v>21</v>
      </c>
      <c r="DL795" s="24" t="s">
        <v>33</v>
      </c>
      <c r="DM795" s="24">
        <v>17319</v>
      </c>
      <c r="DP795" s="24"/>
      <c r="DQ795" s="24"/>
      <c r="DR795" s="24"/>
      <c r="DS795" s="24"/>
      <c r="EI795" s="24">
        <v>2022</v>
      </c>
      <c r="EJ795" s="24">
        <v>38</v>
      </c>
      <c r="EK795" s="24" t="s">
        <v>211</v>
      </c>
      <c r="EL795" s="24" t="s">
        <v>232</v>
      </c>
      <c r="EM795" s="24" t="s">
        <v>234</v>
      </c>
      <c r="EN795" s="24">
        <v>1</v>
      </c>
      <c r="EO795" s="24"/>
      <c r="EP795" s="24"/>
      <c r="ES795" s="24">
        <v>2017</v>
      </c>
      <c r="ET795" s="24">
        <v>20</v>
      </c>
      <c r="EU795" s="24" t="s">
        <v>32</v>
      </c>
      <c r="EV795" s="24">
        <v>2433</v>
      </c>
      <c r="FW795" s="24">
        <v>2015</v>
      </c>
      <c r="FX795" s="24">
        <v>50</v>
      </c>
      <c r="FY795" s="24" t="s">
        <v>33</v>
      </c>
      <c r="FZ795" s="24">
        <v>3660</v>
      </c>
      <c r="GA795" s="24">
        <v>2699</v>
      </c>
      <c r="GD795" s="24"/>
      <c r="GE795" s="24"/>
      <c r="GF795" s="24"/>
      <c r="GG795" s="24"/>
      <c r="GH795" s="24"/>
      <c r="GX795">
        <v>2015</v>
      </c>
      <c r="GY795">
        <v>50</v>
      </c>
      <c r="GZ795" t="s">
        <v>33</v>
      </c>
      <c r="HA795">
        <v>67699</v>
      </c>
      <c r="HB795">
        <v>61682</v>
      </c>
      <c r="HC795">
        <v>0</v>
      </c>
      <c r="HD795">
        <v>1061</v>
      </c>
      <c r="HE795">
        <v>1</v>
      </c>
      <c r="HF795">
        <v>973</v>
      </c>
      <c r="HG795">
        <v>0</v>
      </c>
      <c r="HH795">
        <v>0</v>
      </c>
      <c r="HI795">
        <v>908</v>
      </c>
      <c r="HZ795" s="24">
        <v>2015</v>
      </c>
      <c r="IA795" s="24">
        <v>50</v>
      </c>
      <c r="IB795" s="24" t="s">
        <v>33</v>
      </c>
      <c r="IC795" s="24">
        <v>3845</v>
      </c>
      <c r="ID795" s="24">
        <v>3010</v>
      </c>
    </row>
    <row r="796" spans="9:238" x14ac:dyDescent="0.4">
      <c r="I796" s="305">
        <v>2015</v>
      </c>
      <c r="J796" s="306">
        <v>50</v>
      </c>
      <c r="K796" s="306" t="s">
        <v>33</v>
      </c>
      <c r="L796" s="306">
        <v>67594</v>
      </c>
      <c r="M796" s="306">
        <v>56737</v>
      </c>
      <c r="N796" s="306"/>
      <c r="O796" s="306">
        <v>10857</v>
      </c>
      <c r="P796" s="306">
        <v>866</v>
      </c>
      <c r="Q796" s="306">
        <v>13</v>
      </c>
      <c r="R796" s="298"/>
      <c r="S796" s="298"/>
      <c r="T796" s="298"/>
      <c r="DJ796" s="24">
        <v>2016</v>
      </c>
      <c r="DK796" s="24">
        <v>20</v>
      </c>
      <c r="DL796" s="24" t="s">
        <v>32</v>
      </c>
      <c r="DM796" s="24">
        <v>541</v>
      </c>
      <c r="DP796" s="24"/>
      <c r="DQ796" s="24"/>
      <c r="DR796" s="24"/>
      <c r="DS796" s="24"/>
      <c r="EI796" s="24">
        <v>2022</v>
      </c>
      <c r="EJ796" s="24">
        <v>38</v>
      </c>
      <c r="EK796" s="24" t="s">
        <v>211</v>
      </c>
      <c r="EL796" s="24" t="s">
        <v>212</v>
      </c>
      <c r="EM796" s="24" t="s">
        <v>210</v>
      </c>
      <c r="EN796" s="24">
        <v>9</v>
      </c>
      <c r="EO796" s="24"/>
      <c r="EP796" s="24"/>
      <c r="ES796" s="313">
        <v>2017</v>
      </c>
      <c r="ET796" s="313">
        <v>20</v>
      </c>
      <c r="EU796" s="313" t="s">
        <v>33</v>
      </c>
      <c r="EV796" s="313">
        <v>45253</v>
      </c>
      <c r="FW796" s="24">
        <v>2015</v>
      </c>
      <c r="FX796" s="24">
        <v>49</v>
      </c>
      <c r="FY796" s="24" t="s">
        <v>32</v>
      </c>
      <c r="FZ796" s="24">
        <v>494</v>
      </c>
      <c r="GA796" s="24">
        <v>356</v>
      </c>
      <c r="GD796" s="24"/>
      <c r="GE796" s="24"/>
      <c r="GF796" s="24"/>
      <c r="GG796" s="24"/>
      <c r="GH796" s="24"/>
      <c r="GX796">
        <v>2015</v>
      </c>
      <c r="GY796">
        <v>49</v>
      </c>
      <c r="GZ796" t="s">
        <v>32</v>
      </c>
      <c r="HA796">
        <v>4434</v>
      </c>
      <c r="HB796">
        <v>3981</v>
      </c>
      <c r="HC796">
        <v>0</v>
      </c>
      <c r="HD796">
        <v>113</v>
      </c>
      <c r="HE796">
        <v>0</v>
      </c>
      <c r="HF796">
        <v>23</v>
      </c>
      <c r="HG796">
        <v>0</v>
      </c>
      <c r="HH796">
        <v>0</v>
      </c>
      <c r="HI796">
        <v>161</v>
      </c>
      <c r="HZ796" s="24">
        <v>2015</v>
      </c>
      <c r="IA796" s="24">
        <v>49</v>
      </c>
      <c r="IB796" s="24" t="s">
        <v>32</v>
      </c>
      <c r="IC796" s="24">
        <v>542</v>
      </c>
      <c r="ID796" s="24">
        <v>406</v>
      </c>
    </row>
    <row r="797" spans="9:238" x14ac:dyDescent="0.4">
      <c r="I797" s="305">
        <v>2015</v>
      </c>
      <c r="J797" s="306">
        <v>49</v>
      </c>
      <c r="K797" s="306" t="s">
        <v>32</v>
      </c>
      <c r="L797" s="306">
        <v>4465</v>
      </c>
      <c r="M797" s="306">
        <v>3990</v>
      </c>
      <c r="N797" s="306"/>
      <c r="O797" s="306">
        <v>475</v>
      </c>
      <c r="P797" s="306">
        <v>59</v>
      </c>
      <c r="Q797" s="306"/>
      <c r="R797" s="298"/>
      <c r="S797" s="298"/>
      <c r="T797" s="298"/>
      <c r="DJ797" s="24">
        <v>2016</v>
      </c>
      <c r="DK797" s="24">
        <v>20</v>
      </c>
      <c r="DL797" s="24" t="s">
        <v>33</v>
      </c>
      <c r="DM797" s="24">
        <v>9585</v>
      </c>
      <c r="DP797" s="24"/>
      <c r="DQ797" s="24"/>
      <c r="DR797" s="24"/>
      <c r="DS797" s="24"/>
      <c r="EI797" s="24">
        <v>2022</v>
      </c>
      <c r="EJ797" s="24">
        <v>38</v>
      </c>
      <c r="EK797" s="24" t="s">
        <v>211</v>
      </c>
      <c r="EL797" s="24" t="s">
        <v>212</v>
      </c>
      <c r="EM797" s="24" t="s">
        <v>234</v>
      </c>
      <c r="EN797" s="24">
        <v>10</v>
      </c>
      <c r="EO797" s="24"/>
      <c r="EP797" s="24"/>
      <c r="ES797" s="313">
        <v>2017</v>
      </c>
      <c r="ET797" s="313">
        <v>19</v>
      </c>
      <c r="EU797" s="313" t="s">
        <v>32</v>
      </c>
      <c r="EV797" s="313">
        <v>3564</v>
      </c>
      <c r="FW797" s="24">
        <v>2015</v>
      </c>
      <c r="FX797" s="24">
        <v>49</v>
      </c>
      <c r="FY797" s="24" t="s">
        <v>33</v>
      </c>
      <c r="FZ797" s="24">
        <v>3312</v>
      </c>
      <c r="GA797" s="24">
        <v>2537</v>
      </c>
      <c r="GD797" s="24"/>
      <c r="GE797" s="24"/>
      <c r="GF797" s="24"/>
      <c r="GG797" s="24"/>
      <c r="GH797" s="24"/>
      <c r="GX797">
        <v>2015</v>
      </c>
      <c r="GY797">
        <v>49</v>
      </c>
      <c r="GZ797" t="s">
        <v>33</v>
      </c>
      <c r="HA797">
        <v>58421</v>
      </c>
      <c r="HB797">
        <v>54464</v>
      </c>
      <c r="HC797">
        <v>0</v>
      </c>
      <c r="HD797">
        <v>1131</v>
      </c>
      <c r="HE797">
        <v>0</v>
      </c>
      <c r="HF797">
        <v>597</v>
      </c>
      <c r="HG797">
        <v>0</v>
      </c>
      <c r="HH797">
        <v>0</v>
      </c>
      <c r="HI797">
        <v>656</v>
      </c>
      <c r="HZ797" s="24">
        <v>2015</v>
      </c>
      <c r="IA797" s="24">
        <v>49</v>
      </c>
      <c r="IB797" s="24" t="s">
        <v>33</v>
      </c>
      <c r="IC797" s="24">
        <v>3328</v>
      </c>
      <c r="ID797" s="24">
        <v>2662</v>
      </c>
    </row>
    <row r="798" spans="9:238" x14ac:dyDescent="0.4">
      <c r="I798" s="305">
        <v>2015</v>
      </c>
      <c r="J798" s="306">
        <v>49</v>
      </c>
      <c r="K798" s="306" t="s">
        <v>33</v>
      </c>
      <c r="L798" s="306">
        <v>58294</v>
      </c>
      <c r="M798" s="306">
        <v>50766</v>
      </c>
      <c r="N798" s="306"/>
      <c r="O798" s="306">
        <v>7528</v>
      </c>
      <c r="P798" s="306">
        <v>471</v>
      </c>
      <c r="Q798" s="306">
        <v>1</v>
      </c>
      <c r="R798" s="298"/>
      <c r="S798" s="298"/>
      <c r="T798" s="298"/>
      <c r="DJ798" s="24">
        <v>2016</v>
      </c>
      <c r="DK798" s="24">
        <v>19</v>
      </c>
      <c r="DL798" s="24" t="s">
        <v>32</v>
      </c>
      <c r="DM798" s="24">
        <v>160</v>
      </c>
      <c r="DP798" s="24"/>
      <c r="DQ798" s="24"/>
      <c r="DR798" s="24"/>
      <c r="DS798" s="24"/>
      <c r="EI798" s="24">
        <v>2022</v>
      </c>
      <c r="EJ798" s="24">
        <v>38</v>
      </c>
      <c r="EK798" s="24" t="s">
        <v>211</v>
      </c>
      <c r="EL798" s="24" t="s">
        <v>247</v>
      </c>
      <c r="EM798" s="24" t="s">
        <v>234</v>
      </c>
      <c r="EN798" s="24">
        <v>10</v>
      </c>
      <c r="EO798" s="24"/>
      <c r="EP798" s="24"/>
      <c r="ES798" s="313">
        <v>2017</v>
      </c>
      <c r="ET798" s="313">
        <v>19</v>
      </c>
      <c r="EU798" s="313" t="s">
        <v>33</v>
      </c>
      <c r="EV798" s="313">
        <v>46660</v>
      </c>
      <c r="FW798" s="24">
        <v>2015</v>
      </c>
      <c r="FX798" s="24">
        <v>48</v>
      </c>
      <c r="FY798" s="24" t="s">
        <v>32</v>
      </c>
      <c r="FZ798" s="24">
        <v>670</v>
      </c>
      <c r="GA798" s="24">
        <v>419</v>
      </c>
      <c r="GD798" s="24"/>
      <c r="GE798" s="24"/>
      <c r="GF798" s="24"/>
      <c r="GG798" s="24"/>
      <c r="GH798" s="24"/>
      <c r="GX798">
        <v>2015</v>
      </c>
      <c r="GY798">
        <v>48</v>
      </c>
      <c r="GZ798" t="s">
        <v>32</v>
      </c>
      <c r="HA798">
        <v>8087</v>
      </c>
      <c r="HB798">
        <v>6407</v>
      </c>
      <c r="HC798">
        <v>0</v>
      </c>
      <c r="HD798">
        <v>75</v>
      </c>
      <c r="HE798">
        <v>1</v>
      </c>
      <c r="HF798">
        <v>106</v>
      </c>
      <c r="HG798">
        <v>0</v>
      </c>
      <c r="HH798">
        <v>0</v>
      </c>
      <c r="HI798">
        <v>491</v>
      </c>
      <c r="HZ798" s="24">
        <v>2015</v>
      </c>
      <c r="IA798" s="24">
        <v>48</v>
      </c>
      <c r="IB798" s="24" t="s">
        <v>32</v>
      </c>
      <c r="IC798" s="24">
        <v>604</v>
      </c>
      <c r="ID798" s="24">
        <v>359</v>
      </c>
    </row>
    <row r="799" spans="9:238" x14ac:dyDescent="0.4">
      <c r="I799" s="305">
        <v>2015</v>
      </c>
      <c r="J799" s="306">
        <v>48</v>
      </c>
      <c r="K799" s="306" t="s">
        <v>32</v>
      </c>
      <c r="L799" s="306">
        <v>10203</v>
      </c>
      <c r="M799" s="306">
        <v>7453</v>
      </c>
      <c r="N799" s="306"/>
      <c r="O799" s="306">
        <v>2750</v>
      </c>
      <c r="P799" s="306">
        <v>124</v>
      </c>
      <c r="Q799" s="306"/>
      <c r="R799" s="298"/>
      <c r="S799" s="298"/>
      <c r="T799" s="298"/>
      <c r="DJ799" s="24">
        <v>2016</v>
      </c>
      <c r="DK799" s="24">
        <v>19</v>
      </c>
      <c r="DL799" s="24" t="s">
        <v>33</v>
      </c>
      <c r="DM799" s="24">
        <v>16112</v>
      </c>
      <c r="DP799" s="24"/>
      <c r="DQ799" s="24"/>
      <c r="DR799" s="24"/>
      <c r="DS799" s="24"/>
      <c r="EI799" s="24">
        <v>2022</v>
      </c>
      <c r="EJ799" s="24">
        <v>37</v>
      </c>
      <c r="EK799" s="24" t="s">
        <v>19</v>
      </c>
      <c r="EL799" s="24" t="s">
        <v>233</v>
      </c>
      <c r="EM799" s="24" t="s">
        <v>210</v>
      </c>
      <c r="EN799" s="24">
        <v>1</v>
      </c>
      <c r="EO799" s="24"/>
      <c r="EP799" s="24"/>
      <c r="ES799" s="313">
        <v>2017</v>
      </c>
      <c r="ET799" s="313">
        <v>18</v>
      </c>
      <c r="EU799" s="313" t="s">
        <v>32</v>
      </c>
      <c r="EV799" s="313">
        <v>2197</v>
      </c>
      <c r="FW799" s="24">
        <v>2015</v>
      </c>
      <c r="FX799" s="24">
        <v>48</v>
      </c>
      <c r="FY799" s="24" t="s">
        <v>33</v>
      </c>
      <c r="FZ799" s="24">
        <v>4417</v>
      </c>
      <c r="GA799" s="24">
        <v>2486</v>
      </c>
      <c r="GD799" s="24"/>
      <c r="GE799" s="24"/>
      <c r="GF799" s="24"/>
      <c r="GG799" s="24"/>
      <c r="GH799" s="24"/>
      <c r="GX799">
        <v>2015</v>
      </c>
      <c r="GY799">
        <v>48</v>
      </c>
      <c r="GZ799" t="s">
        <v>33</v>
      </c>
      <c r="HA799">
        <v>128486</v>
      </c>
      <c r="HB799">
        <v>74013</v>
      </c>
      <c r="HC799">
        <v>0</v>
      </c>
      <c r="HD799">
        <v>1578</v>
      </c>
      <c r="HE799">
        <v>1</v>
      </c>
      <c r="HF799">
        <v>7944</v>
      </c>
      <c r="HG799">
        <v>0</v>
      </c>
      <c r="HH799">
        <v>0</v>
      </c>
      <c r="HI799">
        <v>3393</v>
      </c>
      <c r="HZ799" s="24">
        <v>2015</v>
      </c>
      <c r="IA799" s="24">
        <v>48</v>
      </c>
      <c r="IB799" s="24" t="s">
        <v>33</v>
      </c>
      <c r="IC799" s="24">
        <v>4288</v>
      </c>
      <c r="ID799" s="24">
        <v>2461</v>
      </c>
    </row>
    <row r="800" spans="9:238" x14ac:dyDescent="0.4">
      <c r="I800" s="305">
        <v>2015</v>
      </c>
      <c r="J800" s="306">
        <v>48</v>
      </c>
      <c r="K800" s="306" t="s">
        <v>33</v>
      </c>
      <c r="L800" s="306">
        <v>140813</v>
      </c>
      <c r="M800" s="306">
        <v>78579</v>
      </c>
      <c r="N800" s="306"/>
      <c r="O800" s="306">
        <v>62227</v>
      </c>
      <c r="P800" s="306">
        <v>1739</v>
      </c>
      <c r="Q800" s="306">
        <v>6</v>
      </c>
      <c r="R800" s="298"/>
      <c r="S800" s="298"/>
      <c r="T800" s="298"/>
      <c r="DJ800" s="324">
        <v>2016</v>
      </c>
      <c r="DK800" s="324">
        <v>18</v>
      </c>
      <c r="DL800" s="324" t="s">
        <v>32</v>
      </c>
      <c r="DM800" s="324">
        <v>311</v>
      </c>
      <c r="DP800" s="24"/>
      <c r="DQ800" s="24"/>
      <c r="DR800" s="24"/>
      <c r="DS800" s="24"/>
      <c r="EI800" s="24">
        <v>2022</v>
      </c>
      <c r="EJ800" s="24">
        <v>37</v>
      </c>
      <c r="EK800" s="24" t="s">
        <v>19</v>
      </c>
      <c r="EL800" s="24" t="s">
        <v>233</v>
      </c>
      <c r="EM800" s="24" t="s">
        <v>215</v>
      </c>
      <c r="EN800" s="24">
        <v>1</v>
      </c>
      <c r="EO800" s="24"/>
      <c r="EP800" s="24"/>
      <c r="ES800" s="313">
        <v>2017</v>
      </c>
      <c r="ET800" s="313">
        <v>18</v>
      </c>
      <c r="EU800" s="313" t="s">
        <v>33</v>
      </c>
      <c r="EV800" s="313">
        <v>50623</v>
      </c>
      <c r="FW800" s="24">
        <v>2015</v>
      </c>
      <c r="FX800" s="24">
        <v>47</v>
      </c>
      <c r="FY800" s="24" t="s">
        <v>32</v>
      </c>
      <c r="FZ800" s="24">
        <v>472</v>
      </c>
      <c r="GA800" s="24">
        <v>316</v>
      </c>
      <c r="GD800" s="24"/>
      <c r="GE800" s="24"/>
      <c r="GF800" s="24"/>
      <c r="GG800" s="24"/>
      <c r="GH800" s="24"/>
      <c r="GX800">
        <v>2015</v>
      </c>
      <c r="GY800">
        <v>47</v>
      </c>
      <c r="GZ800" t="s">
        <v>32</v>
      </c>
      <c r="HA800">
        <v>6243</v>
      </c>
      <c r="HB800">
        <v>4698</v>
      </c>
      <c r="HC800">
        <v>0</v>
      </c>
      <c r="HD800">
        <v>134</v>
      </c>
      <c r="HE800">
        <v>0</v>
      </c>
      <c r="HF800">
        <v>54</v>
      </c>
      <c r="HG800">
        <v>0</v>
      </c>
      <c r="HH800">
        <v>0</v>
      </c>
      <c r="HI800">
        <v>434</v>
      </c>
      <c r="HZ800" s="24">
        <v>2015</v>
      </c>
      <c r="IA800" s="24">
        <v>47</v>
      </c>
      <c r="IB800" s="24" t="s">
        <v>32</v>
      </c>
      <c r="IC800" s="24">
        <v>531</v>
      </c>
      <c r="ID800" s="24">
        <v>361</v>
      </c>
    </row>
    <row r="801" spans="9:238" x14ac:dyDescent="0.4">
      <c r="I801" s="305">
        <v>2015</v>
      </c>
      <c r="J801" s="306">
        <v>47</v>
      </c>
      <c r="K801" s="306" t="s">
        <v>32</v>
      </c>
      <c r="L801" s="306">
        <v>4043</v>
      </c>
      <c r="M801" s="306">
        <v>3557</v>
      </c>
      <c r="N801" s="306"/>
      <c r="O801" s="306">
        <v>486</v>
      </c>
      <c r="P801" s="306">
        <v>70</v>
      </c>
      <c r="Q801" s="306">
        <v>1</v>
      </c>
      <c r="R801" s="298"/>
      <c r="S801" s="298"/>
      <c r="T801" s="298"/>
      <c r="DJ801" s="324">
        <v>2016</v>
      </c>
      <c r="DK801" s="324">
        <v>18</v>
      </c>
      <c r="DL801" s="324" t="s">
        <v>33</v>
      </c>
      <c r="DM801" s="324">
        <v>17001</v>
      </c>
      <c r="DP801" s="24"/>
      <c r="DQ801" s="24"/>
      <c r="DR801" s="24"/>
      <c r="DS801" s="24"/>
      <c r="EI801" s="24">
        <v>2022</v>
      </c>
      <c r="EJ801" s="24">
        <v>37</v>
      </c>
      <c r="EK801" s="24" t="s">
        <v>208</v>
      </c>
      <c r="EL801" s="24" t="s">
        <v>352</v>
      </c>
      <c r="EM801" s="24" t="s">
        <v>210</v>
      </c>
      <c r="EN801" s="24">
        <v>1</v>
      </c>
      <c r="EO801" s="24"/>
      <c r="EP801" s="24"/>
      <c r="ES801" s="313">
        <v>2017</v>
      </c>
      <c r="ET801" s="313">
        <v>17</v>
      </c>
      <c r="EU801" s="313" t="s">
        <v>32</v>
      </c>
      <c r="EV801" s="313">
        <v>3259</v>
      </c>
      <c r="FW801" s="24">
        <v>2015</v>
      </c>
      <c r="FX801" s="24">
        <v>47</v>
      </c>
      <c r="FY801" s="24" t="s">
        <v>33</v>
      </c>
      <c r="FZ801" s="24">
        <v>2622</v>
      </c>
      <c r="GA801" s="24">
        <v>2147</v>
      </c>
      <c r="GD801" s="24"/>
      <c r="GE801" s="24"/>
      <c r="GF801" s="24"/>
      <c r="GG801" s="24"/>
      <c r="GH801" s="24"/>
      <c r="GX801">
        <v>2015</v>
      </c>
      <c r="GY801">
        <v>47</v>
      </c>
      <c r="GZ801" t="s">
        <v>33</v>
      </c>
      <c r="HA801">
        <v>63660</v>
      </c>
      <c r="HB801">
        <v>54784</v>
      </c>
      <c r="HC801">
        <v>0</v>
      </c>
      <c r="HD801">
        <v>1317</v>
      </c>
      <c r="HE801">
        <v>0</v>
      </c>
      <c r="HF801">
        <v>2507</v>
      </c>
      <c r="HG801">
        <v>0</v>
      </c>
      <c r="HH801">
        <v>0</v>
      </c>
      <c r="HI801">
        <v>957</v>
      </c>
      <c r="HZ801" s="24">
        <v>2015</v>
      </c>
      <c r="IA801" s="24">
        <v>47</v>
      </c>
      <c r="IB801" s="24" t="s">
        <v>33</v>
      </c>
      <c r="IC801" s="24">
        <v>2699</v>
      </c>
      <c r="ID801" s="24">
        <v>2307</v>
      </c>
    </row>
    <row r="802" spans="9:238" x14ac:dyDescent="0.4">
      <c r="I802" s="305">
        <v>2015</v>
      </c>
      <c r="J802" s="306">
        <v>47</v>
      </c>
      <c r="K802" s="306" t="s">
        <v>33</v>
      </c>
      <c r="L802" s="306">
        <v>51163</v>
      </c>
      <c r="M802" s="306">
        <v>43620</v>
      </c>
      <c r="N802" s="306"/>
      <c r="O802" s="306">
        <v>7543</v>
      </c>
      <c r="P802" s="306">
        <v>310</v>
      </c>
      <c r="Q802" s="306">
        <v>16</v>
      </c>
      <c r="R802" s="298"/>
      <c r="S802" s="298"/>
      <c r="T802" s="298"/>
      <c r="DJ802" s="24">
        <v>2016</v>
      </c>
      <c r="DK802" s="24">
        <v>17</v>
      </c>
      <c r="DL802" s="24" t="s">
        <v>32</v>
      </c>
      <c r="DM802" s="24">
        <v>189</v>
      </c>
      <c r="DP802" s="24"/>
      <c r="DQ802" s="24"/>
      <c r="DR802" s="24"/>
      <c r="DS802" s="24"/>
      <c r="EI802" s="24">
        <v>2022</v>
      </c>
      <c r="EJ802" s="24">
        <v>37</v>
      </c>
      <c r="EK802" s="24" t="s">
        <v>208</v>
      </c>
      <c r="EL802" s="24" t="s">
        <v>554</v>
      </c>
      <c r="EM802" s="24" t="s">
        <v>210</v>
      </c>
      <c r="EN802" s="24">
        <v>3</v>
      </c>
      <c r="EO802" s="24"/>
      <c r="EP802" s="24"/>
      <c r="ES802" s="313">
        <v>2017</v>
      </c>
      <c r="ET802" s="313">
        <v>17</v>
      </c>
      <c r="EU802" s="313" t="s">
        <v>33</v>
      </c>
      <c r="EV802" s="313">
        <v>49929</v>
      </c>
      <c r="FW802" s="24">
        <v>2015</v>
      </c>
      <c r="FX802" s="24">
        <v>46</v>
      </c>
      <c r="FY802" s="24" t="s">
        <v>32</v>
      </c>
      <c r="FZ802" s="24">
        <v>457</v>
      </c>
      <c r="GA802" s="24">
        <v>373</v>
      </c>
      <c r="GD802" s="24"/>
      <c r="GE802" s="24"/>
      <c r="GF802" s="24"/>
      <c r="GG802" s="24"/>
      <c r="GH802" s="24"/>
      <c r="GX802">
        <v>2015</v>
      </c>
      <c r="GY802">
        <v>46</v>
      </c>
      <c r="GZ802" t="s">
        <v>32</v>
      </c>
      <c r="HA802">
        <v>3334</v>
      </c>
      <c r="HB802">
        <v>3108</v>
      </c>
      <c r="HC802">
        <v>0</v>
      </c>
      <c r="HD802">
        <v>49</v>
      </c>
      <c r="HE802">
        <v>0</v>
      </c>
      <c r="HF802">
        <v>10</v>
      </c>
      <c r="HG802">
        <v>0</v>
      </c>
      <c r="HH802">
        <v>0</v>
      </c>
      <c r="HI802">
        <v>69</v>
      </c>
      <c r="HZ802" s="24">
        <v>2015</v>
      </c>
      <c r="IA802" s="24">
        <v>46</v>
      </c>
      <c r="IB802" s="24" t="s">
        <v>32</v>
      </c>
      <c r="IC802" s="24">
        <v>454</v>
      </c>
      <c r="ID802" s="24">
        <v>367</v>
      </c>
    </row>
    <row r="803" spans="9:238" x14ac:dyDescent="0.4">
      <c r="I803" s="305">
        <v>2015</v>
      </c>
      <c r="J803" s="306">
        <v>46</v>
      </c>
      <c r="K803" s="306" t="s">
        <v>32</v>
      </c>
      <c r="L803" s="306">
        <v>3363</v>
      </c>
      <c r="M803" s="306">
        <v>3133</v>
      </c>
      <c r="N803" s="306"/>
      <c r="O803" s="306">
        <v>230</v>
      </c>
      <c r="P803" s="306">
        <v>37</v>
      </c>
      <c r="Q803" s="306"/>
      <c r="R803" s="298"/>
      <c r="S803" s="298"/>
      <c r="T803" s="298"/>
      <c r="DJ803" s="24">
        <v>2016</v>
      </c>
      <c r="DK803" s="24">
        <v>17</v>
      </c>
      <c r="DL803" s="24" t="s">
        <v>33</v>
      </c>
      <c r="DM803" s="24">
        <v>11628</v>
      </c>
      <c r="DP803" s="24"/>
      <c r="DQ803" s="24"/>
      <c r="DR803" s="24"/>
      <c r="DS803" s="24"/>
      <c r="EI803" s="24">
        <v>2022</v>
      </c>
      <c r="EJ803" s="24">
        <v>37</v>
      </c>
      <c r="EK803" s="24" t="s">
        <v>208</v>
      </c>
      <c r="EL803" s="24" t="s">
        <v>351</v>
      </c>
      <c r="EM803" s="24" t="s">
        <v>210</v>
      </c>
      <c r="EN803" s="24">
        <v>1</v>
      </c>
      <c r="EO803" s="24"/>
      <c r="EP803" s="24"/>
      <c r="ES803" s="24">
        <v>2017</v>
      </c>
      <c r="ET803" s="24">
        <v>16</v>
      </c>
      <c r="EU803" s="24" t="s">
        <v>32</v>
      </c>
      <c r="EV803" s="24">
        <v>2684</v>
      </c>
      <c r="FW803" s="24">
        <v>2015</v>
      </c>
      <c r="FX803" s="24">
        <v>46</v>
      </c>
      <c r="FY803" s="24" t="s">
        <v>33</v>
      </c>
      <c r="FZ803" s="24">
        <v>2679</v>
      </c>
      <c r="GA803" s="24">
        <v>2002</v>
      </c>
      <c r="GD803" s="24"/>
      <c r="GE803" s="24"/>
      <c r="GF803" s="24"/>
      <c r="GG803" s="24"/>
      <c r="GH803" s="24"/>
      <c r="GX803">
        <v>2015</v>
      </c>
      <c r="GY803">
        <v>46</v>
      </c>
      <c r="GZ803" t="s">
        <v>33</v>
      </c>
      <c r="HA803">
        <v>57513</v>
      </c>
      <c r="HB803">
        <v>52632</v>
      </c>
      <c r="HC803">
        <v>0</v>
      </c>
      <c r="HD803">
        <v>1443</v>
      </c>
      <c r="HE803">
        <v>0</v>
      </c>
      <c r="HF803">
        <v>1559</v>
      </c>
      <c r="HG803">
        <v>1</v>
      </c>
      <c r="HH803">
        <v>0</v>
      </c>
      <c r="HI803">
        <v>579</v>
      </c>
      <c r="HZ803" s="24">
        <v>2015</v>
      </c>
      <c r="IA803" s="24">
        <v>46</v>
      </c>
      <c r="IB803" s="24" t="s">
        <v>33</v>
      </c>
      <c r="IC803" s="24">
        <v>2756</v>
      </c>
      <c r="ID803" s="24">
        <v>2156</v>
      </c>
    </row>
    <row r="804" spans="9:238" x14ac:dyDescent="0.4">
      <c r="I804" s="305">
        <v>2015</v>
      </c>
      <c r="J804" s="306">
        <v>46</v>
      </c>
      <c r="K804" s="306" t="s">
        <v>33</v>
      </c>
      <c r="L804" s="306">
        <v>57563</v>
      </c>
      <c r="M804" s="306">
        <v>49642</v>
      </c>
      <c r="N804" s="306"/>
      <c r="O804" s="306">
        <v>7921</v>
      </c>
      <c r="P804" s="306">
        <v>487</v>
      </c>
      <c r="Q804" s="306">
        <v>4</v>
      </c>
      <c r="R804" s="298"/>
      <c r="S804" s="298"/>
      <c r="T804" s="298"/>
      <c r="DJ804" s="24">
        <v>2016</v>
      </c>
      <c r="DK804" s="24">
        <v>16</v>
      </c>
      <c r="DL804" s="24" t="s">
        <v>32</v>
      </c>
      <c r="DM804" s="24">
        <v>547</v>
      </c>
      <c r="DP804" s="24"/>
      <c r="DQ804" s="24"/>
      <c r="DR804" s="24"/>
      <c r="DS804" s="24"/>
      <c r="EI804" s="24">
        <v>2022</v>
      </c>
      <c r="EJ804" s="24">
        <v>37</v>
      </c>
      <c r="EK804" s="24" t="s">
        <v>208</v>
      </c>
      <c r="EL804" s="24" t="s">
        <v>351</v>
      </c>
      <c r="EM804" s="24" t="s">
        <v>234</v>
      </c>
      <c r="EN804" s="24">
        <v>3</v>
      </c>
      <c r="EO804" s="24"/>
      <c r="EP804" s="24"/>
      <c r="ES804" s="24">
        <v>2017</v>
      </c>
      <c r="ET804" s="24">
        <v>16</v>
      </c>
      <c r="EU804" s="24" t="s">
        <v>33</v>
      </c>
      <c r="EV804" s="24">
        <v>48447</v>
      </c>
      <c r="FW804" s="24">
        <v>2015</v>
      </c>
      <c r="FX804" s="24">
        <v>45</v>
      </c>
      <c r="FY804" s="24" t="s">
        <v>32</v>
      </c>
      <c r="FZ804" s="24">
        <v>495</v>
      </c>
      <c r="GA804" s="24">
        <v>334</v>
      </c>
      <c r="GD804" s="24"/>
      <c r="GE804" s="24"/>
      <c r="GF804" s="24"/>
      <c r="GG804" s="24"/>
      <c r="GH804" s="24"/>
      <c r="GX804">
        <v>2015</v>
      </c>
      <c r="GY804">
        <v>45</v>
      </c>
      <c r="GZ804" t="s">
        <v>32</v>
      </c>
      <c r="HA804">
        <v>4076</v>
      </c>
      <c r="HB804">
        <v>3694</v>
      </c>
      <c r="HC804">
        <v>0</v>
      </c>
      <c r="HD804">
        <v>68</v>
      </c>
      <c r="HE804">
        <v>0</v>
      </c>
      <c r="HF804">
        <v>25</v>
      </c>
      <c r="HG804">
        <v>0</v>
      </c>
      <c r="HH804">
        <v>0</v>
      </c>
      <c r="HI804">
        <v>147</v>
      </c>
      <c r="HZ804" s="24">
        <v>2015</v>
      </c>
      <c r="IA804" s="24">
        <v>45</v>
      </c>
      <c r="IB804" s="24" t="s">
        <v>32</v>
      </c>
      <c r="IC804" s="24">
        <v>491</v>
      </c>
      <c r="ID804" s="24">
        <v>329</v>
      </c>
    </row>
    <row r="805" spans="9:238" x14ac:dyDescent="0.4">
      <c r="I805" s="305">
        <v>2015</v>
      </c>
      <c r="J805" s="306">
        <v>45</v>
      </c>
      <c r="K805" s="306" t="s">
        <v>32</v>
      </c>
      <c r="L805" s="306">
        <v>4451</v>
      </c>
      <c r="M805" s="306">
        <v>4017</v>
      </c>
      <c r="N805" s="306"/>
      <c r="O805" s="306">
        <v>434</v>
      </c>
      <c r="P805" s="306">
        <v>82</v>
      </c>
      <c r="Q805" s="306">
        <v>3</v>
      </c>
      <c r="R805" s="298"/>
      <c r="S805" s="298"/>
      <c r="T805" s="298"/>
      <c r="DJ805" s="24">
        <v>2016</v>
      </c>
      <c r="DK805" s="24">
        <v>16</v>
      </c>
      <c r="DL805" s="24" t="s">
        <v>33</v>
      </c>
      <c r="DM805" s="24">
        <v>8324</v>
      </c>
      <c r="DP805" s="24"/>
      <c r="DQ805" s="24"/>
      <c r="DR805" s="24"/>
      <c r="DS805" s="24"/>
      <c r="EI805" s="24">
        <v>2022</v>
      </c>
      <c r="EJ805" s="24">
        <v>37</v>
      </c>
      <c r="EK805" s="24" t="s">
        <v>208</v>
      </c>
      <c r="EL805" s="24" t="s">
        <v>351</v>
      </c>
      <c r="EM805" s="24" t="s">
        <v>215</v>
      </c>
      <c r="EN805" s="24">
        <v>27</v>
      </c>
      <c r="EO805" s="24"/>
      <c r="EP805" s="24"/>
      <c r="ES805" s="24">
        <v>2017</v>
      </c>
      <c r="ET805" s="24">
        <v>15</v>
      </c>
      <c r="EU805" s="24" t="s">
        <v>32</v>
      </c>
      <c r="EV805" s="24">
        <v>2775</v>
      </c>
      <c r="FW805" s="24">
        <v>2015</v>
      </c>
      <c r="FX805" s="24">
        <v>45</v>
      </c>
      <c r="FY805" s="24" t="s">
        <v>33</v>
      </c>
      <c r="FZ805" s="24">
        <v>3234</v>
      </c>
      <c r="GA805" s="24">
        <v>2238</v>
      </c>
      <c r="GD805" s="24"/>
      <c r="GE805" s="24"/>
      <c r="GF805" s="24"/>
      <c r="GG805" s="24"/>
      <c r="GH805" s="24"/>
      <c r="GX805">
        <v>2015</v>
      </c>
      <c r="GY805">
        <v>45</v>
      </c>
      <c r="GZ805" t="s">
        <v>33</v>
      </c>
      <c r="HA805">
        <v>54039</v>
      </c>
      <c r="HB805">
        <v>48814</v>
      </c>
      <c r="HC805">
        <v>0</v>
      </c>
      <c r="HD805">
        <v>1964</v>
      </c>
      <c r="HE805">
        <v>0</v>
      </c>
      <c r="HF805">
        <v>1101</v>
      </c>
      <c r="HG805">
        <v>1</v>
      </c>
      <c r="HH805">
        <v>0</v>
      </c>
      <c r="HI805">
        <v>642</v>
      </c>
      <c r="HZ805" s="24">
        <v>2015</v>
      </c>
      <c r="IA805" s="24">
        <v>45</v>
      </c>
      <c r="IB805" s="24" t="s">
        <v>33</v>
      </c>
      <c r="IC805" s="24">
        <v>3076</v>
      </c>
      <c r="ID805" s="24">
        <v>2243</v>
      </c>
    </row>
    <row r="806" spans="9:238" x14ac:dyDescent="0.4">
      <c r="I806" s="305">
        <v>2015</v>
      </c>
      <c r="J806" s="306">
        <v>45</v>
      </c>
      <c r="K806" s="306" t="s">
        <v>33</v>
      </c>
      <c r="L806" s="306">
        <v>54230</v>
      </c>
      <c r="M806" s="306">
        <v>45298</v>
      </c>
      <c r="N806" s="306"/>
      <c r="O806" s="306">
        <v>8929</v>
      </c>
      <c r="P806" s="306">
        <v>468</v>
      </c>
      <c r="Q806" s="306">
        <v>5</v>
      </c>
      <c r="R806" s="298"/>
      <c r="S806" s="298"/>
      <c r="T806" s="298"/>
      <c r="DJ806" s="24">
        <v>2016</v>
      </c>
      <c r="DK806" s="24">
        <v>15</v>
      </c>
      <c r="DL806" s="24" t="s">
        <v>32</v>
      </c>
      <c r="DM806" s="24">
        <v>323</v>
      </c>
      <c r="DP806" s="24"/>
      <c r="DQ806" s="24"/>
      <c r="DR806" s="24"/>
      <c r="DS806" s="24"/>
      <c r="EI806" s="24">
        <v>2022</v>
      </c>
      <c r="EJ806" s="24">
        <v>37</v>
      </c>
      <c r="EK806" s="24" t="s">
        <v>208</v>
      </c>
      <c r="EL806" s="24" t="s">
        <v>235</v>
      </c>
      <c r="EM806" s="24" t="s">
        <v>210</v>
      </c>
      <c r="EN806" s="24">
        <v>34</v>
      </c>
      <c r="EO806" s="24"/>
      <c r="EP806" s="24"/>
      <c r="ES806" s="24">
        <v>2017</v>
      </c>
      <c r="ET806" s="24">
        <v>15</v>
      </c>
      <c r="EU806" s="24" t="s">
        <v>33</v>
      </c>
      <c r="EV806" s="24">
        <v>44186</v>
      </c>
      <c r="FW806" s="24">
        <v>2015</v>
      </c>
      <c r="FX806" s="24">
        <v>44</v>
      </c>
      <c r="FY806" s="24" t="s">
        <v>32</v>
      </c>
      <c r="FZ806" s="24">
        <v>445</v>
      </c>
      <c r="GA806" s="24">
        <v>264</v>
      </c>
      <c r="GD806" s="24"/>
      <c r="GE806" s="24"/>
      <c r="GF806" s="24"/>
      <c r="GG806" s="24"/>
      <c r="GH806" s="24"/>
      <c r="GX806">
        <v>2015</v>
      </c>
      <c r="GY806">
        <v>44</v>
      </c>
      <c r="GZ806" t="s">
        <v>32</v>
      </c>
      <c r="HA806">
        <v>4184</v>
      </c>
      <c r="HB806">
        <v>3688</v>
      </c>
      <c r="HC806">
        <v>0</v>
      </c>
      <c r="HD806">
        <v>41</v>
      </c>
      <c r="HE806">
        <v>0</v>
      </c>
      <c r="HF806">
        <v>40</v>
      </c>
      <c r="HG806">
        <v>0</v>
      </c>
      <c r="HH806">
        <v>0</v>
      </c>
      <c r="HI806">
        <v>177</v>
      </c>
      <c r="HZ806" s="24">
        <v>2015</v>
      </c>
      <c r="IA806" s="24">
        <v>44</v>
      </c>
      <c r="IB806" s="24" t="s">
        <v>32</v>
      </c>
      <c r="IC806" s="24">
        <v>438</v>
      </c>
      <c r="ID806" s="24">
        <v>253</v>
      </c>
    </row>
    <row r="807" spans="9:238" x14ac:dyDescent="0.4">
      <c r="I807" s="305">
        <v>2015</v>
      </c>
      <c r="J807" s="306">
        <v>44</v>
      </c>
      <c r="K807" s="306" t="s">
        <v>32</v>
      </c>
      <c r="L807" s="306">
        <v>3939</v>
      </c>
      <c r="M807" s="306">
        <v>3459</v>
      </c>
      <c r="N807" s="306"/>
      <c r="O807" s="306">
        <v>480</v>
      </c>
      <c r="P807" s="306">
        <v>102</v>
      </c>
      <c r="Q807" s="306"/>
      <c r="R807" s="298"/>
      <c r="S807" s="298"/>
      <c r="T807" s="298"/>
      <c r="DJ807" s="24">
        <v>2016</v>
      </c>
      <c r="DK807" s="24">
        <v>15</v>
      </c>
      <c r="DL807" s="24" t="s">
        <v>33</v>
      </c>
      <c r="DM807" s="24">
        <v>11350</v>
      </c>
      <c r="DP807" s="24"/>
      <c r="DQ807" s="24"/>
      <c r="DR807" s="24"/>
      <c r="DS807" s="24"/>
      <c r="EI807" s="24">
        <v>2022</v>
      </c>
      <c r="EJ807" s="24">
        <v>37</v>
      </c>
      <c r="EK807" s="24" t="s">
        <v>208</v>
      </c>
      <c r="EL807" s="24" t="s">
        <v>235</v>
      </c>
      <c r="EM807" s="24" t="s">
        <v>234</v>
      </c>
      <c r="EN807" s="24">
        <v>6</v>
      </c>
      <c r="EO807" s="24"/>
      <c r="EP807" s="24"/>
      <c r="ES807" s="24">
        <v>2017</v>
      </c>
      <c r="ET807" s="24">
        <v>14</v>
      </c>
      <c r="EU807" s="24" t="s">
        <v>32</v>
      </c>
      <c r="EV807" s="24">
        <v>2536</v>
      </c>
      <c r="FW807" s="24">
        <v>2015</v>
      </c>
      <c r="FX807" s="24">
        <v>44</v>
      </c>
      <c r="FY807" s="24" t="s">
        <v>33</v>
      </c>
      <c r="FZ807" s="24">
        <v>2953</v>
      </c>
      <c r="GA807" s="24">
        <v>2299</v>
      </c>
      <c r="GD807" s="24"/>
      <c r="GE807" s="24"/>
      <c r="GF807" s="24"/>
      <c r="GG807" s="24"/>
      <c r="GH807" s="24"/>
      <c r="GX807">
        <v>2015</v>
      </c>
      <c r="GY807">
        <v>44</v>
      </c>
      <c r="GZ807" t="s">
        <v>33</v>
      </c>
      <c r="HA807">
        <v>51610</v>
      </c>
      <c r="HB807">
        <v>47895</v>
      </c>
      <c r="HC807">
        <v>0</v>
      </c>
      <c r="HD807">
        <v>1328</v>
      </c>
      <c r="HE807">
        <v>1</v>
      </c>
      <c r="HF807">
        <v>542</v>
      </c>
      <c r="HG807">
        <v>0</v>
      </c>
      <c r="HH807">
        <v>0</v>
      </c>
      <c r="HI807">
        <v>434</v>
      </c>
      <c r="HZ807" s="24">
        <v>2015</v>
      </c>
      <c r="IA807" s="24">
        <v>44</v>
      </c>
      <c r="IB807" s="24" t="s">
        <v>33</v>
      </c>
      <c r="IC807" s="24">
        <v>3119</v>
      </c>
      <c r="ID807" s="24">
        <v>2560</v>
      </c>
    </row>
    <row r="808" spans="9:238" x14ac:dyDescent="0.4">
      <c r="I808" s="305">
        <v>2015</v>
      </c>
      <c r="J808" s="306">
        <v>44</v>
      </c>
      <c r="K808" s="306" t="s">
        <v>33</v>
      </c>
      <c r="L808" s="306">
        <v>51263</v>
      </c>
      <c r="M808" s="306">
        <v>44930</v>
      </c>
      <c r="N808" s="306"/>
      <c r="O808" s="306">
        <v>6333</v>
      </c>
      <c r="P808" s="306">
        <v>370</v>
      </c>
      <c r="Q808" s="306">
        <v>7</v>
      </c>
      <c r="R808" s="298"/>
      <c r="S808" s="298"/>
      <c r="T808" s="298"/>
      <c r="DJ808" s="24">
        <v>2016</v>
      </c>
      <c r="DK808" s="24">
        <v>14</v>
      </c>
      <c r="DL808" s="24" t="s">
        <v>32</v>
      </c>
      <c r="DM808" s="24">
        <v>295</v>
      </c>
      <c r="DP808" s="24"/>
      <c r="DQ808" s="24"/>
      <c r="DR808" s="24"/>
      <c r="DS808" s="24"/>
      <c r="EI808" s="24">
        <v>2022</v>
      </c>
      <c r="EJ808" s="24">
        <v>37</v>
      </c>
      <c r="EK808" s="24" t="s">
        <v>208</v>
      </c>
      <c r="EL808" s="24" t="s">
        <v>235</v>
      </c>
      <c r="EM808" s="24" t="s">
        <v>215</v>
      </c>
      <c r="EN808" s="24">
        <v>37</v>
      </c>
      <c r="EO808" s="24"/>
      <c r="EP808" s="24"/>
      <c r="ES808" s="24">
        <v>2017</v>
      </c>
      <c r="ET808" s="24">
        <v>14</v>
      </c>
      <c r="EU808" s="24" t="s">
        <v>33</v>
      </c>
      <c r="EV808" s="24">
        <v>46348</v>
      </c>
      <c r="FW808" s="24">
        <v>2015</v>
      </c>
      <c r="FX808" s="24">
        <v>43</v>
      </c>
      <c r="FY808" s="24" t="s">
        <v>32</v>
      </c>
      <c r="FZ808" s="24">
        <v>526</v>
      </c>
      <c r="GA808" s="24">
        <v>337</v>
      </c>
      <c r="GD808" s="24"/>
      <c r="GE808" s="24"/>
      <c r="GF808" s="24"/>
      <c r="GG808" s="24"/>
      <c r="GH808" s="24"/>
      <c r="GX808">
        <v>2015</v>
      </c>
      <c r="GY808">
        <v>43</v>
      </c>
      <c r="GZ808" t="s">
        <v>32</v>
      </c>
      <c r="HA808">
        <v>4045</v>
      </c>
      <c r="HB808">
        <v>3528</v>
      </c>
      <c r="HC808">
        <v>0</v>
      </c>
      <c r="HD808">
        <v>50</v>
      </c>
      <c r="HE808">
        <v>0</v>
      </c>
      <c r="HF808">
        <v>61</v>
      </c>
      <c r="HG808">
        <v>0</v>
      </c>
      <c r="HH808">
        <v>0</v>
      </c>
      <c r="HI808">
        <v>155</v>
      </c>
      <c r="HZ808" s="24">
        <v>2015</v>
      </c>
      <c r="IA808" s="24">
        <v>43</v>
      </c>
      <c r="IB808" s="24" t="s">
        <v>32</v>
      </c>
      <c r="IC808" s="24">
        <v>545</v>
      </c>
      <c r="ID808" s="24">
        <v>347</v>
      </c>
    </row>
    <row r="809" spans="9:238" x14ac:dyDescent="0.4">
      <c r="I809" s="305">
        <v>2015</v>
      </c>
      <c r="J809" s="306">
        <v>43</v>
      </c>
      <c r="K809" s="306" t="s">
        <v>32</v>
      </c>
      <c r="L809" s="306">
        <v>3923</v>
      </c>
      <c r="M809" s="306">
        <v>3393</v>
      </c>
      <c r="N809" s="306"/>
      <c r="O809" s="306">
        <v>530</v>
      </c>
      <c r="P809" s="306">
        <v>104</v>
      </c>
      <c r="Q809" s="306">
        <v>10</v>
      </c>
      <c r="R809" s="298"/>
      <c r="S809" s="298"/>
      <c r="T809" s="298"/>
      <c r="DJ809" s="24">
        <v>2016</v>
      </c>
      <c r="DK809" s="24">
        <v>14</v>
      </c>
      <c r="DL809" s="24" t="s">
        <v>33</v>
      </c>
      <c r="DM809" s="24">
        <v>11490</v>
      </c>
      <c r="DP809" s="24"/>
      <c r="DQ809" s="24"/>
      <c r="DR809" s="24"/>
      <c r="DS809" s="24"/>
      <c r="EI809" s="24">
        <v>2022</v>
      </c>
      <c r="EJ809" s="24">
        <v>37</v>
      </c>
      <c r="EK809" s="24" t="s">
        <v>208</v>
      </c>
      <c r="EL809" s="24" t="s">
        <v>209</v>
      </c>
      <c r="EM809" s="24" t="s">
        <v>210</v>
      </c>
      <c r="EN809" s="24">
        <v>12</v>
      </c>
      <c r="EO809" s="24"/>
      <c r="EP809" s="24"/>
      <c r="ES809" s="24">
        <v>2017</v>
      </c>
      <c r="ET809" s="24">
        <v>13</v>
      </c>
      <c r="EU809" s="24" t="s">
        <v>32</v>
      </c>
      <c r="EV809" s="24">
        <v>2449</v>
      </c>
      <c r="FW809" s="24">
        <v>2015</v>
      </c>
      <c r="FX809" s="24">
        <v>43</v>
      </c>
      <c r="FY809" s="24" t="s">
        <v>33</v>
      </c>
      <c r="FZ809" s="24">
        <v>2968</v>
      </c>
      <c r="GA809" s="24">
        <v>1930</v>
      </c>
      <c r="GD809" s="24"/>
      <c r="GE809" s="24"/>
      <c r="GF809" s="24"/>
      <c r="GG809" s="24"/>
      <c r="GH809" s="24"/>
      <c r="GX809">
        <v>2015</v>
      </c>
      <c r="GY809">
        <v>43</v>
      </c>
      <c r="GZ809" t="s">
        <v>33</v>
      </c>
      <c r="HA809">
        <v>53407</v>
      </c>
      <c r="HB809">
        <v>46598</v>
      </c>
      <c r="HC809">
        <v>2</v>
      </c>
      <c r="HD809">
        <v>1367</v>
      </c>
      <c r="HE809">
        <v>0</v>
      </c>
      <c r="HF809">
        <v>869</v>
      </c>
      <c r="HG809">
        <v>0</v>
      </c>
      <c r="HH809">
        <v>0</v>
      </c>
      <c r="HI809">
        <v>756</v>
      </c>
      <c r="HZ809" s="24">
        <v>2015</v>
      </c>
      <c r="IA809" s="24">
        <v>43</v>
      </c>
      <c r="IB809" s="24" t="s">
        <v>33</v>
      </c>
      <c r="IC809" s="24">
        <v>2832</v>
      </c>
      <c r="ID809" s="24">
        <v>1995</v>
      </c>
    </row>
    <row r="810" spans="9:238" x14ac:dyDescent="0.4">
      <c r="I810" s="305">
        <v>2015</v>
      </c>
      <c r="J810" s="306">
        <v>43</v>
      </c>
      <c r="K810" s="306" t="s">
        <v>33</v>
      </c>
      <c r="L810" s="306">
        <v>53913</v>
      </c>
      <c r="M810" s="306">
        <v>41525</v>
      </c>
      <c r="N810" s="306"/>
      <c r="O810" s="306">
        <v>12381</v>
      </c>
      <c r="P810" s="306">
        <v>511</v>
      </c>
      <c r="Q810" s="306">
        <v>143</v>
      </c>
      <c r="R810" s="298"/>
      <c r="S810" s="298"/>
      <c r="T810" s="298"/>
      <c r="DJ810" s="327">
        <v>2016</v>
      </c>
      <c r="DK810" s="327">
        <v>13</v>
      </c>
      <c r="DL810" s="327" t="s">
        <v>32</v>
      </c>
      <c r="DM810" s="327">
        <v>684</v>
      </c>
      <c r="DP810" s="24"/>
      <c r="DQ810" s="24"/>
      <c r="DR810" s="24"/>
      <c r="DS810" s="24"/>
      <c r="EI810" s="24">
        <v>2022</v>
      </c>
      <c r="EJ810" s="24">
        <v>37</v>
      </c>
      <c r="EK810" s="24" t="s">
        <v>208</v>
      </c>
      <c r="EL810" s="24" t="s">
        <v>209</v>
      </c>
      <c r="EM810" s="24" t="s">
        <v>234</v>
      </c>
      <c r="EN810" s="24">
        <v>1</v>
      </c>
      <c r="EO810" s="24"/>
      <c r="EP810" s="24"/>
      <c r="ES810" s="24">
        <v>2017</v>
      </c>
      <c r="ET810" s="24">
        <v>13</v>
      </c>
      <c r="EU810" s="24" t="s">
        <v>33</v>
      </c>
      <c r="EV810" s="24">
        <v>48563</v>
      </c>
      <c r="FW810" s="24">
        <v>2015</v>
      </c>
      <c r="FX810" s="24">
        <v>42</v>
      </c>
      <c r="FY810" s="24" t="s">
        <v>32</v>
      </c>
      <c r="FZ810" s="24">
        <v>377</v>
      </c>
      <c r="GA810" s="24">
        <v>283</v>
      </c>
      <c r="GD810" s="24"/>
      <c r="GE810" s="24"/>
      <c r="GF810" s="24"/>
      <c r="GG810" s="24"/>
      <c r="GH810" s="24"/>
      <c r="GX810">
        <v>2015</v>
      </c>
      <c r="GY810">
        <v>42</v>
      </c>
      <c r="GZ810" t="s">
        <v>32</v>
      </c>
      <c r="HA810">
        <v>3226</v>
      </c>
      <c r="HB810">
        <v>2908</v>
      </c>
      <c r="HC810">
        <v>0</v>
      </c>
      <c r="HD810">
        <v>91</v>
      </c>
      <c r="HE810">
        <v>0</v>
      </c>
      <c r="HF810">
        <v>1</v>
      </c>
      <c r="HG810">
        <v>0</v>
      </c>
      <c r="HH810">
        <v>0</v>
      </c>
      <c r="HI810">
        <v>65</v>
      </c>
      <c r="HZ810" s="24">
        <v>2015</v>
      </c>
      <c r="IA810" s="24">
        <v>42</v>
      </c>
      <c r="IB810" s="24" t="s">
        <v>32</v>
      </c>
      <c r="IC810" s="24">
        <v>343</v>
      </c>
      <c r="ID810" s="24">
        <v>264</v>
      </c>
    </row>
    <row r="811" spans="9:238" x14ac:dyDescent="0.4">
      <c r="I811" s="305">
        <v>2015</v>
      </c>
      <c r="J811" s="306">
        <v>42</v>
      </c>
      <c r="K811" s="306" t="s">
        <v>32</v>
      </c>
      <c r="L811" s="306">
        <v>3281</v>
      </c>
      <c r="M811" s="306">
        <v>2989</v>
      </c>
      <c r="N811" s="306"/>
      <c r="O811" s="306">
        <v>292</v>
      </c>
      <c r="P811" s="306">
        <v>61</v>
      </c>
      <c r="Q811" s="306">
        <v>3</v>
      </c>
      <c r="R811" s="298"/>
      <c r="S811" s="298"/>
      <c r="T811" s="298"/>
      <c r="DJ811" s="327">
        <v>2016</v>
      </c>
      <c r="DK811" s="327">
        <v>13</v>
      </c>
      <c r="DL811" s="327" t="s">
        <v>33</v>
      </c>
      <c r="DM811" s="327">
        <v>10418</v>
      </c>
      <c r="DP811" s="24"/>
      <c r="DQ811" s="24"/>
      <c r="DR811" s="24"/>
      <c r="DS811" s="24"/>
      <c r="EI811" s="24">
        <v>2022</v>
      </c>
      <c r="EJ811" s="24">
        <v>37</v>
      </c>
      <c r="EK811" s="24" t="s">
        <v>208</v>
      </c>
      <c r="EL811" s="24" t="s">
        <v>209</v>
      </c>
      <c r="EM811" s="24" t="s">
        <v>215</v>
      </c>
      <c r="EN811" s="24">
        <v>1</v>
      </c>
      <c r="EO811" s="24"/>
      <c r="EP811" s="24"/>
      <c r="ES811" s="24">
        <v>2017</v>
      </c>
      <c r="ET811" s="24">
        <v>12</v>
      </c>
      <c r="EU811" s="24" t="s">
        <v>32</v>
      </c>
      <c r="EV811" s="24">
        <v>3054</v>
      </c>
      <c r="FW811" s="24">
        <v>2015</v>
      </c>
      <c r="FX811" s="24">
        <v>42</v>
      </c>
      <c r="FY811" s="24" t="s">
        <v>33</v>
      </c>
      <c r="FZ811" s="24">
        <v>3547</v>
      </c>
      <c r="GA811" s="24">
        <v>2201</v>
      </c>
      <c r="GD811" s="24"/>
      <c r="GE811" s="24"/>
      <c r="GF811" s="24"/>
      <c r="GG811" s="24"/>
      <c r="GH811" s="24"/>
      <c r="GX811">
        <v>2015</v>
      </c>
      <c r="GY811">
        <v>42</v>
      </c>
      <c r="GZ811" t="s">
        <v>33</v>
      </c>
      <c r="HA811">
        <v>64069</v>
      </c>
      <c r="HB811">
        <v>52157</v>
      </c>
      <c r="HC811">
        <v>0</v>
      </c>
      <c r="HD811">
        <v>1545</v>
      </c>
      <c r="HE811">
        <v>4</v>
      </c>
      <c r="HF811">
        <v>2663</v>
      </c>
      <c r="HG811">
        <v>0</v>
      </c>
      <c r="HH811">
        <v>0</v>
      </c>
      <c r="HI811">
        <v>1425</v>
      </c>
      <c r="HZ811" s="24">
        <v>2015</v>
      </c>
      <c r="IA811" s="24">
        <v>42</v>
      </c>
      <c r="IB811" s="24" t="s">
        <v>33</v>
      </c>
      <c r="IC811" s="24">
        <v>3543</v>
      </c>
      <c r="ID811" s="24">
        <v>2269</v>
      </c>
    </row>
    <row r="812" spans="9:238" x14ac:dyDescent="0.4">
      <c r="I812" s="305">
        <v>2015</v>
      </c>
      <c r="J812" s="306">
        <v>42</v>
      </c>
      <c r="K812" s="306" t="s">
        <v>33</v>
      </c>
      <c r="L812" s="306">
        <v>64660</v>
      </c>
      <c r="M812" s="306">
        <v>53204</v>
      </c>
      <c r="N812" s="306"/>
      <c r="O812" s="306">
        <v>11455</v>
      </c>
      <c r="P812" s="306">
        <v>816</v>
      </c>
      <c r="Q812" s="306">
        <v>10</v>
      </c>
      <c r="R812" s="298"/>
      <c r="S812" s="298"/>
      <c r="T812" s="298"/>
      <c r="DJ812" s="327">
        <v>2016</v>
      </c>
      <c r="DK812" s="327">
        <v>12</v>
      </c>
      <c r="DL812" s="327" t="s">
        <v>32</v>
      </c>
      <c r="DM812" s="327">
        <v>644</v>
      </c>
      <c r="DP812" s="24"/>
      <c r="DQ812" s="24"/>
      <c r="DR812" s="24"/>
      <c r="DS812" s="24"/>
      <c r="EI812" s="24">
        <v>2022</v>
      </c>
      <c r="EJ812" s="24">
        <v>37</v>
      </c>
      <c r="EK812" s="24" t="s">
        <v>208</v>
      </c>
      <c r="EL812" s="24" t="s">
        <v>245</v>
      </c>
      <c r="EM812" s="24" t="s">
        <v>210</v>
      </c>
      <c r="EN812" s="24">
        <v>2</v>
      </c>
      <c r="EO812" s="24"/>
      <c r="EP812" s="24"/>
      <c r="ES812" s="24">
        <v>2017</v>
      </c>
      <c r="ET812" s="24">
        <v>12</v>
      </c>
      <c r="EU812" s="24" t="s">
        <v>33</v>
      </c>
      <c r="EV812" s="24">
        <v>40997</v>
      </c>
      <c r="FW812" s="24">
        <v>2015</v>
      </c>
      <c r="FX812" s="24">
        <v>41</v>
      </c>
      <c r="FY812" s="24" t="s">
        <v>32</v>
      </c>
      <c r="FZ812" s="24">
        <v>476</v>
      </c>
      <c r="GA812" s="24">
        <v>360</v>
      </c>
      <c r="GD812" s="24"/>
      <c r="GE812" s="24"/>
      <c r="GF812" s="24"/>
      <c r="GG812" s="24"/>
      <c r="GH812" s="24"/>
      <c r="GX812">
        <v>2015</v>
      </c>
      <c r="GY812">
        <v>41</v>
      </c>
      <c r="GZ812" t="s">
        <v>32</v>
      </c>
      <c r="HA812">
        <v>3543</v>
      </c>
      <c r="HB812">
        <v>3254</v>
      </c>
      <c r="HC812">
        <v>0</v>
      </c>
      <c r="HD812">
        <v>91</v>
      </c>
      <c r="HE812">
        <v>0</v>
      </c>
      <c r="HF812">
        <v>9</v>
      </c>
      <c r="HG812">
        <v>0</v>
      </c>
      <c r="HH812">
        <v>0</v>
      </c>
      <c r="HI812">
        <v>92</v>
      </c>
      <c r="HZ812" s="24">
        <v>2015</v>
      </c>
      <c r="IA812" s="24">
        <v>41</v>
      </c>
      <c r="IB812" s="24" t="s">
        <v>32</v>
      </c>
      <c r="IC812" s="24">
        <v>428</v>
      </c>
      <c r="ID812" s="24">
        <v>350</v>
      </c>
    </row>
    <row r="813" spans="9:238" x14ac:dyDescent="0.4">
      <c r="I813" s="305">
        <v>2015</v>
      </c>
      <c r="J813" s="306">
        <v>41</v>
      </c>
      <c r="K813" s="306" t="s">
        <v>32</v>
      </c>
      <c r="L813" s="306">
        <v>3871</v>
      </c>
      <c r="M813" s="306">
        <v>3505</v>
      </c>
      <c r="N813" s="306"/>
      <c r="O813" s="306">
        <v>366</v>
      </c>
      <c r="P813" s="306">
        <v>59</v>
      </c>
      <c r="Q813" s="306">
        <v>7</v>
      </c>
      <c r="R813" s="298"/>
      <c r="S813" s="298"/>
      <c r="T813" s="298"/>
      <c r="DJ813" s="327">
        <v>2016</v>
      </c>
      <c r="DK813" s="327">
        <v>12</v>
      </c>
      <c r="DL813" s="327" t="s">
        <v>33</v>
      </c>
      <c r="DM813" s="327">
        <v>11235</v>
      </c>
      <c r="DP813" s="24"/>
      <c r="DQ813" s="24"/>
      <c r="DR813" s="24"/>
      <c r="DS813" s="24"/>
      <c r="EI813" s="24">
        <v>2022</v>
      </c>
      <c r="EJ813" s="24">
        <v>37</v>
      </c>
      <c r="EK813" s="24" t="s">
        <v>208</v>
      </c>
      <c r="EL813" s="24" t="s">
        <v>245</v>
      </c>
      <c r="EM813" s="24" t="s">
        <v>234</v>
      </c>
      <c r="EN813" s="24">
        <v>1</v>
      </c>
      <c r="EO813" s="24"/>
      <c r="EP813" s="24"/>
      <c r="ES813" s="24">
        <v>2017</v>
      </c>
      <c r="ET813" s="24">
        <v>11</v>
      </c>
      <c r="EU813" s="24" t="s">
        <v>32</v>
      </c>
      <c r="EV813" s="24">
        <v>2292</v>
      </c>
      <c r="FW813" s="24">
        <v>2015</v>
      </c>
      <c r="FX813" s="24">
        <v>41</v>
      </c>
      <c r="FY813" s="24" t="s">
        <v>33</v>
      </c>
      <c r="FZ813" s="24">
        <v>3491</v>
      </c>
      <c r="GA813" s="24">
        <v>2346</v>
      </c>
      <c r="GD813" s="24"/>
      <c r="GE813" s="24"/>
      <c r="GF813" s="24"/>
      <c r="GG813" s="24"/>
      <c r="GH813" s="24"/>
      <c r="GX813">
        <v>2015</v>
      </c>
      <c r="GY813">
        <v>41</v>
      </c>
      <c r="GZ813" t="s">
        <v>33</v>
      </c>
      <c r="HA813">
        <v>53447</v>
      </c>
      <c r="HB813">
        <v>48148</v>
      </c>
      <c r="HC813">
        <v>0</v>
      </c>
      <c r="HD813">
        <v>1595</v>
      </c>
      <c r="HE813">
        <v>1</v>
      </c>
      <c r="HF813">
        <v>811</v>
      </c>
      <c r="HG813">
        <v>0</v>
      </c>
      <c r="HH813">
        <v>0</v>
      </c>
      <c r="HI813">
        <v>992</v>
      </c>
      <c r="HZ813" s="24">
        <v>2015</v>
      </c>
      <c r="IA813" s="24">
        <v>41</v>
      </c>
      <c r="IB813" s="24" t="s">
        <v>33</v>
      </c>
      <c r="IC813" s="24">
        <v>3421</v>
      </c>
      <c r="ID813" s="24">
        <v>2361</v>
      </c>
    </row>
    <row r="814" spans="9:238" x14ac:dyDescent="0.4">
      <c r="I814" s="305">
        <v>2015</v>
      </c>
      <c r="J814" s="306">
        <v>41</v>
      </c>
      <c r="K814" s="306" t="s">
        <v>33</v>
      </c>
      <c r="L814" s="306">
        <v>53456</v>
      </c>
      <c r="M814" s="306">
        <v>46772</v>
      </c>
      <c r="N814" s="306"/>
      <c r="O814" s="306">
        <v>6683</v>
      </c>
      <c r="P814" s="306">
        <v>687</v>
      </c>
      <c r="Q814" s="306">
        <v>15</v>
      </c>
      <c r="R814" s="298"/>
      <c r="S814" s="298"/>
      <c r="T814" s="298"/>
      <c r="DJ814" s="24"/>
      <c r="DK814" s="24"/>
      <c r="DL814" s="24"/>
      <c r="DM814" s="24"/>
      <c r="DP814" s="24"/>
      <c r="DQ814" s="24"/>
      <c r="DR814" s="24"/>
      <c r="DS814" s="24"/>
      <c r="EI814" s="24">
        <v>2022</v>
      </c>
      <c r="EJ814" s="24">
        <v>37</v>
      </c>
      <c r="EK814" s="24" t="s">
        <v>33</v>
      </c>
      <c r="EL814" s="24" t="s">
        <v>240</v>
      </c>
      <c r="EM814" s="24" t="s">
        <v>210</v>
      </c>
      <c r="EN814" s="24">
        <v>1</v>
      </c>
      <c r="EO814" s="24"/>
      <c r="EP814" s="24"/>
      <c r="ES814" s="24">
        <v>2017</v>
      </c>
      <c r="ET814" s="24">
        <v>11</v>
      </c>
      <c r="EU814" s="24" t="s">
        <v>33</v>
      </c>
      <c r="EV814" s="24">
        <v>33645</v>
      </c>
      <c r="FW814" s="24">
        <v>2015</v>
      </c>
      <c r="FX814" s="24">
        <v>40</v>
      </c>
      <c r="FY814" s="24" t="s">
        <v>32</v>
      </c>
      <c r="FZ814" s="24">
        <v>553</v>
      </c>
      <c r="GA814" s="24">
        <v>475</v>
      </c>
      <c r="GD814" s="24"/>
      <c r="GE814" s="24"/>
      <c r="GF814" s="24"/>
      <c r="GG814" s="24"/>
      <c r="GH814" s="24"/>
      <c r="GX814">
        <v>2015</v>
      </c>
      <c r="GY814">
        <v>40</v>
      </c>
      <c r="GZ814" t="s">
        <v>32</v>
      </c>
      <c r="HA814">
        <v>3873</v>
      </c>
      <c r="HB814">
        <v>3548</v>
      </c>
      <c r="HC814">
        <v>0</v>
      </c>
      <c r="HD814">
        <v>102</v>
      </c>
      <c r="HE814">
        <v>0</v>
      </c>
      <c r="HF814">
        <v>31</v>
      </c>
      <c r="HG814">
        <v>0</v>
      </c>
      <c r="HH814">
        <v>0</v>
      </c>
      <c r="HI814">
        <v>82</v>
      </c>
      <c r="HZ814" s="24">
        <v>2015</v>
      </c>
      <c r="IA814" s="24">
        <v>40</v>
      </c>
      <c r="IB814" s="24" t="s">
        <v>32</v>
      </c>
      <c r="IC814" s="24">
        <v>629</v>
      </c>
      <c r="ID814" s="24">
        <v>507</v>
      </c>
    </row>
    <row r="815" spans="9:238" x14ac:dyDescent="0.4">
      <c r="I815" s="305">
        <v>2015</v>
      </c>
      <c r="J815" s="306">
        <v>40</v>
      </c>
      <c r="K815" s="306" t="s">
        <v>32</v>
      </c>
      <c r="L815" s="306">
        <v>3535</v>
      </c>
      <c r="M815" s="306">
        <v>3269</v>
      </c>
      <c r="N815" s="306"/>
      <c r="O815" s="306">
        <v>266</v>
      </c>
      <c r="P815" s="306">
        <v>47</v>
      </c>
      <c r="Q815" s="306"/>
      <c r="R815" s="298"/>
      <c r="S815" s="298"/>
      <c r="T815" s="298"/>
      <c r="DJ815" s="24"/>
      <c r="DK815" s="24"/>
      <c r="DL815" s="24"/>
      <c r="DM815" s="24"/>
      <c r="DP815" s="24"/>
      <c r="DQ815" s="24"/>
      <c r="DR815" s="24"/>
      <c r="DS815" s="24"/>
      <c r="EI815" s="24">
        <v>2022</v>
      </c>
      <c r="EJ815" s="24">
        <v>37</v>
      </c>
      <c r="EK815" s="24" t="s">
        <v>33</v>
      </c>
      <c r="EL815" s="24" t="s">
        <v>233</v>
      </c>
      <c r="EM815" s="24" t="s">
        <v>210</v>
      </c>
      <c r="EN815" s="24">
        <v>4</v>
      </c>
      <c r="EO815" s="24"/>
      <c r="EP815" s="24"/>
      <c r="ES815" s="24">
        <v>2017</v>
      </c>
      <c r="ET815" s="24">
        <v>10</v>
      </c>
      <c r="EU815" s="24" t="s">
        <v>32</v>
      </c>
      <c r="EV815" s="24">
        <v>2449</v>
      </c>
      <c r="FW815" s="24">
        <v>2015</v>
      </c>
      <c r="FX815" s="24">
        <v>40</v>
      </c>
      <c r="FY815" s="24" t="s">
        <v>33</v>
      </c>
      <c r="FZ815" s="24">
        <v>3535</v>
      </c>
      <c r="GA815" s="24">
        <v>2350</v>
      </c>
      <c r="GD815" s="24"/>
      <c r="GE815" s="24"/>
      <c r="GF815" s="24"/>
      <c r="GG815" s="24"/>
      <c r="GH815" s="24"/>
      <c r="GX815">
        <v>2015</v>
      </c>
      <c r="GY815">
        <v>40</v>
      </c>
      <c r="GZ815" t="s">
        <v>33</v>
      </c>
      <c r="HA815">
        <v>58854</v>
      </c>
      <c r="HB815">
        <v>51879</v>
      </c>
      <c r="HC815">
        <v>1</v>
      </c>
      <c r="HD815">
        <v>2218</v>
      </c>
      <c r="HE815">
        <v>0</v>
      </c>
      <c r="HF815">
        <v>1320</v>
      </c>
      <c r="HG815">
        <v>0</v>
      </c>
      <c r="HH815">
        <v>0</v>
      </c>
      <c r="HI815">
        <v>892</v>
      </c>
      <c r="HZ815" s="24">
        <v>2015</v>
      </c>
      <c r="IA815" s="24">
        <v>40</v>
      </c>
      <c r="IB815" s="24" t="s">
        <v>33</v>
      </c>
      <c r="IC815" s="24">
        <v>3679</v>
      </c>
      <c r="ID815" s="24">
        <v>2371</v>
      </c>
    </row>
    <row r="816" spans="9:238" x14ac:dyDescent="0.4">
      <c r="I816" s="305">
        <v>2015</v>
      </c>
      <c r="J816" s="306">
        <v>40</v>
      </c>
      <c r="K816" s="306" t="s">
        <v>33</v>
      </c>
      <c r="L816" s="306">
        <v>59398</v>
      </c>
      <c r="M816" s="306">
        <v>50891</v>
      </c>
      <c r="N816" s="306"/>
      <c r="O816" s="306">
        <v>8505</v>
      </c>
      <c r="P816" s="306">
        <v>642</v>
      </c>
      <c r="Q816" s="306">
        <v>5</v>
      </c>
      <c r="R816" s="298"/>
      <c r="S816" s="298"/>
      <c r="T816" s="298"/>
      <c r="DJ816" s="24"/>
      <c r="DK816" s="24"/>
      <c r="DL816" s="24"/>
      <c r="DM816" s="24"/>
      <c r="DP816" s="24"/>
      <c r="DQ816" s="24"/>
      <c r="DR816" s="24"/>
      <c r="DS816" s="24"/>
      <c r="EI816" s="24">
        <v>2022</v>
      </c>
      <c r="EJ816" s="24">
        <v>37</v>
      </c>
      <c r="EK816" s="24" t="s">
        <v>33</v>
      </c>
      <c r="EL816" s="24" t="s">
        <v>244</v>
      </c>
      <c r="EM816" s="24" t="s">
        <v>210</v>
      </c>
      <c r="EN816" s="24">
        <v>26</v>
      </c>
      <c r="EO816" s="24"/>
      <c r="EP816" s="24"/>
      <c r="ES816" s="314">
        <v>2017</v>
      </c>
      <c r="ET816" s="314">
        <v>10</v>
      </c>
      <c r="EU816" s="314" t="s">
        <v>33</v>
      </c>
      <c r="EV816" s="314">
        <v>36792</v>
      </c>
      <c r="FW816" s="24">
        <v>2015</v>
      </c>
      <c r="FX816" s="24">
        <v>39</v>
      </c>
      <c r="FY816" s="24" t="s">
        <v>32</v>
      </c>
      <c r="FZ816" s="24">
        <v>462</v>
      </c>
      <c r="GA816" s="24">
        <v>340</v>
      </c>
      <c r="GD816" s="24"/>
      <c r="GE816" s="24"/>
      <c r="GF816" s="24"/>
      <c r="GG816" s="24"/>
      <c r="GH816" s="24"/>
      <c r="GX816">
        <v>2015</v>
      </c>
      <c r="GY816">
        <v>39</v>
      </c>
      <c r="GZ816" t="s">
        <v>32</v>
      </c>
      <c r="HA816">
        <v>3275</v>
      </c>
      <c r="HB816">
        <v>2919</v>
      </c>
      <c r="HC816">
        <v>0</v>
      </c>
      <c r="HD816">
        <v>100</v>
      </c>
      <c r="HE816">
        <v>0</v>
      </c>
      <c r="HF816">
        <v>19</v>
      </c>
      <c r="HG816">
        <v>0</v>
      </c>
      <c r="HH816">
        <v>0</v>
      </c>
      <c r="HI816">
        <v>98</v>
      </c>
      <c r="HZ816" s="24">
        <v>2015</v>
      </c>
      <c r="IA816" s="24">
        <v>39</v>
      </c>
      <c r="IB816" s="24" t="s">
        <v>32</v>
      </c>
      <c r="IC816" s="24">
        <v>438</v>
      </c>
      <c r="ID816" s="24">
        <v>321</v>
      </c>
    </row>
    <row r="817" spans="9:238" x14ac:dyDescent="0.4">
      <c r="I817" s="305">
        <v>2015</v>
      </c>
      <c r="J817" s="306">
        <v>39</v>
      </c>
      <c r="K817" s="306" t="s">
        <v>32</v>
      </c>
      <c r="L817" s="306">
        <v>3265</v>
      </c>
      <c r="M817" s="306">
        <v>2867</v>
      </c>
      <c r="N817" s="306"/>
      <c r="O817" s="306">
        <v>398</v>
      </c>
      <c r="P817" s="306">
        <v>69</v>
      </c>
      <c r="Q817" s="306"/>
      <c r="R817" s="298"/>
      <c r="S817" s="298"/>
      <c r="T817" s="298"/>
      <c r="DJ817" s="24"/>
      <c r="DK817" s="24"/>
      <c r="DL817" s="24"/>
      <c r="DM817" s="24"/>
      <c r="DP817" s="24"/>
      <c r="DQ817" s="24"/>
      <c r="DR817" s="24"/>
      <c r="DS817" s="24"/>
      <c r="EI817" s="24">
        <v>2022</v>
      </c>
      <c r="EJ817" s="24">
        <v>37</v>
      </c>
      <c r="EK817" s="24" t="s">
        <v>33</v>
      </c>
      <c r="EL817" s="24" t="s">
        <v>236</v>
      </c>
      <c r="EM817" s="24" t="s">
        <v>210</v>
      </c>
      <c r="EN817" s="24">
        <v>1</v>
      </c>
      <c r="EO817" s="24"/>
      <c r="EP817" s="24"/>
      <c r="ES817" s="314">
        <v>2017</v>
      </c>
      <c r="ET817" s="314">
        <v>9</v>
      </c>
      <c r="EU817" s="314" t="s">
        <v>32</v>
      </c>
      <c r="EV817" s="314">
        <v>1560</v>
      </c>
      <c r="FW817" s="24">
        <v>2015</v>
      </c>
      <c r="FX817" s="24">
        <v>39</v>
      </c>
      <c r="FY817" s="24" t="s">
        <v>33</v>
      </c>
      <c r="FZ817" s="24">
        <v>3761</v>
      </c>
      <c r="GA817" s="24">
        <v>2055</v>
      </c>
      <c r="GD817" s="24"/>
      <c r="GE817" s="24"/>
      <c r="GF817" s="24"/>
      <c r="GG817" s="24"/>
      <c r="GH817" s="24"/>
      <c r="GX817">
        <v>2015</v>
      </c>
      <c r="GY817">
        <v>39</v>
      </c>
      <c r="GZ817" t="s">
        <v>33</v>
      </c>
      <c r="HA817">
        <v>58847</v>
      </c>
      <c r="HB817">
        <v>49428</v>
      </c>
      <c r="HC817">
        <v>1</v>
      </c>
      <c r="HD817">
        <v>2588</v>
      </c>
      <c r="HE817">
        <v>0</v>
      </c>
      <c r="HF817">
        <v>1314</v>
      </c>
      <c r="HG817">
        <v>0</v>
      </c>
      <c r="HH817">
        <v>0</v>
      </c>
      <c r="HI817">
        <v>836</v>
      </c>
      <c r="HZ817" s="24">
        <v>2015</v>
      </c>
      <c r="IA817" s="24">
        <v>39</v>
      </c>
      <c r="IB817" s="24" t="s">
        <v>33</v>
      </c>
      <c r="IC817" s="24">
        <v>3721</v>
      </c>
      <c r="ID817" s="24">
        <v>2013</v>
      </c>
    </row>
    <row r="818" spans="9:238" x14ac:dyDescent="0.4">
      <c r="I818" s="305">
        <v>2015</v>
      </c>
      <c r="J818" s="306">
        <v>39</v>
      </c>
      <c r="K818" s="306" t="s">
        <v>33</v>
      </c>
      <c r="L818" s="306">
        <v>58300</v>
      </c>
      <c r="M818" s="306">
        <v>47451</v>
      </c>
      <c r="N818" s="306"/>
      <c r="O818" s="306">
        <v>10848</v>
      </c>
      <c r="P818" s="306">
        <v>741</v>
      </c>
      <c r="Q818" s="306">
        <v>17</v>
      </c>
      <c r="R818" s="298"/>
      <c r="S818" s="298"/>
      <c r="T818" s="298"/>
      <c r="DJ818" s="24"/>
      <c r="DK818" s="24"/>
      <c r="DL818" s="24"/>
      <c r="DM818" s="24"/>
      <c r="DP818" s="24"/>
      <c r="DQ818" s="24"/>
      <c r="DR818" s="24"/>
      <c r="DS818" s="24"/>
      <c r="EI818" s="24">
        <v>2022</v>
      </c>
      <c r="EJ818" s="24">
        <v>37</v>
      </c>
      <c r="EK818" s="24" t="s">
        <v>33</v>
      </c>
      <c r="EL818" s="24" t="s">
        <v>238</v>
      </c>
      <c r="EM818" s="24" t="s">
        <v>210</v>
      </c>
      <c r="EN818" s="24">
        <v>2</v>
      </c>
      <c r="EO818" s="24"/>
      <c r="EP818" s="24"/>
      <c r="ES818" s="314">
        <v>2017</v>
      </c>
      <c r="ET818" s="314">
        <v>9</v>
      </c>
      <c r="EU818" s="314" t="s">
        <v>33</v>
      </c>
      <c r="EV818" s="314">
        <v>37566</v>
      </c>
      <c r="FW818" s="24">
        <v>2015</v>
      </c>
      <c r="FX818" s="24">
        <v>38</v>
      </c>
      <c r="FY818" s="24" t="s">
        <v>32</v>
      </c>
      <c r="FZ818" s="24">
        <v>474</v>
      </c>
      <c r="GA818" s="24">
        <v>281</v>
      </c>
      <c r="GD818" s="24"/>
      <c r="GE818" s="24"/>
      <c r="GF818" s="24"/>
      <c r="GG818" s="24"/>
      <c r="GH818" s="24"/>
      <c r="GX818">
        <v>2015</v>
      </c>
      <c r="GY818">
        <v>38</v>
      </c>
      <c r="GZ818" t="s">
        <v>32</v>
      </c>
      <c r="HA818">
        <v>3201</v>
      </c>
      <c r="HB818">
        <v>2819</v>
      </c>
      <c r="HC818">
        <v>0</v>
      </c>
      <c r="HD818">
        <v>90</v>
      </c>
      <c r="HE818">
        <v>0</v>
      </c>
      <c r="HF818">
        <v>39</v>
      </c>
      <c r="HG818">
        <v>0</v>
      </c>
      <c r="HH818">
        <v>0</v>
      </c>
      <c r="HI818">
        <v>67</v>
      </c>
      <c r="HZ818" s="24">
        <v>2015</v>
      </c>
      <c r="IA818" s="24">
        <v>38</v>
      </c>
      <c r="IB818" s="24" t="s">
        <v>32</v>
      </c>
      <c r="IC818" s="24">
        <v>499</v>
      </c>
      <c r="ID818" s="24">
        <v>304</v>
      </c>
    </row>
    <row r="819" spans="9:238" x14ac:dyDescent="0.4">
      <c r="I819" s="305">
        <v>2015</v>
      </c>
      <c r="J819" s="306">
        <v>38</v>
      </c>
      <c r="K819" s="306" t="s">
        <v>32</v>
      </c>
      <c r="L819" s="306">
        <v>3280</v>
      </c>
      <c r="M819" s="306">
        <v>2844</v>
      </c>
      <c r="N819" s="306"/>
      <c r="O819" s="306">
        <v>435</v>
      </c>
      <c r="P819" s="306">
        <v>31</v>
      </c>
      <c r="Q819" s="306"/>
      <c r="R819" s="298"/>
      <c r="S819" s="298"/>
      <c r="T819" s="298"/>
      <c r="DJ819" s="24"/>
      <c r="DK819" s="24"/>
      <c r="DL819" s="24"/>
      <c r="DM819" s="24"/>
      <c r="DP819" s="24"/>
      <c r="DQ819" s="24"/>
      <c r="DR819" s="24"/>
      <c r="DS819" s="24"/>
      <c r="EI819" s="24">
        <v>2022</v>
      </c>
      <c r="EJ819" s="24">
        <v>37</v>
      </c>
      <c r="EK819" s="24" t="s">
        <v>33</v>
      </c>
      <c r="EL819" s="24" t="s">
        <v>247</v>
      </c>
      <c r="EM819" s="24" t="s">
        <v>210</v>
      </c>
      <c r="EN819" s="24">
        <v>16</v>
      </c>
      <c r="EO819" s="24"/>
      <c r="EP819" s="24"/>
      <c r="ES819" s="314">
        <v>2017</v>
      </c>
      <c r="ET819" s="314">
        <v>8</v>
      </c>
      <c r="EU819" s="314" t="s">
        <v>32</v>
      </c>
      <c r="EV819" s="314">
        <v>2634</v>
      </c>
      <c r="FW819" s="24">
        <v>2015</v>
      </c>
      <c r="FX819" s="24">
        <v>38</v>
      </c>
      <c r="FY819" s="24" t="s">
        <v>33</v>
      </c>
      <c r="FZ819" s="24">
        <v>3519</v>
      </c>
      <c r="GA819" s="24">
        <v>2328</v>
      </c>
      <c r="GD819" s="24"/>
      <c r="GE819" s="24"/>
      <c r="GF819" s="24"/>
      <c r="GG819" s="24"/>
      <c r="GH819" s="24"/>
      <c r="GX819">
        <v>2015</v>
      </c>
      <c r="GY819">
        <v>38</v>
      </c>
      <c r="GZ819" t="s">
        <v>33</v>
      </c>
      <c r="HA819">
        <v>61903</v>
      </c>
      <c r="HB819">
        <v>51661</v>
      </c>
      <c r="HC819">
        <v>4</v>
      </c>
      <c r="HD819">
        <v>2822</v>
      </c>
      <c r="HE819">
        <v>0</v>
      </c>
      <c r="HF819">
        <v>1202</v>
      </c>
      <c r="HG819">
        <v>0</v>
      </c>
      <c r="HH819">
        <v>0</v>
      </c>
      <c r="HI819">
        <v>860</v>
      </c>
      <c r="HZ819" s="24">
        <v>2015</v>
      </c>
      <c r="IA819" s="24">
        <v>38</v>
      </c>
      <c r="IB819" s="24" t="s">
        <v>33</v>
      </c>
      <c r="IC819" s="24">
        <v>3563</v>
      </c>
      <c r="ID819" s="24">
        <v>2419</v>
      </c>
    </row>
    <row r="820" spans="9:238" x14ac:dyDescent="0.4">
      <c r="I820" s="305">
        <v>2015</v>
      </c>
      <c r="J820" s="306">
        <v>38</v>
      </c>
      <c r="K820" s="306" t="s">
        <v>33</v>
      </c>
      <c r="L820" s="306">
        <v>62943</v>
      </c>
      <c r="M820" s="306">
        <v>50418</v>
      </c>
      <c r="N820" s="306"/>
      <c r="O820" s="306">
        <v>12523</v>
      </c>
      <c r="P820" s="306">
        <v>809</v>
      </c>
      <c r="Q820" s="306">
        <v>10</v>
      </c>
      <c r="R820" s="298"/>
      <c r="S820" s="298"/>
      <c r="T820" s="298"/>
      <c r="DJ820" s="24"/>
      <c r="DK820" s="24"/>
      <c r="DL820" s="24"/>
      <c r="DM820" s="24"/>
      <c r="DP820" s="24"/>
      <c r="DQ820" s="24"/>
      <c r="DR820" s="24"/>
      <c r="DS820" s="24"/>
      <c r="EI820" s="24">
        <v>2022</v>
      </c>
      <c r="EJ820" s="24">
        <v>37</v>
      </c>
      <c r="EK820" s="24" t="s">
        <v>237</v>
      </c>
      <c r="EL820" s="24" t="s">
        <v>557</v>
      </c>
      <c r="EM820" s="24" t="s">
        <v>210</v>
      </c>
      <c r="EN820" s="24">
        <v>3</v>
      </c>
      <c r="EO820" s="24"/>
      <c r="EP820" s="24"/>
      <c r="ES820" s="314">
        <v>2017</v>
      </c>
      <c r="ET820" s="314">
        <v>8</v>
      </c>
      <c r="EU820" s="314" t="s">
        <v>33</v>
      </c>
      <c r="EV820" s="314">
        <v>33943</v>
      </c>
      <c r="FW820" s="24">
        <v>2015</v>
      </c>
      <c r="FX820" s="24">
        <v>37</v>
      </c>
      <c r="FY820" s="24" t="s">
        <v>32</v>
      </c>
      <c r="FZ820" s="24">
        <v>408</v>
      </c>
      <c r="GA820" s="24">
        <v>345</v>
      </c>
      <c r="GD820" s="24"/>
      <c r="GE820" s="24"/>
      <c r="GF820" s="24"/>
      <c r="GG820" s="24"/>
      <c r="GH820" s="24"/>
      <c r="GX820">
        <v>2015</v>
      </c>
      <c r="GY820">
        <v>37</v>
      </c>
      <c r="GZ820" t="s">
        <v>32</v>
      </c>
      <c r="HA820">
        <v>3238</v>
      </c>
      <c r="HB820">
        <v>2915</v>
      </c>
      <c r="HC820">
        <v>0</v>
      </c>
      <c r="HD820">
        <v>155</v>
      </c>
      <c r="HE820">
        <v>0</v>
      </c>
      <c r="HF820">
        <v>5</v>
      </c>
      <c r="HG820">
        <v>0</v>
      </c>
      <c r="HH820">
        <v>0</v>
      </c>
      <c r="HI820">
        <v>80</v>
      </c>
      <c r="HZ820" s="24">
        <v>2015</v>
      </c>
      <c r="IA820" s="24">
        <v>37</v>
      </c>
      <c r="IB820" s="24" t="s">
        <v>32</v>
      </c>
      <c r="IC820" s="24">
        <v>388</v>
      </c>
      <c r="ID820" s="24">
        <v>322</v>
      </c>
    </row>
    <row r="821" spans="9:238" x14ac:dyDescent="0.4">
      <c r="I821" s="305">
        <v>2015</v>
      </c>
      <c r="J821" s="306">
        <v>37</v>
      </c>
      <c r="K821" s="306" t="s">
        <v>32</v>
      </c>
      <c r="L821" s="306">
        <v>3258</v>
      </c>
      <c r="M821" s="306">
        <v>2944</v>
      </c>
      <c r="N821" s="306"/>
      <c r="O821" s="306">
        <v>314</v>
      </c>
      <c r="P821" s="306">
        <v>51</v>
      </c>
      <c r="Q821" s="306"/>
      <c r="R821" s="298"/>
      <c r="S821" s="298"/>
      <c r="T821" s="298"/>
      <c r="DJ821" s="24"/>
      <c r="DK821" s="24"/>
      <c r="DL821" s="24"/>
      <c r="DM821" s="24"/>
      <c r="DP821" s="24"/>
      <c r="DQ821" s="24"/>
      <c r="DR821" s="24"/>
      <c r="DS821" s="24"/>
      <c r="EI821" s="24">
        <v>2022</v>
      </c>
      <c r="EJ821" s="24">
        <v>37</v>
      </c>
      <c r="EK821" s="24" t="s">
        <v>237</v>
      </c>
      <c r="EL821" s="24" t="s">
        <v>557</v>
      </c>
      <c r="EM821" s="24" t="s">
        <v>234</v>
      </c>
      <c r="EN821" s="24">
        <v>3</v>
      </c>
      <c r="EO821" s="24"/>
      <c r="EP821" s="24"/>
      <c r="ES821" s="314">
        <v>2017</v>
      </c>
      <c r="ET821" s="314">
        <v>7</v>
      </c>
      <c r="EU821" s="314" t="s">
        <v>32</v>
      </c>
      <c r="EV821" s="314">
        <v>1947</v>
      </c>
      <c r="FW821" s="24">
        <v>2015</v>
      </c>
      <c r="FX821" s="24">
        <v>37</v>
      </c>
      <c r="FY821" s="24" t="s">
        <v>33</v>
      </c>
      <c r="FZ821" s="24">
        <v>3530</v>
      </c>
      <c r="GA821" s="24">
        <v>1794</v>
      </c>
      <c r="GD821" s="24"/>
      <c r="GE821" s="24"/>
      <c r="GF821" s="24"/>
      <c r="GG821" s="24"/>
      <c r="GH821" s="24"/>
      <c r="GX821">
        <v>2015</v>
      </c>
      <c r="GY821">
        <v>37</v>
      </c>
      <c r="GZ821" t="s">
        <v>33</v>
      </c>
      <c r="HA821">
        <v>58681</v>
      </c>
      <c r="HB821">
        <v>48608</v>
      </c>
      <c r="HC821">
        <v>0</v>
      </c>
      <c r="HD821">
        <v>3230</v>
      </c>
      <c r="HE821">
        <v>0</v>
      </c>
      <c r="HF821">
        <v>1216</v>
      </c>
      <c r="HG821">
        <v>0</v>
      </c>
      <c r="HH821">
        <v>0</v>
      </c>
      <c r="HI821">
        <v>1056</v>
      </c>
      <c r="HZ821" s="24">
        <v>2015</v>
      </c>
      <c r="IA821" s="24">
        <v>37</v>
      </c>
      <c r="IB821" s="24" t="s">
        <v>33</v>
      </c>
      <c r="IC821" s="24">
        <v>3519</v>
      </c>
      <c r="ID821" s="24">
        <v>1771</v>
      </c>
    </row>
    <row r="822" spans="9:238" x14ac:dyDescent="0.4">
      <c r="I822" s="305">
        <v>2015</v>
      </c>
      <c r="J822" s="306">
        <v>37</v>
      </c>
      <c r="K822" s="306" t="s">
        <v>33</v>
      </c>
      <c r="L822" s="306">
        <v>57759</v>
      </c>
      <c r="M822" s="306">
        <v>47406</v>
      </c>
      <c r="N822" s="306"/>
      <c r="O822" s="306">
        <v>10353</v>
      </c>
      <c r="P822" s="306">
        <v>718</v>
      </c>
      <c r="Q822" s="306">
        <v>5</v>
      </c>
      <c r="R822" s="298"/>
      <c r="S822" s="298"/>
      <c r="T822" s="298"/>
      <c r="DJ822" s="24"/>
      <c r="DK822" s="24"/>
      <c r="DL822" s="24"/>
      <c r="DM822" s="24"/>
      <c r="EI822" s="24">
        <v>2022</v>
      </c>
      <c r="EJ822" s="24">
        <v>37</v>
      </c>
      <c r="EK822" s="24" t="s">
        <v>237</v>
      </c>
      <c r="EL822" s="24" t="s">
        <v>554</v>
      </c>
      <c r="EM822" s="24" t="s">
        <v>210</v>
      </c>
      <c r="EN822" s="24">
        <v>2</v>
      </c>
      <c r="EO822" s="24"/>
      <c r="EP822" s="24"/>
      <c r="ES822" s="314">
        <v>2017</v>
      </c>
      <c r="ET822" s="314">
        <v>7</v>
      </c>
      <c r="EU822" s="314" t="s">
        <v>33</v>
      </c>
      <c r="EV822" s="314">
        <v>30237</v>
      </c>
      <c r="FW822" s="24">
        <v>2015</v>
      </c>
      <c r="FX822" s="24">
        <v>36</v>
      </c>
      <c r="FY822" s="24" t="s">
        <v>32</v>
      </c>
      <c r="FZ822" s="24">
        <v>441</v>
      </c>
      <c r="GA822" s="24">
        <v>393</v>
      </c>
      <c r="GD822" s="24"/>
      <c r="GE822" s="24"/>
      <c r="GF822" s="24"/>
      <c r="GG822" s="24"/>
      <c r="GH822" s="24"/>
      <c r="GX822">
        <v>2015</v>
      </c>
      <c r="GY822">
        <v>36</v>
      </c>
      <c r="GZ822" t="s">
        <v>32</v>
      </c>
      <c r="HA822">
        <v>3902</v>
      </c>
      <c r="HB822">
        <v>3668</v>
      </c>
      <c r="HC822">
        <v>0</v>
      </c>
      <c r="HD822">
        <v>89</v>
      </c>
      <c r="HE822">
        <v>0</v>
      </c>
      <c r="HF822">
        <v>8</v>
      </c>
      <c r="HG822">
        <v>0</v>
      </c>
      <c r="HH822">
        <v>0</v>
      </c>
      <c r="HI822">
        <v>76</v>
      </c>
      <c r="HZ822" s="24">
        <v>2015</v>
      </c>
      <c r="IA822" s="24">
        <v>36</v>
      </c>
      <c r="IB822" s="24" t="s">
        <v>32</v>
      </c>
      <c r="IC822" s="24">
        <v>422</v>
      </c>
      <c r="ID822" s="24">
        <v>381</v>
      </c>
    </row>
    <row r="823" spans="9:238" x14ac:dyDescent="0.4">
      <c r="I823" s="305">
        <v>2015</v>
      </c>
      <c r="J823" s="306">
        <v>36</v>
      </c>
      <c r="K823" s="306" t="s">
        <v>32</v>
      </c>
      <c r="L823" s="306">
        <v>3939</v>
      </c>
      <c r="M823" s="306">
        <v>3662</v>
      </c>
      <c r="N823" s="306"/>
      <c r="O823" s="306">
        <v>277</v>
      </c>
      <c r="P823" s="306">
        <v>21</v>
      </c>
      <c r="Q823" s="306">
        <v>1</v>
      </c>
      <c r="R823" s="298"/>
      <c r="S823" s="298"/>
      <c r="T823" s="298"/>
      <c r="DJ823" s="24"/>
      <c r="DK823" s="24"/>
      <c r="DL823" s="24"/>
      <c r="DM823" s="24"/>
      <c r="EI823" s="24">
        <v>2022</v>
      </c>
      <c r="EJ823" s="24">
        <v>37</v>
      </c>
      <c r="EK823" s="24" t="s">
        <v>237</v>
      </c>
      <c r="EL823" s="24" t="s">
        <v>235</v>
      </c>
      <c r="EM823" s="24" t="s">
        <v>210</v>
      </c>
      <c r="EN823" s="24">
        <v>2</v>
      </c>
      <c r="EO823" s="24"/>
      <c r="EP823" s="24"/>
      <c r="ES823" s="314">
        <v>2017</v>
      </c>
      <c r="ET823" s="314">
        <v>6</v>
      </c>
      <c r="EU823" s="314" t="s">
        <v>32</v>
      </c>
      <c r="EV823" s="314">
        <v>2744</v>
      </c>
      <c r="FW823" s="24">
        <v>2015</v>
      </c>
      <c r="FX823" s="24">
        <v>36</v>
      </c>
      <c r="FY823" s="24" t="s">
        <v>33</v>
      </c>
      <c r="FZ823" s="24">
        <v>3127</v>
      </c>
      <c r="GA823" s="24">
        <v>2266</v>
      </c>
      <c r="GD823" s="24"/>
      <c r="GE823" s="24"/>
      <c r="GF823" s="24"/>
      <c r="GG823" s="24"/>
      <c r="GH823" s="24"/>
      <c r="GX823">
        <v>2015</v>
      </c>
      <c r="GY823">
        <v>36</v>
      </c>
      <c r="GZ823" t="s">
        <v>33</v>
      </c>
      <c r="HA823">
        <v>56652</v>
      </c>
      <c r="HB823">
        <v>48672</v>
      </c>
      <c r="HC823">
        <v>1</v>
      </c>
      <c r="HD823">
        <v>2170</v>
      </c>
      <c r="HE823">
        <v>0</v>
      </c>
      <c r="HF823">
        <v>1088</v>
      </c>
      <c r="HG823">
        <v>0</v>
      </c>
      <c r="HH823">
        <v>0</v>
      </c>
      <c r="HI823">
        <v>650</v>
      </c>
      <c r="HZ823" s="24">
        <v>2015</v>
      </c>
      <c r="IA823" s="24">
        <v>36</v>
      </c>
      <c r="IB823" s="24" t="s">
        <v>33</v>
      </c>
      <c r="IC823" s="24">
        <v>3088</v>
      </c>
      <c r="ID823" s="24">
        <v>2287</v>
      </c>
    </row>
    <row r="824" spans="9:238" x14ac:dyDescent="0.4">
      <c r="I824" s="305">
        <v>2015</v>
      </c>
      <c r="J824" s="306">
        <v>36</v>
      </c>
      <c r="K824" s="306" t="s">
        <v>33</v>
      </c>
      <c r="L824" s="306">
        <v>56648</v>
      </c>
      <c r="M824" s="306">
        <v>47670</v>
      </c>
      <c r="N824" s="306"/>
      <c r="O824" s="306">
        <v>8974</v>
      </c>
      <c r="P824" s="306">
        <v>653</v>
      </c>
      <c r="Q824" s="306">
        <v>10</v>
      </c>
      <c r="R824" s="298"/>
      <c r="S824" s="298"/>
      <c r="T824" s="298"/>
      <c r="DJ824" s="24"/>
      <c r="DK824" s="24"/>
      <c r="DL824" s="24"/>
      <c r="DM824" s="24"/>
      <c r="EI824" s="24">
        <v>2022</v>
      </c>
      <c r="EJ824" s="24">
        <v>37</v>
      </c>
      <c r="EK824" s="24" t="s">
        <v>237</v>
      </c>
      <c r="EL824" s="24" t="s">
        <v>235</v>
      </c>
      <c r="EM824" s="24" t="s">
        <v>234</v>
      </c>
      <c r="EN824" s="24">
        <v>1</v>
      </c>
      <c r="EO824" s="24"/>
      <c r="EP824" s="24"/>
      <c r="ES824" s="24">
        <v>2017</v>
      </c>
      <c r="ET824" s="24">
        <v>6</v>
      </c>
      <c r="EU824" s="24" t="s">
        <v>33</v>
      </c>
      <c r="EV824" s="24">
        <v>36611</v>
      </c>
      <c r="FW824" s="24">
        <v>2015</v>
      </c>
      <c r="FX824" s="24">
        <v>35</v>
      </c>
      <c r="FY824" s="24" t="s">
        <v>32</v>
      </c>
      <c r="FZ824" s="24">
        <v>370</v>
      </c>
      <c r="GA824" s="24">
        <v>349</v>
      </c>
      <c r="GD824" s="24"/>
      <c r="GE824" s="24"/>
      <c r="GF824" s="24"/>
      <c r="GG824" s="24"/>
      <c r="GH824" s="24"/>
      <c r="GX824">
        <v>2015</v>
      </c>
      <c r="GY824">
        <v>35</v>
      </c>
      <c r="GZ824" t="s">
        <v>32</v>
      </c>
      <c r="HA824">
        <v>3284</v>
      </c>
      <c r="HB824">
        <v>3042</v>
      </c>
      <c r="HC824">
        <v>0</v>
      </c>
      <c r="HD824">
        <v>102</v>
      </c>
      <c r="HE824">
        <v>0</v>
      </c>
      <c r="HF824">
        <v>1</v>
      </c>
      <c r="HG824">
        <v>0</v>
      </c>
      <c r="HH824">
        <v>0</v>
      </c>
      <c r="HI824">
        <v>53</v>
      </c>
      <c r="HZ824" s="24">
        <v>2015</v>
      </c>
      <c r="IA824" s="24">
        <v>35</v>
      </c>
      <c r="IB824" s="24" t="s">
        <v>32</v>
      </c>
      <c r="IC824" s="24">
        <v>398</v>
      </c>
      <c r="ID824" s="24">
        <v>370</v>
      </c>
    </row>
    <row r="825" spans="9:238" x14ac:dyDescent="0.4">
      <c r="I825" s="305">
        <v>2015</v>
      </c>
      <c r="J825" s="306">
        <v>35</v>
      </c>
      <c r="K825" s="306" t="s">
        <v>32</v>
      </c>
      <c r="L825" s="306">
        <v>3183</v>
      </c>
      <c r="M825" s="306">
        <v>2920</v>
      </c>
      <c r="N825" s="306"/>
      <c r="O825" s="306">
        <v>263</v>
      </c>
      <c r="P825" s="306">
        <v>25</v>
      </c>
      <c r="Q825" s="306"/>
      <c r="R825" s="298"/>
      <c r="S825" s="298"/>
      <c r="T825" s="298"/>
      <c r="DJ825" s="24"/>
      <c r="DK825" s="24"/>
      <c r="DL825" s="24"/>
      <c r="DM825" s="24"/>
      <c r="EI825" s="24">
        <v>2022</v>
      </c>
      <c r="EJ825" s="24">
        <v>37</v>
      </c>
      <c r="EK825" s="24" t="s">
        <v>237</v>
      </c>
      <c r="EL825" s="24" t="s">
        <v>247</v>
      </c>
      <c r="EM825" s="24" t="s">
        <v>210</v>
      </c>
      <c r="EN825" s="24">
        <v>3</v>
      </c>
      <c r="EO825" s="24"/>
      <c r="EP825" s="24"/>
      <c r="ES825" s="24">
        <v>2017</v>
      </c>
      <c r="ET825" s="24">
        <v>5</v>
      </c>
      <c r="EU825" s="24" t="s">
        <v>32</v>
      </c>
      <c r="EV825" s="24">
        <v>3591</v>
      </c>
      <c r="FW825" s="24">
        <v>2015</v>
      </c>
      <c r="FX825" s="24">
        <v>35</v>
      </c>
      <c r="FY825" s="24" t="s">
        <v>33</v>
      </c>
      <c r="FZ825" s="24">
        <v>4069</v>
      </c>
      <c r="GA825" s="24">
        <v>2656</v>
      </c>
      <c r="GD825" s="24"/>
      <c r="GE825" s="24"/>
      <c r="GF825" s="24"/>
      <c r="GG825" s="24"/>
      <c r="GH825" s="24"/>
      <c r="GX825">
        <v>2015</v>
      </c>
      <c r="GY825">
        <v>35</v>
      </c>
      <c r="GZ825" t="s">
        <v>33</v>
      </c>
      <c r="HA825">
        <v>60459</v>
      </c>
      <c r="HB825">
        <v>52793</v>
      </c>
      <c r="HC825">
        <v>0</v>
      </c>
      <c r="HD825">
        <v>2375</v>
      </c>
      <c r="HE825">
        <v>0</v>
      </c>
      <c r="HF825">
        <v>1106</v>
      </c>
      <c r="HG825">
        <v>0</v>
      </c>
      <c r="HH825">
        <v>0</v>
      </c>
      <c r="HI825">
        <v>737</v>
      </c>
      <c r="HZ825" s="24">
        <v>2015</v>
      </c>
      <c r="IA825" s="24">
        <v>35</v>
      </c>
      <c r="IB825" s="24" t="s">
        <v>33</v>
      </c>
      <c r="IC825" s="24">
        <v>4100</v>
      </c>
      <c r="ID825" s="24">
        <v>2794</v>
      </c>
    </row>
    <row r="826" spans="9:238" x14ac:dyDescent="0.4">
      <c r="I826" s="305">
        <v>2015</v>
      </c>
      <c r="J826" s="306">
        <v>35</v>
      </c>
      <c r="K826" s="306" t="s">
        <v>33</v>
      </c>
      <c r="L826" s="306">
        <v>60573</v>
      </c>
      <c r="M826" s="306">
        <v>50920</v>
      </c>
      <c r="N826" s="306"/>
      <c r="O826" s="306">
        <v>9645</v>
      </c>
      <c r="P826" s="306">
        <v>840</v>
      </c>
      <c r="Q826" s="306">
        <v>8</v>
      </c>
      <c r="R826" s="298"/>
      <c r="S826" s="298"/>
      <c r="T826" s="298"/>
      <c r="DJ826" s="24"/>
      <c r="DK826" s="24"/>
      <c r="DL826" s="24"/>
      <c r="DM826" s="24"/>
      <c r="EI826" s="24">
        <v>2022</v>
      </c>
      <c r="EJ826" s="24">
        <v>37</v>
      </c>
      <c r="EK826" s="24" t="s">
        <v>211</v>
      </c>
      <c r="EL826" s="24" t="s">
        <v>232</v>
      </c>
      <c r="EM826" s="24" t="s">
        <v>234</v>
      </c>
      <c r="EN826" s="24">
        <v>2</v>
      </c>
      <c r="EO826" s="24"/>
      <c r="EP826" s="24"/>
      <c r="ES826" s="315">
        <v>2017</v>
      </c>
      <c r="ET826" s="315">
        <v>5</v>
      </c>
      <c r="EU826" s="315" t="s">
        <v>33</v>
      </c>
      <c r="EV826" s="315">
        <v>33658</v>
      </c>
      <c r="FW826" s="24">
        <v>2015</v>
      </c>
      <c r="FX826" s="24">
        <v>34</v>
      </c>
      <c r="FY826" s="24" t="s">
        <v>32</v>
      </c>
      <c r="FZ826" s="24">
        <v>329</v>
      </c>
      <c r="GA826" s="24">
        <v>284</v>
      </c>
      <c r="GD826" s="24"/>
      <c r="GE826" s="24"/>
      <c r="GF826" s="24"/>
      <c r="GG826" s="24"/>
      <c r="GH826" s="24"/>
      <c r="GX826">
        <v>2015</v>
      </c>
      <c r="GY826">
        <v>34</v>
      </c>
      <c r="GZ826" t="s">
        <v>32</v>
      </c>
      <c r="HA826">
        <v>2968</v>
      </c>
      <c r="HB826">
        <v>2697</v>
      </c>
      <c r="HC826">
        <v>2</v>
      </c>
      <c r="HD826">
        <v>140</v>
      </c>
      <c r="HE826">
        <v>0</v>
      </c>
      <c r="HF826">
        <v>0</v>
      </c>
      <c r="HG826">
        <v>0</v>
      </c>
      <c r="HH826">
        <v>0</v>
      </c>
      <c r="HI826">
        <v>66</v>
      </c>
      <c r="HZ826" s="24">
        <v>2015</v>
      </c>
      <c r="IA826" s="24">
        <v>34</v>
      </c>
      <c r="IB826" s="24" t="s">
        <v>32</v>
      </c>
      <c r="IC826" s="24">
        <v>317</v>
      </c>
      <c r="ID826" s="24">
        <v>275</v>
      </c>
    </row>
    <row r="827" spans="9:238" x14ac:dyDescent="0.4">
      <c r="I827" s="305">
        <v>2015</v>
      </c>
      <c r="J827" s="306">
        <v>34</v>
      </c>
      <c r="K827" s="306" t="s">
        <v>32</v>
      </c>
      <c r="L827" s="306">
        <v>3088</v>
      </c>
      <c r="M827" s="306">
        <v>2734</v>
      </c>
      <c r="N827" s="306"/>
      <c r="O827" s="306">
        <v>354</v>
      </c>
      <c r="P827" s="306">
        <v>27</v>
      </c>
      <c r="Q827" s="306"/>
      <c r="R827" s="298"/>
      <c r="S827" s="298"/>
      <c r="T827" s="298"/>
      <c r="DJ827" s="24"/>
      <c r="DK827" s="24"/>
      <c r="DL827" s="24"/>
      <c r="DM827" s="24"/>
      <c r="EI827" s="24">
        <v>2022</v>
      </c>
      <c r="EJ827" s="24">
        <v>37</v>
      </c>
      <c r="EK827" s="24" t="s">
        <v>211</v>
      </c>
      <c r="EL827" s="24" t="s">
        <v>212</v>
      </c>
      <c r="EM827" s="24" t="s">
        <v>210</v>
      </c>
      <c r="EN827" s="24">
        <v>10</v>
      </c>
      <c r="EO827" s="24"/>
      <c r="EP827" s="24"/>
      <c r="ES827" s="315">
        <v>2017</v>
      </c>
      <c r="ET827" s="315">
        <v>4</v>
      </c>
      <c r="EU827" s="315" t="s">
        <v>32</v>
      </c>
      <c r="EV827" s="315">
        <v>3338</v>
      </c>
      <c r="FW827" s="24">
        <v>2015</v>
      </c>
      <c r="FX827" s="24">
        <v>34</v>
      </c>
      <c r="FY827" s="24" t="s">
        <v>33</v>
      </c>
      <c r="FZ827" s="24">
        <v>3496</v>
      </c>
      <c r="GA827" s="24">
        <v>1937</v>
      </c>
      <c r="GD827" s="24"/>
      <c r="GE827" s="24"/>
      <c r="GF827" s="24"/>
      <c r="GG827" s="24"/>
      <c r="GH827" s="24"/>
      <c r="GX827">
        <v>2015</v>
      </c>
      <c r="GY827">
        <v>34</v>
      </c>
      <c r="GZ827" t="s">
        <v>33</v>
      </c>
      <c r="HA827">
        <v>63103</v>
      </c>
      <c r="HB827">
        <v>52151</v>
      </c>
      <c r="HC827">
        <v>1</v>
      </c>
      <c r="HD827">
        <v>2151</v>
      </c>
      <c r="HE827">
        <v>0</v>
      </c>
      <c r="HF827">
        <v>1068</v>
      </c>
      <c r="HG827">
        <v>0</v>
      </c>
      <c r="HH827">
        <v>0</v>
      </c>
      <c r="HI827">
        <v>942</v>
      </c>
      <c r="HZ827" s="24">
        <v>2015</v>
      </c>
      <c r="IA827" s="24">
        <v>34</v>
      </c>
      <c r="IB827" s="24" t="s">
        <v>33</v>
      </c>
      <c r="IC827" s="24">
        <v>3514</v>
      </c>
      <c r="ID827" s="24">
        <v>1930</v>
      </c>
    </row>
    <row r="828" spans="9:238" x14ac:dyDescent="0.4">
      <c r="I828" s="305">
        <v>2015</v>
      </c>
      <c r="J828" s="306">
        <v>34</v>
      </c>
      <c r="K828" s="306" t="s">
        <v>33</v>
      </c>
      <c r="L828" s="306">
        <v>63526</v>
      </c>
      <c r="M828" s="306">
        <v>51281</v>
      </c>
      <c r="N828" s="306"/>
      <c r="O828" s="306">
        <v>12208</v>
      </c>
      <c r="P828" s="306">
        <v>692</v>
      </c>
      <c r="Q828" s="306">
        <v>4</v>
      </c>
      <c r="R828" s="298"/>
      <c r="S828" s="298"/>
      <c r="T828" s="298"/>
      <c r="DJ828" s="24"/>
      <c r="DK828" s="24"/>
      <c r="DL828" s="24"/>
      <c r="DM828" s="24"/>
      <c r="EI828" s="24">
        <v>2022</v>
      </c>
      <c r="EJ828" s="24">
        <v>37</v>
      </c>
      <c r="EK828" s="24" t="s">
        <v>211</v>
      </c>
      <c r="EL828" s="24" t="s">
        <v>212</v>
      </c>
      <c r="EM828" s="24" t="s">
        <v>234</v>
      </c>
      <c r="EN828" s="24">
        <v>21</v>
      </c>
      <c r="EO828" s="24"/>
      <c r="EP828" s="24"/>
      <c r="ES828" s="24">
        <v>2017</v>
      </c>
      <c r="ET828" s="24">
        <v>4</v>
      </c>
      <c r="EU828" s="24" t="s">
        <v>33</v>
      </c>
      <c r="EV828" s="24">
        <v>31880</v>
      </c>
      <c r="FW828" s="24">
        <v>2015</v>
      </c>
      <c r="FX828" s="24">
        <v>33</v>
      </c>
      <c r="FY828" s="24" t="s">
        <v>32</v>
      </c>
      <c r="FZ828" s="24">
        <v>515</v>
      </c>
      <c r="GA828" s="24">
        <v>475</v>
      </c>
      <c r="GD828" s="24"/>
      <c r="GE828" s="24"/>
      <c r="GF828" s="24"/>
      <c r="GG828" s="24"/>
      <c r="GH828" s="24"/>
      <c r="GX828">
        <v>2015</v>
      </c>
      <c r="GY828">
        <v>33</v>
      </c>
      <c r="GZ828" t="s">
        <v>32</v>
      </c>
      <c r="HA828">
        <v>3538</v>
      </c>
      <c r="HB828">
        <v>3238</v>
      </c>
      <c r="HC828">
        <v>0</v>
      </c>
      <c r="HD828">
        <v>185</v>
      </c>
      <c r="HE828">
        <v>0</v>
      </c>
      <c r="HF828">
        <v>1</v>
      </c>
      <c r="HG828">
        <v>0</v>
      </c>
      <c r="HH828">
        <v>0</v>
      </c>
      <c r="HI828">
        <v>78</v>
      </c>
      <c r="HZ828" s="24">
        <v>2015</v>
      </c>
      <c r="IA828" s="24">
        <v>33</v>
      </c>
      <c r="IB828" s="24" t="s">
        <v>32</v>
      </c>
      <c r="IC828" s="24">
        <v>492</v>
      </c>
      <c r="ID828" s="24">
        <v>465</v>
      </c>
    </row>
    <row r="829" spans="9:238" x14ac:dyDescent="0.4">
      <c r="I829" s="305">
        <v>2015</v>
      </c>
      <c r="J829" s="306">
        <v>33</v>
      </c>
      <c r="K829" s="306" t="s">
        <v>32</v>
      </c>
      <c r="L829" s="306">
        <v>3552</v>
      </c>
      <c r="M829" s="306">
        <v>3291</v>
      </c>
      <c r="N829" s="306"/>
      <c r="O829" s="306">
        <v>261</v>
      </c>
      <c r="P829" s="306">
        <v>29</v>
      </c>
      <c r="Q829" s="306"/>
      <c r="R829" s="298"/>
      <c r="S829" s="298"/>
      <c r="T829" s="298"/>
      <c r="DJ829" s="24"/>
      <c r="DK829" s="24"/>
      <c r="DL829" s="24"/>
      <c r="DM829" s="24"/>
      <c r="EI829" s="24">
        <v>2022</v>
      </c>
      <c r="EJ829" s="24">
        <v>37</v>
      </c>
      <c r="EK829" s="24" t="s">
        <v>211</v>
      </c>
      <c r="EL829" s="24" t="s">
        <v>247</v>
      </c>
      <c r="EM829" s="24" t="s">
        <v>234</v>
      </c>
      <c r="EN829" s="24">
        <v>8</v>
      </c>
      <c r="EO829" s="24"/>
      <c r="EP829" s="24"/>
      <c r="ES829" s="24">
        <v>2017</v>
      </c>
      <c r="ET829" s="24">
        <v>3</v>
      </c>
      <c r="EU829" s="24" t="s">
        <v>32</v>
      </c>
      <c r="EV829" s="24">
        <v>2166</v>
      </c>
      <c r="FW829" s="24">
        <v>2015</v>
      </c>
      <c r="FX829" s="24">
        <v>33</v>
      </c>
      <c r="FY829" s="24" t="s">
        <v>33</v>
      </c>
      <c r="FZ829" s="24">
        <v>3299</v>
      </c>
      <c r="GA829" s="24">
        <v>2237</v>
      </c>
      <c r="GD829" s="24"/>
      <c r="GE829" s="24"/>
      <c r="GF829" s="24"/>
      <c r="GG829" s="24"/>
      <c r="GH829" s="24"/>
      <c r="GX829">
        <v>2015</v>
      </c>
      <c r="GY829">
        <v>33</v>
      </c>
      <c r="GZ829" t="s">
        <v>33</v>
      </c>
      <c r="HA829">
        <v>57231</v>
      </c>
      <c r="HB829">
        <v>49622</v>
      </c>
      <c r="HC829">
        <v>0</v>
      </c>
      <c r="HD829">
        <v>2234</v>
      </c>
      <c r="HE829">
        <v>0</v>
      </c>
      <c r="HF829">
        <v>645</v>
      </c>
      <c r="HG829">
        <v>0</v>
      </c>
      <c r="HH829">
        <v>0</v>
      </c>
      <c r="HI829">
        <v>846</v>
      </c>
      <c r="HZ829" s="24">
        <v>2015</v>
      </c>
      <c r="IA829" s="24">
        <v>33</v>
      </c>
      <c r="IB829" s="24" t="s">
        <v>33</v>
      </c>
      <c r="IC829" s="24">
        <v>3273</v>
      </c>
      <c r="ID829" s="24">
        <v>2194</v>
      </c>
    </row>
    <row r="830" spans="9:238" x14ac:dyDescent="0.4">
      <c r="I830" s="305">
        <v>2015</v>
      </c>
      <c r="J830" s="306">
        <v>33</v>
      </c>
      <c r="K830" s="306" t="s">
        <v>33</v>
      </c>
      <c r="L830" s="306">
        <v>56558</v>
      </c>
      <c r="M830" s="306">
        <v>47794</v>
      </c>
      <c r="N830" s="306"/>
      <c r="O830" s="306">
        <v>8764</v>
      </c>
      <c r="P830" s="306">
        <v>690</v>
      </c>
      <c r="Q830" s="306">
        <v>2</v>
      </c>
      <c r="R830" s="298"/>
      <c r="S830" s="298"/>
      <c r="T830" s="298"/>
      <c r="DJ830" s="24"/>
      <c r="DK830" s="24"/>
      <c r="DL830" s="24"/>
      <c r="DM830" s="24"/>
      <c r="EI830" s="24">
        <v>2022</v>
      </c>
      <c r="EJ830" s="24">
        <v>36</v>
      </c>
      <c r="EK830" s="24" t="s">
        <v>208</v>
      </c>
      <c r="EL830" s="24" t="s">
        <v>351</v>
      </c>
      <c r="EM830" s="24" t="s">
        <v>215</v>
      </c>
      <c r="EN830" s="24">
        <v>15</v>
      </c>
      <c r="EO830" s="24"/>
      <c r="EP830" s="24"/>
      <c r="ES830" s="24">
        <v>2017</v>
      </c>
      <c r="ET830" s="24">
        <v>3</v>
      </c>
      <c r="EU830" s="24" t="s">
        <v>33</v>
      </c>
      <c r="EV830" s="24">
        <v>28879</v>
      </c>
      <c r="FW830" s="24">
        <v>2015</v>
      </c>
      <c r="FX830" s="24">
        <v>32</v>
      </c>
      <c r="FY830" s="24" t="s">
        <v>32</v>
      </c>
      <c r="FZ830" s="24">
        <v>531</v>
      </c>
      <c r="GA830" s="24">
        <v>198</v>
      </c>
      <c r="GD830" s="24"/>
      <c r="GE830" s="24"/>
      <c r="GF830" s="24"/>
      <c r="GG830" s="24"/>
      <c r="GH830" s="24"/>
      <c r="GX830">
        <v>2015</v>
      </c>
      <c r="GY830">
        <v>32</v>
      </c>
      <c r="GZ830" t="s">
        <v>32</v>
      </c>
      <c r="HA830">
        <v>4559</v>
      </c>
      <c r="HB830">
        <v>3982</v>
      </c>
      <c r="HC830">
        <v>0</v>
      </c>
      <c r="HD830">
        <v>88</v>
      </c>
      <c r="HE830">
        <v>0</v>
      </c>
      <c r="HF830">
        <v>16</v>
      </c>
      <c r="HG830">
        <v>0</v>
      </c>
      <c r="HH830">
        <v>0</v>
      </c>
      <c r="HI830">
        <v>164</v>
      </c>
      <c r="HZ830" s="24">
        <v>2015</v>
      </c>
      <c r="IA830" s="24">
        <v>32</v>
      </c>
      <c r="IB830" s="24" t="s">
        <v>32</v>
      </c>
      <c r="IC830" s="24">
        <v>558</v>
      </c>
      <c r="ID830" s="24">
        <v>228</v>
      </c>
    </row>
    <row r="831" spans="9:238" x14ac:dyDescent="0.4">
      <c r="I831" s="305">
        <v>2015</v>
      </c>
      <c r="J831" s="306">
        <v>32</v>
      </c>
      <c r="K831" s="306" t="s">
        <v>32</v>
      </c>
      <c r="L831" s="306">
        <v>4603</v>
      </c>
      <c r="M831" s="306">
        <v>3980</v>
      </c>
      <c r="N831" s="306"/>
      <c r="O831" s="306">
        <v>623</v>
      </c>
      <c r="P831" s="306">
        <v>84</v>
      </c>
      <c r="Q831" s="306"/>
      <c r="R831" s="298"/>
      <c r="S831" s="298"/>
      <c r="T831" s="298"/>
      <c r="DJ831" s="24"/>
      <c r="DK831" s="24"/>
      <c r="DL831" s="24"/>
      <c r="DM831" s="24"/>
      <c r="EI831" s="24">
        <v>2022</v>
      </c>
      <c r="EJ831" s="24">
        <v>36</v>
      </c>
      <c r="EK831" s="24" t="s">
        <v>208</v>
      </c>
      <c r="EL831" s="24" t="s">
        <v>235</v>
      </c>
      <c r="EM831" s="24" t="s">
        <v>210</v>
      </c>
      <c r="EN831" s="24">
        <v>15</v>
      </c>
      <c r="EO831" s="24"/>
      <c r="EP831" s="24"/>
      <c r="ES831" s="24">
        <v>2017</v>
      </c>
      <c r="ET831" s="24">
        <v>2</v>
      </c>
      <c r="EU831" s="24" t="s">
        <v>32</v>
      </c>
      <c r="EV831" s="24">
        <v>3191</v>
      </c>
      <c r="FW831" s="24">
        <v>2015</v>
      </c>
      <c r="FX831" s="24">
        <v>32</v>
      </c>
      <c r="FY831" s="24" t="s">
        <v>33</v>
      </c>
      <c r="FZ831" s="24">
        <v>3219</v>
      </c>
      <c r="GA831" s="24">
        <v>2301</v>
      </c>
      <c r="GD831" s="24"/>
      <c r="GE831" s="24"/>
      <c r="GF831" s="24"/>
      <c r="GG831" s="24"/>
      <c r="GH831" s="24"/>
      <c r="GX831">
        <v>2015</v>
      </c>
      <c r="GY831">
        <v>32</v>
      </c>
      <c r="GZ831" t="s">
        <v>33</v>
      </c>
      <c r="HA831">
        <v>52495</v>
      </c>
      <c r="HB831">
        <v>47847</v>
      </c>
      <c r="HC831">
        <v>0</v>
      </c>
      <c r="HD831">
        <v>1976</v>
      </c>
      <c r="HE831">
        <v>0</v>
      </c>
      <c r="HF831">
        <v>327</v>
      </c>
      <c r="HG831">
        <v>0</v>
      </c>
      <c r="HH831">
        <v>0</v>
      </c>
      <c r="HI831">
        <v>437</v>
      </c>
      <c r="HZ831" s="24">
        <v>2015</v>
      </c>
      <c r="IA831" s="24">
        <v>32</v>
      </c>
      <c r="IB831" s="24" t="s">
        <v>33</v>
      </c>
      <c r="IC831" s="24">
        <v>3216</v>
      </c>
      <c r="ID831" s="24">
        <v>2243</v>
      </c>
    </row>
    <row r="832" spans="9:238" x14ac:dyDescent="0.4">
      <c r="I832" s="305">
        <v>2015</v>
      </c>
      <c r="J832" s="306">
        <v>32</v>
      </c>
      <c r="K832" s="306" t="s">
        <v>33</v>
      </c>
      <c r="L832" s="306">
        <v>52580</v>
      </c>
      <c r="M832" s="306">
        <v>46634</v>
      </c>
      <c r="N832" s="306"/>
      <c r="O832" s="306">
        <v>5946</v>
      </c>
      <c r="P832" s="306">
        <v>432</v>
      </c>
      <c r="Q832" s="306">
        <v>5</v>
      </c>
      <c r="R832" s="298"/>
      <c r="S832" s="298"/>
      <c r="T832" s="298"/>
      <c r="DJ832" s="24"/>
      <c r="DK832" s="24"/>
      <c r="DL832" s="24"/>
      <c r="DM832" s="24"/>
      <c r="EI832" s="24">
        <v>2022</v>
      </c>
      <c r="EJ832" s="24">
        <v>36</v>
      </c>
      <c r="EK832" s="24" t="s">
        <v>208</v>
      </c>
      <c r="EL832" s="24" t="s">
        <v>235</v>
      </c>
      <c r="EM832" s="24" t="s">
        <v>234</v>
      </c>
      <c r="EN832" s="24">
        <v>4</v>
      </c>
      <c r="EO832" s="24"/>
      <c r="EP832" s="24"/>
      <c r="ES832" s="24">
        <v>2017</v>
      </c>
      <c r="ET832" s="24">
        <v>2</v>
      </c>
      <c r="EU832" s="24" t="s">
        <v>33</v>
      </c>
      <c r="EV832" s="24">
        <v>26367</v>
      </c>
      <c r="FW832" s="24">
        <v>2015</v>
      </c>
      <c r="FX832" s="24">
        <v>31</v>
      </c>
      <c r="FY832" s="24" t="s">
        <v>32</v>
      </c>
      <c r="FZ832" s="24">
        <v>409</v>
      </c>
      <c r="GA832" s="24">
        <v>288</v>
      </c>
      <c r="GD832" s="24"/>
      <c r="GE832" s="24"/>
      <c r="GF832" s="24"/>
      <c r="GG832" s="24"/>
      <c r="GH832" s="24"/>
      <c r="GX832">
        <v>2015</v>
      </c>
      <c r="GY832">
        <v>31</v>
      </c>
      <c r="GZ832" t="s">
        <v>32</v>
      </c>
      <c r="HA832">
        <v>2765</v>
      </c>
      <c r="HB832">
        <v>2442</v>
      </c>
      <c r="HC832">
        <v>0</v>
      </c>
      <c r="HD832">
        <v>144</v>
      </c>
      <c r="HE832">
        <v>0</v>
      </c>
      <c r="HF832">
        <v>2</v>
      </c>
      <c r="HG832">
        <v>0</v>
      </c>
      <c r="HH832">
        <v>0</v>
      </c>
      <c r="HI832">
        <v>70</v>
      </c>
      <c r="HZ832" s="24">
        <v>2015</v>
      </c>
      <c r="IA832" s="24">
        <v>31</v>
      </c>
      <c r="IB832" s="24" t="s">
        <v>32</v>
      </c>
      <c r="IC832" s="24">
        <v>408</v>
      </c>
      <c r="ID832" s="24">
        <v>296</v>
      </c>
    </row>
    <row r="833" spans="9:238" x14ac:dyDescent="0.4">
      <c r="I833" s="305">
        <v>2015</v>
      </c>
      <c r="J833" s="306">
        <v>31</v>
      </c>
      <c r="K833" s="306" t="s">
        <v>32</v>
      </c>
      <c r="L833" s="306">
        <v>2680</v>
      </c>
      <c r="M833" s="306">
        <v>2323</v>
      </c>
      <c r="N833" s="306"/>
      <c r="O833" s="306">
        <v>357</v>
      </c>
      <c r="P833" s="306">
        <v>57</v>
      </c>
      <c r="Q833" s="306">
        <v>2</v>
      </c>
      <c r="R833" s="298"/>
      <c r="S833" s="298"/>
      <c r="T833" s="298"/>
      <c r="DJ833" s="24"/>
      <c r="DK833" s="24"/>
      <c r="DL833" s="24"/>
      <c r="DM833" s="24"/>
      <c r="EI833" s="24">
        <v>2022</v>
      </c>
      <c r="EJ833" s="24">
        <v>36</v>
      </c>
      <c r="EK833" s="24" t="s">
        <v>208</v>
      </c>
      <c r="EL833" s="24" t="s">
        <v>235</v>
      </c>
      <c r="EM833" s="24" t="s">
        <v>215</v>
      </c>
      <c r="EN833" s="24">
        <v>9</v>
      </c>
      <c r="EO833" s="24"/>
      <c r="EP833" s="24"/>
      <c r="ES833" s="24">
        <v>2017</v>
      </c>
      <c r="ET833" s="24">
        <v>1</v>
      </c>
      <c r="EU833" s="24" t="s">
        <v>32</v>
      </c>
      <c r="EV833" s="24">
        <v>2563</v>
      </c>
      <c r="FW833" s="24">
        <v>2015</v>
      </c>
      <c r="FX833" s="24">
        <v>31</v>
      </c>
      <c r="FY833" s="24" t="s">
        <v>33</v>
      </c>
      <c r="FZ833" s="24">
        <v>3535</v>
      </c>
      <c r="GA833" s="24">
        <v>2592</v>
      </c>
      <c r="GD833" s="24"/>
      <c r="GE833" s="24"/>
      <c r="GF833" s="24"/>
      <c r="GG833" s="24"/>
      <c r="GH833" s="24"/>
      <c r="GX833">
        <v>2015</v>
      </c>
      <c r="GY833">
        <v>31</v>
      </c>
      <c r="GZ833" t="s">
        <v>33</v>
      </c>
      <c r="HA833">
        <v>58385</v>
      </c>
      <c r="HB833">
        <v>49420</v>
      </c>
      <c r="HC833">
        <v>1</v>
      </c>
      <c r="HD833">
        <v>2605</v>
      </c>
      <c r="HE833">
        <v>0</v>
      </c>
      <c r="HF833">
        <v>458</v>
      </c>
      <c r="HG833">
        <v>0</v>
      </c>
      <c r="HH833">
        <v>0</v>
      </c>
      <c r="HI833">
        <v>779</v>
      </c>
      <c r="HZ833" s="24">
        <v>2015</v>
      </c>
      <c r="IA833" s="24">
        <v>31</v>
      </c>
      <c r="IB833" s="24" t="s">
        <v>33</v>
      </c>
      <c r="IC833" s="24">
        <v>3507</v>
      </c>
      <c r="ID833" s="24">
        <v>2669</v>
      </c>
    </row>
    <row r="834" spans="9:238" x14ac:dyDescent="0.4">
      <c r="I834" s="305">
        <v>2015</v>
      </c>
      <c r="J834" s="306">
        <v>31</v>
      </c>
      <c r="K834" s="306" t="s">
        <v>33</v>
      </c>
      <c r="L834" s="306">
        <v>58756</v>
      </c>
      <c r="M834" s="306">
        <v>48224</v>
      </c>
      <c r="N834" s="306"/>
      <c r="O834" s="306">
        <v>10532</v>
      </c>
      <c r="P834" s="306">
        <v>643</v>
      </c>
      <c r="Q834" s="306">
        <v>10</v>
      </c>
      <c r="R834" s="298"/>
      <c r="S834" s="298"/>
      <c r="T834" s="298"/>
      <c r="DJ834" s="24"/>
      <c r="DK834" s="24"/>
      <c r="DL834" s="24"/>
      <c r="DM834" s="24"/>
      <c r="EI834" s="24">
        <v>2022</v>
      </c>
      <c r="EJ834" s="24">
        <v>36</v>
      </c>
      <c r="EK834" s="24" t="s">
        <v>208</v>
      </c>
      <c r="EL834" s="24" t="s">
        <v>209</v>
      </c>
      <c r="EM834" s="24" t="s">
        <v>210</v>
      </c>
      <c r="EN834" s="24">
        <v>6</v>
      </c>
      <c r="EO834" s="24"/>
      <c r="EP834" s="24"/>
      <c r="ES834" s="24">
        <v>2017</v>
      </c>
      <c r="ET834" s="24">
        <v>1</v>
      </c>
      <c r="EU834" s="24" t="s">
        <v>33</v>
      </c>
      <c r="EV834" s="24">
        <v>32542</v>
      </c>
      <c r="FW834" s="24">
        <v>2015</v>
      </c>
      <c r="FX834" s="24">
        <v>30</v>
      </c>
      <c r="FY834" s="24" t="s">
        <v>32</v>
      </c>
      <c r="FZ834" s="24">
        <v>315</v>
      </c>
      <c r="GA834" s="24">
        <v>268</v>
      </c>
      <c r="GD834" s="24"/>
      <c r="GE834" s="24"/>
      <c r="GF834" s="24"/>
      <c r="GG834" s="24"/>
      <c r="GH834" s="24"/>
      <c r="GX834">
        <v>2015</v>
      </c>
      <c r="GY834">
        <v>30</v>
      </c>
      <c r="GZ834" t="s">
        <v>32</v>
      </c>
      <c r="HA834">
        <v>2548</v>
      </c>
      <c r="HB834">
        <v>2205</v>
      </c>
      <c r="HC834">
        <v>0</v>
      </c>
      <c r="HD834">
        <v>213</v>
      </c>
      <c r="HE834">
        <v>0</v>
      </c>
      <c r="HF834">
        <v>0</v>
      </c>
      <c r="HG834">
        <v>0</v>
      </c>
      <c r="HH834">
        <v>0</v>
      </c>
      <c r="HI834">
        <v>68</v>
      </c>
      <c r="HZ834" s="24">
        <v>2015</v>
      </c>
      <c r="IA834" s="24">
        <v>30</v>
      </c>
      <c r="IB834" s="24" t="s">
        <v>32</v>
      </c>
      <c r="IC834" s="24">
        <v>316</v>
      </c>
      <c r="ID834" s="24">
        <v>251</v>
      </c>
    </row>
    <row r="835" spans="9:238" x14ac:dyDescent="0.4">
      <c r="I835" s="305">
        <v>2015</v>
      </c>
      <c r="J835" s="306">
        <v>30</v>
      </c>
      <c r="K835" s="306" t="s">
        <v>32</v>
      </c>
      <c r="L835" s="306">
        <v>2537</v>
      </c>
      <c r="M835" s="306">
        <v>2259</v>
      </c>
      <c r="N835" s="306"/>
      <c r="O835" s="306">
        <v>278</v>
      </c>
      <c r="P835" s="306">
        <v>32</v>
      </c>
      <c r="Q835" s="306">
        <v>1</v>
      </c>
      <c r="R835" s="298"/>
      <c r="S835" s="298"/>
      <c r="T835" s="298"/>
      <c r="DJ835" s="24"/>
      <c r="DK835" s="24"/>
      <c r="DL835" s="24"/>
      <c r="DM835" s="24"/>
      <c r="EI835" s="24">
        <v>2022</v>
      </c>
      <c r="EJ835" s="24">
        <v>36</v>
      </c>
      <c r="EK835" s="24" t="s">
        <v>208</v>
      </c>
      <c r="EL835" s="24" t="s">
        <v>245</v>
      </c>
      <c r="EM835" s="24" t="s">
        <v>234</v>
      </c>
      <c r="EN835" s="24">
        <v>1</v>
      </c>
      <c r="EO835" s="24"/>
      <c r="EP835" s="24"/>
      <c r="ES835" s="316">
        <v>2016</v>
      </c>
      <c r="ET835" s="316">
        <v>52</v>
      </c>
      <c r="EU835" s="316" t="s">
        <v>32</v>
      </c>
      <c r="EV835" s="316">
        <v>3039</v>
      </c>
      <c r="FW835" s="24">
        <v>2015</v>
      </c>
      <c r="FX835" s="24">
        <v>30</v>
      </c>
      <c r="FY835" s="24" t="s">
        <v>33</v>
      </c>
      <c r="FZ835" s="24">
        <v>3861</v>
      </c>
      <c r="GA835" s="24">
        <v>2444</v>
      </c>
      <c r="GD835" s="24"/>
      <c r="GE835" s="24"/>
      <c r="GF835" s="24"/>
      <c r="GG835" s="24"/>
      <c r="GH835" s="24"/>
      <c r="GX835">
        <v>2015</v>
      </c>
      <c r="GY835">
        <v>30</v>
      </c>
      <c r="GZ835" t="s">
        <v>33</v>
      </c>
      <c r="HA835">
        <v>63921</v>
      </c>
      <c r="HB835">
        <v>53345</v>
      </c>
      <c r="HC835">
        <v>1</v>
      </c>
      <c r="HD835">
        <v>3112</v>
      </c>
      <c r="HE835">
        <v>0</v>
      </c>
      <c r="HF835">
        <v>1084</v>
      </c>
      <c r="HG835">
        <v>0</v>
      </c>
      <c r="HH835">
        <v>0</v>
      </c>
      <c r="HI835">
        <v>826</v>
      </c>
      <c r="HZ835" s="24">
        <v>2015</v>
      </c>
      <c r="IA835" s="24">
        <v>30</v>
      </c>
      <c r="IB835" s="24" t="s">
        <v>33</v>
      </c>
      <c r="IC835" s="24">
        <v>3899</v>
      </c>
      <c r="ID835" s="24">
        <v>2505</v>
      </c>
    </row>
    <row r="836" spans="9:238" x14ac:dyDescent="0.4">
      <c r="I836" s="305">
        <v>2015</v>
      </c>
      <c r="J836" s="306">
        <v>30</v>
      </c>
      <c r="K836" s="306" t="s">
        <v>33</v>
      </c>
      <c r="L836" s="306">
        <v>65082</v>
      </c>
      <c r="M836" s="306">
        <v>52205</v>
      </c>
      <c r="N836" s="306"/>
      <c r="O836" s="306">
        <v>12877</v>
      </c>
      <c r="P836" s="306">
        <v>886</v>
      </c>
      <c r="Q836" s="306">
        <v>2</v>
      </c>
      <c r="R836" s="298"/>
      <c r="S836" s="298"/>
      <c r="T836" s="298"/>
      <c r="DJ836" s="24"/>
      <c r="DK836" s="24"/>
      <c r="DL836" s="24"/>
      <c r="DM836" s="24"/>
      <c r="EI836" s="24">
        <v>2022</v>
      </c>
      <c r="EJ836" s="24">
        <v>36</v>
      </c>
      <c r="EK836" s="24" t="s">
        <v>33</v>
      </c>
      <c r="EL836" s="24" t="s">
        <v>233</v>
      </c>
      <c r="EM836" s="24" t="s">
        <v>210</v>
      </c>
      <c r="EN836" s="24">
        <v>1</v>
      </c>
      <c r="EO836" s="24"/>
      <c r="EP836" s="24"/>
      <c r="ES836" s="316">
        <v>2016</v>
      </c>
      <c r="ET836" s="316">
        <v>52</v>
      </c>
      <c r="EU836" s="316" t="s">
        <v>33</v>
      </c>
      <c r="EV836" s="316">
        <v>22389</v>
      </c>
      <c r="FW836" s="24">
        <v>2015</v>
      </c>
      <c r="FX836" s="24">
        <v>29</v>
      </c>
      <c r="FY836" s="24" t="s">
        <v>32</v>
      </c>
      <c r="FZ836" s="24">
        <v>237</v>
      </c>
      <c r="GA836" s="24">
        <v>179</v>
      </c>
      <c r="GD836" s="24"/>
      <c r="GE836" s="24"/>
      <c r="GF836" s="24"/>
      <c r="GG836" s="24"/>
      <c r="GH836" s="24"/>
      <c r="GX836">
        <v>2015</v>
      </c>
      <c r="GY836">
        <v>29</v>
      </c>
      <c r="GZ836" t="s">
        <v>32</v>
      </c>
      <c r="HA836">
        <v>2461</v>
      </c>
      <c r="HB836">
        <v>2258</v>
      </c>
      <c r="HC836">
        <v>0</v>
      </c>
      <c r="HD836">
        <v>85</v>
      </c>
      <c r="HE836">
        <v>0</v>
      </c>
      <c r="HF836">
        <v>0</v>
      </c>
      <c r="HG836">
        <v>0</v>
      </c>
      <c r="HH836">
        <v>0</v>
      </c>
      <c r="HI836">
        <v>55</v>
      </c>
      <c r="HZ836" s="24">
        <v>2015</v>
      </c>
      <c r="IA836" s="24">
        <v>29</v>
      </c>
      <c r="IB836" s="24" t="s">
        <v>32</v>
      </c>
      <c r="IC836" s="24">
        <v>263</v>
      </c>
      <c r="ID836" s="24">
        <v>204</v>
      </c>
    </row>
    <row r="837" spans="9:238" x14ac:dyDescent="0.4">
      <c r="I837" s="305">
        <v>2015</v>
      </c>
      <c r="J837" s="306">
        <v>29</v>
      </c>
      <c r="K837" s="306" t="s">
        <v>32</v>
      </c>
      <c r="L837" s="306">
        <v>2442</v>
      </c>
      <c r="M837" s="306">
        <v>2186</v>
      </c>
      <c r="N837" s="306"/>
      <c r="O837" s="306">
        <v>256</v>
      </c>
      <c r="P837" s="306">
        <v>25</v>
      </c>
      <c r="Q837" s="306">
        <v>1</v>
      </c>
      <c r="R837" s="298"/>
      <c r="S837" s="298"/>
      <c r="T837" s="298"/>
      <c r="DJ837" s="24"/>
      <c r="DK837" s="24"/>
      <c r="DL837" s="24"/>
      <c r="DM837" s="24"/>
      <c r="EI837" s="24">
        <v>2022</v>
      </c>
      <c r="EJ837" s="24">
        <v>36</v>
      </c>
      <c r="EK837" s="24" t="s">
        <v>33</v>
      </c>
      <c r="EL837" s="24" t="s">
        <v>244</v>
      </c>
      <c r="EM837" s="24" t="s">
        <v>210</v>
      </c>
      <c r="EN837" s="24">
        <v>9</v>
      </c>
      <c r="EO837" s="24"/>
      <c r="EP837" s="24"/>
      <c r="ES837" s="316">
        <v>2016</v>
      </c>
      <c r="ET837" s="316">
        <v>51</v>
      </c>
      <c r="EU837" s="316" t="s">
        <v>32</v>
      </c>
      <c r="EV837" s="316">
        <v>1738</v>
      </c>
      <c r="FW837" s="24">
        <v>2015</v>
      </c>
      <c r="FX837" s="24">
        <v>29</v>
      </c>
      <c r="FY837" s="24" t="s">
        <v>33</v>
      </c>
      <c r="FZ837" s="24">
        <v>3390</v>
      </c>
      <c r="GA837" s="24">
        <v>2243</v>
      </c>
      <c r="GD837" s="24"/>
      <c r="GE837" s="24"/>
      <c r="GF837" s="24"/>
      <c r="GG837" s="24"/>
      <c r="GH837" s="24"/>
      <c r="GX837">
        <v>2015</v>
      </c>
      <c r="GY837">
        <v>29</v>
      </c>
      <c r="GZ837" t="s">
        <v>33</v>
      </c>
      <c r="HA837">
        <v>58586</v>
      </c>
      <c r="HB837">
        <v>51590</v>
      </c>
      <c r="HC837">
        <v>0</v>
      </c>
      <c r="HD837">
        <v>3551</v>
      </c>
      <c r="HE837">
        <v>0</v>
      </c>
      <c r="HF837">
        <v>563</v>
      </c>
      <c r="HG837">
        <v>0</v>
      </c>
      <c r="HH837">
        <v>0</v>
      </c>
      <c r="HI837">
        <v>815</v>
      </c>
      <c r="HZ837" s="24">
        <v>2015</v>
      </c>
      <c r="IA837" s="24">
        <v>29</v>
      </c>
      <c r="IB837" s="24" t="s">
        <v>33</v>
      </c>
      <c r="IC837" s="24">
        <v>3422</v>
      </c>
      <c r="ID837" s="24">
        <v>2308</v>
      </c>
    </row>
    <row r="838" spans="9:238" x14ac:dyDescent="0.4">
      <c r="I838" s="305">
        <v>2015</v>
      </c>
      <c r="J838" s="306">
        <v>29</v>
      </c>
      <c r="K838" s="306" t="s">
        <v>33</v>
      </c>
      <c r="L838" s="306">
        <v>56863</v>
      </c>
      <c r="M838" s="306">
        <v>49526</v>
      </c>
      <c r="N838" s="306"/>
      <c r="O838" s="306">
        <v>7337</v>
      </c>
      <c r="P838" s="306">
        <v>466</v>
      </c>
      <c r="Q838" s="306">
        <v>3</v>
      </c>
      <c r="R838" s="298"/>
      <c r="S838" s="298"/>
      <c r="T838" s="298"/>
      <c r="DJ838" s="24"/>
      <c r="DK838" s="24"/>
      <c r="DL838" s="24"/>
      <c r="DM838" s="24"/>
      <c r="EI838" s="24">
        <v>2022</v>
      </c>
      <c r="EJ838" s="24">
        <v>36</v>
      </c>
      <c r="EK838" s="24" t="s">
        <v>33</v>
      </c>
      <c r="EL838" s="24" t="s">
        <v>247</v>
      </c>
      <c r="EM838" s="24" t="s">
        <v>210</v>
      </c>
      <c r="EN838" s="24">
        <v>3</v>
      </c>
      <c r="EO838" s="24"/>
      <c r="EP838" s="24"/>
      <c r="ES838" s="316">
        <v>2016</v>
      </c>
      <c r="ET838" s="316">
        <v>51</v>
      </c>
      <c r="EU838" s="316" t="s">
        <v>33</v>
      </c>
      <c r="EV838" s="316">
        <v>26535</v>
      </c>
      <c r="FW838" s="24">
        <v>2015</v>
      </c>
      <c r="FX838" s="24">
        <v>28</v>
      </c>
      <c r="FY838" s="24" t="s">
        <v>32</v>
      </c>
      <c r="FZ838" s="24">
        <v>633</v>
      </c>
      <c r="GA838" s="24">
        <v>307</v>
      </c>
      <c r="GD838" s="24"/>
      <c r="GE838" s="24"/>
      <c r="GF838" s="24"/>
      <c r="GG838" s="24"/>
      <c r="GH838" s="24"/>
      <c r="GX838">
        <v>2015</v>
      </c>
      <c r="GY838">
        <v>28</v>
      </c>
      <c r="GZ838" t="s">
        <v>32</v>
      </c>
      <c r="HA838">
        <v>2709</v>
      </c>
      <c r="HB838">
        <v>2205</v>
      </c>
      <c r="HC838">
        <v>0</v>
      </c>
      <c r="HD838">
        <v>75</v>
      </c>
      <c r="HE838">
        <v>0</v>
      </c>
      <c r="HF838">
        <v>52</v>
      </c>
      <c r="HG838">
        <v>0</v>
      </c>
      <c r="HH838">
        <v>0</v>
      </c>
      <c r="HI838">
        <v>326</v>
      </c>
      <c r="HZ838" s="24">
        <v>2015</v>
      </c>
      <c r="IA838" s="24">
        <v>28</v>
      </c>
      <c r="IB838" s="24" t="s">
        <v>32</v>
      </c>
      <c r="IC838" s="24">
        <v>605</v>
      </c>
      <c r="ID838" s="24">
        <v>283</v>
      </c>
    </row>
    <row r="839" spans="9:238" x14ac:dyDescent="0.4">
      <c r="I839" s="305">
        <v>2015</v>
      </c>
      <c r="J839" s="306">
        <v>28</v>
      </c>
      <c r="K839" s="306" t="s">
        <v>32</v>
      </c>
      <c r="L839" s="306">
        <v>2772</v>
      </c>
      <c r="M839" s="306">
        <v>2075</v>
      </c>
      <c r="N839" s="306"/>
      <c r="O839" s="306">
        <v>697</v>
      </c>
      <c r="P839" s="306">
        <v>296</v>
      </c>
      <c r="Q839" s="306"/>
      <c r="R839" s="298"/>
      <c r="S839" s="298"/>
      <c r="T839" s="298"/>
      <c r="DJ839" s="24"/>
      <c r="DK839" s="24"/>
      <c r="DL839" s="24"/>
      <c r="DM839" s="24"/>
      <c r="EI839" s="24">
        <v>2022</v>
      </c>
      <c r="EJ839" s="24">
        <v>36</v>
      </c>
      <c r="EK839" s="24" t="s">
        <v>33</v>
      </c>
      <c r="EL839" s="24" t="s">
        <v>247</v>
      </c>
      <c r="EM839" s="24" t="s">
        <v>215</v>
      </c>
      <c r="EN839" s="24">
        <v>21</v>
      </c>
      <c r="EO839" s="24"/>
      <c r="EP839" s="24"/>
      <c r="ES839" s="316">
        <v>2016</v>
      </c>
      <c r="ET839" s="316">
        <v>50</v>
      </c>
      <c r="EU839" s="316" t="s">
        <v>32</v>
      </c>
      <c r="EV839" s="316">
        <v>2759</v>
      </c>
      <c r="FW839" s="24">
        <v>2015</v>
      </c>
      <c r="FX839" s="24">
        <v>28</v>
      </c>
      <c r="FY839" s="24" t="s">
        <v>33</v>
      </c>
      <c r="FZ839" s="24">
        <v>3276</v>
      </c>
      <c r="GA839" s="24">
        <v>2497</v>
      </c>
      <c r="GD839" s="24"/>
      <c r="GE839" s="24"/>
      <c r="GF839" s="24"/>
      <c r="GG839" s="24"/>
      <c r="GH839" s="24"/>
      <c r="GX839">
        <v>2015</v>
      </c>
      <c r="GY839">
        <v>28</v>
      </c>
      <c r="GZ839" t="s">
        <v>33</v>
      </c>
      <c r="HA839">
        <v>55749</v>
      </c>
      <c r="HB839">
        <v>48538</v>
      </c>
      <c r="HC839">
        <v>0</v>
      </c>
      <c r="HD839">
        <v>3022</v>
      </c>
      <c r="HE839">
        <v>0</v>
      </c>
      <c r="HF839">
        <v>679</v>
      </c>
      <c r="HG839">
        <v>1</v>
      </c>
      <c r="HH839">
        <v>0</v>
      </c>
      <c r="HI839">
        <v>626</v>
      </c>
      <c r="HZ839" s="24">
        <v>2015</v>
      </c>
      <c r="IA839" s="24">
        <v>28</v>
      </c>
      <c r="IB839" s="24" t="s">
        <v>33</v>
      </c>
      <c r="IC839" s="24">
        <v>3305</v>
      </c>
      <c r="ID839" s="24">
        <v>2541</v>
      </c>
    </row>
    <row r="840" spans="9:238" x14ac:dyDescent="0.4">
      <c r="I840" s="305">
        <v>2015</v>
      </c>
      <c r="J840" s="306">
        <v>28</v>
      </c>
      <c r="K840" s="306" t="s">
        <v>33</v>
      </c>
      <c r="L840" s="306">
        <v>56116</v>
      </c>
      <c r="M840" s="306">
        <v>46805</v>
      </c>
      <c r="N840" s="306"/>
      <c r="O840" s="306">
        <v>9310</v>
      </c>
      <c r="P840" s="306">
        <v>665</v>
      </c>
      <c r="Q840" s="306">
        <v>7</v>
      </c>
      <c r="R840" s="298"/>
      <c r="S840" s="298"/>
      <c r="T840" s="298"/>
      <c r="DJ840" s="24"/>
      <c r="DK840" s="24"/>
      <c r="DL840" s="24"/>
      <c r="DM840" s="24"/>
      <c r="EI840" s="24">
        <v>2022</v>
      </c>
      <c r="EJ840" s="24">
        <v>36</v>
      </c>
      <c r="EK840" s="24" t="s">
        <v>237</v>
      </c>
      <c r="EL840" s="24" t="s">
        <v>555</v>
      </c>
      <c r="EM840" s="24" t="s">
        <v>234</v>
      </c>
      <c r="EN840" s="24">
        <v>1</v>
      </c>
      <c r="EO840" s="24"/>
      <c r="EP840" s="24"/>
      <c r="ES840" s="316">
        <v>2016</v>
      </c>
      <c r="ET840" s="316">
        <v>50</v>
      </c>
      <c r="EU840" s="316" t="s">
        <v>33</v>
      </c>
      <c r="EV840" s="316">
        <v>29052</v>
      </c>
      <c r="FW840" s="24">
        <v>2015</v>
      </c>
      <c r="FX840" s="24">
        <v>27</v>
      </c>
      <c r="FY840" s="24" t="s">
        <v>32</v>
      </c>
      <c r="FZ840" s="24">
        <v>369</v>
      </c>
      <c r="GA840" s="24">
        <v>231</v>
      </c>
      <c r="GD840" s="24"/>
      <c r="GE840" s="24"/>
      <c r="GF840" s="24"/>
      <c r="GG840" s="24"/>
      <c r="GH840" s="24"/>
      <c r="GX840">
        <v>2015</v>
      </c>
      <c r="GY840">
        <v>27</v>
      </c>
      <c r="GZ840" t="s">
        <v>32</v>
      </c>
      <c r="HA840">
        <v>2997</v>
      </c>
      <c r="HB840">
        <v>2683</v>
      </c>
      <c r="HC840">
        <v>0</v>
      </c>
      <c r="HD840">
        <v>66</v>
      </c>
      <c r="HE840">
        <v>0</v>
      </c>
      <c r="HF840">
        <v>1</v>
      </c>
      <c r="HG840">
        <v>0</v>
      </c>
      <c r="HH840">
        <v>0</v>
      </c>
      <c r="HI840">
        <v>92</v>
      </c>
      <c r="HZ840" s="24">
        <v>2015</v>
      </c>
      <c r="IA840" s="24">
        <v>27</v>
      </c>
      <c r="IB840" s="24" t="s">
        <v>32</v>
      </c>
      <c r="IC840" s="24">
        <v>398</v>
      </c>
      <c r="ID840" s="24">
        <v>256</v>
      </c>
    </row>
    <row r="841" spans="9:238" x14ac:dyDescent="0.4">
      <c r="I841" s="305">
        <v>2015</v>
      </c>
      <c r="J841" s="306">
        <v>27</v>
      </c>
      <c r="K841" s="306" t="s">
        <v>32</v>
      </c>
      <c r="L841" s="306">
        <v>2972</v>
      </c>
      <c r="M841" s="306">
        <v>2674</v>
      </c>
      <c r="N841" s="306"/>
      <c r="O841" s="306">
        <v>298</v>
      </c>
      <c r="P841" s="306">
        <v>52</v>
      </c>
      <c r="Q841" s="306">
        <v>1</v>
      </c>
      <c r="R841" s="298"/>
      <c r="S841" s="298"/>
      <c r="T841" s="298"/>
      <c r="DJ841" s="24"/>
      <c r="DK841" s="24"/>
      <c r="DL841" s="24"/>
      <c r="DM841" s="24"/>
      <c r="EI841" s="24">
        <v>2022</v>
      </c>
      <c r="EJ841" s="24">
        <v>36</v>
      </c>
      <c r="EK841" s="24" t="s">
        <v>237</v>
      </c>
      <c r="EL841" s="24" t="s">
        <v>557</v>
      </c>
      <c r="EM841" s="24" t="s">
        <v>210</v>
      </c>
      <c r="EN841" s="24">
        <v>1</v>
      </c>
      <c r="EO841" s="24"/>
      <c r="EP841" s="24"/>
      <c r="ES841" s="316">
        <v>2016</v>
      </c>
      <c r="ET841" s="316">
        <v>49</v>
      </c>
      <c r="EU841" s="316" t="s">
        <v>32</v>
      </c>
      <c r="EV841" s="316">
        <v>3074</v>
      </c>
      <c r="FW841" s="24">
        <v>2015</v>
      </c>
      <c r="FX841" s="24">
        <v>27</v>
      </c>
      <c r="FY841" s="24" t="s">
        <v>33</v>
      </c>
      <c r="FZ841" s="24">
        <v>2719</v>
      </c>
      <c r="GA841" s="24">
        <v>1994</v>
      </c>
      <c r="GD841" s="24"/>
      <c r="GE841" s="24"/>
      <c r="GF841" s="24"/>
      <c r="GG841" s="24"/>
      <c r="GH841" s="24"/>
      <c r="GX841">
        <v>2015</v>
      </c>
      <c r="GY841">
        <v>27</v>
      </c>
      <c r="GZ841" t="s">
        <v>33</v>
      </c>
      <c r="HA841">
        <v>48065</v>
      </c>
      <c r="HB841">
        <v>38824</v>
      </c>
      <c r="HC841">
        <v>1</v>
      </c>
      <c r="HD841">
        <v>2104</v>
      </c>
      <c r="HE841">
        <v>0</v>
      </c>
      <c r="HF841">
        <v>824</v>
      </c>
      <c r="HG841">
        <v>0</v>
      </c>
      <c r="HH841">
        <v>0</v>
      </c>
      <c r="HI841">
        <v>837</v>
      </c>
      <c r="HZ841" s="24">
        <v>2015</v>
      </c>
      <c r="IA841" s="24">
        <v>27</v>
      </c>
      <c r="IB841" s="24" t="s">
        <v>33</v>
      </c>
      <c r="IC841" s="24">
        <v>2694</v>
      </c>
      <c r="ID841" s="24">
        <v>1996</v>
      </c>
    </row>
    <row r="842" spans="9:238" x14ac:dyDescent="0.4">
      <c r="I842" s="305">
        <v>2015</v>
      </c>
      <c r="J842" s="306">
        <v>27</v>
      </c>
      <c r="K842" s="306" t="s">
        <v>33</v>
      </c>
      <c r="L842" s="306">
        <v>47781</v>
      </c>
      <c r="M842" s="306">
        <v>37439</v>
      </c>
      <c r="N842" s="306"/>
      <c r="O842" s="306">
        <v>10342</v>
      </c>
      <c r="P842" s="306">
        <v>563</v>
      </c>
      <c r="Q842" s="306">
        <v>4</v>
      </c>
      <c r="R842" s="298"/>
      <c r="S842" s="298"/>
      <c r="T842" s="298"/>
      <c r="DJ842" s="24"/>
      <c r="DK842" s="24"/>
      <c r="DL842" s="24"/>
      <c r="DM842" s="24"/>
      <c r="EI842" s="24">
        <v>2022</v>
      </c>
      <c r="EJ842" s="24">
        <v>36</v>
      </c>
      <c r="EK842" s="24" t="s">
        <v>237</v>
      </c>
      <c r="EL842" s="24" t="s">
        <v>557</v>
      </c>
      <c r="EM842" s="24" t="s">
        <v>234</v>
      </c>
      <c r="EN842" s="24">
        <v>10</v>
      </c>
      <c r="EO842" s="24"/>
      <c r="EP842" s="24"/>
      <c r="ES842" s="316">
        <v>2016</v>
      </c>
      <c r="ET842" s="316">
        <v>49</v>
      </c>
      <c r="EU842" s="316" t="s">
        <v>33</v>
      </c>
      <c r="EV842" s="316">
        <v>32667</v>
      </c>
      <c r="FW842" s="24">
        <v>2015</v>
      </c>
      <c r="FX842" s="24">
        <v>26</v>
      </c>
      <c r="FY842" s="24" t="s">
        <v>32</v>
      </c>
      <c r="FZ842" s="24">
        <v>366</v>
      </c>
      <c r="GA842" s="24">
        <v>212</v>
      </c>
      <c r="GD842" s="24"/>
      <c r="GE842" s="24"/>
      <c r="GF842" s="24"/>
      <c r="GG842" s="24"/>
      <c r="GH842" s="24"/>
      <c r="GX842">
        <v>2015</v>
      </c>
      <c r="GY842">
        <v>26</v>
      </c>
      <c r="GZ842" t="s">
        <v>32</v>
      </c>
      <c r="HA842">
        <v>3744</v>
      </c>
      <c r="HB842">
        <v>3412</v>
      </c>
      <c r="HC842">
        <v>0</v>
      </c>
      <c r="HD842">
        <v>55</v>
      </c>
      <c r="HE842">
        <v>0</v>
      </c>
      <c r="HF842">
        <v>1</v>
      </c>
      <c r="HG842">
        <v>0</v>
      </c>
      <c r="HH842">
        <v>0</v>
      </c>
      <c r="HI842">
        <v>79</v>
      </c>
      <c r="HZ842" s="24">
        <v>2015</v>
      </c>
      <c r="IA842" s="24">
        <v>26</v>
      </c>
      <c r="IB842" s="24" t="s">
        <v>32</v>
      </c>
      <c r="IC842" s="24">
        <v>337</v>
      </c>
      <c r="ID842" s="24">
        <v>182</v>
      </c>
    </row>
    <row r="843" spans="9:238" x14ac:dyDescent="0.4">
      <c r="I843" s="305">
        <v>2015</v>
      </c>
      <c r="J843" s="306">
        <v>26</v>
      </c>
      <c r="K843" s="306" t="s">
        <v>32</v>
      </c>
      <c r="L843" s="306">
        <v>3849</v>
      </c>
      <c r="M843" s="306">
        <v>3510</v>
      </c>
      <c r="N843" s="306"/>
      <c r="O843" s="306">
        <v>339</v>
      </c>
      <c r="P843" s="306">
        <v>60</v>
      </c>
      <c r="Q843" s="306"/>
      <c r="R843" s="298"/>
      <c r="S843" s="298"/>
      <c r="T843" s="298"/>
      <c r="DJ843" s="24"/>
      <c r="DK843" s="24"/>
      <c r="DL843" s="24"/>
      <c r="DM843" s="24"/>
      <c r="EI843" s="24">
        <v>2022</v>
      </c>
      <c r="EJ843" s="24">
        <v>36</v>
      </c>
      <c r="EK843" s="24" t="s">
        <v>237</v>
      </c>
      <c r="EL843" s="24" t="s">
        <v>557</v>
      </c>
      <c r="EM843" s="24" t="s">
        <v>215</v>
      </c>
      <c r="EN843" s="24">
        <v>3</v>
      </c>
      <c r="EO843" s="24"/>
      <c r="EP843" s="24"/>
      <c r="ES843" s="316">
        <v>2016</v>
      </c>
      <c r="ET843" s="316">
        <v>48</v>
      </c>
      <c r="EU843" s="316" t="s">
        <v>32</v>
      </c>
      <c r="EV843" s="316">
        <v>2805</v>
      </c>
      <c r="FW843" s="24">
        <v>2015</v>
      </c>
      <c r="FX843" s="24">
        <v>26</v>
      </c>
      <c r="FY843" s="24" t="s">
        <v>33</v>
      </c>
      <c r="FZ843" s="24">
        <v>4469</v>
      </c>
      <c r="GA843" s="24">
        <v>3097</v>
      </c>
      <c r="GD843" s="24"/>
      <c r="GE843" s="24"/>
      <c r="GF843" s="24"/>
      <c r="GG843" s="24"/>
      <c r="GH843" s="24"/>
      <c r="GX843">
        <v>2015</v>
      </c>
      <c r="GY843">
        <v>26</v>
      </c>
      <c r="GZ843" t="s">
        <v>33</v>
      </c>
      <c r="HA843">
        <v>56328</v>
      </c>
      <c r="HB843">
        <v>44186</v>
      </c>
      <c r="HC843">
        <v>3</v>
      </c>
      <c r="HD843">
        <v>3554</v>
      </c>
      <c r="HE843">
        <v>1</v>
      </c>
      <c r="HF843">
        <v>1185</v>
      </c>
      <c r="HG843">
        <v>0</v>
      </c>
      <c r="HH843">
        <v>0</v>
      </c>
      <c r="HI843">
        <v>987</v>
      </c>
      <c r="HZ843" s="24">
        <v>2015</v>
      </c>
      <c r="IA843" s="24">
        <v>26</v>
      </c>
      <c r="IB843" s="24" t="s">
        <v>33</v>
      </c>
      <c r="IC843" s="24">
        <v>4428</v>
      </c>
      <c r="ID843" s="24">
        <v>3112</v>
      </c>
    </row>
    <row r="844" spans="9:238" x14ac:dyDescent="0.4">
      <c r="I844" s="305">
        <v>2015</v>
      </c>
      <c r="J844" s="306">
        <v>26</v>
      </c>
      <c r="K844" s="306" t="s">
        <v>33</v>
      </c>
      <c r="L844" s="306">
        <v>57293</v>
      </c>
      <c r="M844" s="306">
        <v>43256</v>
      </c>
      <c r="N844" s="306"/>
      <c r="O844" s="306">
        <v>14018</v>
      </c>
      <c r="P844" s="306">
        <v>897</v>
      </c>
      <c r="Q844" s="306">
        <v>11</v>
      </c>
      <c r="R844" s="298"/>
      <c r="S844" s="298"/>
      <c r="T844" s="298"/>
      <c r="DJ844" s="24"/>
      <c r="DK844" s="24"/>
      <c r="DL844" s="24"/>
      <c r="DM844" s="24"/>
      <c r="EI844" s="24">
        <v>2022</v>
      </c>
      <c r="EJ844" s="24">
        <v>36</v>
      </c>
      <c r="EK844" s="24" t="s">
        <v>237</v>
      </c>
      <c r="EL844" s="24" t="s">
        <v>233</v>
      </c>
      <c r="EM844" s="24" t="s">
        <v>210</v>
      </c>
      <c r="EN844" s="24">
        <v>2</v>
      </c>
      <c r="EO844" s="24"/>
      <c r="EP844" s="24"/>
      <c r="ES844" s="316">
        <v>2016</v>
      </c>
      <c r="ET844" s="316">
        <v>48</v>
      </c>
      <c r="EU844" s="316" t="s">
        <v>33</v>
      </c>
      <c r="EV844" s="316">
        <v>29698</v>
      </c>
      <c r="FW844" s="24">
        <v>2015</v>
      </c>
      <c r="FX844" s="24">
        <v>25</v>
      </c>
      <c r="FY844" s="24" t="s">
        <v>32</v>
      </c>
      <c r="FZ844" s="24">
        <v>233</v>
      </c>
      <c r="GA844" s="24">
        <v>212</v>
      </c>
      <c r="GD844" s="24"/>
      <c r="GE844" s="24"/>
      <c r="GF844" s="24"/>
      <c r="GG844" s="24"/>
      <c r="GH844" s="24"/>
      <c r="GX844">
        <v>2015</v>
      </c>
      <c r="GY844">
        <v>25</v>
      </c>
      <c r="GZ844" t="s">
        <v>32</v>
      </c>
      <c r="HA844">
        <v>2309</v>
      </c>
      <c r="HB844">
        <v>2191</v>
      </c>
      <c r="HC844">
        <v>0</v>
      </c>
      <c r="HD844">
        <v>34</v>
      </c>
      <c r="HE844">
        <v>0</v>
      </c>
      <c r="HF844">
        <v>1</v>
      </c>
      <c r="HG844">
        <v>0</v>
      </c>
      <c r="HH844">
        <v>0</v>
      </c>
      <c r="HI844">
        <v>41</v>
      </c>
      <c r="HZ844" s="24">
        <v>2015</v>
      </c>
      <c r="IA844" s="24">
        <v>25</v>
      </c>
      <c r="IB844" s="24" t="s">
        <v>32</v>
      </c>
      <c r="IC844" s="24">
        <v>255</v>
      </c>
      <c r="ID844" s="24">
        <v>239</v>
      </c>
    </row>
    <row r="845" spans="9:238" x14ac:dyDescent="0.4">
      <c r="I845" s="305">
        <v>2015</v>
      </c>
      <c r="J845" s="306">
        <v>25</v>
      </c>
      <c r="K845" s="306" t="s">
        <v>32</v>
      </c>
      <c r="L845" s="306">
        <v>2235</v>
      </c>
      <c r="M845" s="306">
        <v>2080</v>
      </c>
      <c r="N845" s="306"/>
      <c r="O845" s="306">
        <v>155</v>
      </c>
      <c r="P845" s="306">
        <v>21</v>
      </c>
      <c r="Q845" s="306"/>
      <c r="R845" s="298"/>
      <c r="S845" s="298"/>
      <c r="T845" s="298"/>
      <c r="DJ845" s="24"/>
      <c r="DK845" s="24"/>
      <c r="DL845" s="24"/>
      <c r="DM845" s="24"/>
      <c r="EI845" s="24">
        <v>2022</v>
      </c>
      <c r="EJ845" s="24">
        <v>36</v>
      </c>
      <c r="EK845" s="24" t="s">
        <v>237</v>
      </c>
      <c r="EL845" s="24" t="s">
        <v>233</v>
      </c>
      <c r="EM845" s="24" t="s">
        <v>234</v>
      </c>
      <c r="EN845" s="24">
        <v>2</v>
      </c>
      <c r="EO845" s="24"/>
      <c r="EP845" s="24"/>
      <c r="ES845" s="316">
        <v>2016</v>
      </c>
      <c r="ET845" s="316">
        <v>47</v>
      </c>
      <c r="EU845" s="316" t="s">
        <v>32</v>
      </c>
      <c r="EV845" s="316">
        <v>1586</v>
      </c>
      <c r="FW845" s="24">
        <v>2015</v>
      </c>
      <c r="FX845" s="24">
        <v>25</v>
      </c>
      <c r="FY845" s="24" t="s">
        <v>33</v>
      </c>
      <c r="FZ845" s="24">
        <v>4580</v>
      </c>
      <c r="GA845" s="24">
        <v>1407</v>
      </c>
      <c r="GD845" s="24"/>
      <c r="GE845" s="24"/>
      <c r="GF845" s="24"/>
      <c r="GG845" s="24"/>
      <c r="GH845" s="24"/>
      <c r="GX845">
        <v>2015</v>
      </c>
      <c r="GY845">
        <v>25</v>
      </c>
      <c r="GZ845" t="s">
        <v>33</v>
      </c>
      <c r="HA845">
        <v>57566</v>
      </c>
      <c r="HB845">
        <v>31183</v>
      </c>
      <c r="HC845">
        <v>1</v>
      </c>
      <c r="HD845">
        <v>3962</v>
      </c>
      <c r="HE845">
        <v>2</v>
      </c>
      <c r="HF845">
        <v>4031</v>
      </c>
      <c r="HG845">
        <v>0</v>
      </c>
      <c r="HH845">
        <v>0</v>
      </c>
      <c r="HI845">
        <v>1662</v>
      </c>
      <c r="HZ845" s="24">
        <v>2015</v>
      </c>
      <c r="IA845" s="24">
        <v>25</v>
      </c>
      <c r="IB845" s="24" t="s">
        <v>33</v>
      </c>
      <c r="IC845" s="24">
        <v>4630</v>
      </c>
      <c r="ID845" s="24">
        <v>1418</v>
      </c>
    </row>
    <row r="846" spans="9:238" x14ac:dyDescent="0.4">
      <c r="I846" s="305">
        <v>2015</v>
      </c>
      <c r="J846" s="306">
        <v>25</v>
      </c>
      <c r="K846" s="306" t="s">
        <v>33</v>
      </c>
      <c r="L846" s="306">
        <v>57698</v>
      </c>
      <c r="M846" s="306">
        <v>31186</v>
      </c>
      <c r="N846" s="306"/>
      <c r="O846" s="306">
        <v>26507</v>
      </c>
      <c r="P846" s="306">
        <v>2512</v>
      </c>
      <c r="Q846" s="306">
        <v>41</v>
      </c>
      <c r="R846" s="298"/>
      <c r="S846" s="298"/>
      <c r="T846" s="298"/>
      <c r="DJ846" s="24"/>
      <c r="DK846" s="24"/>
      <c r="DL846" s="24"/>
      <c r="DM846" s="24"/>
      <c r="EI846" s="24">
        <v>2022</v>
      </c>
      <c r="EJ846" s="24">
        <v>36</v>
      </c>
      <c r="EK846" s="24" t="s">
        <v>237</v>
      </c>
      <c r="EL846" s="24" t="s">
        <v>233</v>
      </c>
      <c r="EM846" s="24" t="s">
        <v>215</v>
      </c>
      <c r="EN846" s="24">
        <v>1</v>
      </c>
      <c r="EO846" s="24"/>
      <c r="EP846" s="24"/>
      <c r="ES846" s="316">
        <v>2016</v>
      </c>
      <c r="ET846" s="316">
        <v>47</v>
      </c>
      <c r="EU846" s="316" t="s">
        <v>33</v>
      </c>
      <c r="EV846" s="316">
        <v>27566</v>
      </c>
      <c r="FW846" s="24">
        <v>2015</v>
      </c>
      <c r="FX846" s="24">
        <v>24</v>
      </c>
      <c r="FY846" s="24" t="s">
        <v>32</v>
      </c>
      <c r="FZ846" s="24">
        <v>329</v>
      </c>
      <c r="GA846" s="24">
        <v>290</v>
      </c>
      <c r="GD846" s="24"/>
      <c r="GE846" s="24"/>
      <c r="GF846" s="24"/>
      <c r="GG846" s="24"/>
      <c r="GH846" s="24"/>
      <c r="GX846">
        <v>2015</v>
      </c>
      <c r="GY846">
        <v>24</v>
      </c>
      <c r="GZ846" t="s">
        <v>32</v>
      </c>
      <c r="HA846">
        <v>2593</v>
      </c>
      <c r="HB846">
        <v>2456</v>
      </c>
      <c r="HC846">
        <v>0</v>
      </c>
      <c r="HD846">
        <v>46</v>
      </c>
      <c r="HE846">
        <v>0</v>
      </c>
      <c r="HF846">
        <v>0</v>
      </c>
      <c r="HG846">
        <v>0</v>
      </c>
      <c r="HH846">
        <v>0</v>
      </c>
      <c r="HI846">
        <v>50</v>
      </c>
      <c r="HZ846" s="24">
        <v>2015</v>
      </c>
      <c r="IA846" s="24">
        <v>24</v>
      </c>
      <c r="IB846" s="24" t="s">
        <v>32</v>
      </c>
      <c r="IC846" s="24">
        <v>307</v>
      </c>
      <c r="ID846" s="24">
        <v>276</v>
      </c>
    </row>
    <row r="847" spans="9:238" x14ac:dyDescent="0.4">
      <c r="I847" s="305">
        <v>2015</v>
      </c>
      <c r="J847" s="306">
        <v>24</v>
      </c>
      <c r="K847" s="306" t="s">
        <v>32</v>
      </c>
      <c r="L847" s="306">
        <v>2624</v>
      </c>
      <c r="M847" s="306">
        <v>2439</v>
      </c>
      <c r="N847" s="306"/>
      <c r="O847" s="306">
        <v>185</v>
      </c>
      <c r="P847" s="306">
        <v>22</v>
      </c>
      <c r="Q847" s="306"/>
      <c r="R847" s="298"/>
      <c r="S847" s="298"/>
      <c r="T847" s="298"/>
      <c r="DJ847" s="24"/>
      <c r="DK847" s="24"/>
      <c r="DL847" s="24"/>
      <c r="DM847" s="24"/>
      <c r="EI847" s="24">
        <v>2022</v>
      </c>
      <c r="EJ847" s="24">
        <v>36</v>
      </c>
      <c r="EK847" s="24" t="s">
        <v>237</v>
      </c>
      <c r="EL847" s="24" t="s">
        <v>235</v>
      </c>
      <c r="EM847" s="24" t="s">
        <v>210</v>
      </c>
      <c r="EN847" s="24">
        <v>3</v>
      </c>
      <c r="EO847" s="24"/>
      <c r="EP847" s="24"/>
      <c r="ES847" s="316">
        <v>2016</v>
      </c>
      <c r="ET847" s="316">
        <v>46</v>
      </c>
      <c r="EU847" s="316" t="s">
        <v>32</v>
      </c>
      <c r="EV847" s="316">
        <v>1694</v>
      </c>
      <c r="FW847" s="24">
        <v>2015</v>
      </c>
      <c r="FX847" s="24">
        <v>24</v>
      </c>
      <c r="FY847" s="24" t="s">
        <v>33</v>
      </c>
      <c r="FZ847" s="24">
        <v>3206</v>
      </c>
      <c r="GA847" s="24">
        <v>1886</v>
      </c>
      <c r="GD847" s="24"/>
      <c r="GE847" s="24"/>
      <c r="GF847" s="24"/>
      <c r="GG847" s="24"/>
      <c r="GH847" s="24"/>
      <c r="GX847">
        <v>2015</v>
      </c>
      <c r="GY847">
        <v>24</v>
      </c>
      <c r="GZ847" t="s">
        <v>33</v>
      </c>
      <c r="HA847">
        <v>60814</v>
      </c>
      <c r="HB847">
        <v>47187</v>
      </c>
      <c r="HC847">
        <v>2</v>
      </c>
      <c r="HD847">
        <v>3310</v>
      </c>
      <c r="HE847">
        <v>0</v>
      </c>
      <c r="HF847">
        <v>2121</v>
      </c>
      <c r="HG847">
        <v>0</v>
      </c>
      <c r="HH847">
        <v>0</v>
      </c>
      <c r="HI847">
        <v>1077</v>
      </c>
      <c r="HZ847" s="24">
        <v>2015</v>
      </c>
      <c r="IA847" s="24">
        <v>24</v>
      </c>
      <c r="IB847" s="24" t="s">
        <v>33</v>
      </c>
      <c r="IC847" s="24">
        <v>3104</v>
      </c>
      <c r="ID847" s="24">
        <v>1846</v>
      </c>
    </row>
    <row r="848" spans="9:238" x14ac:dyDescent="0.4">
      <c r="I848" s="305">
        <v>2015</v>
      </c>
      <c r="J848" s="306">
        <v>24</v>
      </c>
      <c r="K848" s="306" t="s">
        <v>33</v>
      </c>
      <c r="L848" s="306">
        <v>60519</v>
      </c>
      <c r="M848" s="306">
        <v>46701</v>
      </c>
      <c r="N848" s="306"/>
      <c r="O848" s="306">
        <v>13811</v>
      </c>
      <c r="P848" s="306">
        <v>607</v>
      </c>
      <c r="Q848" s="306">
        <v>15</v>
      </c>
      <c r="R848" s="298"/>
      <c r="S848" s="298"/>
      <c r="T848" s="298"/>
      <c r="DJ848" s="24"/>
      <c r="DK848" s="24"/>
      <c r="DL848" s="24"/>
      <c r="DM848" s="24"/>
      <c r="EI848" s="24">
        <v>2022</v>
      </c>
      <c r="EJ848" s="24">
        <v>36</v>
      </c>
      <c r="EK848" s="24" t="s">
        <v>237</v>
      </c>
      <c r="EL848" s="24" t="s">
        <v>235</v>
      </c>
      <c r="EM848" s="24" t="s">
        <v>234</v>
      </c>
      <c r="EN848" s="24">
        <v>1</v>
      </c>
      <c r="EO848" s="24"/>
      <c r="EP848" s="24"/>
      <c r="ES848" s="316">
        <v>2016</v>
      </c>
      <c r="ET848" s="316">
        <v>46</v>
      </c>
      <c r="EU848" s="316" t="s">
        <v>33</v>
      </c>
      <c r="EV848" s="316">
        <v>20357</v>
      </c>
      <c r="FW848" s="24">
        <v>2015</v>
      </c>
      <c r="FX848" s="24">
        <v>23</v>
      </c>
      <c r="FY848" s="24" t="s">
        <v>32</v>
      </c>
      <c r="FZ848" s="24">
        <v>364</v>
      </c>
      <c r="GA848" s="24">
        <v>257</v>
      </c>
      <c r="GD848" s="24"/>
      <c r="GE848" s="24"/>
      <c r="GF848" s="24"/>
      <c r="GG848" s="24"/>
      <c r="GH848" s="24"/>
      <c r="GX848">
        <v>2015</v>
      </c>
      <c r="GY848">
        <v>23</v>
      </c>
      <c r="GZ848" t="s">
        <v>32</v>
      </c>
      <c r="HA848">
        <v>2819</v>
      </c>
      <c r="HB848">
        <v>2563</v>
      </c>
      <c r="HC848">
        <v>0</v>
      </c>
      <c r="HD848">
        <v>61</v>
      </c>
      <c r="HE848">
        <v>1</v>
      </c>
      <c r="HF848">
        <v>0</v>
      </c>
      <c r="HG848">
        <v>0</v>
      </c>
      <c r="HH848">
        <v>0</v>
      </c>
      <c r="HI848">
        <v>64</v>
      </c>
      <c r="HZ848" s="24">
        <v>2015</v>
      </c>
      <c r="IA848" s="24">
        <v>23</v>
      </c>
      <c r="IB848" s="24" t="s">
        <v>32</v>
      </c>
      <c r="IC848" s="24">
        <v>378</v>
      </c>
      <c r="ID848" s="24">
        <v>267</v>
      </c>
    </row>
    <row r="849" spans="9:238" x14ac:dyDescent="0.4">
      <c r="I849" s="305">
        <v>2015</v>
      </c>
      <c r="J849" s="306">
        <v>23</v>
      </c>
      <c r="K849" s="306" t="s">
        <v>32</v>
      </c>
      <c r="L849" s="306">
        <v>2809</v>
      </c>
      <c r="M849" s="306">
        <v>2533</v>
      </c>
      <c r="N849" s="306"/>
      <c r="O849" s="306">
        <v>276</v>
      </c>
      <c r="P849" s="306">
        <v>25</v>
      </c>
      <c r="Q849" s="306"/>
      <c r="R849" s="298"/>
      <c r="S849" s="298"/>
      <c r="T849" s="298"/>
      <c r="DJ849" s="24"/>
      <c r="DK849" s="24"/>
      <c r="DL849" s="24"/>
      <c r="DM849" s="24"/>
      <c r="EI849" s="24">
        <v>2022</v>
      </c>
      <c r="EJ849" s="24">
        <v>36</v>
      </c>
      <c r="EK849" s="24" t="s">
        <v>237</v>
      </c>
      <c r="EL849" s="24" t="s">
        <v>235</v>
      </c>
      <c r="EM849" s="24" t="s">
        <v>215</v>
      </c>
      <c r="EN849" s="24">
        <v>2</v>
      </c>
      <c r="EO849" s="24"/>
      <c r="EP849" s="24"/>
      <c r="ES849" s="316">
        <v>2016</v>
      </c>
      <c r="ET849" s="316">
        <v>45</v>
      </c>
      <c r="EU849" s="316" t="s">
        <v>32</v>
      </c>
      <c r="EV849" s="316">
        <v>1860</v>
      </c>
      <c r="FW849" s="24">
        <v>2015</v>
      </c>
      <c r="FX849" s="24">
        <v>23</v>
      </c>
      <c r="FY849" s="24" t="s">
        <v>33</v>
      </c>
      <c r="FZ849" s="24">
        <v>2969</v>
      </c>
      <c r="GA849" s="24">
        <v>1791</v>
      </c>
      <c r="GD849" s="24"/>
      <c r="GE849" s="24"/>
      <c r="GF849" s="24"/>
      <c r="GG849" s="24"/>
      <c r="GH849" s="24"/>
      <c r="GX849">
        <v>2015</v>
      </c>
      <c r="GY849">
        <v>23</v>
      </c>
      <c r="GZ849" t="s">
        <v>33</v>
      </c>
      <c r="HA849">
        <v>56282</v>
      </c>
      <c r="HB849">
        <v>44624</v>
      </c>
      <c r="HC849">
        <v>0</v>
      </c>
      <c r="HD849">
        <v>3065</v>
      </c>
      <c r="HE849">
        <v>1</v>
      </c>
      <c r="HF849">
        <v>1529</v>
      </c>
      <c r="HG849">
        <v>0</v>
      </c>
      <c r="HH849">
        <v>0</v>
      </c>
      <c r="HI849">
        <v>907</v>
      </c>
      <c r="HZ849" s="24">
        <v>2015</v>
      </c>
      <c r="IA849" s="24">
        <v>23</v>
      </c>
      <c r="IB849" s="24" t="s">
        <v>33</v>
      </c>
      <c r="IC849" s="24">
        <v>2974</v>
      </c>
      <c r="ID849" s="24">
        <v>1750</v>
      </c>
    </row>
    <row r="850" spans="9:238" x14ac:dyDescent="0.4">
      <c r="I850" s="305">
        <v>2015</v>
      </c>
      <c r="J850" s="306">
        <v>23</v>
      </c>
      <c r="K850" s="306" t="s">
        <v>33</v>
      </c>
      <c r="L850" s="306">
        <v>56725</v>
      </c>
      <c r="M850" s="306">
        <v>45118</v>
      </c>
      <c r="N850" s="306"/>
      <c r="O850" s="306">
        <v>11607</v>
      </c>
      <c r="P850" s="306">
        <v>705</v>
      </c>
      <c r="Q850" s="306">
        <v>1</v>
      </c>
      <c r="R850" s="298"/>
      <c r="S850" s="298"/>
      <c r="T850" s="298"/>
      <c r="DJ850" s="24"/>
      <c r="DK850" s="24"/>
      <c r="DL850" s="24"/>
      <c r="DM850" s="24"/>
      <c r="EI850" s="24">
        <v>2022</v>
      </c>
      <c r="EJ850" s="24">
        <v>36</v>
      </c>
      <c r="EK850" s="24" t="s">
        <v>237</v>
      </c>
      <c r="EL850" s="24" t="s">
        <v>247</v>
      </c>
      <c r="EM850" s="24" t="s">
        <v>210</v>
      </c>
      <c r="EN850" s="24">
        <v>1</v>
      </c>
      <c r="EO850" s="24"/>
      <c r="EP850" s="24"/>
      <c r="ES850" s="316">
        <v>2016</v>
      </c>
      <c r="ET850" s="316">
        <v>45</v>
      </c>
      <c r="EU850" s="316" t="s">
        <v>33</v>
      </c>
      <c r="EV850" s="316">
        <v>29646</v>
      </c>
      <c r="FW850" s="24">
        <v>2015</v>
      </c>
      <c r="FX850" s="24">
        <v>22</v>
      </c>
      <c r="FY850" s="24" t="s">
        <v>32</v>
      </c>
      <c r="FZ850" s="24">
        <v>405</v>
      </c>
      <c r="GA850" s="24">
        <v>205</v>
      </c>
      <c r="GD850" s="24"/>
      <c r="GE850" s="24"/>
      <c r="GF850" s="24"/>
      <c r="GG850" s="24"/>
      <c r="GH850" s="24"/>
      <c r="GX850">
        <v>2015</v>
      </c>
      <c r="GY850">
        <v>22</v>
      </c>
      <c r="GZ850" t="s">
        <v>32</v>
      </c>
      <c r="HA850">
        <v>3731</v>
      </c>
      <c r="HB850">
        <v>3376</v>
      </c>
      <c r="HC850">
        <v>0</v>
      </c>
      <c r="HD850">
        <v>21</v>
      </c>
      <c r="HE850">
        <v>0</v>
      </c>
      <c r="HF850">
        <v>2</v>
      </c>
      <c r="HG850">
        <v>0</v>
      </c>
      <c r="HH850">
        <v>0</v>
      </c>
      <c r="HI850">
        <v>92</v>
      </c>
      <c r="HZ850" s="24">
        <v>2015</v>
      </c>
      <c r="IA850" s="24">
        <v>22</v>
      </c>
      <c r="IB850" s="24" t="s">
        <v>32</v>
      </c>
      <c r="IC850" s="24">
        <v>402</v>
      </c>
      <c r="ID850" s="24">
        <v>215</v>
      </c>
    </row>
    <row r="851" spans="9:238" x14ac:dyDescent="0.4">
      <c r="I851" s="305">
        <v>2015</v>
      </c>
      <c r="J851" s="306">
        <v>22</v>
      </c>
      <c r="K851" s="306" t="s">
        <v>32</v>
      </c>
      <c r="L851" s="306">
        <v>3880</v>
      </c>
      <c r="M851" s="306">
        <v>3370</v>
      </c>
      <c r="N851" s="306"/>
      <c r="O851" s="306">
        <v>510</v>
      </c>
      <c r="P851" s="306">
        <v>94</v>
      </c>
      <c r="Q851" s="306"/>
      <c r="R851" s="298"/>
      <c r="S851" s="298"/>
      <c r="T851" s="298"/>
      <c r="DJ851" s="24"/>
      <c r="DK851" s="24"/>
      <c r="DL851" s="24"/>
      <c r="DM851" s="24"/>
      <c r="EI851" s="24">
        <v>2022</v>
      </c>
      <c r="EJ851" s="24">
        <v>36</v>
      </c>
      <c r="EK851" s="24" t="s">
        <v>211</v>
      </c>
      <c r="EL851" s="24" t="s">
        <v>212</v>
      </c>
      <c r="EM851" s="24" t="s">
        <v>210</v>
      </c>
      <c r="EN851" s="24">
        <v>3</v>
      </c>
      <c r="EO851" s="24"/>
      <c r="EP851" s="24"/>
      <c r="ES851" s="24">
        <v>2016</v>
      </c>
      <c r="ET851" s="24">
        <v>44</v>
      </c>
      <c r="EU851" s="24" t="s">
        <v>32</v>
      </c>
      <c r="EV851" s="24">
        <v>2372</v>
      </c>
      <c r="FW851" s="24">
        <v>2015</v>
      </c>
      <c r="FX851" s="24">
        <v>22</v>
      </c>
      <c r="FY851" s="24" t="s">
        <v>33</v>
      </c>
      <c r="FZ851" s="24">
        <v>2549</v>
      </c>
      <c r="GA851" s="24">
        <v>2127</v>
      </c>
      <c r="GD851" s="24"/>
      <c r="GE851" s="24"/>
      <c r="GF851" s="24"/>
      <c r="GG851" s="24"/>
      <c r="GH851" s="24"/>
      <c r="GX851">
        <v>2015</v>
      </c>
      <c r="GY851">
        <v>22</v>
      </c>
      <c r="GZ851" t="s">
        <v>33</v>
      </c>
      <c r="HA851">
        <v>58077</v>
      </c>
      <c r="HB851">
        <v>47443</v>
      </c>
      <c r="HC851">
        <v>1</v>
      </c>
      <c r="HD851">
        <v>3351</v>
      </c>
      <c r="HE851">
        <v>0</v>
      </c>
      <c r="HF851">
        <v>1288</v>
      </c>
      <c r="HG851">
        <v>0</v>
      </c>
      <c r="HH851">
        <v>0</v>
      </c>
      <c r="HI851">
        <v>642</v>
      </c>
      <c r="HZ851" s="24">
        <v>2015</v>
      </c>
      <c r="IA851" s="24">
        <v>22</v>
      </c>
      <c r="IB851" s="24" t="s">
        <v>33</v>
      </c>
      <c r="IC851" s="24">
        <v>2572</v>
      </c>
      <c r="ID851" s="24">
        <v>2148</v>
      </c>
    </row>
    <row r="852" spans="9:238" x14ac:dyDescent="0.4">
      <c r="I852" s="305">
        <v>2015</v>
      </c>
      <c r="J852" s="306">
        <v>22</v>
      </c>
      <c r="K852" s="306" t="s">
        <v>33</v>
      </c>
      <c r="L852" s="306">
        <v>58831</v>
      </c>
      <c r="M852" s="306">
        <v>46399</v>
      </c>
      <c r="N852" s="306"/>
      <c r="O852" s="306">
        <v>12432</v>
      </c>
      <c r="P852" s="306">
        <v>422</v>
      </c>
      <c r="Q852" s="306">
        <v>29</v>
      </c>
      <c r="R852" s="298"/>
      <c r="S852" s="298"/>
      <c r="T852" s="298"/>
      <c r="DJ852" s="24"/>
      <c r="DK852" s="24"/>
      <c r="DL852" s="24"/>
      <c r="DM852" s="24"/>
      <c r="EI852" s="24">
        <v>2022</v>
      </c>
      <c r="EJ852" s="24">
        <v>36</v>
      </c>
      <c r="EK852" s="24" t="s">
        <v>211</v>
      </c>
      <c r="EL852" s="24" t="s">
        <v>212</v>
      </c>
      <c r="EM852" s="24" t="s">
        <v>234</v>
      </c>
      <c r="EN852" s="24">
        <v>13</v>
      </c>
      <c r="EO852" s="24"/>
      <c r="EP852" s="24"/>
      <c r="ES852" s="24">
        <v>2016</v>
      </c>
      <c r="ET852" s="24">
        <v>44</v>
      </c>
      <c r="EU852" s="24" t="s">
        <v>33</v>
      </c>
      <c r="EV852" s="24">
        <v>32684</v>
      </c>
      <c r="FW852" s="24">
        <v>2015</v>
      </c>
      <c r="FX852" s="24">
        <v>21</v>
      </c>
      <c r="FY852" s="24" t="s">
        <v>32</v>
      </c>
      <c r="FZ852" s="24">
        <v>392</v>
      </c>
      <c r="GA852" s="24">
        <v>193</v>
      </c>
      <c r="GD852" s="24"/>
      <c r="GE852" s="24"/>
      <c r="GF852" s="24"/>
      <c r="GG852" s="24"/>
      <c r="GH852" s="24"/>
      <c r="GX852">
        <v>2015</v>
      </c>
      <c r="GY852">
        <v>21</v>
      </c>
      <c r="GZ852" t="s">
        <v>32</v>
      </c>
      <c r="HA852">
        <v>4698</v>
      </c>
      <c r="HB852">
        <v>4095</v>
      </c>
      <c r="HC852">
        <v>0</v>
      </c>
      <c r="HD852">
        <v>28</v>
      </c>
      <c r="HE852">
        <v>0</v>
      </c>
      <c r="HF852">
        <v>34</v>
      </c>
      <c r="HG852">
        <v>0</v>
      </c>
      <c r="HH852">
        <v>0</v>
      </c>
      <c r="HI852">
        <v>276</v>
      </c>
      <c r="HZ852" s="24">
        <v>2015</v>
      </c>
      <c r="IA852" s="24">
        <v>21</v>
      </c>
      <c r="IB852" s="24" t="s">
        <v>32</v>
      </c>
      <c r="IC852" s="24">
        <v>375</v>
      </c>
      <c r="ID852" s="24">
        <v>158</v>
      </c>
    </row>
    <row r="853" spans="9:238" x14ac:dyDescent="0.4">
      <c r="I853" s="305">
        <v>2015</v>
      </c>
      <c r="J853" s="306">
        <v>21</v>
      </c>
      <c r="K853" s="306" t="s">
        <v>32</v>
      </c>
      <c r="L853" s="306">
        <v>4533</v>
      </c>
      <c r="M853" s="306">
        <v>3922</v>
      </c>
      <c r="N853" s="306"/>
      <c r="O853" s="306">
        <v>611</v>
      </c>
      <c r="P853" s="306">
        <v>96</v>
      </c>
      <c r="Q853" s="306"/>
      <c r="R853" s="298"/>
      <c r="S853" s="298"/>
      <c r="T853" s="298"/>
      <c r="DJ853" s="24"/>
      <c r="DK853" s="24"/>
      <c r="DL853" s="24"/>
      <c r="DM853" s="24"/>
      <c r="EI853" s="24">
        <v>2022</v>
      </c>
      <c r="EJ853" s="24">
        <v>36</v>
      </c>
      <c r="EK853" s="24" t="s">
        <v>211</v>
      </c>
      <c r="EL853" s="24" t="s">
        <v>247</v>
      </c>
      <c r="EM853" s="24" t="s">
        <v>234</v>
      </c>
      <c r="EN853" s="24">
        <v>2</v>
      </c>
      <c r="EO853" s="24"/>
      <c r="EP853" s="24"/>
      <c r="ES853" s="24">
        <v>2016</v>
      </c>
      <c r="ET853" s="24">
        <v>43</v>
      </c>
      <c r="EU853" s="24" t="s">
        <v>32</v>
      </c>
      <c r="EV853" s="24">
        <v>2724</v>
      </c>
      <c r="FW853" s="24">
        <v>2015</v>
      </c>
      <c r="FX853" s="24">
        <v>21</v>
      </c>
      <c r="FY853" s="24" t="s">
        <v>33</v>
      </c>
      <c r="FZ853" s="24">
        <v>2532</v>
      </c>
      <c r="GA853" s="24">
        <v>1879</v>
      </c>
      <c r="GD853" s="24"/>
      <c r="GE853" s="24"/>
      <c r="GF853" s="24"/>
      <c r="GG853" s="24"/>
      <c r="GH853" s="24"/>
      <c r="GX853">
        <v>2015</v>
      </c>
      <c r="GY853">
        <v>21</v>
      </c>
      <c r="GZ853" t="s">
        <v>33</v>
      </c>
      <c r="HA853">
        <v>52300</v>
      </c>
      <c r="HB853">
        <v>44914</v>
      </c>
      <c r="HC853">
        <v>0</v>
      </c>
      <c r="HD853">
        <v>3295</v>
      </c>
      <c r="HE853">
        <v>0</v>
      </c>
      <c r="HF853">
        <v>669</v>
      </c>
      <c r="HG853">
        <v>0</v>
      </c>
      <c r="HH853">
        <v>0</v>
      </c>
      <c r="HI853">
        <v>760</v>
      </c>
      <c r="HZ853" s="24">
        <v>2015</v>
      </c>
      <c r="IA853" s="24">
        <v>21</v>
      </c>
      <c r="IB853" s="24" t="s">
        <v>33</v>
      </c>
      <c r="IC853" s="24">
        <v>2612</v>
      </c>
      <c r="ID853" s="24">
        <v>1951</v>
      </c>
    </row>
    <row r="854" spans="9:238" x14ac:dyDescent="0.4">
      <c r="I854" s="305">
        <v>2015</v>
      </c>
      <c r="J854" s="306">
        <v>21</v>
      </c>
      <c r="K854" s="306" t="s">
        <v>33</v>
      </c>
      <c r="L854" s="306">
        <v>51818</v>
      </c>
      <c r="M854" s="306">
        <v>44018</v>
      </c>
      <c r="N854" s="306"/>
      <c r="O854" s="306">
        <v>7800</v>
      </c>
      <c r="P854" s="306">
        <v>422</v>
      </c>
      <c r="Q854" s="306">
        <v>36</v>
      </c>
      <c r="R854" s="298"/>
      <c r="S854" s="298"/>
      <c r="T854" s="298"/>
      <c r="DJ854" s="24"/>
      <c r="DK854" s="24"/>
      <c r="DL854" s="24"/>
      <c r="DM854" s="24"/>
      <c r="EI854" s="24">
        <v>2022</v>
      </c>
      <c r="EJ854" s="24">
        <v>35</v>
      </c>
      <c r="EK854" s="24" t="s">
        <v>19</v>
      </c>
      <c r="EL854" s="24" t="s">
        <v>235</v>
      </c>
      <c r="EM854" s="24" t="s">
        <v>210</v>
      </c>
      <c r="EN854" s="24">
        <v>1</v>
      </c>
      <c r="EO854" s="24"/>
      <c r="EP854" s="24"/>
      <c r="ES854" s="24">
        <v>2016</v>
      </c>
      <c r="ET854" s="24">
        <v>43</v>
      </c>
      <c r="EU854" s="24" t="s">
        <v>33</v>
      </c>
      <c r="EV854" s="24">
        <v>29262</v>
      </c>
      <c r="FW854" s="24">
        <v>2015</v>
      </c>
      <c r="FX854" s="24">
        <v>20</v>
      </c>
      <c r="FY854" s="24" t="s">
        <v>32</v>
      </c>
      <c r="FZ854" s="24">
        <v>518</v>
      </c>
      <c r="GA854" s="24">
        <v>452</v>
      </c>
      <c r="GD854" s="24"/>
      <c r="GE854" s="24"/>
      <c r="GF854" s="24"/>
      <c r="GG854" s="24"/>
      <c r="GH854" s="24"/>
      <c r="GX854">
        <v>2015</v>
      </c>
      <c r="GY854">
        <v>20</v>
      </c>
      <c r="GZ854" t="s">
        <v>32</v>
      </c>
      <c r="HA854">
        <v>2546</v>
      </c>
      <c r="HB854">
        <v>2324</v>
      </c>
      <c r="HC854">
        <v>0</v>
      </c>
      <c r="HD854">
        <v>59</v>
      </c>
      <c r="HE854">
        <v>0</v>
      </c>
      <c r="HF854">
        <v>3</v>
      </c>
      <c r="HG854">
        <v>0</v>
      </c>
      <c r="HH854">
        <v>0</v>
      </c>
      <c r="HI854">
        <v>63</v>
      </c>
      <c r="HZ854" s="24">
        <v>2015</v>
      </c>
      <c r="IA854" s="24">
        <v>20</v>
      </c>
      <c r="IB854" s="24" t="s">
        <v>32</v>
      </c>
      <c r="IC854" s="24">
        <v>444</v>
      </c>
      <c r="ID854" s="24">
        <v>375</v>
      </c>
    </row>
    <row r="855" spans="9:238" x14ac:dyDescent="0.4">
      <c r="I855" s="305">
        <v>2015</v>
      </c>
      <c r="J855" s="306">
        <v>20</v>
      </c>
      <c r="K855" s="306" t="s">
        <v>32</v>
      </c>
      <c r="L855" s="306">
        <v>2703</v>
      </c>
      <c r="M855" s="306">
        <v>2464</v>
      </c>
      <c r="N855" s="306"/>
      <c r="O855" s="306">
        <v>239</v>
      </c>
      <c r="P855" s="306">
        <v>28</v>
      </c>
      <c r="Q855" s="306"/>
      <c r="R855" s="298"/>
      <c r="S855" s="298"/>
      <c r="T855" s="298"/>
      <c r="DJ855" s="24"/>
      <c r="DK855" s="24"/>
      <c r="DL855" s="24"/>
      <c r="DM855" s="24"/>
      <c r="EI855" s="24">
        <v>2022</v>
      </c>
      <c r="EJ855" s="24">
        <v>35</v>
      </c>
      <c r="EK855" s="24" t="s">
        <v>208</v>
      </c>
      <c r="EL855" s="24" t="s">
        <v>351</v>
      </c>
      <c r="EM855" s="24" t="s">
        <v>234</v>
      </c>
      <c r="EN855" s="24">
        <v>6</v>
      </c>
      <c r="EO855" s="24"/>
      <c r="EP855" s="24"/>
      <c r="ES855" s="24">
        <v>2016</v>
      </c>
      <c r="ET855" s="24">
        <v>42</v>
      </c>
      <c r="EU855" s="24" t="s">
        <v>32</v>
      </c>
      <c r="EV855" s="24">
        <v>1685</v>
      </c>
      <c r="FW855" s="24">
        <v>2015</v>
      </c>
      <c r="FX855" s="24">
        <v>20</v>
      </c>
      <c r="FY855" s="24" t="s">
        <v>33</v>
      </c>
      <c r="FZ855" s="24">
        <v>3058</v>
      </c>
      <c r="GA855" s="24">
        <v>2294</v>
      </c>
      <c r="GD855" s="24"/>
      <c r="GE855" s="24"/>
      <c r="GF855" s="24"/>
      <c r="GG855" s="24"/>
      <c r="GH855" s="24"/>
      <c r="GX855">
        <v>2015</v>
      </c>
      <c r="GY855">
        <v>20</v>
      </c>
      <c r="GZ855" t="s">
        <v>33</v>
      </c>
      <c r="HA855">
        <v>57670</v>
      </c>
      <c r="HB855">
        <v>47418</v>
      </c>
      <c r="HC855">
        <v>1</v>
      </c>
      <c r="HD855">
        <v>5100</v>
      </c>
      <c r="HE855">
        <v>0</v>
      </c>
      <c r="HF855">
        <v>740</v>
      </c>
      <c r="HG855">
        <v>0</v>
      </c>
      <c r="HH855">
        <v>0</v>
      </c>
      <c r="HI855">
        <v>695</v>
      </c>
      <c r="HZ855" s="24">
        <v>2015</v>
      </c>
      <c r="IA855" s="24">
        <v>20</v>
      </c>
      <c r="IB855" s="24" t="s">
        <v>33</v>
      </c>
      <c r="IC855" s="24">
        <v>3062</v>
      </c>
      <c r="ID855" s="24">
        <v>2338</v>
      </c>
    </row>
    <row r="856" spans="9:238" x14ac:dyDescent="0.4">
      <c r="I856" s="305">
        <v>2015</v>
      </c>
      <c r="J856" s="306">
        <v>20</v>
      </c>
      <c r="K856" s="306" t="s">
        <v>33</v>
      </c>
      <c r="L856" s="306">
        <v>57960</v>
      </c>
      <c r="M856" s="306">
        <v>46648</v>
      </c>
      <c r="N856" s="306"/>
      <c r="O856" s="306">
        <v>11312</v>
      </c>
      <c r="P856" s="306">
        <v>307</v>
      </c>
      <c r="Q856" s="306">
        <v>6</v>
      </c>
      <c r="R856" s="298"/>
      <c r="S856" s="298"/>
      <c r="T856" s="298"/>
      <c r="DJ856" s="24"/>
      <c r="DK856" s="24"/>
      <c r="DL856" s="24"/>
      <c r="DM856" s="24"/>
      <c r="EI856" s="24">
        <v>2022</v>
      </c>
      <c r="EJ856" s="24">
        <v>35</v>
      </c>
      <c r="EK856" s="24" t="s">
        <v>208</v>
      </c>
      <c r="EL856" s="24" t="s">
        <v>351</v>
      </c>
      <c r="EM856" s="24" t="s">
        <v>215</v>
      </c>
      <c r="EN856" s="24">
        <v>10</v>
      </c>
      <c r="EO856" s="24"/>
      <c r="EP856" s="24"/>
      <c r="ES856" s="24">
        <v>2016</v>
      </c>
      <c r="ET856" s="24">
        <v>42</v>
      </c>
      <c r="EU856" s="24" t="s">
        <v>33</v>
      </c>
      <c r="EV856" s="24">
        <v>35642</v>
      </c>
      <c r="FW856" s="24">
        <v>2015</v>
      </c>
      <c r="FX856" s="24">
        <v>19</v>
      </c>
      <c r="FY856" s="24" t="s">
        <v>32</v>
      </c>
      <c r="FZ856" s="24">
        <v>360</v>
      </c>
      <c r="GA856" s="24">
        <v>275</v>
      </c>
      <c r="GD856" s="24"/>
      <c r="GE856" s="24"/>
      <c r="GF856" s="24"/>
      <c r="GG856" s="24"/>
      <c r="GH856" s="24"/>
      <c r="GX856">
        <v>2015</v>
      </c>
      <c r="GY856">
        <v>19</v>
      </c>
      <c r="GZ856" t="s">
        <v>32</v>
      </c>
      <c r="HA856">
        <v>3017</v>
      </c>
      <c r="HB856">
        <v>2732</v>
      </c>
      <c r="HC856">
        <v>0</v>
      </c>
      <c r="HD856">
        <v>92</v>
      </c>
      <c r="HE856">
        <v>0</v>
      </c>
      <c r="HF856">
        <v>7</v>
      </c>
      <c r="HG856">
        <v>0</v>
      </c>
      <c r="HH856">
        <v>0</v>
      </c>
      <c r="HI856">
        <v>69</v>
      </c>
      <c r="HZ856" s="24">
        <v>2015</v>
      </c>
      <c r="IA856" s="24">
        <v>19</v>
      </c>
      <c r="IB856" s="24" t="s">
        <v>32</v>
      </c>
      <c r="IC856" s="24">
        <v>456</v>
      </c>
      <c r="ID856" s="24">
        <v>372</v>
      </c>
    </row>
    <row r="857" spans="9:238" x14ac:dyDescent="0.4">
      <c r="I857" s="305">
        <v>2015</v>
      </c>
      <c r="J857" s="306">
        <v>19</v>
      </c>
      <c r="K857" s="306" t="s">
        <v>32</v>
      </c>
      <c r="L857" s="306">
        <v>2876</v>
      </c>
      <c r="M857" s="306">
        <v>2641</v>
      </c>
      <c r="N857" s="306"/>
      <c r="O857" s="306">
        <v>235</v>
      </c>
      <c r="P857" s="306">
        <v>31</v>
      </c>
      <c r="Q857" s="306"/>
      <c r="R857" s="298"/>
      <c r="S857" s="298"/>
      <c r="T857" s="298"/>
      <c r="DJ857" s="24"/>
      <c r="DK857" s="24"/>
      <c r="DL857" s="24"/>
      <c r="DM857" s="24"/>
      <c r="EI857" s="24">
        <v>2022</v>
      </c>
      <c r="EJ857" s="24">
        <v>35</v>
      </c>
      <c r="EK857" s="24" t="s">
        <v>208</v>
      </c>
      <c r="EL857" s="24" t="s">
        <v>235</v>
      </c>
      <c r="EM857" s="24" t="s">
        <v>210</v>
      </c>
      <c r="EN857" s="24">
        <v>12</v>
      </c>
      <c r="EO857" s="24"/>
      <c r="EP857" s="24"/>
      <c r="ES857" s="24">
        <v>2016</v>
      </c>
      <c r="ET857" s="24">
        <v>41</v>
      </c>
      <c r="EU857" s="24" t="s">
        <v>32</v>
      </c>
      <c r="EV857" s="24">
        <v>2878</v>
      </c>
      <c r="FW857" s="24">
        <v>2015</v>
      </c>
      <c r="FX857" s="24">
        <v>19</v>
      </c>
      <c r="FY857" s="24" t="s">
        <v>33</v>
      </c>
      <c r="FZ857" s="24">
        <v>2525</v>
      </c>
      <c r="GA857" s="24">
        <v>1929</v>
      </c>
      <c r="GD857" s="24"/>
      <c r="GE857" s="24"/>
      <c r="GF857" s="24"/>
      <c r="GG857" s="24"/>
      <c r="GH857" s="24"/>
      <c r="GX857">
        <v>2015</v>
      </c>
      <c r="GY857">
        <v>19</v>
      </c>
      <c r="GZ857" t="s">
        <v>33</v>
      </c>
      <c r="HA857">
        <v>55614</v>
      </c>
      <c r="HB857">
        <v>45518</v>
      </c>
      <c r="HC857">
        <v>1</v>
      </c>
      <c r="HD857">
        <v>4499</v>
      </c>
      <c r="HE857">
        <v>1</v>
      </c>
      <c r="HF857">
        <v>543</v>
      </c>
      <c r="HG857">
        <v>0</v>
      </c>
      <c r="HH857">
        <v>0</v>
      </c>
      <c r="HI857">
        <v>863</v>
      </c>
      <c r="HZ857" s="24">
        <v>2015</v>
      </c>
      <c r="IA857" s="24">
        <v>19</v>
      </c>
      <c r="IB857" s="24" t="s">
        <v>33</v>
      </c>
      <c r="IC857" s="24">
        <v>2564</v>
      </c>
      <c r="ID857" s="24">
        <v>1919</v>
      </c>
    </row>
    <row r="858" spans="9:238" x14ac:dyDescent="0.4">
      <c r="I858" s="305">
        <v>2015</v>
      </c>
      <c r="J858" s="306">
        <v>19</v>
      </c>
      <c r="K858" s="306" t="s">
        <v>33</v>
      </c>
      <c r="L858" s="306">
        <v>54307</v>
      </c>
      <c r="M858" s="306">
        <v>45633</v>
      </c>
      <c r="N858" s="306"/>
      <c r="O858" s="306">
        <v>8672</v>
      </c>
      <c r="P858" s="306">
        <v>340</v>
      </c>
      <c r="Q858" s="306">
        <v>1</v>
      </c>
      <c r="R858" s="298"/>
      <c r="S858" s="298"/>
      <c r="T858" s="298"/>
      <c r="DJ858" s="24"/>
      <c r="DK858" s="24"/>
      <c r="DL858" s="24"/>
      <c r="DM858" s="24"/>
      <c r="EI858" s="24">
        <v>2022</v>
      </c>
      <c r="EJ858" s="24">
        <v>35</v>
      </c>
      <c r="EK858" s="24" t="s">
        <v>208</v>
      </c>
      <c r="EL858" s="24" t="s">
        <v>235</v>
      </c>
      <c r="EM858" s="24" t="s">
        <v>234</v>
      </c>
      <c r="EN858" s="24">
        <v>18</v>
      </c>
      <c r="EO858" s="24"/>
      <c r="EP858" s="24"/>
      <c r="ES858" s="24">
        <v>2016</v>
      </c>
      <c r="ET858" s="24">
        <v>41</v>
      </c>
      <c r="EU858" s="24" t="s">
        <v>33</v>
      </c>
      <c r="EV858" s="24">
        <v>32877</v>
      </c>
      <c r="FW858" s="24">
        <v>2015</v>
      </c>
      <c r="FX858" s="24">
        <v>18</v>
      </c>
      <c r="FY858" s="24" t="s">
        <v>32</v>
      </c>
      <c r="FZ858" s="24">
        <v>313</v>
      </c>
      <c r="GA858" s="24">
        <v>244</v>
      </c>
      <c r="GD858" s="24"/>
      <c r="GE858" s="24"/>
      <c r="GF858" s="24"/>
      <c r="GG858" s="24"/>
      <c r="GH858" s="24"/>
      <c r="GX858">
        <v>2015</v>
      </c>
      <c r="GY858">
        <v>18</v>
      </c>
      <c r="GZ858" t="s">
        <v>32</v>
      </c>
      <c r="HA858">
        <v>3203</v>
      </c>
      <c r="HB858">
        <v>3029</v>
      </c>
      <c r="HC858">
        <v>0</v>
      </c>
      <c r="HD858">
        <v>40</v>
      </c>
      <c r="HE858">
        <v>0</v>
      </c>
      <c r="HF858">
        <v>13</v>
      </c>
      <c r="HG858">
        <v>0</v>
      </c>
      <c r="HH858">
        <v>0</v>
      </c>
      <c r="HI858">
        <v>52</v>
      </c>
      <c r="HZ858" s="24">
        <v>2015</v>
      </c>
      <c r="IA858" s="24">
        <v>18</v>
      </c>
      <c r="IB858" s="24" t="s">
        <v>32</v>
      </c>
      <c r="IC858" s="24">
        <v>313</v>
      </c>
      <c r="ID858" s="24">
        <v>242</v>
      </c>
    </row>
    <row r="859" spans="9:238" x14ac:dyDescent="0.4">
      <c r="I859" s="305">
        <v>2015</v>
      </c>
      <c r="J859" s="306">
        <v>18</v>
      </c>
      <c r="K859" s="306" t="s">
        <v>32</v>
      </c>
      <c r="L859" s="306">
        <v>3225</v>
      </c>
      <c r="M859" s="306">
        <v>3057</v>
      </c>
      <c r="N859" s="306"/>
      <c r="O859" s="306">
        <v>168</v>
      </c>
      <c r="P859" s="306">
        <v>34</v>
      </c>
      <c r="Q859" s="306">
        <v>3</v>
      </c>
      <c r="R859" s="298"/>
      <c r="S859" s="298"/>
      <c r="T859" s="298"/>
      <c r="DJ859" s="24"/>
      <c r="DK859" s="24"/>
      <c r="DL859" s="24"/>
      <c r="DM859" s="24"/>
      <c r="EI859" s="24">
        <v>2022</v>
      </c>
      <c r="EJ859" s="24">
        <v>35</v>
      </c>
      <c r="EK859" s="24" t="s">
        <v>208</v>
      </c>
      <c r="EL859" s="24" t="s">
        <v>235</v>
      </c>
      <c r="EM859" s="24" t="s">
        <v>215</v>
      </c>
      <c r="EN859" s="24">
        <v>11</v>
      </c>
      <c r="EO859" s="24"/>
      <c r="EP859" s="24"/>
      <c r="ES859" s="317">
        <v>2016</v>
      </c>
      <c r="ET859" s="317">
        <v>40</v>
      </c>
      <c r="EU859" s="317" t="s">
        <v>32</v>
      </c>
      <c r="EV859" s="317">
        <v>2960</v>
      </c>
      <c r="FW859" s="24">
        <v>2015</v>
      </c>
      <c r="FX859" s="24">
        <v>18</v>
      </c>
      <c r="FY859" s="24" t="s">
        <v>33</v>
      </c>
      <c r="FZ859" s="24">
        <v>2368</v>
      </c>
      <c r="GA859" s="24">
        <v>1510</v>
      </c>
      <c r="GD859" s="24"/>
      <c r="GE859" s="24"/>
      <c r="GF859" s="24"/>
      <c r="GG859" s="24"/>
      <c r="GH859" s="24"/>
      <c r="GX859">
        <v>2015</v>
      </c>
      <c r="GY859">
        <v>18</v>
      </c>
      <c r="GZ859" t="s">
        <v>33</v>
      </c>
      <c r="HA859">
        <v>54559</v>
      </c>
      <c r="HB859">
        <v>42607</v>
      </c>
      <c r="HC859">
        <v>2</v>
      </c>
      <c r="HD859">
        <v>3493</v>
      </c>
      <c r="HE859">
        <v>0</v>
      </c>
      <c r="HF859">
        <v>1233</v>
      </c>
      <c r="HG859">
        <v>0</v>
      </c>
      <c r="HH859">
        <v>0</v>
      </c>
      <c r="HI859">
        <v>1085</v>
      </c>
      <c r="HZ859" s="24">
        <v>2015</v>
      </c>
      <c r="IA859" s="24">
        <v>18</v>
      </c>
      <c r="IB859" s="24" t="s">
        <v>33</v>
      </c>
      <c r="IC859" s="24">
        <v>2357</v>
      </c>
      <c r="ID859" s="24">
        <v>1493</v>
      </c>
    </row>
    <row r="860" spans="9:238" x14ac:dyDescent="0.4">
      <c r="I860" s="305">
        <v>2015</v>
      </c>
      <c r="J860" s="306">
        <v>18</v>
      </c>
      <c r="K860" s="306" t="s">
        <v>33</v>
      </c>
      <c r="L860" s="306">
        <v>59017</v>
      </c>
      <c r="M860" s="306">
        <v>46079</v>
      </c>
      <c r="N860" s="306"/>
      <c r="O860" s="306">
        <v>12937</v>
      </c>
      <c r="P860" s="306">
        <v>456</v>
      </c>
      <c r="Q860" s="306">
        <v>5</v>
      </c>
      <c r="R860" s="298"/>
      <c r="S860" s="298"/>
      <c r="T860" s="298"/>
      <c r="DJ860" s="24"/>
      <c r="DK860" s="24"/>
      <c r="DL860" s="24"/>
      <c r="DM860" s="24"/>
      <c r="EI860" s="24">
        <v>2022</v>
      </c>
      <c r="EJ860" s="24">
        <v>35</v>
      </c>
      <c r="EK860" s="24" t="s">
        <v>208</v>
      </c>
      <c r="EL860" s="24" t="s">
        <v>209</v>
      </c>
      <c r="EM860" s="24" t="s">
        <v>210</v>
      </c>
      <c r="EN860" s="24">
        <v>5</v>
      </c>
      <c r="EO860" s="24"/>
      <c r="EP860" s="24"/>
      <c r="ES860" s="317">
        <v>2016</v>
      </c>
      <c r="ET860" s="317">
        <v>40</v>
      </c>
      <c r="EU860" s="317" t="s">
        <v>33</v>
      </c>
      <c r="EV860" s="317">
        <v>37230</v>
      </c>
      <c r="FW860" s="24">
        <v>2015</v>
      </c>
      <c r="FX860" s="24">
        <v>17</v>
      </c>
      <c r="FY860" s="24" t="s">
        <v>32</v>
      </c>
      <c r="FZ860" s="24">
        <v>454</v>
      </c>
      <c r="GA860" s="24">
        <v>320</v>
      </c>
      <c r="GD860" s="24"/>
      <c r="GE860" s="24"/>
      <c r="GF860" s="24"/>
      <c r="GG860" s="24"/>
      <c r="GH860" s="24"/>
      <c r="GX860">
        <v>2015</v>
      </c>
      <c r="GY860">
        <v>17</v>
      </c>
      <c r="GZ860" t="s">
        <v>32</v>
      </c>
      <c r="HA860">
        <v>2725</v>
      </c>
      <c r="HB860">
        <v>2512</v>
      </c>
      <c r="HC860">
        <v>0</v>
      </c>
      <c r="HD860">
        <v>19</v>
      </c>
      <c r="HE860">
        <v>0</v>
      </c>
      <c r="HF860">
        <v>2</v>
      </c>
      <c r="HG860">
        <v>0</v>
      </c>
      <c r="HH860">
        <v>0</v>
      </c>
      <c r="HI860">
        <v>156</v>
      </c>
      <c r="HZ860" s="24">
        <v>2015</v>
      </c>
      <c r="IA860" s="24">
        <v>17</v>
      </c>
      <c r="IB860" s="24" t="s">
        <v>32</v>
      </c>
      <c r="IC860" s="24">
        <v>442</v>
      </c>
      <c r="ID860" s="24">
        <v>312</v>
      </c>
    </row>
    <row r="861" spans="9:238" x14ac:dyDescent="0.4">
      <c r="I861" s="305">
        <v>2015</v>
      </c>
      <c r="J861" s="306">
        <v>17</v>
      </c>
      <c r="K861" s="306" t="s">
        <v>32</v>
      </c>
      <c r="L861" s="306">
        <v>2769</v>
      </c>
      <c r="M861" s="306">
        <v>2500</v>
      </c>
      <c r="N861" s="306"/>
      <c r="O861" s="306">
        <v>269</v>
      </c>
      <c r="P861" s="306">
        <v>40</v>
      </c>
      <c r="Q861" s="306">
        <v>11</v>
      </c>
      <c r="R861" s="298"/>
      <c r="S861" s="298"/>
      <c r="T861" s="298"/>
      <c r="DJ861" s="24"/>
      <c r="DK861" s="24"/>
      <c r="DL861" s="24"/>
      <c r="DM861" s="24"/>
      <c r="EI861" s="24">
        <v>2022</v>
      </c>
      <c r="EJ861" s="24">
        <v>35</v>
      </c>
      <c r="EK861" s="24" t="s">
        <v>208</v>
      </c>
      <c r="EL861" s="24" t="s">
        <v>209</v>
      </c>
      <c r="EM861" s="24" t="s">
        <v>234</v>
      </c>
      <c r="EN861" s="24">
        <v>1</v>
      </c>
      <c r="EO861" s="24"/>
      <c r="EP861" s="24"/>
      <c r="ES861" s="317">
        <v>2016</v>
      </c>
      <c r="ET861" s="317">
        <v>39</v>
      </c>
      <c r="EU861" s="317" t="s">
        <v>32</v>
      </c>
      <c r="EV861" s="317">
        <v>1984</v>
      </c>
      <c r="FW861" s="24">
        <v>2015</v>
      </c>
      <c r="FX861" s="24">
        <v>17</v>
      </c>
      <c r="FY861" s="24" t="s">
        <v>33</v>
      </c>
      <c r="FZ861" s="24">
        <v>2456</v>
      </c>
      <c r="GA861" s="24">
        <v>1774</v>
      </c>
      <c r="GD861" s="24"/>
      <c r="GE861" s="24"/>
      <c r="GF861" s="24"/>
      <c r="GG861" s="24"/>
      <c r="GH861" s="24"/>
      <c r="GX861">
        <v>2015</v>
      </c>
      <c r="GY861">
        <v>17</v>
      </c>
      <c r="GZ861" t="s">
        <v>33</v>
      </c>
      <c r="HA861">
        <v>51763</v>
      </c>
      <c r="HB861">
        <v>40816</v>
      </c>
      <c r="HC861">
        <v>1</v>
      </c>
      <c r="HD861">
        <v>3926</v>
      </c>
      <c r="HE861">
        <v>0</v>
      </c>
      <c r="HF861">
        <v>900</v>
      </c>
      <c r="HG861">
        <v>0</v>
      </c>
      <c r="HH861">
        <v>0</v>
      </c>
      <c r="HI861">
        <v>5179</v>
      </c>
      <c r="HZ861" s="24">
        <v>2015</v>
      </c>
      <c r="IA861" s="24">
        <v>17</v>
      </c>
      <c r="IB861" s="24" t="s">
        <v>33</v>
      </c>
      <c r="IC861" s="24">
        <v>2369</v>
      </c>
      <c r="ID861" s="24">
        <v>1819</v>
      </c>
    </row>
    <row r="862" spans="9:238" x14ac:dyDescent="0.4">
      <c r="I862" s="305">
        <v>2015</v>
      </c>
      <c r="J862" s="306">
        <v>17</v>
      </c>
      <c r="K862" s="306" t="s">
        <v>33</v>
      </c>
      <c r="L862" s="306">
        <v>50826</v>
      </c>
      <c r="M862" s="306">
        <v>40077</v>
      </c>
      <c r="N862" s="306"/>
      <c r="O862" s="306">
        <v>10748</v>
      </c>
      <c r="P862" s="306">
        <v>302</v>
      </c>
      <c r="Q862" s="306">
        <v>10</v>
      </c>
      <c r="R862" s="298"/>
      <c r="S862" s="298"/>
      <c r="T862" s="298"/>
      <c r="DJ862" s="24"/>
      <c r="DK862" s="24"/>
      <c r="DL862" s="24"/>
      <c r="DM862" s="24"/>
      <c r="EI862" s="24">
        <v>2022</v>
      </c>
      <c r="EJ862" s="24">
        <v>35</v>
      </c>
      <c r="EK862" s="24" t="s">
        <v>208</v>
      </c>
      <c r="EL862" s="24" t="s">
        <v>247</v>
      </c>
      <c r="EM862" s="24" t="s">
        <v>234</v>
      </c>
      <c r="EN862" s="24">
        <v>12</v>
      </c>
      <c r="EO862" s="24"/>
      <c r="EP862" s="24"/>
      <c r="ES862" s="317">
        <v>2016</v>
      </c>
      <c r="ET862" s="317">
        <v>39</v>
      </c>
      <c r="EU862" s="317" t="s">
        <v>33</v>
      </c>
      <c r="EV862" s="317">
        <v>35277</v>
      </c>
      <c r="FW862" s="24">
        <v>2015</v>
      </c>
      <c r="FX862" s="24">
        <v>16</v>
      </c>
      <c r="FY862" s="24" t="s">
        <v>32</v>
      </c>
      <c r="FZ862" s="24">
        <v>298</v>
      </c>
      <c r="GA862" s="24">
        <v>231</v>
      </c>
      <c r="GD862" s="24"/>
      <c r="GE862" s="24"/>
      <c r="GF862" s="24"/>
      <c r="GG862" s="24"/>
      <c r="GH862" s="24"/>
      <c r="GX862">
        <v>2015</v>
      </c>
      <c r="GY862">
        <v>16</v>
      </c>
      <c r="GZ862" t="s">
        <v>32</v>
      </c>
      <c r="HA862">
        <v>2727</v>
      </c>
      <c r="HB862">
        <v>2548</v>
      </c>
      <c r="HC862">
        <v>0</v>
      </c>
      <c r="HD862">
        <v>50</v>
      </c>
      <c r="HE862">
        <v>0</v>
      </c>
      <c r="HF862">
        <v>1</v>
      </c>
      <c r="HG862">
        <v>0</v>
      </c>
      <c r="HH862">
        <v>0</v>
      </c>
      <c r="HI862">
        <v>125</v>
      </c>
      <c r="HZ862" s="24">
        <v>2015</v>
      </c>
      <c r="IA862" s="24">
        <v>16</v>
      </c>
      <c r="IB862" s="24" t="s">
        <v>32</v>
      </c>
      <c r="IC862" s="24">
        <v>309</v>
      </c>
      <c r="ID862" s="24">
        <v>241</v>
      </c>
    </row>
    <row r="863" spans="9:238" x14ac:dyDescent="0.4">
      <c r="I863" s="305">
        <v>2015</v>
      </c>
      <c r="J863" s="306">
        <v>16</v>
      </c>
      <c r="K863" s="306" t="s">
        <v>32</v>
      </c>
      <c r="L863" s="306">
        <v>2696</v>
      </c>
      <c r="M863" s="306">
        <v>2513</v>
      </c>
      <c r="N863" s="306"/>
      <c r="O863" s="306">
        <v>183</v>
      </c>
      <c r="P863" s="306">
        <v>34</v>
      </c>
      <c r="Q863" s="306"/>
      <c r="R863" s="298"/>
      <c r="S863" s="298"/>
      <c r="T863" s="298"/>
      <c r="DJ863" s="24"/>
      <c r="DK863" s="24"/>
      <c r="DL863" s="24"/>
      <c r="DM863" s="24"/>
      <c r="EI863" s="24">
        <v>2022</v>
      </c>
      <c r="EJ863" s="24">
        <v>35</v>
      </c>
      <c r="EK863" s="24" t="s">
        <v>208</v>
      </c>
      <c r="EL863" s="24" t="s">
        <v>245</v>
      </c>
      <c r="EM863" s="24" t="s">
        <v>234</v>
      </c>
      <c r="EN863" s="24">
        <v>1</v>
      </c>
      <c r="EO863" s="24"/>
      <c r="EP863" s="24"/>
      <c r="ES863" s="317">
        <v>2016</v>
      </c>
      <c r="ET863" s="317">
        <v>38</v>
      </c>
      <c r="EU863" s="317" t="s">
        <v>32</v>
      </c>
      <c r="EV863" s="317">
        <v>2878</v>
      </c>
      <c r="FW863" s="24">
        <v>2015</v>
      </c>
      <c r="FX863" s="24">
        <v>16</v>
      </c>
      <c r="FY863" s="24" t="s">
        <v>33</v>
      </c>
      <c r="FZ863" s="24">
        <v>2977</v>
      </c>
      <c r="GA863" s="24">
        <v>1592</v>
      </c>
      <c r="GD863" s="24"/>
      <c r="GE863" s="24"/>
      <c r="GF863" s="24"/>
      <c r="GG863" s="24"/>
      <c r="GH863" s="24"/>
      <c r="GX863">
        <v>2015</v>
      </c>
      <c r="GY863">
        <v>16</v>
      </c>
      <c r="GZ863" t="s">
        <v>33</v>
      </c>
      <c r="HA863">
        <v>56199</v>
      </c>
      <c r="HB863">
        <v>40751</v>
      </c>
      <c r="HC863">
        <v>3</v>
      </c>
      <c r="HD863">
        <v>3343</v>
      </c>
      <c r="HE863">
        <v>1</v>
      </c>
      <c r="HF863">
        <v>1785</v>
      </c>
      <c r="HG863">
        <v>0</v>
      </c>
      <c r="HH863">
        <v>0</v>
      </c>
      <c r="HI863">
        <v>10625</v>
      </c>
      <c r="HZ863" s="24">
        <v>2015</v>
      </c>
      <c r="IA863" s="24">
        <v>16</v>
      </c>
      <c r="IB863" s="24" t="s">
        <v>33</v>
      </c>
      <c r="IC863" s="24">
        <v>3034</v>
      </c>
      <c r="ID863" s="24">
        <v>1542</v>
      </c>
    </row>
    <row r="864" spans="9:238" x14ac:dyDescent="0.4">
      <c r="I864" s="305">
        <v>2015</v>
      </c>
      <c r="J864" s="306">
        <v>16</v>
      </c>
      <c r="K864" s="306" t="s">
        <v>33</v>
      </c>
      <c r="L864" s="306">
        <v>56801</v>
      </c>
      <c r="M864" s="306">
        <v>41423</v>
      </c>
      <c r="N864" s="306"/>
      <c r="O864" s="306">
        <v>15378</v>
      </c>
      <c r="P864" s="306">
        <v>864</v>
      </c>
      <c r="Q864" s="306">
        <v>17</v>
      </c>
      <c r="R864" s="304"/>
      <c r="S864" s="304"/>
      <c r="T864" s="304"/>
      <c r="DJ864" s="24"/>
      <c r="DK864" s="24"/>
      <c r="DL864" s="24"/>
      <c r="DM864" s="24"/>
      <c r="EI864" s="24">
        <v>2022</v>
      </c>
      <c r="EJ864" s="24">
        <v>35</v>
      </c>
      <c r="EK864" s="24" t="s">
        <v>558</v>
      </c>
      <c r="EL864" s="24" t="s">
        <v>235</v>
      </c>
      <c r="EM864" s="24" t="s">
        <v>210</v>
      </c>
      <c r="EN864" s="24">
        <v>1</v>
      </c>
      <c r="EO864" s="24"/>
      <c r="EP864" s="24"/>
      <c r="ES864" s="317">
        <v>2016</v>
      </c>
      <c r="ET864" s="317">
        <v>38</v>
      </c>
      <c r="EU864" s="317" t="s">
        <v>33</v>
      </c>
      <c r="EV864" s="317">
        <v>32512</v>
      </c>
      <c r="FW864" s="24">
        <v>2015</v>
      </c>
      <c r="FX864" s="24">
        <v>15</v>
      </c>
      <c r="FY864" s="24" t="s">
        <v>32</v>
      </c>
      <c r="FZ864" s="24">
        <v>477</v>
      </c>
      <c r="GA864" s="24">
        <v>165</v>
      </c>
      <c r="GD864" s="24"/>
      <c r="GE864" s="24"/>
      <c r="GF864" s="24"/>
      <c r="GG864" s="24"/>
      <c r="GH864" s="24"/>
      <c r="GX864">
        <v>2015</v>
      </c>
      <c r="GY864">
        <v>15</v>
      </c>
      <c r="GZ864" t="s">
        <v>32</v>
      </c>
      <c r="HA864">
        <v>2999</v>
      </c>
      <c r="HB864">
        <v>2532</v>
      </c>
      <c r="HC864">
        <v>0</v>
      </c>
      <c r="HD864">
        <v>73</v>
      </c>
      <c r="HE864">
        <v>0</v>
      </c>
      <c r="HF864">
        <v>86</v>
      </c>
      <c r="HG864">
        <v>0</v>
      </c>
      <c r="HH864">
        <v>0</v>
      </c>
      <c r="HI864">
        <v>345</v>
      </c>
      <c r="HZ864" s="24">
        <v>2015</v>
      </c>
      <c r="IA864" s="24">
        <v>15</v>
      </c>
      <c r="IB864" s="24" t="s">
        <v>32</v>
      </c>
      <c r="IC864" s="24">
        <v>470</v>
      </c>
      <c r="ID864" s="24">
        <v>146</v>
      </c>
    </row>
    <row r="865" spans="9:238" x14ac:dyDescent="0.4">
      <c r="I865" s="305">
        <v>2015</v>
      </c>
      <c r="J865" s="306">
        <v>15</v>
      </c>
      <c r="K865" s="306" t="s">
        <v>32</v>
      </c>
      <c r="L865" s="306">
        <v>3011</v>
      </c>
      <c r="M865" s="306">
        <v>2427</v>
      </c>
      <c r="N865" s="306"/>
      <c r="O865" s="306">
        <v>584</v>
      </c>
      <c r="P865" s="306">
        <v>217</v>
      </c>
      <c r="Q865" s="306"/>
      <c r="R865" s="304"/>
      <c r="S865" s="304"/>
      <c r="T865" s="304"/>
      <c r="DJ865" s="24"/>
      <c r="DK865" s="24"/>
      <c r="DL865" s="24"/>
      <c r="DM865" s="24"/>
      <c r="EI865" s="24">
        <v>2022</v>
      </c>
      <c r="EJ865" s="24">
        <v>35</v>
      </c>
      <c r="EK865" s="24" t="s">
        <v>33</v>
      </c>
      <c r="EL865" s="24" t="s">
        <v>233</v>
      </c>
      <c r="EM865" s="24" t="s">
        <v>215</v>
      </c>
      <c r="EN865" s="24">
        <v>1</v>
      </c>
      <c r="EO865" s="24"/>
      <c r="EP865" s="24"/>
      <c r="ES865" s="24">
        <v>2016</v>
      </c>
      <c r="ET865" s="24">
        <v>37</v>
      </c>
      <c r="EU865" s="24" t="s">
        <v>32</v>
      </c>
      <c r="EV865" s="24">
        <v>3132</v>
      </c>
      <c r="FW865" s="24">
        <v>2015</v>
      </c>
      <c r="FX865" s="24">
        <v>15</v>
      </c>
      <c r="FY865" s="24" t="s">
        <v>33</v>
      </c>
      <c r="FZ865" s="24">
        <v>2281</v>
      </c>
      <c r="GA865" s="24">
        <v>1679</v>
      </c>
      <c r="GD865" s="24"/>
      <c r="GE865" s="24"/>
      <c r="GF865" s="24"/>
      <c r="GG865" s="24"/>
      <c r="GH865" s="24"/>
      <c r="GX865">
        <v>2015</v>
      </c>
      <c r="GY865">
        <v>15</v>
      </c>
      <c r="GZ865" t="s">
        <v>33</v>
      </c>
      <c r="HA865">
        <v>52742</v>
      </c>
      <c r="HB865">
        <v>46344</v>
      </c>
      <c r="HC865">
        <v>0</v>
      </c>
      <c r="HD865">
        <v>3553</v>
      </c>
      <c r="HE865">
        <v>1</v>
      </c>
      <c r="HF865">
        <v>322</v>
      </c>
      <c r="HG865">
        <v>0</v>
      </c>
      <c r="HH865">
        <v>0</v>
      </c>
      <c r="HI865">
        <v>3904</v>
      </c>
      <c r="HZ865" s="24">
        <v>2015</v>
      </c>
      <c r="IA865" s="24">
        <v>15</v>
      </c>
      <c r="IB865" s="24" t="s">
        <v>33</v>
      </c>
      <c r="IC865" s="24">
        <v>2233</v>
      </c>
      <c r="ID865" s="24">
        <v>1626</v>
      </c>
    </row>
    <row r="866" spans="9:238" x14ac:dyDescent="0.4">
      <c r="I866" s="305">
        <v>2015</v>
      </c>
      <c r="J866" s="306">
        <v>15</v>
      </c>
      <c r="K866" s="306" t="s">
        <v>33</v>
      </c>
      <c r="L866" s="306">
        <v>51999</v>
      </c>
      <c r="M866" s="306">
        <v>45214</v>
      </c>
      <c r="N866" s="306"/>
      <c r="O866" s="306">
        <v>6785</v>
      </c>
      <c r="P866" s="306">
        <v>452</v>
      </c>
      <c r="Q866" s="306">
        <v>1</v>
      </c>
      <c r="R866" s="304"/>
      <c r="S866" s="304"/>
      <c r="T866" s="304"/>
      <c r="DJ866" s="24"/>
      <c r="DK866" s="24"/>
      <c r="DL866" s="24"/>
      <c r="DM866" s="24"/>
      <c r="EI866" s="24">
        <v>2022</v>
      </c>
      <c r="EJ866" s="24">
        <v>35</v>
      </c>
      <c r="EK866" s="24" t="s">
        <v>33</v>
      </c>
      <c r="EL866" s="24" t="s">
        <v>554</v>
      </c>
      <c r="EM866" s="24" t="s">
        <v>210</v>
      </c>
      <c r="EN866" s="24">
        <v>1</v>
      </c>
      <c r="EO866" s="24"/>
      <c r="EP866" s="24"/>
      <c r="ES866" s="24">
        <v>2016</v>
      </c>
      <c r="ET866" s="24">
        <v>37</v>
      </c>
      <c r="EU866" s="24" t="s">
        <v>33</v>
      </c>
      <c r="EV866" s="24">
        <v>37386</v>
      </c>
      <c r="FW866" s="24">
        <v>2015</v>
      </c>
      <c r="FX866" s="24">
        <v>14</v>
      </c>
      <c r="FY866" s="24" t="s">
        <v>32</v>
      </c>
      <c r="FZ866" s="24">
        <v>269</v>
      </c>
      <c r="GA866" s="24">
        <v>177</v>
      </c>
      <c r="GD866" s="24"/>
      <c r="GE866" s="24"/>
      <c r="GF866" s="24"/>
      <c r="GG866" s="24"/>
      <c r="GH866" s="24"/>
      <c r="GX866">
        <v>2015</v>
      </c>
      <c r="GY866">
        <v>14</v>
      </c>
      <c r="GZ866" t="s">
        <v>32</v>
      </c>
      <c r="HA866">
        <v>3052</v>
      </c>
      <c r="HB866">
        <v>2813</v>
      </c>
      <c r="HC866">
        <v>0</v>
      </c>
      <c r="HD866">
        <v>36</v>
      </c>
      <c r="HE866">
        <v>0</v>
      </c>
      <c r="HF866">
        <v>8</v>
      </c>
      <c r="HG866">
        <v>0</v>
      </c>
      <c r="HH866">
        <v>0</v>
      </c>
      <c r="HI866">
        <v>177</v>
      </c>
      <c r="HZ866" s="24">
        <v>2015</v>
      </c>
      <c r="IA866" s="24">
        <v>14</v>
      </c>
      <c r="IB866" s="24" t="s">
        <v>32</v>
      </c>
      <c r="IC866" s="24">
        <v>286</v>
      </c>
      <c r="ID866" s="24">
        <v>199</v>
      </c>
    </row>
    <row r="867" spans="9:238" x14ac:dyDescent="0.4">
      <c r="I867" s="305">
        <v>2015</v>
      </c>
      <c r="J867" s="306">
        <v>14</v>
      </c>
      <c r="K867" s="306" t="s">
        <v>32</v>
      </c>
      <c r="L867" s="306">
        <v>3074</v>
      </c>
      <c r="M867" s="306">
        <v>2804</v>
      </c>
      <c r="N867" s="306"/>
      <c r="O867" s="306">
        <v>270</v>
      </c>
      <c r="P867" s="306">
        <v>30</v>
      </c>
      <c r="Q867" s="306"/>
      <c r="R867" s="304"/>
      <c r="S867" s="304"/>
      <c r="T867" s="304"/>
      <c r="DJ867" s="24"/>
      <c r="DK867" s="24"/>
      <c r="DL867" s="24"/>
      <c r="DM867" s="24"/>
      <c r="EI867" s="24">
        <v>2022</v>
      </c>
      <c r="EJ867" s="24">
        <v>35</v>
      </c>
      <c r="EK867" s="24" t="s">
        <v>33</v>
      </c>
      <c r="EL867" s="24" t="s">
        <v>244</v>
      </c>
      <c r="EM867" s="24" t="s">
        <v>210</v>
      </c>
      <c r="EN867" s="24">
        <v>76</v>
      </c>
      <c r="EO867" s="24"/>
      <c r="EP867" s="24"/>
      <c r="ES867" s="24">
        <v>2016</v>
      </c>
      <c r="ET867" s="24">
        <v>36</v>
      </c>
      <c r="EU867" s="24" t="s">
        <v>32</v>
      </c>
      <c r="EV867" s="24">
        <v>1512</v>
      </c>
      <c r="FW867" s="24">
        <v>2015</v>
      </c>
      <c r="FX867" s="24">
        <v>14</v>
      </c>
      <c r="FY867" s="24" t="s">
        <v>33</v>
      </c>
      <c r="FZ867" s="24">
        <v>2519</v>
      </c>
      <c r="GA867" s="24">
        <v>1799</v>
      </c>
      <c r="GD867" s="24"/>
      <c r="GE867" s="24"/>
      <c r="GF867" s="24"/>
      <c r="GG867" s="24"/>
      <c r="GH867" s="24"/>
      <c r="GX867">
        <v>2015</v>
      </c>
      <c r="GY867">
        <v>14</v>
      </c>
      <c r="GZ867" t="s">
        <v>33</v>
      </c>
      <c r="HA867">
        <v>52758</v>
      </c>
      <c r="HB867">
        <v>45477</v>
      </c>
      <c r="HC867">
        <v>0</v>
      </c>
      <c r="HD867">
        <v>2567</v>
      </c>
      <c r="HE867">
        <v>1</v>
      </c>
      <c r="HF867">
        <v>521</v>
      </c>
      <c r="HG867">
        <v>0</v>
      </c>
      <c r="HH867">
        <v>0</v>
      </c>
      <c r="HI867">
        <v>4720</v>
      </c>
      <c r="HZ867" s="24">
        <v>2015</v>
      </c>
      <c r="IA867" s="24">
        <v>14</v>
      </c>
      <c r="IB867" s="24" t="s">
        <v>33</v>
      </c>
      <c r="IC867" s="24">
        <v>2486</v>
      </c>
      <c r="ID867" s="24">
        <v>1742</v>
      </c>
    </row>
    <row r="868" spans="9:238" x14ac:dyDescent="0.4">
      <c r="I868" s="305">
        <v>2015</v>
      </c>
      <c r="J868" s="306">
        <v>14</v>
      </c>
      <c r="K868" s="306" t="s">
        <v>33</v>
      </c>
      <c r="L868" s="306">
        <v>53118</v>
      </c>
      <c r="M868" s="306">
        <v>45620</v>
      </c>
      <c r="N868" s="306"/>
      <c r="O868" s="306">
        <v>7498</v>
      </c>
      <c r="P868" s="306">
        <v>287</v>
      </c>
      <c r="Q868" s="306">
        <v>19</v>
      </c>
      <c r="R868" s="304"/>
      <c r="S868" s="304"/>
      <c r="T868" s="304"/>
      <c r="DJ868" s="24"/>
      <c r="DK868" s="24"/>
      <c r="DL868" s="24"/>
      <c r="DM868" s="24"/>
      <c r="EI868" s="24">
        <v>2022</v>
      </c>
      <c r="EJ868" s="24">
        <v>35</v>
      </c>
      <c r="EK868" s="24" t="s">
        <v>33</v>
      </c>
      <c r="EL868" s="24" t="s">
        <v>238</v>
      </c>
      <c r="EM868" s="24" t="s">
        <v>210</v>
      </c>
      <c r="EN868" s="24">
        <v>38</v>
      </c>
      <c r="EO868" s="24"/>
      <c r="EP868" s="24"/>
      <c r="ES868" s="318">
        <v>2016</v>
      </c>
      <c r="ET868" s="318">
        <v>36</v>
      </c>
      <c r="EU868" s="318" t="s">
        <v>33</v>
      </c>
      <c r="EV868" s="318">
        <v>37842</v>
      </c>
      <c r="FW868" s="24">
        <v>2015</v>
      </c>
      <c r="FX868" s="24">
        <v>13</v>
      </c>
      <c r="FY868" s="24" t="s">
        <v>32</v>
      </c>
      <c r="FZ868" s="24">
        <v>321</v>
      </c>
      <c r="GA868" s="24">
        <v>255</v>
      </c>
      <c r="GD868" s="24"/>
      <c r="GE868" s="24"/>
      <c r="GF868" s="24"/>
      <c r="GG868" s="24"/>
      <c r="GH868" s="24"/>
      <c r="GX868">
        <v>2015</v>
      </c>
      <c r="GY868">
        <v>13</v>
      </c>
      <c r="GZ868" t="s">
        <v>32</v>
      </c>
      <c r="HA868">
        <v>2601</v>
      </c>
      <c r="HB868">
        <v>2417</v>
      </c>
      <c r="HC868">
        <v>0</v>
      </c>
      <c r="HD868">
        <v>69</v>
      </c>
      <c r="HE868">
        <v>0</v>
      </c>
      <c r="HF868">
        <v>0</v>
      </c>
      <c r="HG868">
        <v>0</v>
      </c>
      <c r="HH868">
        <v>0</v>
      </c>
      <c r="HI868">
        <v>109</v>
      </c>
      <c r="HZ868" s="24">
        <v>2015</v>
      </c>
      <c r="IA868" s="24">
        <v>13</v>
      </c>
      <c r="IB868" s="24" t="s">
        <v>32</v>
      </c>
      <c r="IC868" s="24">
        <v>317</v>
      </c>
      <c r="ID868" s="24">
        <v>244</v>
      </c>
    </row>
    <row r="869" spans="9:238" x14ac:dyDescent="0.4">
      <c r="I869" s="305">
        <v>2015</v>
      </c>
      <c r="J869" s="306">
        <v>13</v>
      </c>
      <c r="K869" s="306" t="s">
        <v>32</v>
      </c>
      <c r="L869" s="306">
        <v>2623</v>
      </c>
      <c r="M869" s="306">
        <v>2437</v>
      </c>
      <c r="N869" s="306"/>
      <c r="O869" s="306">
        <v>186</v>
      </c>
      <c r="P869" s="306">
        <v>57</v>
      </c>
      <c r="Q869" s="306"/>
      <c r="R869" s="304"/>
      <c r="S869" s="304"/>
      <c r="T869" s="304"/>
      <c r="DJ869" s="24"/>
      <c r="DK869" s="24"/>
      <c r="DL869" s="24"/>
      <c r="DM869" s="24"/>
      <c r="EI869" s="24">
        <v>2022</v>
      </c>
      <c r="EJ869" s="24">
        <v>35</v>
      </c>
      <c r="EK869" s="24" t="s">
        <v>33</v>
      </c>
      <c r="EL869" s="24" t="s">
        <v>559</v>
      </c>
      <c r="EM869" s="24" t="s">
        <v>210</v>
      </c>
      <c r="EN869" s="24">
        <v>1</v>
      </c>
      <c r="EO869" s="24"/>
      <c r="EP869" s="24"/>
      <c r="ES869" s="318">
        <v>2016</v>
      </c>
      <c r="ET869" s="318">
        <v>35</v>
      </c>
      <c r="EU869" s="318" t="s">
        <v>32</v>
      </c>
      <c r="EV869" s="318">
        <v>2170</v>
      </c>
      <c r="FW869" s="24">
        <v>2015</v>
      </c>
      <c r="FX869" s="24">
        <v>13</v>
      </c>
      <c r="FY869" s="24" t="s">
        <v>33</v>
      </c>
      <c r="FZ869" s="24">
        <v>1779</v>
      </c>
      <c r="GA869" s="24">
        <v>1229</v>
      </c>
      <c r="GD869" s="24"/>
      <c r="GE869" s="24"/>
      <c r="GF869" s="24"/>
      <c r="GG869" s="24"/>
      <c r="GH869" s="24"/>
      <c r="GX869">
        <v>2015</v>
      </c>
      <c r="GY869">
        <v>13</v>
      </c>
      <c r="GZ869" t="s">
        <v>33</v>
      </c>
      <c r="HA869">
        <v>53284</v>
      </c>
      <c r="HB869">
        <v>44766</v>
      </c>
      <c r="HC869">
        <v>0</v>
      </c>
      <c r="HD869">
        <v>2550</v>
      </c>
      <c r="HE869">
        <v>0</v>
      </c>
      <c r="HF869">
        <v>997</v>
      </c>
      <c r="HG869">
        <v>0</v>
      </c>
      <c r="HH869">
        <v>0</v>
      </c>
      <c r="HI869">
        <v>5141</v>
      </c>
      <c r="HZ869" s="24">
        <v>2015</v>
      </c>
      <c r="IA869" s="24">
        <v>13</v>
      </c>
      <c r="IB869" s="24" t="s">
        <v>33</v>
      </c>
      <c r="IC869" s="24">
        <v>1881</v>
      </c>
      <c r="ID869" s="24">
        <v>1326</v>
      </c>
    </row>
    <row r="870" spans="9:238" x14ac:dyDescent="0.4">
      <c r="I870" s="305">
        <v>2015</v>
      </c>
      <c r="J870" s="306">
        <v>13</v>
      </c>
      <c r="K870" s="306" t="s">
        <v>33</v>
      </c>
      <c r="L870" s="306">
        <v>53691</v>
      </c>
      <c r="M870" s="306">
        <v>45482</v>
      </c>
      <c r="N870" s="306"/>
      <c r="O870" s="306">
        <v>8209</v>
      </c>
      <c r="P870" s="306">
        <v>221</v>
      </c>
      <c r="Q870" s="306">
        <v>10</v>
      </c>
      <c r="R870" s="304"/>
      <c r="S870" s="304"/>
      <c r="T870" s="304"/>
      <c r="DJ870" s="24"/>
      <c r="DK870" s="24"/>
      <c r="DL870" s="24"/>
      <c r="DM870" s="24"/>
      <c r="EI870" s="24">
        <v>2022</v>
      </c>
      <c r="EJ870" s="24">
        <v>35</v>
      </c>
      <c r="EK870" s="24" t="s">
        <v>237</v>
      </c>
      <c r="EL870" s="24" t="s">
        <v>555</v>
      </c>
      <c r="EM870" s="24" t="s">
        <v>234</v>
      </c>
      <c r="EN870" s="24">
        <v>2</v>
      </c>
      <c r="EO870" s="24"/>
      <c r="EP870" s="24"/>
      <c r="ES870" s="318">
        <v>2016</v>
      </c>
      <c r="ET870" s="318">
        <v>35</v>
      </c>
      <c r="EU870" s="318" t="s">
        <v>33</v>
      </c>
      <c r="EV870" s="318">
        <v>29658</v>
      </c>
      <c r="FW870" s="24">
        <v>2015</v>
      </c>
      <c r="FX870" s="24">
        <v>12</v>
      </c>
      <c r="FY870" s="24" t="s">
        <v>32</v>
      </c>
      <c r="FZ870" s="24">
        <v>243</v>
      </c>
      <c r="GA870" s="24">
        <v>232</v>
      </c>
      <c r="GD870" s="24"/>
      <c r="GE870" s="24"/>
      <c r="GF870" s="24"/>
      <c r="GG870" s="24"/>
      <c r="GH870" s="24"/>
      <c r="GX870">
        <v>2015</v>
      </c>
      <c r="GY870">
        <v>12</v>
      </c>
      <c r="GZ870" t="s">
        <v>32</v>
      </c>
      <c r="HA870">
        <v>2551</v>
      </c>
      <c r="HB870">
        <v>2467</v>
      </c>
      <c r="HC870">
        <v>0</v>
      </c>
      <c r="HD870">
        <v>14</v>
      </c>
      <c r="HE870">
        <v>0</v>
      </c>
      <c r="HF870">
        <v>0</v>
      </c>
      <c r="HG870">
        <v>0</v>
      </c>
      <c r="HH870">
        <v>0</v>
      </c>
      <c r="HI870">
        <v>65</v>
      </c>
      <c r="HZ870" s="24">
        <v>2015</v>
      </c>
      <c r="IA870" s="24">
        <v>12</v>
      </c>
      <c r="IB870" s="24" t="s">
        <v>32</v>
      </c>
      <c r="IC870" s="24">
        <v>243</v>
      </c>
      <c r="ID870" s="24">
        <v>232</v>
      </c>
    </row>
    <row r="871" spans="9:238" x14ac:dyDescent="0.4">
      <c r="I871" s="305">
        <v>2015</v>
      </c>
      <c r="J871" s="306">
        <v>12</v>
      </c>
      <c r="K871" s="306" t="s">
        <v>32</v>
      </c>
      <c r="L871" s="306">
        <v>2543</v>
      </c>
      <c r="M871" s="306">
        <v>2436</v>
      </c>
      <c r="N871" s="306"/>
      <c r="O871" s="306">
        <v>107</v>
      </c>
      <c r="P871" s="306">
        <v>20</v>
      </c>
      <c r="Q871" s="306"/>
      <c r="R871" s="304"/>
      <c r="S871" s="304"/>
      <c r="T871" s="304"/>
      <c r="DJ871" s="24"/>
      <c r="DK871" s="24"/>
      <c r="DL871" s="24"/>
      <c r="DM871" s="24"/>
      <c r="EI871" s="24">
        <v>2022</v>
      </c>
      <c r="EJ871" s="24">
        <v>35</v>
      </c>
      <c r="EK871" s="24" t="s">
        <v>237</v>
      </c>
      <c r="EL871" s="24" t="s">
        <v>555</v>
      </c>
      <c r="EM871" s="24" t="s">
        <v>215</v>
      </c>
      <c r="EN871" s="24">
        <v>2</v>
      </c>
      <c r="EO871" s="24"/>
      <c r="EP871" s="24"/>
      <c r="ES871" s="318">
        <v>2016</v>
      </c>
      <c r="ET871" s="318">
        <v>34</v>
      </c>
      <c r="EU871" s="318" t="s">
        <v>32</v>
      </c>
      <c r="EV871" s="318">
        <v>2785</v>
      </c>
      <c r="FW871" s="24">
        <v>2015</v>
      </c>
      <c r="FX871" s="24">
        <v>12</v>
      </c>
      <c r="FY871" s="24" t="s">
        <v>33</v>
      </c>
      <c r="FZ871" s="24">
        <v>2089</v>
      </c>
      <c r="GA871" s="24">
        <v>1780</v>
      </c>
      <c r="GD871" s="24"/>
      <c r="GE871" s="24"/>
      <c r="GF871" s="24"/>
      <c r="GG871" s="24"/>
      <c r="GH871" s="24"/>
      <c r="GX871">
        <v>2015</v>
      </c>
      <c r="GY871">
        <v>12</v>
      </c>
      <c r="GZ871" t="s">
        <v>33</v>
      </c>
      <c r="HA871">
        <v>57216</v>
      </c>
      <c r="HB871">
        <v>49728</v>
      </c>
      <c r="HC871">
        <v>0</v>
      </c>
      <c r="HD871">
        <v>2630</v>
      </c>
      <c r="HE871">
        <v>0</v>
      </c>
      <c r="HF871">
        <v>351</v>
      </c>
      <c r="HG871">
        <v>0</v>
      </c>
      <c r="HH871">
        <v>0</v>
      </c>
      <c r="HI871">
        <v>4513</v>
      </c>
      <c r="HZ871" s="24">
        <v>2015</v>
      </c>
      <c r="IA871" s="24">
        <v>12</v>
      </c>
      <c r="IB871" s="24" t="s">
        <v>33</v>
      </c>
      <c r="IC871" s="24">
        <v>2114</v>
      </c>
      <c r="ID871" s="24">
        <v>1802</v>
      </c>
    </row>
    <row r="872" spans="9:238" x14ac:dyDescent="0.4">
      <c r="I872" s="305">
        <v>2015</v>
      </c>
      <c r="J872" s="306">
        <v>12</v>
      </c>
      <c r="K872" s="306" t="s">
        <v>33</v>
      </c>
      <c r="L872" s="306">
        <v>56845</v>
      </c>
      <c r="M872" s="306">
        <v>48937</v>
      </c>
      <c r="N872" s="306"/>
      <c r="O872" s="306">
        <v>7908</v>
      </c>
      <c r="P872" s="306">
        <v>168</v>
      </c>
      <c r="Q872" s="306">
        <v>43</v>
      </c>
      <c r="R872" s="24"/>
      <c r="S872" s="24"/>
      <c r="T872" s="24"/>
      <c r="DJ872" s="24"/>
      <c r="DK872" s="24"/>
      <c r="DL872" s="24"/>
      <c r="DM872" s="24"/>
      <c r="EI872" s="24">
        <v>2022</v>
      </c>
      <c r="EJ872" s="24">
        <v>35</v>
      </c>
      <c r="EK872" s="24" t="s">
        <v>237</v>
      </c>
      <c r="EL872" s="24" t="s">
        <v>557</v>
      </c>
      <c r="EM872" s="24" t="s">
        <v>210</v>
      </c>
      <c r="EN872" s="24">
        <v>24</v>
      </c>
      <c r="EO872" s="24"/>
      <c r="EP872" s="24"/>
      <c r="ES872" s="318">
        <v>2016</v>
      </c>
      <c r="ET872" s="318">
        <v>34</v>
      </c>
      <c r="EU872" s="318" t="s">
        <v>33</v>
      </c>
      <c r="EV872" s="318">
        <v>39641</v>
      </c>
      <c r="FW872" s="24">
        <v>2015</v>
      </c>
      <c r="FX872" s="24">
        <v>11</v>
      </c>
      <c r="FY872" s="24" t="s">
        <v>32</v>
      </c>
      <c r="FZ872" s="24">
        <v>279</v>
      </c>
      <c r="GA872" s="24">
        <v>248</v>
      </c>
      <c r="GD872" s="24"/>
      <c r="GE872" s="24"/>
      <c r="GF872" s="24"/>
      <c r="GG872" s="24"/>
      <c r="GH872" s="24"/>
      <c r="GX872">
        <v>2015</v>
      </c>
      <c r="GY872">
        <v>11</v>
      </c>
      <c r="GZ872" t="s">
        <v>32</v>
      </c>
      <c r="HA872">
        <v>2597</v>
      </c>
      <c r="HB872">
        <v>2486</v>
      </c>
      <c r="HC872">
        <v>0</v>
      </c>
      <c r="HD872">
        <v>25</v>
      </c>
      <c r="HE872">
        <v>0</v>
      </c>
      <c r="HF872">
        <v>0</v>
      </c>
      <c r="HG872">
        <v>0</v>
      </c>
      <c r="HH872">
        <v>0</v>
      </c>
      <c r="HI872">
        <v>65</v>
      </c>
      <c r="HZ872" s="24">
        <v>2015</v>
      </c>
      <c r="IA872" s="24">
        <v>11</v>
      </c>
      <c r="IB872" s="24" t="s">
        <v>32</v>
      </c>
      <c r="IC872" s="24">
        <v>266</v>
      </c>
      <c r="ID872" s="24">
        <v>242</v>
      </c>
    </row>
    <row r="873" spans="9:238" x14ac:dyDescent="0.4">
      <c r="I873" s="305">
        <v>2015</v>
      </c>
      <c r="J873" s="306">
        <v>11</v>
      </c>
      <c r="K873" s="306" t="s">
        <v>32</v>
      </c>
      <c r="L873" s="306">
        <v>2626</v>
      </c>
      <c r="M873" s="306">
        <v>2490</v>
      </c>
      <c r="N873" s="306"/>
      <c r="O873" s="306">
        <v>136</v>
      </c>
      <c r="P873" s="306">
        <v>17</v>
      </c>
      <c r="Q873" s="306"/>
      <c r="R873" s="24"/>
      <c r="S873" s="24"/>
      <c r="T873" s="24"/>
      <c r="DJ873" s="24"/>
      <c r="DK873" s="24"/>
      <c r="DL873" s="24"/>
      <c r="DM873" s="24"/>
      <c r="EI873" s="24">
        <v>2022</v>
      </c>
      <c r="EJ873" s="24">
        <v>35</v>
      </c>
      <c r="EK873" s="24" t="s">
        <v>237</v>
      </c>
      <c r="EL873" s="24" t="s">
        <v>557</v>
      </c>
      <c r="EM873" s="24" t="s">
        <v>234</v>
      </c>
      <c r="EN873" s="24">
        <v>1</v>
      </c>
      <c r="EO873" s="24"/>
      <c r="EP873" s="24"/>
      <c r="ES873" s="318">
        <v>2016</v>
      </c>
      <c r="ET873" s="318">
        <v>33</v>
      </c>
      <c r="EU873" s="318" t="s">
        <v>32</v>
      </c>
      <c r="EV873" s="318">
        <v>1663</v>
      </c>
      <c r="FW873" s="24">
        <v>2015</v>
      </c>
      <c r="FX873" s="24">
        <v>11</v>
      </c>
      <c r="FY873" s="24" t="s">
        <v>33</v>
      </c>
      <c r="FZ873" s="24">
        <v>2081</v>
      </c>
      <c r="GA873" s="24">
        <v>1639</v>
      </c>
      <c r="GD873" s="24"/>
      <c r="GE873" s="24"/>
      <c r="GF873" s="24"/>
      <c r="GG873" s="24"/>
      <c r="GH873" s="24"/>
      <c r="GX873">
        <v>2015</v>
      </c>
      <c r="GY873">
        <v>11</v>
      </c>
      <c r="GZ873" t="s">
        <v>33</v>
      </c>
      <c r="HA873">
        <v>49243</v>
      </c>
      <c r="HB873">
        <v>43988</v>
      </c>
      <c r="HC873">
        <v>1</v>
      </c>
      <c r="HD873">
        <v>2623</v>
      </c>
      <c r="HE873">
        <v>0</v>
      </c>
      <c r="HF873">
        <v>541</v>
      </c>
      <c r="HG873">
        <v>0</v>
      </c>
      <c r="HH873">
        <v>0</v>
      </c>
      <c r="HI873">
        <v>3139</v>
      </c>
      <c r="HZ873" s="307">
        <v>2015</v>
      </c>
      <c r="IA873" s="307">
        <v>11</v>
      </c>
      <c r="IB873" s="307" t="s">
        <v>33</v>
      </c>
      <c r="IC873" s="307">
        <v>2004</v>
      </c>
      <c r="ID873" s="307">
        <v>1564</v>
      </c>
    </row>
    <row r="874" spans="9:238" x14ac:dyDescent="0.4">
      <c r="I874" s="305">
        <v>2015</v>
      </c>
      <c r="J874" s="306">
        <v>11</v>
      </c>
      <c r="K874" s="306" t="s">
        <v>33</v>
      </c>
      <c r="L874" s="306">
        <v>48748</v>
      </c>
      <c r="M874" s="306">
        <v>43032</v>
      </c>
      <c r="N874" s="306"/>
      <c r="O874" s="306">
        <v>5716</v>
      </c>
      <c r="P874" s="306">
        <v>288</v>
      </c>
      <c r="Q874" s="306">
        <v>2</v>
      </c>
      <c r="R874" s="24"/>
      <c r="S874" s="24"/>
      <c r="T874" s="24"/>
      <c r="DJ874" s="24"/>
      <c r="DK874" s="24"/>
      <c r="DL874" s="24"/>
      <c r="DM874" s="24"/>
      <c r="EI874" s="24">
        <v>2022</v>
      </c>
      <c r="EJ874" s="24">
        <v>35</v>
      </c>
      <c r="EK874" s="24" t="s">
        <v>237</v>
      </c>
      <c r="EL874" s="24" t="s">
        <v>557</v>
      </c>
      <c r="EM874" s="24" t="s">
        <v>215</v>
      </c>
      <c r="EN874" s="24">
        <v>39</v>
      </c>
      <c r="EO874" s="24"/>
      <c r="EP874" s="24"/>
      <c r="ES874" s="318">
        <v>2016</v>
      </c>
      <c r="ET874" s="318">
        <v>33</v>
      </c>
      <c r="EU874" s="318" t="s">
        <v>33</v>
      </c>
      <c r="EV874" s="318">
        <v>32972</v>
      </c>
      <c r="FW874" s="24">
        <v>2015</v>
      </c>
      <c r="FX874" s="24">
        <v>10</v>
      </c>
      <c r="FY874" s="24" t="s">
        <v>32</v>
      </c>
      <c r="FZ874" s="24">
        <v>286</v>
      </c>
      <c r="GA874" s="24">
        <v>195</v>
      </c>
      <c r="GD874" s="24"/>
      <c r="GE874" s="24"/>
      <c r="GF874" s="24"/>
      <c r="GG874" s="24"/>
      <c r="GH874" s="24"/>
      <c r="GX874">
        <v>2015</v>
      </c>
      <c r="GY874">
        <v>10</v>
      </c>
      <c r="GZ874" t="s">
        <v>32</v>
      </c>
      <c r="HA874">
        <v>3459</v>
      </c>
      <c r="HB874">
        <v>3221</v>
      </c>
      <c r="HC874">
        <v>0</v>
      </c>
      <c r="HD874">
        <v>68</v>
      </c>
      <c r="HE874">
        <v>0</v>
      </c>
      <c r="HF874">
        <v>4</v>
      </c>
      <c r="HG874">
        <v>0</v>
      </c>
      <c r="HH874">
        <v>0</v>
      </c>
      <c r="HI874">
        <v>173</v>
      </c>
      <c r="HZ874" s="307">
        <v>2015</v>
      </c>
      <c r="IA874" s="307">
        <v>10</v>
      </c>
      <c r="IB874" s="307" t="s">
        <v>32</v>
      </c>
      <c r="IC874" s="307">
        <v>292</v>
      </c>
      <c r="ID874" s="307">
        <v>213</v>
      </c>
    </row>
    <row r="875" spans="9:238" x14ac:dyDescent="0.4">
      <c r="I875" s="305">
        <v>2015</v>
      </c>
      <c r="J875" s="306">
        <v>10</v>
      </c>
      <c r="K875" s="306" t="s">
        <v>32</v>
      </c>
      <c r="L875" s="306">
        <v>3502</v>
      </c>
      <c r="M875" s="306">
        <v>3242</v>
      </c>
      <c r="N875" s="306"/>
      <c r="O875" s="306">
        <v>260</v>
      </c>
      <c r="P875" s="306">
        <v>29</v>
      </c>
      <c r="Q875" s="306"/>
      <c r="R875" s="24"/>
      <c r="S875" s="24"/>
      <c r="T875" s="24"/>
      <c r="DJ875" s="24"/>
      <c r="DK875" s="24"/>
      <c r="DL875" s="24"/>
      <c r="DM875" s="24"/>
      <c r="EI875" s="24">
        <v>2022</v>
      </c>
      <c r="EJ875" s="24">
        <v>35</v>
      </c>
      <c r="EK875" s="24" t="s">
        <v>237</v>
      </c>
      <c r="EL875" s="24" t="s">
        <v>554</v>
      </c>
      <c r="EM875" s="24" t="s">
        <v>210</v>
      </c>
      <c r="EN875" s="24">
        <v>12</v>
      </c>
      <c r="EO875" s="24"/>
      <c r="EP875" s="24"/>
      <c r="ES875" s="318">
        <v>2016</v>
      </c>
      <c r="ET875" s="318">
        <v>32</v>
      </c>
      <c r="EU875" s="318" t="s">
        <v>32</v>
      </c>
      <c r="EV875" s="318">
        <v>1970</v>
      </c>
      <c r="FW875" s="24">
        <v>2015</v>
      </c>
      <c r="FX875" s="24">
        <v>10</v>
      </c>
      <c r="FY875" s="24" t="s">
        <v>33</v>
      </c>
      <c r="FZ875" s="24">
        <v>2049</v>
      </c>
      <c r="GA875" s="24">
        <v>1838</v>
      </c>
      <c r="GD875" s="24"/>
      <c r="GE875" s="24"/>
      <c r="GF875" s="24"/>
      <c r="GG875" s="24"/>
      <c r="GH875" s="24"/>
      <c r="GX875">
        <v>2015</v>
      </c>
      <c r="GY875">
        <v>10</v>
      </c>
      <c r="GZ875" t="s">
        <v>33</v>
      </c>
      <c r="HA875">
        <v>47443</v>
      </c>
      <c r="HB875">
        <v>41650</v>
      </c>
      <c r="HC875">
        <v>0</v>
      </c>
      <c r="HD875">
        <v>1727</v>
      </c>
      <c r="HE875">
        <v>2</v>
      </c>
      <c r="HF875">
        <v>605</v>
      </c>
      <c r="HG875">
        <v>0</v>
      </c>
      <c r="HH875">
        <v>0</v>
      </c>
      <c r="HI875">
        <v>3598</v>
      </c>
      <c r="HZ875" s="307">
        <v>2015</v>
      </c>
      <c r="IA875" s="307">
        <v>10</v>
      </c>
      <c r="IB875" s="307" t="s">
        <v>33</v>
      </c>
      <c r="IC875" s="307">
        <v>2091</v>
      </c>
      <c r="ID875" s="307">
        <v>1925</v>
      </c>
    </row>
    <row r="876" spans="9:238" x14ac:dyDescent="0.4">
      <c r="I876" s="305">
        <v>2015</v>
      </c>
      <c r="J876" s="306">
        <v>10</v>
      </c>
      <c r="K876" s="306" t="s">
        <v>33</v>
      </c>
      <c r="L876" s="306">
        <v>48029</v>
      </c>
      <c r="M876" s="306">
        <v>40906</v>
      </c>
      <c r="N876" s="306"/>
      <c r="O876" s="306">
        <v>7118</v>
      </c>
      <c r="P876" s="306">
        <v>212</v>
      </c>
      <c r="Q876" s="306">
        <v>8</v>
      </c>
      <c r="R876" s="24"/>
      <c r="S876" s="24"/>
      <c r="T876" s="24"/>
      <c r="DJ876" s="24"/>
      <c r="DK876" s="24"/>
      <c r="DL876" s="24"/>
      <c r="DM876" s="24"/>
      <c r="EI876" s="24">
        <v>2022</v>
      </c>
      <c r="EJ876" s="24">
        <v>35</v>
      </c>
      <c r="EK876" s="24" t="s">
        <v>237</v>
      </c>
      <c r="EL876" s="24" t="s">
        <v>235</v>
      </c>
      <c r="EM876" s="24" t="s">
        <v>210</v>
      </c>
      <c r="EN876" s="24">
        <v>25</v>
      </c>
      <c r="EO876" s="24"/>
      <c r="EP876" s="24"/>
      <c r="ES876" s="24">
        <v>2016</v>
      </c>
      <c r="ET876" s="24">
        <v>32</v>
      </c>
      <c r="EU876" s="24" t="s">
        <v>33</v>
      </c>
      <c r="EV876" s="24">
        <v>37155</v>
      </c>
      <c r="FW876" s="24">
        <v>2015</v>
      </c>
      <c r="FX876" s="24">
        <v>9</v>
      </c>
      <c r="FY876" s="24" t="s">
        <v>32</v>
      </c>
      <c r="FZ876" s="24">
        <v>385</v>
      </c>
      <c r="GA876" s="24">
        <v>281</v>
      </c>
      <c r="GD876" s="24"/>
      <c r="GE876" s="24"/>
      <c r="GF876" s="24"/>
      <c r="GG876" s="24"/>
      <c r="GH876" s="24"/>
      <c r="GX876">
        <v>2015</v>
      </c>
      <c r="GY876">
        <v>9</v>
      </c>
      <c r="GZ876" t="s">
        <v>32</v>
      </c>
      <c r="HA876">
        <v>2812</v>
      </c>
      <c r="HB876">
        <v>2571</v>
      </c>
      <c r="HC876">
        <v>0</v>
      </c>
      <c r="HD876">
        <v>40</v>
      </c>
      <c r="HE876">
        <v>0</v>
      </c>
      <c r="HF876">
        <v>1</v>
      </c>
      <c r="HG876">
        <v>0</v>
      </c>
      <c r="HH876">
        <v>0</v>
      </c>
      <c r="HI876">
        <v>186</v>
      </c>
      <c r="HZ876" s="307">
        <v>2015</v>
      </c>
      <c r="IA876" s="307">
        <v>9</v>
      </c>
      <c r="IB876" s="307" t="s">
        <v>32</v>
      </c>
      <c r="IC876" s="307">
        <v>398</v>
      </c>
      <c r="ID876" s="307">
        <v>265</v>
      </c>
    </row>
    <row r="877" spans="9:238" x14ac:dyDescent="0.4">
      <c r="I877" s="305">
        <v>2015</v>
      </c>
      <c r="J877" s="306">
        <v>9</v>
      </c>
      <c r="K877" s="306" t="s">
        <v>32</v>
      </c>
      <c r="L877" s="306">
        <v>2728</v>
      </c>
      <c r="M877" s="306">
        <v>2517</v>
      </c>
      <c r="N877" s="306"/>
      <c r="O877" s="306">
        <v>211</v>
      </c>
      <c r="P877" s="306">
        <v>76</v>
      </c>
      <c r="Q877" s="306"/>
      <c r="R877" s="24"/>
      <c r="S877" s="24"/>
      <c r="T877" s="24"/>
      <c r="DJ877" s="24"/>
      <c r="DK877" s="24"/>
      <c r="DL877" s="24"/>
      <c r="DM877" s="24"/>
      <c r="EI877" s="24">
        <v>2022</v>
      </c>
      <c r="EJ877" s="24">
        <v>35</v>
      </c>
      <c r="EK877" s="24" t="s">
        <v>237</v>
      </c>
      <c r="EL877" s="24" t="s">
        <v>235</v>
      </c>
      <c r="EM877" s="24" t="s">
        <v>234</v>
      </c>
      <c r="EN877" s="24">
        <v>1</v>
      </c>
      <c r="EO877" s="24"/>
      <c r="EP877" s="24"/>
      <c r="ES877" s="24">
        <v>2016</v>
      </c>
      <c r="ET877" s="24">
        <v>31</v>
      </c>
      <c r="EU877" s="24" t="s">
        <v>32</v>
      </c>
      <c r="EV877" s="24">
        <v>2090</v>
      </c>
      <c r="FW877" s="24">
        <v>2015</v>
      </c>
      <c r="FX877" s="24">
        <v>9</v>
      </c>
      <c r="FY877" s="24" t="s">
        <v>33</v>
      </c>
      <c r="FZ877" s="24">
        <v>1969</v>
      </c>
      <c r="GA877" s="24">
        <v>1371</v>
      </c>
      <c r="GD877" s="24"/>
      <c r="GE877" s="24"/>
      <c r="GF877" s="24"/>
      <c r="GG877" s="24"/>
      <c r="GH877" s="24"/>
      <c r="GX877">
        <v>2015</v>
      </c>
      <c r="GY877">
        <v>9</v>
      </c>
      <c r="GZ877" t="s">
        <v>33</v>
      </c>
      <c r="HA877">
        <v>49258</v>
      </c>
      <c r="HB877">
        <v>43881</v>
      </c>
      <c r="HC877">
        <v>1</v>
      </c>
      <c r="HD877">
        <v>1756</v>
      </c>
      <c r="HE877">
        <v>0</v>
      </c>
      <c r="HF877">
        <v>542</v>
      </c>
      <c r="HG877">
        <v>0</v>
      </c>
      <c r="HH877">
        <v>0</v>
      </c>
      <c r="HI877">
        <v>3205</v>
      </c>
      <c r="HZ877" s="307">
        <v>2015</v>
      </c>
      <c r="IA877" s="307">
        <v>9</v>
      </c>
      <c r="IB877" s="307" t="s">
        <v>33</v>
      </c>
      <c r="IC877" s="307">
        <v>1889</v>
      </c>
      <c r="ID877" s="307">
        <v>1311</v>
      </c>
    </row>
    <row r="878" spans="9:238" x14ac:dyDescent="0.4">
      <c r="I878" s="305">
        <v>2015</v>
      </c>
      <c r="J878" s="306">
        <v>9</v>
      </c>
      <c r="K878" s="306" t="s">
        <v>33</v>
      </c>
      <c r="L878" s="306">
        <v>49057</v>
      </c>
      <c r="M878" s="306">
        <v>43509</v>
      </c>
      <c r="N878" s="306"/>
      <c r="O878" s="306">
        <v>5548</v>
      </c>
      <c r="P878" s="306">
        <v>257</v>
      </c>
      <c r="Q878" s="306">
        <v>9</v>
      </c>
      <c r="R878" s="24"/>
      <c r="S878" s="24"/>
      <c r="T878" s="24"/>
      <c r="DJ878" s="24"/>
      <c r="DK878" s="24"/>
      <c r="DL878" s="24"/>
      <c r="DM878" s="24"/>
      <c r="EI878" s="24">
        <v>2022</v>
      </c>
      <c r="EJ878" s="24">
        <v>35</v>
      </c>
      <c r="EK878" s="24" t="s">
        <v>237</v>
      </c>
      <c r="EL878" s="24" t="s">
        <v>235</v>
      </c>
      <c r="EM878" s="24" t="s">
        <v>215</v>
      </c>
      <c r="EN878" s="24">
        <v>3</v>
      </c>
      <c r="EO878" s="24"/>
      <c r="EP878" s="24"/>
      <c r="ES878" s="24">
        <v>2016</v>
      </c>
      <c r="ET878" s="24">
        <v>31</v>
      </c>
      <c r="EU878" s="24" t="s">
        <v>33</v>
      </c>
      <c r="EV878" s="24">
        <v>37946</v>
      </c>
      <c r="FW878" s="24">
        <v>2015</v>
      </c>
      <c r="FX878" s="24">
        <v>8</v>
      </c>
      <c r="FY878" s="24" t="s">
        <v>32</v>
      </c>
      <c r="FZ878" s="24">
        <v>339</v>
      </c>
      <c r="GA878" s="24">
        <v>257</v>
      </c>
      <c r="GD878" s="24"/>
      <c r="GE878" s="24"/>
      <c r="GF878" s="24"/>
      <c r="GG878" s="24"/>
      <c r="GH878" s="24"/>
      <c r="GX878">
        <v>2015</v>
      </c>
      <c r="GY878">
        <v>8</v>
      </c>
      <c r="GZ878" t="s">
        <v>32</v>
      </c>
      <c r="HA878">
        <v>2419</v>
      </c>
      <c r="HB878">
        <v>2238</v>
      </c>
      <c r="HC878">
        <v>0</v>
      </c>
      <c r="HD878">
        <v>14</v>
      </c>
      <c r="HE878">
        <v>0</v>
      </c>
      <c r="HF878">
        <v>0</v>
      </c>
      <c r="HG878">
        <v>0</v>
      </c>
      <c r="HH878">
        <v>0</v>
      </c>
      <c r="HI878">
        <v>146</v>
      </c>
      <c r="HZ878" s="307">
        <v>2015</v>
      </c>
      <c r="IA878" s="307">
        <v>8</v>
      </c>
      <c r="IB878" s="307" t="s">
        <v>32</v>
      </c>
      <c r="IC878" s="307">
        <v>329</v>
      </c>
      <c r="ID878" s="307">
        <v>248</v>
      </c>
    </row>
    <row r="879" spans="9:238" x14ac:dyDescent="0.4">
      <c r="I879" s="305">
        <v>2015</v>
      </c>
      <c r="J879" s="306">
        <v>8</v>
      </c>
      <c r="K879" s="306" t="s">
        <v>32</v>
      </c>
      <c r="L879" s="306">
        <v>2454</v>
      </c>
      <c r="M879" s="306">
        <v>2259</v>
      </c>
      <c r="N879" s="306"/>
      <c r="O879" s="306">
        <v>195</v>
      </c>
      <c r="P879" s="306">
        <v>33</v>
      </c>
      <c r="Q879" s="306"/>
      <c r="R879" s="24"/>
      <c r="S879" s="24"/>
      <c r="T879" s="24"/>
      <c r="DJ879" s="24"/>
      <c r="DK879" s="24"/>
      <c r="DL879" s="24"/>
      <c r="DM879" s="24"/>
      <c r="EI879" s="24">
        <v>2022</v>
      </c>
      <c r="EJ879" s="24">
        <v>35</v>
      </c>
      <c r="EK879" s="24" t="s">
        <v>237</v>
      </c>
      <c r="EL879" s="24" t="s">
        <v>247</v>
      </c>
      <c r="EM879" s="24" t="s">
        <v>210</v>
      </c>
      <c r="EN879" s="24">
        <v>6</v>
      </c>
      <c r="EO879" s="24"/>
      <c r="EP879" s="24"/>
      <c r="ES879" s="24">
        <v>2016</v>
      </c>
      <c r="ET879" s="24">
        <v>30</v>
      </c>
      <c r="EU879" s="24" t="s">
        <v>32</v>
      </c>
      <c r="EV879" s="24">
        <v>2203</v>
      </c>
      <c r="FW879" s="24">
        <v>2015</v>
      </c>
      <c r="FX879" s="24">
        <v>8</v>
      </c>
      <c r="FY879" s="24" t="s">
        <v>33</v>
      </c>
      <c r="FZ879" s="24">
        <v>1637</v>
      </c>
      <c r="GA879" s="24">
        <v>1177</v>
      </c>
      <c r="GD879" s="24"/>
      <c r="GE879" s="24"/>
      <c r="GF879" s="24"/>
      <c r="GG879" s="24"/>
      <c r="GH879" s="24"/>
      <c r="GX879">
        <v>2015</v>
      </c>
      <c r="GY879">
        <v>8</v>
      </c>
      <c r="GZ879" t="s">
        <v>33</v>
      </c>
      <c r="HA879">
        <v>49256</v>
      </c>
      <c r="HB879">
        <v>43020</v>
      </c>
      <c r="HC879">
        <v>0</v>
      </c>
      <c r="HD879">
        <v>1542</v>
      </c>
      <c r="HE879">
        <v>1</v>
      </c>
      <c r="HF879">
        <v>839</v>
      </c>
      <c r="HG879">
        <v>0</v>
      </c>
      <c r="HH879">
        <v>0</v>
      </c>
      <c r="HI879">
        <v>3812</v>
      </c>
      <c r="HZ879" s="24">
        <v>2015</v>
      </c>
      <c r="IA879" s="24">
        <v>8</v>
      </c>
      <c r="IB879" s="24" t="s">
        <v>33</v>
      </c>
      <c r="IC879" s="24">
        <v>1762</v>
      </c>
      <c r="ID879" s="24">
        <v>1190</v>
      </c>
    </row>
    <row r="880" spans="9:238" x14ac:dyDescent="0.4">
      <c r="I880" s="305">
        <v>2015</v>
      </c>
      <c r="J880" s="306">
        <v>8</v>
      </c>
      <c r="K880" s="306" t="s">
        <v>33</v>
      </c>
      <c r="L880" s="306">
        <v>49175</v>
      </c>
      <c r="M880" s="306">
        <v>42838</v>
      </c>
      <c r="N880" s="306"/>
      <c r="O880" s="306">
        <v>6337</v>
      </c>
      <c r="P880" s="306">
        <v>144</v>
      </c>
      <c r="Q880" s="306">
        <v>6</v>
      </c>
      <c r="R880" s="24"/>
      <c r="S880" s="24"/>
      <c r="T880" s="24"/>
      <c r="DJ880" s="24"/>
      <c r="DK880" s="24"/>
      <c r="DL880" s="24"/>
      <c r="DM880" s="24"/>
      <c r="EI880" s="24">
        <v>2022</v>
      </c>
      <c r="EJ880" s="24">
        <v>35</v>
      </c>
      <c r="EK880" s="24" t="s">
        <v>237</v>
      </c>
      <c r="EL880" s="24" t="s">
        <v>247</v>
      </c>
      <c r="EM880" s="24" t="s">
        <v>234</v>
      </c>
      <c r="EN880" s="24">
        <v>2</v>
      </c>
      <c r="EO880" s="24"/>
      <c r="EP880" s="24"/>
      <c r="ES880" s="24">
        <v>2016</v>
      </c>
      <c r="ET880" s="24">
        <v>30</v>
      </c>
      <c r="EU880" s="24" t="s">
        <v>33</v>
      </c>
      <c r="EV880" s="24">
        <v>39667</v>
      </c>
      <c r="FW880" s="24">
        <v>2015</v>
      </c>
      <c r="FX880" s="24">
        <v>7</v>
      </c>
      <c r="FY880" s="24" t="s">
        <v>32</v>
      </c>
      <c r="FZ880" s="24">
        <v>309</v>
      </c>
      <c r="GA880" s="24">
        <v>273</v>
      </c>
      <c r="GD880" s="24"/>
      <c r="GE880" s="24"/>
      <c r="GF880" s="24"/>
      <c r="GG880" s="24"/>
      <c r="GH880" s="24"/>
      <c r="GX880">
        <v>2015</v>
      </c>
      <c r="GY880">
        <v>7</v>
      </c>
      <c r="GZ880" t="s">
        <v>32</v>
      </c>
      <c r="HA880">
        <v>2405</v>
      </c>
      <c r="HB880">
        <v>2310</v>
      </c>
      <c r="HC880">
        <v>0</v>
      </c>
      <c r="HD880">
        <v>11</v>
      </c>
      <c r="HE880">
        <v>0</v>
      </c>
      <c r="HF880">
        <v>0</v>
      </c>
      <c r="HG880">
        <v>0</v>
      </c>
      <c r="HH880">
        <v>0</v>
      </c>
      <c r="HI880">
        <v>48</v>
      </c>
      <c r="HZ880" s="24">
        <v>2015</v>
      </c>
      <c r="IA880" s="24">
        <v>7</v>
      </c>
      <c r="IB880" s="24" t="s">
        <v>32</v>
      </c>
      <c r="IC880" s="24">
        <v>297</v>
      </c>
      <c r="ID880" s="24">
        <v>283</v>
      </c>
    </row>
    <row r="881" spans="9:238" x14ac:dyDescent="0.4">
      <c r="I881" s="305">
        <v>2015</v>
      </c>
      <c r="J881" s="306">
        <v>7</v>
      </c>
      <c r="K881" s="306" t="s">
        <v>32</v>
      </c>
      <c r="L881" s="306">
        <v>2450</v>
      </c>
      <c r="M881" s="306">
        <v>2314</v>
      </c>
      <c r="N881" s="306"/>
      <c r="O881" s="306">
        <v>136</v>
      </c>
      <c r="P881" s="306">
        <v>36</v>
      </c>
      <c r="Q881" s="306"/>
      <c r="R881" s="24"/>
      <c r="S881" s="24"/>
      <c r="T881" s="24"/>
      <c r="DJ881" s="24"/>
      <c r="DK881" s="24"/>
      <c r="DL881" s="24"/>
      <c r="DM881" s="24"/>
      <c r="EI881" s="24">
        <v>2022</v>
      </c>
      <c r="EJ881" s="24">
        <v>35</v>
      </c>
      <c r="EK881" s="24" t="s">
        <v>237</v>
      </c>
      <c r="EL881" s="24" t="s">
        <v>247</v>
      </c>
      <c r="EM881" s="24" t="s">
        <v>215</v>
      </c>
      <c r="EN881" s="24">
        <v>1</v>
      </c>
      <c r="EO881" s="24"/>
      <c r="EP881" s="24"/>
      <c r="ES881" s="24">
        <v>2016</v>
      </c>
      <c r="ET881" s="24">
        <v>29</v>
      </c>
      <c r="EU881" s="24" t="s">
        <v>32</v>
      </c>
      <c r="EV881" s="24">
        <v>2401</v>
      </c>
      <c r="FW881" s="24">
        <v>2015</v>
      </c>
      <c r="FX881" s="24">
        <v>7</v>
      </c>
      <c r="FY881" s="24" t="s">
        <v>33</v>
      </c>
      <c r="FZ881" s="24">
        <v>1682</v>
      </c>
      <c r="GA881" s="24">
        <v>1328</v>
      </c>
      <c r="GD881" s="24"/>
      <c r="GE881" s="24"/>
      <c r="GF881" s="24"/>
      <c r="GG881" s="24"/>
      <c r="GH881" s="24"/>
      <c r="GX881">
        <v>2015</v>
      </c>
      <c r="GY881">
        <v>7</v>
      </c>
      <c r="GZ881" t="s">
        <v>33</v>
      </c>
      <c r="HA881">
        <v>49089</v>
      </c>
      <c r="HB881">
        <v>45121</v>
      </c>
      <c r="HC881">
        <v>0</v>
      </c>
      <c r="HD881">
        <v>1244</v>
      </c>
      <c r="HE881">
        <v>0</v>
      </c>
      <c r="HF881">
        <v>394</v>
      </c>
      <c r="HG881">
        <v>0</v>
      </c>
      <c r="HH881">
        <v>0</v>
      </c>
      <c r="HI881">
        <v>1782</v>
      </c>
      <c r="HZ881" s="308">
        <v>2015</v>
      </c>
      <c r="IA881" s="308">
        <v>7</v>
      </c>
      <c r="IB881" s="308" t="s">
        <v>33</v>
      </c>
      <c r="IC881" s="308">
        <v>1631</v>
      </c>
      <c r="ID881" s="308">
        <v>1273</v>
      </c>
    </row>
    <row r="882" spans="9:238" x14ac:dyDescent="0.4">
      <c r="I882" s="305">
        <v>2015</v>
      </c>
      <c r="J882" s="306">
        <v>7</v>
      </c>
      <c r="K882" s="306" t="s">
        <v>33</v>
      </c>
      <c r="L882" s="306">
        <v>48925</v>
      </c>
      <c r="M882" s="306">
        <v>44364</v>
      </c>
      <c r="N882" s="306"/>
      <c r="O882" s="306">
        <v>4561</v>
      </c>
      <c r="P882" s="306">
        <v>196</v>
      </c>
      <c r="Q882" s="306">
        <v>18</v>
      </c>
      <c r="R882" s="24"/>
      <c r="S882" s="24"/>
      <c r="T882" s="24"/>
      <c r="DJ882" s="24"/>
      <c r="DK882" s="24"/>
      <c r="DL882" s="24"/>
      <c r="DM882" s="24"/>
      <c r="EI882" s="24">
        <v>2022</v>
      </c>
      <c r="EJ882" s="24">
        <v>35</v>
      </c>
      <c r="EK882" s="24" t="s">
        <v>211</v>
      </c>
      <c r="EL882" s="24" t="s">
        <v>232</v>
      </c>
      <c r="EM882" s="24" t="s">
        <v>234</v>
      </c>
      <c r="EN882" s="24">
        <v>3</v>
      </c>
      <c r="EO882" s="24"/>
      <c r="EP882" s="24"/>
      <c r="ES882" s="24">
        <v>2016</v>
      </c>
      <c r="ET882" s="24">
        <v>29</v>
      </c>
      <c r="EU882" s="24" t="s">
        <v>33</v>
      </c>
      <c r="EV882" s="24">
        <v>33340</v>
      </c>
      <c r="FW882" s="24">
        <v>2015</v>
      </c>
      <c r="FX882" s="24">
        <v>6</v>
      </c>
      <c r="FY882" s="24" t="s">
        <v>32</v>
      </c>
      <c r="FZ882" s="24">
        <v>262</v>
      </c>
      <c r="GA882" s="24">
        <v>201</v>
      </c>
      <c r="GD882" s="24"/>
      <c r="GE882" s="24"/>
      <c r="GF882" s="24"/>
      <c r="GG882" s="24"/>
      <c r="GH882" s="24"/>
      <c r="GX882">
        <v>2015</v>
      </c>
      <c r="GY882">
        <v>6</v>
      </c>
      <c r="GZ882" t="s">
        <v>32</v>
      </c>
      <c r="HA882">
        <v>3474</v>
      </c>
      <c r="HB882">
        <v>3272</v>
      </c>
      <c r="HC882">
        <v>0</v>
      </c>
      <c r="HD882">
        <v>14</v>
      </c>
      <c r="HE882">
        <v>0</v>
      </c>
      <c r="HF882">
        <v>0</v>
      </c>
      <c r="HG882">
        <v>0</v>
      </c>
      <c r="HH882">
        <v>0</v>
      </c>
      <c r="HI882">
        <v>138</v>
      </c>
      <c r="HZ882" s="308">
        <v>2015</v>
      </c>
      <c r="IA882" s="308">
        <v>6</v>
      </c>
      <c r="IB882" s="308" t="s">
        <v>32</v>
      </c>
      <c r="IC882" s="308">
        <v>281</v>
      </c>
      <c r="ID882" s="308">
        <v>201</v>
      </c>
    </row>
    <row r="883" spans="9:238" x14ac:dyDescent="0.4">
      <c r="I883" s="305">
        <v>2015</v>
      </c>
      <c r="J883" s="306">
        <v>6</v>
      </c>
      <c r="K883" s="306" t="s">
        <v>32</v>
      </c>
      <c r="L883" s="306">
        <v>3627</v>
      </c>
      <c r="M883" s="306">
        <v>3252</v>
      </c>
      <c r="N883" s="306"/>
      <c r="O883" s="306">
        <v>375</v>
      </c>
      <c r="P883" s="306">
        <v>56</v>
      </c>
      <c r="Q883" s="306"/>
      <c r="R883" s="24"/>
      <c r="S883" s="24"/>
      <c r="T883" s="24"/>
      <c r="DJ883" s="24"/>
      <c r="DK883" s="24"/>
      <c r="DL883" s="24"/>
      <c r="DM883" s="24"/>
      <c r="EI883" s="24">
        <v>2022</v>
      </c>
      <c r="EJ883" s="24">
        <v>35</v>
      </c>
      <c r="EK883" s="24" t="s">
        <v>211</v>
      </c>
      <c r="EL883" s="24" t="s">
        <v>212</v>
      </c>
      <c r="EM883" s="24" t="s">
        <v>210</v>
      </c>
      <c r="EN883" s="24">
        <v>5</v>
      </c>
      <c r="EO883" s="24"/>
      <c r="EP883" s="24"/>
      <c r="ES883" s="24">
        <v>2016</v>
      </c>
      <c r="ET883" s="24">
        <v>28</v>
      </c>
      <c r="EU883" s="24" t="s">
        <v>32</v>
      </c>
      <c r="EV883" s="24">
        <v>1980</v>
      </c>
      <c r="FW883" s="24">
        <v>2015</v>
      </c>
      <c r="FX883" s="24">
        <v>6</v>
      </c>
      <c r="FY883" s="24" t="s">
        <v>33</v>
      </c>
      <c r="FZ883" s="24">
        <v>2171</v>
      </c>
      <c r="GA883" s="24">
        <v>1878</v>
      </c>
      <c r="GD883" s="24"/>
      <c r="GE883" s="24"/>
      <c r="GF883" s="24"/>
      <c r="GG883" s="24"/>
      <c r="GH883" s="24"/>
      <c r="GX883">
        <v>2015</v>
      </c>
      <c r="GY883">
        <v>6</v>
      </c>
      <c r="GZ883" t="s">
        <v>33</v>
      </c>
      <c r="HA883">
        <v>44692</v>
      </c>
      <c r="HB883">
        <v>41614</v>
      </c>
      <c r="HC883">
        <v>1</v>
      </c>
      <c r="HD883">
        <v>955</v>
      </c>
      <c r="HE883">
        <v>0</v>
      </c>
      <c r="HF883">
        <v>191</v>
      </c>
      <c r="HG883">
        <v>0</v>
      </c>
      <c r="HH883">
        <v>0</v>
      </c>
      <c r="HI883">
        <v>1729</v>
      </c>
      <c r="HZ883" s="24">
        <v>2015</v>
      </c>
      <c r="IA883" s="24">
        <v>6</v>
      </c>
      <c r="IB883" s="24" t="s">
        <v>33</v>
      </c>
      <c r="IC883" s="24">
        <v>2147</v>
      </c>
      <c r="ID883" s="24">
        <v>1865</v>
      </c>
    </row>
    <row r="884" spans="9:238" x14ac:dyDescent="0.4">
      <c r="I884" s="305">
        <v>2015</v>
      </c>
      <c r="J884" s="306">
        <v>6</v>
      </c>
      <c r="K884" s="306" t="s">
        <v>33</v>
      </c>
      <c r="L884" s="306">
        <v>44134</v>
      </c>
      <c r="M884" s="306">
        <v>40025</v>
      </c>
      <c r="N884" s="306"/>
      <c r="O884" s="306">
        <v>4109</v>
      </c>
      <c r="P884" s="306">
        <v>165</v>
      </c>
      <c r="Q884" s="306">
        <v>7</v>
      </c>
      <c r="R884" s="24"/>
      <c r="S884" s="24"/>
      <c r="T884" s="24"/>
      <c r="DJ884" s="24"/>
      <c r="DK884" s="24"/>
      <c r="DL884" s="24"/>
      <c r="DM884" s="24"/>
      <c r="EI884" s="24">
        <v>2022</v>
      </c>
      <c r="EJ884" s="24">
        <v>35</v>
      </c>
      <c r="EK884" s="24" t="s">
        <v>211</v>
      </c>
      <c r="EL884" s="24" t="s">
        <v>212</v>
      </c>
      <c r="EM884" s="24" t="s">
        <v>234</v>
      </c>
      <c r="EN884" s="24">
        <v>20</v>
      </c>
      <c r="EO884" s="24"/>
      <c r="EP884" s="24"/>
      <c r="ES884" s="24">
        <v>2016</v>
      </c>
      <c r="ET884" s="24">
        <v>28</v>
      </c>
      <c r="EU884" s="24" t="s">
        <v>33</v>
      </c>
      <c r="EV884" s="24">
        <v>33037</v>
      </c>
      <c r="FW884" s="24">
        <v>2015</v>
      </c>
      <c r="FX884" s="24">
        <v>5</v>
      </c>
      <c r="FY884" s="24" t="s">
        <v>32</v>
      </c>
      <c r="FZ884" s="24">
        <v>285</v>
      </c>
      <c r="GA884" s="24">
        <v>264</v>
      </c>
      <c r="GD884" s="24"/>
      <c r="GE884" s="24"/>
      <c r="GF884" s="24"/>
      <c r="GG884" s="24"/>
      <c r="GH884" s="24"/>
      <c r="GX884">
        <v>2015</v>
      </c>
      <c r="GY884">
        <v>5</v>
      </c>
      <c r="GZ884" t="s">
        <v>32</v>
      </c>
      <c r="HA884">
        <v>2741</v>
      </c>
      <c r="HB884">
        <v>2588</v>
      </c>
      <c r="HC884">
        <v>0</v>
      </c>
      <c r="HD884">
        <v>25</v>
      </c>
      <c r="HE884">
        <v>0</v>
      </c>
      <c r="HF884">
        <v>0</v>
      </c>
      <c r="HG884">
        <v>0</v>
      </c>
      <c r="HH884">
        <v>0</v>
      </c>
      <c r="HI884">
        <v>104</v>
      </c>
      <c r="HZ884" s="24">
        <v>2015</v>
      </c>
      <c r="IA884" s="24">
        <v>5</v>
      </c>
      <c r="IB884" s="24" t="s">
        <v>32</v>
      </c>
      <c r="IC884" s="24">
        <v>288</v>
      </c>
      <c r="ID884" s="24">
        <v>264</v>
      </c>
    </row>
    <row r="885" spans="9:238" x14ac:dyDescent="0.4">
      <c r="I885" s="305">
        <v>2015</v>
      </c>
      <c r="J885" s="306">
        <v>5</v>
      </c>
      <c r="K885" s="306" t="s">
        <v>32</v>
      </c>
      <c r="L885" s="306">
        <v>2599</v>
      </c>
      <c r="M885" s="306">
        <v>2386</v>
      </c>
      <c r="N885" s="306"/>
      <c r="O885" s="306">
        <v>213</v>
      </c>
      <c r="P885" s="306">
        <v>32</v>
      </c>
      <c r="Q885" s="306"/>
      <c r="R885" s="24"/>
      <c r="S885" s="24"/>
      <c r="T885" s="24"/>
      <c r="DJ885" s="24"/>
      <c r="DK885" s="24"/>
      <c r="DL885" s="24"/>
      <c r="DM885" s="24"/>
      <c r="EI885" s="24">
        <v>2022</v>
      </c>
      <c r="EJ885" s="24">
        <v>35</v>
      </c>
      <c r="EK885" s="24" t="s">
        <v>211</v>
      </c>
      <c r="EL885" s="24" t="s">
        <v>247</v>
      </c>
      <c r="EM885" s="24" t="s">
        <v>210</v>
      </c>
      <c r="EN885" s="24">
        <v>2</v>
      </c>
      <c r="EO885" s="24"/>
      <c r="EP885" s="24"/>
      <c r="ES885" s="24">
        <v>2016</v>
      </c>
      <c r="ET885" s="24">
        <v>27</v>
      </c>
      <c r="EU885" s="24" t="s">
        <v>32</v>
      </c>
      <c r="EV885" s="24">
        <v>2141</v>
      </c>
      <c r="FW885" s="24">
        <v>2015</v>
      </c>
      <c r="FX885" s="24">
        <v>5</v>
      </c>
      <c r="FY885" s="24" t="s">
        <v>33</v>
      </c>
      <c r="FZ885" s="24">
        <v>1581</v>
      </c>
      <c r="GA885" s="24">
        <v>1381</v>
      </c>
      <c r="GD885" s="24"/>
      <c r="GE885" s="24"/>
      <c r="GF885" s="24"/>
      <c r="GG885" s="24"/>
      <c r="GH885" s="24"/>
      <c r="GX885">
        <v>2015</v>
      </c>
      <c r="GY885">
        <v>5</v>
      </c>
      <c r="GZ885" t="s">
        <v>33</v>
      </c>
      <c r="HA885">
        <v>42926</v>
      </c>
      <c r="HB885">
        <v>39960</v>
      </c>
      <c r="HC885">
        <v>0</v>
      </c>
      <c r="HD885">
        <v>1140</v>
      </c>
      <c r="HE885">
        <v>0</v>
      </c>
      <c r="HF885">
        <v>114</v>
      </c>
      <c r="HG885">
        <v>0</v>
      </c>
      <c r="HH885">
        <v>0</v>
      </c>
      <c r="HI885">
        <v>1471</v>
      </c>
      <c r="HZ885" s="24">
        <v>2015</v>
      </c>
      <c r="IA885" s="24">
        <v>5</v>
      </c>
      <c r="IB885" s="24" t="s">
        <v>33</v>
      </c>
      <c r="IC885" s="24">
        <v>1648</v>
      </c>
      <c r="ID885" s="24">
        <v>1465</v>
      </c>
    </row>
    <row r="886" spans="9:238" x14ac:dyDescent="0.4">
      <c r="I886" s="305">
        <v>2015</v>
      </c>
      <c r="J886" s="306">
        <v>5</v>
      </c>
      <c r="K886" s="306" t="s">
        <v>33</v>
      </c>
      <c r="L886" s="306">
        <v>42948</v>
      </c>
      <c r="M886" s="306">
        <v>39550</v>
      </c>
      <c r="N886" s="306"/>
      <c r="O886" s="306">
        <v>3398</v>
      </c>
      <c r="P886" s="306">
        <v>162</v>
      </c>
      <c r="Q886" s="306">
        <v>7</v>
      </c>
      <c r="R886" s="24"/>
      <c r="S886" s="24"/>
      <c r="T886" s="24"/>
      <c r="DJ886" s="24"/>
      <c r="DK886" s="24"/>
      <c r="DL886" s="24"/>
      <c r="DM886" s="24"/>
      <c r="EI886" s="24">
        <v>2022</v>
      </c>
      <c r="EJ886" s="24">
        <v>35</v>
      </c>
      <c r="EK886" s="24" t="s">
        <v>211</v>
      </c>
      <c r="EL886" s="24" t="s">
        <v>247</v>
      </c>
      <c r="EM886" s="24" t="s">
        <v>234</v>
      </c>
      <c r="EN886" s="24">
        <v>18</v>
      </c>
      <c r="EO886" s="24"/>
      <c r="EP886" s="24"/>
      <c r="ES886" s="24">
        <v>2016</v>
      </c>
      <c r="ET886" s="24">
        <v>27</v>
      </c>
      <c r="EU886" s="24" t="s">
        <v>33</v>
      </c>
      <c r="EV886" s="24">
        <v>39196</v>
      </c>
      <c r="FW886" s="24">
        <v>2015</v>
      </c>
      <c r="FX886" s="24">
        <v>4</v>
      </c>
      <c r="FY886" s="24" t="s">
        <v>32</v>
      </c>
      <c r="FZ886" s="24">
        <v>218</v>
      </c>
      <c r="GA886" s="24">
        <v>202</v>
      </c>
      <c r="GD886" s="24"/>
      <c r="GE886" s="24"/>
      <c r="GF886" s="24"/>
      <c r="GG886" s="24"/>
      <c r="GH886" s="24"/>
      <c r="GX886">
        <v>2015</v>
      </c>
      <c r="GY886">
        <v>4</v>
      </c>
      <c r="GZ886" t="s">
        <v>32</v>
      </c>
      <c r="HA886">
        <v>2660</v>
      </c>
      <c r="HB886">
        <v>2488</v>
      </c>
      <c r="HC886">
        <v>0</v>
      </c>
      <c r="HD886">
        <v>35</v>
      </c>
      <c r="HE886">
        <v>0</v>
      </c>
      <c r="HF886">
        <v>0</v>
      </c>
      <c r="HG886">
        <v>0</v>
      </c>
      <c r="HH886">
        <v>0</v>
      </c>
      <c r="HI886">
        <v>99</v>
      </c>
      <c r="HZ886" s="24">
        <v>2015</v>
      </c>
      <c r="IA886" s="24">
        <v>4</v>
      </c>
      <c r="IB886" s="24" t="s">
        <v>32</v>
      </c>
      <c r="IC886" s="24">
        <v>204</v>
      </c>
      <c r="ID886" s="24">
        <v>189</v>
      </c>
    </row>
    <row r="887" spans="9:238" x14ac:dyDescent="0.4">
      <c r="I887" s="305">
        <v>2015</v>
      </c>
      <c r="J887" s="306">
        <v>4</v>
      </c>
      <c r="K887" s="306" t="s">
        <v>32</v>
      </c>
      <c r="L887" s="306">
        <v>2730</v>
      </c>
      <c r="M887" s="306">
        <v>2580</v>
      </c>
      <c r="N887" s="306"/>
      <c r="O887" s="306">
        <v>150</v>
      </c>
      <c r="P887" s="306">
        <v>17</v>
      </c>
      <c r="Q887" s="306"/>
      <c r="R887" s="24"/>
      <c r="S887" s="24"/>
      <c r="T887" s="24"/>
      <c r="DJ887" s="24"/>
      <c r="DK887" s="24"/>
      <c r="DL887" s="24"/>
      <c r="DM887" s="24"/>
      <c r="EI887" s="24">
        <v>2022</v>
      </c>
      <c r="EJ887" s="24">
        <v>34</v>
      </c>
      <c r="EK887" s="24" t="s">
        <v>19</v>
      </c>
      <c r="EL887" s="24" t="s">
        <v>247</v>
      </c>
      <c r="EM887" s="24" t="s">
        <v>215</v>
      </c>
      <c r="EN887" s="24">
        <v>1</v>
      </c>
      <c r="EO887" s="24"/>
      <c r="EP887" s="24"/>
      <c r="ES887" s="24">
        <v>2016</v>
      </c>
      <c r="ET887" s="24">
        <v>26</v>
      </c>
      <c r="EU887" s="24" t="s">
        <v>32</v>
      </c>
      <c r="EV887" s="24">
        <v>2189</v>
      </c>
      <c r="FW887" s="24">
        <v>2015</v>
      </c>
      <c r="FX887" s="24">
        <v>4</v>
      </c>
      <c r="FY887" s="24" t="s">
        <v>33</v>
      </c>
      <c r="FZ887" s="24">
        <v>1616</v>
      </c>
      <c r="GA887" s="24">
        <v>1250</v>
      </c>
      <c r="GD887" s="24"/>
      <c r="GE887" s="24"/>
      <c r="GF887" s="24"/>
      <c r="GG887" s="24"/>
      <c r="GH887" s="24"/>
      <c r="GX887">
        <v>2015</v>
      </c>
      <c r="GY887">
        <v>4</v>
      </c>
      <c r="GZ887" t="s">
        <v>33</v>
      </c>
      <c r="HA887">
        <v>44215</v>
      </c>
      <c r="HB887">
        <v>40935</v>
      </c>
      <c r="HC887">
        <v>0</v>
      </c>
      <c r="HD887">
        <v>709</v>
      </c>
      <c r="HE887">
        <v>0</v>
      </c>
      <c r="HF887">
        <v>153</v>
      </c>
      <c r="HG887">
        <v>0</v>
      </c>
      <c r="HH887">
        <v>0</v>
      </c>
      <c r="HI887">
        <v>1869</v>
      </c>
      <c r="HZ887" s="309">
        <v>2015</v>
      </c>
      <c r="IA887" s="309">
        <v>4</v>
      </c>
      <c r="IB887" s="309" t="s">
        <v>33</v>
      </c>
      <c r="IC887" s="309">
        <v>1579</v>
      </c>
      <c r="ID887" s="309">
        <v>1261</v>
      </c>
    </row>
    <row r="888" spans="9:238" x14ac:dyDescent="0.4">
      <c r="I888" s="305">
        <v>2015</v>
      </c>
      <c r="J888" s="306">
        <v>4</v>
      </c>
      <c r="K888" s="306" t="s">
        <v>33</v>
      </c>
      <c r="L888" s="306">
        <v>45133</v>
      </c>
      <c r="M888" s="306">
        <v>41068</v>
      </c>
      <c r="N888" s="306"/>
      <c r="O888" s="306">
        <v>4065</v>
      </c>
      <c r="P888" s="306">
        <v>135</v>
      </c>
      <c r="Q888" s="306">
        <v>2</v>
      </c>
      <c r="R888" s="24"/>
      <c r="S888" s="24"/>
      <c r="T888" s="24"/>
      <c r="DJ888" s="24"/>
      <c r="DK888" s="24"/>
      <c r="DL888" s="24"/>
      <c r="DM888" s="24"/>
      <c r="EI888" s="24">
        <v>2022</v>
      </c>
      <c r="EJ888" s="24">
        <v>34</v>
      </c>
      <c r="EK888" s="24" t="s">
        <v>208</v>
      </c>
      <c r="EL888" s="24" t="s">
        <v>351</v>
      </c>
      <c r="EM888" s="24" t="s">
        <v>234</v>
      </c>
      <c r="EN888" s="24">
        <v>5</v>
      </c>
      <c r="EO888" s="24"/>
      <c r="EP888" s="24"/>
      <c r="ES888" s="24">
        <v>2016</v>
      </c>
      <c r="ET888" s="24">
        <v>26</v>
      </c>
      <c r="EU888" s="24" t="s">
        <v>33</v>
      </c>
      <c r="EV888" s="24">
        <v>33318</v>
      </c>
      <c r="FW888" s="24">
        <v>2015</v>
      </c>
      <c r="FX888" s="24">
        <v>3</v>
      </c>
      <c r="FY888" s="24" t="s">
        <v>32</v>
      </c>
      <c r="FZ888" s="24">
        <v>225</v>
      </c>
      <c r="GA888" s="24">
        <v>203</v>
      </c>
      <c r="GD888" s="24"/>
      <c r="GE888" s="24"/>
      <c r="GF888" s="24"/>
      <c r="GG888" s="24"/>
      <c r="GH888" s="24"/>
      <c r="GX888">
        <v>2015</v>
      </c>
      <c r="GY888">
        <v>3</v>
      </c>
      <c r="GZ888" t="s">
        <v>32</v>
      </c>
      <c r="HA888">
        <v>3353</v>
      </c>
      <c r="HB888">
        <v>3155</v>
      </c>
      <c r="HC888">
        <v>0</v>
      </c>
      <c r="HD888">
        <v>16</v>
      </c>
      <c r="HE888">
        <v>0</v>
      </c>
      <c r="HF888">
        <v>0</v>
      </c>
      <c r="HG888">
        <v>0</v>
      </c>
      <c r="HH888">
        <v>0</v>
      </c>
      <c r="HI888">
        <v>102</v>
      </c>
      <c r="HZ888" s="309">
        <v>2015</v>
      </c>
      <c r="IA888" s="309">
        <v>3</v>
      </c>
      <c r="IB888" s="309" t="s">
        <v>32</v>
      </c>
      <c r="IC888" s="309">
        <v>231</v>
      </c>
      <c r="ID888" s="309">
        <v>209</v>
      </c>
    </row>
    <row r="889" spans="9:238" x14ac:dyDescent="0.4">
      <c r="I889" s="305">
        <v>2015</v>
      </c>
      <c r="J889" s="306">
        <v>3</v>
      </c>
      <c r="K889" s="306" t="s">
        <v>32</v>
      </c>
      <c r="L889" s="306">
        <v>3402</v>
      </c>
      <c r="M889" s="306">
        <v>3177</v>
      </c>
      <c r="N889" s="306"/>
      <c r="O889" s="306">
        <v>225</v>
      </c>
      <c r="P889" s="306">
        <v>25</v>
      </c>
      <c r="Q889" s="306"/>
      <c r="R889" s="24"/>
      <c r="S889" s="24"/>
      <c r="T889" s="24"/>
      <c r="DJ889" s="24"/>
      <c r="DK889" s="24"/>
      <c r="DL889" s="24"/>
      <c r="DM889" s="24"/>
      <c r="EI889" s="24">
        <v>2022</v>
      </c>
      <c r="EJ889" s="24">
        <v>34</v>
      </c>
      <c r="EK889" s="24" t="s">
        <v>208</v>
      </c>
      <c r="EL889" s="24" t="s">
        <v>351</v>
      </c>
      <c r="EM889" s="24" t="s">
        <v>215</v>
      </c>
      <c r="EN889" s="24">
        <v>5</v>
      </c>
      <c r="EO889" s="24"/>
      <c r="EP889" s="24"/>
      <c r="ES889" s="24">
        <v>2016</v>
      </c>
      <c r="ET889" s="24">
        <v>25</v>
      </c>
      <c r="EU889" s="24" t="s">
        <v>32</v>
      </c>
      <c r="EV889" s="24">
        <v>2193</v>
      </c>
      <c r="FW889" s="24">
        <v>2015</v>
      </c>
      <c r="FX889" s="24">
        <v>3</v>
      </c>
      <c r="FY889" s="24" t="s">
        <v>33</v>
      </c>
      <c r="FZ889" s="24">
        <v>1632</v>
      </c>
      <c r="GA889" s="24">
        <v>1268</v>
      </c>
      <c r="GD889" s="24"/>
      <c r="GE889" s="24"/>
      <c r="GF889" s="24"/>
      <c r="GG889" s="24"/>
      <c r="GH889" s="24"/>
      <c r="GX889">
        <v>2015</v>
      </c>
      <c r="GY889">
        <v>3</v>
      </c>
      <c r="GZ889" t="s">
        <v>33</v>
      </c>
      <c r="HA889">
        <v>39023</v>
      </c>
      <c r="HB889">
        <v>36303</v>
      </c>
      <c r="HC889">
        <v>0</v>
      </c>
      <c r="HD889">
        <v>840</v>
      </c>
      <c r="HE889">
        <v>0</v>
      </c>
      <c r="HF889">
        <v>114</v>
      </c>
      <c r="HG889">
        <v>0</v>
      </c>
      <c r="HH889">
        <v>0</v>
      </c>
      <c r="HI889">
        <v>1537</v>
      </c>
      <c r="HZ889" s="309">
        <v>2015</v>
      </c>
      <c r="IA889" s="309">
        <v>3</v>
      </c>
      <c r="IB889" s="309" t="s">
        <v>33</v>
      </c>
      <c r="IC889" s="309">
        <v>1627</v>
      </c>
      <c r="ID889" s="309">
        <v>1229</v>
      </c>
    </row>
    <row r="890" spans="9:238" x14ac:dyDescent="0.4">
      <c r="I890" s="305">
        <v>2015</v>
      </c>
      <c r="J890" s="306">
        <v>3</v>
      </c>
      <c r="K890" s="306" t="s">
        <v>33</v>
      </c>
      <c r="L890" s="306">
        <v>37941</v>
      </c>
      <c r="M890" s="306">
        <v>34980</v>
      </c>
      <c r="N890" s="306"/>
      <c r="O890" s="306">
        <v>2961</v>
      </c>
      <c r="P890" s="306">
        <v>177</v>
      </c>
      <c r="Q890" s="306">
        <v>9</v>
      </c>
      <c r="R890" s="24"/>
      <c r="S890" s="24"/>
      <c r="T890" s="24"/>
      <c r="DJ890" s="24"/>
      <c r="DK890" s="24"/>
      <c r="DL890" s="24"/>
      <c r="DM890" s="24"/>
      <c r="EI890" s="24">
        <v>2022</v>
      </c>
      <c r="EJ890" s="24">
        <v>34</v>
      </c>
      <c r="EK890" s="24" t="s">
        <v>208</v>
      </c>
      <c r="EL890" s="24" t="s">
        <v>235</v>
      </c>
      <c r="EM890" s="24" t="s">
        <v>210</v>
      </c>
      <c r="EN890" s="24">
        <v>11</v>
      </c>
      <c r="EO890" s="24"/>
      <c r="EP890" s="24"/>
      <c r="ES890" s="319">
        <v>2016</v>
      </c>
      <c r="ET890" s="319">
        <v>25</v>
      </c>
      <c r="EU890" s="319" t="s">
        <v>33</v>
      </c>
      <c r="EV890" s="319">
        <v>37538</v>
      </c>
      <c r="FW890" s="24">
        <v>2015</v>
      </c>
      <c r="FX890" s="24">
        <v>2</v>
      </c>
      <c r="FY890" s="24" t="s">
        <v>32</v>
      </c>
      <c r="FZ890" s="24">
        <v>279</v>
      </c>
      <c r="GA890" s="24">
        <v>263</v>
      </c>
      <c r="GD890" s="24"/>
      <c r="GE890" s="24"/>
      <c r="GF890" s="24"/>
      <c r="GG890" s="24"/>
      <c r="GH890" s="24"/>
      <c r="GX890">
        <v>2015</v>
      </c>
      <c r="GY890">
        <v>2</v>
      </c>
      <c r="GZ890" t="s">
        <v>32</v>
      </c>
      <c r="HA890">
        <v>2695</v>
      </c>
      <c r="HB890">
        <v>2553</v>
      </c>
      <c r="HC890">
        <v>0</v>
      </c>
      <c r="HD890">
        <v>28</v>
      </c>
      <c r="HE890">
        <v>0</v>
      </c>
      <c r="HF890">
        <v>0</v>
      </c>
      <c r="HG890">
        <v>0</v>
      </c>
      <c r="HH890">
        <v>0</v>
      </c>
      <c r="HI890">
        <v>88</v>
      </c>
      <c r="HZ890" s="309">
        <v>2015</v>
      </c>
      <c r="IA890" s="309">
        <v>2</v>
      </c>
      <c r="IB890" s="309" t="s">
        <v>32</v>
      </c>
      <c r="IC890" s="309">
        <v>290</v>
      </c>
      <c r="ID890" s="309">
        <v>272</v>
      </c>
    </row>
    <row r="891" spans="9:238" x14ac:dyDescent="0.4">
      <c r="I891" s="305">
        <v>2015</v>
      </c>
      <c r="J891" s="306">
        <v>2</v>
      </c>
      <c r="K891" s="306" t="s">
        <v>32</v>
      </c>
      <c r="L891" s="306">
        <v>2597</v>
      </c>
      <c r="M891" s="306">
        <v>2457</v>
      </c>
      <c r="N891" s="306"/>
      <c r="O891" s="306">
        <v>140</v>
      </c>
      <c r="P891" s="306">
        <v>10</v>
      </c>
      <c r="Q891" s="306"/>
      <c r="R891" s="24"/>
      <c r="S891" s="24"/>
      <c r="T891" s="24"/>
      <c r="DJ891" s="24"/>
      <c r="DK891" s="24"/>
      <c r="DL891" s="24"/>
      <c r="DM891" s="24"/>
      <c r="EI891" s="24">
        <v>2022</v>
      </c>
      <c r="EJ891" s="24">
        <v>34</v>
      </c>
      <c r="EK891" s="24" t="s">
        <v>208</v>
      </c>
      <c r="EL891" s="24" t="s">
        <v>235</v>
      </c>
      <c r="EM891" s="24" t="s">
        <v>234</v>
      </c>
      <c r="EN891" s="24">
        <v>13</v>
      </c>
      <c r="EO891" s="24"/>
      <c r="EP891" s="24"/>
      <c r="ES891" s="319">
        <v>2016</v>
      </c>
      <c r="ET891" s="319">
        <v>24</v>
      </c>
      <c r="EU891" s="319" t="s">
        <v>32</v>
      </c>
      <c r="EV891" s="319">
        <v>2973</v>
      </c>
      <c r="FW891" s="24">
        <v>2015</v>
      </c>
      <c r="FX891" s="24">
        <v>2</v>
      </c>
      <c r="FY891" s="24" t="s">
        <v>33</v>
      </c>
      <c r="FZ891" s="24">
        <v>1680</v>
      </c>
      <c r="GA891" s="24">
        <v>1464</v>
      </c>
      <c r="GD891" s="24"/>
      <c r="GE891" s="24"/>
      <c r="GF891" s="24"/>
      <c r="GG891" s="24"/>
      <c r="GH891" s="24"/>
      <c r="GX891">
        <v>2015</v>
      </c>
      <c r="GY891">
        <v>2</v>
      </c>
      <c r="GZ891" t="s">
        <v>33</v>
      </c>
      <c r="HA891">
        <v>36255</v>
      </c>
      <c r="HB891">
        <v>34282</v>
      </c>
      <c r="HC891">
        <v>0</v>
      </c>
      <c r="HD891">
        <v>1035</v>
      </c>
      <c r="HE891">
        <v>0</v>
      </c>
      <c r="HF891">
        <v>36</v>
      </c>
      <c r="HG891">
        <v>0</v>
      </c>
      <c r="HH891">
        <v>0</v>
      </c>
      <c r="HI891">
        <v>1418</v>
      </c>
      <c r="HZ891" s="309">
        <v>2015</v>
      </c>
      <c r="IA891" s="309">
        <v>2</v>
      </c>
      <c r="IB891" s="309" t="s">
        <v>33</v>
      </c>
      <c r="IC891" s="309">
        <v>1721</v>
      </c>
      <c r="ID891" s="309">
        <v>1515</v>
      </c>
    </row>
    <row r="892" spans="9:238" x14ac:dyDescent="0.4">
      <c r="I892" s="305">
        <v>2015</v>
      </c>
      <c r="J892" s="306">
        <v>2</v>
      </c>
      <c r="K892" s="306" t="s">
        <v>33</v>
      </c>
      <c r="L892" s="306">
        <v>36473</v>
      </c>
      <c r="M892" s="306">
        <v>33940</v>
      </c>
      <c r="N892" s="306"/>
      <c r="O892" s="306">
        <v>2532</v>
      </c>
      <c r="P892" s="306">
        <v>161</v>
      </c>
      <c r="Q892" s="306">
        <v>12</v>
      </c>
      <c r="R892" s="24"/>
      <c r="S892" s="24"/>
      <c r="T892" s="24"/>
      <c r="DJ892" s="24"/>
      <c r="DK892" s="24"/>
      <c r="DL892" s="24"/>
      <c r="DM892" s="24"/>
      <c r="EI892" s="24">
        <v>2022</v>
      </c>
      <c r="EJ892" s="24">
        <v>34</v>
      </c>
      <c r="EK892" s="24" t="s">
        <v>208</v>
      </c>
      <c r="EL892" s="24" t="s">
        <v>235</v>
      </c>
      <c r="EM892" s="24" t="s">
        <v>215</v>
      </c>
      <c r="EN892" s="24">
        <v>6</v>
      </c>
      <c r="EO892" s="24"/>
      <c r="EP892" s="24"/>
      <c r="ES892" s="319">
        <v>2016</v>
      </c>
      <c r="ET892" s="319">
        <v>24</v>
      </c>
      <c r="EU892" s="319" t="s">
        <v>33</v>
      </c>
      <c r="EV892" s="319">
        <v>33437</v>
      </c>
      <c r="FW892" s="24">
        <v>2015</v>
      </c>
      <c r="FX892" s="24">
        <v>1</v>
      </c>
      <c r="FY892" s="24" t="s">
        <v>32</v>
      </c>
      <c r="FZ892" s="24">
        <v>252</v>
      </c>
      <c r="GA892" s="24">
        <v>199</v>
      </c>
      <c r="GD892" s="24"/>
      <c r="GE892" s="24"/>
      <c r="GF892" s="24"/>
      <c r="GG892" s="24"/>
      <c r="GH892" s="24"/>
      <c r="GX892">
        <v>2015</v>
      </c>
      <c r="GY892">
        <v>1</v>
      </c>
      <c r="GZ892" t="s">
        <v>32</v>
      </c>
      <c r="HA892">
        <v>2689</v>
      </c>
      <c r="HB892">
        <v>2494</v>
      </c>
      <c r="HC892">
        <v>0</v>
      </c>
      <c r="HD892">
        <v>16</v>
      </c>
      <c r="HE892">
        <v>0</v>
      </c>
      <c r="HF892">
        <v>8</v>
      </c>
      <c r="HG892">
        <v>0</v>
      </c>
      <c r="HH892">
        <v>0</v>
      </c>
      <c r="HI892">
        <v>104</v>
      </c>
      <c r="HZ892" s="309">
        <v>2015</v>
      </c>
      <c r="IA892" s="309">
        <v>1</v>
      </c>
      <c r="IB892" s="309" t="s">
        <v>32</v>
      </c>
      <c r="IC892" s="309">
        <v>237</v>
      </c>
      <c r="ID892" s="309">
        <v>183</v>
      </c>
    </row>
    <row r="893" spans="9:238" x14ac:dyDescent="0.4">
      <c r="I893" s="305">
        <v>2015</v>
      </c>
      <c r="J893" s="306">
        <v>1</v>
      </c>
      <c r="K893" s="306" t="s">
        <v>32</v>
      </c>
      <c r="L893" s="306">
        <v>2983</v>
      </c>
      <c r="M893" s="306">
        <v>2751</v>
      </c>
      <c r="N893" s="306"/>
      <c r="O893" s="306">
        <v>232</v>
      </c>
      <c r="P893" s="306">
        <v>36</v>
      </c>
      <c r="Q893" s="306"/>
      <c r="R893" s="24"/>
      <c r="S893" s="24"/>
      <c r="T893" s="24"/>
      <c r="DJ893" s="24"/>
      <c r="DK893" s="24"/>
      <c r="DL893" s="24"/>
      <c r="DM893" s="24"/>
      <c r="EI893" s="24">
        <v>2022</v>
      </c>
      <c r="EJ893" s="24">
        <v>34</v>
      </c>
      <c r="EK893" s="24" t="s">
        <v>208</v>
      </c>
      <c r="EL893" s="24" t="s">
        <v>209</v>
      </c>
      <c r="EM893" s="24" t="s">
        <v>210</v>
      </c>
      <c r="EN893" s="24">
        <v>5</v>
      </c>
      <c r="EO893" s="24"/>
      <c r="EP893" s="24"/>
      <c r="ES893" s="319">
        <v>2016</v>
      </c>
      <c r="ET893" s="319">
        <v>23</v>
      </c>
      <c r="EU893" s="319" t="s">
        <v>32</v>
      </c>
      <c r="EV893" s="319">
        <v>3030</v>
      </c>
      <c r="FW893" s="24">
        <v>2015</v>
      </c>
      <c r="FX893" s="24">
        <v>1</v>
      </c>
      <c r="FY893" s="24" t="s">
        <v>33</v>
      </c>
      <c r="FZ893" s="24">
        <v>1326</v>
      </c>
      <c r="GA893" s="24">
        <v>1091</v>
      </c>
      <c r="GD893" s="24"/>
      <c r="GE893" s="24"/>
      <c r="GF893" s="24"/>
      <c r="GG893" s="24"/>
      <c r="GH893" s="24"/>
      <c r="GX893">
        <v>2015</v>
      </c>
      <c r="GY893">
        <v>1</v>
      </c>
      <c r="GZ893" t="s">
        <v>33</v>
      </c>
      <c r="HA893">
        <v>34041</v>
      </c>
      <c r="HB893">
        <v>32113</v>
      </c>
      <c r="HC893">
        <v>0</v>
      </c>
      <c r="HD893">
        <v>577</v>
      </c>
      <c r="HE893">
        <v>0</v>
      </c>
      <c r="HF893">
        <v>42</v>
      </c>
      <c r="HG893">
        <v>0</v>
      </c>
      <c r="HH893">
        <v>0</v>
      </c>
      <c r="HI893">
        <v>957</v>
      </c>
      <c r="HZ893" s="24">
        <v>2015</v>
      </c>
      <c r="IA893" s="24">
        <v>1</v>
      </c>
      <c r="IB893" s="24" t="s">
        <v>33</v>
      </c>
      <c r="IC893" s="24">
        <v>1290</v>
      </c>
      <c r="ID893" s="24">
        <v>1126</v>
      </c>
    </row>
    <row r="894" spans="9:238" x14ac:dyDescent="0.4">
      <c r="I894" s="305">
        <v>2015</v>
      </c>
      <c r="J894" s="306">
        <v>1</v>
      </c>
      <c r="K894" s="306" t="s">
        <v>33</v>
      </c>
      <c r="L894" s="306">
        <v>36892</v>
      </c>
      <c r="M894" s="306">
        <v>33442</v>
      </c>
      <c r="N894" s="306"/>
      <c r="O894" s="306">
        <v>3449</v>
      </c>
      <c r="P894" s="306">
        <v>189</v>
      </c>
      <c r="Q894" s="306">
        <v>251</v>
      </c>
      <c r="R894" s="24"/>
      <c r="S894" s="24"/>
      <c r="T894" s="24"/>
      <c r="DJ894" s="24"/>
      <c r="DK894" s="24"/>
      <c r="DL894" s="24"/>
      <c r="DM894" s="24"/>
      <c r="EI894" s="24">
        <v>2022</v>
      </c>
      <c r="EJ894" s="24">
        <v>34</v>
      </c>
      <c r="EK894" s="24" t="s">
        <v>208</v>
      </c>
      <c r="EL894" s="24" t="s">
        <v>209</v>
      </c>
      <c r="EM894" s="24" t="s">
        <v>234</v>
      </c>
      <c r="EN894" s="24">
        <v>2</v>
      </c>
      <c r="EO894" s="24"/>
      <c r="EP894" s="24"/>
      <c r="ES894" s="24">
        <v>2016</v>
      </c>
      <c r="ET894" s="24">
        <v>23</v>
      </c>
      <c r="EU894" s="24" t="s">
        <v>33</v>
      </c>
      <c r="EV894" s="24">
        <v>40508</v>
      </c>
      <c r="FW894" s="24">
        <v>2014</v>
      </c>
      <c r="FX894" s="24">
        <v>52</v>
      </c>
      <c r="FY894" s="24" t="s">
        <v>32</v>
      </c>
      <c r="FZ894" s="24">
        <v>211</v>
      </c>
      <c r="GA894" s="24">
        <v>192</v>
      </c>
      <c r="GD894" s="24"/>
      <c r="GE894" s="24"/>
      <c r="GF894" s="24"/>
      <c r="GG894" s="24"/>
      <c r="GH894" s="24"/>
      <c r="GX894">
        <v>2014</v>
      </c>
      <c r="GY894">
        <v>52</v>
      </c>
      <c r="GZ894" t="s">
        <v>32</v>
      </c>
      <c r="HA894">
        <v>2724</v>
      </c>
      <c r="HB894">
        <v>2586</v>
      </c>
      <c r="HC894">
        <v>0</v>
      </c>
      <c r="HD894">
        <v>21</v>
      </c>
      <c r="HE894">
        <v>0</v>
      </c>
      <c r="HF894">
        <v>0</v>
      </c>
      <c r="HG894">
        <v>0</v>
      </c>
      <c r="HH894">
        <v>0</v>
      </c>
      <c r="HI894">
        <v>65</v>
      </c>
      <c r="HZ894" s="24">
        <v>2014</v>
      </c>
      <c r="IA894" s="24">
        <v>52</v>
      </c>
      <c r="IB894" s="24" t="s">
        <v>32</v>
      </c>
      <c r="IC894" s="24">
        <v>200</v>
      </c>
      <c r="ID894" s="24">
        <v>183</v>
      </c>
    </row>
    <row r="895" spans="9:238" x14ac:dyDescent="0.4">
      <c r="I895" s="305">
        <v>2014</v>
      </c>
      <c r="J895" s="306">
        <v>52</v>
      </c>
      <c r="K895" s="306" t="s">
        <v>32</v>
      </c>
      <c r="L895" s="306">
        <v>2875</v>
      </c>
      <c r="M895" s="306">
        <v>2700</v>
      </c>
      <c r="N895" s="306"/>
      <c r="O895" s="306">
        <v>175</v>
      </c>
      <c r="P895" s="306">
        <v>20</v>
      </c>
      <c r="Q895" s="306"/>
      <c r="R895" s="24"/>
      <c r="S895" s="24"/>
      <c r="T895" s="24"/>
      <c r="DJ895" s="24"/>
      <c r="DK895" s="24"/>
      <c r="DL895" s="24"/>
      <c r="DM895" s="24"/>
      <c r="EI895" s="24">
        <v>2022</v>
      </c>
      <c r="EJ895" s="24">
        <v>34</v>
      </c>
      <c r="EK895" s="24" t="s">
        <v>208</v>
      </c>
      <c r="EL895" s="24" t="s">
        <v>245</v>
      </c>
      <c r="EM895" s="24" t="s">
        <v>210</v>
      </c>
      <c r="EN895" s="24">
        <v>4</v>
      </c>
      <c r="EO895" s="24"/>
      <c r="EP895" s="24"/>
      <c r="ES895" s="24">
        <v>2016</v>
      </c>
      <c r="ET895" s="24">
        <v>22</v>
      </c>
      <c r="EU895" s="24" t="s">
        <v>32</v>
      </c>
      <c r="EV895" s="24">
        <v>2665</v>
      </c>
      <c r="FW895" s="24">
        <v>2014</v>
      </c>
      <c r="FX895" s="24">
        <v>52</v>
      </c>
      <c r="FY895" s="24" t="s">
        <v>33</v>
      </c>
      <c r="FZ895" s="24">
        <v>2338</v>
      </c>
      <c r="GA895" s="24">
        <v>1917</v>
      </c>
      <c r="GD895" s="24"/>
      <c r="GE895" s="24"/>
      <c r="GF895" s="24"/>
      <c r="GG895" s="24"/>
      <c r="GH895" s="24"/>
      <c r="GX895">
        <v>2014</v>
      </c>
      <c r="GY895">
        <v>52</v>
      </c>
      <c r="GZ895" t="s">
        <v>33</v>
      </c>
      <c r="HA895">
        <v>32505</v>
      </c>
      <c r="HB895">
        <v>28926</v>
      </c>
      <c r="HC895">
        <v>0</v>
      </c>
      <c r="HD895">
        <v>1491</v>
      </c>
      <c r="HE895">
        <v>0</v>
      </c>
      <c r="HF895">
        <v>341</v>
      </c>
      <c r="HG895">
        <v>0</v>
      </c>
      <c r="HH895">
        <v>0</v>
      </c>
      <c r="HI895">
        <v>2074</v>
      </c>
      <c r="HZ895" s="310">
        <v>2014</v>
      </c>
      <c r="IA895" s="310">
        <v>52</v>
      </c>
      <c r="IB895" s="310" t="s">
        <v>33</v>
      </c>
      <c r="IC895" s="310">
        <v>2238</v>
      </c>
      <c r="ID895" s="310">
        <v>1787</v>
      </c>
    </row>
    <row r="896" spans="9:238" x14ac:dyDescent="0.4">
      <c r="I896" s="305">
        <v>2014</v>
      </c>
      <c r="J896" s="306">
        <v>52</v>
      </c>
      <c r="K896" s="306" t="s">
        <v>33</v>
      </c>
      <c r="L896" s="306">
        <v>31342</v>
      </c>
      <c r="M896" s="306">
        <v>27913</v>
      </c>
      <c r="N896" s="306"/>
      <c r="O896" s="306">
        <v>3428</v>
      </c>
      <c r="P896" s="306">
        <v>186</v>
      </c>
      <c r="Q896" s="306">
        <v>8</v>
      </c>
      <c r="R896" s="24"/>
      <c r="S896" s="24"/>
      <c r="T896" s="24"/>
      <c r="DJ896" s="24"/>
      <c r="DK896" s="24"/>
      <c r="DL896" s="24"/>
      <c r="DM896" s="24"/>
      <c r="EI896" s="24">
        <v>2022</v>
      </c>
      <c r="EJ896" s="24">
        <v>34</v>
      </c>
      <c r="EK896" s="24" t="s">
        <v>33</v>
      </c>
      <c r="EL896" s="24" t="s">
        <v>240</v>
      </c>
      <c r="EM896" s="24" t="s">
        <v>215</v>
      </c>
      <c r="EN896" s="24">
        <v>1</v>
      </c>
      <c r="EO896" s="24"/>
      <c r="EP896" s="24"/>
      <c r="ES896" s="24">
        <v>2016</v>
      </c>
      <c r="ET896" s="24">
        <v>22</v>
      </c>
      <c r="EU896" s="24" t="s">
        <v>33</v>
      </c>
      <c r="EV896" s="24">
        <v>40681</v>
      </c>
      <c r="FW896" s="24">
        <v>2014</v>
      </c>
      <c r="FX896" s="24">
        <v>51</v>
      </c>
      <c r="FY896" s="24" t="s">
        <v>32</v>
      </c>
      <c r="FZ896" s="24">
        <v>188</v>
      </c>
      <c r="GA896" s="24">
        <v>177</v>
      </c>
      <c r="GD896" s="24"/>
      <c r="GE896" s="24"/>
      <c r="GF896" s="24"/>
      <c r="GG896" s="24"/>
      <c r="GH896" s="24"/>
      <c r="GX896">
        <v>2014</v>
      </c>
      <c r="GY896">
        <v>51</v>
      </c>
      <c r="GZ896" t="s">
        <v>32</v>
      </c>
      <c r="HA896">
        <v>1865</v>
      </c>
      <c r="HB896">
        <v>1764</v>
      </c>
      <c r="HC896">
        <v>0</v>
      </c>
      <c r="HD896">
        <v>8</v>
      </c>
      <c r="HE896">
        <v>0</v>
      </c>
      <c r="HF896">
        <v>0</v>
      </c>
      <c r="HG896">
        <v>0</v>
      </c>
      <c r="HH896">
        <v>0</v>
      </c>
      <c r="HI896">
        <v>75</v>
      </c>
      <c r="HZ896" s="310">
        <v>2014</v>
      </c>
      <c r="IA896" s="310">
        <v>51</v>
      </c>
      <c r="IB896" s="310" t="s">
        <v>32</v>
      </c>
      <c r="IC896" s="310">
        <v>204</v>
      </c>
      <c r="ID896" s="310">
        <v>192</v>
      </c>
    </row>
    <row r="897" spans="9:238" x14ac:dyDescent="0.4">
      <c r="I897" s="305">
        <v>2014</v>
      </c>
      <c r="J897" s="306">
        <v>51</v>
      </c>
      <c r="K897" s="306" t="s">
        <v>32</v>
      </c>
      <c r="L897" s="306">
        <v>1420</v>
      </c>
      <c r="M897" s="306">
        <v>1330</v>
      </c>
      <c r="N897" s="306"/>
      <c r="O897" s="306">
        <v>90</v>
      </c>
      <c r="P897" s="306">
        <v>14</v>
      </c>
      <c r="Q897" s="306"/>
      <c r="R897" s="24"/>
      <c r="S897" s="24"/>
      <c r="T897" s="24"/>
      <c r="DJ897" s="24"/>
      <c r="DK897" s="24"/>
      <c r="DL897" s="24"/>
      <c r="DM897" s="24"/>
      <c r="EI897" s="24">
        <v>2022</v>
      </c>
      <c r="EJ897" s="24">
        <v>34</v>
      </c>
      <c r="EK897" s="24" t="s">
        <v>33</v>
      </c>
      <c r="EL897" s="24" t="s">
        <v>242</v>
      </c>
      <c r="EM897" s="24" t="s">
        <v>210</v>
      </c>
      <c r="EN897" s="24">
        <v>3</v>
      </c>
      <c r="EO897" s="24"/>
      <c r="EP897" s="24"/>
      <c r="ES897" s="320">
        <v>2016</v>
      </c>
      <c r="ET897" s="320">
        <v>21</v>
      </c>
      <c r="EU897" s="320" t="s">
        <v>32</v>
      </c>
      <c r="EV897" s="320">
        <v>1835</v>
      </c>
      <c r="FW897" s="24">
        <v>2014</v>
      </c>
      <c r="FX897" s="24">
        <v>51</v>
      </c>
      <c r="FY897" s="24" t="s">
        <v>33</v>
      </c>
      <c r="FZ897" s="24">
        <v>2028</v>
      </c>
      <c r="GA897" s="24">
        <v>1492</v>
      </c>
      <c r="GD897" s="24"/>
      <c r="GE897" s="24"/>
      <c r="GF897" s="24"/>
      <c r="GG897" s="24"/>
      <c r="GH897" s="24"/>
      <c r="GX897">
        <v>2014</v>
      </c>
      <c r="GY897">
        <v>51</v>
      </c>
      <c r="GZ897" t="s">
        <v>33</v>
      </c>
      <c r="HA897">
        <v>24529</v>
      </c>
      <c r="HB897">
        <v>22692</v>
      </c>
      <c r="HC897">
        <v>0</v>
      </c>
      <c r="HD897">
        <v>930</v>
      </c>
      <c r="HE897">
        <v>1</v>
      </c>
      <c r="HF897">
        <v>3</v>
      </c>
      <c r="HG897">
        <v>0</v>
      </c>
      <c r="HH897">
        <v>0</v>
      </c>
      <c r="HI897">
        <v>1412</v>
      </c>
      <c r="HZ897" s="24">
        <v>2014</v>
      </c>
      <c r="IA897" s="24">
        <v>51</v>
      </c>
      <c r="IB897" s="24" t="s">
        <v>33</v>
      </c>
      <c r="IC897" s="24">
        <v>2072</v>
      </c>
      <c r="ID897" s="24">
        <v>1579</v>
      </c>
    </row>
    <row r="898" spans="9:238" x14ac:dyDescent="0.4">
      <c r="I898" s="305">
        <v>2014</v>
      </c>
      <c r="J898" s="306">
        <v>51</v>
      </c>
      <c r="K898" s="306" t="s">
        <v>33</v>
      </c>
      <c r="L898" s="306">
        <v>23218</v>
      </c>
      <c r="M898" s="306">
        <v>20621</v>
      </c>
      <c r="N898" s="306"/>
      <c r="O898" s="306">
        <v>2597</v>
      </c>
      <c r="P898" s="306">
        <v>181</v>
      </c>
      <c r="Q898" s="306">
        <v>10</v>
      </c>
      <c r="R898" s="24"/>
      <c r="S898" s="24"/>
      <c r="T898" s="24"/>
      <c r="DJ898" s="24"/>
      <c r="DK898" s="24"/>
      <c r="DL898" s="24"/>
      <c r="DM898" s="24"/>
      <c r="EI898" s="24">
        <v>2022</v>
      </c>
      <c r="EJ898" s="24">
        <v>34</v>
      </c>
      <c r="EK898" s="24" t="s">
        <v>33</v>
      </c>
      <c r="EL898" s="24" t="s">
        <v>233</v>
      </c>
      <c r="EM898" s="24" t="s">
        <v>215</v>
      </c>
      <c r="EN898" s="24">
        <v>3</v>
      </c>
      <c r="EO898" s="24"/>
      <c r="EP898" s="24"/>
      <c r="ES898" s="320">
        <v>2016</v>
      </c>
      <c r="ET898" s="320">
        <v>21</v>
      </c>
      <c r="EU898" s="320" t="s">
        <v>33</v>
      </c>
      <c r="EV898" s="320">
        <v>35318</v>
      </c>
      <c r="FW898" s="24">
        <v>2014</v>
      </c>
      <c r="FX898" s="24">
        <v>50</v>
      </c>
      <c r="FY898" s="24" t="s">
        <v>32</v>
      </c>
      <c r="FZ898" s="24">
        <v>302</v>
      </c>
      <c r="GA898" s="24">
        <v>234</v>
      </c>
      <c r="GD898" s="24"/>
      <c r="GE898" s="24"/>
      <c r="GF898" s="24"/>
      <c r="GG898" s="24"/>
      <c r="GH898" s="24"/>
      <c r="GX898">
        <v>2014</v>
      </c>
      <c r="GY898">
        <v>50</v>
      </c>
      <c r="GZ898" t="s">
        <v>32</v>
      </c>
      <c r="HA898">
        <v>2177</v>
      </c>
      <c r="HB898">
        <v>2005</v>
      </c>
      <c r="HC898">
        <v>0</v>
      </c>
      <c r="HD898">
        <v>28</v>
      </c>
      <c r="HE898">
        <v>0</v>
      </c>
      <c r="HF898">
        <v>0</v>
      </c>
      <c r="HG898">
        <v>0</v>
      </c>
      <c r="HH898">
        <v>0</v>
      </c>
      <c r="HI898">
        <v>135</v>
      </c>
      <c r="HZ898" s="24">
        <v>2014</v>
      </c>
      <c r="IA898" s="24">
        <v>50</v>
      </c>
      <c r="IB898" s="24" t="s">
        <v>32</v>
      </c>
      <c r="IC898" s="24">
        <v>299</v>
      </c>
      <c r="ID898" s="24">
        <v>234</v>
      </c>
    </row>
    <row r="899" spans="9:238" x14ac:dyDescent="0.4">
      <c r="I899" s="305">
        <v>2014</v>
      </c>
      <c r="J899" s="306">
        <v>50</v>
      </c>
      <c r="K899" s="306" t="s">
        <v>32</v>
      </c>
      <c r="L899" s="306">
        <v>2228</v>
      </c>
      <c r="M899" s="306">
        <v>2067</v>
      </c>
      <c r="N899" s="306"/>
      <c r="O899" s="306">
        <v>161</v>
      </c>
      <c r="P899" s="306">
        <v>58</v>
      </c>
      <c r="Q899" s="306"/>
      <c r="R899" s="24"/>
      <c r="S899" s="24"/>
      <c r="T899" s="24"/>
      <c r="DJ899" s="24"/>
      <c r="DK899" s="24"/>
      <c r="DL899" s="24"/>
      <c r="DM899" s="24"/>
      <c r="EI899" s="24">
        <v>2022</v>
      </c>
      <c r="EJ899" s="24">
        <v>34</v>
      </c>
      <c r="EK899" s="24" t="s">
        <v>33</v>
      </c>
      <c r="EL899" s="24" t="s">
        <v>244</v>
      </c>
      <c r="EM899" s="24" t="s">
        <v>210</v>
      </c>
      <c r="EN899" s="24">
        <v>16</v>
      </c>
      <c r="EO899" s="24"/>
      <c r="EP899" s="24"/>
      <c r="ES899" s="320">
        <v>2016</v>
      </c>
      <c r="ET899" s="320">
        <v>20</v>
      </c>
      <c r="EU899" s="320" t="s">
        <v>32</v>
      </c>
      <c r="EV899" s="320">
        <v>2946</v>
      </c>
      <c r="FW899" s="24">
        <v>2014</v>
      </c>
      <c r="FX899" s="24">
        <v>50</v>
      </c>
      <c r="FY899" s="24" t="s">
        <v>33</v>
      </c>
      <c r="FZ899" s="24">
        <v>1864</v>
      </c>
      <c r="GA899" s="24">
        <v>1384</v>
      </c>
      <c r="GD899" s="24"/>
      <c r="GE899" s="24"/>
      <c r="GF899" s="24"/>
      <c r="GG899" s="24"/>
      <c r="GH899" s="24"/>
      <c r="GX899">
        <v>2014</v>
      </c>
      <c r="GY899">
        <v>50</v>
      </c>
      <c r="GZ899" t="s">
        <v>33</v>
      </c>
      <c r="HA899">
        <v>33911</v>
      </c>
      <c r="HB899">
        <v>31357</v>
      </c>
      <c r="HC899">
        <v>0</v>
      </c>
      <c r="HD899">
        <v>973</v>
      </c>
      <c r="HE899">
        <v>0</v>
      </c>
      <c r="HF899">
        <v>101</v>
      </c>
      <c r="HG899">
        <v>0</v>
      </c>
      <c r="HH899">
        <v>0</v>
      </c>
      <c r="HI899">
        <v>1600</v>
      </c>
      <c r="HZ899" s="24">
        <v>2014</v>
      </c>
      <c r="IA899" s="24">
        <v>50</v>
      </c>
      <c r="IB899" s="24" t="s">
        <v>33</v>
      </c>
      <c r="IC899" s="24">
        <v>1917</v>
      </c>
      <c r="ID899" s="24">
        <v>1407</v>
      </c>
    </row>
    <row r="900" spans="9:238" x14ac:dyDescent="0.4">
      <c r="I900" s="305">
        <v>2014</v>
      </c>
      <c r="J900" s="306">
        <v>50</v>
      </c>
      <c r="K900" s="306" t="s">
        <v>33</v>
      </c>
      <c r="L900" s="306">
        <v>34345</v>
      </c>
      <c r="M900" s="306">
        <v>31107</v>
      </c>
      <c r="N900" s="306"/>
      <c r="O900" s="306">
        <v>3238</v>
      </c>
      <c r="P900" s="306">
        <v>262</v>
      </c>
      <c r="Q900" s="306">
        <v>9</v>
      </c>
      <c r="R900" s="24"/>
      <c r="S900" s="24"/>
      <c r="T900" s="24"/>
      <c r="DJ900" s="24"/>
      <c r="DK900" s="24"/>
      <c r="DL900" s="24"/>
      <c r="DM900" s="24"/>
      <c r="EI900" s="24">
        <v>2022</v>
      </c>
      <c r="EJ900" s="24">
        <v>34</v>
      </c>
      <c r="EK900" s="24" t="s">
        <v>33</v>
      </c>
      <c r="EL900" s="24" t="s">
        <v>244</v>
      </c>
      <c r="EM900" s="24" t="s">
        <v>234</v>
      </c>
      <c r="EN900" s="24">
        <v>1</v>
      </c>
      <c r="EO900" s="24"/>
      <c r="EP900" s="24"/>
      <c r="ES900" s="320">
        <v>2016</v>
      </c>
      <c r="ET900" s="320">
        <v>20</v>
      </c>
      <c r="EU900" s="320" t="s">
        <v>33</v>
      </c>
      <c r="EV900" s="320">
        <v>37678</v>
      </c>
      <c r="FW900" s="24">
        <v>2014</v>
      </c>
      <c r="FX900" s="24">
        <v>49</v>
      </c>
      <c r="FY900" s="24" t="s">
        <v>32</v>
      </c>
      <c r="FZ900" s="24">
        <v>189</v>
      </c>
      <c r="GA900" s="24">
        <v>176</v>
      </c>
      <c r="GD900" s="24"/>
      <c r="GE900" s="24"/>
      <c r="GF900" s="24"/>
      <c r="GG900" s="24"/>
      <c r="GH900" s="24"/>
      <c r="GX900">
        <v>2014</v>
      </c>
      <c r="GY900">
        <v>49</v>
      </c>
      <c r="GZ900" t="s">
        <v>32</v>
      </c>
      <c r="HA900">
        <v>2401</v>
      </c>
      <c r="HB900">
        <v>2264</v>
      </c>
      <c r="HC900">
        <v>0</v>
      </c>
      <c r="HD900">
        <v>32</v>
      </c>
      <c r="HE900">
        <v>0</v>
      </c>
      <c r="HF900">
        <v>2</v>
      </c>
      <c r="HG900">
        <v>0</v>
      </c>
      <c r="HH900">
        <v>0</v>
      </c>
      <c r="HI900">
        <v>85</v>
      </c>
      <c r="HZ900" s="24">
        <v>2014</v>
      </c>
      <c r="IA900" s="24">
        <v>49</v>
      </c>
      <c r="IB900" s="24" t="s">
        <v>32</v>
      </c>
      <c r="IC900" s="24">
        <v>201</v>
      </c>
      <c r="ID900" s="24">
        <v>182</v>
      </c>
    </row>
    <row r="901" spans="9:238" x14ac:dyDescent="0.4">
      <c r="I901" s="305">
        <v>2014</v>
      </c>
      <c r="J901" s="306">
        <v>49</v>
      </c>
      <c r="K901" s="306" t="s">
        <v>32</v>
      </c>
      <c r="L901" s="306">
        <v>2476</v>
      </c>
      <c r="M901" s="306">
        <v>2356</v>
      </c>
      <c r="N901" s="306"/>
      <c r="O901" s="306">
        <v>120</v>
      </c>
      <c r="P901" s="306">
        <v>17</v>
      </c>
      <c r="Q901" s="306"/>
      <c r="R901" s="24"/>
      <c r="S901" s="24"/>
      <c r="T901" s="24"/>
      <c r="DJ901" s="24"/>
      <c r="DK901" s="24"/>
      <c r="DL901" s="24"/>
      <c r="DM901" s="24"/>
      <c r="EI901" s="24">
        <v>2022</v>
      </c>
      <c r="EJ901" s="24">
        <v>34</v>
      </c>
      <c r="EK901" s="24" t="s">
        <v>33</v>
      </c>
      <c r="EL901" s="24" t="s">
        <v>235</v>
      </c>
      <c r="EM901" s="24" t="s">
        <v>210</v>
      </c>
      <c r="EN901" s="24">
        <v>2</v>
      </c>
      <c r="EO901" s="24"/>
      <c r="EP901" s="24"/>
      <c r="ES901" s="320">
        <v>2016</v>
      </c>
      <c r="ET901" s="320">
        <v>19</v>
      </c>
      <c r="EU901" s="320" t="s">
        <v>32</v>
      </c>
      <c r="EV901" s="320">
        <v>2140</v>
      </c>
      <c r="FW901" s="24">
        <v>2014</v>
      </c>
      <c r="FX901" s="24">
        <v>49</v>
      </c>
      <c r="FY901" s="24" t="s">
        <v>33</v>
      </c>
      <c r="FZ901" s="24">
        <v>1618</v>
      </c>
      <c r="GA901" s="24">
        <v>1138</v>
      </c>
      <c r="GD901" s="24"/>
      <c r="GE901" s="24"/>
      <c r="GF901" s="24"/>
      <c r="GG901" s="24"/>
      <c r="GH901" s="24"/>
      <c r="GX901">
        <v>2014</v>
      </c>
      <c r="GY901">
        <v>49</v>
      </c>
      <c r="GZ901" t="s">
        <v>33</v>
      </c>
      <c r="HA901">
        <v>34745</v>
      </c>
      <c r="HB901">
        <v>31954</v>
      </c>
      <c r="HC901">
        <v>0</v>
      </c>
      <c r="HD901">
        <v>980</v>
      </c>
      <c r="HE901">
        <v>0</v>
      </c>
      <c r="HF901">
        <v>221</v>
      </c>
      <c r="HG901">
        <v>0</v>
      </c>
      <c r="HH901">
        <v>0</v>
      </c>
      <c r="HI901">
        <v>1784</v>
      </c>
      <c r="HZ901" s="311">
        <v>2014</v>
      </c>
      <c r="IA901" s="311">
        <v>49</v>
      </c>
      <c r="IB901" s="311" t="s">
        <v>33</v>
      </c>
      <c r="IC901" s="311">
        <v>1641</v>
      </c>
      <c r="ID901" s="311">
        <v>1200</v>
      </c>
    </row>
    <row r="902" spans="9:238" x14ac:dyDescent="0.4">
      <c r="I902" s="305">
        <v>2014</v>
      </c>
      <c r="J902" s="306">
        <v>49</v>
      </c>
      <c r="K902" s="306" t="s">
        <v>33</v>
      </c>
      <c r="L902" s="306">
        <v>35181</v>
      </c>
      <c r="M902" s="306">
        <v>31698</v>
      </c>
      <c r="N902" s="306"/>
      <c r="O902" s="306">
        <v>3483</v>
      </c>
      <c r="P902" s="306">
        <v>158</v>
      </c>
      <c r="Q902" s="306">
        <v>12</v>
      </c>
      <c r="R902" s="24"/>
      <c r="S902" s="24"/>
      <c r="T902" s="24"/>
      <c r="DJ902" s="24"/>
      <c r="DK902" s="24"/>
      <c r="DL902" s="24"/>
      <c r="DM902" s="24"/>
      <c r="EI902" s="24">
        <v>2022</v>
      </c>
      <c r="EJ902" s="24">
        <v>34</v>
      </c>
      <c r="EK902" s="24" t="s">
        <v>33</v>
      </c>
      <c r="EL902" s="24" t="s">
        <v>238</v>
      </c>
      <c r="EM902" s="24" t="s">
        <v>210</v>
      </c>
      <c r="EN902" s="24">
        <v>2</v>
      </c>
      <c r="EO902" s="24"/>
      <c r="EP902" s="24"/>
      <c r="ES902" s="320">
        <v>2016</v>
      </c>
      <c r="ET902" s="320">
        <v>19</v>
      </c>
      <c r="EU902" s="320" t="s">
        <v>33</v>
      </c>
      <c r="EV902" s="320">
        <v>45455</v>
      </c>
      <c r="FW902" s="24">
        <v>2014</v>
      </c>
      <c r="FX902" s="24">
        <v>48</v>
      </c>
      <c r="FY902" s="24" t="s">
        <v>32</v>
      </c>
      <c r="FZ902" s="24">
        <v>459</v>
      </c>
      <c r="GA902" s="24">
        <v>368</v>
      </c>
      <c r="GD902" s="24"/>
      <c r="GE902" s="24"/>
      <c r="GF902" s="24"/>
      <c r="GG902" s="24"/>
      <c r="GH902" s="24"/>
      <c r="GX902">
        <v>2014</v>
      </c>
      <c r="GY902">
        <v>48</v>
      </c>
      <c r="GZ902" t="s">
        <v>32</v>
      </c>
      <c r="HA902">
        <v>5180</v>
      </c>
      <c r="HB902">
        <v>4762</v>
      </c>
      <c r="HC902">
        <v>0</v>
      </c>
      <c r="HD902">
        <v>62</v>
      </c>
      <c r="HE902">
        <v>0</v>
      </c>
      <c r="HF902">
        <v>8</v>
      </c>
      <c r="HG902">
        <v>0</v>
      </c>
      <c r="HH902">
        <v>0</v>
      </c>
      <c r="HI902">
        <v>268</v>
      </c>
      <c r="HZ902" s="311">
        <v>2014</v>
      </c>
      <c r="IA902" s="311">
        <v>48</v>
      </c>
      <c r="IB902" s="311" t="s">
        <v>32</v>
      </c>
      <c r="IC902" s="311">
        <v>435</v>
      </c>
      <c r="ID902" s="311">
        <v>344</v>
      </c>
    </row>
    <row r="903" spans="9:238" x14ac:dyDescent="0.4">
      <c r="I903" s="305">
        <v>2014</v>
      </c>
      <c r="J903" s="306">
        <v>48</v>
      </c>
      <c r="K903" s="306" t="s">
        <v>32</v>
      </c>
      <c r="L903" s="306">
        <v>5810</v>
      </c>
      <c r="M903" s="306">
        <v>5380</v>
      </c>
      <c r="N903" s="306"/>
      <c r="O903" s="306">
        <v>430</v>
      </c>
      <c r="P903" s="306">
        <v>76</v>
      </c>
      <c r="Q903" s="306"/>
      <c r="R903" s="24"/>
      <c r="S903" s="24"/>
      <c r="T903" s="24"/>
      <c r="DJ903" s="24"/>
      <c r="DK903" s="24"/>
      <c r="DL903" s="24"/>
      <c r="DM903" s="24"/>
      <c r="EI903" s="24">
        <v>2022</v>
      </c>
      <c r="EJ903" s="24">
        <v>34</v>
      </c>
      <c r="EK903" s="24" t="s">
        <v>33</v>
      </c>
      <c r="EL903" s="24" t="s">
        <v>247</v>
      </c>
      <c r="EM903" s="24" t="s">
        <v>215</v>
      </c>
      <c r="EN903" s="24">
        <v>1</v>
      </c>
      <c r="EO903" s="24"/>
      <c r="EP903" s="24"/>
      <c r="ES903" s="24">
        <v>2016</v>
      </c>
      <c r="ET903" s="24">
        <v>18</v>
      </c>
      <c r="EU903" s="24" t="s">
        <v>32</v>
      </c>
      <c r="EV903" s="24">
        <v>2273</v>
      </c>
      <c r="FW903" s="24">
        <v>2014</v>
      </c>
      <c r="FX903" s="24">
        <v>48</v>
      </c>
      <c r="FY903" s="24" t="s">
        <v>33</v>
      </c>
      <c r="FZ903" s="24">
        <v>1704</v>
      </c>
      <c r="GA903" s="24">
        <v>1159</v>
      </c>
      <c r="GD903" s="24"/>
      <c r="GE903" s="24"/>
      <c r="GF903" s="24"/>
      <c r="GG903" s="24"/>
      <c r="GH903" s="24"/>
      <c r="GX903">
        <v>2014</v>
      </c>
      <c r="GY903">
        <v>48</v>
      </c>
      <c r="GZ903" t="s">
        <v>33</v>
      </c>
      <c r="HA903">
        <v>50827</v>
      </c>
      <c r="HB903">
        <v>46564</v>
      </c>
      <c r="HC903">
        <v>0</v>
      </c>
      <c r="HD903">
        <v>1082</v>
      </c>
      <c r="HE903">
        <v>0</v>
      </c>
      <c r="HF903">
        <v>473</v>
      </c>
      <c r="HG903">
        <v>0</v>
      </c>
      <c r="HH903">
        <v>0</v>
      </c>
      <c r="HI903">
        <v>2055</v>
      </c>
      <c r="HZ903" s="24">
        <v>2014</v>
      </c>
      <c r="IA903" s="24">
        <v>48</v>
      </c>
      <c r="IB903" s="24" t="s">
        <v>33</v>
      </c>
      <c r="IC903" s="24">
        <v>1706</v>
      </c>
      <c r="ID903" s="24">
        <v>1168</v>
      </c>
    </row>
    <row r="904" spans="9:238" x14ac:dyDescent="0.4">
      <c r="I904" s="305">
        <v>2014</v>
      </c>
      <c r="J904" s="306">
        <v>48</v>
      </c>
      <c r="K904" s="306" t="s">
        <v>33</v>
      </c>
      <c r="L904" s="306">
        <v>56628</v>
      </c>
      <c r="M904" s="306">
        <v>51197</v>
      </c>
      <c r="N904" s="306"/>
      <c r="O904" s="306">
        <v>5431</v>
      </c>
      <c r="P904" s="306">
        <v>427</v>
      </c>
      <c r="Q904" s="306">
        <v>35</v>
      </c>
      <c r="R904" s="24"/>
      <c r="S904" s="24"/>
      <c r="T904" s="24"/>
      <c r="DJ904" s="24"/>
      <c r="DK904" s="24"/>
      <c r="DL904" s="24"/>
      <c r="DM904" s="24"/>
      <c r="EI904" s="24">
        <v>2022</v>
      </c>
      <c r="EJ904" s="24">
        <v>34</v>
      </c>
      <c r="EK904" s="24" t="s">
        <v>237</v>
      </c>
      <c r="EL904" s="24" t="s">
        <v>555</v>
      </c>
      <c r="EM904" s="24" t="s">
        <v>210</v>
      </c>
      <c r="EN904" s="24">
        <v>3</v>
      </c>
      <c r="EO904" s="24"/>
      <c r="EP904" s="24"/>
      <c r="ES904" s="24">
        <v>2016</v>
      </c>
      <c r="ET904" s="24">
        <v>18</v>
      </c>
      <c r="EU904" s="24" t="s">
        <v>33</v>
      </c>
      <c r="EV904" s="24">
        <v>38795</v>
      </c>
      <c r="FW904" s="24">
        <v>2014</v>
      </c>
      <c r="FX904" s="24">
        <v>47</v>
      </c>
      <c r="FY904" s="24" t="s">
        <v>32</v>
      </c>
      <c r="FZ904" s="24">
        <v>131</v>
      </c>
      <c r="GA904" s="24">
        <v>124</v>
      </c>
      <c r="GD904" s="24"/>
      <c r="GE904" s="24"/>
      <c r="GF904" s="24"/>
      <c r="GG904" s="24"/>
      <c r="GH904" s="24"/>
      <c r="GX904">
        <v>2014</v>
      </c>
      <c r="GY904">
        <v>47</v>
      </c>
      <c r="GZ904" t="s">
        <v>32</v>
      </c>
      <c r="HA904">
        <v>2217</v>
      </c>
      <c r="HB904">
        <v>2071</v>
      </c>
      <c r="HC904">
        <v>0</v>
      </c>
      <c r="HD904">
        <v>79</v>
      </c>
      <c r="HE904">
        <v>0</v>
      </c>
      <c r="HF904">
        <v>2</v>
      </c>
      <c r="HG904">
        <v>0</v>
      </c>
      <c r="HH904">
        <v>0</v>
      </c>
      <c r="HI904">
        <v>89</v>
      </c>
      <c r="HZ904" s="24">
        <v>2014</v>
      </c>
      <c r="IA904" s="24">
        <v>47</v>
      </c>
      <c r="IB904" s="24" t="s">
        <v>32</v>
      </c>
      <c r="IC904" s="24">
        <v>145</v>
      </c>
      <c r="ID904" s="24">
        <v>134</v>
      </c>
    </row>
    <row r="905" spans="9:238" x14ac:dyDescent="0.4">
      <c r="I905" s="305">
        <v>2014</v>
      </c>
      <c r="J905" s="306">
        <v>47</v>
      </c>
      <c r="K905" s="306" t="s">
        <v>32</v>
      </c>
      <c r="L905" s="306">
        <v>1521</v>
      </c>
      <c r="M905" s="306">
        <v>1407</v>
      </c>
      <c r="N905" s="306"/>
      <c r="O905" s="306">
        <v>114</v>
      </c>
      <c r="P905" s="306">
        <v>3</v>
      </c>
      <c r="Q905" s="306"/>
      <c r="R905" s="24"/>
      <c r="S905" s="24"/>
      <c r="T905" s="24"/>
      <c r="DJ905" s="24"/>
      <c r="DK905" s="24"/>
      <c r="DL905" s="24"/>
      <c r="DM905" s="24"/>
      <c r="EI905" s="24">
        <v>2022</v>
      </c>
      <c r="EJ905" s="24">
        <v>34</v>
      </c>
      <c r="EK905" s="24" t="s">
        <v>237</v>
      </c>
      <c r="EL905" s="24" t="s">
        <v>555</v>
      </c>
      <c r="EM905" s="24" t="s">
        <v>234</v>
      </c>
      <c r="EN905" s="24">
        <v>1</v>
      </c>
      <c r="EO905" s="24"/>
      <c r="EP905" s="24"/>
      <c r="ES905" s="24">
        <v>2016</v>
      </c>
      <c r="ET905" s="24">
        <v>17</v>
      </c>
      <c r="EU905" s="24" t="s">
        <v>32</v>
      </c>
      <c r="EV905" s="24">
        <v>2475</v>
      </c>
      <c r="FW905" s="24">
        <v>2014</v>
      </c>
      <c r="FX905" s="24">
        <v>47</v>
      </c>
      <c r="FY905" s="24" t="s">
        <v>33</v>
      </c>
      <c r="FZ905" s="24">
        <v>1215</v>
      </c>
      <c r="GA905" s="24">
        <v>1100</v>
      </c>
      <c r="GD905" s="24"/>
      <c r="GE905" s="24"/>
      <c r="GF905" s="24"/>
      <c r="GG905" s="24"/>
      <c r="GH905" s="24"/>
      <c r="GX905">
        <v>2014</v>
      </c>
      <c r="GY905">
        <v>47</v>
      </c>
      <c r="GZ905" t="s">
        <v>33</v>
      </c>
      <c r="HA905">
        <v>30054</v>
      </c>
      <c r="HB905">
        <v>28093</v>
      </c>
      <c r="HC905">
        <v>0</v>
      </c>
      <c r="HD905">
        <v>1059</v>
      </c>
      <c r="HE905">
        <v>0</v>
      </c>
      <c r="HF905">
        <v>15</v>
      </c>
      <c r="HG905">
        <v>0</v>
      </c>
      <c r="HH905">
        <v>0</v>
      </c>
      <c r="HI905">
        <v>1204</v>
      </c>
      <c r="HZ905" s="24">
        <v>2014</v>
      </c>
      <c r="IA905" s="24">
        <v>47</v>
      </c>
      <c r="IB905" s="24" t="s">
        <v>33</v>
      </c>
      <c r="IC905" s="24">
        <v>1178</v>
      </c>
      <c r="ID905" s="24">
        <v>1093</v>
      </c>
    </row>
    <row r="906" spans="9:238" x14ac:dyDescent="0.4">
      <c r="I906" s="305">
        <v>2014</v>
      </c>
      <c r="J906" s="306">
        <v>47</v>
      </c>
      <c r="K906" s="306" t="s">
        <v>33</v>
      </c>
      <c r="L906" s="306">
        <v>24856</v>
      </c>
      <c r="M906" s="306">
        <v>23130</v>
      </c>
      <c r="N906" s="306"/>
      <c r="O906" s="306">
        <v>1726</v>
      </c>
      <c r="P906" s="306">
        <v>89</v>
      </c>
      <c r="Q906" s="306">
        <v>1</v>
      </c>
      <c r="R906" s="24"/>
      <c r="S906" s="24"/>
      <c r="T906" s="24"/>
      <c r="DJ906" s="24"/>
      <c r="DK906" s="24"/>
      <c r="DL906" s="24"/>
      <c r="DM906" s="24"/>
      <c r="EI906" s="24">
        <v>2022</v>
      </c>
      <c r="EJ906" s="24">
        <v>34</v>
      </c>
      <c r="EK906" s="24" t="s">
        <v>237</v>
      </c>
      <c r="EL906" s="24" t="s">
        <v>555</v>
      </c>
      <c r="EM906" s="24" t="s">
        <v>215</v>
      </c>
      <c r="EN906" s="24">
        <v>6</v>
      </c>
      <c r="EO906" s="24"/>
      <c r="EP906" s="24"/>
      <c r="ES906" s="24">
        <v>2016</v>
      </c>
      <c r="ET906" s="24">
        <v>17</v>
      </c>
      <c r="EU906" s="24" t="s">
        <v>33</v>
      </c>
      <c r="EV906" s="24">
        <v>36993</v>
      </c>
      <c r="FW906" s="24">
        <v>2014</v>
      </c>
      <c r="FX906" s="24">
        <v>46</v>
      </c>
      <c r="FY906" s="24" t="s">
        <v>32</v>
      </c>
      <c r="FZ906" s="24">
        <v>212</v>
      </c>
      <c r="GA906" s="24">
        <v>180</v>
      </c>
      <c r="GD906" s="24"/>
      <c r="GE906" s="24"/>
      <c r="GF906" s="24"/>
      <c r="GG906" s="24"/>
      <c r="GH906" s="24"/>
      <c r="GX906">
        <v>2014</v>
      </c>
      <c r="GY906">
        <v>46</v>
      </c>
      <c r="GZ906" t="s">
        <v>32</v>
      </c>
      <c r="HA906">
        <v>1746</v>
      </c>
      <c r="HB906">
        <v>1635</v>
      </c>
      <c r="HC906">
        <v>0</v>
      </c>
      <c r="HD906">
        <v>18</v>
      </c>
      <c r="HE906">
        <v>0</v>
      </c>
      <c r="HF906">
        <v>0</v>
      </c>
      <c r="HG906">
        <v>0</v>
      </c>
      <c r="HH906">
        <v>0</v>
      </c>
      <c r="HI906">
        <v>75</v>
      </c>
      <c r="HZ906" s="24">
        <v>2014</v>
      </c>
      <c r="IA906" s="24">
        <v>46</v>
      </c>
      <c r="IB906" s="24" t="s">
        <v>32</v>
      </c>
      <c r="IC906" s="24">
        <v>207</v>
      </c>
      <c r="ID906" s="24">
        <v>175</v>
      </c>
    </row>
    <row r="907" spans="9:238" x14ac:dyDescent="0.4">
      <c r="I907" s="305">
        <v>2014</v>
      </c>
      <c r="J907" s="306">
        <v>46</v>
      </c>
      <c r="K907" s="306" t="s">
        <v>32</v>
      </c>
      <c r="L907" s="306">
        <v>1729</v>
      </c>
      <c r="M907" s="306">
        <v>1627</v>
      </c>
      <c r="N907" s="306"/>
      <c r="O907" s="306">
        <v>102</v>
      </c>
      <c r="P907" s="306">
        <v>16</v>
      </c>
      <c r="Q907" s="306"/>
      <c r="R907" s="24"/>
      <c r="S907" s="24"/>
      <c r="T907" s="24"/>
      <c r="DJ907" s="24"/>
      <c r="DK907" s="24"/>
      <c r="DL907" s="24"/>
      <c r="DM907" s="24"/>
      <c r="EI907" s="24">
        <v>2022</v>
      </c>
      <c r="EJ907" s="24">
        <v>34</v>
      </c>
      <c r="EK907" s="24" t="s">
        <v>237</v>
      </c>
      <c r="EL907" s="24" t="s">
        <v>557</v>
      </c>
      <c r="EM907" s="24" t="s">
        <v>210</v>
      </c>
      <c r="EN907" s="24">
        <v>14</v>
      </c>
      <c r="EO907" s="24"/>
      <c r="EP907" s="24"/>
      <c r="ES907" s="24">
        <v>2016</v>
      </c>
      <c r="ET907" s="24">
        <v>16</v>
      </c>
      <c r="EU907" s="24" t="s">
        <v>32</v>
      </c>
      <c r="EV907" s="24">
        <v>3137</v>
      </c>
      <c r="FW907" s="24">
        <v>2014</v>
      </c>
      <c r="FX907" s="24">
        <v>46</v>
      </c>
      <c r="FY907" s="24" t="s">
        <v>33</v>
      </c>
      <c r="FZ907" s="24">
        <v>1484</v>
      </c>
      <c r="GA907" s="24">
        <v>1203</v>
      </c>
      <c r="GD907" s="24"/>
      <c r="GE907" s="24"/>
      <c r="GF907" s="24"/>
      <c r="GG907" s="24"/>
      <c r="GH907" s="24"/>
      <c r="GX907">
        <v>2014</v>
      </c>
      <c r="GY907">
        <v>46</v>
      </c>
      <c r="GZ907" t="s">
        <v>33</v>
      </c>
      <c r="HA907">
        <v>32421</v>
      </c>
      <c r="HB907">
        <v>30429</v>
      </c>
      <c r="HC907">
        <v>0</v>
      </c>
      <c r="HD907">
        <v>922</v>
      </c>
      <c r="HE907">
        <v>0</v>
      </c>
      <c r="HF907">
        <v>68</v>
      </c>
      <c r="HG907">
        <v>0</v>
      </c>
      <c r="HH907">
        <v>0</v>
      </c>
      <c r="HI907">
        <v>1235</v>
      </c>
      <c r="HZ907" s="313">
        <v>2014</v>
      </c>
      <c r="IA907" s="313">
        <v>46</v>
      </c>
      <c r="IB907" s="313" t="s">
        <v>33</v>
      </c>
      <c r="IC907" s="313">
        <v>1482</v>
      </c>
      <c r="ID907" s="313">
        <v>1225</v>
      </c>
    </row>
    <row r="908" spans="9:238" x14ac:dyDescent="0.4">
      <c r="I908" s="305">
        <v>2014</v>
      </c>
      <c r="J908" s="306">
        <v>46</v>
      </c>
      <c r="K908" s="306" t="s">
        <v>33</v>
      </c>
      <c r="L908" s="306">
        <v>32795</v>
      </c>
      <c r="M908" s="306">
        <v>30210</v>
      </c>
      <c r="N908" s="306"/>
      <c r="O908" s="306">
        <v>2585</v>
      </c>
      <c r="P908" s="306">
        <v>183</v>
      </c>
      <c r="Q908" s="306">
        <v>1</v>
      </c>
      <c r="R908" s="24"/>
      <c r="S908" s="24"/>
      <c r="T908" s="24"/>
      <c r="DJ908" s="24"/>
      <c r="DK908" s="24"/>
      <c r="DL908" s="24"/>
      <c r="DM908" s="24"/>
      <c r="EI908" s="24">
        <v>2022</v>
      </c>
      <c r="EJ908" s="24">
        <v>34</v>
      </c>
      <c r="EK908" s="24" t="s">
        <v>237</v>
      </c>
      <c r="EL908" s="24" t="s">
        <v>557</v>
      </c>
      <c r="EM908" s="24" t="s">
        <v>234</v>
      </c>
      <c r="EN908" s="24">
        <v>8</v>
      </c>
      <c r="EO908" s="24"/>
      <c r="EP908" s="24"/>
      <c r="ES908" s="321">
        <v>2016</v>
      </c>
      <c r="ET908" s="321">
        <v>16</v>
      </c>
      <c r="EU908" s="321" t="s">
        <v>33</v>
      </c>
      <c r="EV908" s="321">
        <v>38651</v>
      </c>
      <c r="FW908" s="24">
        <v>2014</v>
      </c>
      <c r="FX908" s="24">
        <v>45</v>
      </c>
      <c r="FY908" s="24" t="s">
        <v>32</v>
      </c>
      <c r="FZ908" s="24">
        <v>187</v>
      </c>
      <c r="GA908" s="24">
        <v>176</v>
      </c>
      <c r="GD908" s="24"/>
      <c r="GE908" s="24"/>
      <c r="GF908" s="24"/>
      <c r="GG908" s="24"/>
      <c r="GH908" s="24"/>
      <c r="GX908">
        <v>2014</v>
      </c>
      <c r="GY908">
        <v>45</v>
      </c>
      <c r="GZ908" t="s">
        <v>32</v>
      </c>
      <c r="HA908">
        <v>1936</v>
      </c>
      <c r="HB908">
        <v>1835</v>
      </c>
      <c r="HC908">
        <v>0</v>
      </c>
      <c r="HD908">
        <v>32</v>
      </c>
      <c r="HE908">
        <v>0</v>
      </c>
      <c r="HF908">
        <v>0</v>
      </c>
      <c r="HG908">
        <v>0</v>
      </c>
      <c r="HH908">
        <v>0</v>
      </c>
      <c r="HI908">
        <v>71</v>
      </c>
      <c r="HZ908" s="313">
        <v>2014</v>
      </c>
      <c r="IA908" s="313">
        <v>45</v>
      </c>
      <c r="IB908" s="313" t="s">
        <v>32</v>
      </c>
      <c r="IC908" s="313">
        <v>203</v>
      </c>
      <c r="ID908" s="313">
        <v>191</v>
      </c>
    </row>
    <row r="909" spans="9:238" x14ac:dyDescent="0.4">
      <c r="I909" s="305">
        <v>2014</v>
      </c>
      <c r="J909" s="306">
        <v>45</v>
      </c>
      <c r="K909" s="306" t="s">
        <v>32</v>
      </c>
      <c r="L909" s="306">
        <v>1966</v>
      </c>
      <c r="M909" s="306">
        <v>1867</v>
      </c>
      <c r="N909" s="306"/>
      <c r="O909" s="306">
        <v>99</v>
      </c>
      <c r="P909" s="306">
        <v>10</v>
      </c>
      <c r="Q909" s="306"/>
      <c r="DJ909" s="24"/>
      <c r="DK909" s="24"/>
      <c r="DL909" s="24"/>
      <c r="DM909" s="24"/>
      <c r="EI909" s="24">
        <v>2022</v>
      </c>
      <c r="EJ909" s="24">
        <v>34</v>
      </c>
      <c r="EK909" s="24" t="s">
        <v>237</v>
      </c>
      <c r="EL909" s="24" t="s">
        <v>557</v>
      </c>
      <c r="EM909" s="24" t="s">
        <v>215</v>
      </c>
      <c r="EN909" s="24">
        <v>61</v>
      </c>
      <c r="EO909" s="24"/>
      <c r="EP909" s="24"/>
      <c r="ES909" s="321">
        <v>2016</v>
      </c>
      <c r="ET909" s="321">
        <v>15</v>
      </c>
      <c r="EU909" s="321" t="s">
        <v>32</v>
      </c>
      <c r="EV909" s="321">
        <v>2003</v>
      </c>
      <c r="FW909" s="24">
        <v>2014</v>
      </c>
      <c r="FX909" s="24">
        <v>45</v>
      </c>
      <c r="FY909" s="24" t="s">
        <v>33</v>
      </c>
      <c r="FZ909" s="24">
        <v>1613</v>
      </c>
      <c r="GA909" s="24">
        <v>1366</v>
      </c>
      <c r="GD909" s="24"/>
      <c r="GE909" s="24"/>
      <c r="GF909" s="24"/>
      <c r="GG909" s="24"/>
      <c r="GH909" s="24"/>
      <c r="GX909">
        <v>2014</v>
      </c>
      <c r="GY909">
        <v>45</v>
      </c>
      <c r="GZ909" t="s">
        <v>33</v>
      </c>
      <c r="HA909">
        <v>30356</v>
      </c>
      <c r="HB909">
        <v>28233</v>
      </c>
      <c r="HC909">
        <v>0</v>
      </c>
      <c r="HD909">
        <v>1036</v>
      </c>
      <c r="HE909">
        <v>0</v>
      </c>
      <c r="HF909">
        <v>12</v>
      </c>
      <c r="HG909">
        <v>0</v>
      </c>
      <c r="HH909">
        <v>0</v>
      </c>
      <c r="HI909">
        <v>1368</v>
      </c>
      <c r="HZ909" s="313">
        <v>2014</v>
      </c>
      <c r="IA909" s="313">
        <v>45</v>
      </c>
      <c r="IB909" s="313" t="s">
        <v>33</v>
      </c>
      <c r="IC909" s="313">
        <v>1640</v>
      </c>
      <c r="ID909" s="313">
        <v>1405</v>
      </c>
    </row>
    <row r="910" spans="9:238" x14ac:dyDescent="0.4">
      <c r="I910" s="305">
        <v>2014</v>
      </c>
      <c r="J910" s="306">
        <v>45</v>
      </c>
      <c r="K910" s="306" t="s">
        <v>33</v>
      </c>
      <c r="L910" s="306">
        <v>29899</v>
      </c>
      <c r="M910" s="306">
        <v>27518</v>
      </c>
      <c r="N910" s="306"/>
      <c r="O910" s="306">
        <v>2381</v>
      </c>
      <c r="P910" s="306">
        <v>160</v>
      </c>
      <c r="Q910" s="306">
        <v>4</v>
      </c>
      <c r="DJ910" s="24"/>
      <c r="DK910" s="24"/>
      <c r="DL910" s="24"/>
      <c r="DM910" s="24"/>
      <c r="EI910" s="24">
        <v>2022</v>
      </c>
      <c r="EJ910" s="24">
        <v>34</v>
      </c>
      <c r="EK910" s="24" t="s">
        <v>237</v>
      </c>
      <c r="EL910" s="24" t="s">
        <v>233</v>
      </c>
      <c r="EM910" s="24" t="s">
        <v>215</v>
      </c>
      <c r="EN910" s="24">
        <v>1</v>
      </c>
      <c r="EO910" s="24"/>
      <c r="EP910" s="24"/>
      <c r="ES910" s="24">
        <v>2016</v>
      </c>
      <c r="ET910" s="24">
        <v>15</v>
      </c>
      <c r="EU910" s="24" t="s">
        <v>33</v>
      </c>
      <c r="EV910" s="24">
        <v>38471</v>
      </c>
      <c r="FW910" s="24">
        <v>2014</v>
      </c>
      <c r="FX910" s="24">
        <v>44</v>
      </c>
      <c r="FY910" s="24" t="s">
        <v>32</v>
      </c>
      <c r="FZ910" s="24">
        <v>180</v>
      </c>
      <c r="GA910" s="24">
        <v>168</v>
      </c>
      <c r="GD910" s="24"/>
      <c r="GE910" s="24"/>
      <c r="GF910" s="24"/>
      <c r="GG910" s="24"/>
      <c r="GH910" s="24"/>
      <c r="GX910">
        <v>2014</v>
      </c>
      <c r="GY910">
        <v>44</v>
      </c>
      <c r="GZ910" t="s">
        <v>32</v>
      </c>
      <c r="HA910">
        <v>2479</v>
      </c>
      <c r="HB910">
        <v>2363</v>
      </c>
      <c r="HC910">
        <v>0</v>
      </c>
      <c r="HD910">
        <v>39</v>
      </c>
      <c r="HE910">
        <v>0</v>
      </c>
      <c r="HF910">
        <v>0</v>
      </c>
      <c r="HG910">
        <v>0</v>
      </c>
      <c r="HH910">
        <v>0</v>
      </c>
      <c r="HI910">
        <v>74</v>
      </c>
      <c r="HZ910" s="313">
        <v>2014</v>
      </c>
      <c r="IA910" s="313">
        <v>44</v>
      </c>
      <c r="IB910" s="313" t="s">
        <v>32</v>
      </c>
      <c r="IC910" s="313">
        <v>162</v>
      </c>
      <c r="ID910" s="313">
        <v>148</v>
      </c>
    </row>
    <row r="911" spans="9:238" x14ac:dyDescent="0.4">
      <c r="I911" s="305">
        <v>2014</v>
      </c>
      <c r="J911" s="306">
        <v>44</v>
      </c>
      <c r="K911" s="306" t="s">
        <v>32</v>
      </c>
      <c r="L911" s="306">
        <v>2564</v>
      </c>
      <c r="M911" s="306">
        <v>2454</v>
      </c>
      <c r="N911" s="306"/>
      <c r="O911" s="306">
        <v>110</v>
      </c>
      <c r="P911" s="306">
        <v>18</v>
      </c>
      <c r="Q911" s="306"/>
      <c r="DJ911" s="24"/>
      <c r="DK911" s="24"/>
      <c r="DL911" s="24"/>
      <c r="DM911" s="24"/>
      <c r="EI911" s="24">
        <v>2022</v>
      </c>
      <c r="EJ911" s="24">
        <v>34</v>
      </c>
      <c r="EK911" s="24" t="s">
        <v>237</v>
      </c>
      <c r="EL911" s="24" t="s">
        <v>554</v>
      </c>
      <c r="EM911" s="24" t="s">
        <v>210</v>
      </c>
      <c r="EN911" s="24">
        <v>5</v>
      </c>
      <c r="EO911" s="24"/>
      <c r="EP911" s="24"/>
      <c r="ES911" s="24">
        <v>2016</v>
      </c>
      <c r="ET911" s="24">
        <v>14</v>
      </c>
      <c r="EU911" s="24" t="s">
        <v>32</v>
      </c>
      <c r="EV911" s="24">
        <v>2534</v>
      </c>
      <c r="FW911" s="24">
        <v>2014</v>
      </c>
      <c r="FX911" s="24">
        <v>44</v>
      </c>
      <c r="FY911" s="24" t="s">
        <v>33</v>
      </c>
      <c r="FZ911" s="24">
        <v>1445</v>
      </c>
      <c r="GA911" s="24">
        <v>1213</v>
      </c>
      <c r="GD911" s="24"/>
      <c r="GE911" s="24"/>
      <c r="GF911" s="24"/>
      <c r="GG911" s="24"/>
      <c r="GH911" s="24"/>
      <c r="GX911">
        <v>2014</v>
      </c>
      <c r="GY911">
        <v>44</v>
      </c>
      <c r="GZ911" t="s">
        <v>33</v>
      </c>
      <c r="HA911">
        <v>29320</v>
      </c>
      <c r="HB911">
        <v>27267</v>
      </c>
      <c r="HC911">
        <v>0</v>
      </c>
      <c r="HD911">
        <v>1080</v>
      </c>
      <c r="HE911">
        <v>0</v>
      </c>
      <c r="HF911">
        <v>6</v>
      </c>
      <c r="HG911">
        <v>0</v>
      </c>
      <c r="HH911">
        <v>0</v>
      </c>
      <c r="HI911">
        <v>1344</v>
      </c>
      <c r="HZ911" s="24">
        <v>2014</v>
      </c>
      <c r="IA911" s="24">
        <v>44</v>
      </c>
      <c r="IB911" s="24" t="s">
        <v>33</v>
      </c>
      <c r="IC911" s="24">
        <v>1479</v>
      </c>
      <c r="ID911" s="24">
        <v>1255</v>
      </c>
    </row>
    <row r="912" spans="9:238" x14ac:dyDescent="0.4">
      <c r="I912" s="305">
        <v>2014</v>
      </c>
      <c r="J912" s="306">
        <v>44</v>
      </c>
      <c r="K912" s="306" t="s">
        <v>33</v>
      </c>
      <c r="L912" s="306">
        <v>29295</v>
      </c>
      <c r="M912" s="306">
        <v>26794</v>
      </c>
      <c r="N912" s="306"/>
      <c r="O912" s="306">
        <v>2501</v>
      </c>
      <c r="P912" s="306">
        <v>125</v>
      </c>
      <c r="Q912" s="306">
        <v>16</v>
      </c>
      <c r="DJ912" s="24"/>
      <c r="DK912" s="24"/>
      <c r="DL912" s="24"/>
      <c r="DM912" s="24"/>
      <c r="EI912" s="24">
        <v>2022</v>
      </c>
      <c r="EJ912" s="24">
        <v>34</v>
      </c>
      <c r="EK912" s="24" t="s">
        <v>237</v>
      </c>
      <c r="EL912" s="24" t="s">
        <v>235</v>
      </c>
      <c r="EM912" s="24" t="s">
        <v>210</v>
      </c>
      <c r="EN912" s="24">
        <v>17</v>
      </c>
      <c r="EO912" s="24"/>
      <c r="EP912" s="24"/>
      <c r="ES912" s="322">
        <v>2016</v>
      </c>
      <c r="ET912" s="322">
        <v>14</v>
      </c>
      <c r="EU912" s="322" t="s">
        <v>33</v>
      </c>
      <c r="EV912" s="322">
        <v>38028</v>
      </c>
      <c r="FW912" s="24">
        <v>2014</v>
      </c>
      <c r="FX912" s="24">
        <v>43</v>
      </c>
      <c r="FY912" s="24" t="s">
        <v>32</v>
      </c>
      <c r="FZ912" s="24">
        <v>142</v>
      </c>
      <c r="GA912" s="24">
        <v>134</v>
      </c>
      <c r="GD912" s="24"/>
      <c r="GE912" s="24"/>
      <c r="GF912" s="24"/>
      <c r="GG912" s="24"/>
      <c r="GH912" s="24"/>
      <c r="GX912">
        <v>2014</v>
      </c>
      <c r="GY912">
        <v>43</v>
      </c>
      <c r="GZ912" t="s">
        <v>32</v>
      </c>
      <c r="HA912">
        <v>1661</v>
      </c>
      <c r="HB912">
        <v>1559</v>
      </c>
      <c r="HC912">
        <v>0</v>
      </c>
      <c r="HD912">
        <v>20</v>
      </c>
      <c r="HE912">
        <v>0</v>
      </c>
      <c r="HF912">
        <v>2</v>
      </c>
      <c r="HG912">
        <v>0</v>
      </c>
      <c r="HH912">
        <v>0</v>
      </c>
      <c r="HI912">
        <v>64</v>
      </c>
      <c r="HZ912" s="24">
        <v>2014</v>
      </c>
      <c r="IA912" s="24">
        <v>43</v>
      </c>
      <c r="IB912" s="24" t="s">
        <v>32</v>
      </c>
      <c r="IC912" s="24">
        <v>127</v>
      </c>
      <c r="ID912" s="24">
        <v>119</v>
      </c>
    </row>
    <row r="913" spans="9:238" x14ac:dyDescent="0.4">
      <c r="I913" s="305">
        <v>2014</v>
      </c>
      <c r="J913" s="306">
        <v>43</v>
      </c>
      <c r="K913" s="306" t="s">
        <v>32</v>
      </c>
      <c r="L913" s="306">
        <v>1605</v>
      </c>
      <c r="M913" s="306">
        <v>1498</v>
      </c>
      <c r="N913" s="306"/>
      <c r="O913" s="306">
        <v>107</v>
      </c>
      <c r="P913" s="306">
        <v>16</v>
      </c>
      <c r="Q913" s="306"/>
      <c r="DJ913" s="24"/>
      <c r="DK913" s="24"/>
      <c r="DL913" s="24"/>
      <c r="DM913" s="24"/>
      <c r="EI913" s="24">
        <v>2022</v>
      </c>
      <c r="EJ913" s="24">
        <v>34</v>
      </c>
      <c r="EK913" s="24" t="s">
        <v>237</v>
      </c>
      <c r="EL913" s="24" t="s">
        <v>235</v>
      </c>
      <c r="EM913" s="24" t="s">
        <v>234</v>
      </c>
      <c r="EN913" s="24">
        <v>2</v>
      </c>
      <c r="EO913" s="24"/>
      <c r="EP913" s="24"/>
      <c r="ES913" s="322">
        <v>2016</v>
      </c>
      <c r="ET913" s="322">
        <v>13</v>
      </c>
      <c r="EU913" s="322" t="s">
        <v>32</v>
      </c>
      <c r="EV913" s="322">
        <v>2386</v>
      </c>
      <c r="FW913" s="24">
        <v>2014</v>
      </c>
      <c r="FX913" s="24">
        <v>43</v>
      </c>
      <c r="FY913" s="24" t="s">
        <v>33</v>
      </c>
      <c r="FZ913" s="24">
        <v>1352</v>
      </c>
      <c r="GA913" s="24">
        <v>1115</v>
      </c>
      <c r="GD913" s="24"/>
      <c r="GE913" s="24"/>
      <c r="GF913" s="24"/>
      <c r="GG913" s="24"/>
      <c r="GH913" s="24"/>
      <c r="GX913">
        <v>2014</v>
      </c>
      <c r="GY913">
        <v>43</v>
      </c>
      <c r="GZ913" t="s">
        <v>33</v>
      </c>
      <c r="HA913">
        <v>30194</v>
      </c>
      <c r="HB913">
        <v>27644</v>
      </c>
      <c r="HC913">
        <v>1</v>
      </c>
      <c r="HD913">
        <v>1065</v>
      </c>
      <c r="HE913">
        <v>0</v>
      </c>
      <c r="HF913">
        <v>12</v>
      </c>
      <c r="HG913">
        <v>0</v>
      </c>
      <c r="HH913">
        <v>0</v>
      </c>
      <c r="HI913">
        <v>1679</v>
      </c>
      <c r="HZ913" s="24">
        <v>2014</v>
      </c>
      <c r="IA913" s="24">
        <v>43</v>
      </c>
      <c r="IB913" s="24" t="s">
        <v>33</v>
      </c>
      <c r="IC913" s="24">
        <v>1350</v>
      </c>
      <c r="ID913" s="24">
        <v>1183</v>
      </c>
    </row>
    <row r="914" spans="9:238" x14ac:dyDescent="0.4">
      <c r="I914" s="305">
        <v>2014</v>
      </c>
      <c r="J914" s="306">
        <v>43</v>
      </c>
      <c r="K914" s="306" t="s">
        <v>33</v>
      </c>
      <c r="L914" s="306">
        <v>30614</v>
      </c>
      <c r="M914" s="306">
        <v>27999</v>
      </c>
      <c r="N914" s="306"/>
      <c r="O914" s="306">
        <v>2615</v>
      </c>
      <c r="P914" s="306">
        <v>159</v>
      </c>
      <c r="Q914" s="306"/>
      <c r="DJ914" s="24"/>
      <c r="DK914" s="24"/>
      <c r="DL914" s="24"/>
      <c r="DM914" s="24"/>
      <c r="EI914" s="24">
        <v>2022</v>
      </c>
      <c r="EJ914" s="24">
        <v>34</v>
      </c>
      <c r="EK914" s="24" t="s">
        <v>237</v>
      </c>
      <c r="EL914" s="24" t="s">
        <v>235</v>
      </c>
      <c r="EM914" s="24" t="s">
        <v>215</v>
      </c>
      <c r="EN914" s="24">
        <v>3</v>
      </c>
      <c r="EO914" s="24"/>
      <c r="EP914" s="24"/>
      <c r="ES914" s="24">
        <v>2016</v>
      </c>
      <c r="ET914" s="24">
        <v>13</v>
      </c>
      <c r="EU914" s="24" t="s">
        <v>33</v>
      </c>
      <c r="EV914" s="24">
        <v>41372</v>
      </c>
      <c r="FW914" s="24">
        <v>2014</v>
      </c>
      <c r="FX914" s="24">
        <v>42</v>
      </c>
      <c r="FY914" s="24" t="s">
        <v>32</v>
      </c>
      <c r="FZ914" s="24">
        <v>178</v>
      </c>
      <c r="GA914" s="24">
        <v>164</v>
      </c>
      <c r="GD914" s="24"/>
      <c r="GE914" s="24"/>
      <c r="GF914" s="24"/>
      <c r="GG914" s="24"/>
      <c r="GH914" s="24"/>
      <c r="GX914">
        <v>2014</v>
      </c>
      <c r="GY914">
        <v>42</v>
      </c>
      <c r="GZ914" t="s">
        <v>32</v>
      </c>
      <c r="HA914">
        <v>1800</v>
      </c>
      <c r="HB914">
        <v>1682</v>
      </c>
      <c r="HC914">
        <v>0</v>
      </c>
      <c r="HD914">
        <v>13</v>
      </c>
      <c r="HE914">
        <v>0</v>
      </c>
      <c r="HF914">
        <v>0</v>
      </c>
      <c r="HG914">
        <v>1</v>
      </c>
      <c r="HH914">
        <v>0</v>
      </c>
      <c r="HI914">
        <v>86</v>
      </c>
      <c r="HZ914" s="24">
        <v>2014</v>
      </c>
      <c r="IA914" s="24">
        <v>42</v>
      </c>
      <c r="IB914" s="24" t="s">
        <v>32</v>
      </c>
      <c r="IC914" s="24">
        <v>194</v>
      </c>
      <c r="ID914" s="24">
        <v>186</v>
      </c>
    </row>
    <row r="915" spans="9:238" x14ac:dyDescent="0.4">
      <c r="I915" s="305">
        <v>2014</v>
      </c>
      <c r="J915" s="306">
        <v>42</v>
      </c>
      <c r="K915" s="306" t="s">
        <v>32</v>
      </c>
      <c r="L915" s="306">
        <v>1786</v>
      </c>
      <c r="M915" s="306">
        <v>1656</v>
      </c>
      <c r="N915" s="306"/>
      <c r="O915" s="306">
        <v>130</v>
      </c>
      <c r="P915" s="306">
        <v>16</v>
      </c>
      <c r="Q915" s="306"/>
      <c r="DJ915" s="24"/>
      <c r="DK915" s="24"/>
      <c r="DL915" s="24"/>
      <c r="DM915" s="24"/>
      <c r="EI915" s="24">
        <v>2022</v>
      </c>
      <c r="EJ915" s="24">
        <v>34</v>
      </c>
      <c r="EK915" s="24" t="s">
        <v>237</v>
      </c>
      <c r="EL915" s="24" t="s">
        <v>247</v>
      </c>
      <c r="EM915" s="24" t="s">
        <v>210</v>
      </c>
      <c r="EN915" s="24">
        <v>1</v>
      </c>
      <c r="EO915" s="24"/>
      <c r="EP915" s="24"/>
      <c r="ES915" s="24">
        <v>2016</v>
      </c>
      <c r="ET915" s="24">
        <v>12</v>
      </c>
      <c r="EU915" s="24" t="s">
        <v>32</v>
      </c>
      <c r="EV915" s="24">
        <v>2303</v>
      </c>
      <c r="FW915" s="24">
        <v>2014</v>
      </c>
      <c r="FX915" s="24">
        <v>42</v>
      </c>
      <c r="FY915" s="24" t="s">
        <v>33</v>
      </c>
      <c r="FZ915" s="24">
        <v>1610</v>
      </c>
      <c r="GA915" s="24">
        <v>1273</v>
      </c>
      <c r="GD915" s="24"/>
      <c r="GE915" s="24"/>
      <c r="GF915" s="24"/>
      <c r="GG915" s="24"/>
      <c r="GH915" s="24"/>
      <c r="GX915">
        <v>2014</v>
      </c>
      <c r="GY915">
        <v>42</v>
      </c>
      <c r="GZ915" t="s">
        <v>33</v>
      </c>
      <c r="HA915">
        <v>35095</v>
      </c>
      <c r="HB915">
        <v>32454</v>
      </c>
      <c r="HC915">
        <v>0</v>
      </c>
      <c r="HD915">
        <v>1093</v>
      </c>
      <c r="HE915">
        <v>0</v>
      </c>
      <c r="HF915">
        <v>247</v>
      </c>
      <c r="HG915">
        <v>0</v>
      </c>
      <c r="HH915">
        <v>0</v>
      </c>
      <c r="HI915">
        <v>1634</v>
      </c>
      <c r="HZ915" s="24">
        <v>2014</v>
      </c>
      <c r="IA915" s="24">
        <v>42</v>
      </c>
      <c r="IB915" s="24" t="s">
        <v>33</v>
      </c>
      <c r="IC915" s="24">
        <v>1550</v>
      </c>
      <c r="ID915" s="24">
        <v>1219</v>
      </c>
    </row>
    <row r="916" spans="9:238" x14ac:dyDescent="0.4">
      <c r="I916" s="305">
        <v>2014</v>
      </c>
      <c r="J916" s="306">
        <v>42</v>
      </c>
      <c r="K916" s="306" t="s">
        <v>33</v>
      </c>
      <c r="L916" s="306">
        <v>35229</v>
      </c>
      <c r="M916" s="306">
        <v>32478</v>
      </c>
      <c r="N916" s="306"/>
      <c r="O916" s="306">
        <v>2751</v>
      </c>
      <c r="P916" s="306">
        <v>190</v>
      </c>
      <c r="Q916" s="306">
        <v>2</v>
      </c>
      <c r="DJ916" s="24"/>
      <c r="DK916" s="24"/>
      <c r="DL916" s="24"/>
      <c r="DM916" s="24"/>
      <c r="EI916" s="24">
        <v>2022</v>
      </c>
      <c r="EJ916" s="24">
        <v>34</v>
      </c>
      <c r="EK916" s="24" t="s">
        <v>211</v>
      </c>
      <c r="EL916" s="24" t="s">
        <v>232</v>
      </c>
      <c r="EM916" s="24" t="s">
        <v>234</v>
      </c>
      <c r="EN916" s="24">
        <v>2</v>
      </c>
      <c r="EO916" s="24"/>
      <c r="EP916" s="24"/>
      <c r="ES916" s="24">
        <v>2016</v>
      </c>
      <c r="ET916" s="24">
        <v>12</v>
      </c>
      <c r="EU916" s="24" t="s">
        <v>33</v>
      </c>
      <c r="EV916" s="24">
        <v>33338</v>
      </c>
      <c r="FW916" s="24">
        <v>2014</v>
      </c>
      <c r="FX916" s="24">
        <v>41</v>
      </c>
      <c r="FY916" s="24" t="s">
        <v>32</v>
      </c>
      <c r="FZ916" s="24">
        <v>212</v>
      </c>
      <c r="GA916" s="24">
        <v>187</v>
      </c>
      <c r="GD916" s="24"/>
      <c r="GE916" s="24"/>
      <c r="GF916" s="24"/>
      <c r="GG916" s="24"/>
      <c r="GH916" s="24"/>
      <c r="GX916">
        <v>2014</v>
      </c>
      <c r="GY916">
        <v>41</v>
      </c>
      <c r="GZ916" t="s">
        <v>32</v>
      </c>
      <c r="HA916">
        <v>1676</v>
      </c>
      <c r="HB916">
        <v>1517</v>
      </c>
      <c r="HC916">
        <v>0</v>
      </c>
      <c r="HD916">
        <v>50</v>
      </c>
      <c r="HE916">
        <v>0</v>
      </c>
      <c r="HF916">
        <v>0</v>
      </c>
      <c r="HG916">
        <v>0</v>
      </c>
      <c r="HH916">
        <v>0</v>
      </c>
      <c r="HI916">
        <v>102</v>
      </c>
      <c r="HZ916" s="24">
        <v>2014</v>
      </c>
      <c r="IA916" s="24">
        <v>41</v>
      </c>
      <c r="IB916" s="24" t="s">
        <v>32</v>
      </c>
      <c r="IC916" s="24">
        <v>213</v>
      </c>
      <c r="ID916" s="24">
        <v>181</v>
      </c>
    </row>
    <row r="917" spans="9:238" x14ac:dyDescent="0.4">
      <c r="I917" s="305">
        <v>2014</v>
      </c>
      <c r="J917" s="306">
        <v>41</v>
      </c>
      <c r="K917" s="306" t="s">
        <v>32</v>
      </c>
      <c r="L917" s="306">
        <v>1685</v>
      </c>
      <c r="M917" s="306">
        <v>1554</v>
      </c>
      <c r="N917" s="306"/>
      <c r="O917" s="306">
        <v>131</v>
      </c>
      <c r="P917" s="306">
        <v>1</v>
      </c>
      <c r="Q917" s="306"/>
      <c r="DJ917" s="24"/>
      <c r="DK917" s="24"/>
      <c r="DL917" s="24"/>
      <c r="DM917" s="24"/>
      <c r="EI917" s="24">
        <v>2022</v>
      </c>
      <c r="EJ917" s="24">
        <v>34</v>
      </c>
      <c r="EK917" s="24" t="s">
        <v>211</v>
      </c>
      <c r="EL917" s="24" t="s">
        <v>212</v>
      </c>
      <c r="EM917" s="24" t="s">
        <v>210</v>
      </c>
      <c r="EN917" s="24">
        <v>8</v>
      </c>
      <c r="EO917" s="24"/>
      <c r="EP917" s="24"/>
      <c r="ES917" s="24">
        <v>2016</v>
      </c>
      <c r="ET917" s="24">
        <v>11</v>
      </c>
      <c r="EU917" s="24" t="s">
        <v>32</v>
      </c>
      <c r="EV917" s="24">
        <v>2165</v>
      </c>
      <c r="FW917" s="24">
        <v>2014</v>
      </c>
      <c r="FX917" s="24">
        <v>41</v>
      </c>
      <c r="FY917" s="24" t="s">
        <v>33</v>
      </c>
      <c r="FZ917" s="24">
        <v>1773</v>
      </c>
      <c r="GA917" s="24">
        <v>1560</v>
      </c>
      <c r="GD917" s="24"/>
      <c r="GE917" s="24"/>
      <c r="GF917" s="24"/>
      <c r="GG917" s="24"/>
      <c r="GH917" s="24"/>
      <c r="GX917">
        <v>2014</v>
      </c>
      <c r="GY917">
        <v>41</v>
      </c>
      <c r="GZ917" t="s">
        <v>33</v>
      </c>
      <c r="HA917">
        <v>31143</v>
      </c>
      <c r="HB917">
        <v>28658</v>
      </c>
      <c r="HC917">
        <v>0</v>
      </c>
      <c r="HD917">
        <v>1081</v>
      </c>
      <c r="HE917">
        <v>0</v>
      </c>
      <c r="HF917">
        <v>56</v>
      </c>
      <c r="HG917">
        <v>0</v>
      </c>
      <c r="HH917">
        <v>0</v>
      </c>
      <c r="HI917">
        <v>1681</v>
      </c>
      <c r="HZ917" s="24">
        <v>2014</v>
      </c>
      <c r="IA917" s="24">
        <v>41</v>
      </c>
      <c r="IB917" s="24" t="s">
        <v>33</v>
      </c>
      <c r="IC917" s="24">
        <v>1719</v>
      </c>
      <c r="ID917" s="24">
        <v>1528</v>
      </c>
    </row>
    <row r="918" spans="9:238" x14ac:dyDescent="0.4">
      <c r="I918" s="305">
        <v>2014</v>
      </c>
      <c r="J918" s="306">
        <v>41</v>
      </c>
      <c r="K918" s="306" t="s">
        <v>33</v>
      </c>
      <c r="L918" s="306">
        <v>31506</v>
      </c>
      <c r="M918" s="306">
        <v>28475</v>
      </c>
      <c r="N918" s="306"/>
      <c r="O918" s="306">
        <v>3031</v>
      </c>
      <c r="P918" s="306">
        <v>18</v>
      </c>
      <c r="Q918" s="306">
        <v>2</v>
      </c>
      <c r="DJ918" s="24"/>
      <c r="DK918" s="24"/>
      <c r="DL918" s="24"/>
      <c r="DM918" s="24"/>
      <c r="EI918" s="24">
        <v>2022</v>
      </c>
      <c r="EJ918" s="24">
        <v>34</v>
      </c>
      <c r="EK918" s="24" t="s">
        <v>211</v>
      </c>
      <c r="EL918" s="24" t="s">
        <v>212</v>
      </c>
      <c r="EM918" s="24" t="s">
        <v>234</v>
      </c>
      <c r="EN918" s="24">
        <v>19</v>
      </c>
      <c r="EO918" s="24"/>
      <c r="EP918" s="24"/>
      <c r="ES918" s="24">
        <v>2016</v>
      </c>
      <c r="ET918" s="24">
        <v>11</v>
      </c>
      <c r="EU918" s="24" t="s">
        <v>33</v>
      </c>
      <c r="EV918" s="24">
        <v>29565</v>
      </c>
      <c r="FW918" s="24">
        <v>2014</v>
      </c>
      <c r="FX918" s="24">
        <v>40</v>
      </c>
      <c r="FY918" s="24" t="s">
        <v>32</v>
      </c>
      <c r="FZ918" s="24">
        <v>166</v>
      </c>
      <c r="GA918" s="24">
        <v>141</v>
      </c>
      <c r="GD918" s="24"/>
      <c r="GE918" s="24"/>
      <c r="GF918" s="24"/>
      <c r="GG918" s="24"/>
      <c r="GH918" s="24"/>
      <c r="GX918">
        <v>2014</v>
      </c>
      <c r="GY918">
        <v>40</v>
      </c>
      <c r="GZ918" t="s">
        <v>32</v>
      </c>
      <c r="HA918">
        <v>2522</v>
      </c>
      <c r="HB918">
        <v>2307</v>
      </c>
      <c r="HC918">
        <v>0</v>
      </c>
      <c r="HD918">
        <v>73</v>
      </c>
      <c r="HE918">
        <v>0</v>
      </c>
      <c r="HF918">
        <v>0</v>
      </c>
      <c r="HG918">
        <v>0</v>
      </c>
      <c r="HH918">
        <v>0</v>
      </c>
      <c r="HI918">
        <v>81</v>
      </c>
      <c r="HZ918" s="24">
        <v>2014</v>
      </c>
      <c r="IA918" s="24">
        <v>40</v>
      </c>
      <c r="IB918" s="24" t="s">
        <v>32</v>
      </c>
      <c r="IC918" s="24">
        <v>174</v>
      </c>
      <c r="ID918" s="24">
        <v>149</v>
      </c>
    </row>
    <row r="919" spans="9:238" x14ac:dyDescent="0.4">
      <c r="I919" s="305">
        <v>2014</v>
      </c>
      <c r="J919" s="306">
        <v>40</v>
      </c>
      <c r="K919" s="306" t="s">
        <v>32</v>
      </c>
      <c r="L919" s="306">
        <v>2591</v>
      </c>
      <c r="M919" s="306">
        <v>2410</v>
      </c>
      <c r="N919" s="306"/>
      <c r="O919" s="306">
        <v>181</v>
      </c>
      <c r="P919" s="306"/>
      <c r="Q919" s="306"/>
      <c r="DJ919" s="24"/>
      <c r="DK919" s="24"/>
      <c r="DL919" s="24"/>
      <c r="DM919" s="24"/>
      <c r="EI919" s="24">
        <v>2022</v>
      </c>
      <c r="EJ919" s="24">
        <v>34</v>
      </c>
      <c r="EK919" s="24" t="s">
        <v>211</v>
      </c>
      <c r="EL919" s="24" t="s">
        <v>247</v>
      </c>
      <c r="EM919" s="24" t="s">
        <v>234</v>
      </c>
      <c r="EN919" s="24">
        <v>4</v>
      </c>
      <c r="EO919" s="24"/>
      <c r="EP919" s="24"/>
      <c r="ES919" s="24">
        <v>2016</v>
      </c>
      <c r="ET919" s="24">
        <v>10</v>
      </c>
      <c r="EU919" s="24" t="s">
        <v>32</v>
      </c>
      <c r="EV919" s="24">
        <v>2515</v>
      </c>
      <c r="FW919" s="24">
        <v>2014</v>
      </c>
      <c r="FX919" s="24">
        <v>40</v>
      </c>
      <c r="FY919" s="24" t="s">
        <v>33</v>
      </c>
      <c r="FZ919" s="24">
        <v>1543</v>
      </c>
      <c r="GA919" s="24">
        <v>1130</v>
      </c>
      <c r="GD919" s="24"/>
      <c r="GE919" s="24"/>
      <c r="GF919" s="24"/>
      <c r="GG919" s="24"/>
      <c r="GH919" s="24"/>
      <c r="GX919">
        <v>2014</v>
      </c>
      <c r="GY919">
        <v>40</v>
      </c>
      <c r="GZ919" t="s">
        <v>33</v>
      </c>
      <c r="HA919">
        <v>31605</v>
      </c>
      <c r="HB919">
        <v>28543</v>
      </c>
      <c r="HC919">
        <v>0</v>
      </c>
      <c r="HD919">
        <v>836</v>
      </c>
      <c r="HE919">
        <v>0</v>
      </c>
      <c r="HF919">
        <v>155</v>
      </c>
      <c r="HG919">
        <v>0</v>
      </c>
      <c r="HH919">
        <v>0</v>
      </c>
      <c r="HI919">
        <v>560</v>
      </c>
      <c r="HZ919" s="24">
        <v>2014</v>
      </c>
      <c r="IA919" s="24">
        <v>40</v>
      </c>
      <c r="IB919" s="24" t="s">
        <v>33</v>
      </c>
      <c r="IC919" s="24">
        <v>1532</v>
      </c>
      <c r="ID919" s="24">
        <v>1131</v>
      </c>
    </row>
    <row r="920" spans="9:238" x14ac:dyDescent="0.4">
      <c r="I920" s="305">
        <v>2014</v>
      </c>
      <c r="J920" s="306">
        <v>40</v>
      </c>
      <c r="K920" s="306" t="s">
        <v>33</v>
      </c>
      <c r="L920" s="306">
        <v>31889</v>
      </c>
      <c r="M920" s="306">
        <v>28563</v>
      </c>
      <c r="N920" s="306"/>
      <c r="O920" s="306">
        <v>3326</v>
      </c>
      <c r="P920" s="306">
        <v>2</v>
      </c>
      <c r="Q920" s="306"/>
      <c r="DJ920" s="24"/>
      <c r="DK920" s="24"/>
      <c r="DL920" s="24"/>
      <c r="DM920" s="24"/>
      <c r="EI920" s="24">
        <v>2022</v>
      </c>
      <c r="EJ920" s="24">
        <v>33</v>
      </c>
      <c r="EK920" s="24" t="s">
        <v>19</v>
      </c>
      <c r="EL920" s="24" t="s">
        <v>247</v>
      </c>
      <c r="EM920" s="24" t="s">
        <v>215</v>
      </c>
      <c r="EN920" s="24">
        <v>48</v>
      </c>
      <c r="EO920" s="24"/>
      <c r="EP920" s="24"/>
      <c r="ES920" s="24">
        <v>2016</v>
      </c>
      <c r="ET920" s="24">
        <v>10</v>
      </c>
      <c r="EU920" s="24" t="s">
        <v>33</v>
      </c>
      <c r="EV920" s="24">
        <v>36880</v>
      </c>
      <c r="FW920" s="24">
        <v>2014</v>
      </c>
      <c r="FX920" s="24">
        <v>39</v>
      </c>
      <c r="FY920" s="24" t="s">
        <v>32</v>
      </c>
      <c r="FZ920" s="24">
        <v>170</v>
      </c>
      <c r="GA920" s="24">
        <v>134</v>
      </c>
      <c r="GD920" s="24"/>
      <c r="GE920" s="24"/>
      <c r="GF920" s="24"/>
      <c r="GG920" s="24"/>
      <c r="GH920" s="24"/>
      <c r="GX920">
        <v>2014</v>
      </c>
      <c r="GY920">
        <v>39</v>
      </c>
      <c r="GZ920" t="s">
        <v>32</v>
      </c>
      <c r="HA920">
        <v>2120</v>
      </c>
      <c r="HB920">
        <v>1916</v>
      </c>
      <c r="HC920">
        <v>0</v>
      </c>
      <c r="HD920">
        <v>14</v>
      </c>
      <c r="HE920">
        <v>0</v>
      </c>
      <c r="HF920">
        <v>0</v>
      </c>
      <c r="HG920">
        <v>0</v>
      </c>
      <c r="HH920">
        <v>0</v>
      </c>
      <c r="HI920">
        <v>80</v>
      </c>
      <c r="HZ920" s="24">
        <v>2014</v>
      </c>
      <c r="IA920" s="24">
        <v>39</v>
      </c>
      <c r="IB920" s="24" t="s">
        <v>32</v>
      </c>
      <c r="IC920" s="24">
        <v>158</v>
      </c>
      <c r="ID920" s="24">
        <v>125</v>
      </c>
    </row>
    <row r="921" spans="9:238" x14ac:dyDescent="0.4">
      <c r="I921" s="305">
        <v>2014</v>
      </c>
      <c r="J921" s="306">
        <v>39</v>
      </c>
      <c r="K921" s="306" t="s">
        <v>32</v>
      </c>
      <c r="L921" s="306">
        <v>2167</v>
      </c>
      <c r="M921" s="306">
        <v>1944</v>
      </c>
      <c r="N921" s="306"/>
      <c r="O921" s="306">
        <v>223</v>
      </c>
      <c r="P921" s="306"/>
      <c r="Q921" s="306"/>
      <c r="DJ921" s="24"/>
      <c r="DK921" s="24"/>
      <c r="DL921" s="24"/>
      <c r="DM921" s="24"/>
      <c r="EI921" s="24">
        <v>2022</v>
      </c>
      <c r="EJ921" s="24">
        <v>33</v>
      </c>
      <c r="EK921" s="24" t="s">
        <v>208</v>
      </c>
      <c r="EL921" s="24" t="s">
        <v>351</v>
      </c>
      <c r="EM921" s="24" t="s">
        <v>234</v>
      </c>
      <c r="EN921" s="24">
        <v>3</v>
      </c>
      <c r="EO921" s="24"/>
      <c r="EP921" s="24"/>
      <c r="ES921" s="24">
        <v>2016</v>
      </c>
      <c r="ET921" s="24">
        <v>9</v>
      </c>
      <c r="EU921" s="24" t="s">
        <v>32</v>
      </c>
      <c r="EV921" s="24">
        <v>2418</v>
      </c>
      <c r="FW921" s="24">
        <v>2014</v>
      </c>
      <c r="FX921" s="24">
        <v>39</v>
      </c>
      <c r="FY921" s="24" t="s">
        <v>33</v>
      </c>
      <c r="FZ921" s="24">
        <v>1575</v>
      </c>
      <c r="GA921" s="24">
        <v>1281</v>
      </c>
      <c r="GD921" s="24"/>
      <c r="GE921" s="24"/>
      <c r="GF921" s="24"/>
      <c r="GG921" s="24"/>
      <c r="GH921" s="24"/>
      <c r="GX921">
        <v>2014</v>
      </c>
      <c r="GY921">
        <v>39</v>
      </c>
      <c r="GZ921" t="s">
        <v>33</v>
      </c>
      <c r="HA921">
        <v>34632</v>
      </c>
      <c r="HB921">
        <v>31619</v>
      </c>
      <c r="HC921">
        <v>0</v>
      </c>
      <c r="HD921">
        <v>1296</v>
      </c>
      <c r="HE921">
        <v>0</v>
      </c>
      <c r="HF921">
        <v>210</v>
      </c>
      <c r="HG921">
        <v>1</v>
      </c>
      <c r="HH921">
        <v>0</v>
      </c>
      <c r="HI921">
        <v>459</v>
      </c>
      <c r="HZ921" s="314">
        <v>2014</v>
      </c>
      <c r="IA921" s="314">
        <v>39</v>
      </c>
      <c r="IB921" s="314" t="s">
        <v>33</v>
      </c>
      <c r="IC921" s="314">
        <v>1534</v>
      </c>
      <c r="ID921" s="314">
        <v>1258</v>
      </c>
    </row>
    <row r="922" spans="9:238" x14ac:dyDescent="0.4">
      <c r="I922" s="305">
        <v>2014</v>
      </c>
      <c r="J922" s="306">
        <v>39</v>
      </c>
      <c r="K922" s="306" t="s">
        <v>33</v>
      </c>
      <c r="L922" s="306">
        <v>35401</v>
      </c>
      <c r="M922" s="306">
        <v>32301</v>
      </c>
      <c r="N922" s="306"/>
      <c r="O922" s="306">
        <v>3100</v>
      </c>
      <c r="P922" s="306">
        <v>3</v>
      </c>
      <c r="Q922" s="306"/>
      <c r="DJ922" s="24"/>
      <c r="DK922" s="24"/>
      <c r="DL922" s="24"/>
      <c r="DM922" s="24"/>
      <c r="EI922" s="24">
        <v>2022</v>
      </c>
      <c r="EJ922" s="24">
        <v>33</v>
      </c>
      <c r="EK922" s="24" t="s">
        <v>208</v>
      </c>
      <c r="EL922" s="24" t="s">
        <v>351</v>
      </c>
      <c r="EM922" s="24" t="s">
        <v>215</v>
      </c>
      <c r="EN922" s="24">
        <v>3</v>
      </c>
      <c r="EO922" s="24"/>
      <c r="EP922" s="24"/>
      <c r="ES922" s="24">
        <v>2016</v>
      </c>
      <c r="ET922" s="24">
        <v>9</v>
      </c>
      <c r="EU922" s="24" t="s">
        <v>33</v>
      </c>
      <c r="EV922" s="24">
        <v>46208</v>
      </c>
      <c r="FW922" s="24">
        <v>2014</v>
      </c>
      <c r="FX922" s="24">
        <v>38</v>
      </c>
      <c r="FY922" s="24" t="s">
        <v>32</v>
      </c>
      <c r="FZ922" s="24">
        <v>260</v>
      </c>
      <c r="GA922" s="24">
        <v>220</v>
      </c>
      <c r="GD922" s="24"/>
      <c r="GE922" s="24"/>
      <c r="GF922" s="24"/>
      <c r="GG922" s="24"/>
      <c r="GH922" s="24"/>
      <c r="GX922">
        <v>2014</v>
      </c>
      <c r="GY922">
        <v>38</v>
      </c>
      <c r="GZ922" t="s">
        <v>32</v>
      </c>
      <c r="HA922">
        <v>2404</v>
      </c>
      <c r="HB922">
        <v>2218</v>
      </c>
      <c r="HC922">
        <v>0</v>
      </c>
      <c r="HD922">
        <v>28</v>
      </c>
      <c r="HE922">
        <v>0</v>
      </c>
      <c r="HF922">
        <v>0</v>
      </c>
      <c r="HG922">
        <v>0</v>
      </c>
      <c r="HH922">
        <v>0</v>
      </c>
      <c r="HI922">
        <v>81</v>
      </c>
      <c r="HZ922" s="314">
        <v>2014</v>
      </c>
      <c r="IA922" s="314">
        <v>38</v>
      </c>
      <c r="IB922" s="314" t="s">
        <v>32</v>
      </c>
      <c r="IC922" s="314">
        <v>267</v>
      </c>
      <c r="ID922" s="314">
        <v>233</v>
      </c>
    </row>
    <row r="923" spans="9:238" x14ac:dyDescent="0.4">
      <c r="I923" s="305">
        <v>2014</v>
      </c>
      <c r="J923" s="306">
        <v>38</v>
      </c>
      <c r="K923" s="306" t="s">
        <v>32</v>
      </c>
      <c r="L923" s="306">
        <v>2344</v>
      </c>
      <c r="M923" s="306">
        <v>2162</v>
      </c>
      <c r="N923" s="306"/>
      <c r="O923" s="306">
        <v>182</v>
      </c>
      <c r="P923" s="306"/>
      <c r="Q923" s="306"/>
      <c r="DJ923" s="24"/>
      <c r="DK923" s="24"/>
      <c r="DL923" s="24"/>
      <c r="DM923" s="24"/>
      <c r="EI923" s="24">
        <v>2022</v>
      </c>
      <c r="EJ923" s="24">
        <v>33</v>
      </c>
      <c r="EK923" s="24" t="s">
        <v>208</v>
      </c>
      <c r="EL923" s="24" t="s">
        <v>235</v>
      </c>
      <c r="EM923" s="24" t="s">
        <v>210</v>
      </c>
      <c r="EN923" s="24">
        <v>5</v>
      </c>
      <c r="EO923" s="24"/>
      <c r="EP923" s="24"/>
      <c r="ES923" s="24">
        <v>2016</v>
      </c>
      <c r="ET923" s="24">
        <v>8</v>
      </c>
      <c r="EU923" s="24" t="s">
        <v>32</v>
      </c>
      <c r="EV923" s="24">
        <v>2134</v>
      </c>
      <c r="FW923" s="24">
        <v>2014</v>
      </c>
      <c r="FX923" s="24">
        <v>38</v>
      </c>
      <c r="FY923" s="24" t="s">
        <v>33</v>
      </c>
      <c r="FZ923" s="24">
        <v>1947</v>
      </c>
      <c r="GA923" s="24">
        <v>1528</v>
      </c>
      <c r="GD923" s="24"/>
      <c r="GE923" s="24"/>
      <c r="GF923" s="24"/>
      <c r="GG923" s="24"/>
      <c r="GH923" s="24"/>
      <c r="GX923">
        <v>2014</v>
      </c>
      <c r="GY923">
        <v>38</v>
      </c>
      <c r="GZ923" t="s">
        <v>33</v>
      </c>
      <c r="HA923">
        <v>37404</v>
      </c>
      <c r="HB923">
        <v>33170</v>
      </c>
      <c r="HC923">
        <v>2</v>
      </c>
      <c r="HD923">
        <v>1654</v>
      </c>
      <c r="HE923">
        <v>0</v>
      </c>
      <c r="HF923">
        <v>410</v>
      </c>
      <c r="HG923">
        <v>0</v>
      </c>
      <c r="HH923">
        <v>0</v>
      </c>
      <c r="HI923">
        <v>515</v>
      </c>
      <c r="HZ923" s="314">
        <v>2014</v>
      </c>
      <c r="IA923" s="314">
        <v>38</v>
      </c>
      <c r="IB923" s="314" t="s">
        <v>33</v>
      </c>
      <c r="IC923" s="314">
        <v>1900</v>
      </c>
      <c r="ID923" s="314">
        <v>1501</v>
      </c>
    </row>
    <row r="924" spans="9:238" x14ac:dyDescent="0.4">
      <c r="I924" s="305">
        <v>2014</v>
      </c>
      <c r="J924" s="306">
        <v>38</v>
      </c>
      <c r="K924" s="306" t="s">
        <v>33</v>
      </c>
      <c r="L924" s="306">
        <v>36915</v>
      </c>
      <c r="M924" s="306">
        <v>32756</v>
      </c>
      <c r="N924" s="306"/>
      <c r="O924" s="306">
        <v>4159</v>
      </c>
      <c r="P924" s="306">
        <v>3</v>
      </c>
      <c r="Q924" s="306"/>
      <c r="DJ924" s="24"/>
      <c r="DK924" s="24"/>
      <c r="DL924" s="24"/>
      <c r="DM924" s="24"/>
      <c r="EI924" s="24">
        <v>2022</v>
      </c>
      <c r="EJ924" s="24">
        <v>33</v>
      </c>
      <c r="EK924" s="24" t="s">
        <v>208</v>
      </c>
      <c r="EL924" s="24" t="s">
        <v>235</v>
      </c>
      <c r="EM924" s="24" t="s">
        <v>234</v>
      </c>
      <c r="EN924" s="24">
        <v>15</v>
      </c>
      <c r="EO924" s="24"/>
      <c r="EP924" s="24"/>
      <c r="ES924" s="24">
        <v>2016</v>
      </c>
      <c r="ET924" s="24">
        <v>8</v>
      </c>
      <c r="EU924" s="24" t="s">
        <v>33</v>
      </c>
      <c r="EV924" s="24">
        <v>34652</v>
      </c>
      <c r="FW924" s="24">
        <v>2014</v>
      </c>
      <c r="FX924" s="24">
        <v>37</v>
      </c>
      <c r="FY924" s="24" t="s">
        <v>32</v>
      </c>
      <c r="FZ924" s="24">
        <v>195</v>
      </c>
      <c r="GA924" s="24">
        <v>161</v>
      </c>
      <c r="GD924" s="24"/>
      <c r="GE924" s="24"/>
      <c r="GF924" s="24"/>
      <c r="GG924" s="24"/>
      <c r="GH924" s="24"/>
      <c r="GX924">
        <v>2014</v>
      </c>
      <c r="GY924">
        <v>37</v>
      </c>
      <c r="GZ924" t="s">
        <v>32</v>
      </c>
      <c r="HA924">
        <v>2379</v>
      </c>
      <c r="HB924">
        <v>2180</v>
      </c>
      <c r="HC924">
        <v>0</v>
      </c>
      <c r="HD924">
        <v>47</v>
      </c>
      <c r="HE924">
        <v>0</v>
      </c>
      <c r="HF924">
        <v>0</v>
      </c>
      <c r="HG924">
        <v>0</v>
      </c>
      <c r="HH924">
        <v>0</v>
      </c>
      <c r="HI924">
        <v>82</v>
      </c>
      <c r="HZ924" s="314">
        <v>2014</v>
      </c>
      <c r="IA924" s="314">
        <v>37</v>
      </c>
      <c r="IB924" s="314" t="s">
        <v>32</v>
      </c>
      <c r="IC924" s="314">
        <v>187</v>
      </c>
      <c r="ID924" s="314">
        <v>154</v>
      </c>
    </row>
    <row r="925" spans="9:238" x14ac:dyDescent="0.4">
      <c r="I925" s="305">
        <v>2014</v>
      </c>
      <c r="J925" s="306">
        <v>37</v>
      </c>
      <c r="K925" s="306" t="s">
        <v>32</v>
      </c>
      <c r="L925" s="306">
        <v>2441</v>
      </c>
      <c r="M925" s="306">
        <v>2269</v>
      </c>
      <c r="N925" s="306"/>
      <c r="O925" s="306">
        <v>172</v>
      </c>
      <c r="P925" s="306"/>
      <c r="Q925" s="306"/>
      <c r="DJ925" s="24"/>
      <c r="DK925" s="24"/>
      <c r="DL925" s="24"/>
      <c r="DM925" s="24"/>
      <c r="EI925" s="24">
        <v>2022</v>
      </c>
      <c r="EJ925" s="24">
        <v>33</v>
      </c>
      <c r="EK925" s="24" t="s">
        <v>208</v>
      </c>
      <c r="EL925" s="24" t="s">
        <v>235</v>
      </c>
      <c r="EM925" s="24" t="s">
        <v>215</v>
      </c>
      <c r="EN925" s="24">
        <v>7</v>
      </c>
      <c r="EO925" s="24"/>
      <c r="EP925" s="24"/>
      <c r="ES925" s="24">
        <v>2016</v>
      </c>
      <c r="ET925" s="24">
        <v>7</v>
      </c>
      <c r="EU925" s="24" t="s">
        <v>32</v>
      </c>
      <c r="EV925" s="24">
        <v>2673</v>
      </c>
      <c r="FW925" s="24">
        <v>2014</v>
      </c>
      <c r="FX925" s="24">
        <v>37</v>
      </c>
      <c r="FY925" s="24" t="s">
        <v>33</v>
      </c>
      <c r="FZ925" s="24">
        <v>2344</v>
      </c>
      <c r="GA925" s="24">
        <v>1859</v>
      </c>
      <c r="GD925" s="24"/>
      <c r="GE925" s="24"/>
      <c r="GF925" s="24"/>
      <c r="GG925" s="24"/>
      <c r="GH925" s="24"/>
      <c r="GX925">
        <v>2014</v>
      </c>
      <c r="GY925">
        <v>37</v>
      </c>
      <c r="GZ925" t="s">
        <v>33</v>
      </c>
      <c r="HA925">
        <v>35039</v>
      </c>
      <c r="HB925">
        <v>30997</v>
      </c>
      <c r="HC925">
        <v>0</v>
      </c>
      <c r="HD925">
        <v>1255</v>
      </c>
      <c r="HE925">
        <v>0</v>
      </c>
      <c r="HF925">
        <v>204</v>
      </c>
      <c r="HG925">
        <v>0</v>
      </c>
      <c r="HH925">
        <v>0</v>
      </c>
      <c r="HI925">
        <v>690</v>
      </c>
      <c r="HZ925" s="314">
        <v>2014</v>
      </c>
      <c r="IA925" s="314">
        <v>37</v>
      </c>
      <c r="IB925" s="314" t="s">
        <v>33</v>
      </c>
      <c r="IC925" s="314">
        <v>2242</v>
      </c>
      <c r="ID925" s="314">
        <v>1777</v>
      </c>
    </row>
    <row r="926" spans="9:238" x14ac:dyDescent="0.4">
      <c r="I926" s="305">
        <v>2014</v>
      </c>
      <c r="J926" s="306">
        <v>37</v>
      </c>
      <c r="K926" s="306" t="s">
        <v>33</v>
      </c>
      <c r="L926" s="306">
        <v>35755</v>
      </c>
      <c r="M926" s="306">
        <v>31858</v>
      </c>
      <c r="N926" s="306"/>
      <c r="O926" s="306">
        <v>3897</v>
      </c>
      <c r="P926" s="306">
        <v>6</v>
      </c>
      <c r="Q926" s="306"/>
      <c r="DJ926" s="24"/>
      <c r="DK926" s="24"/>
      <c r="DL926" s="24"/>
      <c r="DM926" s="24"/>
      <c r="EI926" s="24">
        <v>2022</v>
      </c>
      <c r="EJ926" s="24">
        <v>33</v>
      </c>
      <c r="EK926" s="24" t="s">
        <v>208</v>
      </c>
      <c r="EL926" s="24" t="s">
        <v>209</v>
      </c>
      <c r="EM926" s="24" t="s">
        <v>210</v>
      </c>
      <c r="EN926" s="24">
        <v>4</v>
      </c>
      <c r="EO926" s="24"/>
      <c r="EP926" s="24"/>
      <c r="ES926" s="24">
        <v>2016</v>
      </c>
      <c r="ET926" s="24">
        <v>7</v>
      </c>
      <c r="EU926" s="24" t="s">
        <v>33</v>
      </c>
      <c r="EV926" s="24">
        <v>29646</v>
      </c>
      <c r="FW926" s="24">
        <v>2014</v>
      </c>
      <c r="FX926" s="24">
        <v>36</v>
      </c>
      <c r="FY926" s="24" t="s">
        <v>32</v>
      </c>
      <c r="FZ926" s="24">
        <v>219</v>
      </c>
      <c r="GA926" s="24">
        <v>151</v>
      </c>
      <c r="GD926" s="24"/>
      <c r="GE926" s="24"/>
      <c r="GF926" s="24"/>
      <c r="GG926" s="24"/>
      <c r="GH926" s="24"/>
      <c r="GX926">
        <v>2014</v>
      </c>
      <c r="GY926">
        <v>36</v>
      </c>
      <c r="GZ926" t="s">
        <v>32</v>
      </c>
      <c r="HA926">
        <v>3561</v>
      </c>
      <c r="HB926">
        <v>3223</v>
      </c>
      <c r="HC926">
        <v>0</v>
      </c>
      <c r="HD926">
        <v>54</v>
      </c>
      <c r="HE926">
        <v>0</v>
      </c>
      <c r="HF926">
        <v>2</v>
      </c>
      <c r="HG926">
        <v>0</v>
      </c>
      <c r="HH926">
        <v>0</v>
      </c>
      <c r="HI926">
        <v>118</v>
      </c>
      <c r="HZ926" s="314">
        <v>2014</v>
      </c>
      <c r="IA926" s="314">
        <v>36</v>
      </c>
      <c r="IB926" s="314" t="s">
        <v>32</v>
      </c>
      <c r="IC926" s="314">
        <v>208</v>
      </c>
      <c r="ID926" s="314">
        <v>152</v>
      </c>
    </row>
    <row r="927" spans="9:238" x14ac:dyDescent="0.4">
      <c r="I927" s="305">
        <v>2014</v>
      </c>
      <c r="J927" s="306">
        <v>36</v>
      </c>
      <c r="K927" s="306" t="s">
        <v>32</v>
      </c>
      <c r="L927" s="306">
        <v>3705</v>
      </c>
      <c r="M927" s="306">
        <v>3377</v>
      </c>
      <c r="N927" s="306"/>
      <c r="O927" s="306">
        <v>328</v>
      </c>
      <c r="P927" s="306"/>
      <c r="Q927" s="306"/>
      <c r="DJ927" s="24"/>
      <c r="DK927" s="24"/>
      <c r="DL927" s="24"/>
      <c r="DM927" s="24"/>
      <c r="EI927" s="24">
        <v>2022</v>
      </c>
      <c r="EJ927" s="24">
        <v>33</v>
      </c>
      <c r="EK927" s="24" t="s">
        <v>208</v>
      </c>
      <c r="EL927" s="24" t="s">
        <v>247</v>
      </c>
      <c r="EM927" s="24" t="s">
        <v>234</v>
      </c>
      <c r="EN927" s="24">
        <v>1</v>
      </c>
      <c r="EO927" s="24"/>
      <c r="EP927" s="24"/>
      <c r="ES927" s="24">
        <v>2016</v>
      </c>
      <c r="ET927" s="24">
        <v>6</v>
      </c>
      <c r="EU927" s="24" t="s">
        <v>32</v>
      </c>
      <c r="EV927" s="24">
        <v>1916</v>
      </c>
      <c r="FW927" s="24">
        <v>2014</v>
      </c>
      <c r="FX927" s="24">
        <v>36</v>
      </c>
      <c r="FY927" s="24" t="s">
        <v>33</v>
      </c>
      <c r="FZ927" s="24">
        <v>2598</v>
      </c>
      <c r="GA927" s="24">
        <v>2003</v>
      </c>
      <c r="GD927" s="24"/>
      <c r="GE927" s="24"/>
      <c r="GF927" s="24"/>
      <c r="GG927" s="24"/>
      <c r="GH927" s="24"/>
      <c r="GX927">
        <v>2014</v>
      </c>
      <c r="GY927">
        <v>36</v>
      </c>
      <c r="GZ927" t="s">
        <v>33</v>
      </c>
      <c r="HA927">
        <v>37225</v>
      </c>
      <c r="HB927">
        <v>32951</v>
      </c>
      <c r="HC927">
        <v>0</v>
      </c>
      <c r="HD927">
        <v>1030</v>
      </c>
      <c r="HE927">
        <v>1</v>
      </c>
      <c r="HF927">
        <v>294</v>
      </c>
      <c r="HG927">
        <v>0</v>
      </c>
      <c r="HH927">
        <v>0</v>
      </c>
      <c r="HI927">
        <v>892</v>
      </c>
      <c r="HZ927" s="24">
        <v>2014</v>
      </c>
      <c r="IA927" s="24">
        <v>36</v>
      </c>
      <c r="IB927" s="24" t="s">
        <v>33</v>
      </c>
      <c r="IC927" s="24">
        <v>2785</v>
      </c>
      <c r="ID927" s="24">
        <v>2151</v>
      </c>
    </row>
    <row r="928" spans="9:238" x14ac:dyDescent="0.4">
      <c r="I928" s="305">
        <v>2014</v>
      </c>
      <c r="J928" s="306">
        <v>36</v>
      </c>
      <c r="K928" s="306" t="s">
        <v>33</v>
      </c>
      <c r="L928" s="306">
        <v>36575</v>
      </c>
      <c r="M928" s="306">
        <v>32444</v>
      </c>
      <c r="N928" s="306"/>
      <c r="O928" s="306">
        <v>4131</v>
      </c>
      <c r="P928" s="306"/>
      <c r="Q928" s="306">
        <v>1</v>
      </c>
      <c r="DJ928" s="24"/>
      <c r="DK928" s="24"/>
      <c r="DL928" s="24"/>
      <c r="DM928" s="24"/>
      <c r="EI928" s="24">
        <v>2022</v>
      </c>
      <c r="EJ928" s="24">
        <v>33</v>
      </c>
      <c r="EK928" s="24" t="s">
        <v>208</v>
      </c>
      <c r="EL928" s="24" t="s">
        <v>245</v>
      </c>
      <c r="EM928" s="24" t="s">
        <v>210</v>
      </c>
      <c r="EN928" s="24">
        <v>3</v>
      </c>
      <c r="EO928" s="24"/>
      <c r="EP928" s="24"/>
      <c r="ES928" s="24">
        <v>2016</v>
      </c>
      <c r="ET928" s="24">
        <v>6</v>
      </c>
      <c r="EU928" s="24" t="s">
        <v>33</v>
      </c>
      <c r="EV928" s="24">
        <v>29244</v>
      </c>
      <c r="FW928" s="24">
        <v>2014</v>
      </c>
      <c r="FX928" s="24">
        <v>35</v>
      </c>
      <c r="FY928" s="24" t="s">
        <v>32</v>
      </c>
      <c r="FZ928" s="24">
        <v>241</v>
      </c>
      <c r="GA928" s="24">
        <v>172</v>
      </c>
      <c r="GD928" s="24"/>
      <c r="GE928" s="24"/>
      <c r="GF928" s="24"/>
      <c r="GG928" s="24"/>
      <c r="GH928" s="24"/>
      <c r="GX928">
        <v>2014</v>
      </c>
      <c r="GY928">
        <v>35</v>
      </c>
      <c r="GZ928" t="s">
        <v>32</v>
      </c>
      <c r="HA928">
        <v>2387</v>
      </c>
      <c r="HB928">
        <v>2127</v>
      </c>
      <c r="HC928">
        <v>0</v>
      </c>
      <c r="HD928">
        <v>13</v>
      </c>
      <c r="HE928">
        <v>0</v>
      </c>
      <c r="HF928">
        <v>0</v>
      </c>
      <c r="HG928">
        <v>0</v>
      </c>
      <c r="HH928">
        <v>0</v>
      </c>
      <c r="HI928">
        <v>94</v>
      </c>
      <c r="HZ928" s="24">
        <v>2014</v>
      </c>
      <c r="IA928" s="24">
        <v>35</v>
      </c>
      <c r="IB928" s="24" t="s">
        <v>32</v>
      </c>
      <c r="IC928" s="24">
        <v>247</v>
      </c>
      <c r="ID928" s="24">
        <v>174</v>
      </c>
    </row>
    <row r="929" spans="9:238" x14ac:dyDescent="0.4">
      <c r="I929" s="305">
        <v>2014</v>
      </c>
      <c r="J929" s="306">
        <v>35</v>
      </c>
      <c r="K929" s="306" t="s">
        <v>32</v>
      </c>
      <c r="L929" s="306">
        <v>2229</v>
      </c>
      <c r="M929" s="306">
        <v>1947</v>
      </c>
      <c r="N929" s="306"/>
      <c r="O929" s="306">
        <v>282</v>
      </c>
      <c r="P929" s="306"/>
      <c r="Q929" s="306"/>
      <c r="DJ929" s="24"/>
      <c r="DK929" s="24"/>
      <c r="DL929" s="24"/>
      <c r="DM929" s="24"/>
      <c r="EI929" s="24">
        <v>2022</v>
      </c>
      <c r="EJ929" s="24">
        <v>33</v>
      </c>
      <c r="EK929" s="24" t="s">
        <v>208</v>
      </c>
      <c r="EL929" s="24" t="s">
        <v>245</v>
      </c>
      <c r="EM929" s="24" t="s">
        <v>234</v>
      </c>
      <c r="EN929" s="24">
        <v>2</v>
      </c>
      <c r="EO929" s="24"/>
      <c r="EP929" s="24"/>
      <c r="ES929" s="24">
        <v>2016</v>
      </c>
      <c r="ET929" s="24">
        <v>5</v>
      </c>
      <c r="EU929" s="24" t="s">
        <v>32</v>
      </c>
      <c r="EV929" s="24">
        <v>1940</v>
      </c>
      <c r="FW929" s="24">
        <v>2014</v>
      </c>
      <c r="FX929" s="24">
        <v>35</v>
      </c>
      <c r="FY929" s="24" t="s">
        <v>33</v>
      </c>
      <c r="FZ929" s="24">
        <v>1808</v>
      </c>
      <c r="GA929" s="24">
        <v>1226</v>
      </c>
      <c r="GX929">
        <v>2014</v>
      </c>
      <c r="GY929">
        <v>35</v>
      </c>
      <c r="GZ929" t="s">
        <v>33</v>
      </c>
      <c r="HA929">
        <v>32661</v>
      </c>
      <c r="HB929">
        <v>27766</v>
      </c>
      <c r="HC929">
        <v>0</v>
      </c>
      <c r="HD929">
        <v>1015</v>
      </c>
      <c r="HE929">
        <v>0</v>
      </c>
      <c r="HF929">
        <v>537</v>
      </c>
      <c r="HG929">
        <v>0</v>
      </c>
      <c r="HH929">
        <v>0</v>
      </c>
      <c r="HI929">
        <v>500</v>
      </c>
      <c r="HZ929" s="315">
        <v>2014</v>
      </c>
      <c r="IA929" s="315">
        <v>35</v>
      </c>
      <c r="IB929" s="315" t="s">
        <v>33</v>
      </c>
      <c r="IC929" s="315">
        <v>1799</v>
      </c>
      <c r="ID929" s="315">
        <v>1251</v>
      </c>
    </row>
    <row r="930" spans="9:238" x14ac:dyDescent="0.4">
      <c r="I930" s="305">
        <v>2014</v>
      </c>
      <c r="J930" s="306">
        <v>35</v>
      </c>
      <c r="K930" s="306" t="s">
        <v>33</v>
      </c>
      <c r="L930" s="306">
        <v>32550</v>
      </c>
      <c r="M930" s="306">
        <v>27425</v>
      </c>
      <c r="N930" s="306"/>
      <c r="O930" s="306">
        <v>5125</v>
      </c>
      <c r="P930" s="306">
        <v>2</v>
      </c>
      <c r="Q930" s="306"/>
      <c r="DJ930" s="24"/>
      <c r="DK930" s="24"/>
      <c r="DL930" s="24"/>
      <c r="DM930" s="24"/>
      <c r="EI930" s="24">
        <v>2022</v>
      </c>
      <c r="EJ930" s="24">
        <v>33</v>
      </c>
      <c r="EK930" s="24" t="s">
        <v>33</v>
      </c>
      <c r="EL930" s="24" t="s">
        <v>238</v>
      </c>
      <c r="EM930" s="24" t="s">
        <v>210</v>
      </c>
      <c r="EN930" s="24">
        <v>100</v>
      </c>
      <c r="EO930" s="24"/>
      <c r="EP930" s="24"/>
      <c r="ES930" s="24">
        <v>2016</v>
      </c>
      <c r="ET930" s="24">
        <v>5</v>
      </c>
      <c r="EU930" s="24" t="s">
        <v>33</v>
      </c>
      <c r="EV930" s="24">
        <v>29273</v>
      </c>
      <c r="FW930" s="24">
        <v>2014</v>
      </c>
      <c r="FX930" s="24">
        <v>34</v>
      </c>
      <c r="FY930" s="24" t="s">
        <v>32</v>
      </c>
      <c r="FZ930" s="24">
        <v>268</v>
      </c>
      <c r="GA930" s="24">
        <v>191</v>
      </c>
      <c r="GX930">
        <v>2014</v>
      </c>
      <c r="GY930">
        <v>34</v>
      </c>
      <c r="GZ930" t="s">
        <v>32</v>
      </c>
      <c r="HA930">
        <v>2255</v>
      </c>
      <c r="HB930">
        <v>2004</v>
      </c>
      <c r="HC930">
        <v>0</v>
      </c>
      <c r="HD930">
        <v>25</v>
      </c>
      <c r="HE930">
        <v>0</v>
      </c>
      <c r="HF930">
        <v>0</v>
      </c>
      <c r="HG930">
        <v>0</v>
      </c>
      <c r="HH930">
        <v>0</v>
      </c>
      <c r="HI930">
        <v>120</v>
      </c>
      <c r="HZ930" s="315">
        <v>2014</v>
      </c>
      <c r="IA930" s="315">
        <v>34</v>
      </c>
      <c r="IB930" s="315" t="s">
        <v>32</v>
      </c>
      <c r="IC930" s="315">
        <v>264</v>
      </c>
      <c r="ID930" s="315">
        <v>185</v>
      </c>
    </row>
    <row r="931" spans="9:238" x14ac:dyDescent="0.4">
      <c r="I931" s="305">
        <v>2014</v>
      </c>
      <c r="J931" s="306">
        <v>34</v>
      </c>
      <c r="K931" s="306" t="s">
        <v>32</v>
      </c>
      <c r="L931" s="306">
        <v>2310</v>
      </c>
      <c r="M931" s="306">
        <v>1990</v>
      </c>
      <c r="N931" s="306"/>
      <c r="O931" s="306">
        <v>320</v>
      </c>
      <c r="P931" s="306"/>
      <c r="Q931" s="306"/>
      <c r="DJ931" s="24"/>
      <c r="DK931" s="24"/>
      <c r="DL931" s="24"/>
      <c r="DM931" s="24"/>
      <c r="EI931" s="24">
        <v>2022</v>
      </c>
      <c r="EJ931" s="24">
        <v>33</v>
      </c>
      <c r="EK931" s="24" t="s">
        <v>33</v>
      </c>
      <c r="EL931" s="24" t="s">
        <v>247</v>
      </c>
      <c r="EM931" s="24" t="s">
        <v>215</v>
      </c>
      <c r="EN931" s="24">
        <v>3</v>
      </c>
      <c r="EO931" s="24"/>
      <c r="EP931" s="24"/>
      <c r="ES931" s="24">
        <v>2016</v>
      </c>
      <c r="ET931" s="24">
        <v>4</v>
      </c>
      <c r="EU931" s="24" t="s">
        <v>32</v>
      </c>
      <c r="EV931" s="24">
        <v>2514</v>
      </c>
      <c r="FW931" s="24">
        <v>2014</v>
      </c>
      <c r="FX931" s="24">
        <v>34</v>
      </c>
      <c r="FY931" s="24" t="s">
        <v>33</v>
      </c>
      <c r="FZ931" s="24">
        <v>2363</v>
      </c>
      <c r="GA931" s="24">
        <v>1675</v>
      </c>
      <c r="GX931">
        <v>2014</v>
      </c>
      <c r="GY931">
        <v>34</v>
      </c>
      <c r="GZ931" t="s">
        <v>33</v>
      </c>
      <c r="HA931">
        <v>36963</v>
      </c>
      <c r="HB931">
        <v>32662</v>
      </c>
      <c r="HC931">
        <v>0</v>
      </c>
      <c r="HD931">
        <v>1094</v>
      </c>
      <c r="HE931">
        <v>0</v>
      </c>
      <c r="HF931">
        <v>509</v>
      </c>
      <c r="HG931">
        <v>0</v>
      </c>
      <c r="HH931">
        <v>0</v>
      </c>
      <c r="HI931">
        <v>721</v>
      </c>
      <c r="HZ931" s="24">
        <v>2014</v>
      </c>
      <c r="IA931" s="24">
        <v>34</v>
      </c>
      <c r="IB931" s="24" t="s">
        <v>33</v>
      </c>
      <c r="IC931" s="24">
        <v>2345</v>
      </c>
      <c r="ID931" s="24">
        <v>1673</v>
      </c>
    </row>
    <row r="932" spans="9:238" x14ac:dyDescent="0.4">
      <c r="I932" s="305">
        <v>2014</v>
      </c>
      <c r="J932" s="306">
        <v>34</v>
      </c>
      <c r="K932" s="306" t="s">
        <v>33</v>
      </c>
      <c r="L932" s="306">
        <v>36955</v>
      </c>
      <c r="M932" s="306">
        <v>32014</v>
      </c>
      <c r="N932" s="306"/>
      <c r="O932" s="306">
        <v>4939</v>
      </c>
      <c r="P932" s="306"/>
      <c r="Q932" s="306"/>
      <c r="DJ932" s="24"/>
      <c r="DK932" s="24"/>
      <c r="DL932" s="24"/>
      <c r="DM932" s="24"/>
      <c r="EI932" s="24">
        <v>2022</v>
      </c>
      <c r="EJ932" s="24">
        <v>33</v>
      </c>
      <c r="EK932" s="24" t="s">
        <v>237</v>
      </c>
      <c r="EL932" s="24" t="s">
        <v>557</v>
      </c>
      <c r="EM932" s="24" t="s">
        <v>210</v>
      </c>
      <c r="EN932" s="24">
        <v>1</v>
      </c>
      <c r="EO932" s="24"/>
      <c r="EP932" s="24"/>
      <c r="ES932" s="324">
        <v>2016</v>
      </c>
      <c r="ET932" s="324">
        <v>4</v>
      </c>
      <c r="EU932" s="324" t="s">
        <v>33</v>
      </c>
      <c r="EV932" s="324">
        <v>29645</v>
      </c>
      <c r="FW932" s="24">
        <v>2014</v>
      </c>
      <c r="FX932" s="24">
        <v>33</v>
      </c>
      <c r="FY932" s="24" t="s">
        <v>32</v>
      </c>
      <c r="FZ932" s="24">
        <v>265</v>
      </c>
      <c r="GA932" s="24">
        <v>232</v>
      </c>
      <c r="GX932">
        <v>2014</v>
      </c>
      <c r="GY932">
        <v>33</v>
      </c>
      <c r="GZ932" t="s">
        <v>32</v>
      </c>
      <c r="HA932">
        <v>2486</v>
      </c>
      <c r="HB932">
        <v>2272</v>
      </c>
      <c r="HC932">
        <v>0</v>
      </c>
      <c r="HD932">
        <v>40</v>
      </c>
      <c r="HE932">
        <v>0</v>
      </c>
      <c r="HF932">
        <v>2</v>
      </c>
      <c r="HG932">
        <v>0</v>
      </c>
      <c r="HH932">
        <v>0</v>
      </c>
      <c r="HI932">
        <v>54</v>
      </c>
      <c r="HZ932" s="24">
        <v>2014</v>
      </c>
      <c r="IA932" s="24">
        <v>33</v>
      </c>
      <c r="IB932" s="24" t="s">
        <v>32</v>
      </c>
      <c r="IC932" s="24">
        <v>264</v>
      </c>
      <c r="ID932" s="24">
        <v>229</v>
      </c>
    </row>
    <row r="933" spans="9:238" x14ac:dyDescent="0.4">
      <c r="I933" s="305">
        <v>2014</v>
      </c>
      <c r="J933" s="306">
        <v>33</v>
      </c>
      <c r="K933" s="306" t="s">
        <v>32</v>
      </c>
      <c r="L933" s="306">
        <v>2441</v>
      </c>
      <c r="M933" s="306">
        <v>2232</v>
      </c>
      <c r="N933" s="306"/>
      <c r="O933" s="306">
        <v>209</v>
      </c>
      <c r="P933" s="306">
        <v>1</v>
      </c>
      <c r="Q933" s="306"/>
      <c r="DJ933" s="24"/>
      <c r="DK933" s="24"/>
      <c r="DL933" s="24"/>
      <c r="DM933" s="24"/>
      <c r="EI933" s="24">
        <v>2022</v>
      </c>
      <c r="EJ933" s="24">
        <v>33</v>
      </c>
      <c r="EK933" s="24" t="s">
        <v>237</v>
      </c>
      <c r="EL933" s="24" t="s">
        <v>557</v>
      </c>
      <c r="EM933" s="24" t="s">
        <v>215</v>
      </c>
      <c r="EN933" s="24">
        <v>3</v>
      </c>
      <c r="EO933" s="24"/>
      <c r="EP933" s="24"/>
      <c r="ES933" s="324">
        <v>2016</v>
      </c>
      <c r="ET933" s="324">
        <v>3</v>
      </c>
      <c r="EU933" s="324" t="s">
        <v>32</v>
      </c>
      <c r="EV933" s="324">
        <v>2206</v>
      </c>
      <c r="FW933" s="24">
        <v>2014</v>
      </c>
      <c r="FX933" s="24">
        <v>33</v>
      </c>
      <c r="FY933" s="24" t="s">
        <v>33</v>
      </c>
      <c r="FZ933" s="24">
        <v>1782</v>
      </c>
      <c r="GA933" s="24">
        <v>1408</v>
      </c>
      <c r="GX933">
        <v>2014</v>
      </c>
      <c r="GY933">
        <v>33</v>
      </c>
      <c r="GZ933" t="s">
        <v>33</v>
      </c>
      <c r="HA933">
        <v>27770</v>
      </c>
      <c r="HB933">
        <v>25467</v>
      </c>
      <c r="HC933">
        <v>0</v>
      </c>
      <c r="HD933">
        <v>776</v>
      </c>
      <c r="HE933">
        <v>0</v>
      </c>
      <c r="HF933">
        <v>226</v>
      </c>
      <c r="HG933">
        <v>0</v>
      </c>
      <c r="HH933">
        <v>0</v>
      </c>
      <c r="HI933">
        <v>442</v>
      </c>
      <c r="HZ933" s="24">
        <v>2014</v>
      </c>
      <c r="IA933" s="24">
        <v>33</v>
      </c>
      <c r="IB933" s="24" t="s">
        <v>33</v>
      </c>
      <c r="IC933" s="24">
        <v>1739</v>
      </c>
      <c r="ID933" s="24">
        <v>1378</v>
      </c>
    </row>
    <row r="934" spans="9:238" x14ac:dyDescent="0.4">
      <c r="I934" s="305">
        <v>2014</v>
      </c>
      <c r="J934" s="306">
        <v>33</v>
      </c>
      <c r="K934" s="306" t="s">
        <v>33</v>
      </c>
      <c r="L934" s="306">
        <v>31657</v>
      </c>
      <c r="M934" s="306">
        <v>28833</v>
      </c>
      <c r="N934" s="306"/>
      <c r="O934" s="306">
        <v>2824</v>
      </c>
      <c r="P934" s="306"/>
      <c r="Q934" s="306"/>
      <c r="DJ934" s="24"/>
      <c r="DK934" s="24"/>
      <c r="DL934" s="24"/>
      <c r="DM934" s="24"/>
      <c r="EI934" s="24">
        <v>2022</v>
      </c>
      <c r="EJ934" s="24">
        <v>33</v>
      </c>
      <c r="EK934" s="24" t="s">
        <v>237</v>
      </c>
      <c r="EL934" s="24" t="s">
        <v>233</v>
      </c>
      <c r="EM934" s="24" t="s">
        <v>210</v>
      </c>
      <c r="EN934" s="24">
        <v>5</v>
      </c>
      <c r="EO934" s="24"/>
      <c r="EP934" s="24"/>
      <c r="ES934" s="324">
        <v>2016</v>
      </c>
      <c r="ET934" s="324">
        <v>3</v>
      </c>
      <c r="EU934" s="324" t="s">
        <v>33</v>
      </c>
      <c r="EV934" s="324">
        <v>29182</v>
      </c>
      <c r="FW934" s="24">
        <v>2014</v>
      </c>
      <c r="FX934" s="24">
        <v>32</v>
      </c>
      <c r="FY934" s="24" t="s">
        <v>32</v>
      </c>
      <c r="FZ934" s="24">
        <v>225</v>
      </c>
      <c r="GA934" s="24">
        <v>182</v>
      </c>
      <c r="GX934">
        <v>2014</v>
      </c>
      <c r="GY934">
        <v>32</v>
      </c>
      <c r="GZ934" t="s">
        <v>32</v>
      </c>
      <c r="HA934">
        <v>3233</v>
      </c>
      <c r="HB934">
        <v>2943</v>
      </c>
      <c r="HC934">
        <v>0</v>
      </c>
      <c r="HD934">
        <v>39</v>
      </c>
      <c r="HE934">
        <v>0</v>
      </c>
      <c r="HF934">
        <v>28</v>
      </c>
      <c r="HG934">
        <v>0</v>
      </c>
      <c r="HH934">
        <v>0</v>
      </c>
      <c r="HI934">
        <v>85</v>
      </c>
      <c r="HZ934" s="24">
        <v>2014</v>
      </c>
      <c r="IA934" s="24">
        <v>32</v>
      </c>
      <c r="IB934" s="24" t="s">
        <v>32</v>
      </c>
      <c r="IC934" s="24">
        <v>217</v>
      </c>
      <c r="ID934" s="24">
        <v>174</v>
      </c>
    </row>
    <row r="935" spans="9:238" x14ac:dyDescent="0.4">
      <c r="I935" s="305">
        <v>2014</v>
      </c>
      <c r="J935" s="306">
        <v>32</v>
      </c>
      <c r="K935" s="306" t="s">
        <v>32</v>
      </c>
      <c r="L935" s="306">
        <v>3310</v>
      </c>
      <c r="M935" s="306">
        <v>2977</v>
      </c>
      <c r="N935" s="306"/>
      <c r="O935" s="306">
        <v>333</v>
      </c>
      <c r="P935" s="306"/>
      <c r="Q935" s="306"/>
      <c r="DJ935" s="24"/>
      <c r="DK935" s="24"/>
      <c r="DL935" s="24"/>
      <c r="DM935" s="24"/>
      <c r="EI935" s="24">
        <v>2022</v>
      </c>
      <c r="EJ935" s="24">
        <v>33</v>
      </c>
      <c r="EK935" s="24" t="s">
        <v>237</v>
      </c>
      <c r="EL935" s="24" t="s">
        <v>233</v>
      </c>
      <c r="EM935" s="24" t="s">
        <v>234</v>
      </c>
      <c r="EN935" s="24">
        <v>8</v>
      </c>
      <c r="EO935" s="24"/>
      <c r="EP935" s="24"/>
      <c r="ES935" s="24">
        <v>2016</v>
      </c>
      <c r="ET935" s="24">
        <v>2</v>
      </c>
      <c r="EU935" s="24" t="s">
        <v>32</v>
      </c>
      <c r="EV935" s="24">
        <v>2390</v>
      </c>
      <c r="FW935" s="24">
        <v>2014</v>
      </c>
      <c r="FX935" s="24">
        <v>32</v>
      </c>
      <c r="FY935" s="24" t="s">
        <v>33</v>
      </c>
      <c r="FZ935" s="24">
        <v>1602</v>
      </c>
      <c r="GA935" s="24">
        <v>1127</v>
      </c>
      <c r="GX935">
        <v>2014</v>
      </c>
      <c r="GY935">
        <v>32</v>
      </c>
      <c r="GZ935" t="s">
        <v>33</v>
      </c>
      <c r="HA935">
        <v>30890</v>
      </c>
      <c r="HB935">
        <v>27550</v>
      </c>
      <c r="HC935">
        <v>0</v>
      </c>
      <c r="HD935">
        <v>1197</v>
      </c>
      <c r="HE935">
        <v>0</v>
      </c>
      <c r="HF935">
        <v>445</v>
      </c>
      <c r="HG935">
        <v>0</v>
      </c>
      <c r="HH935">
        <v>0</v>
      </c>
      <c r="HI935">
        <v>402</v>
      </c>
      <c r="HZ935" s="316">
        <v>2014</v>
      </c>
      <c r="IA935" s="316">
        <v>32</v>
      </c>
      <c r="IB935" s="316" t="s">
        <v>33</v>
      </c>
      <c r="IC935" s="316">
        <v>1540</v>
      </c>
      <c r="ID935" s="316">
        <v>1087</v>
      </c>
    </row>
    <row r="936" spans="9:238" x14ac:dyDescent="0.4">
      <c r="I936" s="305">
        <v>2014</v>
      </c>
      <c r="J936" s="306">
        <v>32</v>
      </c>
      <c r="K936" s="306" t="s">
        <v>33</v>
      </c>
      <c r="L936" s="306">
        <v>31920</v>
      </c>
      <c r="M936" s="306">
        <v>27960</v>
      </c>
      <c r="N936" s="306"/>
      <c r="O936" s="306">
        <v>3960</v>
      </c>
      <c r="P936" s="306"/>
      <c r="Q936" s="306"/>
      <c r="DJ936" s="24"/>
      <c r="DK936" s="24"/>
      <c r="DL936" s="24"/>
      <c r="DM936" s="24"/>
      <c r="EI936" s="24">
        <v>2022</v>
      </c>
      <c r="EJ936" s="24">
        <v>33</v>
      </c>
      <c r="EK936" s="24" t="s">
        <v>237</v>
      </c>
      <c r="EL936" s="24" t="s">
        <v>233</v>
      </c>
      <c r="EM936" s="24" t="s">
        <v>215</v>
      </c>
      <c r="EN936" s="24">
        <v>8</v>
      </c>
      <c r="EO936" s="24"/>
      <c r="EP936" s="24"/>
      <c r="ES936" s="24">
        <v>2016</v>
      </c>
      <c r="ET936" s="24">
        <v>2</v>
      </c>
      <c r="EU936" s="24" t="s">
        <v>33</v>
      </c>
      <c r="EV936" s="24">
        <v>29573</v>
      </c>
      <c r="FW936" s="24">
        <v>2014</v>
      </c>
      <c r="FX936" s="24">
        <v>31</v>
      </c>
      <c r="FY936" s="24" t="s">
        <v>32</v>
      </c>
      <c r="FZ936" s="24">
        <v>147</v>
      </c>
      <c r="GA936" s="24">
        <v>104</v>
      </c>
      <c r="GX936">
        <v>2014</v>
      </c>
      <c r="GY936">
        <v>31</v>
      </c>
      <c r="GZ936" t="s">
        <v>32</v>
      </c>
      <c r="HA936">
        <v>1892</v>
      </c>
      <c r="HB936">
        <v>1665</v>
      </c>
      <c r="HC936">
        <v>0</v>
      </c>
      <c r="HD936">
        <v>38</v>
      </c>
      <c r="HE936">
        <v>0</v>
      </c>
      <c r="HF936">
        <v>0</v>
      </c>
      <c r="HG936">
        <v>0</v>
      </c>
      <c r="HH936">
        <v>0</v>
      </c>
      <c r="HI936">
        <v>79</v>
      </c>
      <c r="HZ936" s="316">
        <v>2014</v>
      </c>
      <c r="IA936" s="316">
        <v>31</v>
      </c>
      <c r="IB936" s="316" t="s">
        <v>32</v>
      </c>
      <c r="IC936" s="316">
        <v>157</v>
      </c>
      <c r="ID936" s="316">
        <v>112</v>
      </c>
    </row>
    <row r="937" spans="9:238" x14ac:dyDescent="0.4">
      <c r="I937" s="305">
        <v>2014</v>
      </c>
      <c r="J937" s="306">
        <v>31</v>
      </c>
      <c r="K937" s="306" t="s">
        <v>32</v>
      </c>
      <c r="L937" s="306">
        <v>1831</v>
      </c>
      <c r="M937" s="306">
        <v>1631</v>
      </c>
      <c r="N937" s="306"/>
      <c r="O937" s="306">
        <v>200</v>
      </c>
      <c r="P937" s="306"/>
      <c r="Q937" s="306"/>
      <c r="DJ937" s="24"/>
      <c r="DK937" s="24"/>
      <c r="DL937" s="24"/>
      <c r="DM937" s="24"/>
      <c r="EI937" s="24">
        <v>2022</v>
      </c>
      <c r="EJ937" s="24">
        <v>33</v>
      </c>
      <c r="EK937" s="24" t="s">
        <v>237</v>
      </c>
      <c r="EL937" s="24" t="s">
        <v>235</v>
      </c>
      <c r="EM937" s="24" t="s">
        <v>234</v>
      </c>
      <c r="EN937" s="24">
        <v>1</v>
      </c>
      <c r="EO937" s="24"/>
      <c r="EP937" s="24"/>
      <c r="ES937" s="24">
        <v>2016</v>
      </c>
      <c r="ET937" s="24">
        <v>1</v>
      </c>
      <c r="EU937" s="24" t="s">
        <v>32</v>
      </c>
      <c r="EV937" s="24">
        <v>2108</v>
      </c>
      <c r="FW937" s="24">
        <v>2014</v>
      </c>
      <c r="FX937" s="24">
        <v>31</v>
      </c>
      <c r="FY937" s="24" t="s">
        <v>33</v>
      </c>
      <c r="FZ937" s="24">
        <v>1704</v>
      </c>
      <c r="GA937" s="24">
        <v>1036</v>
      </c>
      <c r="GX937">
        <v>2014</v>
      </c>
      <c r="GY937">
        <v>31</v>
      </c>
      <c r="GZ937" t="s">
        <v>33</v>
      </c>
      <c r="HA937">
        <v>36473</v>
      </c>
      <c r="HB937">
        <v>32792</v>
      </c>
      <c r="HC937">
        <v>0</v>
      </c>
      <c r="HD937">
        <v>1107</v>
      </c>
      <c r="HE937">
        <v>0</v>
      </c>
      <c r="HF937">
        <v>268</v>
      </c>
      <c r="HG937">
        <v>0</v>
      </c>
      <c r="HH937">
        <v>0</v>
      </c>
      <c r="HI937">
        <v>581</v>
      </c>
      <c r="HZ937" s="316">
        <v>2014</v>
      </c>
      <c r="IA937" s="316">
        <v>31</v>
      </c>
      <c r="IB937" s="316" t="s">
        <v>33</v>
      </c>
      <c r="IC937" s="316">
        <v>1771</v>
      </c>
      <c r="ID937" s="316">
        <v>1150</v>
      </c>
    </row>
    <row r="938" spans="9:238" x14ac:dyDescent="0.4">
      <c r="I938" s="305">
        <v>2014</v>
      </c>
      <c r="J938" s="306">
        <v>31</v>
      </c>
      <c r="K938" s="306" t="s">
        <v>33</v>
      </c>
      <c r="L938" s="306">
        <v>36928</v>
      </c>
      <c r="M938" s="306">
        <v>32971</v>
      </c>
      <c r="N938" s="306"/>
      <c r="O938" s="306">
        <v>3957</v>
      </c>
      <c r="P938" s="306"/>
      <c r="Q938" s="306"/>
      <c r="DJ938" s="24"/>
      <c r="DK938" s="24"/>
      <c r="DL938" s="24"/>
      <c r="DM938" s="24"/>
      <c r="EI938" s="24">
        <v>2022</v>
      </c>
      <c r="EJ938" s="24">
        <v>33</v>
      </c>
      <c r="EK938" s="24" t="s">
        <v>237</v>
      </c>
      <c r="EL938" s="24" t="s">
        <v>235</v>
      </c>
      <c r="EM938" s="24" t="s">
        <v>215</v>
      </c>
      <c r="EN938" s="24">
        <v>3</v>
      </c>
      <c r="EO938" s="24"/>
      <c r="EP938" s="24"/>
      <c r="ES938" s="24">
        <v>2016</v>
      </c>
      <c r="ET938" s="24">
        <v>1</v>
      </c>
      <c r="EU938" s="24" t="s">
        <v>33</v>
      </c>
      <c r="EV938" s="24">
        <v>27450</v>
      </c>
      <c r="FW938" s="24">
        <v>2014</v>
      </c>
      <c r="FX938" s="24">
        <v>30</v>
      </c>
      <c r="FY938" s="24" t="s">
        <v>32</v>
      </c>
      <c r="FZ938" s="24">
        <v>250</v>
      </c>
      <c r="GA938" s="24">
        <v>165</v>
      </c>
      <c r="GX938">
        <v>2014</v>
      </c>
      <c r="GY938">
        <v>30</v>
      </c>
      <c r="GZ938" t="s">
        <v>32</v>
      </c>
      <c r="HA938">
        <v>1792</v>
      </c>
      <c r="HB938">
        <v>1539</v>
      </c>
      <c r="HC938">
        <v>0</v>
      </c>
      <c r="HD938">
        <v>35</v>
      </c>
      <c r="HE938">
        <v>0</v>
      </c>
      <c r="HF938">
        <v>1</v>
      </c>
      <c r="HG938">
        <v>0</v>
      </c>
      <c r="HH938">
        <v>0</v>
      </c>
      <c r="HI938">
        <v>126</v>
      </c>
      <c r="HZ938" s="316">
        <v>2014</v>
      </c>
      <c r="IA938" s="316">
        <v>30</v>
      </c>
      <c r="IB938" s="316" t="s">
        <v>32</v>
      </c>
      <c r="IC938" s="316">
        <v>229</v>
      </c>
      <c r="ID938" s="316">
        <v>146</v>
      </c>
    </row>
    <row r="939" spans="9:238" x14ac:dyDescent="0.4">
      <c r="I939" s="305">
        <v>2014</v>
      </c>
      <c r="J939" s="306">
        <v>30</v>
      </c>
      <c r="K939" s="306" t="s">
        <v>32</v>
      </c>
      <c r="L939" s="306">
        <v>1815</v>
      </c>
      <c r="M939" s="306">
        <v>1580</v>
      </c>
      <c r="N939" s="306"/>
      <c r="O939" s="306">
        <v>235</v>
      </c>
      <c r="P939" s="306"/>
      <c r="Q939" s="306"/>
      <c r="DJ939" s="24"/>
      <c r="DK939" s="24"/>
      <c r="DL939" s="24"/>
      <c r="DM939" s="24"/>
      <c r="EI939" s="24">
        <v>2022</v>
      </c>
      <c r="EJ939" s="24">
        <v>33</v>
      </c>
      <c r="EK939" s="24" t="s">
        <v>237</v>
      </c>
      <c r="EL939" s="24" t="s">
        <v>247</v>
      </c>
      <c r="EM939" s="24" t="s">
        <v>234</v>
      </c>
      <c r="EN939" s="24">
        <v>1</v>
      </c>
      <c r="EO939" s="24"/>
      <c r="EP939" s="24"/>
      <c r="ES939" s="24">
        <v>2015</v>
      </c>
      <c r="ET939" s="24">
        <v>53</v>
      </c>
      <c r="EU939" s="24" t="s">
        <v>32</v>
      </c>
      <c r="EV939" s="24">
        <v>1546</v>
      </c>
      <c r="FW939" s="24">
        <v>2014</v>
      </c>
      <c r="FX939" s="24">
        <v>30</v>
      </c>
      <c r="FY939" s="24" t="s">
        <v>33</v>
      </c>
      <c r="FZ939" s="24">
        <v>1607</v>
      </c>
      <c r="GA939" s="24">
        <v>1025</v>
      </c>
      <c r="GX939">
        <v>2014</v>
      </c>
      <c r="GY939">
        <v>30</v>
      </c>
      <c r="GZ939" t="s">
        <v>33</v>
      </c>
      <c r="HA939">
        <v>31743</v>
      </c>
      <c r="HB939">
        <v>27832</v>
      </c>
      <c r="HC939">
        <v>0</v>
      </c>
      <c r="HD939">
        <v>1281</v>
      </c>
      <c r="HE939">
        <v>0</v>
      </c>
      <c r="HF939">
        <v>300</v>
      </c>
      <c r="HG939">
        <v>0</v>
      </c>
      <c r="HH939">
        <v>0</v>
      </c>
      <c r="HI939">
        <v>725</v>
      </c>
      <c r="HZ939" s="316">
        <v>2014</v>
      </c>
      <c r="IA939" s="316">
        <v>30</v>
      </c>
      <c r="IB939" s="316" t="s">
        <v>33</v>
      </c>
      <c r="IC939" s="316">
        <v>1555</v>
      </c>
      <c r="ID939" s="316">
        <v>938</v>
      </c>
    </row>
    <row r="940" spans="9:238" x14ac:dyDescent="0.4">
      <c r="I940" s="305">
        <v>2014</v>
      </c>
      <c r="J940" s="306">
        <v>30</v>
      </c>
      <c r="K940" s="306" t="s">
        <v>33</v>
      </c>
      <c r="L940" s="306">
        <v>31055</v>
      </c>
      <c r="M940" s="306">
        <v>27287</v>
      </c>
      <c r="N940" s="306"/>
      <c r="O940" s="306">
        <v>3767</v>
      </c>
      <c r="P940" s="306"/>
      <c r="Q940" s="306"/>
      <c r="DJ940" s="24"/>
      <c r="DK940" s="24"/>
      <c r="DL940" s="24"/>
      <c r="DM940" s="24"/>
      <c r="EI940" s="24">
        <v>2022</v>
      </c>
      <c r="EJ940" s="24">
        <v>33</v>
      </c>
      <c r="EK940" s="24" t="s">
        <v>211</v>
      </c>
      <c r="EL940" s="24" t="s">
        <v>232</v>
      </c>
      <c r="EM940" s="24" t="s">
        <v>234</v>
      </c>
      <c r="EN940" s="24">
        <v>1</v>
      </c>
      <c r="EO940" s="24"/>
      <c r="EP940" s="24"/>
      <c r="ES940" s="24">
        <v>2015</v>
      </c>
      <c r="ET940" s="24">
        <v>53</v>
      </c>
      <c r="EU940" s="24" t="s">
        <v>33</v>
      </c>
      <c r="EV940" s="24">
        <v>22900</v>
      </c>
      <c r="FW940" s="24">
        <v>2014</v>
      </c>
      <c r="FX940" s="24">
        <v>29</v>
      </c>
      <c r="FY940" s="24" t="s">
        <v>32</v>
      </c>
      <c r="FZ940" s="24">
        <v>197</v>
      </c>
      <c r="GA940" s="24">
        <v>137</v>
      </c>
      <c r="GX940">
        <v>2014</v>
      </c>
      <c r="GY940">
        <v>29</v>
      </c>
      <c r="GZ940" t="s">
        <v>32</v>
      </c>
      <c r="HA940">
        <v>1925</v>
      </c>
      <c r="HB940">
        <v>1761</v>
      </c>
      <c r="HC940">
        <v>0</v>
      </c>
      <c r="HD940">
        <v>3</v>
      </c>
      <c r="HE940">
        <v>0</v>
      </c>
      <c r="HF940">
        <v>0</v>
      </c>
      <c r="HG940">
        <v>0</v>
      </c>
      <c r="HH940">
        <v>0</v>
      </c>
      <c r="HI940">
        <v>92</v>
      </c>
      <c r="HZ940" s="316">
        <v>2014</v>
      </c>
      <c r="IA940" s="316">
        <v>29</v>
      </c>
      <c r="IB940" s="316" t="s">
        <v>32</v>
      </c>
      <c r="IC940" s="316">
        <v>207</v>
      </c>
      <c r="ID940" s="316">
        <v>148</v>
      </c>
    </row>
    <row r="941" spans="9:238" x14ac:dyDescent="0.4">
      <c r="I941" s="305">
        <v>2014</v>
      </c>
      <c r="J941" s="306">
        <v>29</v>
      </c>
      <c r="K941" s="306" t="s">
        <v>32</v>
      </c>
      <c r="L941" s="306">
        <v>1954</v>
      </c>
      <c r="M941" s="306">
        <v>1776</v>
      </c>
      <c r="N941" s="306"/>
      <c r="O941" s="306">
        <v>178</v>
      </c>
      <c r="P941" s="306"/>
      <c r="Q941" s="306"/>
      <c r="DJ941" s="24"/>
      <c r="DK941" s="24"/>
      <c r="DL941" s="24"/>
      <c r="DM941" s="24"/>
      <c r="EI941" s="24">
        <v>2022</v>
      </c>
      <c r="EJ941" s="24">
        <v>33</v>
      </c>
      <c r="EK941" s="24" t="s">
        <v>211</v>
      </c>
      <c r="EL941" s="24" t="s">
        <v>212</v>
      </c>
      <c r="EM941" s="24" t="s">
        <v>210</v>
      </c>
      <c r="EN941" s="24">
        <v>3</v>
      </c>
      <c r="EO941" s="24"/>
      <c r="EP941" s="24"/>
      <c r="ES941" s="24"/>
      <c r="ET941" s="24"/>
      <c r="EU941" s="24"/>
      <c r="EV941" s="24"/>
      <c r="FW941" s="24">
        <v>2014</v>
      </c>
      <c r="FX941" s="24">
        <v>29</v>
      </c>
      <c r="FY941" s="24" t="s">
        <v>33</v>
      </c>
      <c r="FZ941" s="24">
        <v>1609</v>
      </c>
      <c r="GA941" s="24">
        <v>1021</v>
      </c>
      <c r="GX941">
        <v>2014</v>
      </c>
      <c r="GY941">
        <v>29</v>
      </c>
      <c r="GZ941" t="s">
        <v>33</v>
      </c>
      <c r="HA941">
        <v>30458</v>
      </c>
      <c r="HB941">
        <v>27579</v>
      </c>
      <c r="HC941">
        <v>0</v>
      </c>
      <c r="HD941">
        <v>647</v>
      </c>
      <c r="HE941">
        <v>0</v>
      </c>
      <c r="HF941">
        <v>372</v>
      </c>
      <c r="HG941">
        <v>0</v>
      </c>
      <c r="HH941">
        <v>0</v>
      </c>
      <c r="HI941">
        <v>641</v>
      </c>
      <c r="HZ941" s="316">
        <v>2014</v>
      </c>
      <c r="IA941" s="316">
        <v>29</v>
      </c>
      <c r="IB941" s="316" t="s">
        <v>33</v>
      </c>
      <c r="IC941" s="316">
        <v>1631</v>
      </c>
      <c r="ID941" s="316">
        <v>1069</v>
      </c>
    </row>
    <row r="942" spans="9:238" x14ac:dyDescent="0.4">
      <c r="I942" s="305">
        <v>2014</v>
      </c>
      <c r="J942" s="306">
        <v>29</v>
      </c>
      <c r="K942" s="306" t="s">
        <v>33</v>
      </c>
      <c r="L942" s="306">
        <v>30663</v>
      </c>
      <c r="M942" s="306">
        <v>27162</v>
      </c>
      <c r="N942" s="306"/>
      <c r="O942" s="306">
        <v>3501</v>
      </c>
      <c r="P942" s="306"/>
      <c r="Q942" s="306"/>
      <c r="DJ942" s="24"/>
      <c r="DK942" s="24"/>
      <c r="DL942" s="24"/>
      <c r="DM942" s="24"/>
      <c r="EI942" s="24">
        <v>2022</v>
      </c>
      <c r="EJ942" s="24">
        <v>33</v>
      </c>
      <c r="EK942" s="24" t="s">
        <v>211</v>
      </c>
      <c r="EL942" s="24" t="s">
        <v>212</v>
      </c>
      <c r="EM942" s="24" t="s">
        <v>234</v>
      </c>
      <c r="EN942" s="24">
        <v>18</v>
      </c>
      <c r="EO942" s="24"/>
      <c r="EP942" s="24"/>
      <c r="ES942" s="24"/>
      <c r="ET942" s="24"/>
      <c r="EU942" s="24"/>
      <c r="EV942" s="24"/>
      <c r="FW942" s="24">
        <v>2014</v>
      </c>
      <c r="FX942" s="24">
        <v>28</v>
      </c>
      <c r="FY942" s="24" t="s">
        <v>32</v>
      </c>
      <c r="FZ942" s="24">
        <v>177</v>
      </c>
      <c r="GA942" s="24">
        <v>117</v>
      </c>
      <c r="GX942">
        <v>2014</v>
      </c>
      <c r="GY942">
        <v>28</v>
      </c>
      <c r="GZ942" t="s">
        <v>32</v>
      </c>
      <c r="HA942">
        <v>2006</v>
      </c>
      <c r="HB942">
        <v>1722</v>
      </c>
      <c r="HC942">
        <v>0</v>
      </c>
      <c r="HD942">
        <v>23</v>
      </c>
      <c r="HE942">
        <v>0</v>
      </c>
      <c r="HF942">
        <v>0</v>
      </c>
      <c r="HG942">
        <v>0</v>
      </c>
      <c r="HH942">
        <v>0</v>
      </c>
      <c r="HI942">
        <v>74</v>
      </c>
      <c r="HZ942" s="316">
        <v>2014</v>
      </c>
      <c r="IA942" s="316">
        <v>28</v>
      </c>
      <c r="IB942" s="316" t="s">
        <v>32</v>
      </c>
      <c r="IC942" s="316">
        <v>180</v>
      </c>
      <c r="ID942" s="316">
        <v>120</v>
      </c>
    </row>
    <row r="943" spans="9:238" x14ac:dyDescent="0.4">
      <c r="I943" s="305">
        <v>2014</v>
      </c>
      <c r="J943" s="306">
        <v>28</v>
      </c>
      <c r="K943" s="306" t="s">
        <v>32</v>
      </c>
      <c r="L943" s="306">
        <v>2052</v>
      </c>
      <c r="M943" s="306">
        <v>1772</v>
      </c>
      <c r="N943" s="306"/>
      <c r="O943" s="306">
        <v>280</v>
      </c>
      <c r="P943" s="306"/>
      <c r="Q943" s="306"/>
      <c r="DJ943" s="24"/>
      <c r="DK943" s="24"/>
      <c r="DL943" s="24"/>
      <c r="DM943" s="24"/>
      <c r="EI943" s="24">
        <v>2022</v>
      </c>
      <c r="EJ943" s="24">
        <v>33</v>
      </c>
      <c r="EK943" s="24" t="s">
        <v>211</v>
      </c>
      <c r="EL943" s="24" t="s">
        <v>247</v>
      </c>
      <c r="EM943" s="24" t="s">
        <v>234</v>
      </c>
      <c r="EN943" s="24">
        <v>8</v>
      </c>
      <c r="EO943" s="24"/>
      <c r="EP943" s="24"/>
      <c r="ES943" s="24"/>
      <c r="ET943" s="24"/>
      <c r="EU943" s="24"/>
      <c r="EV943" s="24"/>
      <c r="FW943" s="24">
        <v>2014</v>
      </c>
      <c r="FX943" s="24">
        <v>28</v>
      </c>
      <c r="FY943" s="24" t="s">
        <v>33</v>
      </c>
      <c r="FZ943" s="24">
        <v>1372</v>
      </c>
      <c r="GA943" s="24">
        <v>993</v>
      </c>
      <c r="GX943">
        <v>2014</v>
      </c>
      <c r="GY943">
        <v>28</v>
      </c>
      <c r="GZ943" t="s">
        <v>33</v>
      </c>
      <c r="HA943">
        <v>30818</v>
      </c>
      <c r="HB943">
        <v>27273</v>
      </c>
      <c r="HC943">
        <v>0</v>
      </c>
      <c r="HD943">
        <v>1266</v>
      </c>
      <c r="HE943">
        <v>0</v>
      </c>
      <c r="HF943">
        <v>164</v>
      </c>
      <c r="HG943">
        <v>0</v>
      </c>
      <c r="HH943">
        <v>0</v>
      </c>
      <c r="HI943">
        <v>512</v>
      </c>
      <c r="HZ943" s="316">
        <v>2014</v>
      </c>
      <c r="IA943" s="316">
        <v>28</v>
      </c>
      <c r="IB943" s="316" t="s">
        <v>33</v>
      </c>
      <c r="IC943" s="316">
        <v>1371</v>
      </c>
      <c r="ID943" s="316">
        <v>1001</v>
      </c>
    </row>
    <row r="944" spans="9:238" x14ac:dyDescent="0.4">
      <c r="I944" s="305">
        <v>2014</v>
      </c>
      <c r="J944" s="306">
        <v>28</v>
      </c>
      <c r="K944" s="306" t="s">
        <v>33</v>
      </c>
      <c r="L944" s="306">
        <v>30889</v>
      </c>
      <c r="M944" s="306">
        <v>27427</v>
      </c>
      <c r="N944" s="306"/>
      <c r="O944" s="306">
        <v>3461</v>
      </c>
      <c r="P944" s="306">
        <v>3</v>
      </c>
      <c r="Q944" s="306"/>
      <c r="DJ944" s="24"/>
      <c r="DK944" s="24"/>
      <c r="DL944" s="24"/>
      <c r="DM944" s="24"/>
      <c r="EI944" s="24">
        <v>2022</v>
      </c>
      <c r="EJ944" s="24">
        <v>32</v>
      </c>
      <c r="EK944" s="24" t="s">
        <v>19</v>
      </c>
      <c r="EL944" s="24" t="s">
        <v>235</v>
      </c>
      <c r="EM944" s="24" t="s">
        <v>234</v>
      </c>
      <c r="EN944" s="24">
        <v>1</v>
      </c>
      <c r="EO944" s="24"/>
      <c r="EP944" s="24"/>
      <c r="ES944" s="24"/>
      <c r="ET944" s="24"/>
      <c r="EU944" s="24"/>
      <c r="EV944" s="24"/>
      <c r="FW944" s="307">
        <v>2014</v>
      </c>
      <c r="FX944" s="307">
        <v>27</v>
      </c>
      <c r="FY944" s="307" t="s">
        <v>32</v>
      </c>
      <c r="FZ944" s="307">
        <v>241</v>
      </c>
      <c r="GA944" s="307">
        <v>117</v>
      </c>
      <c r="GX944">
        <v>2014</v>
      </c>
      <c r="GY944">
        <v>27</v>
      </c>
      <c r="GZ944" t="s">
        <v>32</v>
      </c>
      <c r="HA944">
        <v>2245</v>
      </c>
      <c r="HB944">
        <v>1789</v>
      </c>
      <c r="HC944">
        <v>0</v>
      </c>
      <c r="HD944">
        <v>44</v>
      </c>
      <c r="HE944">
        <v>0</v>
      </c>
      <c r="HF944">
        <v>2</v>
      </c>
      <c r="HG944">
        <v>0</v>
      </c>
      <c r="HH944">
        <v>0</v>
      </c>
      <c r="HI944">
        <v>108</v>
      </c>
      <c r="HZ944" s="316">
        <v>2014</v>
      </c>
      <c r="IA944" s="316">
        <v>27</v>
      </c>
      <c r="IB944" s="316" t="s">
        <v>32</v>
      </c>
      <c r="IC944" s="316">
        <v>205</v>
      </c>
      <c r="ID944" s="316">
        <v>82</v>
      </c>
    </row>
    <row r="945" spans="9:238" x14ac:dyDescent="0.4">
      <c r="I945" s="305">
        <v>2014</v>
      </c>
      <c r="J945" s="306">
        <v>27</v>
      </c>
      <c r="K945" s="306" t="s">
        <v>32</v>
      </c>
      <c r="L945" s="306">
        <v>2307</v>
      </c>
      <c r="M945" s="306">
        <v>1877</v>
      </c>
      <c r="N945" s="306"/>
      <c r="O945" s="306">
        <v>430</v>
      </c>
      <c r="P945" s="306"/>
      <c r="Q945" s="306"/>
      <c r="DJ945" s="24"/>
      <c r="DK945" s="24"/>
      <c r="DL945" s="24"/>
      <c r="DM945" s="24"/>
      <c r="EI945" s="24">
        <v>2022</v>
      </c>
      <c r="EJ945" s="24">
        <v>32</v>
      </c>
      <c r="EK945" s="24" t="s">
        <v>208</v>
      </c>
      <c r="EL945" s="24" t="s">
        <v>351</v>
      </c>
      <c r="EM945" s="24" t="s">
        <v>234</v>
      </c>
      <c r="EN945" s="24">
        <v>14</v>
      </c>
      <c r="EO945" s="24"/>
      <c r="EP945" s="24"/>
      <c r="ES945" s="24"/>
      <c r="ET945" s="24"/>
      <c r="EU945" s="24"/>
      <c r="EV945" s="24"/>
      <c r="FW945" s="307">
        <v>2014</v>
      </c>
      <c r="FX945" s="307">
        <v>27</v>
      </c>
      <c r="FY945" s="307" t="s">
        <v>33</v>
      </c>
      <c r="FZ945" s="307">
        <v>1276</v>
      </c>
      <c r="GA945" s="307">
        <v>716</v>
      </c>
      <c r="GX945">
        <v>2014</v>
      </c>
      <c r="GY945">
        <v>27</v>
      </c>
      <c r="GZ945" t="s">
        <v>33</v>
      </c>
      <c r="HA945">
        <v>31780</v>
      </c>
      <c r="HB945">
        <v>28204</v>
      </c>
      <c r="HC945">
        <v>0</v>
      </c>
      <c r="HD945">
        <v>1025</v>
      </c>
      <c r="HE945">
        <v>0</v>
      </c>
      <c r="HF945">
        <v>214</v>
      </c>
      <c r="HG945">
        <v>0</v>
      </c>
      <c r="HH945">
        <v>0</v>
      </c>
      <c r="HI945">
        <v>580</v>
      </c>
      <c r="HZ945" s="316">
        <v>2014</v>
      </c>
      <c r="IA945" s="316">
        <v>27</v>
      </c>
      <c r="IB945" s="316" t="s">
        <v>33</v>
      </c>
      <c r="IC945" s="316">
        <v>1343</v>
      </c>
      <c r="ID945" s="316">
        <v>777</v>
      </c>
    </row>
    <row r="946" spans="9:238" x14ac:dyDescent="0.4">
      <c r="I946" s="305">
        <v>2014</v>
      </c>
      <c r="J946" s="306">
        <v>27</v>
      </c>
      <c r="K946" s="306" t="s">
        <v>33</v>
      </c>
      <c r="L946" s="306">
        <v>31778</v>
      </c>
      <c r="M946" s="306">
        <v>27865</v>
      </c>
      <c r="N946" s="306"/>
      <c r="O946" s="306">
        <v>3913</v>
      </c>
      <c r="P946" s="306"/>
      <c r="Q946" s="306"/>
      <c r="DJ946" s="24"/>
      <c r="DK946" s="24"/>
      <c r="DL946" s="24"/>
      <c r="DM946" s="24"/>
      <c r="EI946" s="24">
        <v>2022</v>
      </c>
      <c r="EJ946" s="24">
        <v>32</v>
      </c>
      <c r="EK946" s="24" t="s">
        <v>208</v>
      </c>
      <c r="EL946" s="24" t="s">
        <v>351</v>
      </c>
      <c r="EM946" s="24" t="s">
        <v>215</v>
      </c>
      <c r="EN946" s="24">
        <v>2</v>
      </c>
      <c r="EO946" s="24"/>
      <c r="EP946" s="24"/>
      <c r="ES946" s="24"/>
      <c r="ET946" s="24"/>
      <c r="EU946" s="24"/>
      <c r="EV946" s="24"/>
      <c r="FW946" s="307">
        <v>2014</v>
      </c>
      <c r="FX946" s="307">
        <v>26</v>
      </c>
      <c r="FY946" s="307" t="s">
        <v>32</v>
      </c>
      <c r="FZ946" s="307">
        <v>122</v>
      </c>
      <c r="GA946" s="307">
        <v>56</v>
      </c>
      <c r="GX946">
        <v>2014</v>
      </c>
      <c r="GY946">
        <v>26</v>
      </c>
      <c r="GZ946" t="s">
        <v>32</v>
      </c>
      <c r="HA946">
        <v>2341</v>
      </c>
      <c r="HB946">
        <v>1944</v>
      </c>
      <c r="HC946">
        <v>0</v>
      </c>
      <c r="HD946">
        <v>22</v>
      </c>
      <c r="HE946">
        <v>0</v>
      </c>
      <c r="HF946">
        <v>2</v>
      </c>
      <c r="HG946">
        <v>0</v>
      </c>
      <c r="HH946">
        <v>0</v>
      </c>
      <c r="HI946">
        <v>104</v>
      </c>
      <c r="HZ946" s="316">
        <v>2014</v>
      </c>
      <c r="IA946" s="316">
        <v>26</v>
      </c>
      <c r="IB946" s="316" t="s">
        <v>32</v>
      </c>
      <c r="IC946" s="316">
        <v>155</v>
      </c>
      <c r="ID946" s="316">
        <v>86</v>
      </c>
    </row>
    <row r="947" spans="9:238" x14ac:dyDescent="0.4">
      <c r="I947" s="305">
        <v>2014</v>
      </c>
      <c r="J947" s="306">
        <v>26</v>
      </c>
      <c r="K947" s="306" t="s">
        <v>32</v>
      </c>
      <c r="L947" s="306">
        <v>2303</v>
      </c>
      <c r="M947" s="306">
        <v>1903</v>
      </c>
      <c r="N947" s="306"/>
      <c r="O947" s="306">
        <v>400</v>
      </c>
      <c r="P947" s="306"/>
      <c r="Q947" s="306"/>
      <c r="DJ947" s="24"/>
      <c r="DK947" s="24"/>
      <c r="DL947" s="24"/>
      <c r="DM947" s="24"/>
      <c r="EI947" s="24">
        <v>2022</v>
      </c>
      <c r="EJ947" s="24">
        <v>32</v>
      </c>
      <c r="EK947" s="24" t="s">
        <v>208</v>
      </c>
      <c r="EL947" s="24" t="s">
        <v>235</v>
      </c>
      <c r="EM947" s="24" t="s">
        <v>210</v>
      </c>
      <c r="EN947" s="24">
        <v>9</v>
      </c>
      <c r="EO947" s="24"/>
      <c r="EP947" s="24"/>
      <c r="ES947" s="24"/>
      <c r="ET947" s="24"/>
      <c r="EU947" s="24"/>
      <c r="EV947" s="24"/>
      <c r="FW947" s="307">
        <v>2014</v>
      </c>
      <c r="FX947" s="307">
        <v>26</v>
      </c>
      <c r="FY947" s="307" t="s">
        <v>33</v>
      </c>
      <c r="FZ947" s="307">
        <v>1731</v>
      </c>
      <c r="GA947" s="307">
        <v>1110</v>
      </c>
      <c r="GX947">
        <v>2014</v>
      </c>
      <c r="GY947">
        <v>26</v>
      </c>
      <c r="GZ947" t="s">
        <v>33</v>
      </c>
      <c r="HA947">
        <v>30682</v>
      </c>
      <c r="HB947">
        <v>25001</v>
      </c>
      <c r="HC947">
        <v>0</v>
      </c>
      <c r="HD947">
        <v>1666</v>
      </c>
      <c r="HE947">
        <v>0</v>
      </c>
      <c r="HF947">
        <v>87</v>
      </c>
      <c r="HG947">
        <v>0</v>
      </c>
      <c r="HH947">
        <v>0</v>
      </c>
      <c r="HI947">
        <v>744</v>
      </c>
      <c r="HZ947" s="24">
        <v>2014</v>
      </c>
      <c r="IA947" s="24">
        <v>26</v>
      </c>
      <c r="IB947" s="24" t="s">
        <v>33</v>
      </c>
      <c r="IC947" s="24">
        <v>1640</v>
      </c>
      <c r="ID947" s="24">
        <v>1024</v>
      </c>
    </row>
    <row r="948" spans="9:238" x14ac:dyDescent="0.4">
      <c r="I948" s="305">
        <v>2014</v>
      </c>
      <c r="J948" s="306">
        <v>26</v>
      </c>
      <c r="K948" s="306" t="s">
        <v>33</v>
      </c>
      <c r="L948" s="306">
        <v>31294</v>
      </c>
      <c r="M948" s="306">
        <v>25729</v>
      </c>
      <c r="N948" s="306"/>
      <c r="O948" s="306">
        <v>5564</v>
      </c>
      <c r="P948" s="306"/>
      <c r="Q948" s="306"/>
      <c r="DJ948" s="24"/>
      <c r="DK948" s="24"/>
      <c r="DL948" s="24"/>
      <c r="DM948" s="24"/>
      <c r="EI948" s="24">
        <v>2022</v>
      </c>
      <c r="EJ948" s="24">
        <v>32</v>
      </c>
      <c r="EK948" s="24" t="s">
        <v>208</v>
      </c>
      <c r="EL948" s="24" t="s">
        <v>235</v>
      </c>
      <c r="EM948" s="24" t="s">
        <v>234</v>
      </c>
      <c r="EN948" s="24">
        <v>25</v>
      </c>
      <c r="EO948" s="24"/>
      <c r="EP948" s="24"/>
      <c r="ES948" s="24"/>
      <c r="ET948" s="24"/>
      <c r="EU948" s="24"/>
      <c r="EV948" s="24"/>
      <c r="FW948" s="307">
        <v>2014</v>
      </c>
      <c r="FX948" s="307">
        <v>25</v>
      </c>
      <c r="FY948" s="307" t="s">
        <v>32</v>
      </c>
      <c r="FZ948" s="307">
        <v>114</v>
      </c>
      <c r="GA948" s="307">
        <v>102</v>
      </c>
      <c r="GX948">
        <v>2014</v>
      </c>
      <c r="GY948">
        <v>25</v>
      </c>
      <c r="GZ948" t="s">
        <v>32</v>
      </c>
      <c r="HA948">
        <v>1738</v>
      </c>
      <c r="HB948">
        <v>1473</v>
      </c>
      <c r="HC948">
        <v>0</v>
      </c>
      <c r="HD948">
        <v>20</v>
      </c>
      <c r="HE948">
        <v>0</v>
      </c>
      <c r="HF948">
        <v>1</v>
      </c>
      <c r="HG948">
        <v>0</v>
      </c>
      <c r="HH948">
        <v>0</v>
      </c>
      <c r="HI948">
        <v>98</v>
      </c>
      <c r="HZ948" s="24">
        <v>2014</v>
      </c>
      <c r="IA948" s="24">
        <v>25</v>
      </c>
      <c r="IB948" s="24" t="s">
        <v>32</v>
      </c>
      <c r="IC948" s="24">
        <v>120</v>
      </c>
      <c r="ID948" s="24">
        <v>107</v>
      </c>
    </row>
    <row r="949" spans="9:238" x14ac:dyDescent="0.4">
      <c r="I949" s="305">
        <v>2014</v>
      </c>
      <c r="J949" s="306">
        <v>25</v>
      </c>
      <c r="K949" s="306" t="s">
        <v>32</v>
      </c>
      <c r="L949" s="306">
        <v>1623</v>
      </c>
      <c r="M949" s="306">
        <v>1366</v>
      </c>
      <c r="N949" s="306"/>
      <c r="O949" s="306">
        <v>257</v>
      </c>
      <c r="P949" s="306"/>
      <c r="Q949" s="306"/>
      <c r="DJ949" s="24"/>
      <c r="DK949" s="24"/>
      <c r="DL949" s="24"/>
      <c r="DM949" s="24"/>
      <c r="EI949" s="24">
        <v>2022</v>
      </c>
      <c r="EJ949" s="24">
        <v>32</v>
      </c>
      <c r="EK949" s="24" t="s">
        <v>208</v>
      </c>
      <c r="EL949" s="24" t="s">
        <v>235</v>
      </c>
      <c r="EM949" s="24" t="s">
        <v>215</v>
      </c>
      <c r="EN949" s="24">
        <v>7</v>
      </c>
      <c r="EO949" s="24"/>
      <c r="EP949" s="24"/>
      <c r="ES949" s="24"/>
      <c r="ET949" s="24"/>
      <c r="EU949" s="24"/>
      <c r="EV949" s="24"/>
      <c r="FW949" s="307">
        <v>2014</v>
      </c>
      <c r="FX949" s="307">
        <v>25</v>
      </c>
      <c r="FY949" s="307" t="s">
        <v>33</v>
      </c>
      <c r="FZ949" s="307">
        <v>1738</v>
      </c>
      <c r="GA949" s="307">
        <v>1072</v>
      </c>
      <c r="GX949">
        <v>2014</v>
      </c>
      <c r="GY949">
        <v>25</v>
      </c>
      <c r="GZ949" t="s">
        <v>33</v>
      </c>
      <c r="HA949">
        <v>40291</v>
      </c>
      <c r="HB949">
        <v>36445</v>
      </c>
      <c r="HC949">
        <v>0</v>
      </c>
      <c r="HD949">
        <v>1771</v>
      </c>
      <c r="HE949">
        <v>0</v>
      </c>
      <c r="HF949">
        <v>49</v>
      </c>
      <c r="HG949">
        <v>0</v>
      </c>
      <c r="HH949">
        <v>0</v>
      </c>
      <c r="HI949">
        <v>1065</v>
      </c>
      <c r="HZ949" s="24">
        <v>2014</v>
      </c>
      <c r="IA949" s="24">
        <v>25</v>
      </c>
      <c r="IB949" s="24" t="s">
        <v>33</v>
      </c>
      <c r="IC949" s="24">
        <v>1752</v>
      </c>
      <c r="ID949" s="24">
        <v>1110</v>
      </c>
    </row>
    <row r="950" spans="9:238" x14ac:dyDescent="0.4">
      <c r="I950" s="305">
        <v>2014</v>
      </c>
      <c r="J950" s="306">
        <v>25</v>
      </c>
      <c r="K950" s="306" t="s">
        <v>33</v>
      </c>
      <c r="L950" s="306">
        <v>40109</v>
      </c>
      <c r="M950" s="306">
        <v>36711</v>
      </c>
      <c r="N950" s="306"/>
      <c r="O950" s="306">
        <v>3398</v>
      </c>
      <c r="P950" s="306">
        <v>6</v>
      </c>
      <c r="Q950" s="306"/>
      <c r="DJ950" s="24"/>
      <c r="DK950" s="24"/>
      <c r="DL950" s="24"/>
      <c r="DM950" s="24"/>
      <c r="EI950" s="24">
        <v>2022</v>
      </c>
      <c r="EJ950" s="24">
        <v>32</v>
      </c>
      <c r="EK950" s="24" t="s">
        <v>208</v>
      </c>
      <c r="EL950" s="24" t="s">
        <v>209</v>
      </c>
      <c r="EM950" s="24" t="s">
        <v>210</v>
      </c>
      <c r="EN950" s="24">
        <v>6</v>
      </c>
      <c r="EO950" s="24"/>
      <c r="EP950" s="24"/>
      <c r="ES950" s="24"/>
      <c r="ET950" s="24"/>
      <c r="EU950" s="24"/>
      <c r="EV950" s="24"/>
      <c r="FW950" s="24">
        <v>2014</v>
      </c>
      <c r="FX950" s="24">
        <v>24</v>
      </c>
      <c r="FY950" s="24" t="s">
        <v>32</v>
      </c>
      <c r="FZ950" s="24">
        <v>112</v>
      </c>
      <c r="GA950" s="24">
        <v>85</v>
      </c>
      <c r="GX950">
        <v>2014</v>
      </c>
      <c r="GY950">
        <v>24</v>
      </c>
      <c r="GZ950" t="s">
        <v>32</v>
      </c>
      <c r="HA950">
        <v>1780</v>
      </c>
      <c r="HB950">
        <v>1532</v>
      </c>
      <c r="HC950">
        <v>0</v>
      </c>
      <c r="HD950">
        <v>10</v>
      </c>
      <c r="HE950">
        <v>0</v>
      </c>
      <c r="HF950">
        <v>2</v>
      </c>
      <c r="HG950">
        <v>0</v>
      </c>
      <c r="HH950">
        <v>0</v>
      </c>
      <c r="HI950">
        <v>115</v>
      </c>
      <c r="HZ950" s="24">
        <v>2014</v>
      </c>
      <c r="IA950" s="24">
        <v>24</v>
      </c>
      <c r="IB950" s="24" t="s">
        <v>32</v>
      </c>
      <c r="IC950" s="24">
        <v>111</v>
      </c>
      <c r="ID950" s="24">
        <v>86</v>
      </c>
    </row>
    <row r="951" spans="9:238" x14ac:dyDescent="0.4">
      <c r="I951" s="305">
        <v>2014</v>
      </c>
      <c r="J951" s="306">
        <v>24</v>
      </c>
      <c r="K951" s="306" t="s">
        <v>32</v>
      </c>
      <c r="L951" s="306">
        <v>1827</v>
      </c>
      <c r="M951" s="306">
        <v>1572</v>
      </c>
      <c r="N951" s="306"/>
      <c r="O951" s="306">
        <v>255</v>
      </c>
      <c r="P951" s="306"/>
      <c r="Q951" s="306"/>
      <c r="DJ951" s="24"/>
      <c r="DK951" s="24"/>
      <c r="DL951" s="24"/>
      <c r="DM951" s="24"/>
      <c r="EI951" s="24">
        <v>2022</v>
      </c>
      <c r="EJ951" s="24">
        <v>32</v>
      </c>
      <c r="EK951" s="24" t="s">
        <v>208</v>
      </c>
      <c r="EL951" s="24" t="s">
        <v>247</v>
      </c>
      <c r="EM951" s="24" t="s">
        <v>234</v>
      </c>
      <c r="EN951" s="24">
        <v>2</v>
      </c>
      <c r="EO951" s="24"/>
      <c r="EP951" s="24"/>
      <c r="ES951" s="24"/>
      <c r="ET951" s="24"/>
      <c r="EU951" s="24"/>
      <c r="EV951" s="24"/>
      <c r="FW951" s="24">
        <v>2014</v>
      </c>
      <c r="FX951" s="24">
        <v>24</v>
      </c>
      <c r="FY951" s="24" t="s">
        <v>33</v>
      </c>
      <c r="FZ951" s="24">
        <v>1696</v>
      </c>
      <c r="GA951" s="24">
        <v>1138</v>
      </c>
      <c r="GX951">
        <v>2014</v>
      </c>
      <c r="GY951">
        <v>24</v>
      </c>
      <c r="GZ951" t="s">
        <v>33</v>
      </c>
      <c r="HA951">
        <v>34496</v>
      </c>
      <c r="HB951">
        <v>31394</v>
      </c>
      <c r="HC951">
        <v>0</v>
      </c>
      <c r="HD951">
        <v>1140</v>
      </c>
      <c r="HE951">
        <v>0</v>
      </c>
      <c r="HF951">
        <v>27</v>
      </c>
      <c r="HG951">
        <v>0</v>
      </c>
      <c r="HH951">
        <v>0</v>
      </c>
      <c r="HI951">
        <v>704</v>
      </c>
      <c r="HZ951" s="24">
        <v>2014</v>
      </c>
      <c r="IA951" s="24">
        <v>24</v>
      </c>
      <c r="IB951" s="24" t="s">
        <v>33</v>
      </c>
      <c r="IC951" s="24">
        <v>1735</v>
      </c>
      <c r="ID951" s="24">
        <v>1180</v>
      </c>
    </row>
    <row r="952" spans="9:238" x14ac:dyDescent="0.4">
      <c r="I952" s="305">
        <v>2014</v>
      </c>
      <c r="J952" s="306">
        <v>24</v>
      </c>
      <c r="K952" s="306" t="s">
        <v>33</v>
      </c>
      <c r="L952" s="306">
        <v>34655</v>
      </c>
      <c r="M952" s="306">
        <v>31390</v>
      </c>
      <c r="N952" s="306"/>
      <c r="O952" s="306">
        <v>3265</v>
      </c>
      <c r="P952" s="306"/>
      <c r="Q952" s="306"/>
      <c r="DJ952" s="24"/>
      <c r="DK952" s="24"/>
      <c r="DL952" s="24"/>
      <c r="DM952" s="24"/>
      <c r="EI952" s="24">
        <v>2022</v>
      </c>
      <c r="EJ952" s="24">
        <v>32</v>
      </c>
      <c r="EK952" s="24" t="s">
        <v>208</v>
      </c>
      <c r="EL952" s="24" t="s">
        <v>245</v>
      </c>
      <c r="EM952" s="24" t="s">
        <v>234</v>
      </c>
      <c r="EN952" s="24">
        <v>1</v>
      </c>
      <c r="EO952" s="24"/>
      <c r="EP952" s="24"/>
      <c r="ES952" s="24"/>
      <c r="ET952" s="24"/>
      <c r="EU952" s="24"/>
      <c r="EV952" s="24"/>
      <c r="FW952" s="308">
        <v>2014</v>
      </c>
      <c r="FX952" s="308">
        <v>23</v>
      </c>
      <c r="FY952" s="308" t="s">
        <v>32</v>
      </c>
      <c r="FZ952" s="308">
        <v>245</v>
      </c>
      <c r="GA952" s="308">
        <v>229</v>
      </c>
      <c r="GX952">
        <v>2014</v>
      </c>
      <c r="GY952">
        <v>23</v>
      </c>
      <c r="GZ952" t="s">
        <v>32</v>
      </c>
      <c r="HA952">
        <v>2278</v>
      </c>
      <c r="HB952">
        <v>2034</v>
      </c>
      <c r="HC952">
        <v>0</v>
      </c>
      <c r="HD952">
        <v>7</v>
      </c>
      <c r="HE952">
        <v>0</v>
      </c>
      <c r="HF952">
        <v>7</v>
      </c>
      <c r="HG952">
        <v>0</v>
      </c>
      <c r="HH952">
        <v>0</v>
      </c>
      <c r="HI952">
        <v>77</v>
      </c>
      <c r="HZ952" s="24">
        <v>2014</v>
      </c>
      <c r="IA952" s="24">
        <v>23</v>
      </c>
      <c r="IB952" s="24" t="s">
        <v>32</v>
      </c>
      <c r="IC952" s="24">
        <v>213</v>
      </c>
      <c r="ID952" s="24">
        <v>196</v>
      </c>
    </row>
    <row r="953" spans="9:238" x14ac:dyDescent="0.4">
      <c r="I953" s="305">
        <v>2014</v>
      </c>
      <c r="J953" s="306">
        <v>23</v>
      </c>
      <c r="K953" s="306" t="s">
        <v>32</v>
      </c>
      <c r="L953" s="306">
        <v>2361</v>
      </c>
      <c r="M953" s="306">
        <v>2107</v>
      </c>
      <c r="N953" s="306"/>
      <c r="O953" s="306">
        <v>254</v>
      </c>
      <c r="P953" s="306"/>
      <c r="Q953" s="306"/>
      <c r="DJ953" s="24"/>
      <c r="DK953" s="24"/>
      <c r="DL953" s="24"/>
      <c r="DM953" s="24"/>
      <c r="EI953" s="24">
        <v>2022</v>
      </c>
      <c r="EJ953" s="24">
        <v>32</v>
      </c>
      <c r="EK953" s="24" t="s">
        <v>208</v>
      </c>
      <c r="EL953" s="24" t="s">
        <v>245</v>
      </c>
      <c r="EM953" s="24" t="s">
        <v>215</v>
      </c>
      <c r="EN953" s="24">
        <v>1</v>
      </c>
      <c r="EO953" s="24"/>
      <c r="EP953" s="24"/>
      <c r="ES953" s="24"/>
      <c r="ET953" s="24"/>
      <c r="EU953" s="24"/>
      <c r="EV953" s="24"/>
      <c r="FW953" s="308">
        <v>2014</v>
      </c>
      <c r="FX953" s="308">
        <v>23</v>
      </c>
      <c r="FY953" s="308" t="s">
        <v>33</v>
      </c>
      <c r="FZ953" s="308">
        <v>1488</v>
      </c>
      <c r="GA953" s="308">
        <v>1047</v>
      </c>
      <c r="GX953">
        <v>2014</v>
      </c>
      <c r="GY953">
        <v>23</v>
      </c>
      <c r="GZ953" t="s">
        <v>33</v>
      </c>
      <c r="HA953">
        <v>33959</v>
      </c>
      <c r="HB953">
        <v>30289</v>
      </c>
      <c r="HC953">
        <v>0</v>
      </c>
      <c r="HD953">
        <v>1712</v>
      </c>
      <c r="HE953">
        <v>0</v>
      </c>
      <c r="HF953">
        <v>85</v>
      </c>
      <c r="HG953">
        <v>0</v>
      </c>
      <c r="HH953">
        <v>0</v>
      </c>
      <c r="HI953">
        <v>618</v>
      </c>
      <c r="HZ953" s="24">
        <v>2014</v>
      </c>
      <c r="IA953" s="24">
        <v>23</v>
      </c>
      <c r="IB953" s="24" t="s">
        <v>33</v>
      </c>
      <c r="IC953" s="24">
        <v>1475</v>
      </c>
      <c r="ID953" s="24">
        <v>1039</v>
      </c>
    </row>
    <row r="954" spans="9:238" x14ac:dyDescent="0.4">
      <c r="I954" s="305">
        <v>2014</v>
      </c>
      <c r="J954" s="306">
        <v>23</v>
      </c>
      <c r="K954" s="306" t="s">
        <v>33</v>
      </c>
      <c r="L954" s="306">
        <v>33603</v>
      </c>
      <c r="M954" s="306">
        <v>30206</v>
      </c>
      <c r="N954" s="306"/>
      <c r="O954" s="306">
        <v>3396</v>
      </c>
      <c r="P954" s="306"/>
      <c r="Q954" s="306"/>
      <c r="DJ954" s="24"/>
      <c r="DK954" s="24"/>
      <c r="DL954" s="24"/>
      <c r="DM954" s="24"/>
      <c r="EI954" s="24">
        <v>2022</v>
      </c>
      <c r="EJ954" s="24">
        <v>32</v>
      </c>
      <c r="EK954" s="24" t="s">
        <v>558</v>
      </c>
      <c r="EL954" s="24" t="s">
        <v>555</v>
      </c>
      <c r="EM954" s="24" t="s">
        <v>210</v>
      </c>
      <c r="EN954" s="24">
        <v>5</v>
      </c>
      <c r="EO954" s="24"/>
      <c r="EP954" s="24"/>
      <c r="ES954" s="24"/>
      <c r="ET954" s="24"/>
      <c r="EU954" s="24"/>
      <c r="EV954" s="24"/>
      <c r="FW954" s="24">
        <v>2014</v>
      </c>
      <c r="FX954" s="24">
        <v>22</v>
      </c>
      <c r="FY954" s="24" t="s">
        <v>32</v>
      </c>
      <c r="FZ954" s="24">
        <v>131</v>
      </c>
      <c r="GA954" s="24">
        <v>64</v>
      </c>
      <c r="GX954">
        <v>2014</v>
      </c>
      <c r="GY954">
        <v>22</v>
      </c>
      <c r="GZ954" t="s">
        <v>32</v>
      </c>
      <c r="HA954">
        <v>3021</v>
      </c>
      <c r="HB954">
        <v>2599</v>
      </c>
      <c r="HC954">
        <v>0</v>
      </c>
      <c r="HD954">
        <v>12</v>
      </c>
      <c r="HE954">
        <v>0</v>
      </c>
      <c r="HF954">
        <v>5</v>
      </c>
      <c r="HG954">
        <v>0</v>
      </c>
      <c r="HH954">
        <v>0</v>
      </c>
      <c r="HI954">
        <v>157</v>
      </c>
      <c r="HZ954" s="24">
        <v>2014</v>
      </c>
      <c r="IA954" s="24">
        <v>22</v>
      </c>
      <c r="IB954" s="24" t="s">
        <v>32</v>
      </c>
      <c r="IC954" s="24">
        <v>142</v>
      </c>
      <c r="ID954" s="24">
        <v>81</v>
      </c>
    </row>
    <row r="955" spans="9:238" x14ac:dyDescent="0.4">
      <c r="I955" s="305">
        <v>2014</v>
      </c>
      <c r="J955" s="306">
        <v>22</v>
      </c>
      <c r="K955" s="306" t="s">
        <v>32</v>
      </c>
      <c r="L955" s="306">
        <v>3113</v>
      </c>
      <c r="M955" s="306">
        <v>2676</v>
      </c>
      <c r="N955" s="306"/>
      <c r="O955" s="306">
        <v>437</v>
      </c>
      <c r="P955" s="306"/>
      <c r="Q955" s="306"/>
      <c r="DJ955" s="24"/>
      <c r="DK955" s="24"/>
      <c r="DL955" s="24"/>
      <c r="DM955" s="24"/>
      <c r="EI955" s="24">
        <v>2022</v>
      </c>
      <c r="EJ955" s="24">
        <v>32</v>
      </c>
      <c r="EK955" s="24" t="s">
        <v>558</v>
      </c>
      <c r="EL955" s="24" t="s">
        <v>557</v>
      </c>
      <c r="EM955" s="24" t="s">
        <v>210</v>
      </c>
      <c r="EN955" s="24">
        <v>17</v>
      </c>
      <c r="EO955" s="24"/>
      <c r="EP955" s="24"/>
      <c r="ES955" s="24"/>
      <c r="ET955" s="24"/>
      <c r="EU955" s="24"/>
      <c r="EV955" s="24"/>
      <c r="FW955" s="24">
        <v>2014</v>
      </c>
      <c r="FX955" s="24">
        <v>22</v>
      </c>
      <c r="FY955" s="24" t="s">
        <v>33</v>
      </c>
      <c r="FZ955" s="24">
        <v>1459</v>
      </c>
      <c r="GA955" s="24">
        <v>973</v>
      </c>
      <c r="GX955">
        <v>2014</v>
      </c>
      <c r="GY955">
        <v>22</v>
      </c>
      <c r="GZ955" t="s">
        <v>33</v>
      </c>
      <c r="HA955">
        <v>34666</v>
      </c>
      <c r="HB955">
        <v>30306</v>
      </c>
      <c r="HC955">
        <v>0</v>
      </c>
      <c r="HD955">
        <v>2038</v>
      </c>
      <c r="HE955">
        <v>0</v>
      </c>
      <c r="HF955">
        <v>92</v>
      </c>
      <c r="HG955">
        <v>0</v>
      </c>
      <c r="HH955">
        <v>0</v>
      </c>
      <c r="HI955">
        <v>735</v>
      </c>
      <c r="HZ955" s="317">
        <v>2014</v>
      </c>
      <c r="IA955" s="317">
        <v>22</v>
      </c>
      <c r="IB955" s="317" t="s">
        <v>33</v>
      </c>
      <c r="IC955" s="317">
        <v>1468</v>
      </c>
      <c r="ID955" s="317">
        <v>988</v>
      </c>
    </row>
    <row r="956" spans="9:238" x14ac:dyDescent="0.4">
      <c r="I956" s="305">
        <v>2014</v>
      </c>
      <c r="J956" s="306">
        <v>22</v>
      </c>
      <c r="K956" s="306" t="s">
        <v>33</v>
      </c>
      <c r="L956" s="306">
        <v>35066</v>
      </c>
      <c r="M956" s="306">
        <v>31130</v>
      </c>
      <c r="N956" s="306"/>
      <c r="O956" s="306">
        <v>3935</v>
      </c>
      <c r="P956" s="306"/>
      <c r="Q956" s="306"/>
      <c r="DJ956" s="24"/>
      <c r="DK956" s="24"/>
      <c r="DL956" s="24"/>
      <c r="DM956" s="24"/>
      <c r="EI956" s="24">
        <v>2022</v>
      </c>
      <c r="EJ956" s="24">
        <v>32</v>
      </c>
      <c r="EK956" s="24" t="s">
        <v>558</v>
      </c>
      <c r="EL956" s="24" t="s">
        <v>557</v>
      </c>
      <c r="EM956" s="24" t="s">
        <v>215</v>
      </c>
      <c r="EN956" s="24">
        <v>5</v>
      </c>
      <c r="EO956" s="24"/>
      <c r="EP956" s="24"/>
      <c r="ES956" s="24"/>
      <c r="ET956" s="24"/>
      <c r="EU956" s="24"/>
      <c r="EV956" s="24"/>
      <c r="FW956" s="24">
        <v>2014</v>
      </c>
      <c r="FX956" s="24">
        <v>21</v>
      </c>
      <c r="FY956" s="24" t="s">
        <v>32</v>
      </c>
      <c r="FZ956" s="24">
        <v>232</v>
      </c>
      <c r="GA956" s="24">
        <v>141</v>
      </c>
      <c r="GX956">
        <v>2014</v>
      </c>
      <c r="GY956">
        <v>21</v>
      </c>
      <c r="GZ956" t="s">
        <v>32</v>
      </c>
      <c r="HA956">
        <v>3737</v>
      </c>
      <c r="HB956">
        <v>3018</v>
      </c>
      <c r="HC956">
        <v>0</v>
      </c>
      <c r="HD956">
        <v>14</v>
      </c>
      <c r="HE956">
        <v>0</v>
      </c>
      <c r="HF956">
        <v>75</v>
      </c>
      <c r="HG956">
        <v>0</v>
      </c>
      <c r="HH956">
        <v>0</v>
      </c>
      <c r="HI956">
        <v>334</v>
      </c>
      <c r="HZ956" s="317">
        <v>2014</v>
      </c>
      <c r="IA956" s="317">
        <v>21</v>
      </c>
      <c r="IB956" s="317" t="s">
        <v>32</v>
      </c>
      <c r="IC956" s="317">
        <v>208</v>
      </c>
      <c r="ID956" s="317">
        <v>113</v>
      </c>
    </row>
    <row r="957" spans="9:238" x14ac:dyDescent="0.4">
      <c r="I957" s="305">
        <v>2014</v>
      </c>
      <c r="J957" s="306">
        <v>21</v>
      </c>
      <c r="K957" s="306" t="s">
        <v>32</v>
      </c>
      <c r="L957" s="306">
        <v>3651</v>
      </c>
      <c r="M957" s="306">
        <v>2857</v>
      </c>
      <c r="N957" s="306"/>
      <c r="O957" s="306">
        <v>794</v>
      </c>
      <c r="P957" s="306"/>
      <c r="Q957" s="306"/>
      <c r="DJ957" s="24"/>
      <c r="DK957" s="24"/>
      <c r="DL957" s="24"/>
      <c r="DM957" s="24"/>
      <c r="EI957" s="24">
        <v>2022</v>
      </c>
      <c r="EJ957" s="24">
        <v>32</v>
      </c>
      <c r="EK957" s="24" t="s">
        <v>558</v>
      </c>
      <c r="EL957" s="24" t="s">
        <v>242</v>
      </c>
      <c r="EM957" s="24" t="s">
        <v>210</v>
      </c>
      <c r="EN957" s="24">
        <v>1</v>
      </c>
      <c r="EO957" s="24"/>
      <c r="EP957" s="24"/>
      <c r="ES957" s="24"/>
      <c r="ET957" s="24"/>
      <c r="EU957" s="24"/>
      <c r="EV957" s="24"/>
      <c r="FW957" s="24">
        <v>2014</v>
      </c>
      <c r="FX957" s="24">
        <v>21</v>
      </c>
      <c r="FY957" s="24" t="s">
        <v>33</v>
      </c>
      <c r="FZ957" s="24">
        <v>1323</v>
      </c>
      <c r="GA957" s="24">
        <v>790</v>
      </c>
      <c r="GX957">
        <v>2014</v>
      </c>
      <c r="GY957">
        <v>21</v>
      </c>
      <c r="GZ957" t="s">
        <v>33</v>
      </c>
      <c r="HA957">
        <v>36481</v>
      </c>
      <c r="HB957">
        <v>29552</v>
      </c>
      <c r="HC957">
        <v>0</v>
      </c>
      <c r="HD957">
        <v>1358</v>
      </c>
      <c r="HE957">
        <v>0</v>
      </c>
      <c r="HF957">
        <v>313</v>
      </c>
      <c r="HG957">
        <v>0</v>
      </c>
      <c r="HH957">
        <v>0</v>
      </c>
      <c r="HI957">
        <v>751</v>
      </c>
      <c r="HZ957" s="317">
        <v>2014</v>
      </c>
      <c r="IA957" s="317">
        <v>21</v>
      </c>
      <c r="IB957" s="317" t="s">
        <v>33</v>
      </c>
      <c r="IC957" s="317">
        <v>1265</v>
      </c>
      <c r="ID957" s="317">
        <v>767</v>
      </c>
    </row>
    <row r="958" spans="9:238" x14ac:dyDescent="0.4">
      <c r="I958" s="305">
        <v>2014</v>
      </c>
      <c r="J958" s="306">
        <v>21</v>
      </c>
      <c r="K958" s="306" t="s">
        <v>33</v>
      </c>
      <c r="L958" s="306">
        <v>36669</v>
      </c>
      <c r="M958" s="306">
        <v>30070</v>
      </c>
      <c r="N958" s="306"/>
      <c r="O958" s="306">
        <v>6597</v>
      </c>
      <c r="P958" s="306"/>
      <c r="Q958" s="306"/>
      <c r="DJ958" s="24"/>
      <c r="DK958" s="24"/>
      <c r="DL958" s="24"/>
      <c r="DM958" s="24"/>
      <c r="EI958" s="24">
        <v>2022</v>
      </c>
      <c r="EJ958" s="24">
        <v>32</v>
      </c>
      <c r="EK958" s="24" t="s">
        <v>558</v>
      </c>
      <c r="EL958" s="24" t="s">
        <v>554</v>
      </c>
      <c r="EM958" s="24" t="s">
        <v>210</v>
      </c>
      <c r="EN958" s="24">
        <v>1</v>
      </c>
      <c r="EO958" s="24"/>
      <c r="EP958" s="24"/>
      <c r="ES958" s="24"/>
      <c r="ET958" s="24"/>
      <c r="EU958" s="24"/>
      <c r="EV958" s="24"/>
      <c r="FW958" s="309">
        <v>2014</v>
      </c>
      <c r="FX958" s="309">
        <v>20</v>
      </c>
      <c r="FY958" s="309" t="s">
        <v>32</v>
      </c>
      <c r="FZ958" s="309">
        <v>313</v>
      </c>
      <c r="GA958" s="309">
        <v>289</v>
      </c>
      <c r="GX958">
        <v>2014</v>
      </c>
      <c r="GY958">
        <v>20</v>
      </c>
      <c r="GZ958" t="s">
        <v>32</v>
      </c>
      <c r="HA958">
        <v>1877</v>
      </c>
      <c r="HB958">
        <v>1715</v>
      </c>
      <c r="HC958">
        <v>0</v>
      </c>
      <c r="HD958">
        <v>11</v>
      </c>
      <c r="HE958">
        <v>0</v>
      </c>
      <c r="HF958">
        <v>3</v>
      </c>
      <c r="HG958">
        <v>0</v>
      </c>
      <c r="HH958">
        <v>0</v>
      </c>
      <c r="HI958">
        <v>57</v>
      </c>
      <c r="HZ958" s="317">
        <v>2014</v>
      </c>
      <c r="IA958" s="317">
        <v>20</v>
      </c>
      <c r="IB958" s="317" t="s">
        <v>32</v>
      </c>
      <c r="IC958" s="317">
        <v>340</v>
      </c>
      <c r="ID958" s="317">
        <v>317</v>
      </c>
    </row>
    <row r="959" spans="9:238" x14ac:dyDescent="0.4">
      <c r="I959" s="305">
        <v>2014</v>
      </c>
      <c r="J959" s="306">
        <v>20</v>
      </c>
      <c r="K959" s="306" t="s">
        <v>32</v>
      </c>
      <c r="L959" s="306">
        <v>1825</v>
      </c>
      <c r="M959" s="306">
        <v>1671</v>
      </c>
      <c r="N959" s="306"/>
      <c r="O959" s="306">
        <v>154</v>
      </c>
      <c r="P959" s="306"/>
      <c r="Q959" s="306"/>
      <c r="DJ959" s="24"/>
      <c r="DK959" s="24"/>
      <c r="DL959" s="24"/>
      <c r="DM959" s="24"/>
      <c r="EI959" s="24">
        <v>2022</v>
      </c>
      <c r="EJ959" s="24">
        <v>32</v>
      </c>
      <c r="EK959" s="24" t="s">
        <v>558</v>
      </c>
      <c r="EL959" s="24" t="s">
        <v>235</v>
      </c>
      <c r="EM959" s="24" t="s">
        <v>210</v>
      </c>
      <c r="EN959" s="24">
        <v>16</v>
      </c>
      <c r="EO959" s="24"/>
      <c r="EP959" s="24"/>
      <c r="ES959" s="24"/>
      <c r="ET959" s="24"/>
      <c r="EU959" s="24"/>
      <c r="EV959" s="24"/>
      <c r="FW959" s="309">
        <v>2014</v>
      </c>
      <c r="FX959" s="309">
        <v>20</v>
      </c>
      <c r="FY959" s="309" t="s">
        <v>33</v>
      </c>
      <c r="FZ959" s="309">
        <v>1956</v>
      </c>
      <c r="GA959" s="309">
        <v>1245</v>
      </c>
      <c r="GX959">
        <v>2014</v>
      </c>
      <c r="GY959">
        <v>20</v>
      </c>
      <c r="GZ959" t="s">
        <v>33</v>
      </c>
      <c r="HA959">
        <v>35516</v>
      </c>
      <c r="HB959">
        <v>30982</v>
      </c>
      <c r="HC959">
        <v>0</v>
      </c>
      <c r="HD959">
        <v>1339</v>
      </c>
      <c r="HE959">
        <v>0</v>
      </c>
      <c r="HF959">
        <v>178</v>
      </c>
      <c r="HG959">
        <v>0</v>
      </c>
      <c r="HH959">
        <v>0</v>
      </c>
      <c r="HI959">
        <v>586</v>
      </c>
      <c r="HZ959" s="24">
        <v>2014</v>
      </c>
      <c r="IA959" s="24">
        <v>20</v>
      </c>
      <c r="IB959" s="24" t="s">
        <v>33</v>
      </c>
      <c r="IC959" s="24">
        <v>1816</v>
      </c>
      <c r="ID959" s="24">
        <v>1235</v>
      </c>
    </row>
    <row r="960" spans="9:238" x14ac:dyDescent="0.4">
      <c r="I960" s="305">
        <v>2014</v>
      </c>
      <c r="J960" s="306">
        <v>20</v>
      </c>
      <c r="K960" s="306" t="s">
        <v>33</v>
      </c>
      <c r="L960" s="306">
        <v>35154</v>
      </c>
      <c r="M960" s="306">
        <v>30678</v>
      </c>
      <c r="N960" s="306"/>
      <c r="O960" s="306">
        <v>4476</v>
      </c>
      <c r="P960" s="306"/>
      <c r="Q960" s="306"/>
      <c r="DJ960" s="24"/>
      <c r="DK960" s="24"/>
      <c r="DL960" s="24"/>
      <c r="DM960" s="24"/>
      <c r="EI960" s="24">
        <v>2022</v>
      </c>
      <c r="EJ960" s="24">
        <v>32</v>
      </c>
      <c r="EK960" s="24" t="s">
        <v>558</v>
      </c>
      <c r="EL960" s="24" t="s">
        <v>235</v>
      </c>
      <c r="EM960" s="24" t="s">
        <v>215</v>
      </c>
      <c r="EN960" s="24">
        <v>3</v>
      </c>
      <c r="EO960" s="24"/>
      <c r="EP960" s="24"/>
      <c r="ES960" s="24"/>
      <c r="ET960" s="24"/>
      <c r="EU960" s="24"/>
      <c r="EV960" s="24"/>
      <c r="FW960" s="309">
        <v>2014</v>
      </c>
      <c r="FX960" s="309">
        <v>19</v>
      </c>
      <c r="FY960" s="309" t="s">
        <v>32</v>
      </c>
      <c r="FZ960" s="309">
        <v>169</v>
      </c>
      <c r="GA960" s="309">
        <v>106</v>
      </c>
      <c r="GX960">
        <v>2014</v>
      </c>
      <c r="GY960">
        <v>19</v>
      </c>
      <c r="GZ960" t="s">
        <v>32</v>
      </c>
      <c r="HA960">
        <v>1806</v>
      </c>
      <c r="HB960">
        <v>1513</v>
      </c>
      <c r="HC960">
        <v>0</v>
      </c>
      <c r="HD960">
        <v>24</v>
      </c>
      <c r="HE960">
        <v>0</v>
      </c>
      <c r="HF960">
        <v>0</v>
      </c>
      <c r="HG960">
        <v>0</v>
      </c>
      <c r="HH960">
        <v>0</v>
      </c>
      <c r="HI960">
        <v>109</v>
      </c>
      <c r="HZ960" s="24">
        <v>2014</v>
      </c>
      <c r="IA960" s="24">
        <v>19</v>
      </c>
      <c r="IB960" s="24" t="s">
        <v>32</v>
      </c>
      <c r="IC960" s="24">
        <v>159</v>
      </c>
      <c r="ID960" s="24">
        <v>96</v>
      </c>
    </row>
    <row r="961" spans="9:238" x14ac:dyDescent="0.4">
      <c r="I961" s="305">
        <v>2014</v>
      </c>
      <c r="J961" s="306">
        <v>19</v>
      </c>
      <c r="K961" s="306" t="s">
        <v>32</v>
      </c>
      <c r="L961" s="306">
        <v>1829</v>
      </c>
      <c r="M961" s="306">
        <v>1509</v>
      </c>
      <c r="N961" s="306"/>
      <c r="O961" s="306">
        <v>320</v>
      </c>
      <c r="P961" s="306"/>
      <c r="Q961" s="306"/>
      <c r="DJ961" s="24"/>
      <c r="DK961" s="24"/>
      <c r="DL961" s="24"/>
      <c r="DM961" s="24"/>
      <c r="EI961" s="24">
        <v>2022</v>
      </c>
      <c r="EJ961" s="24">
        <v>32</v>
      </c>
      <c r="EK961" s="24" t="s">
        <v>558</v>
      </c>
      <c r="EL961" s="24" t="s">
        <v>245</v>
      </c>
      <c r="EM961" s="24" t="s">
        <v>210</v>
      </c>
      <c r="EN961" s="24">
        <v>9</v>
      </c>
      <c r="EO961" s="24"/>
      <c r="EP961" s="24"/>
      <c r="ES961" s="24"/>
      <c r="ET961" s="24"/>
      <c r="EU961" s="24"/>
      <c r="EV961" s="24"/>
      <c r="FW961" s="309">
        <v>2014</v>
      </c>
      <c r="FX961" s="309">
        <v>19</v>
      </c>
      <c r="FY961" s="309" t="s">
        <v>33</v>
      </c>
      <c r="FZ961" s="309">
        <v>1495</v>
      </c>
      <c r="GA961" s="309">
        <v>758</v>
      </c>
      <c r="GX961">
        <v>2014</v>
      </c>
      <c r="GY961">
        <v>19</v>
      </c>
      <c r="GZ961" t="s">
        <v>33</v>
      </c>
      <c r="HA961">
        <v>33570</v>
      </c>
      <c r="HB961">
        <v>27268</v>
      </c>
      <c r="HC961">
        <v>0</v>
      </c>
      <c r="HD961">
        <v>1066</v>
      </c>
      <c r="HE961">
        <v>0</v>
      </c>
      <c r="HF961">
        <v>220</v>
      </c>
      <c r="HG961">
        <v>0</v>
      </c>
      <c r="HH961">
        <v>0</v>
      </c>
      <c r="HI961">
        <v>867</v>
      </c>
      <c r="HZ961" s="318">
        <v>2014</v>
      </c>
      <c r="IA961" s="318">
        <v>19</v>
      </c>
      <c r="IB961" s="318" t="s">
        <v>33</v>
      </c>
      <c r="IC961" s="318">
        <v>1674</v>
      </c>
      <c r="ID961" s="318">
        <v>844</v>
      </c>
    </row>
    <row r="962" spans="9:238" x14ac:dyDescent="0.4">
      <c r="I962" s="305">
        <v>2014</v>
      </c>
      <c r="J962" s="306">
        <v>19</v>
      </c>
      <c r="K962" s="306" t="s">
        <v>33</v>
      </c>
      <c r="L962" s="306">
        <v>33512</v>
      </c>
      <c r="M962" s="306">
        <v>26369</v>
      </c>
      <c r="N962" s="306"/>
      <c r="O962" s="306">
        <v>7141</v>
      </c>
      <c r="P962" s="306"/>
      <c r="Q962" s="306"/>
      <c r="DJ962" s="24"/>
      <c r="DK962" s="24"/>
      <c r="DL962" s="24"/>
      <c r="DM962" s="24"/>
      <c r="EI962" s="24">
        <v>2022</v>
      </c>
      <c r="EJ962" s="24">
        <v>32</v>
      </c>
      <c r="EK962" s="24" t="s">
        <v>33</v>
      </c>
      <c r="EL962" s="24" t="s">
        <v>233</v>
      </c>
      <c r="EM962" s="24" t="s">
        <v>215</v>
      </c>
      <c r="EN962" s="24">
        <v>1</v>
      </c>
      <c r="EO962" s="24"/>
      <c r="EP962" s="24"/>
      <c r="ES962" s="24"/>
      <c r="ET962" s="24"/>
      <c r="EU962" s="24"/>
      <c r="EV962" s="24"/>
      <c r="FW962" s="309">
        <v>2014</v>
      </c>
      <c r="FX962" s="309">
        <v>18</v>
      </c>
      <c r="FY962" s="309" t="s">
        <v>32</v>
      </c>
      <c r="FZ962" s="309">
        <v>186</v>
      </c>
      <c r="GA962" s="309">
        <v>118</v>
      </c>
      <c r="GX962">
        <v>2014</v>
      </c>
      <c r="GY962">
        <v>18</v>
      </c>
      <c r="GZ962" t="s">
        <v>32</v>
      </c>
      <c r="HA962">
        <v>2625</v>
      </c>
      <c r="HB962">
        <v>2203</v>
      </c>
      <c r="HC962">
        <v>0</v>
      </c>
      <c r="HD962">
        <v>18</v>
      </c>
      <c r="HE962">
        <v>0</v>
      </c>
      <c r="HF962">
        <v>10</v>
      </c>
      <c r="HG962">
        <v>1</v>
      </c>
      <c r="HH962">
        <v>0</v>
      </c>
      <c r="HI962">
        <v>153</v>
      </c>
      <c r="HZ962" s="318">
        <v>2014</v>
      </c>
      <c r="IA962" s="318">
        <v>18</v>
      </c>
      <c r="IB962" s="318" t="s">
        <v>32</v>
      </c>
      <c r="IC962" s="318">
        <v>171</v>
      </c>
      <c r="ID962" s="318">
        <v>105</v>
      </c>
    </row>
    <row r="963" spans="9:238" x14ac:dyDescent="0.4">
      <c r="I963" s="305">
        <v>2014</v>
      </c>
      <c r="J963" s="306">
        <v>18</v>
      </c>
      <c r="K963" s="306" t="s">
        <v>32</v>
      </c>
      <c r="L963" s="306">
        <v>2694</v>
      </c>
      <c r="M963" s="306">
        <v>2248</v>
      </c>
      <c r="N963" s="306"/>
      <c r="O963" s="306">
        <v>446</v>
      </c>
      <c r="P963" s="306"/>
      <c r="Q963" s="306"/>
      <c r="DJ963" s="24"/>
      <c r="DK963" s="24"/>
      <c r="DL963" s="24"/>
      <c r="DM963" s="24"/>
      <c r="EI963" s="24">
        <v>2022</v>
      </c>
      <c r="EJ963" s="24">
        <v>32</v>
      </c>
      <c r="EK963" s="24" t="s">
        <v>33</v>
      </c>
      <c r="EL963" s="24" t="s">
        <v>235</v>
      </c>
      <c r="EM963" s="24" t="s">
        <v>210</v>
      </c>
      <c r="EN963" s="24">
        <v>1</v>
      </c>
      <c r="EO963" s="24"/>
      <c r="EP963" s="24"/>
      <c r="ES963" s="24"/>
      <c r="ET963" s="24"/>
      <c r="EU963" s="24"/>
      <c r="EV963" s="24"/>
      <c r="FW963" s="309">
        <v>2014</v>
      </c>
      <c r="FX963" s="309">
        <v>18</v>
      </c>
      <c r="FY963" s="309" t="s">
        <v>33</v>
      </c>
      <c r="FZ963" s="309">
        <v>1321</v>
      </c>
      <c r="GA963" s="309">
        <v>775</v>
      </c>
      <c r="GX963">
        <v>2014</v>
      </c>
      <c r="GY963">
        <v>18</v>
      </c>
      <c r="GZ963" t="s">
        <v>33</v>
      </c>
      <c r="HA963">
        <v>33397</v>
      </c>
      <c r="HB963">
        <v>28798</v>
      </c>
      <c r="HC963">
        <v>1</v>
      </c>
      <c r="HD963">
        <v>1594</v>
      </c>
      <c r="HE963">
        <v>0</v>
      </c>
      <c r="HF963">
        <v>182</v>
      </c>
      <c r="HG963">
        <v>0</v>
      </c>
      <c r="HH963">
        <v>0</v>
      </c>
      <c r="HI963">
        <v>715</v>
      </c>
      <c r="HZ963" s="318">
        <v>2014</v>
      </c>
      <c r="IA963" s="318">
        <v>18</v>
      </c>
      <c r="IB963" s="318" t="s">
        <v>33</v>
      </c>
      <c r="IC963" s="318">
        <v>1342</v>
      </c>
      <c r="ID963" s="318">
        <v>788</v>
      </c>
    </row>
    <row r="964" spans="9:238" x14ac:dyDescent="0.4">
      <c r="I964" s="305">
        <v>2014</v>
      </c>
      <c r="J964" s="306">
        <v>18</v>
      </c>
      <c r="K964" s="306" t="s">
        <v>33</v>
      </c>
      <c r="L964" s="306">
        <v>33436</v>
      </c>
      <c r="M964" s="306">
        <v>29284</v>
      </c>
      <c r="N964" s="306"/>
      <c r="O964" s="306">
        <v>4148</v>
      </c>
      <c r="P964" s="306"/>
      <c r="Q964" s="306"/>
      <c r="DJ964" s="24"/>
      <c r="DK964" s="24"/>
      <c r="DL964" s="24"/>
      <c r="DM964" s="24"/>
      <c r="EI964" s="24">
        <v>2022</v>
      </c>
      <c r="EJ964" s="24">
        <v>32</v>
      </c>
      <c r="EK964" s="24" t="s">
        <v>33</v>
      </c>
      <c r="EL964" s="24" t="s">
        <v>247</v>
      </c>
      <c r="EM964" s="24" t="s">
        <v>210</v>
      </c>
      <c r="EN964" s="24">
        <v>4</v>
      </c>
      <c r="EO964" s="24"/>
      <c r="EP964" s="24"/>
      <c r="ES964" s="24"/>
      <c r="ET964" s="24"/>
      <c r="EU964" s="24"/>
      <c r="EV964" s="24"/>
      <c r="FW964" s="24">
        <v>2014</v>
      </c>
      <c r="FX964" s="24">
        <v>17</v>
      </c>
      <c r="FY964" s="24" t="s">
        <v>32</v>
      </c>
      <c r="FZ964" s="24">
        <v>172</v>
      </c>
      <c r="GA964" s="24">
        <v>106</v>
      </c>
      <c r="GX964">
        <v>2014</v>
      </c>
      <c r="GY964">
        <v>17</v>
      </c>
      <c r="GZ964" t="s">
        <v>32</v>
      </c>
      <c r="HA964">
        <v>1841</v>
      </c>
      <c r="HB964">
        <v>1625</v>
      </c>
      <c r="HC964">
        <v>0</v>
      </c>
      <c r="HD964">
        <v>19</v>
      </c>
      <c r="HE964">
        <v>0</v>
      </c>
      <c r="HF964">
        <v>0</v>
      </c>
      <c r="HG964">
        <v>0</v>
      </c>
      <c r="HH964">
        <v>0</v>
      </c>
      <c r="HI964">
        <v>84</v>
      </c>
      <c r="HZ964" s="318">
        <v>2014</v>
      </c>
      <c r="IA964" s="318">
        <v>17</v>
      </c>
      <c r="IB964" s="318" t="s">
        <v>32</v>
      </c>
      <c r="IC964" s="318">
        <v>184</v>
      </c>
      <c r="ID964" s="318">
        <v>120</v>
      </c>
    </row>
    <row r="965" spans="9:238" x14ac:dyDescent="0.4">
      <c r="I965" s="305">
        <v>2014</v>
      </c>
      <c r="J965" s="306">
        <v>17</v>
      </c>
      <c r="K965" s="306" t="s">
        <v>32</v>
      </c>
      <c r="L965" s="306">
        <v>1796</v>
      </c>
      <c r="M965" s="306">
        <v>1567</v>
      </c>
      <c r="N965" s="306"/>
      <c r="O965" s="306">
        <v>229</v>
      </c>
      <c r="P965" s="306"/>
      <c r="Q965" s="306"/>
      <c r="DJ965" s="24"/>
      <c r="DK965" s="24"/>
      <c r="DL965" s="24"/>
      <c r="DM965" s="24"/>
      <c r="EI965" s="24">
        <v>2022</v>
      </c>
      <c r="EJ965" s="24">
        <v>32</v>
      </c>
      <c r="EK965" s="24" t="s">
        <v>33</v>
      </c>
      <c r="EL965" s="24" t="s">
        <v>247</v>
      </c>
      <c r="EM965" s="24" t="s">
        <v>215</v>
      </c>
      <c r="EN965" s="24">
        <v>2</v>
      </c>
      <c r="EO965" s="24"/>
      <c r="EP965" s="24"/>
      <c r="ES965" s="24"/>
      <c r="ET965" s="24"/>
      <c r="EU965" s="24"/>
      <c r="EV965" s="24"/>
      <c r="FW965" s="24">
        <v>2014</v>
      </c>
      <c r="FX965" s="24">
        <v>17</v>
      </c>
      <c r="FY965" s="24" t="s">
        <v>33</v>
      </c>
      <c r="FZ965" s="24">
        <v>1390</v>
      </c>
      <c r="GA965" s="24">
        <v>726</v>
      </c>
      <c r="GX965">
        <v>2014</v>
      </c>
      <c r="GY965">
        <v>17</v>
      </c>
      <c r="GZ965" t="s">
        <v>33</v>
      </c>
      <c r="HA965">
        <v>34580</v>
      </c>
      <c r="HB965">
        <v>28359</v>
      </c>
      <c r="HC965">
        <v>1</v>
      </c>
      <c r="HD965">
        <v>1713</v>
      </c>
      <c r="HE965">
        <v>1</v>
      </c>
      <c r="HF965">
        <v>387</v>
      </c>
      <c r="HG965">
        <v>0</v>
      </c>
      <c r="HH965">
        <v>0</v>
      </c>
      <c r="HI965">
        <v>1326</v>
      </c>
      <c r="HZ965" s="318">
        <v>2014</v>
      </c>
      <c r="IA965" s="318">
        <v>17</v>
      </c>
      <c r="IB965" s="318" t="s">
        <v>33</v>
      </c>
      <c r="IC965" s="318">
        <v>1351</v>
      </c>
      <c r="ID965" s="318">
        <v>724</v>
      </c>
    </row>
    <row r="966" spans="9:238" x14ac:dyDescent="0.4">
      <c r="I966" s="305">
        <v>2014</v>
      </c>
      <c r="J966" s="306">
        <v>17</v>
      </c>
      <c r="K966" s="306" t="s">
        <v>33</v>
      </c>
      <c r="L966" s="306">
        <v>34585</v>
      </c>
      <c r="M966" s="306">
        <v>28331</v>
      </c>
      <c r="N966" s="306"/>
      <c r="O966" s="306">
        <v>6245</v>
      </c>
      <c r="P966" s="306">
        <v>2</v>
      </c>
      <c r="Q966" s="306"/>
      <c r="DJ966" s="24"/>
      <c r="DK966" s="24"/>
      <c r="DL966" s="24"/>
      <c r="DM966" s="24"/>
      <c r="EI966" s="24">
        <v>2022</v>
      </c>
      <c r="EJ966" s="24">
        <v>32</v>
      </c>
      <c r="EK966" s="24" t="s">
        <v>237</v>
      </c>
      <c r="EL966" s="24" t="s">
        <v>555</v>
      </c>
      <c r="EM966" s="24" t="s">
        <v>210</v>
      </c>
      <c r="EN966" s="24">
        <v>2</v>
      </c>
      <c r="EO966" s="24"/>
      <c r="EP966" s="24"/>
      <c r="ES966" s="24"/>
      <c r="ET966" s="24"/>
      <c r="EU966" s="24"/>
      <c r="EV966" s="24"/>
      <c r="FW966" s="24">
        <v>2014</v>
      </c>
      <c r="FX966" s="24">
        <v>16</v>
      </c>
      <c r="FY966" s="24" t="s">
        <v>32</v>
      </c>
      <c r="FZ966" s="24">
        <v>140</v>
      </c>
      <c r="GA966" s="24">
        <v>104</v>
      </c>
      <c r="GX966">
        <v>2014</v>
      </c>
      <c r="GY966">
        <v>16</v>
      </c>
      <c r="GZ966" t="s">
        <v>32</v>
      </c>
      <c r="HA966">
        <v>1467</v>
      </c>
      <c r="HB966">
        <v>1290</v>
      </c>
      <c r="HC966">
        <v>0</v>
      </c>
      <c r="HD966">
        <v>20</v>
      </c>
      <c r="HE966">
        <v>0</v>
      </c>
      <c r="HF966">
        <v>0</v>
      </c>
      <c r="HG966">
        <v>0</v>
      </c>
      <c r="HH966">
        <v>0</v>
      </c>
      <c r="HI966">
        <v>61</v>
      </c>
      <c r="HZ966" s="318">
        <v>2014</v>
      </c>
      <c r="IA966" s="318">
        <v>16</v>
      </c>
      <c r="IB966" s="318" t="s">
        <v>32</v>
      </c>
      <c r="IC966" s="318">
        <v>102</v>
      </c>
      <c r="ID966" s="318">
        <v>88</v>
      </c>
    </row>
    <row r="967" spans="9:238" x14ac:dyDescent="0.4">
      <c r="I967" s="305">
        <v>2014</v>
      </c>
      <c r="J967" s="306">
        <v>16</v>
      </c>
      <c r="K967" s="306" t="s">
        <v>32</v>
      </c>
      <c r="L967" s="306">
        <v>1683</v>
      </c>
      <c r="M967" s="306">
        <v>1448</v>
      </c>
      <c r="N967" s="306"/>
      <c r="O967" s="306">
        <v>235</v>
      </c>
      <c r="P967" s="306"/>
      <c r="Q967" s="306"/>
      <c r="DJ967" s="24"/>
      <c r="DK967" s="24"/>
      <c r="DL967" s="24"/>
      <c r="DM967" s="24"/>
      <c r="EI967" s="24">
        <v>2022</v>
      </c>
      <c r="EJ967" s="24">
        <v>32</v>
      </c>
      <c r="EK967" s="24" t="s">
        <v>237</v>
      </c>
      <c r="EL967" s="24" t="s">
        <v>555</v>
      </c>
      <c r="EM967" s="24" t="s">
        <v>234</v>
      </c>
      <c r="EN967" s="24">
        <v>1</v>
      </c>
      <c r="EO967" s="24"/>
      <c r="EP967" s="24"/>
      <c r="ES967" s="24"/>
      <c r="ET967" s="24"/>
      <c r="EU967" s="24"/>
      <c r="EV967" s="24"/>
      <c r="FW967" s="310">
        <v>2014</v>
      </c>
      <c r="FX967" s="310">
        <v>16</v>
      </c>
      <c r="FY967" s="310" t="s">
        <v>33</v>
      </c>
      <c r="FZ967" s="310">
        <v>1456</v>
      </c>
      <c r="GA967" s="310">
        <v>761</v>
      </c>
      <c r="GX967">
        <v>2014</v>
      </c>
      <c r="GY967">
        <v>16</v>
      </c>
      <c r="GZ967" t="s">
        <v>33</v>
      </c>
      <c r="HA967">
        <v>35412</v>
      </c>
      <c r="HB967">
        <v>31099</v>
      </c>
      <c r="HC967">
        <v>0</v>
      </c>
      <c r="HD967">
        <v>1153</v>
      </c>
      <c r="HE967">
        <v>0</v>
      </c>
      <c r="HF967">
        <v>317</v>
      </c>
      <c r="HG967">
        <v>0</v>
      </c>
      <c r="HH967">
        <v>0</v>
      </c>
      <c r="HI967">
        <v>977</v>
      </c>
      <c r="HZ967" s="24">
        <v>2014</v>
      </c>
      <c r="IA967" s="24">
        <v>16</v>
      </c>
      <c r="IB967" s="24" t="s">
        <v>33</v>
      </c>
      <c r="IC967" s="24">
        <v>1093</v>
      </c>
      <c r="ID967" s="24">
        <v>527</v>
      </c>
    </row>
    <row r="968" spans="9:238" x14ac:dyDescent="0.4">
      <c r="I968" s="305">
        <v>2014</v>
      </c>
      <c r="J968" s="306">
        <v>16</v>
      </c>
      <c r="K968" s="306" t="s">
        <v>33</v>
      </c>
      <c r="L968" s="306">
        <v>36443</v>
      </c>
      <c r="M968" s="306">
        <v>31707</v>
      </c>
      <c r="N968" s="306"/>
      <c r="O968" s="306">
        <v>4726</v>
      </c>
      <c r="P968" s="306">
        <v>1</v>
      </c>
      <c r="Q968" s="306"/>
      <c r="DJ968" s="24"/>
      <c r="DK968" s="24"/>
      <c r="DL968" s="24"/>
      <c r="DM968" s="24"/>
      <c r="EI968" s="24">
        <v>2022</v>
      </c>
      <c r="EJ968" s="24">
        <v>32</v>
      </c>
      <c r="EK968" s="24" t="s">
        <v>237</v>
      </c>
      <c r="EL968" s="24" t="s">
        <v>555</v>
      </c>
      <c r="EM968" s="24" t="s">
        <v>215</v>
      </c>
      <c r="EN968" s="24">
        <v>6</v>
      </c>
      <c r="EO968" s="24"/>
      <c r="EP968" s="24"/>
      <c r="ES968" s="24"/>
      <c r="ET968" s="24"/>
      <c r="EU968" s="24"/>
      <c r="EV968" s="24"/>
      <c r="FW968" s="310">
        <v>2014</v>
      </c>
      <c r="FX968" s="310">
        <v>15</v>
      </c>
      <c r="FY968" s="310" t="s">
        <v>32</v>
      </c>
      <c r="FZ968" s="310">
        <v>147</v>
      </c>
      <c r="GA968" s="310">
        <v>109</v>
      </c>
      <c r="GX968">
        <v>2014</v>
      </c>
      <c r="GY968">
        <v>15</v>
      </c>
      <c r="GZ968" t="s">
        <v>32</v>
      </c>
      <c r="HA968">
        <v>1707</v>
      </c>
      <c r="HB968">
        <v>1512</v>
      </c>
      <c r="HC968">
        <v>0</v>
      </c>
      <c r="HD968">
        <v>33</v>
      </c>
      <c r="HE968">
        <v>0</v>
      </c>
      <c r="HF968">
        <v>1</v>
      </c>
      <c r="HG968">
        <v>0</v>
      </c>
      <c r="HH968">
        <v>0</v>
      </c>
      <c r="HI968">
        <v>61</v>
      </c>
      <c r="HZ968" s="24">
        <v>2014</v>
      </c>
      <c r="IA968" s="24">
        <v>15</v>
      </c>
      <c r="IB968" s="24" t="s">
        <v>32</v>
      </c>
      <c r="IC968" s="24">
        <v>88</v>
      </c>
      <c r="ID968" s="24">
        <v>69</v>
      </c>
    </row>
    <row r="969" spans="9:238" x14ac:dyDescent="0.4">
      <c r="I969" s="305">
        <v>2014</v>
      </c>
      <c r="J969" s="306">
        <v>15</v>
      </c>
      <c r="K969" s="306" t="s">
        <v>32</v>
      </c>
      <c r="L969" s="306">
        <v>2010</v>
      </c>
      <c r="M969" s="306">
        <v>1722</v>
      </c>
      <c r="N969" s="306"/>
      <c r="O969" s="306">
        <v>288</v>
      </c>
      <c r="P969" s="306"/>
      <c r="Q969" s="306"/>
      <c r="DJ969" s="24"/>
      <c r="DK969" s="24"/>
      <c r="DL969" s="24"/>
      <c r="DM969" s="24"/>
      <c r="EI969" s="24">
        <v>2022</v>
      </c>
      <c r="EJ969" s="24">
        <v>32</v>
      </c>
      <c r="EK969" s="24" t="s">
        <v>237</v>
      </c>
      <c r="EL969" s="24" t="s">
        <v>557</v>
      </c>
      <c r="EM969" s="24" t="s">
        <v>210</v>
      </c>
      <c r="EN969" s="24">
        <v>10</v>
      </c>
      <c r="EO969" s="24"/>
      <c r="EP969" s="24"/>
      <c r="ES969" s="24"/>
      <c r="ET969" s="24"/>
      <c r="EU969" s="24"/>
      <c r="EV969" s="24"/>
      <c r="FW969" s="24">
        <v>2014</v>
      </c>
      <c r="FX969" s="24">
        <v>15</v>
      </c>
      <c r="FY969" s="24" t="s">
        <v>33</v>
      </c>
      <c r="FZ969" s="24">
        <v>1206</v>
      </c>
      <c r="GA969" s="24">
        <v>785</v>
      </c>
      <c r="GX969">
        <v>2014</v>
      </c>
      <c r="GY969">
        <v>15</v>
      </c>
      <c r="GZ969" t="s">
        <v>33</v>
      </c>
      <c r="HA969">
        <v>30482</v>
      </c>
      <c r="HB969">
        <v>27328</v>
      </c>
      <c r="HC969">
        <v>1</v>
      </c>
      <c r="HD969">
        <v>968</v>
      </c>
      <c r="HE969">
        <v>1</v>
      </c>
      <c r="HF969">
        <v>248</v>
      </c>
      <c r="HG969">
        <v>0</v>
      </c>
      <c r="HH969">
        <v>0</v>
      </c>
      <c r="HI969">
        <v>477</v>
      </c>
      <c r="HZ969" s="24">
        <v>2014</v>
      </c>
      <c r="IA969" s="24">
        <v>15</v>
      </c>
      <c r="IB969" s="24" t="s">
        <v>33</v>
      </c>
      <c r="IC969" s="24">
        <v>1007</v>
      </c>
      <c r="ID969" s="24">
        <v>691</v>
      </c>
    </row>
    <row r="970" spans="9:238" x14ac:dyDescent="0.4">
      <c r="I970" s="305">
        <v>2014</v>
      </c>
      <c r="J970" s="306">
        <v>15</v>
      </c>
      <c r="K970" s="306" t="s">
        <v>33</v>
      </c>
      <c r="L970" s="306">
        <v>31648</v>
      </c>
      <c r="M970" s="306">
        <v>28534</v>
      </c>
      <c r="N970" s="306"/>
      <c r="O970" s="306">
        <v>3070</v>
      </c>
      <c r="P970" s="306"/>
      <c r="Q970" s="306"/>
      <c r="DJ970" s="24"/>
      <c r="DK970" s="24"/>
      <c r="DL970" s="24"/>
      <c r="DM970" s="24"/>
      <c r="EI970" s="24">
        <v>2022</v>
      </c>
      <c r="EJ970" s="24">
        <v>32</v>
      </c>
      <c r="EK970" s="24" t="s">
        <v>237</v>
      </c>
      <c r="EL970" s="24" t="s">
        <v>557</v>
      </c>
      <c r="EM970" s="24" t="s">
        <v>234</v>
      </c>
      <c r="EN970" s="24">
        <v>13</v>
      </c>
      <c r="EO970" s="24"/>
      <c r="EP970" s="24"/>
      <c r="ES970" s="24"/>
      <c r="ET970" s="24"/>
      <c r="EU970" s="24"/>
      <c r="EV970" s="24"/>
      <c r="FW970" s="24">
        <v>2014</v>
      </c>
      <c r="FX970" s="24">
        <v>14</v>
      </c>
      <c r="FY970" s="24" t="s">
        <v>32</v>
      </c>
      <c r="FZ970" s="24">
        <v>286</v>
      </c>
      <c r="GA970" s="24">
        <v>143</v>
      </c>
      <c r="GX970">
        <v>2014</v>
      </c>
      <c r="GY970">
        <v>14</v>
      </c>
      <c r="GZ970" t="s">
        <v>32</v>
      </c>
      <c r="HA970">
        <v>2394</v>
      </c>
      <c r="HB970">
        <v>1999</v>
      </c>
      <c r="HC970">
        <v>0</v>
      </c>
      <c r="HD970">
        <v>20</v>
      </c>
      <c r="HE970">
        <v>0</v>
      </c>
      <c r="HF970">
        <v>27</v>
      </c>
      <c r="HG970">
        <v>0</v>
      </c>
      <c r="HH970">
        <v>0</v>
      </c>
      <c r="HI970">
        <v>68</v>
      </c>
      <c r="HZ970" s="24">
        <v>2014</v>
      </c>
      <c r="IA970" s="24">
        <v>14</v>
      </c>
      <c r="IB970" s="24" t="s">
        <v>32</v>
      </c>
      <c r="IC970" s="24">
        <v>191</v>
      </c>
      <c r="ID970" s="24">
        <v>114</v>
      </c>
    </row>
    <row r="971" spans="9:238" x14ac:dyDescent="0.4">
      <c r="I971" s="305">
        <v>2014</v>
      </c>
      <c r="J971" s="306">
        <v>14</v>
      </c>
      <c r="K971" s="306" t="s">
        <v>32</v>
      </c>
      <c r="L971" s="306">
        <v>3092</v>
      </c>
      <c r="M971" s="306">
        <v>2509</v>
      </c>
      <c r="N971" s="306"/>
      <c r="O971" s="306">
        <v>582</v>
      </c>
      <c r="P971" s="306"/>
      <c r="Q971" s="306"/>
      <c r="DJ971" s="24"/>
      <c r="DK971" s="24"/>
      <c r="DL971" s="24"/>
      <c r="DM971" s="24"/>
      <c r="EI971" s="24">
        <v>2022</v>
      </c>
      <c r="EJ971" s="24">
        <v>32</v>
      </c>
      <c r="EK971" s="24" t="s">
        <v>237</v>
      </c>
      <c r="EL971" s="24" t="s">
        <v>557</v>
      </c>
      <c r="EM971" s="24" t="s">
        <v>215</v>
      </c>
      <c r="EN971" s="24">
        <v>81</v>
      </c>
      <c r="EO971" s="24"/>
      <c r="EP971" s="24"/>
      <c r="ES971" s="24"/>
      <c r="ET971" s="24"/>
      <c r="EU971" s="24"/>
      <c r="EV971" s="24"/>
      <c r="FW971" s="24">
        <v>2014</v>
      </c>
      <c r="FX971" s="24">
        <v>14</v>
      </c>
      <c r="FY971" s="24" t="s">
        <v>33</v>
      </c>
      <c r="FZ971" s="24">
        <v>1516</v>
      </c>
      <c r="GA971" s="24">
        <v>683</v>
      </c>
      <c r="GX971">
        <v>2014</v>
      </c>
      <c r="GY971">
        <v>14</v>
      </c>
      <c r="GZ971" t="s">
        <v>33</v>
      </c>
      <c r="HA971">
        <v>32757</v>
      </c>
      <c r="HB971">
        <v>20701</v>
      </c>
      <c r="HC971">
        <v>1</v>
      </c>
      <c r="HD971">
        <v>1318</v>
      </c>
      <c r="HE971">
        <v>0</v>
      </c>
      <c r="HF971">
        <v>160</v>
      </c>
      <c r="HG971">
        <v>0</v>
      </c>
      <c r="HH971">
        <v>0</v>
      </c>
      <c r="HI971">
        <v>1082</v>
      </c>
      <c r="HZ971" s="24">
        <v>2014</v>
      </c>
      <c r="IA971" s="24">
        <v>14</v>
      </c>
      <c r="IB971" s="24" t="s">
        <v>33</v>
      </c>
      <c r="IC971" s="24">
        <v>1113</v>
      </c>
      <c r="ID971" s="24">
        <v>502</v>
      </c>
    </row>
    <row r="972" spans="9:238" x14ac:dyDescent="0.4">
      <c r="I972" s="305">
        <v>2014</v>
      </c>
      <c r="J972" s="306">
        <v>14</v>
      </c>
      <c r="K972" s="306" t="s">
        <v>33</v>
      </c>
      <c r="L972" s="306">
        <v>34135</v>
      </c>
      <c r="M972" s="306">
        <v>21582</v>
      </c>
      <c r="N972" s="306"/>
      <c r="O972" s="306">
        <v>12429</v>
      </c>
      <c r="P972" s="306"/>
      <c r="Q972" s="306"/>
      <c r="DJ972" s="24"/>
      <c r="DK972" s="24"/>
      <c r="DL972" s="24"/>
      <c r="DM972" s="24"/>
      <c r="EI972" s="24">
        <v>2022</v>
      </c>
      <c r="EJ972" s="24">
        <v>32</v>
      </c>
      <c r="EK972" s="24" t="s">
        <v>237</v>
      </c>
      <c r="EL972" s="24" t="s">
        <v>240</v>
      </c>
      <c r="EM972" s="24" t="s">
        <v>210</v>
      </c>
      <c r="EN972" s="24">
        <v>1</v>
      </c>
      <c r="EO972" s="24"/>
      <c r="EP972" s="24"/>
      <c r="ES972" s="24"/>
      <c r="ET972" s="24"/>
      <c r="EU972" s="24"/>
      <c r="EV972" s="24"/>
      <c r="FW972" s="311">
        <v>2014</v>
      </c>
      <c r="FX972" s="311">
        <v>13</v>
      </c>
      <c r="FY972" s="311" t="s">
        <v>32</v>
      </c>
      <c r="FZ972" s="311">
        <v>170</v>
      </c>
      <c r="GA972" s="311">
        <v>102</v>
      </c>
      <c r="GX972">
        <v>2014</v>
      </c>
      <c r="GY972">
        <v>13</v>
      </c>
      <c r="GZ972" t="s">
        <v>32</v>
      </c>
      <c r="HA972">
        <v>1672</v>
      </c>
      <c r="HB972">
        <v>1391</v>
      </c>
      <c r="HC972">
        <v>0</v>
      </c>
      <c r="HD972">
        <v>12</v>
      </c>
      <c r="HE972">
        <v>0</v>
      </c>
      <c r="HF972">
        <v>13</v>
      </c>
      <c r="HG972">
        <v>0</v>
      </c>
      <c r="HH972">
        <v>0</v>
      </c>
      <c r="HI972">
        <v>32</v>
      </c>
      <c r="HZ972" s="24">
        <v>2014</v>
      </c>
      <c r="IA972" s="24">
        <v>13</v>
      </c>
      <c r="IB972" s="24" t="s">
        <v>32</v>
      </c>
      <c r="IC972" s="24">
        <v>136</v>
      </c>
      <c r="ID972" s="24">
        <v>82</v>
      </c>
    </row>
    <row r="973" spans="9:238" x14ac:dyDescent="0.4">
      <c r="I973" s="305">
        <v>2014</v>
      </c>
      <c r="J973" s="306">
        <v>13</v>
      </c>
      <c r="K973" s="306" t="s">
        <v>32</v>
      </c>
      <c r="L973" s="306">
        <v>2012</v>
      </c>
      <c r="M973" s="306">
        <v>1658</v>
      </c>
      <c r="N973" s="306"/>
      <c r="O973" s="306">
        <v>354</v>
      </c>
      <c r="P973" s="306"/>
      <c r="Q973" s="306"/>
      <c r="DJ973" s="24"/>
      <c r="DK973" s="24"/>
      <c r="DL973" s="24"/>
      <c r="DM973" s="24"/>
      <c r="EI973" s="24">
        <v>2022</v>
      </c>
      <c r="EJ973" s="24">
        <v>32</v>
      </c>
      <c r="EK973" s="24" t="s">
        <v>237</v>
      </c>
      <c r="EL973" s="24" t="s">
        <v>554</v>
      </c>
      <c r="EM973" s="24" t="s">
        <v>215</v>
      </c>
      <c r="EN973" s="24">
        <v>1</v>
      </c>
      <c r="EO973" s="24"/>
      <c r="EP973" s="24"/>
      <c r="ES973" s="24"/>
      <c r="ET973" s="24"/>
      <c r="EU973" s="24"/>
      <c r="EV973" s="24"/>
      <c r="FW973" s="311">
        <v>2014</v>
      </c>
      <c r="FX973" s="311">
        <v>13</v>
      </c>
      <c r="FY973" s="311" t="s">
        <v>33</v>
      </c>
      <c r="FZ973" s="311">
        <v>1125</v>
      </c>
      <c r="GA973" s="311">
        <v>626</v>
      </c>
      <c r="GX973">
        <v>2014</v>
      </c>
      <c r="GY973">
        <v>13</v>
      </c>
      <c r="GZ973" t="s">
        <v>33</v>
      </c>
      <c r="HA973">
        <v>34827</v>
      </c>
      <c r="HB973">
        <v>28852</v>
      </c>
      <c r="HC973">
        <v>1</v>
      </c>
      <c r="HD973">
        <v>1531</v>
      </c>
      <c r="HE973">
        <v>0</v>
      </c>
      <c r="HF973">
        <v>171</v>
      </c>
      <c r="HG973">
        <v>0</v>
      </c>
      <c r="HH973">
        <v>0</v>
      </c>
      <c r="HI973">
        <v>992</v>
      </c>
      <c r="HZ973" s="24">
        <v>2014</v>
      </c>
      <c r="IA973" s="24">
        <v>13</v>
      </c>
      <c r="IB973" s="24" t="s">
        <v>33</v>
      </c>
      <c r="IC973" s="24">
        <v>795</v>
      </c>
      <c r="ID973" s="24">
        <v>449</v>
      </c>
    </row>
    <row r="974" spans="9:238" x14ac:dyDescent="0.4">
      <c r="I974" s="305">
        <v>2014</v>
      </c>
      <c r="J974" s="306">
        <v>13</v>
      </c>
      <c r="K974" s="306" t="s">
        <v>33</v>
      </c>
      <c r="L974" s="306">
        <v>36126</v>
      </c>
      <c r="M974" s="306">
        <v>30038</v>
      </c>
      <c r="N974" s="306"/>
      <c r="O974" s="306">
        <v>6037</v>
      </c>
      <c r="P974" s="306"/>
      <c r="Q974" s="306"/>
      <c r="DJ974" s="24"/>
      <c r="DK974" s="24"/>
      <c r="DL974" s="24"/>
      <c r="DM974" s="24"/>
      <c r="EI974" s="24">
        <v>2022</v>
      </c>
      <c r="EJ974" s="24">
        <v>32</v>
      </c>
      <c r="EK974" s="24" t="s">
        <v>237</v>
      </c>
      <c r="EL974" s="24" t="s">
        <v>235</v>
      </c>
      <c r="EM974" s="24" t="s">
        <v>210</v>
      </c>
      <c r="EN974" s="24">
        <v>32</v>
      </c>
      <c r="EO974" s="24"/>
      <c r="EP974" s="24"/>
      <c r="ES974" s="24"/>
      <c r="ET974" s="24"/>
      <c r="EU974" s="24"/>
      <c r="EV974" s="24"/>
      <c r="FW974" s="24">
        <v>2014</v>
      </c>
      <c r="FX974" s="24">
        <v>12</v>
      </c>
      <c r="FY974" s="24" t="s">
        <v>32</v>
      </c>
      <c r="FZ974" s="24">
        <v>173</v>
      </c>
      <c r="GA974" s="24">
        <v>102</v>
      </c>
      <c r="GX974">
        <v>2014</v>
      </c>
      <c r="GY974">
        <v>12</v>
      </c>
      <c r="GZ974" t="s">
        <v>32</v>
      </c>
      <c r="HA974">
        <v>1642</v>
      </c>
      <c r="HB974">
        <v>1353</v>
      </c>
      <c r="HC974">
        <v>0</v>
      </c>
      <c r="HD974">
        <v>22</v>
      </c>
      <c r="HE974">
        <v>0</v>
      </c>
      <c r="HF974">
        <v>0</v>
      </c>
      <c r="HG974">
        <v>0</v>
      </c>
      <c r="HH974">
        <v>0</v>
      </c>
      <c r="HI974">
        <v>64</v>
      </c>
      <c r="HZ974" s="24">
        <v>2014</v>
      </c>
      <c r="IA974" s="24">
        <v>12</v>
      </c>
      <c r="IB974" s="24" t="s">
        <v>32</v>
      </c>
      <c r="IC974" s="24">
        <v>120</v>
      </c>
      <c r="ID974" s="24">
        <v>74</v>
      </c>
    </row>
    <row r="975" spans="9:238" x14ac:dyDescent="0.4">
      <c r="I975" s="305">
        <v>2014</v>
      </c>
      <c r="J975" s="306">
        <v>12</v>
      </c>
      <c r="K975" s="306" t="s">
        <v>32</v>
      </c>
      <c r="L975" s="306">
        <v>2030</v>
      </c>
      <c r="M975" s="306">
        <v>1679</v>
      </c>
      <c r="N975" s="306"/>
      <c r="O975" s="306">
        <v>351</v>
      </c>
      <c r="P975" s="306"/>
      <c r="Q975" s="306"/>
      <c r="DJ975" s="24"/>
      <c r="DK975" s="24"/>
      <c r="DL975" s="24"/>
      <c r="DM975" s="24"/>
      <c r="EI975" s="24">
        <v>2022</v>
      </c>
      <c r="EJ975" s="24">
        <v>32</v>
      </c>
      <c r="EK975" s="24" t="s">
        <v>237</v>
      </c>
      <c r="EL975" s="24" t="s">
        <v>235</v>
      </c>
      <c r="EM975" s="24" t="s">
        <v>234</v>
      </c>
      <c r="EN975" s="24">
        <v>3</v>
      </c>
      <c r="EO975" s="24"/>
      <c r="EP975" s="24"/>
      <c r="ES975" s="24"/>
      <c r="ET975" s="24"/>
      <c r="EU975" s="24"/>
      <c r="EV975" s="24"/>
      <c r="FW975" s="24">
        <v>2014</v>
      </c>
      <c r="FX975" s="24">
        <v>12</v>
      </c>
      <c r="FY975" s="24" t="s">
        <v>33</v>
      </c>
      <c r="FZ975" s="24">
        <v>1270</v>
      </c>
      <c r="GA975" s="24">
        <v>457</v>
      </c>
      <c r="GX975">
        <v>2014</v>
      </c>
      <c r="GY975">
        <v>12</v>
      </c>
      <c r="GZ975" t="s">
        <v>33</v>
      </c>
      <c r="HA975">
        <v>36329</v>
      </c>
      <c r="HB975">
        <v>30359</v>
      </c>
      <c r="HC975">
        <v>3</v>
      </c>
      <c r="HD975">
        <v>755</v>
      </c>
      <c r="HE975">
        <v>0</v>
      </c>
      <c r="HF975">
        <v>175</v>
      </c>
      <c r="HG975">
        <v>0</v>
      </c>
      <c r="HH975">
        <v>0</v>
      </c>
      <c r="HI975">
        <v>1015</v>
      </c>
      <c r="HZ975" s="24">
        <v>2014</v>
      </c>
      <c r="IA975" s="24">
        <v>12</v>
      </c>
      <c r="IB975" s="24" t="s">
        <v>33</v>
      </c>
      <c r="IC975" s="24">
        <v>930</v>
      </c>
      <c r="ID975" s="24">
        <v>296</v>
      </c>
    </row>
    <row r="976" spans="9:238" x14ac:dyDescent="0.4">
      <c r="I976" s="305">
        <v>2014</v>
      </c>
      <c r="J976" s="306">
        <v>12</v>
      </c>
      <c r="K976" s="306" t="s">
        <v>33</v>
      </c>
      <c r="L976" s="306">
        <v>37642</v>
      </c>
      <c r="M976" s="306">
        <v>31038</v>
      </c>
      <c r="N976" s="306"/>
      <c r="O976" s="306">
        <v>6543</v>
      </c>
      <c r="P976" s="306"/>
      <c r="Q976" s="306"/>
      <c r="DJ976" s="24"/>
      <c r="DK976" s="24"/>
      <c r="DL976" s="24"/>
      <c r="DM976" s="24"/>
      <c r="EI976" s="24">
        <v>2022</v>
      </c>
      <c r="EJ976" s="24">
        <v>32</v>
      </c>
      <c r="EK976" s="24" t="s">
        <v>237</v>
      </c>
      <c r="EL976" s="24" t="s">
        <v>235</v>
      </c>
      <c r="EM976" s="24" t="s">
        <v>215</v>
      </c>
      <c r="EN976" s="24">
        <v>9</v>
      </c>
      <c r="EO976" s="24"/>
      <c r="EP976" s="24"/>
      <c r="ES976" s="24"/>
      <c r="ET976" s="24"/>
      <c r="EU976" s="24"/>
      <c r="EV976" s="24"/>
      <c r="FW976" s="24">
        <v>2014</v>
      </c>
      <c r="FX976" s="24">
        <v>11</v>
      </c>
      <c r="FY976" s="24" t="s">
        <v>32</v>
      </c>
      <c r="FZ976" s="24">
        <v>158</v>
      </c>
      <c r="GA976" s="24">
        <v>122</v>
      </c>
      <c r="GX976">
        <v>2014</v>
      </c>
      <c r="GY976">
        <v>11</v>
      </c>
      <c r="GZ976" t="s">
        <v>32</v>
      </c>
      <c r="HA976">
        <v>1640</v>
      </c>
      <c r="HB976">
        <v>1468</v>
      </c>
      <c r="HC976">
        <v>0</v>
      </c>
      <c r="HD976">
        <v>22</v>
      </c>
      <c r="HE976">
        <v>0</v>
      </c>
      <c r="HF976">
        <v>4</v>
      </c>
      <c r="HG976">
        <v>0</v>
      </c>
      <c r="HH976">
        <v>0</v>
      </c>
      <c r="HI976">
        <v>51</v>
      </c>
      <c r="HZ976" s="24">
        <v>2014</v>
      </c>
      <c r="IA976" s="24">
        <v>11</v>
      </c>
      <c r="IB976" s="24" t="s">
        <v>32</v>
      </c>
      <c r="IC976" s="24">
        <v>97</v>
      </c>
      <c r="ID976" s="24">
        <v>86</v>
      </c>
    </row>
    <row r="977" spans="9:238" x14ac:dyDescent="0.4">
      <c r="I977" s="305">
        <v>2014</v>
      </c>
      <c r="J977" s="306">
        <v>11</v>
      </c>
      <c r="K977" s="306" t="s">
        <v>32</v>
      </c>
      <c r="L977" s="306">
        <v>2168</v>
      </c>
      <c r="M977" s="306">
        <v>1890</v>
      </c>
      <c r="N977" s="306"/>
      <c r="O977" s="306">
        <v>278</v>
      </c>
      <c r="P977" s="306"/>
      <c r="Q977" s="306"/>
      <c r="DJ977" s="24"/>
      <c r="DK977" s="24"/>
      <c r="DL977" s="24"/>
      <c r="DM977" s="24"/>
      <c r="EI977" s="24">
        <v>2022</v>
      </c>
      <c r="EJ977" s="24">
        <v>32</v>
      </c>
      <c r="EK977" s="24" t="s">
        <v>237</v>
      </c>
      <c r="EL977" s="24" t="s">
        <v>247</v>
      </c>
      <c r="EM977" s="24" t="s">
        <v>210</v>
      </c>
      <c r="EN977" s="24">
        <v>3</v>
      </c>
      <c r="EO977" s="24"/>
      <c r="EP977" s="24"/>
      <c r="ES977" s="24"/>
      <c r="ET977" s="24"/>
      <c r="EU977" s="24"/>
      <c r="EV977" s="24"/>
      <c r="FW977" s="24">
        <v>2014</v>
      </c>
      <c r="FX977" s="24">
        <v>11</v>
      </c>
      <c r="FY977" s="24" t="s">
        <v>33</v>
      </c>
      <c r="FZ977" s="24">
        <v>1228</v>
      </c>
      <c r="GA977" s="24">
        <v>841</v>
      </c>
      <c r="GX977">
        <v>2014</v>
      </c>
      <c r="GY977">
        <v>11</v>
      </c>
      <c r="GZ977" t="s">
        <v>33</v>
      </c>
      <c r="HA977">
        <v>29871</v>
      </c>
      <c r="HB977">
        <v>26579</v>
      </c>
      <c r="HC977">
        <v>0</v>
      </c>
      <c r="HD977">
        <v>1226</v>
      </c>
      <c r="HE977">
        <v>0</v>
      </c>
      <c r="HF977">
        <v>42</v>
      </c>
      <c r="HG977">
        <v>0</v>
      </c>
      <c r="HH977">
        <v>0</v>
      </c>
      <c r="HI977">
        <v>583</v>
      </c>
      <c r="HZ977" s="319">
        <v>2014</v>
      </c>
      <c r="IA977" s="319">
        <v>11</v>
      </c>
      <c r="IB977" s="319" t="s">
        <v>33</v>
      </c>
      <c r="IC977" s="319">
        <v>895</v>
      </c>
      <c r="ID977" s="319">
        <v>592</v>
      </c>
    </row>
    <row r="978" spans="9:238" x14ac:dyDescent="0.4">
      <c r="I978" s="305">
        <v>2014</v>
      </c>
      <c r="J978" s="306">
        <v>11</v>
      </c>
      <c r="K978" s="306" t="s">
        <v>33</v>
      </c>
      <c r="L978" s="306">
        <v>31047</v>
      </c>
      <c r="M978" s="306">
        <v>27539</v>
      </c>
      <c r="N978" s="306"/>
      <c r="O978" s="306">
        <v>3466</v>
      </c>
      <c r="P978" s="306"/>
      <c r="Q978" s="306"/>
      <c r="DJ978" s="24"/>
      <c r="DK978" s="24"/>
      <c r="DL978" s="24"/>
      <c r="DM978" s="24"/>
      <c r="EI978" s="24">
        <v>2022</v>
      </c>
      <c r="EJ978" s="24">
        <v>32</v>
      </c>
      <c r="EK978" s="24" t="s">
        <v>237</v>
      </c>
      <c r="EL978" s="24" t="s">
        <v>247</v>
      </c>
      <c r="EM978" s="24" t="s">
        <v>234</v>
      </c>
      <c r="EN978" s="24">
        <v>1</v>
      </c>
      <c r="EO978" s="24"/>
      <c r="EP978" s="24"/>
      <c r="ES978" s="24"/>
      <c r="ET978" s="24"/>
      <c r="EU978" s="24"/>
      <c r="EV978" s="24"/>
      <c r="FW978" s="24">
        <v>2014</v>
      </c>
      <c r="FX978" s="24">
        <v>10</v>
      </c>
      <c r="FY978" s="24" t="s">
        <v>32</v>
      </c>
      <c r="FZ978" s="24">
        <v>309</v>
      </c>
      <c r="GA978" s="24">
        <v>190</v>
      </c>
      <c r="GX978">
        <v>2014</v>
      </c>
      <c r="GY978">
        <v>10</v>
      </c>
      <c r="GZ978" t="s">
        <v>32</v>
      </c>
      <c r="HA978">
        <v>2222</v>
      </c>
      <c r="HB978">
        <v>1993</v>
      </c>
      <c r="HC978">
        <v>0</v>
      </c>
      <c r="HD978">
        <v>19</v>
      </c>
      <c r="HE978">
        <v>0</v>
      </c>
      <c r="HF978">
        <v>2</v>
      </c>
      <c r="HG978">
        <v>0</v>
      </c>
      <c r="HH978">
        <v>0</v>
      </c>
      <c r="HI978">
        <v>68</v>
      </c>
      <c r="HZ978" s="319">
        <v>2014</v>
      </c>
      <c r="IA978" s="319">
        <v>10</v>
      </c>
      <c r="IB978" s="319" t="s">
        <v>32</v>
      </c>
      <c r="IC978" s="319">
        <v>173</v>
      </c>
      <c r="ID978" s="319">
        <v>122</v>
      </c>
    </row>
    <row r="979" spans="9:238" x14ac:dyDescent="0.4">
      <c r="I979" s="305">
        <v>2014</v>
      </c>
      <c r="J979" s="306">
        <v>10</v>
      </c>
      <c r="K979" s="306" t="s">
        <v>32</v>
      </c>
      <c r="L979" s="306">
        <v>2949</v>
      </c>
      <c r="M979" s="306">
        <v>2580</v>
      </c>
      <c r="N979" s="306"/>
      <c r="O979" s="306">
        <v>369</v>
      </c>
      <c r="P979" s="306"/>
      <c r="Q979" s="306"/>
      <c r="DJ979" s="24"/>
      <c r="DK979" s="24"/>
      <c r="DL979" s="24"/>
      <c r="DM979" s="24"/>
      <c r="EI979" s="24">
        <v>2022</v>
      </c>
      <c r="EJ979" s="24">
        <v>32</v>
      </c>
      <c r="EK979" s="24" t="s">
        <v>211</v>
      </c>
      <c r="EL979" s="24" t="s">
        <v>232</v>
      </c>
      <c r="EM979" s="24" t="s">
        <v>234</v>
      </c>
      <c r="EN979" s="24">
        <v>16</v>
      </c>
      <c r="EO979" s="24"/>
      <c r="EP979" s="24"/>
      <c r="ES979" s="24"/>
      <c r="ET979" s="24"/>
      <c r="EU979" s="24"/>
      <c r="EV979" s="24"/>
      <c r="FW979" s="313">
        <v>2014</v>
      </c>
      <c r="FX979" s="313">
        <v>10</v>
      </c>
      <c r="FY979" s="313" t="s">
        <v>33</v>
      </c>
      <c r="FZ979" s="313">
        <v>1052</v>
      </c>
      <c r="GA979" s="313">
        <v>843</v>
      </c>
      <c r="GX979">
        <v>2014</v>
      </c>
      <c r="GY979">
        <v>10</v>
      </c>
      <c r="GZ979" t="s">
        <v>33</v>
      </c>
      <c r="HA979">
        <v>29512</v>
      </c>
      <c r="HB979">
        <v>27203</v>
      </c>
      <c r="HC979">
        <v>0</v>
      </c>
      <c r="HD979">
        <v>1040</v>
      </c>
      <c r="HE979">
        <v>0</v>
      </c>
      <c r="HF979">
        <v>16</v>
      </c>
      <c r="HG979">
        <v>0</v>
      </c>
      <c r="HH979">
        <v>0</v>
      </c>
      <c r="HI979">
        <v>376</v>
      </c>
      <c r="HZ979" s="319">
        <v>2014</v>
      </c>
      <c r="IA979" s="319">
        <v>10</v>
      </c>
      <c r="IB979" s="319" t="s">
        <v>33</v>
      </c>
      <c r="IC979" s="319">
        <v>760</v>
      </c>
      <c r="ID979" s="319">
        <v>609</v>
      </c>
    </row>
    <row r="980" spans="9:238" x14ac:dyDescent="0.4">
      <c r="I980" s="305">
        <v>2014</v>
      </c>
      <c r="J980" s="306">
        <v>10</v>
      </c>
      <c r="K980" s="306" t="s">
        <v>33</v>
      </c>
      <c r="L980" s="306">
        <v>30769</v>
      </c>
      <c r="M980" s="306">
        <v>28305</v>
      </c>
      <c r="N980" s="306"/>
      <c r="O980" s="306">
        <v>2445</v>
      </c>
      <c r="P980" s="306"/>
      <c r="Q980" s="306"/>
      <c r="DJ980" s="24"/>
      <c r="DK980" s="24"/>
      <c r="DL980" s="24"/>
      <c r="DM980" s="24"/>
      <c r="EI980" s="24">
        <v>2022</v>
      </c>
      <c r="EJ980" s="24">
        <v>32</v>
      </c>
      <c r="EK980" s="24" t="s">
        <v>211</v>
      </c>
      <c r="EL980" s="24" t="s">
        <v>212</v>
      </c>
      <c r="EM980" s="24" t="s">
        <v>210</v>
      </c>
      <c r="EN980" s="24">
        <v>5</v>
      </c>
      <c r="EO980" s="24"/>
      <c r="EP980" s="24"/>
      <c r="ES980" s="24"/>
      <c r="ET980" s="24"/>
      <c r="EU980" s="24"/>
      <c r="EV980" s="24"/>
      <c r="FW980" s="313">
        <v>2014</v>
      </c>
      <c r="FX980" s="313">
        <v>9</v>
      </c>
      <c r="FY980" s="313" t="s">
        <v>32</v>
      </c>
      <c r="FZ980" s="313">
        <v>152</v>
      </c>
      <c r="GA980" s="313">
        <v>99</v>
      </c>
      <c r="GX980">
        <v>2014</v>
      </c>
      <c r="GY980">
        <v>9</v>
      </c>
      <c r="GZ980" t="s">
        <v>32</v>
      </c>
      <c r="HA980">
        <v>1830</v>
      </c>
      <c r="HB980">
        <v>1577</v>
      </c>
      <c r="HC980">
        <v>0</v>
      </c>
      <c r="HD980">
        <v>12</v>
      </c>
      <c r="HE980">
        <v>0</v>
      </c>
      <c r="HF980">
        <v>2</v>
      </c>
      <c r="HG980">
        <v>0</v>
      </c>
      <c r="HH980">
        <v>0</v>
      </c>
      <c r="HI980">
        <v>81</v>
      </c>
      <c r="HZ980" s="319">
        <v>2014</v>
      </c>
      <c r="IA980" s="319">
        <v>9</v>
      </c>
      <c r="IB980" s="319" t="s">
        <v>32</v>
      </c>
      <c r="IC980" s="319">
        <v>125</v>
      </c>
      <c r="ID980" s="319">
        <v>98</v>
      </c>
    </row>
    <row r="981" spans="9:238" x14ac:dyDescent="0.4">
      <c r="I981" s="305">
        <v>2014</v>
      </c>
      <c r="J981" s="306">
        <v>9</v>
      </c>
      <c r="K981" s="306" t="s">
        <v>32</v>
      </c>
      <c r="L981" s="306">
        <v>1898</v>
      </c>
      <c r="M981" s="306">
        <v>1556</v>
      </c>
      <c r="N981" s="306"/>
      <c r="O981" s="306">
        <v>342</v>
      </c>
      <c r="P981" s="306"/>
      <c r="Q981" s="306"/>
      <c r="DJ981" s="24"/>
      <c r="DK981" s="24"/>
      <c r="DL981" s="24"/>
      <c r="DM981" s="24"/>
      <c r="EI981" s="24">
        <v>2022</v>
      </c>
      <c r="EJ981" s="24">
        <v>32</v>
      </c>
      <c r="EK981" s="24" t="s">
        <v>211</v>
      </c>
      <c r="EL981" s="24" t="s">
        <v>212</v>
      </c>
      <c r="EM981" s="24" t="s">
        <v>234</v>
      </c>
      <c r="EN981" s="24">
        <v>21</v>
      </c>
      <c r="EO981" s="24"/>
      <c r="EP981" s="24"/>
      <c r="ES981" s="24"/>
      <c r="ET981" s="24"/>
      <c r="EU981" s="24"/>
      <c r="EV981" s="24"/>
      <c r="FW981" s="313">
        <v>2014</v>
      </c>
      <c r="FX981" s="313">
        <v>9</v>
      </c>
      <c r="FY981" s="313" t="s">
        <v>33</v>
      </c>
      <c r="FZ981" s="313">
        <v>1152</v>
      </c>
      <c r="GA981" s="313">
        <v>722</v>
      </c>
      <c r="GX981">
        <v>2014</v>
      </c>
      <c r="GY981">
        <v>9</v>
      </c>
      <c r="GZ981" t="s">
        <v>33</v>
      </c>
      <c r="HA981">
        <v>32353</v>
      </c>
      <c r="HB981">
        <v>27516</v>
      </c>
      <c r="HC981">
        <v>0</v>
      </c>
      <c r="HD981">
        <v>1056</v>
      </c>
      <c r="HE981">
        <v>0</v>
      </c>
      <c r="HF981">
        <v>72</v>
      </c>
      <c r="HG981">
        <v>0</v>
      </c>
      <c r="HH981">
        <v>0</v>
      </c>
      <c r="HI981">
        <v>716</v>
      </c>
      <c r="HZ981" s="24">
        <v>2014</v>
      </c>
      <c r="IA981" s="24">
        <v>9</v>
      </c>
      <c r="IB981" s="24" t="s">
        <v>33</v>
      </c>
      <c r="IC981" s="24">
        <v>846</v>
      </c>
      <c r="ID981" s="24">
        <v>516</v>
      </c>
    </row>
    <row r="982" spans="9:238" x14ac:dyDescent="0.4">
      <c r="I982" s="305">
        <v>2014</v>
      </c>
      <c r="J982" s="306">
        <v>9</v>
      </c>
      <c r="K982" s="306" t="s">
        <v>33</v>
      </c>
      <c r="L982" s="306">
        <v>33237</v>
      </c>
      <c r="M982" s="306">
        <v>28352</v>
      </c>
      <c r="N982" s="306"/>
      <c r="O982" s="306">
        <v>4831</v>
      </c>
      <c r="P982" s="306"/>
      <c r="Q982" s="306"/>
      <c r="DJ982" s="24"/>
      <c r="DK982" s="24"/>
      <c r="DL982" s="24"/>
      <c r="DM982" s="24"/>
      <c r="EI982" s="24">
        <v>2022</v>
      </c>
      <c r="EJ982" s="24">
        <v>32</v>
      </c>
      <c r="EK982" s="24" t="s">
        <v>211</v>
      </c>
      <c r="EL982" s="24" t="s">
        <v>247</v>
      </c>
      <c r="EM982" s="24" t="s">
        <v>210</v>
      </c>
      <c r="EN982" s="24">
        <v>6</v>
      </c>
      <c r="EO982" s="24"/>
      <c r="EP982" s="24"/>
      <c r="ES982" s="24"/>
      <c r="ET982" s="24"/>
      <c r="EU982" s="24"/>
      <c r="EV982" s="24"/>
      <c r="FW982" s="24">
        <v>2014</v>
      </c>
      <c r="FX982" s="24">
        <v>8</v>
      </c>
      <c r="FY982" s="24" t="s">
        <v>32</v>
      </c>
      <c r="FZ982" s="24">
        <v>169</v>
      </c>
      <c r="GA982" s="24">
        <v>151</v>
      </c>
      <c r="GX982">
        <v>2014</v>
      </c>
      <c r="GY982">
        <v>8</v>
      </c>
      <c r="GZ982" t="s">
        <v>32</v>
      </c>
      <c r="HA982">
        <v>1884</v>
      </c>
      <c r="HB982">
        <v>1650</v>
      </c>
      <c r="HC982">
        <v>0</v>
      </c>
      <c r="HD982">
        <v>8</v>
      </c>
      <c r="HE982">
        <v>0</v>
      </c>
      <c r="HF982">
        <v>3</v>
      </c>
      <c r="HG982">
        <v>0</v>
      </c>
      <c r="HH982">
        <v>0</v>
      </c>
      <c r="HI982">
        <v>17</v>
      </c>
      <c r="HZ982" s="24">
        <v>2014</v>
      </c>
      <c r="IA982" s="24">
        <v>8</v>
      </c>
      <c r="IB982" s="24" t="s">
        <v>32</v>
      </c>
      <c r="IC982" s="24">
        <v>142</v>
      </c>
      <c r="ID982" s="24">
        <v>133</v>
      </c>
    </row>
    <row r="983" spans="9:238" x14ac:dyDescent="0.4">
      <c r="I983" s="305">
        <v>2014</v>
      </c>
      <c r="J983" s="306">
        <v>8</v>
      </c>
      <c r="K983" s="306" t="s">
        <v>32</v>
      </c>
      <c r="L983" s="306">
        <v>2031</v>
      </c>
      <c r="M983" s="306">
        <v>1741</v>
      </c>
      <c r="N983" s="306"/>
      <c r="O983" s="306">
        <v>290</v>
      </c>
      <c r="P983" s="306"/>
      <c r="Q983" s="306"/>
      <c r="DJ983" s="24"/>
      <c r="DK983" s="24"/>
      <c r="DL983" s="24"/>
      <c r="DM983" s="24"/>
      <c r="EI983" s="24">
        <v>2022</v>
      </c>
      <c r="EJ983" s="24">
        <v>32</v>
      </c>
      <c r="EK983" s="24" t="s">
        <v>211</v>
      </c>
      <c r="EL983" s="24" t="s">
        <v>247</v>
      </c>
      <c r="EM983" s="24" t="s">
        <v>234</v>
      </c>
      <c r="EN983" s="24">
        <v>12</v>
      </c>
      <c r="EO983" s="24"/>
      <c r="EP983" s="24"/>
      <c r="ES983" s="24"/>
      <c r="ET983" s="24"/>
      <c r="EU983" s="24"/>
      <c r="EV983" s="24"/>
      <c r="FW983" s="24">
        <v>2014</v>
      </c>
      <c r="FX983" s="24">
        <v>8</v>
      </c>
      <c r="FY983" s="24" t="s">
        <v>33</v>
      </c>
      <c r="FZ983" s="24">
        <v>1178</v>
      </c>
      <c r="GA983" s="24">
        <v>620</v>
      </c>
      <c r="GX983">
        <v>2014</v>
      </c>
      <c r="GY983">
        <v>8</v>
      </c>
      <c r="GZ983" t="s">
        <v>33</v>
      </c>
      <c r="HA983">
        <v>31904</v>
      </c>
      <c r="HB983">
        <v>27516</v>
      </c>
      <c r="HC983">
        <v>0</v>
      </c>
      <c r="HD983">
        <v>524</v>
      </c>
      <c r="HE983">
        <v>0</v>
      </c>
      <c r="HF983">
        <v>35</v>
      </c>
      <c r="HG983">
        <v>0</v>
      </c>
      <c r="HH983">
        <v>0</v>
      </c>
      <c r="HI983">
        <v>272</v>
      </c>
      <c r="HZ983" s="320">
        <v>2014</v>
      </c>
      <c r="IA983" s="320">
        <v>8</v>
      </c>
      <c r="IB983" s="320" t="s">
        <v>33</v>
      </c>
      <c r="IC983" s="320">
        <v>902</v>
      </c>
      <c r="ID983" s="320">
        <v>428</v>
      </c>
    </row>
    <row r="984" spans="9:238" x14ac:dyDescent="0.4">
      <c r="I984" s="305">
        <v>2014</v>
      </c>
      <c r="J984" s="306">
        <v>8</v>
      </c>
      <c r="K984" s="306" t="s">
        <v>33</v>
      </c>
      <c r="L984" s="306">
        <v>32850</v>
      </c>
      <c r="M984" s="306">
        <v>28075</v>
      </c>
      <c r="N984" s="306"/>
      <c r="O984" s="306">
        <v>4733</v>
      </c>
      <c r="P984" s="306"/>
      <c r="Q984" s="306"/>
      <c r="DJ984" s="24"/>
      <c r="DK984" s="24"/>
      <c r="DL984" s="24"/>
      <c r="DM984" s="24"/>
      <c r="EI984" s="24">
        <v>2022</v>
      </c>
      <c r="EJ984" s="24">
        <v>31</v>
      </c>
      <c r="EK984" s="24" t="s">
        <v>19</v>
      </c>
      <c r="EL984" s="24" t="s">
        <v>233</v>
      </c>
      <c r="EM984" s="24" t="s">
        <v>210</v>
      </c>
      <c r="EN984" s="24">
        <v>1</v>
      </c>
      <c r="EO984" s="24"/>
      <c r="EP984" s="24"/>
      <c r="ES984" s="24"/>
      <c r="ET984" s="24"/>
      <c r="EU984" s="24"/>
      <c r="EV984" s="24"/>
      <c r="FW984" s="24">
        <v>2014</v>
      </c>
      <c r="FX984" s="24">
        <v>7</v>
      </c>
      <c r="FY984" s="24" t="s">
        <v>32</v>
      </c>
      <c r="FZ984" s="24">
        <v>151</v>
      </c>
      <c r="GA984" s="24">
        <v>137</v>
      </c>
      <c r="GX984">
        <v>2014</v>
      </c>
      <c r="GY984">
        <v>7</v>
      </c>
      <c r="GZ984" t="s">
        <v>32</v>
      </c>
      <c r="HA984">
        <v>1849</v>
      </c>
      <c r="HB984">
        <v>1733</v>
      </c>
      <c r="HC984">
        <v>0</v>
      </c>
      <c r="HD984">
        <v>6</v>
      </c>
      <c r="HE984">
        <v>0</v>
      </c>
      <c r="HF984">
        <v>0</v>
      </c>
      <c r="HG984">
        <v>0</v>
      </c>
      <c r="HH984">
        <v>0</v>
      </c>
      <c r="HI984">
        <v>0</v>
      </c>
      <c r="HZ984" s="320">
        <v>2014</v>
      </c>
      <c r="IA984" s="320">
        <v>7</v>
      </c>
      <c r="IB984" s="320" t="s">
        <v>32</v>
      </c>
      <c r="IC984" s="320">
        <v>163</v>
      </c>
      <c r="ID984" s="320">
        <v>141</v>
      </c>
    </row>
    <row r="985" spans="9:238" x14ac:dyDescent="0.4">
      <c r="I985" s="305">
        <v>2014</v>
      </c>
      <c r="J985" s="306">
        <v>7</v>
      </c>
      <c r="K985" s="306" t="s">
        <v>32</v>
      </c>
      <c r="L985" s="306">
        <v>1826</v>
      </c>
      <c r="M985" s="306">
        <v>1709</v>
      </c>
      <c r="N985" s="306"/>
      <c r="O985" s="306">
        <v>117</v>
      </c>
      <c r="P985" s="306"/>
      <c r="Q985" s="306"/>
      <c r="DJ985" s="24"/>
      <c r="DK985" s="24"/>
      <c r="DL985" s="24"/>
      <c r="DM985" s="24"/>
      <c r="EI985" s="24">
        <v>2022</v>
      </c>
      <c r="EJ985" s="24">
        <v>31</v>
      </c>
      <c r="EK985" s="24" t="s">
        <v>19</v>
      </c>
      <c r="EL985" s="24" t="s">
        <v>233</v>
      </c>
      <c r="EM985" s="24" t="s">
        <v>215</v>
      </c>
      <c r="EN985" s="24">
        <v>2</v>
      </c>
      <c r="EO985" s="24"/>
      <c r="EP985" s="24"/>
      <c r="ES985" s="24"/>
      <c r="ET985" s="24"/>
      <c r="EU985" s="24"/>
      <c r="EV985" s="24"/>
      <c r="FW985" s="24">
        <v>2014</v>
      </c>
      <c r="FX985" s="24">
        <v>7</v>
      </c>
      <c r="FY985" s="24" t="s">
        <v>33</v>
      </c>
      <c r="FZ985" s="24">
        <v>965</v>
      </c>
      <c r="GA985" s="24">
        <v>554</v>
      </c>
      <c r="GX985">
        <v>2014</v>
      </c>
      <c r="GY985">
        <v>7</v>
      </c>
      <c r="GZ985" t="s">
        <v>33</v>
      </c>
      <c r="HA985">
        <v>34460</v>
      </c>
      <c r="HB985">
        <v>28979</v>
      </c>
      <c r="HC985">
        <v>0</v>
      </c>
      <c r="HD985">
        <v>399</v>
      </c>
      <c r="HE985">
        <v>0</v>
      </c>
      <c r="HF985">
        <v>32</v>
      </c>
      <c r="HG985">
        <v>0</v>
      </c>
      <c r="HH985">
        <v>0</v>
      </c>
      <c r="HI985">
        <v>22</v>
      </c>
      <c r="HZ985" s="320">
        <v>2014</v>
      </c>
      <c r="IA985" s="320">
        <v>7</v>
      </c>
      <c r="IB985" s="320" t="s">
        <v>33</v>
      </c>
      <c r="IC985" s="320">
        <v>886</v>
      </c>
      <c r="ID985" s="320">
        <v>500</v>
      </c>
    </row>
    <row r="986" spans="9:238" x14ac:dyDescent="0.4">
      <c r="I986" s="305">
        <v>2014</v>
      </c>
      <c r="J986" s="306">
        <v>7</v>
      </c>
      <c r="K986" s="306" t="s">
        <v>33</v>
      </c>
      <c r="L986" s="306">
        <v>34634</v>
      </c>
      <c r="M986" s="306">
        <v>28621</v>
      </c>
      <c r="N986" s="306"/>
      <c r="O986" s="306">
        <v>5957</v>
      </c>
      <c r="P986" s="306">
        <v>1</v>
      </c>
      <c r="Q986" s="306"/>
      <c r="DJ986" s="24"/>
      <c r="DK986" s="24"/>
      <c r="DL986" s="24"/>
      <c r="DM986" s="24"/>
      <c r="EI986" s="24">
        <v>2022</v>
      </c>
      <c r="EJ986" s="24">
        <v>31</v>
      </c>
      <c r="EK986" s="24" t="s">
        <v>208</v>
      </c>
      <c r="EL986" s="24" t="s">
        <v>555</v>
      </c>
      <c r="EM986" s="24" t="s">
        <v>234</v>
      </c>
      <c r="EN986" s="24">
        <v>2</v>
      </c>
      <c r="EO986" s="24"/>
      <c r="EP986" s="24"/>
      <c r="ES986" s="24"/>
      <c r="ET986" s="24"/>
      <c r="EU986" s="24"/>
      <c r="EV986" s="24"/>
      <c r="FW986" s="24">
        <v>2014</v>
      </c>
      <c r="FX986" s="24">
        <v>6</v>
      </c>
      <c r="FY986" s="24" t="s">
        <v>32</v>
      </c>
      <c r="FZ986" s="24">
        <v>152</v>
      </c>
      <c r="GA986" s="24">
        <v>113</v>
      </c>
      <c r="GX986">
        <v>2014</v>
      </c>
      <c r="GY986">
        <v>6</v>
      </c>
      <c r="GZ986" t="s">
        <v>32</v>
      </c>
      <c r="HA986">
        <v>2264</v>
      </c>
      <c r="HB986">
        <v>2058</v>
      </c>
      <c r="HC986">
        <v>0</v>
      </c>
      <c r="HD986">
        <v>9</v>
      </c>
      <c r="HE986">
        <v>0</v>
      </c>
      <c r="HF986">
        <v>0</v>
      </c>
      <c r="HG986">
        <v>0</v>
      </c>
      <c r="HH986">
        <v>0</v>
      </c>
      <c r="HI986">
        <v>0</v>
      </c>
      <c r="HZ986" s="320">
        <v>2014</v>
      </c>
      <c r="IA986" s="320">
        <v>6</v>
      </c>
      <c r="IB986" s="320" t="s">
        <v>32</v>
      </c>
      <c r="IC986" s="320">
        <v>99</v>
      </c>
      <c r="ID986" s="320">
        <v>71</v>
      </c>
    </row>
    <row r="987" spans="9:238" x14ac:dyDescent="0.4">
      <c r="I987" s="305">
        <v>2014</v>
      </c>
      <c r="J987" s="306">
        <v>6</v>
      </c>
      <c r="K987" s="306" t="s">
        <v>32</v>
      </c>
      <c r="L987" s="306">
        <v>2997</v>
      </c>
      <c r="M987" s="306">
        <v>2697</v>
      </c>
      <c r="N987" s="306"/>
      <c r="O987" s="306">
        <v>300</v>
      </c>
      <c r="P987" s="306"/>
      <c r="Q987" s="306"/>
      <c r="DJ987" s="24"/>
      <c r="DK987" s="24"/>
      <c r="DL987" s="24"/>
      <c r="DM987" s="24"/>
      <c r="EI987" s="24">
        <v>2022</v>
      </c>
      <c r="EJ987" s="24">
        <v>31</v>
      </c>
      <c r="EK987" s="24" t="s">
        <v>208</v>
      </c>
      <c r="EL987" s="24" t="s">
        <v>555</v>
      </c>
      <c r="EM987" s="24" t="s">
        <v>215</v>
      </c>
      <c r="EN987" s="24">
        <v>1</v>
      </c>
      <c r="EO987" s="24"/>
      <c r="EP987" s="24"/>
      <c r="ES987" s="24"/>
      <c r="ET987" s="24"/>
      <c r="EU987" s="24"/>
      <c r="EV987" s="24"/>
      <c r="FW987" s="24">
        <v>2014</v>
      </c>
      <c r="FX987" s="24">
        <v>6</v>
      </c>
      <c r="FY987" s="24" t="s">
        <v>33</v>
      </c>
      <c r="FZ987" s="24">
        <v>1005</v>
      </c>
      <c r="GA987" s="24">
        <v>706</v>
      </c>
      <c r="GX987">
        <v>2014</v>
      </c>
      <c r="GY987">
        <v>6</v>
      </c>
      <c r="GZ987" t="s">
        <v>33</v>
      </c>
      <c r="HA987">
        <v>29364</v>
      </c>
      <c r="HB987">
        <v>25256</v>
      </c>
      <c r="HC987">
        <v>0</v>
      </c>
      <c r="HD987">
        <v>415</v>
      </c>
      <c r="HE987">
        <v>0</v>
      </c>
      <c r="HF987">
        <v>96</v>
      </c>
      <c r="HG987">
        <v>0</v>
      </c>
      <c r="HH987">
        <v>0</v>
      </c>
      <c r="HI987">
        <v>10</v>
      </c>
      <c r="HZ987" s="320">
        <v>2014</v>
      </c>
      <c r="IA987" s="320">
        <v>6</v>
      </c>
      <c r="IB987" s="320" t="s">
        <v>33</v>
      </c>
      <c r="IC987" s="320">
        <v>742</v>
      </c>
      <c r="ID987" s="320">
        <v>531</v>
      </c>
    </row>
    <row r="988" spans="9:238" x14ac:dyDescent="0.4">
      <c r="I988" s="305">
        <v>2014</v>
      </c>
      <c r="J988" s="306">
        <v>6</v>
      </c>
      <c r="K988" s="306" t="s">
        <v>33</v>
      </c>
      <c r="L988" s="306">
        <v>30941</v>
      </c>
      <c r="M988" s="306">
        <v>26187</v>
      </c>
      <c r="N988" s="306"/>
      <c r="O988" s="306">
        <v>4715</v>
      </c>
      <c r="P988" s="306"/>
      <c r="Q988" s="306"/>
      <c r="DJ988" s="24"/>
      <c r="DK988" s="24"/>
      <c r="DL988" s="24"/>
      <c r="DM988" s="24"/>
      <c r="EI988" s="24">
        <v>2022</v>
      </c>
      <c r="EJ988" s="24">
        <v>31</v>
      </c>
      <c r="EK988" s="24" t="s">
        <v>208</v>
      </c>
      <c r="EL988" s="24" t="s">
        <v>351</v>
      </c>
      <c r="EM988" s="24" t="s">
        <v>234</v>
      </c>
      <c r="EN988" s="24">
        <v>3</v>
      </c>
      <c r="EO988" s="24"/>
      <c r="EP988" s="24"/>
      <c r="ES988" s="24"/>
      <c r="ET988" s="24"/>
      <c r="EU988" s="24"/>
      <c r="EV988" s="24"/>
      <c r="FW988" s="24">
        <v>2014</v>
      </c>
      <c r="FX988" s="24">
        <v>5</v>
      </c>
      <c r="FY988" s="24" t="s">
        <v>32</v>
      </c>
      <c r="FZ988" s="24">
        <v>203</v>
      </c>
      <c r="GA988" s="24">
        <v>153</v>
      </c>
      <c r="GX988">
        <v>2014</v>
      </c>
      <c r="GY988">
        <v>5</v>
      </c>
      <c r="GZ988" t="s">
        <v>32</v>
      </c>
      <c r="HA988">
        <v>1929</v>
      </c>
      <c r="HB988">
        <v>1755</v>
      </c>
      <c r="HC988">
        <v>0</v>
      </c>
      <c r="HD988">
        <v>3</v>
      </c>
      <c r="HE988">
        <v>0</v>
      </c>
      <c r="HF988">
        <v>9</v>
      </c>
      <c r="HG988">
        <v>0</v>
      </c>
      <c r="HH988">
        <v>0</v>
      </c>
      <c r="HI988">
        <v>0</v>
      </c>
      <c r="HZ988" s="320">
        <v>2014</v>
      </c>
      <c r="IA988" s="320">
        <v>5</v>
      </c>
      <c r="IB988" s="320" t="s">
        <v>32</v>
      </c>
      <c r="IC988" s="320">
        <v>166</v>
      </c>
      <c r="ID988" s="320">
        <v>136</v>
      </c>
    </row>
    <row r="989" spans="9:238" x14ac:dyDescent="0.4">
      <c r="I989" s="305">
        <v>2014</v>
      </c>
      <c r="J989" s="306">
        <v>5</v>
      </c>
      <c r="K989" s="306" t="s">
        <v>32</v>
      </c>
      <c r="L989" s="306">
        <v>2209</v>
      </c>
      <c r="M989" s="306">
        <v>1955</v>
      </c>
      <c r="N989" s="306"/>
      <c r="O989" s="306">
        <v>254</v>
      </c>
      <c r="P989" s="306"/>
      <c r="Q989" s="306"/>
      <c r="DJ989" s="24"/>
      <c r="DK989" s="24"/>
      <c r="DL989" s="24"/>
      <c r="DM989" s="24"/>
      <c r="EI989" s="24">
        <v>2022</v>
      </c>
      <c r="EJ989" s="24">
        <v>31</v>
      </c>
      <c r="EK989" s="24" t="s">
        <v>208</v>
      </c>
      <c r="EL989" s="24" t="s">
        <v>235</v>
      </c>
      <c r="EM989" s="24" t="s">
        <v>210</v>
      </c>
      <c r="EN989" s="24">
        <v>3</v>
      </c>
      <c r="EO989" s="24"/>
      <c r="EP989" s="24"/>
      <c r="ES989" s="24"/>
      <c r="ET989" s="24"/>
      <c r="EU989" s="24"/>
      <c r="EV989" s="24"/>
      <c r="FW989" s="24">
        <v>2014</v>
      </c>
      <c r="FX989" s="24">
        <v>5</v>
      </c>
      <c r="FY989" s="24" t="s">
        <v>33</v>
      </c>
      <c r="FZ989" s="24">
        <v>788</v>
      </c>
      <c r="GA989" s="24">
        <v>571</v>
      </c>
      <c r="GX989">
        <v>2014</v>
      </c>
      <c r="GY989">
        <v>5</v>
      </c>
      <c r="GZ989" t="s">
        <v>33</v>
      </c>
      <c r="HA989">
        <v>26211</v>
      </c>
      <c r="HB989">
        <v>24196</v>
      </c>
      <c r="HC989">
        <v>1</v>
      </c>
      <c r="HD989">
        <v>849</v>
      </c>
      <c r="HE989">
        <v>0</v>
      </c>
      <c r="HF989">
        <v>73</v>
      </c>
      <c r="HG989">
        <v>0</v>
      </c>
      <c r="HH989">
        <v>0</v>
      </c>
      <c r="HI989">
        <v>13</v>
      </c>
      <c r="HZ989" s="24">
        <v>2014</v>
      </c>
      <c r="IA989" s="24">
        <v>5</v>
      </c>
      <c r="IB989" s="24" t="s">
        <v>33</v>
      </c>
      <c r="IC989" s="24">
        <v>696</v>
      </c>
      <c r="ID989" s="24">
        <v>454</v>
      </c>
    </row>
    <row r="990" spans="9:238" x14ac:dyDescent="0.4">
      <c r="I990" s="305">
        <v>2014</v>
      </c>
      <c r="J990" s="306">
        <v>5</v>
      </c>
      <c r="K990" s="306" t="s">
        <v>33</v>
      </c>
      <c r="L990" s="306">
        <v>26710</v>
      </c>
      <c r="M990" s="306">
        <v>24690</v>
      </c>
      <c r="N990" s="306"/>
      <c r="O990" s="306">
        <v>2006</v>
      </c>
      <c r="P990" s="306"/>
      <c r="Q990" s="306"/>
      <c r="DJ990" s="24"/>
      <c r="DK990" s="24"/>
      <c r="DL990" s="24"/>
      <c r="DM990" s="24"/>
      <c r="EI990" s="24">
        <v>2022</v>
      </c>
      <c r="EJ990" s="24">
        <v>31</v>
      </c>
      <c r="EK990" s="24" t="s">
        <v>208</v>
      </c>
      <c r="EL990" s="24" t="s">
        <v>235</v>
      </c>
      <c r="EM990" s="24" t="s">
        <v>234</v>
      </c>
      <c r="EN990" s="24">
        <v>31</v>
      </c>
      <c r="EO990" s="24"/>
      <c r="EP990" s="24"/>
      <c r="ES990" s="24"/>
      <c r="ET990" s="24"/>
      <c r="EU990" s="24"/>
      <c r="EV990" s="24"/>
      <c r="FW990" s="24">
        <v>2014</v>
      </c>
      <c r="FX990" s="24">
        <v>4</v>
      </c>
      <c r="FY990" s="24" t="s">
        <v>32</v>
      </c>
      <c r="FZ990" s="24">
        <v>153</v>
      </c>
      <c r="GA990" s="24">
        <v>120</v>
      </c>
      <c r="GX990">
        <v>2014</v>
      </c>
      <c r="GY990">
        <v>4</v>
      </c>
      <c r="GZ990" t="s">
        <v>32</v>
      </c>
      <c r="HA990">
        <v>1651</v>
      </c>
      <c r="HB990">
        <v>1485</v>
      </c>
      <c r="HC990">
        <v>0</v>
      </c>
      <c r="HD990">
        <v>7</v>
      </c>
      <c r="HE990">
        <v>0</v>
      </c>
      <c r="HF990">
        <v>0</v>
      </c>
      <c r="HG990">
        <v>0</v>
      </c>
      <c r="HH990">
        <v>0</v>
      </c>
      <c r="HI990">
        <v>0</v>
      </c>
      <c r="HZ990" s="24">
        <v>2014</v>
      </c>
      <c r="IA990" s="24">
        <v>4</v>
      </c>
      <c r="IB990" s="24" t="s">
        <v>32</v>
      </c>
      <c r="IC990" s="24">
        <v>123</v>
      </c>
      <c r="ID990" s="24">
        <v>101</v>
      </c>
    </row>
    <row r="991" spans="9:238" x14ac:dyDescent="0.4">
      <c r="I991" s="305">
        <v>2014</v>
      </c>
      <c r="J991" s="306">
        <v>4</v>
      </c>
      <c r="K991" s="306" t="s">
        <v>32</v>
      </c>
      <c r="L991" s="306">
        <v>2027</v>
      </c>
      <c r="M991" s="306">
        <v>1773</v>
      </c>
      <c r="N991" s="306"/>
      <c r="O991" s="306">
        <v>254</v>
      </c>
      <c r="P991" s="306"/>
      <c r="Q991" s="306"/>
      <c r="DJ991" s="24"/>
      <c r="DK991" s="24"/>
      <c r="DL991" s="24"/>
      <c r="DM991" s="24"/>
      <c r="EI991" s="24">
        <v>2022</v>
      </c>
      <c r="EJ991" s="24">
        <v>31</v>
      </c>
      <c r="EK991" s="24" t="s">
        <v>208</v>
      </c>
      <c r="EL991" s="24" t="s">
        <v>235</v>
      </c>
      <c r="EM991" s="24" t="s">
        <v>215</v>
      </c>
      <c r="EN991" s="24">
        <v>4</v>
      </c>
      <c r="EO991" s="24"/>
      <c r="EP991" s="24"/>
      <c r="ES991" s="24"/>
      <c r="ET991" s="24"/>
      <c r="EU991" s="24"/>
      <c r="EV991" s="24"/>
      <c r="FW991" s="24">
        <v>2014</v>
      </c>
      <c r="FX991" s="24">
        <v>4</v>
      </c>
      <c r="FY991" s="24" t="s">
        <v>33</v>
      </c>
      <c r="FZ991" s="24">
        <v>924</v>
      </c>
      <c r="GA991" s="24">
        <v>662</v>
      </c>
      <c r="GX991">
        <v>2014</v>
      </c>
      <c r="GY991">
        <v>4</v>
      </c>
      <c r="GZ991" t="s">
        <v>33</v>
      </c>
      <c r="HA991">
        <v>28499</v>
      </c>
      <c r="HB991">
        <v>26030</v>
      </c>
      <c r="HC991">
        <v>0</v>
      </c>
      <c r="HD991">
        <v>382</v>
      </c>
      <c r="HE991">
        <v>0</v>
      </c>
      <c r="HF991">
        <v>27</v>
      </c>
      <c r="HG991">
        <v>1</v>
      </c>
      <c r="HH991">
        <v>0</v>
      </c>
      <c r="HI991">
        <v>2</v>
      </c>
      <c r="HZ991" s="24">
        <v>2014</v>
      </c>
      <c r="IA991" s="24">
        <v>4</v>
      </c>
      <c r="IB991" s="24" t="s">
        <v>33</v>
      </c>
      <c r="IC991" s="24">
        <v>840</v>
      </c>
      <c r="ID991" s="24">
        <v>597</v>
      </c>
    </row>
    <row r="992" spans="9:238" x14ac:dyDescent="0.4">
      <c r="I992" s="305">
        <v>2014</v>
      </c>
      <c r="J992" s="306">
        <v>4</v>
      </c>
      <c r="K992" s="306" t="s">
        <v>33</v>
      </c>
      <c r="L992" s="306">
        <v>29587</v>
      </c>
      <c r="M992" s="306">
        <v>26761</v>
      </c>
      <c r="N992" s="306"/>
      <c r="O992" s="306">
        <v>2815</v>
      </c>
      <c r="P992" s="306"/>
      <c r="Q992" s="306"/>
      <c r="DJ992" s="24"/>
      <c r="DK992" s="24"/>
      <c r="DL992" s="24"/>
      <c r="DM992" s="24"/>
      <c r="EI992" s="24">
        <v>2022</v>
      </c>
      <c r="EJ992" s="24">
        <v>31</v>
      </c>
      <c r="EK992" s="24" t="s">
        <v>208</v>
      </c>
      <c r="EL992" s="24" t="s">
        <v>209</v>
      </c>
      <c r="EM992" s="24" t="s">
        <v>210</v>
      </c>
      <c r="EN992" s="24">
        <v>5</v>
      </c>
      <c r="EO992" s="24"/>
      <c r="EP992" s="24"/>
      <c r="ES992" s="24"/>
      <c r="ET992" s="24"/>
      <c r="EU992" s="24"/>
      <c r="EV992" s="24"/>
      <c r="FW992" s="314">
        <v>2014</v>
      </c>
      <c r="FX992" s="314">
        <v>3</v>
      </c>
      <c r="FY992" s="314" t="s">
        <v>32</v>
      </c>
      <c r="FZ992" s="314">
        <v>126</v>
      </c>
      <c r="GA992" s="314">
        <v>106</v>
      </c>
      <c r="GX992">
        <v>2014</v>
      </c>
      <c r="GY992">
        <v>3</v>
      </c>
      <c r="GZ992" t="s">
        <v>32</v>
      </c>
      <c r="HA992">
        <v>2185</v>
      </c>
      <c r="HB992">
        <v>2022</v>
      </c>
      <c r="HC992">
        <v>0</v>
      </c>
      <c r="HD992">
        <v>8</v>
      </c>
      <c r="HE992">
        <v>0</v>
      </c>
      <c r="HF992">
        <v>0</v>
      </c>
      <c r="HG992">
        <v>0</v>
      </c>
      <c r="HH992">
        <v>0</v>
      </c>
      <c r="HI992">
        <v>3</v>
      </c>
      <c r="HZ992" s="24">
        <v>2014</v>
      </c>
      <c r="IA992" s="24">
        <v>3</v>
      </c>
      <c r="IB992" s="24" t="s">
        <v>32</v>
      </c>
      <c r="IC992" s="24">
        <v>90</v>
      </c>
      <c r="ID992" s="24">
        <v>80</v>
      </c>
    </row>
    <row r="993" spans="9:238" x14ac:dyDescent="0.4">
      <c r="I993" s="305">
        <v>2014</v>
      </c>
      <c r="J993" s="306">
        <v>3</v>
      </c>
      <c r="K993" s="306" t="s">
        <v>32</v>
      </c>
      <c r="L993" s="306">
        <v>2549</v>
      </c>
      <c r="M993" s="306">
        <v>2321</v>
      </c>
      <c r="N993" s="306"/>
      <c r="O993" s="306">
        <v>228</v>
      </c>
      <c r="P993" s="306"/>
      <c r="Q993" s="306"/>
      <c r="DJ993" s="24"/>
      <c r="DK993" s="24"/>
      <c r="DL993" s="24"/>
      <c r="DM993" s="24"/>
      <c r="EI993" s="24">
        <v>2022</v>
      </c>
      <c r="EJ993" s="24">
        <v>31</v>
      </c>
      <c r="EK993" s="24" t="s">
        <v>208</v>
      </c>
      <c r="EL993" s="24" t="s">
        <v>209</v>
      </c>
      <c r="EM993" s="24" t="s">
        <v>234</v>
      </c>
      <c r="EN993" s="24">
        <v>1</v>
      </c>
      <c r="EO993" s="24"/>
      <c r="EP993" s="24"/>
      <c r="ES993" s="24"/>
      <c r="ET993" s="24"/>
      <c r="EU993" s="24"/>
      <c r="EV993" s="24"/>
      <c r="FW993" s="314">
        <v>2014</v>
      </c>
      <c r="FX993" s="314">
        <v>3</v>
      </c>
      <c r="FY993" s="314" t="s">
        <v>33</v>
      </c>
      <c r="FZ993" s="314">
        <v>700</v>
      </c>
      <c r="GA993" s="314">
        <v>559</v>
      </c>
      <c r="GX993">
        <v>2014</v>
      </c>
      <c r="GY993">
        <v>3</v>
      </c>
      <c r="GZ993" t="s">
        <v>33</v>
      </c>
      <c r="HA993">
        <v>23796</v>
      </c>
      <c r="HB993">
        <v>22679</v>
      </c>
      <c r="HC993">
        <v>0</v>
      </c>
      <c r="HD993">
        <v>190</v>
      </c>
      <c r="HE993">
        <v>0</v>
      </c>
      <c r="HF993">
        <v>35</v>
      </c>
      <c r="HG993">
        <v>0</v>
      </c>
      <c r="HH993">
        <v>0</v>
      </c>
      <c r="HI993">
        <v>0</v>
      </c>
      <c r="HZ993" s="321">
        <v>2014</v>
      </c>
      <c r="IA993" s="321">
        <v>3</v>
      </c>
      <c r="IB993" s="321" t="s">
        <v>33</v>
      </c>
      <c r="IC993" s="321">
        <v>581</v>
      </c>
      <c r="ID993" s="321">
        <v>441</v>
      </c>
    </row>
    <row r="994" spans="9:238" x14ac:dyDescent="0.4">
      <c r="I994" s="305">
        <v>2014</v>
      </c>
      <c r="J994" s="306">
        <v>3</v>
      </c>
      <c r="K994" s="306" t="s">
        <v>33</v>
      </c>
      <c r="L994" s="306">
        <v>24158</v>
      </c>
      <c r="M994" s="306">
        <v>22578</v>
      </c>
      <c r="N994" s="306"/>
      <c r="O994" s="306">
        <v>1576</v>
      </c>
      <c r="P994" s="306"/>
      <c r="Q994" s="306"/>
      <c r="DJ994" s="24"/>
      <c r="DK994" s="24"/>
      <c r="DL994" s="24"/>
      <c r="DM994" s="24"/>
      <c r="EI994" s="24">
        <v>2022</v>
      </c>
      <c r="EJ994" s="24">
        <v>31</v>
      </c>
      <c r="EK994" s="24" t="s">
        <v>208</v>
      </c>
      <c r="EL994" s="24" t="s">
        <v>247</v>
      </c>
      <c r="EM994" s="24" t="s">
        <v>234</v>
      </c>
      <c r="EN994" s="24">
        <v>1</v>
      </c>
      <c r="EO994" s="24"/>
      <c r="EP994" s="24"/>
      <c r="ES994" s="24"/>
      <c r="ET994" s="24"/>
      <c r="EU994" s="24"/>
      <c r="EV994" s="24"/>
      <c r="FW994" s="314">
        <v>2014</v>
      </c>
      <c r="FX994" s="314">
        <v>2</v>
      </c>
      <c r="FY994" s="314" t="s">
        <v>32</v>
      </c>
      <c r="FZ994" s="314">
        <v>150</v>
      </c>
      <c r="GA994" s="314">
        <v>86</v>
      </c>
      <c r="GX994">
        <v>2014</v>
      </c>
      <c r="GY994">
        <v>2</v>
      </c>
      <c r="GZ994" t="s">
        <v>32</v>
      </c>
      <c r="HA994">
        <v>1627</v>
      </c>
      <c r="HB994">
        <v>1465</v>
      </c>
      <c r="HC994">
        <v>0</v>
      </c>
      <c r="HD994">
        <v>2</v>
      </c>
      <c r="HE994">
        <v>0</v>
      </c>
      <c r="HF994">
        <v>1</v>
      </c>
      <c r="HG994">
        <v>0</v>
      </c>
      <c r="HH994">
        <v>0</v>
      </c>
      <c r="HI994">
        <v>1</v>
      </c>
      <c r="HZ994" s="321">
        <v>2014</v>
      </c>
      <c r="IA994" s="321">
        <v>2</v>
      </c>
      <c r="IB994" s="321" t="s">
        <v>32</v>
      </c>
      <c r="IC994" s="321">
        <v>113</v>
      </c>
      <c r="ID994" s="321">
        <v>69</v>
      </c>
    </row>
    <row r="995" spans="9:238" x14ac:dyDescent="0.4">
      <c r="I995" s="305">
        <v>2014</v>
      </c>
      <c r="J995" s="306">
        <v>2</v>
      </c>
      <c r="K995" s="306" t="s">
        <v>32</v>
      </c>
      <c r="L995" s="306">
        <v>1902</v>
      </c>
      <c r="M995" s="306">
        <v>1641</v>
      </c>
      <c r="N995" s="306"/>
      <c r="O995" s="306">
        <v>261</v>
      </c>
      <c r="P995" s="306"/>
      <c r="Q995" s="306"/>
      <c r="DJ995" s="24"/>
      <c r="DK995" s="24"/>
      <c r="DL995" s="24"/>
      <c r="DM995" s="24"/>
      <c r="EI995" s="24">
        <v>2022</v>
      </c>
      <c r="EJ995" s="24">
        <v>31</v>
      </c>
      <c r="EK995" s="24" t="s">
        <v>33</v>
      </c>
      <c r="EL995" s="24" t="s">
        <v>240</v>
      </c>
      <c r="EM995" s="24" t="s">
        <v>215</v>
      </c>
      <c r="EN995" s="24">
        <v>2</v>
      </c>
      <c r="EO995" s="24"/>
      <c r="EP995" s="24"/>
      <c r="ES995" s="24"/>
      <c r="ET995" s="24"/>
      <c r="EU995" s="24"/>
      <c r="EV995" s="24"/>
      <c r="FW995" s="314">
        <v>2014</v>
      </c>
      <c r="FX995" s="314">
        <v>2</v>
      </c>
      <c r="FY995" s="314" t="s">
        <v>33</v>
      </c>
      <c r="FZ995" s="314">
        <v>816</v>
      </c>
      <c r="GA995" s="314">
        <v>517</v>
      </c>
      <c r="GX995">
        <v>2014</v>
      </c>
      <c r="GY995">
        <v>2</v>
      </c>
      <c r="GZ995" t="s">
        <v>33</v>
      </c>
      <c r="HA995">
        <v>24038</v>
      </c>
      <c r="HB995">
        <v>22443</v>
      </c>
      <c r="HC995">
        <v>0</v>
      </c>
      <c r="HD995">
        <v>270</v>
      </c>
      <c r="HE995">
        <v>0</v>
      </c>
      <c r="HF995">
        <v>36</v>
      </c>
      <c r="HG995">
        <v>0</v>
      </c>
      <c r="HH995">
        <v>0</v>
      </c>
      <c r="HI995">
        <v>6</v>
      </c>
      <c r="HZ995" s="24">
        <v>2014</v>
      </c>
      <c r="IA995" s="24">
        <v>2</v>
      </c>
      <c r="IB995" s="24" t="s">
        <v>33</v>
      </c>
      <c r="IC995" s="24">
        <v>705</v>
      </c>
      <c r="ID995" s="24">
        <v>436</v>
      </c>
    </row>
    <row r="996" spans="9:238" x14ac:dyDescent="0.4">
      <c r="I996" s="305">
        <v>2014</v>
      </c>
      <c r="J996" s="306">
        <v>2</v>
      </c>
      <c r="K996" s="306" t="s">
        <v>33</v>
      </c>
      <c r="L996" s="306">
        <v>25453</v>
      </c>
      <c r="M996" s="306">
        <v>23356</v>
      </c>
      <c r="N996" s="306"/>
      <c r="O996" s="306">
        <v>2077</v>
      </c>
      <c r="P996" s="306"/>
      <c r="Q996" s="306"/>
      <c r="DJ996" s="24"/>
      <c r="DK996" s="24"/>
      <c r="DL996" s="24"/>
      <c r="DM996" s="24"/>
      <c r="EI996" s="24">
        <v>2022</v>
      </c>
      <c r="EJ996" s="24">
        <v>31</v>
      </c>
      <c r="EK996" s="24" t="s">
        <v>33</v>
      </c>
      <c r="EL996" s="24" t="s">
        <v>233</v>
      </c>
      <c r="EM996" s="24" t="s">
        <v>210</v>
      </c>
      <c r="EN996" s="24">
        <v>4</v>
      </c>
      <c r="EO996" s="24"/>
      <c r="EP996" s="24"/>
      <c r="ES996" s="24"/>
      <c r="ET996" s="24"/>
      <c r="EU996" s="24"/>
      <c r="EV996" s="24"/>
      <c r="FW996" s="314">
        <v>2014</v>
      </c>
      <c r="FX996" s="314">
        <v>1</v>
      </c>
      <c r="FY996" s="314" t="s">
        <v>32</v>
      </c>
      <c r="FZ996" s="314">
        <v>117</v>
      </c>
      <c r="GA996" s="314">
        <v>101</v>
      </c>
      <c r="GX996">
        <v>2014</v>
      </c>
      <c r="GY996">
        <v>1</v>
      </c>
      <c r="GZ996" t="s">
        <v>32</v>
      </c>
      <c r="HA996">
        <v>1443</v>
      </c>
      <c r="HB996">
        <v>1305</v>
      </c>
      <c r="HC996">
        <v>0</v>
      </c>
      <c r="HD996">
        <v>4</v>
      </c>
      <c r="HE996">
        <v>0</v>
      </c>
      <c r="HF996">
        <v>0</v>
      </c>
      <c r="HG996">
        <v>0</v>
      </c>
      <c r="HH996">
        <v>0</v>
      </c>
      <c r="HI996">
        <v>0</v>
      </c>
      <c r="HZ996" s="24">
        <v>2014</v>
      </c>
      <c r="IA996" s="24">
        <v>1</v>
      </c>
      <c r="IB996" s="24" t="s">
        <v>32</v>
      </c>
      <c r="IC996" s="24">
        <v>95</v>
      </c>
      <c r="ID996" s="24">
        <v>84</v>
      </c>
    </row>
    <row r="997" spans="9:238" x14ac:dyDescent="0.4">
      <c r="I997" s="305">
        <v>2014</v>
      </c>
      <c r="J997" s="306">
        <v>1</v>
      </c>
      <c r="K997" s="306" t="s">
        <v>32</v>
      </c>
      <c r="L997" s="306">
        <v>1806</v>
      </c>
      <c r="M997" s="306">
        <v>1593</v>
      </c>
      <c r="N997" s="306"/>
      <c r="O997" s="306">
        <v>213</v>
      </c>
      <c r="P997" s="306"/>
      <c r="Q997" s="306"/>
      <c r="DJ997" s="24"/>
      <c r="DK997" s="24"/>
      <c r="DL997" s="24"/>
      <c r="DM997" s="24"/>
      <c r="EI997" s="24">
        <v>2022</v>
      </c>
      <c r="EJ997" s="24">
        <v>31</v>
      </c>
      <c r="EK997" s="24" t="s">
        <v>33</v>
      </c>
      <c r="EL997" s="24" t="s">
        <v>233</v>
      </c>
      <c r="EM997" s="24" t="s">
        <v>234</v>
      </c>
      <c r="EN997" s="24">
        <v>2</v>
      </c>
      <c r="EO997" s="24"/>
      <c r="EP997" s="24"/>
      <c r="ES997" s="24"/>
      <c r="ET997" s="24"/>
      <c r="EU997" s="24"/>
      <c r="EV997" s="24"/>
      <c r="FW997" s="314">
        <v>2014</v>
      </c>
      <c r="FX997" s="314">
        <v>1</v>
      </c>
      <c r="FY997" s="314" t="s">
        <v>33</v>
      </c>
      <c r="FZ997" s="314">
        <v>1012</v>
      </c>
      <c r="GA997" s="314">
        <v>747</v>
      </c>
      <c r="GX997">
        <v>2014</v>
      </c>
      <c r="GY997">
        <v>1</v>
      </c>
      <c r="GZ997" t="s">
        <v>33</v>
      </c>
      <c r="HA997">
        <v>25662</v>
      </c>
      <c r="HB997">
        <v>22762</v>
      </c>
      <c r="HC997">
        <v>0</v>
      </c>
      <c r="HD997">
        <v>369</v>
      </c>
      <c r="HE997">
        <v>0</v>
      </c>
      <c r="HF997">
        <v>19</v>
      </c>
      <c r="HG997">
        <v>0</v>
      </c>
      <c r="HH997">
        <v>0</v>
      </c>
      <c r="HI997">
        <v>3</v>
      </c>
      <c r="HZ997" s="322">
        <v>2014</v>
      </c>
      <c r="IA997" s="322">
        <v>1</v>
      </c>
      <c r="IB997" s="322" t="s">
        <v>33</v>
      </c>
      <c r="IC997" s="322">
        <v>915</v>
      </c>
      <c r="ID997" s="322">
        <v>686</v>
      </c>
    </row>
    <row r="998" spans="9:238" x14ac:dyDescent="0.4">
      <c r="I998" s="305">
        <v>2014</v>
      </c>
      <c r="J998" s="306">
        <v>1</v>
      </c>
      <c r="K998" s="306" t="s">
        <v>33</v>
      </c>
      <c r="L998" s="306">
        <v>26380</v>
      </c>
      <c r="M998" s="306">
        <v>23156</v>
      </c>
      <c r="N998" s="306"/>
      <c r="O998" s="306">
        <v>3213</v>
      </c>
      <c r="P998" s="306"/>
      <c r="Q998" s="306"/>
      <c r="DJ998" s="24"/>
      <c r="DK998" s="24"/>
      <c r="DL998" s="24"/>
      <c r="DM998" s="24"/>
      <c r="EI998" s="24">
        <v>2022</v>
      </c>
      <c r="EJ998" s="24">
        <v>31</v>
      </c>
      <c r="EK998" s="24" t="s">
        <v>33</v>
      </c>
      <c r="EL998" s="24" t="s">
        <v>233</v>
      </c>
      <c r="EM998" s="24" t="s">
        <v>215</v>
      </c>
      <c r="EN998" s="24">
        <v>1</v>
      </c>
      <c r="EO998" s="24"/>
      <c r="EP998" s="24"/>
      <c r="ES998" s="24"/>
      <c r="ET998" s="24"/>
      <c r="EU998" s="24"/>
      <c r="EV998" s="24"/>
      <c r="FW998" s="24">
        <v>2013</v>
      </c>
      <c r="FX998" s="24">
        <v>52</v>
      </c>
      <c r="FY998" s="24" t="s">
        <v>32</v>
      </c>
      <c r="FZ998" s="24">
        <v>135</v>
      </c>
      <c r="GA998" s="24">
        <v>104</v>
      </c>
      <c r="GX998">
        <v>2013</v>
      </c>
      <c r="GY998">
        <v>52</v>
      </c>
      <c r="GZ998" t="s">
        <v>32</v>
      </c>
      <c r="HA998">
        <v>1649</v>
      </c>
      <c r="HB998">
        <v>1474</v>
      </c>
      <c r="HC998">
        <v>0</v>
      </c>
      <c r="HD998">
        <v>14</v>
      </c>
      <c r="HE998">
        <v>0</v>
      </c>
      <c r="HF998">
        <v>0</v>
      </c>
      <c r="HG998">
        <v>0</v>
      </c>
      <c r="HH998">
        <v>0</v>
      </c>
      <c r="HI998">
        <v>0</v>
      </c>
      <c r="HZ998" s="322">
        <v>2013</v>
      </c>
      <c r="IA998" s="322">
        <v>52</v>
      </c>
      <c r="IB998" s="322" t="s">
        <v>32</v>
      </c>
      <c r="IC998" s="322">
        <v>97</v>
      </c>
      <c r="ID998" s="322">
        <v>65</v>
      </c>
    </row>
    <row r="999" spans="9:238" x14ac:dyDescent="0.4">
      <c r="I999" s="305">
        <v>2013</v>
      </c>
      <c r="J999" s="306">
        <v>52</v>
      </c>
      <c r="K999" s="306" t="s">
        <v>32</v>
      </c>
      <c r="L999" s="306">
        <v>2064</v>
      </c>
      <c r="M999" s="306">
        <v>1757</v>
      </c>
      <c r="N999" s="306"/>
      <c r="O999" s="306">
        <v>307</v>
      </c>
      <c r="P999" s="306"/>
      <c r="Q999" s="306"/>
      <c r="DJ999" s="24"/>
      <c r="DK999" s="24"/>
      <c r="DL999" s="24"/>
      <c r="DM999" s="24"/>
      <c r="EI999" s="24">
        <v>2022</v>
      </c>
      <c r="EJ999" s="24">
        <v>31</v>
      </c>
      <c r="EK999" s="24" t="s">
        <v>33</v>
      </c>
      <c r="EL999" s="24" t="s">
        <v>238</v>
      </c>
      <c r="EM999" s="24" t="s">
        <v>210</v>
      </c>
      <c r="EN999" s="24">
        <v>30</v>
      </c>
      <c r="EO999" s="24"/>
      <c r="EP999" s="24"/>
      <c r="ES999" s="24"/>
      <c r="ET999" s="24"/>
      <c r="EU999" s="24"/>
      <c r="EV999" s="24"/>
      <c r="FW999" s="24">
        <v>2013</v>
      </c>
      <c r="FX999" s="24">
        <v>52</v>
      </c>
      <c r="FY999" s="24" t="s">
        <v>33</v>
      </c>
      <c r="FZ999" s="24">
        <v>1673</v>
      </c>
      <c r="GA999" s="24">
        <v>1566</v>
      </c>
      <c r="GX999">
        <v>2013</v>
      </c>
      <c r="GY999">
        <v>52</v>
      </c>
      <c r="GZ999" t="s">
        <v>33</v>
      </c>
      <c r="HA999">
        <v>25731</v>
      </c>
      <c r="HB999">
        <v>24620</v>
      </c>
      <c r="HC999">
        <v>0</v>
      </c>
      <c r="HD999">
        <v>56</v>
      </c>
      <c r="HE999">
        <v>0</v>
      </c>
      <c r="HF999">
        <v>4</v>
      </c>
      <c r="HG999">
        <v>0</v>
      </c>
      <c r="HH999">
        <v>0</v>
      </c>
      <c r="HI999">
        <v>2</v>
      </c>
      <c r="HZ999" s="322">
        <v>2013</v>
      </c>
      <c r="IA999" s="322">
        <v>52</v>
      </c>
      <c r="IB999" s="322" t="s">
        <v>33</v>
      </c>
      <c r="IC999" s="322">
        <v>1334</v>
      </c>
      <c r="ID999" s="322">
        <v>1279</v>
      </c>
    </row>
    <row r="1000" spans="9:238" x14ac:dyDescent="0.4">
      <c r="I1000" s="305">
        <v>2013</v>
      </c>
      <c r="J1000" s="306">
        <v>52</v>
      </c>
      <c r="K1000" s="306" t="s">
        <v>33</v>
      </c>
      <c r="L1000" s="306">
        <v>27198</v>
      </c>
      <c r="M1000" s="306">
        <v>25228</v>
      </c>
      <c r="N1000" s="306"/>
      <c r="O1000" s="306">
        <v>1967</v>
      </c>
      <c r="P1000" s="306"/>
      <c r="Q1000" s="306"/>
      <c r="DJ1000" s="24"/>
      <c r="DK1000" s="24"/>
      <c r="DL1000" s="24"/>
      <c r="DM1000" s="24"/>
      <c r="EI1000" s="24">
        <v>2022</v>
      </c>
      <c r="EJ1000" s="24">
        <v>31</v>
      </c>
      <c r="EK1000" s="24" t="s">
        <v>33</v>
      </c>
      <c r="EL1000" s="24" t="s">
        <v>247</v>
      </c>
      <c r="EM1000" s="24" t="s">
        <v>210</v>
      </c>
      <c r="EN1000" s="24">
        <v>10</v>
      </c>
      <c r="EO1000" s="24"/>
      <c r="EP1000" s="24"/>
      <c r="ES1000" s="24"/>
      <c r="ET1000" s="24"/>
      <c r="EU1000" s="24"/>
      <c r="EV1000" s="24"/>
      <c r="FW1000" s="315">
        <v>2013</v>
      </c>
      <c r="FX1000" s="315">
        <v>51</v>
      </c>
      <c r="FY1000" s="315" t="s">
        <v>32</v>
      </c>
      <c r="FZ1000" s="315">
        <v>172</v>
      </c>
      <c r="GA1000" s="315">
        <v>132</v>
      </c>
      <c r="GX1000">
        <v>2013</v>
      </c>
      <c r="GY1000">
        <v>51</v>
      </c>
      <c r="GZ1000" t="s">
        <v>32</v>
      </c>
      <c r="HA1000">
        <v>1272</v>
      </c>
      <c r="HB1000">
        <v>1174</v>
      </c>
      <c r="HC1000">
        <v>0</v>
      </c>
      <c r="HD1000">
        <v>19</v>
      </c>
      <c r="HE1000">
        <v>0</v>
      </c>
      <c r="HF1000">
        <v>0</v>
      </c>
      <c r="HG1000">
        <v>0</v>
      </c>
      <c r="HH1000">
        <v>0</v>
      </c>
      <c r="HI1000">
        <v>0</v>
      </c>
      <c r="HZ1000" s="322">
        <v>2013</v>
      </c>
      <c r="IA1000" s="322">
        <v>51</v>
      </c>
      <c r="IB1000" s="322" t="s">
        <v>32</v>
      </c>
      <c r="IC1000" s="322">
        <v>106</v>
      </c>
      <c r="ID1000" s="322">
        <v>91</v>
      </c>
    </row>
    <row r="1001" spans="9:238" x14ac:dyDescent="0.4">
      <c r="I1001" s="305">
        <v>2013</v>
      </c>
      <c r="J1001" s="306">
        <v>51</v>
      </c>
      <c r="K1001" s="306" t="s">
        <v>32</v>
      </c>
      <c r="L1001" s="306">
        <v>1549</v>
      </c>
      <c r="M1001" s="306">
        <v>1379</v>
      </c>
      <c r="N1001" s="306"/>
      <c r="O1001" s="306">
        <v>170</v>
      </c>
      <c r="P1001" s="306"/>
      <c r="Q1001" s="306"/>
      <c r="DJ1001" s="24"/>
      <c r="DK1001" s="24"/>
      <c r="DL1001" s="24"/>
      <c r="DM1001" s="24"/>
      <c r="EI1001" s="24">
        <v>2022</v>
      </c>
      <c r="EJ1001" s="24">
        <v>31</v>
      </c>
      <c r="EK1001" s="24" t="s">
        <v>33</v>
      </c>
      <c r="EL1001" s="24" t="s">
        <v>247</v>
      </c>
      <c r="EM1001" s="24" t="s">
        <v>215</v>
      </c>
      <c r="EN1001" s="24">
        <v>2</v>
      </c>
      <c r="EO1001" s="24"/>
      <c r="EP1001" s="24"/>
      <c r="ES1001" s="24"/>
      <c r="ET1001" s="24"/>
      <c r="EU1001" s="24"/>
      <c r="EV1001" s="24"/>
      <c r="FW1001" s="315">
        <v>2013</v>
      </c>
      <c r="FX1001" s="315">
        <v>51</v>
      </c>
      <c r="FY1001" s="315" t="s">
        <v>33</v>
      </c>
      <c r="FZ1001" s="315">
        <v>1539</v>
      </c>
      <c r="GA1001" s="315">
        <v>1223</v>
      </c>
      <c r="GX1001">
        <v>2013</v>
      </c>
      <c r="GY1001">
        <v>51</v>
      </c>
      <c r="GZ1001" t="s">
        <v>33</v>
      </c>
      <c r="HA1001">
        <v>18834</v>
      </c>
      <c r="HB1001">
        <v>17453</v>
      </c>
      <c r="HC1001">
        <v>0</v>
      </c>
      <c r="HD1001">
        <v>231</v>
      </c>
      <c r="HE1001">
        <v>0</v>
      </c>
      <c r="HF1001">
        <v>13</v>
      </c>
      <c r="HG1001">
        <v>0</v>
      </c>
      <c r="HH1001">
        <v>0</v>
      </c>
      <c r="HI1001">
        <v>0</v>
      </c>
      <c r="HZ1001" s="24">
        <v>2013</v>
      </c>
      <c r="IA1001" s="24">
        <v>51</v>
      </c>
      <c r="IB1001" s="24" t="s">
        <v>33</v>
      </c>
      <c r="IC1001" s="24">
        <v>1356</v>
      </c>
      <c r="ID1001" s="24">
        <v>1137</v>
      </c>
    </row>
    <row r="1002" spans="9:238" x14ac:dyDescent="0.4">
      <c r="I1002" s="305">
        <v>2013</v>
      </c>
      <c r="J1002" s="306">
        <v>51</v>
      </c>
      <c r="K1002" s="306" t="s">
        <v>33</v>
      </c>
      <c r="L1002" s="306">
        <v>19101</v>
      </c>
      <c r="M1002" s="306">
        <v>16326</v>
      </c>
      <c r="N1002" s="306"/>
      <c r="O1002" s="306">
        <v>2767</v>
      </c>
      <c r="P1002" s="306"/>
      <c r="Q1002" s="306"/>
      <c r="DJ1002" s="24"/>
      <c r="DK1002" s="24"/>
      <c r="DL1002" s="24"/>
      <c r="DM1002" s="24"/>
      <c r="EI1002" s="24">
        <v>2022</v>
      </c>
      <c r="EJ1002" s="24">
        <v>31</v>
      </c>
      <c r="EK1002" s="24" t="s">
        <v>211</v>
      </c>
      <c r="EL1002" s="24" t="s">
        <v>212</v>
      </c>
      <c r="EM1002" s="24" t="s">
        <v>210</v>
      </c>
      <c r="EN1002" s="24">
        <v>4</v>
      </c>
      <c r="EO1002" s="24"/>
      <c r="EP1002" s="24"/>
      <c r="ES1002" s="24"/>
      <c r="ET1002" s="24"/>
      <c r="EU1002" s="24"/>
      <c r="EV1002" s="24"/>
      <c r="FW1002" s="24">
        <v>2013</v>
      </c>
      <c r="FX1002" s="24">
        <v>50</v>
      </c>
      <c r="FY1002" s="24" t="s">
        <v>32</v>
      </c>
      <c r="FZ1002" s="24">
        <v>191</v>
      </c>
      <c r="GA1002" s="24">
        <v>150</v>
      </c>
      <c r="GX1002">
        <v>2013</v>
      </c>
      <c r="GY1002">
        <v>50</v>
      </c>
      <c r="GZ1002" t="s">
        <v>32</v>
      </c>
      <c r="HA1002">
        <v>1564</v>
      </c>
      <c r="HB1002">
        <v>1396</v>
      </c>
      <c r="HC1002">
        <v>0</v>
      </c>
      <c r="HD1002">
        <v>5</v>
      </c>
      <c r="HE1002">
        <v>1</v>
      </c>
      <c r="HF1002">
        <v>0</v>
      </c>
      <c r="HG1002">
        <v>1</v>
      </c>
      <c r="HH1002">
        <v>0</v>
      </c>
      <c r="HI1002">
        <v>0</v>
      </c>
      <c r="HZ1002" s="24">
        <v>2013</v>
      </c>
      <c r="IA1002" s="24">
        <v>50</v>
      </c>
      <c r="IB1002" s="24" t="s">
        <v>32</v>
      </c>
      <c r="IC1002" s="24">
        <v>172</v>
      </c>
      <c r="ID1002" s="24">
        <v>127</v>
      </c>
    </row>
    <row r="1003" spans="9:238" x14ac:dyDescent="0.4">
      <c r="I1003" s="305">
        <v>2013</v>
      </c>
      <c r="J1003" s="306">
        <v>50</v>
      </c>
      <c r="K1003" s="306" t="s">
        <v>32</v>
      </c>
      <c r="L1003" s="306">
        <v>1808</v>
      </c>
      <c r="M1003" s="306">
        <v>1608</v>
      </c>
      <c r="N1003" s="306"/>
      <c r="O1003" s="306">
        <v>200</v>
      </c>
      <c r="P1003" s="306"/>
      <c r="Q1003" s="306"/>
      <c r="DJ1003" s="24"/>
      <c r="DK1003" s="24"/>
      <c r="DL1003" s="24"/>
      <c r="DM1003" s="24"/>
      <c r="EI1003" s="24">
        <v>2022</v>
      </c>
      <c r="EJ1003" s="24">
        <v>31</v>
      </c>
      <c r="EK1003" s="24" t="s">
        <v>211</v>
      </c>
      <c r="EL1003" s="24" t="s">
        <v>212</v>
      </c>
      <c r="EM1003" s="24" t="s">
        <v>234</v>
      </c>
      <c r="EN1003" s="24">
        <v>19</v>
      </c>
      <c r="EO1003" s="24"/>
      <c r="EP1003" s="24"/>
      <c r="ES1003" s="24"/>
      <c r="ET1003" s="24"/>
      <c r="EU1003" s="24"/>
      <c r="EV1003" s="24"/>
      <c r="FW1003" s="24">
        <v>2013</v>
      </c>
      <c r="FX1003" s="24">
        <v>50</v>
      </c>
      <c r="FY1003" s="24" t="s">
        <v>33</v>
      </c>
      <c r="FZ1003" s="24">
        <v>1206</v>
      </c>
      <c r="GA1003" s="24">
        <v>988</v>
      </c>
      <c r="GX1003">
        <v>2013</v>
      </c>
      <c r="GY1003">
        <v>50</v>
      </c>
      <c r="GZ1003" t="s">
        <v>33</v>
      </c>
      <c r="HA1003">
        <v>23134</v>
      </c>
      <c r="HB1003">
        <v>21098</v>
      </c>
      <c r="HC1003">
        <v>0</v>
      </c>
      <c r="HD1003">
        <v>391</v>
      </c>
      <c r="HE1003">
        <v>0</v>
      </c>
      <c r="HF1003">
        <v>38</v>
      </c>
      <c r="HG1003">
        <v>0</v>
      </c>
      <c r="HH1003">
        <v>0</v>
      </c>
      <c r="HI1003">
        <v>0</v>
      </c>
      <c r="HZ1003" s="24">
        <v>2013</v>
      </c>
      <c r="IA1003" s="24">
        <v>50</v>
      </c>
      <c r="IB1003" s="24" t="s">
        <v>33</v>
      </c>
      <c r="IC1003" s="24">
        <v>1049</v>
      </c>
      <c r="ID1003" s="24">
        <v>835</v>
      </c>
    </row>
    <row r="1004" spans="9:238" x14ac:dyDescent="0.4">
      <c r="I1004" s="305">
        <v>2013</v>
      </c>
      <c r="J1004" s="306">
        <v>50</v>
      </c>
      <c r="K1004" s="306" t="s">
        <v>33</v>
      </c>
      <c r="L1004" s="306">
        <v>24557</v>
      </c>
      <c r="M1004" s="306">
        <v>21680</v>
      </c>
      <c r="N1004" s="306"/>
      <c r="O1004" s="306">
        <v>2874</v>
      </c>
      <c r="P1004" s="306"/>
      <c r="Q1004" s="306"/>
      <c r="DJ1004" s="24"/>
      <c r="DK1004" s="24"/>
      <c r="DL1004" s="24"/>
      <c r="DM1004" s="24"/>
      <c r="EI1004" s="24">
        <v>2022</v>
      </c>
      <c r="EJ1004" s="24">
        <v>31</v>
      </c>
      <c r="EK1004" s="24" t="s">
        <v>211</v>
      </c>
      <c r="EL1004" s="24" t="s">
        <v>212</v>
      </c>
      <c r="EM1004" s="24" t="s">
        <v>215</v>
      </c>
      <c r="EN1004" s="24">
        <v>1</v>
      </c>
      <c r="EO1004" s="24"/>
      <c r="EP1004" s="24"/>
      <c r="ES1004" s="24"/>
      <c r="ET1004" s="24"/>
      <c r="EU1004" s="24"/>
      <c r="EV1004" s="24"/>
      <c r="FW1004" s="24">
        <v>2013</v>
      </c>
      <c r="FX1004" s="24">
        <v>49</v>
      </c>
      <c r="FY1004" s="24" t="s">
        <v>32</v>
      </c>
      <c r="FZ1004" s="24">
        <v>116</v>
      </c>
      <c r="GA1004" s="24">
        <v>90</v>
      </c>
      <c r="GX1004">
        <v>2013</v>
      </c>
      <c r="GY1004">
        <v>49</v>
      </c>
      <c r="GZ1004" t="s">
        <v>32</v>
      </c>
      <c r="HA1004">
        <v>1577</v>
      </c>
      <c r="HB1004">
        <v>1442</v>
      </c>
      <c r="HC1004">
        <v>0</v>
      </c>
      <c r="HD1004">
        <v>20</v>
      </c>
      <c r="HE1004">
        <v>0</v>
      </c>
      <c r="HF1004">
        <v>0</v>
      </c>
      <c r="HG1004">
        <v>0</v>
      </c>
      <c r="HH1004">
        <v>0</v>
      </c>
      <c r="HI1004">
        <v>0</v>
      </c>
      <c r="HZ1004" s="24">
        <v>2013</v>
      </c>
      <c r="IA1004" s="24">
        <v>49</v>
      </c>
      <c r="IB1004" s="24" t="s">
        <v>32</v>
      </c>
      <c r="IC1004" s="24">
        <v>92</v>
      </c>
      <c r="ID1004" s="24">
        <v>76</v>
      </c>
    </row>
    <row r="1005" spans="9:238" x14ac:dyDescent="0.4">
      <c r="I1005" s="305">
        <v>2013</v>
      </c>
      <c r="J1005" s="306">
        <v>49</v>
      </c>
      <c r="K1005" s="306" t="s">
        <v>32</v>
      </c>
      <c r="L1005" s="306">
        <v>2069</v>
      </c>
      <c r="M1005" s="306">
        <v>1863</v>
      </c>
      <c r="N1005" s="306"/>
      <c r="O1005" s="306">
        <v>206</v>
      </c>
      <c r="P1005" s="306"/>
      <c r="Q1005" s="306"/>
      <c r="DJ1005" s="24"/>
      <c r="DK1005" s="24"/>
      <c r="DL1005" s="24"/>
      <c r="DM1005" s="24"/>
      <c r="EI1005" s="24">
        <v>2022</v>
      </c>
      <c r="EJ1005" s="24">
        <v>31</v>
      </c>
      <c r="EK1005" s="24" t="s">
        <v>211</v>
      </c>
      <c r="EL1005" s="24" t="s">
        <v>247</v>
      </c>
      <c r="EM1005" s="24" t="s">
        <v>234</v>
      </c>
      <c r="EN1005" s="24">
        <v>4</v>
      </c>
      <c r="EO1005" s="24"/>
      <c r="EP1005" s="24"/>
      <c r="ES1005" s="24"/>
      <c r="ET1005" s="24"/>
      <c r="EU1005" s="24"/>
      <c r="EV1005" s="24"/>
      <c r="FW1005" s="24">
        <v>2013</v>
      </c>
      <c r="FX1005" s="24">
        <v>49</v>
      </c>
      <c r="FY1005" s="24" t="s">
        <v>33</v>
      </c>
      <c r="FZ1005" s="24">
        <v>840</v>
      </c>
      <c r="GA1005" s="24">
        <v>587</v>
      </c>
      <c r="GX1005">
        <v>2013</v>
      </c>
      <c r="GY1005">
        <v>49</v>
      </c>
      <c r="GZ1005" t="s">
        <v>33</v>
      </c>
      <c r="HA1005">
        <v>23752</v>
      </c>
      <c r="HB1005">
        <v>21781</v>
      </c>
      <c r="HC1005">
        <v>0</v>
      </c>
      <c r="HD1005">
        <v>386</v>
      </c>
      <c r="HE1005">
        <v>0</v>
      </c>
      <c r="HF1005">
        <v>183</v>
      </c>
      <c r="HG1005">
        <v>0</v>
      </c>
      <c r="HH1005">
        <v>0</v>
      </c>
      <c r="HI1005">
        <v>0</v>
      </c>
      <c r="HZ1005" s="323">
        <v>2013</v>
      </c>
      <c r="IA1005" s="323">
        <v>49</v>
      </c>
      <c r="IB1005" s="323" t="s">
        <v>33</v>
      </c>
      <c r="IC1005" s="323">
        <v>767</v>
      </c>
      <c r="ID1005" s="323">
        <v>578</v>
      </c>
    </row>
    <row r="1006" spans="9:238" x14ac:dyDescent="0.4">
      <c r="I1006" s="305">
        <v>2013</v>
      </c>
      <c r="J1006" s="306">
        <v>49</v>
      </c>
      <c r="K1006" s="306" t="s">
        <v>33</v>
      </c>
      <c r="L1006" s="306">
        <v>24327</v>
      </c>
      <c r="M1006" s="306">
        <v>21784</v>
      </c>
      <c r="N1006" s="306"/>
      <c r="O1006" s="306">
        <v>2524</v>
      </c>
      <c r="P1006" s="306"/>
      <c r="Q1006" s="306"/>
      <c r="DJ1006" s="24"/>
      <c r="DK1006" s="24"/>
      <c r="DL1006" s="24"/>
      <c r="DM1006" s="24"/>
      <c r="EI1006" s="24">
        <v>2022</v>
      </c>
      <c r="EJ1006" s="24">
        <v>30</v>
      </c>
      <c r="EK1006" s="24" t="s">
        <v>208</v>
      </c>
      <c r="EL1006" s="24" t="s">
        <v>554</v>
      </c>
      <c r="EM1006" s="24" t="s">
        <v>234</v>
      </c>
      <c r="EN1006" s="24">
        <v>1</v>
      </c>
      <c r="EO1006" s="24"/>
      <c r="EP1006" s="24"/>
      <c r="ES1006" s="24"/>
      <c r="ET1006" s="24"/>
      <c r="EU1006" s="24"/>
      <c r="EV1006" s="24"/>
      <c r="FW1006" s="316">
        <v>2013</v>
      </c>
      <c r="FX1006" s="316">
        <v>48</v>
      </c>
      <c r="FY1006" s="316" t="s">
        <v>32</v>
      </c>
      <c r="FZ1006" s="316">
        <v>214</v>
      </c>
      <c r="GA1006" s="316">
        <v>142</v>
      </c>
      <c r="GX1006">
        <v>2013</v>
      </c>
      <c r="GY1006">
        <v>48</v>
      </c>
      <c r="GZ1006" t="s">
        <v>32</v>
      </c>
      <c r="HA1006">
        <v>4141</v>
      </c>
      <c r="HB1006">
        <v>3290</v>
      </c>
      <c r="HC1006">
        <v>0</v>
      </c>
      <c r="HD1006">
        <v>17</v>
      </c>
      <c r="HE1006">
        <v>0</v>
      </c>
      <c r="HF1006">
        <v>20</v>
      </c>
      <c r="HG1006">
        <v>0</v>
      </c>
      <c r="HH1006">
        <v>0</v>
      </c>
      <c r="HI1006">
        <v>1</v>
      </c>
      <c r="HZ1006" s="323">
        <v>2013</v>
      </c>
      <c r="IA1006" s="323">
        <v>48</v>
      </c>
      <c r="IB1006" s="323" t="s">
        <v>32</v>
      </c>
      <c r="IC1006" s="323">
        <v>176</v>
      </c>
      <c r="ID1006" s="323">
        <v>123</v>
      </c>
    </row>
    <row r="1007" spans="9:238" x14ac:dyDescent="0.4">
      <c r="I1007" s="305">
        <v>2013</v>
      </c>
      <c r="J1007" s="306">
        <v>48</v>
      </c>
      <c r="K1007" s="306" t="s">
        <v>32</v>
      </c>
      <c r="L1007" s="306">
        <v>5180</v>
      </c>
      <c r="M1007" s="306">
        <v>3704</v>
      </c>
      <c r="N1007" s="306"/>
      <c r="O1007" s="306">
        <v>1476</v>
      </c>
      <c r="P1007" s="306"/>
      <c r="Q1007" s="306"/>
      <c r="DJ1007" s="24"/>
      <c r="DK1007" s="24"/>
      <c r="DL1007" s="24"/>
      <c r="DM1007" s="24"/>
      <c r="EI1007" s="24">
        <v>2022</v>
      </c>
      <c r="EJ1007" s="24">
        <v>30</v>
      </c>
      <c r="EK1007" s="24" t="s">
        <v>208</v>
      </c>
      <c r="EL1007" s="24" t="s">
        <v>351</v>
      </c>
      <c r="EM1007" s="24" t="s">
        <v>234</v>
      </c>
      <c r="EN1007" s="24">
        <v>6</v>
      </c>
      <c r="EO1007" s="24"/>
      <c r="EP1007" s="24"/>
      <c r="ES1007" s="24"/>
      <c r="ET1007" s="24"/>
      <c r="EU1007" s="24"/>
      <c r="EV1007" s="24"/>
      <c r="FW1007" s="316">
        <v>2013</v>
      </c>
      <c r="FX1007" s="316">
        <v>48</v>
      </c>
      <c r="FY1007" s="316" t="s">
        <v>33</v>
      </c>
      <c r="FZ1007" s="316">
        <v>1175</v>
      </c>
      <c r="GA1007" s="316">
        <v>728</v>
      </c>
      <c r="GX1007">
        <v>2013</v>
      </c>
      <c r="GY1007">
        <v>48</v>
      </c>
      <c r="GZ1007" t="s">
        <v>33</v>
      </c>
      <c r="HA1007">
        <v>37261</v>
      </c>
      <c r="HB1007">
        <v>25325</v>
      </c>
      <c r="HC1007">
        <v>1</v>
      </c>
      <c r="HD1007">
        <v>580</v>
      </c>
      <c r="HE1007">
        <v>0</v>
      </c>
      <c r="HF1007">
        <v>88</v>
      </c>
      <c r="HG1007">
        <v>0</v>
      </c>
      <c r="HH1007">
        <v>0</v>
      </c>
      <c r="HI1007">
        <v>0</v>
      </c>
      <c r="HZ1007" s="24">
        <v>2013</v>
      </c>
      <c r="IA1007" s="24">
        <v>48</v>
      </c>
      <c r="IB1007" s="24" t="s">
        <v>33</v>
      </c>
      <c r="IC1007" s="24">
        <v>916</v>
      </c>
      <c r="ID1007" s="24">
        <v>553</v>
      </c>
    </row>
    <row r="1008" spans="9:238" x14ac:dyDescent="0.4">
      <c r="I1008" s="305">
        <v>2013</v>
      </c>
      <c r="J1008" s="306">
        <v>48</v>
      </c>
      <c r="K1008" s="306" t="s">
        <v>33</v>
      </c>
      <c r="L1008" s="306">
        <v>43472</v>
      </c>
      <c r="M1008" s="306">
        <v>29367</v>
      </c>
      <c r="N1008" s="306"/>
      <c r="O1008" s="306">
        <v>14006</v>
      </c>
      <c r="P1008" s="306"/>
      <c r="Q1008" s="306"/>
      <c r="DJ1008" s="24"/>
      <c r="DK1008" s="24"/>
      <c r="DL1008" s="24"/>
      <c r="DM1008" s="24"/>
      <c r="EI1008" s="24">
        <v>2022</v>
      </c>
      <c r="EJ1008" s="24">
        <v>30</v>
      </c>
      <c r="EK1008" s="24" t="s">
        <v>208</v>
      </c>
      <c r="EL1008" s="24" t="s">
        <v>351</v>
      </c>
      <c r="EM1008" s="24" t="s">
        <v>215</v>
      </c>
      <c r="EN1008" s="24">
        <v>2</v>
      </c>
      <c r="EO1008" s="24"/>
      <c r="EP1008" s="24"/>
      <c r="ES1008" s="24"/>
      <c r="ET1008" s="24"/>
      <c r="EU1008" s="24"/>
      <c r="EV1008" s="24"/>
      <c r="FW1008" s="316">
        <v>2013</v>
      </c>
      <c r="FX1008" s="316">
        <v>47</v>
      </c>
      <c r="FY1008" s="316" t="s">
        <v>32</v>
      </c>
      <c r="FZ1008" s="316">
        <v>119</v>
      </c>
      <c r="GA1008" s="316">
        <v>88</v>
      </c>
      <c r="GX1008">
        <v>2013</v>
      </c>
      <c r="GY1008">
        <v>47</v>
      </c>
      <c r="GZ1008" t="s">
        <v>32</v>
      </c>
      <c r="HA1008">
        <v>2581</v>
      </c>
      <c r="HB1008">
        <v>1926</v>
      </c>
      <c r="HC1008">
        <v>0</v>
      </c>
      <c r="HD1008">
        <v>9</v>
      </c>
      <c r="HE1008">
        <v>0</v>
      </c>
      <c r="HF1008">
        <v>7</v>
      </c>
      <c r="HG1008">
        <v>0</v>
      </c>
      <c r="HH1008">
        <v>0</v>
      </c>
      <c r="HI1008">
        <v>0</v>
      </c>
      <c r="HZ1008" s="24">
        <v>2013</v>
      </c>
      <c r="IA1008" s="24">
        <v>47</v>
      </c>
      <c r="IB1008" s="24" t="s">
        <v>32</v>
      </c>
      <c r="IC1008" s="24">
        <v>131</v>
      </c>
      <c r="ID1008" s="24">
        <v>94</v>
      </c>
    </row>
    <row r="1009" spans="9:238" x14ac:dyDescent="0.4">
      <c r="I1009" s="305">
        <v>2013</v>
      </c>
      <c r="J1009" s="306">
        <v>47</v>
      </c>
      <c r="K1009" s="306" t="s">
        <v>32</v>
      </c>
      <c r="L1009" s="306">
        <v>1647</v>
      </c>
      <c r="M1009" s="306">
        <v>1372</v>
      </c>
      <c r="N1009" s="306"/>
      <c r="O1009" s="306">
        <v>275</v>
      </c>
      <c r="P1009" s="306"/>
      <c r="Q1009" s="306"/>
      <c r="DJ1009" s="24"/>
      <c r="DK1009" s="24"/>
      <c r="DL1009" s="24"/>
      <c r="DM1009" s="24"/>
      <c r="EI1009" s="24">
        <v>2022</v>
      </c>
      <c r="EJ1009" s="24">
        <v>30</v>
      </c>
      <c r="EK1009" s="24" t="s">
        <v>208</v>
      </c>
      <c r="EL1009" s="24" t="s">
        <v>235</v>
      </c>
      <c r="EM1009" s="24" t="s">
        <v>210</v>
      </c>
      <c r="EN1009" s="24">
        <v>3</v>
      </c>
      <c r="EO1009" s="24"/>
      <c r="EP1009" s="24"/>
      <c r="ES1009" s="24"/>
      <c r="ET1009" s="24"/>
      <c r="EU1009" s="24"/>
      <c r="EV1009" s="24"/>
      <c r="FW1009" s="316">
        <v>2013</v>
      </c>
      <c r="FX1009" s="316">
        <v>47</v>
      </c>
      <c r="FY1009" s="316" t="s">
        <v>33</v>
      </c>
      <c r="FZ1009" s="316">
        <v>710</v>
      </c>
      <c r="GA1009" s="316">
        <v>506</v>
      </c>
      <c r="GX1009">
        <v>2013</v>
      </c>
      <c r="GY1009">
        <v>47</v>
      </c>
      <c r="GZ1009" t="s">
        <v>33</v>
      </c>
      <c r="HA1009">
        <v>20388</v>
      </c>
      <c r="HB1009">
        <v>18746</v>
      </c>
      <c r="HC1009">
        <v>0</v>
      </c>
      <c r="HD1009">
        <v>365</v>
      </c>
      <c r="HE1009">
        <v>0</v>
      </c>
      <c r="HF1009">
        <v>22</v>
      </c>
      <c r="HG1009">
        <v>0</v>
      </c>
      <c r="HH1009">
        <v>0</v>
      </c>
      <c r="HI1009">
        <v>0</v>
      </c>
      <c r="HZ1009" s="24">
        <v>2013</v>
      </c>
      <c r="IA1009" s="24">
        <v>47</v>
      </c>
      <c r="IB1009" s="24" t="s">
        <v>33</v>
      </c>
      <c r="IC1009" s="24">
        <v>691</v>
      </c>
      <c r="ID1009" s="24">
        <v>530</v>
      </c>
    </row>
    <row r="1010" spans="9:238" x14ac:dyDescent="0.4">
      <c r="I1010" s="305">
        <v>2013</v>
      </c>
      <c r="J1010" s="306">
        <v>47</v>
      </c>
      <c r="K1010" s="306" t="s">
        <v>33</v>
      </c>
      <c r="L1010" s="306">
        <v>16599</v>
      </c>
      <c r="M1010" s="306">
        <v>15213</v>
      </c>
      <c r="N1010" s="306"/>
      <c r="O1010" s="306">
        <v>1382</v>
      </c>
      <c r="P1010" s="306"/>
      <c r="Q1010" s="306"/>
      <c r="DJ1010" s="24"/>
      <c r="DK1010" s="24"/>
      <c r="DL1010" s="24"/>
      <c r="DM1010" s="24"/>
      <c r="EI1010" s="24">
        <v>2022</v>
      </c>
      <c r="EJ1010" s="24">
        <v>30</v>
      </c>
      <c r="EK1010" s="24" t="s">
        <v>208</v>
      </c>
      <c r="EL1010" s="24" t="s">
        <v>235</v>
      </c>
      <c r="EM1010" s="24" t="s">
        <v>234</v>
      </c>
      <c r="EN1010" s="24">
        <v>30</v>
      </c>
      <c r="EO1010" s="24"/>
      <c r="EP1010" s="24"/>
      <c r="ES1010" s="24"/>
      <c r="ET1010" s="24"/>
      <c r="EU1010" s="24"/>
      <c r="EV1010" s="24"/>
      <c r="FW1010" s="316">
        <v>2013</v>
      </c>
      <c r="FX1010" s="316">
        <v>46</v>
      </c>
      <c r="FY1010" s="316" t="s">
        <v>32</v>
      </c>
      <c r="FZ1010" s="316">
        <v>86</v>
      </c>
      <c r="GA1010" s="316">
        <v>68</v>
      </c>
      <c r="GX1010">
        <v>2013</v>
      </c>
      <c r="GY1010">
        <v>46</v>
      </c>
      <c r="GZ1010" t="s">
        <v>32</v>
      </c>
      <c r="HA1010">
        <v>1386</v>
      </c>
      <c r="HB1010">
        <v>1239</v>
      </c>
      <c r="HC1010">
        <v>0</v>
      </c>
      <c r="HD1010">
        <v>16</v>
      </c>
      <c r="HE1010">
        <v>0</v>
      </c>
      <c r="HF1010">
        <v>0</v>
      </c>
      <c r="HG1010">
        <v>0</v>
      </c>
      <c r="HH1010">
        <v>0</v>
      </c>
      <c r="HI1010">
        <v>0</v>
      </c>
      <c r="HZ1010" s="24">
        <v>2013</v>
      </c>
      <c r="IA1010" s="24">
        <v>46</v>
      </c>
      <c r="IB1010" s="24" t="s">
        <v>32</v>
      </c>
      <c r="IC1010" s="24">
        <v>92</v>
      </c>
      <c r="ID1010" s="24">
        <v>75</v>
      </c>
    </row>
    <row r="1011" spans="9:238" x14ac:dyDescent="0.4">
      <c r="I1011" s="305">
        <v>2013</v>
      </c>
      <c r="J1011" s="306">
        <v>46</v>
      </c>
      <c r="K1011" s="306" t="s">
        <v>32</v>
      </c>
      <c r="L1011" s="306">
        <v>1447</v>
      </c>
      <c r="M1011" s="306">
        <v>1253</v>
      </c>
      <c r="N1011" s="306"/>
      <c r="O1011" s="306">
        <v>194</v>
      </c>
      <c r="P1011" s="306"/>
      <c r="Q1011" s="306"/>
      <c r="DJ1011" s="24"/>
      <c r="DK1011" s="24"/>
      <c r="DL1011" s="24"/>
      <c r="DM1011" s="24"/>
      <c r="EI1011" s="24">
        <v>2022</v>
      </c>
      <c r="EJ1011" s="24">
        <v>30</v>
      </c>
      <c r="EK1011" s="24" t="s">
        <v>208</v>
      </c>
      <c r="EL1011" s="24" t="s">
        <v>235</v>
      </c>
      <c r="EM1011" s="24" t="s">
        <v>215</v>
      </c>
      <c r="EN1011" s="24">
        <v>3</v>
      </c>
      <c r="EO1011" s="24"/>
      <c r="EP1011" s="24"/>
      <c r="ES1011" s="24"/>
      <c r="ET1011" s="24"/>
      <c r="EU1011" s="24"/>
      <c r="EV1011" s="24"/>
      <c r="FW1011" s="316">
        <v>2013</v>
      </c>
      <c r="FX1011" s="316">
        <v>46</v>
      </c>
      <c r="FY1011" s="316" t="s">
        <v>33</v>
      </c>
      <c r="FZ1011" s="316">
        <v>1017</v>
      </c>
      <c r="GA1011" s="316">
        <v>704</v>
      </c>
      <c r="GX1011">
        <v>2013</v>
      </c>
      <c r="GY1011">
        <v>46</v>
      </c>
      <c r="GZ1011" t="s">
        <v>33</v>
      </c>
      <c r="HA1011">
        <v>21429</v>
      </c>
      <c r="HB1011">
        <v>19542</v>
      </c>
      <c r="HC1011">
        <v>0</v>
      </c>
      <c r="HD1011">
        <v>582</v>
      </c>
      <c r="HE1011">
        <v>0</v>
      </c>
      <c r="HF1011">
        <v>1</v>
      </c>
      <c r="HG1011">
        <v>0</v>
      </c>
      <c r="HH1011">
        <v>0</v>
      </c>
      <c r="HI1011">
        <v>0</v>
      </c>
      <c r="HZ1011" s="24">
        <v>2013</v>
      </c>
      <c r="IA1011" s="24">
        <v>46</v>
      </c>
      <c r="IB1011" s="24" t="s">
        <v>33</v>
      </c>
      <c r="IC1011" s="24">
        <v>922</v>
      </c>
      <c r="ID1011" s="24">
        <v>667</v>
      </c>
    </row>
    <row r="1012" spans="9:238" x14ac:dyDescent="0.4">
      <c r="I1012" s="305">
        <v>2013</v>
      </c>
      <c r="J1012" s="306">
        <v>46</v>
      </c>
      <c r="K1012" s="306" t="s">
        <v>33</v>
      </c>
      <c r="L1012" s="306">
        <v>22439</v>
      </c>
      <c r="M1012" s="306">
        <v>19840</v>
      </c>
      <c r="N1012" s="306"/>
      <c r="O1012" s="306">
        <v>2590</v>
      </c>
      <c r="P1012" s="306"/>
      <c r="Q1012" s="306"/>
      <c r="DJ1012" s="24"/>
      <c r="DK1012" s="24"/>
      <c r="DL1012" s="24"/>
      <c r="DM1012" s="24"/>
      <c r="EI1012" s="24">
        <v>2022</v>
      </c>
      <c r="EJ1012" s="24">
        <v>30</v>
      </c>
      <c r="EK1012" s="24" t="s">
        <v>208</v>
      </c>
      <c r="EL1012" s="24" t="s">
        <v>209</v>
      </c>
      <c r="EM1012" s="24" t="s">
        <v>210</v>
      </c>
      <c r="EN1012" s="24">
        <v>11</v>
      </c>
      <c r="EO1012" s="24"/>
      <c r="EP1012" s="24"/>
      <c r="ES1012" s="24"/>
      <c r="ET1012" s="24"/>
      <c r="EU1012" s="24"/>
      <c r="EV1012" s="24"/>
      <c r="FW1012" s="316">
        <v>2013</v>
      </c>
      <c r="FX1012" s="316">
        <v>45</v>
      </c>
      <c r="FY1012" s="316" t="s">
        <v>32</v>
      </c>
      <c r="FZ1012" s="316">
        <v>126</v>
      </c>
      <c r="GA1012" s="316">
        <v>100</v>
      </c>
      <c r="GX1012">
        <v>2013</v>
      </c>
      <c r="GY1012">
        <v>45</v>
      </c>
      <c r="GZ1012" t="s">
        <v>32</v>
      </c>
      <c r="HA1012">
        <v>1468</v>
      </c>
      <c r="HB1012">
        <v>1293</v>
      </c>
      <c r="HC1012">
        <v>0</v>
      </c>
      <c r="HD1012">
        <v>46</v>
      </c>
      <c r="HE1012">
        <v>0</v>
      </c>
      <c r="HF1012">
        <v>16</v>
      </c>
      <c r="HG1012">
        <v>0</v>
      </c>
      <c r="HH1012">
        <v>0</v>
      </c>
      <c r="HI1012">
        <v>0</v>
      </c>
      <c r="HZ1012" s="24">
        <v>2013</v>
      </c>
      <c r="IA1012" s="24">
        <v>45</v>
      </c>
      <c r="IB1012" s="24" t="s">
        <v>32</v>
      </c>
      <c r="IC1012" s="24">
        <v>115</v>
      </c>
      <c r="ID1012" s="24">
        <v>91</v>
      </c>
    </row>
    <row r="1013" spans="9:238" x14ac:dyDescent="0.4">
      <c r="I1013" s="305">
        <v>2013</v>
      </c>
      <c r="J1013" s="306">
        <v>45</v>
      </c>
      <c r="K1013" s="306" t="s">
        <v>32</v>
      </c>
      <c r="L1013" s="306">
        <v>1635</v>
      </c>
      <c r="M1013" s="306">
        <v>1311</v>
      </c>
      <c r="N1013" s="306"/>
      <c r="O1013" s="306">
        <v>324</v>
      </c>
      <c r="P1013" s="306"/>
      <c r="Q1013" s="306"/>
      <c r="DJ1013" s="24"/>
      <c r="DK1013" s="24"/>
      <c r="DL1013" s="24"/>
      <c r="DM1013" s="24"/>
      <c r="EI1013" s="24">
        <v>2022</v>
      </c>
      <c r="EJ1013" s="24">
        <v>30</v>
      </c>
      <c r="EK1013" s="24" t="s">
        <v>208</v>
      </c>
      <c r="EL1013" s="24" t="s">
        <v>247</v>
      </c>
      <c r="EM1013" s="24" t="s">
        <v>234</v>
      </c>
      <c r="EN1013" s="24">
        <v>1</v>
      </c>
      <c r="EO1013" s="24"/>
      <c r="EP1013" s="24"/>
      <c r="ES1013" s="24"/>
      <c r="ET1013" s="24"/>
      <c r="EU1013" s="24"/>
      <c r="EV1013" s="24"/>
      <c r="FW1013" s="316">
        <v>2013</v>
      </c>
      <c r="FX1013" s="316">
        <v>45</v>
      </c>
      <c r="FY1013" s="316" t="s">
        <v>33</v>
      </c>
      <c r="FZ1013" s="316">
        <v>1002</v>
      </c>
      <c r="GA1013" s="316">
        <v>685</v>
      </c>
      <c r="GX1013">
        <v>2013</v>
      </c>
      <c r="GY1013">
        <v>45</v>
      </c>
      <c r="GZ1013" t="s">
        <v>33</v>
      </c>
      <c r="HA1013">
        <v>21744</v>
      </c>
      <c r="HB1013">
        <v>20011</v>
      </c>
      <c r="HC1013">
        <v>0</v>
      </c>
      <c r="HD1013">
        <v>562</v>
      </c>
      <c r="HE1013">
        <v>0</v>
      </c>
      <c r="HF1013">
        <v>7</v>
      </c>
      <c r="HG1013">
        <v>0</v>
      </c>
      <c r="HH1013">
        <v>0</v>
      </c>
      <c r="HI1013">
        <v>0</v>
      </c>
      <c r="HZ1013" s="24">
        <v>2013</v>
      </c>
      <c r="IA1013" s="24">
        <v>45</v>
      </c>
      <c r="IB1013" s="24" t="s">
        <v>33</v>
      </c>
      <c r="IC1013" s="24">
        <v>939</v>
      </c>
      <c r="ID1013" s="24">
        <v>679</v>
      </c>
    </row>
    <row r="1014" spans="9:238" x14ac:dyDescent="0.4">
      <c r="I1014" s="305">
        <v>2013</v>
      </c>
      <c r="J1014" s="306">
        <v>45</v>
      </c>
      <c r="K1014" s="306" t="s">
        <v>33</v>
      </c>
      <c r="L1014" s="306">
        <v>22575</v>
      </c>
      <c r="M1014" s="306">
        <v>20107</v>
      </c>
      <c r="N1014" s="306"/>
      <c r="O1014" s="306">
        <v>2461</v>
      </c>
      <c r="P1014" s="306"/>
      <c r="Q1014" s="306"/>
      <c r="DJ1014" s="24"/>
      <c r="DK1014" s="24"/>
      <c r="DL1014" s="24"/>
      <c r="DM1014" s="24"/>
      <c r="EI1014" s="24">
        <v>2022</v>
      </c>
      <c r="EJ1014" s="24">
        <v>30</v>
      </c>
      <c r="EK1014" s="24" t="s">
        <v>208</v>
      </c>
      <c r="EL1014" s="24" t="s">
        <v>245</v>
      </c>
      <c r="EM1014" s="24" t="s">
        <v>234</v>
      </c>
      <c r="EN1014" s="24">
        <v>2</v>
      </c>
      <c r="EO1014" s="24"/>
      <c r="EP1014" s="24"/>
      <c r="ES1014" s="24"/>
      <c r="ET1014" s="24"/>
      <c r="EU1014" s="24"/>
      <c r="EV1014" s="24"/>
      <c r="FW1014" s="316">
        <v>2013</v>
      </c>
      <c r="FX1014" s="316">
        <v>44</v>
      </c>
      <c r="FY1014" s="316" t="s">
        <v>32</v>
      </c>
      <c r="FZ1014" s="316">
        <v>91</v>
      </c>
      <c r="GA1014" s="316">
        <v>66</v>
      </c>
      <c r="GX1014">
        <v>2013</v>
      </c>
      <c r="GY1014">
        <v>44</v>
      </c>
      <c r="GZ1014" t="s">
        <v>32</v>
      </c>
      <c r="HA1014">
        <v>2208</v>
      </c>
      <c r="HB1014">
        <v>1988</v>
      </c>
      <c r="HC1014">
        <v>0</v>
      </c>
      <c r="HD1014">
        <v>1</v>
      </c>
      <c r="HE1014">
        <v>0</v>
      </c>
      <c r="HF1014">
        <v>0</v>
      </c>
      <c r="HG1014">
        <v>0</v>
      </c>
      <c r="HH1014">
        <v>0</v>
      </c>
      <c r="HI1014">
        <v>0</v>
      </c>
      <c r="HZ1014" s="24">
        <v>2013</v>
      </c>
      <c r="IA1014" s="24">
        <v>44</v>
      </c>
      <c r="IB1014" s="24" t="s">
        <v>32</v>
      </c>
      <c r="IC1014" s="24">
        <v>84</v>
      </c>
      <c r="ID1014" s="24">
        <v>66</v>
      </c>
    </row>
    <row r="1015" spans="9:238" x14ac:dyDescent="0.4">
      <c r="I1015" s="305">
        <v>2013</v>
      </c>
      <c r="J1015" s="306">
        <v>44</v>
      </c>
      <c r="K1015" s="306" t="s">
        <v>32</v>
      </c>
      <c r="L1015" s="306">
        <v>2504</v>
      </c>
      <c r="M1015" s="306">
        <v>2218</v>
      </c>
      <c r="N1015" s="306"/>
      <c r="O1015" s="306">
        <v>286</v>
      </c>
      <c r="P1015" s="306"/>
      <c r="Q1015" s="306"/>
      <c r="DJ1015" s="24"/>
      <c r="DK1015" s="24"/>
      <c r="DL1015" s="24"/>
      <c r="DM1015" s="24"/>
      <c r="EI1015" s="24">
        <v>2022</v>
      </c>
      <c r="EJ1015" s="24">
        <v>30</v>
      </c>
      <c r="EK1015" s="24" t="s">
        <v>33</v>
      </c>
      <c r="EL1015" s="24" t="s">
        <v>240</v>
      </c>
      <c r="EM1015" s="24" t="s">
        <v>210</v>
      </c>
      <c r="EN1015" s="24">
        <v>2</v>
      </c>
      <c r="EO1015" s="24"/>
      <c r="EP1015" s="24"/>
      <c r="ES1015" s="24"/>
      <c r="ET1015" s="24"/>
      <c r="EU1015" s="24"/>
      <c r="EV1015" s="24"/>
      <c r="FW1015" s="316">
        <v>2013</v>
      </c>
      <c r="FX1015" s="316">
        <v>44</v>
      </c>
      <c r="FY1015" s="316" t="s">
        <v>33</v>
      </c>
      <c r="FZ1015" s="316">
        <v>960</v>
      </c>
      <c r="GA1015" s="316">
        <v>714</v>
      </c>
      <c r="GX1015">
        <v>2013</v>
      </c>
      <c r="GY1015">
        <v>44</v>
      </c>
      <c r="GZ1015" t="s">
        <v>33</v>
      </c>
      <c r="HA1015">
        <v>21986</v>
      </c>
      <c r="HB1015">
        <v>20274</v>
      </c>
      <c r="HC1015">
        <v>0</v>
      </c>
      <c r="HD1015">
        <v>553</v>
      </c>
      <c r="HE1015">
        <v>0</v>
      </c>
      <c r="HF1015">
        <v>18</v>
      </c>
      <c r="HG1015">
        <v>0</v>
      </c>
      <c r="HH1015">
        <v>0</v>
      </c>
      <c r="HI1015">
        <v>0</v>
      </c>
      <c r="HZ1015" s="24">
        <v>2013</v>
      </c>
      <c r="IA1015" s="24">
        <v>44</v>
      </c>
      <c r="IB1015" s="24" t="s">
        <v>33</v>
      </c>
      <c r="IC1015" s="24">
        <v>855</v>
      </c>
      <c r="ID1015" s="24">
        <v>636</v>
      </c>
    </row>
    <row r="1016" spans="9:238" x14ac:dyDescent="0.4">
      <c r="I1016" s="305">
        <v>2013</v>
      </c>
      <c r="J1016" s="306">
        <v>44</v>
      </c>
      <c r="K1016" s="306" t="s">
        <v>33</v>
      </c>
      <c r="L1016" s="306">
        <v>22922</v>
      </c>
      <c r="M1016" s="306">
        <v>20525</v>
      </c>
      <c r="N1016" s="306"/>
      <c r="O1016" s="306">
        <v>2392</v>
      </c>
      <c r="P1016" s="306"/>
      <c r="Q1016" s="306"/>
      <c r="DJ1016" s="24"/>
      <c r="DK1016" s="24"/>
      <c r="DL1016" s="24"/>
      <c r="DM1016" s="24"/>
      <c r="EI1016" s="24">
        <v>2022</v>
      </c>
      <c r="EJ1016" s="24">
        <v>30</v>
      </c>
      <c r="EK1016" s="24" t="s">
        <v>33</v>
      </c>
      <c r="EL1016" s="24" t="s">
        <v>233</v>
      </c>
      <c r="EM1016" s="24" t="s">
        <v>210</v>
      </c>
      <c r="EN1016" s="24">
        <v>4</v>
      </c>
      <c r="EO1016" s="24"/>
      <c r="EP1016" s="24"/>
      <c r="ES1016" s="24"/>
      <c r="ET1016" s="24"/>
      <c r="EU1016" s="24"/>
      <c r="EV1016" s="24"/>
      <c r="FW1016" s="316">
        <v>2013</v>
      </c>
      <c r="FX1016" s="316">
        <v>43</v>
      </c>
      <c r="FY1016" s="316" t="s">
        <v>32</v>
      </c>
      <c r="FZ1016" s="316">
        <v>103</v>
      </c>
      <c r="GA1016" s="316">
        <v>84</v>
      </c>
      <c r="GX1016">
        <v>2013</v>
      </c>
      <c r="GY1016">
        <v>43</v>
      </c>
      <c r="GZ1016" t="s">
        <v>32</v>
      </c>
      <c r="HA1016">
        <v>1497</v>
      </c>
      <c r="HB1016">
        <v>1394</v>
      </c>
      <c r="HC1016">
        <v>0</v>
      </c>
      <c r="HD1016">
        <v>6</v>
      </c>
      <c r="HE1016">
        <v>0</v>
      </c>
      <c r="HF1016">
        <v>0</v>
      </c>
      <c r="HG1016">
        <v>0</v>
      </c>
      <c r="HH1016">
        <v>0</v>
      </c>
      <c r="HI1016">
        <v>0</v>
      </c>
      <c r="HZ1016" s="24">
        <v>2013</v>
      </c>
      <c r="IA1016" s="24">
        <v>43</v>
      </c>
      <c r="IB1016" s="24" t="s">
        <v>32</v>
      </c>
      <c r="IC1016" s="24">
        <v>93</v>
      </c>
      <c r="ID1016" s="24">
        <v>75</v>
      </c>
    </row>
    <row r="1017" spans="9:238" x14ac:dyDescent="0.4">
      <c r="I1017" s="305">
        <v>2013</v>
      </c>
      <c r="J1017" s="306">
        <v>43</v>
      </c>
      <c r="K1017" s="306" t="s">
        <v>32</v>
      </c>
      <c r="L1017" s="306">
        <v>1377</v>
      </c>
      <c r="M1017" s="306">
        <v>1227</v>
      </c>
      <c r="N1017" s="306"/>
      <c r="O1017" s="306">
        <v>150</v>
      </c>
      <c r="P1017" s="306"/>
      <c r="Q1017" s="306"/>
      <c r="DJ1017" s="24"/>
      <c r="DK1017" s="24"/>
      <c r="DL1017" s="24"/>
      <c r="DM1017" s="24"/>
      <c r="EI1017" s="24">
        <v>2022</v>
      </c>
      <c r="EJ1017" s="24">
        <v>30</v>
      </c>
      <c r="EK1017" s="24" t="s">
        <v>33</v>
      </c>
      <c r="EL1017" s="24" t="s">
        <v>235</v>
      </c>
      <c r="EM1017" s="24" t="s">
        <v>210</v>
      </c>
      <c r="EN1017" s="24">
        <v>1</v>
      </c>
      <c r="EO1017" s="24"/>
      <c r="EP1017" s="24"/>
      <c r="ES1017" s="24"/>
      <c r="ET1017" s="24"/>
      <c r="EU1017" s="24"/>
      <c r="EV1017" s="24"/>
      <c r="FW1017" s="316">
        <v>2013</v>
      </c>
      <c r="FX1017" s="316">
        <v>43</v>
      </c>
      <c r="FY1017" s="316" t="s">
        <v>33</v>
      </c>
      <c r="FZ1017" s="316">
        <v>834</v>
      </c>
      <c r="GA1017" s="316">
        <v>707</v>
      </c>
      <c r="GX1017">
        <v>2013</v>
      </c>
      <c r="GY1017">
        <v>43</v>
      </c>
      <c r="GZ1017" t="s">
        <v>33</v>
      </c>
      <c r="HA1017">
        <v>21247</v>
      </c>
      <c r="HB1017">
        <v>20124</v>
      </c>
      <c r="HC1017">
        <v>0</v>
      </c>
      <c r="HD1017">
        <v>452</v>
      </c>
      <c r="HE1017">
        <v>0</v>
      </c>
      <c r="HF1017">
        <v>22</v>
      </c>
      <c r="HG1017">
        <v>0</v>
      </c>
      <c r="HH1017">
        <v>0</v>
      </c>
      <c r="HI1017">
        <v>0</v>
      </c>
      <c r="HZ1017" s="24">
        <v>2013</v>
      </c>
      <c r="IA1017" s="24">
        <v>43</v>
      </c>
      <c r="IB1017" s="24" t="s">
        <v>33</v>
      </c>
      <c r="IC1017" s="24">
        <v>822</v>
      </c>
      <c r="ID1017" s="24">
        <v>707</v>
      </c>
    </row>
    <row r="1018" spans="9:238" x14ac:dyDescent="0.4">
      <c r="I1018" s="305">
        <v>2013</v>
      </c>
      <c r="J1018" s="306">
        <v>43</v>
      </c>
      <c r="K1018" s="306" t="s">
        <v>33</v>
      </c>
      <c r="L1018" s="306">
        <v>22607</v>
      </c>
      <c r="M1018" s="306">
        <v>21033</v>
      </c>
      <c r="N1018" s="306"/>
      <c r="O1018" s="306">
        <v>1554</v>
      </c>
      <c r="P1018" s="306"/>
      <c r="Q1018" s="306"/>
      <c r="DJ1018" s="24"/>
      <c r="DK1018" s="24"/>
      <c r="DL1018" s="24"/>
      <c r="DM1018" s="24"/>
      <c r="EI1018" s="24">
        <v>2022</v>
      </c>
      <c r="EJ1018" s="24">
        <v>30</v>
      </c>
      <c r="EK1018" s="24" t="s">
        <v>33</v>
      </c>
      <c r="EL1018" s="24" t="s">
        <v>235</v>
      </c>
      <c r="EM1018" s="24" t="s">
        <v>234</v>
      </c>
      <c r="EN1018" s="24">
        <v>1</v>
      </c>
      <c r="EO1018" s="24"/>
      <c r="EP1018" s="24"/>
      <c r="ES1018" s="24"/>
      <c r="ET1018" s="24"/>
      <c r="EU1018" s="24"/>
      <c r="EV1018" s="24"/>
      <c r="FW1018" s="24">
        <v>2013</v>
      </c>
      <c r="FX1018" s="24">
        <v>42</v>
      </c>
      <c r="FY1018" s="24" t="s">
        <v>32</v>
      </c>
      <c r="FZ1018" s="24">
        <v>69</v>
      </c>
      <c r="GA1018" s="24">
        <v>61</v>
      </c>
      <c r="GX1018">
        <v>2013</v>
      </c>
      <c r="GY1018">
        <v>42</v>
      </c>
      <c r="GZ1018" t="s">
        <v>32</v>
      </c>
      <c r="HA1018">
        <v>1346</v>
      </c>
      <c r="HB1018">
        <v>1251</v>
      </c>
      <c r="HC1018">
        <v>0</v>
      </c>
      <c r="HD1018">
        <v>5</v>
      </c>
      <c r="HE1018">
        <v>0</v>
      </c>
      <c r="HF1018">
        <v>0</v>
      </c>
      <c r="HG1018">
        <v>0</v>
      </c>
      <c r="HH1018">
        <v>0</v>
      </c>
      <c r="HI1018">
        <v>0</v>
      </c>
      <c r="HZ1018" s="24">
        <v>2013</v>
      </c>
      <c r="IA1018" s="24">
        <v>42</v>
      </c>
      <c r="IB1018" s="24" t="s">
        <v>32</v>
      </c>
      <c r="IC1018" s="24">
        <v>71</v>
      </c>
      <c r="ID1018" s="24">
        <v>64</v>
      </c>
    </row>
    <row r="1019" spans="9:238" x14ac:dyDescent="0.4">
      <c r="I1019" s="305">
        <v>2013</v>
      </c>
      <c r="J1019" s="306">
        <v>42</v>
      </c>
      <c r="K1019" s="306" t="s">
        <v>32</v>
      </c>
      <c r="L1019" s="306">
        <v>1380</v>
      </c>
      <c r="M1019" s="306">
        <v>1231</v>
      </c>
      <c r="N1019" s="306"/>
      <c r="O1019" s="306">
        <v>149</v>
      </c>
      <c r="P1019" s="306"/>
      <c r="Q1019" s="306"/>
      <c r="DJ1019" s="24"/>
      <c r="DK1019" s="24"/>
      <c r="DL1019" s="24"/>
      <c r="DM1019" s="24"/>
      <c r="EI1019" s="24">
        <v>2022</v>
      </c>
      <c r="EJ1019" s="24">
        <v>30</v>
      </c>
      <c r="EK1019" s="24" t="s">
        <v>33</v>
      </c>
      <c r="EL1019" s="24" t="s">
        <v>247</v>
      </c>
      <c r="EM1019" s="24" t="s">
        <v>210</v>
      </c>
      <c r="EN1019" s="24">
        <v>2</v>
      </c>
      <c r="EO1019" s="24"/>
      <c r="EP1019" s="24"/>
      <c r="ES1019" s="24"/>
      <c r="ET1019" s="24"/>
      <c r="EU1019" s="24"/>
      <c r="EV1019" s="24"/>
      <c r="FW1019" s="24">
        <v>2013</v>
      </c>
      <c r="FX1019" s="24">
        <v>42</v>
      </c>
      <c r="FY1019" s="24" t="s">
        <v>33</v>
      </c>
      <c r="FZ1019" s="24">
        <v>899</v>
      </c>
      <c r="GA1019" s="24">
        <v>698</v>
      </c>
      <c r="GX1019">
        <v>2013</v>
      </c>
      <c r="GY1019">
        <v>42</v>
      </c>
      <c r="GZ1019" t="s">
        <v>33</v>
      </c>
      <c r="HA1019">
        <v>27428</v>
      </c>
      <c r="HB1019">
        <v>24651</v>
      </c>
      <c r="HC1019">
        <v>0</v>
      </c>
      <c r="HD1019">
        <v>315</v>
      </c>
      <c r="HE1019">
        <v>0</v>
      </c>
      <c r="HF1019">
        <v>44</v>
      </c>
      <c r="HG1019">
        <v>0</v>
      </c>
      <c r="HH1019">
        <v>0</v>
      </c>
      <c r="HI1019">
        <v>0</v>
      </c>
      <c r="HZ1019" s="324">
        <v>2013</v>
      </c>
      <c r="IA1019" s="324">
        <v>42</v>
      </c>
      <c r="IB1019" s="324" t="s">
        <v>33</v>
      </c>
      <c r="IC1019" s="324">
        <v>842</v>
      </c>
      <c r="ID1019" s="324">
        <v>683</v>
      </c>
    </row>
    <row r="1020" spans="9:238" x14ac:dyDescent="0.4">
      <c r="I1020" s="305">
        <v>2013</v>
      </c>
      <c r="J1020" s="306">
        <v>42</v>
      </c>
      <c r="K1020" s="306" t="s">
        <v>33</v>
      </c>
      <c r="L1020" s="306">
        <v>28914</v>
      </c>
      <c r="M1020" s="306">
        <v>25189</v>
      </c>
      <c r="N1020" s="306"/>
      <c r="O1020" s="306">
        <v>3699</v>
      </c>
      <c r="P1020" s="306"/>
      <c r="Q1020" s="306"/>
      <c r="DJ1020" s="24"/>
      <c r="DK1020" s="24"/>
      <c r="DL1020" s="24"/>
      <c r="DM1020" s="24"/>
      <c r="EI1020" s="24">
        <v>2022</v>
      </c>
      <c r="EJ1020" s="24">
        <v>30</v>
      </c>
      <c r="EK1020" s="24" t="s">
        <v>237</v>
      </c>
      <c r="EL1020" s="24" t="s">
        <v>555</v>
      </c>
      <c r="EM1020" s="24" t="s">
        <v>234</v>
      </c>
      <c r="EN1020" s="24">
        <v>2</v>
      </c>
      <c r="EO1020" s="24"/>
      <c r="EP1020" s="24"/>
      <c r="ES1020" s="24"/>
      <c r="ET1020" s="24"/>
      <c r="EU1020" s="24"/>
      <c r="EV1020" s="24"/>
      <c r="FW1020" s="24">
        <v>2013</v>
      </c>
      <c r="FX1020" s="24">
        <v>41</v>
      </c>
      <c r="FY1020" s="24" t="s">
        <v>32</v>
      </c>
      <c r="FZ1020" s="24">
        <v>97</v>
      </c>
      <c r="GA1020" s="24">
        <v>75</v>
      </c>
      <c r="GX1020">
        <v>2013</v>
      </c>
      <c r="GY1020">
        <v>41</v>
      </c>
      <c r="GZ1020" t="s">
        <v>32</v>
      </c>
      <c r="HA1020">
        <v>1383</v>
      </c>
      <c r="HB1020">
        <v>1248</v>
      </c>
      <c r="HC1020">
        <v>0</v>
      </c>
      <c r="HD1020">
        <v>13</v>
      </c>
      <c r="HE1020">
        <v>0</v>
      </c>
      <c r="HF1020">
        <v>0</v>
      </c>
      <c r="HG1020">
        <v>0</v>
      </c>
      <c r="HH1020">
        <v>0</v>
      </c>
      <c r="HI1020">
        <v>0</v>
      </c>
      <c r="HZ1020" s="324">
        <v>2013</v>
      </c>
      <c r="IA1020" s="324">
        <v>41</v>
      </c>
      <c r="IB1020" s="324" t="s">
        <v>32</v>
      </c>
      <c r="IC1020" s="324">
        <v>94</v>
      </c>
      <c r="ID1020" s="324">
        <v>72</v>
      </c>
    </row>
    <row r="1021" spans="9:238" x14ac:dyDescent="0.4">
      <c r="I1021" s="305">
        <v>2013</v>
      </c>
      <c r="J1021" s="306">
        <v>41</v>
      </c>
      <c r="K1021" s="306" t="s">
        <v>32</v>
      </c>
      <c r="L1021" s="306">
        <v>1432</v>
      </c>
      <c r="M1021" s="306">
        <v>1258</v>
      </c>
      <c r="N1021" s="306"/>
      <c r="O1021" s="306">
        <v>174</v>
      </c>
      <c r="P1021" s="306"/>
      <c r="Q1021" s="306"/>
      <c r="DJ1021" s="24"/>
      <c r="DK1021" s="24"/>
      <c r="DL1021" s="24"/>
      <c r="DM1021" s="24"/>
      <c r="EI1021" s="24">
        <v>2022</v>
      </c>
      <c r="EJ1021" s="24">
        <v>30</v>
      </c>
      <c r="EK1021" s="24" t="s">
        <v>237</v>
      </c>
      <c r="EL1021" s="24" t="s">
        <v>557</v>
      </c>
      <c r="EM1021" s="24" t="s">
        <v>234</v>
      </c>
      <c r="EN1021" s="24">
        <v>6</v>
      </c>
      <c r="EO1021" s="24"/>
      <c r="EP1021" s="24"/>
      <c r="ES1021" s="24"/>
      <c r="ET1021" s="24"/>
      <c r="EU1021" s="24"/>
      <c r="EV1021" s="24"/>
      <c r="FW1021" s="24">
        <v>2013</v>
      </c>
      <c r="FX1021" s="24">
        <v>41</v>
      </c>
      <c r="FY1021" s="24" t="s">
        <v>33</v>
      </c>
      <c r="FZ1021" s="24">
        <v>892</v>
      </c>
      <c r="GA1021" s="24">
        <v>786</v>
      </c>
      <c r="GX1021">
        <v>2013</v>
      </c>
      <c r="GY1021">
        <v>41</v>
      </c>
      <c r="GZ1021" t="s">
        <v>33</v>
      </c>
      <c r="HA1021">
        <v>22438</v>
      </c>
      <c r="HB1021">
        <v>21237</v>
      </c>
      <c r="HC1021">
        <v>0</v>
      </c>
      <c r="HD1021">
        <v>412</v>
      </c>
      <c r="HE1021">
        <v>0</v>
      </c>
      <c r="HF1021">
        <v>0</v>
      </c>
      <c r="HG1021">
        <v>0</v>
      </c>
      <c r="HH1021">
        <v>0</v>
      </c>
      <c r="HI1021">
        <v>0</v>
      </c>
      <c r="HZ1021" s="24">
        <v>2013</v>
      </c>
      <c r="IA1021" s="24">
        <v>41</v>
      </c>
      <c r="IB1021" s="24" t="s">
        <v>33</v>
      </c>
      <c r="IC1021" s="24">
        <v>875</v>
      </c>
      <c r="ID1021" s="24">
        <v>789</v>
      </c>
    </row>
    <row r="1022" spans="9:238" x14ac:dyDescent="0.4">
      <c r="I1022" s="305">
        <v>2013</v>
      </c>
      <c r="J1022" s="306">
        <v>41</v>
      </c>
      <c r="K1022" s="306" t="s">
        <v>33</v>
      </c>
      <c r="L1022" s="306">
        <v>22784</v>
      </c>
      <c r="M1022" s="306">
        <v>20879</v>
      </c>
      <c r="N1022" s="306"/>
      <c r="O1022" s="306">
        <v>1893</v>
      </c>
      <c r="P1022" s="306"/>
      <c r="Q1022" s="306"/>
      <c r="DJ1022" s="24"/>
      <c r="DK1022" s="24"/>
      <c r="DL1022" s="24"/>
      <c r="DM1022" s="24"/>
      <c r="EI1022" s="24">
        <v>2022</v>
      </c>
      <c r="EJ1022" s="24">
        <v>30</v>
      </c>
      <c r="EK1022" s="24" t="s">
        <v>237</v>
      </c>
      <c r="EL1022" s="24" t="s">
        <v>233</v>
      </c>
      <c r="EM1022" s="24" t="s">
        <v>234</v>
      </c>
      <c r="EN1022" s="24">
        <v>2</v>
      </c>
      <c r="EO1022" s="24"/>
      <c r="EP1022" s="24"/>
      <c r="FW1022" s="24">
        <v>2013</v>
      </c>
      <c r="FX1022" s="24">
        <v>40</v>
      </c>
      <c r="FY1022" s="24" t="s">
        <v>32</v>
      </c>
      <c r="FZ1022" s="24">
        <v>60</v>
      </c>
      <c r="GA1022" s="24">
        <v>41</v>
      </c>
      <c r="GX1022">
        <v>2013</v>
      </c>
      <c r="GY1022">
        <v>40</v>
      </c>
      <c r="GZ1022" t="s">
        <v>32</v>
      </c>
      <c r="HA1022">
        <v>1694</v>
      </c>
      <c r="HB1022">
        <v>1566</v>
      </c>
      <c r="HC1022">
        <v>0</v>
      </c>
      <c r="HD1022">
        <v>3</v>
      </c>
      <c r="HE1022">
        <v>0</v>
      </c>
      <c r="HF1022">
        <v>0</v>
      </c>
      <c r="HG1022">
        <v>0</v>
      </c>
      <c r="HH1022">
        <v>0</v>
      </c>
      <c r="HI1022">
        <v>0</v>
      </c>
      <c r="HZ1022" s="24">
        <v>2013</v>
      </c>
      <c r="IA1022" s="24">
        <v>40</v>
      </c>
      <c r="IB1022" s="24" t="s">
        <v>32</v>
      </c>
      <c r="IC1022" s="24">
        <v>57</v>
      </c>
      <c r="ID1022" s="24">
        <v>40</v>
      </c>
    </row>
    <row r="1023" spans="9:238" x14ac:dyDescent="0.4">
      <c r="I1023" s="305">
        <v>2013</v>
      </c>
      <c r="J1023" s="306">
        <v>40</v>
      </c>
      <c r="K1023" s="306" t="s">
        <v>32</v>
      </c>
      <c r="L1023" s="306">
        <v>1813</v>
      </c>
      <c r="M1023" s="306">
        <v>1628</v>
      </c>
      <c r="N1023" s="306"/>
      <c r="O1023" s="306">
        <v>185</v>
      </c>
      <c r="P1023" s="306"/>
      <c r="Q1023" s="306"/>
      <c r="DJ1023" s="24"/>
      <c r="DK1023" s="24"/>
      <c r="DL1023" s="24"/>
      <c r="DM1023" s="24"/>
      <c r="EI1023" s="24">
        <v>2022</v>
      </c>
      <c r="EJ1023" s="24">
        <v>30</v>
      </c>
      <c r="EK1023" s="24" t="s">
        <v>237</v>
      </c>
      <c r="EL1023" s="24" t="s">
        <v>235</v>
      </c>
      <c r="EM1023" s="24" t="s">
        <v>234</v>
      </c>
      <c r="EN1023" s="24">
        <v>10</v>
      </c>
      <c r="EO1023" s="24"/>
      <c r="EP1023" s="24"/>
      <c r="FW1023" s="24">
        <v>2013</v>
      </c>
      <c r="FX1023" s="24">
        <v>40</v>
      </c>
      <c r="FY1023" s="24" t="s">
        <v>33</v>
      </c>
      <c r="FZ1023" s="24">
        <v>969</v>
      </c>
      <c r="GA1023" s="24">
        <v>778</v>
      </c>
      <c r="GX1023">
        <v>2013</v>
      </c>
      <c r="GY1023">
        <v>40</v>
      </c>
      <c r="GZ1023" t="s">
        <v>33</v>
      </c>
      <c r="HA1023">
        <v>22896</v>
      </c>
      <c r="HB1023">
        <v>20770</v>
      </c>
      <c r="HC1023">
        <v>0</v>
      </c>
      <c r="HD1023">
        <v>412</v>
      </c>
      <c r="HE1023">
        <v>0</v>
      </c>
      <c r="HF1023">
        <v>14</v>
      </c>
      <c r="HG1023">
        <v>0</v>
      </c>
      <c r="HH1023">
        <v>0</v>
      </c>
      <c r="HI1023">
        <v>0</v>
      </c>
      <c r="HZ1023" s="24">
        <v>2013</v>
      </c>
      <c r="IA1023" s="24">
        <v>40</v>
      </c>
      <c r="IB1023" s="24" t="s">
        <v>33</v>
      </c>
      <c r="IC1023" s="24">
        <v>922</v>
      </c>
      <c r="ID1023" s="24">
        <v>773</v>
      </c>
    </row>
    <row r="1024" spans="9:238" x14ac:dyDescent="0.4">
      <c r="I1024" s="305">
        <v>2013</v>
      </c>
      <c r="J1024" s="306">
        <v>40</v>
      </c>
      <c r="K1024" s="306" t="s">
        <v>33</v>
      </c>
      <c r="L1024" s="306">
        <v>23891</v>
      </c>
      <c r="M1024" s="306">
        <v>20906</v>
      </c>
      <c r="N1024" s="306"/>
      <c r="O1024" s="306">
        <v>2961</v>
      </c>
      <c r="P1024" s="306"/>
      <c r="Q1024" s="306"/>
      <c r="DJ1024" s="24"/>
      <c r="DK1024" s="24"/>
      <c r="DL1024" s="24"/>
      <c r="DM1024" s="24"/>
      <c r="EI1024" s="24">
        <v>2022</v>
      </c>
      <c r="EJ1024" s="24">
        <v>30</v>
      </c>
      <c r="EK1024" s="24" t="s">
        <v>237</v>
      </c>
      <c r="EL1024" s="24" t="s">
        <v>247</v>
      </c>
      <c r="EM1024" s="24" t="s">
        <v>234</v>
      </c>
      <c r="EN1024" s="24">
        <v>3</v>
      </c>
      <c r="EO1024" s="24"/>
      <c r="EP1024" s="24"/>
      <c r="FW1024" s="24">
        <v>2013</v>
      </c>
      <c r="FX1024" s="24">
        <v>39</v>
      </c>
      <c r="FY1024" s="24" t="s">
        <v>32</v>
      </c>
      <c r="FZ1024" s="24">
        <v>84</v>
      </c>
      <c r="GA1024" s="24">
        <v>72</v>
      </c>
      <c r="GX1024">
        <v>2013</v>
      </c>
      <c r="GY1024">
        <v>39</v>
      </c>
      <c r="GZ1024" t="s">
        <v>32</v>
      </c>
      <c r="HA1024">
        <v>1502</v>
      </c>
      <c r="HB1024">
        <v>1403</v>
      </c>
      <c r="HC1024">
        <v>0</v>
      </c>
      <c r="HD1024">
        <v>7</v>
      </c>
      <c r="HE1024">
        <v>0</v>
      </c>
      <c r="HF1024">
        <v>0</v>
      </c>
      <c r="HG1024">
        <v>0</v>
      </c>
      <c r="HH1024">
        <v>0</v>
      </c>
      <c r="HI1024">
        <v>0</v>
      </c>
      <c r="HZ1024" s="24">
        <v>2013</v>
      </c>
      <c r="IA1024" s="24">
        <v>39</v>
      </c>
      <c r="IB1024" s="24" t="s">
        <v>32</v>
      </c>
      <c r="IC1024" s="24">
        <v>70</v>
      </c>
      <c r="ID1024" s="24">
        <v>61</v>
      </c>
    </row>
    <row r="1025" spans="9:238" x14ac:dyDescent="0.4">
      <c r="I1025" s="305">
        <v>2013</v>
      </c>
      <c r="J1025" s="306">
        <v>39</v>
      </c>
      <c r="K1025" s="306" t="s">
        <v>32</v>
      </c>
      <c r="L1025" s="306">
        <v>1521</v>
      </c>
      <c r="M1025" s="306">
        <v>1384</v>
      </c>
      <c r="N1025" s="306"/>
      <c r="O1025" s="306">
        <v>137</v>
      </c>
      <c r="P1025" s="306"/>
      <c r="Q1025" s="306"/>
      <c r="DJ1025" s="24"/>
      <c r="DK1025" s="24"/>
      <c r="DL1025" s="24"/>
      <c r="DM1025" s="24"/>
      <c r="EI1025" s="24">
        <v>2022</v>
      </c>
      <c r="EJ1025" s="24">
        <v>30</v>
      </c>
      <c r="EK1025" s="24" t="s">
        <v>211</v>
      </c>
      <c r="EL1025" s="24" t="s">
        <v>212</v>
      </c>
      <c r="EM1025" s="24" t="s">
        <v>210</v>
      </c>
      <c r="EN1025" s="24">
        <v>7</v>
      </c>
      <c r="EO1025" s="24"/>
      <c r="EP1025" s="24"/>
      <c r="FW1025" s="24">
        <v>2013</v>
      </c>
      <c r="FX1025" s="24">
        <v>39</v>
      </c>
      <c r="FY1025" s="24" t="s">
        <v>33</v>
      </c>
      <c r="FZ1025" s="24">
        <v>1146</v>
      </c>
      <c r="GA1025" s="24">
        <v>772</v>
      </c>
      <c r="GX1025">
        <v>2013</v>
      </c>
      <c r="GY1025">
        <v>39</v>
      </c>
      <c r="GZ1025" t="s">
        <v>33</v>
      </c>
      <c r="HA1025">
        <v>23716</v>
      </c>
      <c r="HB1025">
        <v>19900</v>
      </c>
      <c r="HC1025">
        <v>0</v>
      </c>
      <c r="HD1025">
        <v>474</v>
      </c>
      <c r="HE1025">
        <v>0</v>
      </c>
      <c r="HF1025">
        <v>42</v>
      </c>
      <c r="HG1025">
        <v>0</v>
      </c>
      <c r="HH1025">
        <v>0</v>
      </c>
      <c r="HI1025">
        <v>0</v>
      </c>
      <c r="HZ1025" s="24">
        <v>2013</v>
      </c>
      <c r="IA1025" s="24">
        <v>39</v>
      </c>
      <c r="IB1025" s="24" t="s">
        <v>33</v>
      </c>
      <c r="IC1025" s="24">
        <v>1084</v>
      </c>
      <c r="ID1025" s="24">
        <v>741</v>
      </c>
    </row>
    <row r="1026" spans="9:238" x14ac:dyDescent="0.4">
      <c r="I1026" s="305">
        <v>2013</v>
      </c>
      <c r="J1026" s="306">
        <v>39</v>
      </c>
      <c r="K1026" s="306" t="s">
        <v>33</v>
      </c>
      <c r="L1026" s="306">
        <v>24745</v>
      </c>
      <c r="M1026" s="306">
        <v>20044</v>
      </c>
      <c r="N1026" s="306"/>
      <c r="O1026" s="306">
        <v>4672</v>
      </c>
      <c r="P1026" s="306"/>
      <c r="Q1026" s="306"/>
      <c r="DJ1026" s="24"/>
      <c r="DK1026" s="24"/>
      <c r="DL1026" s="24"/>
      <c r="DM1026" s="24"/>
      <c r="EI1026" s="24">
        <v>2022</v>
      </c>
      <c r="EJ1026" s="24">
        <v>30</v>
      </c>
      <c r="EK1026" s="24" t="s">
        <v>211</v>
      </c>
      <c r="EL1026" s="24" t="s">
        <v>212</v>
      </c>
      <c r="EM1026" s="24" t="s">
        <v>234</v>
      </c>
      <c r="EN1026" s="24">
        <v>4</v>
      </c>
      <c r="EO1026" s="24"/>
      <c r="EP1026" s="24"/>
      <c r="FW1026" s="317">
        <v>2013</v>
      </c>
      <c r="FX1026" s="317">
        <v>38</v>
      </c>
      <c r="FY1026" s="317" t="s">
        <v>32</v>
      </c>
      <c r="FZ1026" s="317">
        <v>92</v>
      </c>
      <c r="GA1026" s="317">
        <v>80</v>
      </c>
      <c r="GX1026">
        <v>2013</v>
      </c>
      <c r="GY1026">
        <v>38</v>
      </c>
      <c r="GZ1026" t="s">
        <v>32</v>
      </c>
      <c r="HA1026">
        <v>1500</v>
      </c>
      <c r="HB1026">
        <v>1398</v>
      </c>
      <c r="HC1026">
        <v>0</v>
      </c>
      <c r="HD1026">
        <v>9</v>
      </c>
      <c r="HE1026">
        <v>1</v>
      </c>
      <c r="HF1026">
        <v>0</v>
      </c>
      <c r="HG1026">
        <v>0</v>
      </c>
      <c r="HH1026">
        <v>0</v>
      </c>
      <c r="HI1026">
        <v>0</v>
      </c>
      <c r="HZ1026" s="24">
        <v>2013</v>
      </c>
      <c r="IA1026" s="24">
        <v>38</v>
      </c>
      <c r="IB1026" s="24" t="s">
        <v>32</v>
      </c>
      <c r="IC1026" s="24">
        <v>79</v>
      </c>
      <c r="ID1026" s="24">
        <v>68</v>
      </c>
    </row>
    <row r="1027" spans="9:238" x14ac:dyDescent="0.4">
      <c r="I1027" s="305">
        <v>2013</v>
      </c>
      <c r="J1027" s="306">
        <v>38</v>
      </c>
      <c r="K1027" s="306" t="s">
        <v>32</v>
      </c>
      <c r="L1027" s="306">
        <v>1652</v>
      </c>
      <c r="M1027" s="306">
        <v>1513</v>
      </c>
      <c r="N1027" s="306"/>
      <c r="O1027" s="306">
        <v>139</v>
      </c>
      <c r="P1027" s="306"/>
      <c r="Q1027" s="306"/>
      <c r="DJ1027" s="24"/>
      <c r="DK1027" s="24"/>
      <c r="DL1027" s="24"/>
      <c r="DM1027" s="24"/>
      <c r="EI1027" s="24">
        <v>2022</v>
      </c>
      <c r="EJ1027" s="24">
        <v>30</v>
      </c>
      <c r="EK1027" s="24" t="s">
        <v>211</v>
      </c>
      <c r="EL1027" s="24" t="s">
        <v>247</v>
      </c>
      <c r="EM1027" s="24" t="s">
        <v>210</v>
      </c>
      <c r="EN1027" s="24">
        <v>4</v>
      </c>
      <c r="EO1027" s="24"/>
      <c r="EP1027" s="24"/>
      <c r="FW1027" s="317">
        <v>2013</v>
      </c>
      <c r="FX1027" s="317">
        <v>38</v>
      </c>
      <c r="FY1027" s="317" t="s">
        <v>33</v>
      </c>
      <c r="FZ1027" s="317">
        <v>965</v>
      </c>
      <c r="GA1027" s="317">
        <v>749</v>
      </c>
      <c r="GX1027">
        <v>2013</v>
      </c>
      <c r="GY1027">
        <v>38</v>
      </c>
      <c r="GZ1027" t="s">
        <v>33</v>
      </c>
      <c r="HA1027">
        <v>26243</v>
      </c>
      <c r="HB1027">
        <v>23384</v>
      </c>
      <c r="HC1027">
        <v>0</v>
      </c>
      <c r="HD1027">
        <v>537</v>
      </c>
      <c r="HE1027">
        <v>0</v>
      </c>
      <c r="HF1027">
        <v>96</v>
      </c>
      <c r="HG1027">
        <v>0</v>
      </c>
      <c r="HH1027">
        <v>0</v>
      </c>
      <c r="HI1027">
        <v>0</v>
      </c>
      <c r="HZ1027" s="24">
        <v>2013</v>
      </c>
      <c r="IA1027" s="24">
        <v>38</v>
      </c>
      <c r="IB1027" s="24" t="s">
        <v>33</v>
      </c>
      <c r="IC1027" s="24">
        <v>933</v>
      </c>
      <c r="ID1027" s="24">
        <v>743</v>
      </c>
    </row>
    <row r="1028" spans="9:238" x14ac:dyDescent="0.4">
      <c r="I1028" s="305">
        <v>2013</v>
      </c>
      <c r="J1028" s="306">
        <v>38</v>
      </c>
      <c r="K1028" s="306" t="s">
        <v>33</v>
      </c>
      <c r="L1028" s="306">
        <v>27456</v>
      </c>
      <c r="M1028" s="306">
        <v>23594</v>
      </c>
      <c r="N1028" s="306"/>
      <c r="O1028" s="306">
        <v>3852</v>
      </c>
      <c r="P1028" s="306"/>
      <c r="Q1028" s="306"/>
      <c r="DJ1028" s="24"/>
      <c r="DK1028" s="24"/>
      <c r="DL1028" s="24"/>
      <c r="DM1028" s="24"/>
      <c r="EI1028" s="24">
        <v>2022</v>
      </c>
      <c r="EJ1028" s="24">
        <v>30</v>
      </c>
      <c r="EK1028" s="24" t="s">
        <v>211</v>
      </c>
      <c r="EL1028" s="24" t="s">
        <v>247</v>
      </c>
      <c r="EM1028" s="24" t="s">
        <v>234</v>
      </c>
      <c r="EN1028" s="24">
        <v>6</v>
      </c>
      <c r="EO1028" s="24"/>
      <c r="EP1028" s="24"/>
      <c r="FW1028" s="317">
        <v>2013</v>
      </c>
      <c r="FX1028" s="317">
        <v>37</v>
      </c>
      <c r="FY1028" s="317" t="s">
        <v>32</v>
      </c>
      <c r="FZ1028" s="317">
        <v>99</v>
      </c>
      <c r="GA1028" s="317">
        <v>86</v>
      </c>
      <c r="GX1028">
        <v>2013</v>
      </c>
      <c r="GY1028">
        <v>37</v>
      </c>
      <c r="GZ1028" t="s">
        <v>32</v>
      </c>
      <c r="HA1028">
        <v>1624</v>
      </c>
      <c r="HB1028">
        <v>1465</v>
      </c>
      <c r="HC1028">
        <v>0</v>
      </c>
      <c r="HD1028">
        <v>10</v>
      </c>
      <c r="HE1028">
        <v>0</v>
      </c>
      <c r="HF1028">
        <v>0</v>
      </c>
      <c r="HG1028">
        <v>0</v>
      </c>
      <c r="HH1028">
        <v>0</v>
      </c>
      <c r="HI1028">
        <v>0</v>
      </c>
      <c r="HZ1028" s="24">
        <v>2013</v>
      </c>
      <c r="IA1028" s="24">
        <v>37</v>
      </c>
      <c r="IB1028" s="24" t="s">
        <v>32</v>
      </c>
      <c r="IC1028" s="24">
        <v>117</v>
      </c>
      <c r="ID1028" s="24">
        <v>104</v>
      </c>
    </row>
    <row r="1029" spans="9:238" x14ac:dyDescent="0.4">
      <c r="I1029" s="305">
        <v>2013</v>
      </c>
      <c r="J1029" s="306">
        <v>37</v>
      </c>
      <c r="K1029" s="306" t="s">
        <v>32</v>
      </c>
      <c r="L1029" s="306">
        <v>1699</v>
      </c>
      <c r="M1029" s="306">
        <v>1518</v>
      </c>
      <c r="N1029" s="306"/>
      <c r="O1029" s="306">
        <v>181</v>
      </c>
      <c r="P1029" s="306"/>
      <c r="Q1029" s="306"/>
      <c r="DJ1029" s="24"/>
      <c r="DK1029" s="24"/>
      <c r="DL1029" s="24"/>
      <c r="DM1029" s="24"/>
      <c r="EI1029" s="24">
        <v>2022</v>
      </c>
      <c r="EJ1029" s="24">
        <v>29</v>
      </c>
      <c r="EK1029" s="24" t="s">
        <v>208</v>
      </c>
      <c r="EL1029" s="24" t="s">
        <v>555</v>
      </c>
      <c r="EM1029" s="24" t="s">
        <v>234</v>
      </c>
      <c r="EN1029" s="24">
        <v>1</v>
      </c>
      <c r="EO1029" s="24"/>
      <c r="EP1029" s="24"/>
      <c r="FW1029" s="317">
        <v>2013</v>
      </c>
      <c r="FX1029" s="317">
        <v>37</v>
      </c>
      <c r="FY1029" s="317" t="s">
        <v>33</v>
      </c>
      <c r="FZ1029" s="317">
        <v>881</v>
      </c>
      <c r="GA1029" s="317">
        <v>420</v>
      </c>
      <c r="GX1029">
        <v>2013</v>
      </c>
      <c r="GY1029">
        <v>37</v>
      </c>
      <c r="GZ1029" t="s">
        <v>33</v>
      </c>
      <c r="HA1029">
        <v>22497</v>
      </c>
      <c r="HB1029">
        <v>20633</v>
      </c>
      <c r="HC1029">
        <v>0</v>
      </c>
      <c r="HD1029">
        <v>397</v>
      </c>
      <c r="HE1029">
        <v>0</v>
      </c>
      <c r="HF1029">
        <v>18</v>
      </c>
      <c r="HG1029">
        <v>0</v>
      </c>
      <c r="HH1029">
        <v>0</v>
      </c>
      <c r="HI1029">
        <v>0</v>
      </c>
      <c r="HZ1029" s="327">
        <v>2013</v>
      </c>
      <c r="IA1029" s="327">
        <v>37</v>
      </c>
      <c r="IB1029" s="327" t="s">
        <v>33</v>
      </c>
      <c r="IC1029" s="327">
        <v>838</v>
      </c>
      <c r="ID1029" s="327">
        <v>419</v>
      </c>
    </row>
    <row r="1030" spans="9:238" x14ac:dyDescent="0.4">
      <c r="I1030" s="305">
        <v>2013</v>
      </c>
      <c r="J1030" s="306">
        <v>37</v>
      </c>
      <c r="K1030" s="306" t="s">
        <v>33</v>
      </c>
      <c r="L1030" s="306">
        <v>23473</v>
      </c>
      <c r="M1030" s="306">
        <v>20836</v>
      </c>
      <c r="N1030" s="306"/>
      <c r="O1030" s="306">
        <v>2626</v>
      </c>
      <c r="P1030" s="306"/>
      <c r="Q1030" s="306"/>
      <c r="DJ1030" s="24"/>
      <c r="DK1030" s="24"/>
      <c r="DL1030" s="24"/>
      <c r="DM1030" s="24"/>
      <c r="EI1030" s="24">
        <v>2022</v>
      </c>
      <c r="EJ1030" s="24">
        <v>29</v>
      </c>
      <c r="EK1030" s="24" t="s">
        <v>208</v>
      </c>
      <c r="EL1030" s="24" t="s">
        <v>554</v>
      </c>
      <c r="EM1030" s="24" t="s">
        <v>234</v>
      </c>
      <c r="EN1030" s="24">
        <v>2</v>
      </c>
      <c r="EO1030" s="24"/>
      <c r="EP1030" s="24"/>
      <c r="FW1030" s="317">
        <v>2013</v>
      </c>
      <c r="FX1030" s="317">
        <v>36</v>
      </c>
      <c r="FY1030" s="317" t="s">
        <v>32</v>
      </c>
      <c r="FZ1030" s="317">
        <v>101</v>
      </c>
      <c r="GA1030" s="317">
        <v>85</v>
      </c>
      <c r="GX1030">
        <v>2013</v>
      </c>
      <c r="GY1030">
        <v>36</v>
      </c>
      <c r="GZ1030" t="s">
        <v>32</v>
      </c>
      <c r="HA1030">
        <v>925</v>
      </c>
      <c r="HB1030">
        <v>857</v>
      </c>
      <c r="HC1030">
        <v>0</v>
      </c>
      <c r="HD1030">
        <v>0</v>
      </c>
      <c r="HE1030">
        <v>0</v>
      </c>
      <c r="HF1030">
        <v>0</v>
      </c>
      <c r="HG1030">
        <v>0</v>
      </c>
      <c r="HH1030">
        <v>0</v>
      </c>
      <c r="HI1030">
        <v>0</v>
      </c>
      <c r="HZ1030" s="327">
        <v>2013</v>
      </c>
      <c r="IA1030" s="327">
        <v>36</v>
      </c>
      <c r="IB1030" s="327" t="s">
        <v>32</v>
      </c>
      <c r="IC1030" s="327">
        <v>49</v>
      </c>
      <c r="ID1030" s="327">
        <v>43</v>
      </c>
    </row>
    <row r="1031" spans="9:238" x14ac:dyDescent="0.4">
      <c r="I1031" s="305">
        <v>2013</v>
      </c>
      <c r="J1031" s="306">
        <v>36</v>
      </c>
      <c r="K1031" s="306" t="s">
        <v>32</v>
      </c>
      <c r="L1031" s="306">
        <v>2084</v>
      </c>
      <c r="M1031" s="306">
        <v>1811</v>
      </c>
      <c r="N1031" s="306"/>
      <c r="O1031" s="306">
        <v>273</v>
      </c>
      <c r="P1031" s="306"/>
      <c r="Q1031" s="306"/>
      <c r="DJ1031" s="24"/>
      <c r="DK1031" s="24"/>
      <c r="DL1031" s="24"/>
      <c r="DM1031" s="24"/>
      <c r="EI1031" s="24">
        <v>2022</v>
      </c>
      <c r="EJ1031" s="24">
        <v>29</v>
      </c>
      <c r="EK1031" s="24" t="s">
        <v>208</v>
      </c>
      <c r="EL1031" s="24" t="s">
        <v>351</v>
      </c>
      <c r="EM1031" s="24" t="s">
        <v>234</v>
      </c>
      <c r="EN1031" s="24">
        <v>11</v>
      </c>
      <c r="EO1031" s="24"/>
      <c r="EP1031" s="24"/>
      <c r="FW1031" s="24">
        <v>2013</v>
      </c>
      <c r="FX1031" s="24">
        <v>36</v>
      </c>
      <c r="FY1031" s="24" t="s">
        <v>33</v>
      </c>
      <c r="FZ1031" s="24">
        <v>955</v>
      </c>
      <c r="GA1031" s="24">
        <v>559</v>
      </c>
      <c r="GX1031">
        <v>2013</v>
      </c>
      <c r="GY1031">
        <v>36</v>
      </c>
      <c r="GZ1031" t="s">
        <v>33</v>
      </c>
      <c r="HA1031">
        <v>22702</v>
      </c>
      <c r="HB1031">
        <v>20449</v>
      </c>
      <c r="HC1031">
        <v>0</v>
      </c>
      <c r="HD1031">
        <v>189</v>
      </c>
      <c r="HE1031">
        <v>0</v>
      </c>
      <c r="HF1031">
        <v>49</v>
      </c>
      <c r="HG1031">
        <v>0</v>
      </c>
      <c r="HH1031">
        <v>0</v>
      </c>
      <c r="HI1031">
        <v>0</v>
      </c>
      <c r="HZ1031" s="327">
        <v>2013</v>
      </c>
      <c r="IA1031" s="327">
        <v>36</v>
      </c>
      <c r="IB1031" s="327" t="s">
        <v>33</v>
      </c>
      <c r="IC1031" s="327">
        <v>890</v>
      </c>
      <c r="ID1031" s="327">
        <v>504</v>
      </c>
    </row>
    <row r="1032" spans="9:238" x14ac:dyDescent="0.4">
      <c r="I1032" s="305">
        <v>2013</v>
      </c>
      <c r="J1032" s="306">
        <v>36</v>
      </c>
      <c r="K1032" s="306" t="s">
        <v>33</v>
      </c>
      <c r="L1032" s="306">
        <v>24337</v>
      </c>
      <c r="M1032" s="306">
        <v>20935</v>
      </c>
      <c r="N1032" s="306"/>
      <c r="O1032" s="306">
        <v>3375</v>
      </c>
      <c r="P1032" s="306"/>
      <c r="Q1032" s="306"/>
      <c r="DJ1032" s="24"/>
      <c r="DK1032" s="24"/>
      <c r="DL1032" s="24"/>
      <c r="DM1032" s="24"/>
      <c r="EI1032" s="24">
        <v>2022</v>
      </c>
      <c r="EJ1032" s="24">
        <v>29</v>
      </c>
      <c r="EK1032" s="24" t="s">
        <v>208</v>
      </c>
      <c r="EL1032" s="24" t="s">
        <v>351</v>
      </c>
      <c r="EM1032" s="24" t="s">
        <v>215</v>
      </c>
      <c r="EN1032" s="24">
        <v>1</v>
      </c>
      <c r="EO1032" s="24"/>
      <c r="EP1032" s="24"/>
      <c r="FW1032" s="24">
        <v>2013</v>
      </c>
      <c r="FX1032" s="24">
        <v>35</v>
      </c>
      <c r="FY1032" s="24" t="s">
        <v>32</v>
      </c>
      <c r="FZ1032" s="24">
        <v>73</v>
      </c>
      <c r="GA1032" s="24">
        <v>45</v>
      </c>
      <c r="GX1032">
        <v>2013</v>
      </c>
      <c r="GY1032">
        <v>35</v>
      </c>
      <c r="GZ1032" t="s">
        <v>32</v>
      </c>
      <c r="HA1032">
        <v>4</v>
      </c>
      <c r="HB1032">
        <v>4</v>
      </c>
      <c r="HC1032">
        <v>0</v>
      </c>
      <c r="HD1032">
        <v>0</v>
      </c>
      <c r="HE1032">
        <v>0</v>
      </c>
      <c r="HF1032">
        <v>0</v>
      </c>
      <c r="HG1032">
        <v>0</v>
      </c>
      <c r="HH1032">
        <v>0</v>
      </c>
      <c r="HI1032">
        <v>0</v>
      </c>
      <c r="HZ1032" s="327">
        <v>2013</v>
      </c>
      <c r="IA1032" s="327">
        <v>35</v>
      </c>
      <c r="IB1032" s="327" t="s">
        <v>33</v>
      </c>
      <c r="IC1032" s="327">
        <v>457</v>
      </c>
      <c r="ID1032" s="327">
        <v>292</v>
      </c>
    </row>
    <row r="1033" spans="9:238" x14ac:dyDescent="0.4">
      <c r="I1033" s="305">
        <v>2013</v>
      </c>
      <c r="J1033" s="306">
        <v>35</v>
      </c>
      <c r="K1033" s="306" t="s">
        <v>32</v>
      </c>
      <c r="L1033" s="306">
        <v>1782</v>
      </c>
      <c r="M1033" s="306">
        <v>1561</v>
      </c>
      <c r="N1033" s="306"/>
      <c r="O1033" s="306">
        <v>219</v>
      </c>
      <c r="P1033" s="306"/>
      <c r="Q1033" s="306"/>
      <c r="DJ1033" s="24"/>
      <c r="DK1033" s="24"/>
      <c r="DL1033" s="24"/>
      <c r="DM1033" s="24"/>
      <c r="EI1033" s="24">
        <v>2022</v>
      </c>
      <c r="EJ1033" s="24">
        <v>29</v>
      </c>
      <c r="EK1033" s="24" t="s">
        <v>208</v>
      </c>
      <c r="EL1033" s="24" t="s">
        <v>235</v>
      </c>
      <c r="EM1033" s="24" t="s">
        <v>210</v>
      </c>
      <c r="EN1033" s="24">
        <v>3</v>
      </c>
      <c r="EO1033" s="24"/>
      <c r="EP1033" s="24"/>
      <c r="FW1033" s="318">
        <v>2013</v>
      </c>
      <c r="FX1033" s="318">
        <v>35</v>
      </c>
      <c r="FY1033" s="318" t="s">
        <v>33</v>
      </c>
      <c r="FZ1033" s="318">
        <v>796</v>
      </c>
      <c r="GA1033" s="318">
        <v>406</v>
      </c>
      <c r="GX1033">
        <v>2013</v>
      </c>
      <c r="GY1033">
        <v>35</v>
      </c>
      <c r="GZ1033" t="s">
        <v>33</v>
      </c>
      <c r="HA1033">
        <v>8465</v>
      </c>
      <c r="HB1033">
        <v>7414</v>
      </c>
      <c r="HC1033">
        <v>0</v>
      </c>
      <c r="HD1033">
        <v>24</v>
      </c>
      <c r="HE1033">
        <v>1</v>
      </c>
      <c r="HF1033">
        <v>12</v>
      </c>
      <c r="HG1033">
        <v>0</v>
      </c>
      <c r="HH1033">
        <v>0</v>
      </c>
      <c r="HI1033">
        <v>0</v>
      </c>
    </row>
    <row r="1034" spans="9:238" x14ac:dyDescent="0.4">
      <c r="I1034" s="305">
        <v>2013</v>
      </c>
      <c r="J1034" s="306">
        <v>35</v>
      </c>
      <c r="K1034" s="306" t="s">
        <v>33</v>
      </c>
      <c r="L1034" s="306">
        <v>24493</v>
      </c>
      <c r="M1034" s="306">
        <v>17424</v>
      </c>
      <c r="N1034" s="306"/>
      <c r="O1034" s="306">
        <v>7047</v>
      </c>
      <c r="P1034" s="306"/>
      <c r="Q1034" s="306"/>
      <c r="DJ1034" s="24"/>
      <c r="DK1034" s="24"/>
      <c r="DL1034" s="24"/>
      <c r="DM1034" s="24"/>
      <c r="EI1034" s="24">
        <v>2022</v>
      </c>
      <c r="EJ1034" s="24">
        <v>29</v>
      </c>
      <c r="EK1034" s="24" t="s">
        <v>208</v>
      </c>
      <c r="EL1034" s="24" t="s">
        <v>235</v>
      </c>
      <c r="EM1034" s="24" t="s">
        <v>234</v>
      </c>
      <c r="EN1034" s="24">
        <v>30</v>
      </c>
      <c r="EO1034" s="24"/>
      <c r="EP1034" s="24"/>
      <c r="FW1034" s="318">
        <v>2013</v>
      </c>
      <c r="FX1034" s="318">
        <v>34</v>
      </c>
      <c r="FY1034" s="318" t="s">
        <v>32</v>
      </c>
      <c r="FZ1034" s="318">
        <v>67</v>
      </c>
      <c r="GA1034" s="318">
        <v>39</v>
      </c>
      <c r="GX1034">
        <v>2013</v>
      </c>
      <c r="GY1034">
        <v>34</v>
      </c>
      <c r="GZ1034" t="s">
        <v>32</v>
      </c>
      <c r="HA1034">
        <v>2</v>
      </c>
      <c r="HB1034">
        <v>2</v>
      </c>
      <c r="HC1034">
        <v>0</v>
      </c>
      <c r="HD1034">
        <v>0</v>
      </c>
      <c r="HE1034">
        <v>0</v>
      </c>
      <c r="HF1034">
        <v>0</v>
      </c>
      <c r="HG1034">
        <v>0</v>
      </c>
      <c r="HH1034">
        <v>0</v>
      </c>
      <c r="HI1034">
        <v>0</v>
      </c>
    </row>
    <row r="1035" spans="9:238" x14ac:dyDescent="0.4">
      <c r="I1035" s="305">
        <v>2013</v>
      </c>
      <c r="J1035" s="306">
        <v>34</v>
      </c>
      <c r="K1035" s="306" t="s">
        <v>32</v>
      </c>
      <c r="L1035" s="306">
        <v>2630</v>
      </c>
      <c r="M1035" s="306">
        <v>1964</v>
      </c>
      <c r="N1035" s="306"/>
      <c r="O1035" s="306">
        <v>666</v>
      </c>
      <c r="P1035" s="306"/>
      <c r="Q1035" s="306"/>
      <c r="DJ1035" s="24"/>
      <c r="DK1035" s="24"/>
      <c r="DL1035" s="24"/>
      <c r="DM1035" s="24"/>
      <c r="EI1035" s="24">
        <v>2022</v>
      </c>
      <c r="EJ1035" s="24">
        <v>29</v>
      </c>
      <c r="EK1035" s="24" t="s">
        <v>208</v>
      </c>
      <c r="EL1035" s="24" t="s">
        <v>235</v>
      </c>
      <c r="EM1035" s="24" t="s">
        <v>215</v>
      </c>
      <c r="EN1035" s="24">
        <v>3</v>
      </c>
      <c r="EO1035" s="24"/>
      <c r="EP1035" s="24"/>
      <c r="FW1035" s="318">
        <v>2013</v>
      </c>
      <c r="FX1035" s="318">
        <v>34</v>
      </c>
      <c r="FY1035" s="318" t="s">
        <v>33</v>
      </c>
      <c r="FZ1035" s="318">
        <v>610</v>
      </c>
      <c r="GA1035" s="318">
        <v>293</v>
      </c>
      <c r="GX1035">
        <v>2013</v>
      </c>
      <c r="GY1035">
        <v>34</v>
      </c>
      <c r="GZ1035" t="s">
        <v>33</v>
      </c>
      <c r="HA1035">
        <v>42</v>
      </c>
      <c r="HB1035">
        <v>39</v>
      </c>
      <c r="HC1035">
        <v>0</v>
      </c>
      <c r="HD1035">
        <v>0</v>
      </c>
      <c r="HE1035">
        <v>0</v>
      </c>
      <c r="HF1035">
        <v>0</v>
      </c>
      <c r="HG1035">
        <v>0</v>
      </c>
      <c r="HH1035">
        <v>0</v>
      </c>
      <c r="HI1035">
        <v>0</v>
      </c>
    </row>
    <row r="1036" spans="9:238" x14ac:dyDescent="0.4">
      <c r="I1036" s="305">
        <v>2013</v>
      </c>
      <c r="J1036" s="306">
        <v>34</v>
      </c>
      <c r="K1036" s="306" t="s">
        <v>33</v>
      </c>
      <c r="L1036" s="306">
        <v>24316</v>
      </c>
      <c r="M1036" s="306">
        <v>21578</v>
      </c>
      <c r="N1036" s="306"/>
      <c r="O1036" s="306">
        <v>2718</v>
      </c>
      <c r="P1036" s="306"/>
      <c r="Q1036" s="306"/>
      <c r="DJ1036" s="24"/>
      <c r="DK1036" s="24"/>
      <c r="DL1036" s="24"/>
      <c r="DM1036" s="24"/>
      <c r="EI1036" s="24">
        <v>2022</v>
      </c>
      <c r="EJ1036" s="24">
        <v>29</v>
      </c>
      <c r="EK1036" s="24" t="s">
        <v>208</v>
      </c>
      <c r="EL1036" s="24" t="s">
        <v>209</v>
      </c>
      <c r="EM1036" s="24" t="s">
        <v>210</v>
      </c>
      <c r="EN1036" s="24">
        <v>11</v>
      </c>
      <c r="EO1036" s="24"/>
      <c r="EP1036" s="24"/>
      <c r="FW1036" s="318">
        <v>2013</v>
      </c>
      <c r="FX1036" s="318">
        <v>33</v>
      </c>
      <c r="FY1036" s="318" t="s">
        <v>32</v>
      </c>
      <c r="FZ1036" s="318">
        <v>42</v>
      </c>
      <c r="GA1036" s="318">
        <v>35</v>
      </c>
      <c r="GX1036">
        <v>2013</v>
      </c>
      <c r="GY1036">
        <v>33</v>
      </c>
      <c r="GZ1036" t="s">
        <v>32</v>
      </c>
      <c r="HA1036">
        <v>1</v>
      </c>
      <c r="HB1036">
        <v>1</v>
      </c>
      <c r="HC1036">
        <v>0</v>
      </c>
      <c r="HD1036">
        <v>0</v>
      </c>
      <c r="HE1036">
        <v>0</v>
      </c>
      <c r="HF1036">
        <v>0</v>
      </c>
      <c r="HG1036">
        <v>0</v>
      </c>
      <c r="HH1036">
        <v>0</v>
      </c>
      <c r="HI1036">
        <v>0</v>
      </c>
    </row>
    <row r="1037" spans="9:238" x14ac:dyDescent="0.4">
      <c r="I1037" s="305">
        <v>2013</v>
      </c>
      <c r="J1037" s="306">
        <v>33</v>
      </c>
      <c r="K1037" s="306" t="s">
        <v>32</v>
      </c>
      <c r="L1037" s="306">
        <v>1189</v>
      </c>
      <c r="M1037" s="306">
        <v>1042</v>
      </c>
      <c r="N1037" s="306"/>
      <c r="O1037" s="306">
        <v>147</v>
      </c>
      <c r="P1037" s="306"/>
      <c r="Q1037" s="306"/>
      <c r="DJ1037" s="24"/>
      <c r="DK1037" s="24"/>
      <c r="DL1037" s="24"/>
      <c r="DM1037" s="24"/>
      <c r="EI1037" s="24">
        <v>2022</v>
      </c>
      <c r="EJ1037" s="24">
        <v>29</v>
      </c>
      <c r="EK1037" s="24" t="s">
        <v>208</v>
      </c>
      <c r="EL1037" s="24" t="s">
        <v>209</v>
      </c>
      <c r="EM1037" s="24" t="s">
        <v>234</v>
      </c>
      <c r="EN1037" s="24">
        <v>1</v>
      </c>
      <c r="EO1037" s="24"/>
      <c r="EP1037" s="24"/>
      <c r="FW1037" s="318">
        <v>2013</v>
      </c>
      <c r="FX1037" s="318">
        <v>33</v>
      </c>
      <c r="FY1037" s="318" t="s">
        <v>33</v>
      </c>
      <c r="FZ1037" s="318">
        <v>593</v>
      </c>
      <c r="GA1037" s="318">
        <v>423</v>
      </c>
      <c r="GX1037">
        <v>2013</v>
      </c>
      <c r="GY1037">
        <v>33</v>
      </c>
      <c r="GZ1037" t="s">
        <v>33</v>
      </c>
      <c r="HA1037">
        <v>21</v>
      </c>
      <c r="HB1037">
        <v>14</v>
      </c>
      <c r="HC1037">
        <v>0</v>
      </c>
      <c r="HD1037">
        <v>2</v>
      </c>
      <c r="HE1037">
        <v>0</v>
      </c>
      <c r="HF1037">
        <v>0</v>
      </c>
      <c r="HG1037">
        <v>0</v>
      </c>
      <c r="HH1037">
        <v>0</v>
      </c>
      <c r="HI1037">
        <v>0</v>
      </c>
    </row>
    <row r="1038" spans="9:238" x14ac:dyDescent="0.4">
      <c r="I1038" s="305">
        <v>2013</v>
      </c>
      <c r="J1038" s="306">
        <v>33</v>
      </c>
      <c r="K1038" s="306" t="s">
        <v>33</v>
      </c>
      <c r="L1038" s="306">
        <v>27648</v>
      </c>
      <c r="M1038" s="306">
        <v>25114</v>
      </c>
      <c r="N1038" s="306"/>
      <c r="O1038" s="306">
        <v>2515</v>
      </c>
      <c r="P1038" s="306"/>
      <c r="Q1038" s="306"/>
      <c r="DJ1038" s="24"/>
      <c r="DK1038" s="24"/>
      <c r="DL1038" s="24"/>
      <c r="DM1038" s="24"/>
      <c r="EI1038" s="24">
        <v>2022</v>
      </c>
      <c r="EJ1038" s="24">
        <v>29</v>
      </c>
      <c r="EK1038" s="24" t="s">
        <v>208</v>
      </c>
      <c r="EL1038" s="24" t="s">
        <v>247</v>
      </c>
      <c r="EM1038" s="24" t="s">
        <v>210</v>
      </c>
      <c r="EN1038" s="24">
        <v>1</v>
      </c>
      <c r="EO1038" s="24"/>
      <c r="EP1038" s="24"/>
      <c r="FW1038" s="24">
        <v>2013</v>
      </c>
      <c r="FX1038" s="24">
        <v>32</v>
      </c>
      <c r="FY1038" s="24" t="s">
        <v>32</v>
      </c>
      <c r="FZ1038" s="24">
        <v>62</v>
      </c>
      <c r="GA1038" s="24">
        <v>44</v>
      </c>
      <c r="GX1038">
        <v>2013</v>
      </c>
      <c r="GY1038">
        <v>31</v>
      </c>
      <c r="GZ1038" t="s">
        <v>33</v>
      </c>
      <c r="HA1038">
        <v>4</v>
      </c>
      <c r="HB1038">
        <v>0</v>
      </c>
      <c r="HC1038">
        <v>0</v>
      </c>
      <c r="HD1038">
        <v>0</v>
      </c>
      <c r="HE1038">
        <v>0</v>
      </c>
      <c r="HF1038">
        <v>0</v>
      </c>
      <c r="HG1038">
        <v>0</v>
      </c>
      <c r="HH1038">
        <v>0</v>
      </c>
      <c r="HI1038">
        <v>0</v>
      </c>
    </row>
    <row r="1039" spans="9:238" x14ac:dyDescent="0.4">
      <c r="I1039" s="305">
        <v>2013</v>
      </c>
      <c r="J1039" s="306">
        <v>32</v>
      </c>
      <c r="K1039" s="306" t="s">
        <v>32</v>
      </c>
      <c r="L1039" s="306">
        <v>1255</v>
      </c>
      <c r="M1039" s="306">
        <v>1119</v>
      </c>
      <c r="N1039" s="306"/>
      <c r="O1039" s="306">
        <v>136</v>
      </c>
      <c r="P1039" s="306"/>
      <c r="Q1039" s="306"/>
      <c r="DJ1039" s="24"/>
      <c r="DK1039" s="24"/>
      <c r="DL1039" s="24"/>
      <c r="DM1039" s="24"/>
      <c r="EI1039" s="24">
        <v>2022</v>
      </c>
      <c r="EJ1039" s="24">
        <v>29</v>
      </c>
      <c r="EK1039" s="24" t="s">
        <v>208</v>
      </c>
      <c r="EL1039" s="24" t="s">
        <v>247</v>
      </c>
      <c r="EM1039" s="24" t="s">
        <v>234</v>
      </c>
      <c r="EN1039" s="24">
        <v>2</v>
      </c>
      <c r="EO1039" s="24"/>
      <c r="EP1039" s="24"/>
      <c r="FW1039" s="24">
        <v>2013</v>
      </c>
      <c r="FX1039" s="24">
        <v>32</v>
      </c>
      <c r="FY1039" s="24" t="s">
        <v>33</v>
      </c>
      <c r="FZ1039" s="24">
        <v>555</v>
      </c>
      <c r="GA1039" s="24">
        <v>344</v>
      </c>
      <c r="GX1039">
        <v>2013</v>
      </c>
      <c r="GY1039">
        <v>27</v>
      </c>
      <c r="GZ1039" t="s">
        <v>33</v>
      </c>
      <c r="HA1039">
        <v>5</v>
      </c>
      <c r="HB1039">
        <v>5</v>
      </c>
      <c r="HC1039">
        <v>0</v>
      </c>
      <c r="HD1039">
        <v>0</v>
      </c>
      <c r="HE1039">
        <v>0</v>
      </c>
      <c r="HF1039">
        <v>0</v>
      </c>
      <c r="HG1039">
        <v>0</v>
      </c>
      <c r="HH1039">
        <v>0</v>
      </c>
      <c r="HI1039">
        <v>0</v>
      </c>
    </row>
    <row r="1040" spans="9:238" x14ac:dyDescent="0.4">
      <c r="I1040" s="305">
        <v>2013</v>
      </c>
      <c r="J1040" s="306">
        <v>32</v>
      </c>
      <c r="K1040" s="306" t="s">
        <v>33</v>
      </c>
      <c r="L1040" s="306">
        <v>23044</v>
      </c>
      <c r="M1040" s="306">
        <v>20249</v>
      </c>
      <c r="N1040" s="306"/>
      <c r="O1040" s="306">
        <v>2793</v>
      </c>
      <c r="P1040" s="306"/>
      <c r="Q1040" s="306"/>
      <c r="DJ1040" s="24"/>
      <c r="DK1040" s="24"/>
      <c r="DL1040" s="24"/>
      <c r="DM1040" s="24"/>
      <c r="EI1040" s="24">
        <v>2022</v>
      </c>
      <c r="EJ1040" s="24">
        <v>29</v>
      </c>
      <c r="EK1040" s="24" t="s">
        <v>33</v>
      </c>
      <c r="EL1040" s="24" t="s">
        <v>240</v>
      </c>
      <c r="EM1040" s="24" t="s">
        <v>210</v>
      </c>
      <c r="EN1040" s="24">
        <v>26</v>
      </c>
      <c r="EO1040" s="24"/>
      <c r="EP1040" s="24"/>
      <c r="FW1040" s="24">
        <v>2013</v>
      </c>
      <c r="FX1040" s="24">
        <v>31</v>
      </c>
      <c r="FY1040" s="24" t="s">
        <v>32</v>
      </c>
      <c r="FZ1040" s="24">
        <v>48</v>
      </c>
      <c r="GA1040" s="24">
        <v>45</v>
      </c>
    </row>
    <row r="1041" spans="9:183" x14ac:dyDescent="0.4">
      <c r="I1041" s="305">
        <v>2013</v>
      </c>
      <c r="J1041" s="306">
        <v>31</v>
      </c>
      <c r="K1041" s="306" t="s">
        <v>32</v>
      </c>
      <c r="L1041" s="306">
        <v>1831</v>
      </c>
      <c r="M1041" s="306">
        <v>1631</v>
      </c>
      <c r="N1041" s="306"/>
      <c r="O1041" s="306">
        <v>200</v>
      </c>
      <c r="P1041" s="306"/>
      <c r="Q1041" s="306"/>
      <c r="DJ1041" s="24"/>
      <c r="DK1041" s="24"/>
      <c r="DL1041" s="24"/>
      <c r="DM1041" s="24"/>
      <c r="EI1041" s="24">
        <v>2022</v>
      </c>
      <c r="EJ1041" s="24">
        <v>29</v>
      </c>
      <c r="EK1041" s="24" t="s">
        <v>33</v>
      </c>
      <c r="EL1041" s="24" t="s">
        <v>233</v>
      </c>
      <c r="EM1041" s="24" t="s">
        <v>210</v>
      </c>
      <c r="EN1041" s="24">
        <v>26</v>
      </c>
      <c r="EO1041" s="24"/>
      <c r="EP1041" s="24"/>
      <c r="FW1041" s="24">
        <v>2013</v>
      </c>
      <c r="FX1041" s="24">
        <v>31</v>
      </c>
      <c r="FY1041" s="24" t="s">
        <v>33</v>
      </c>
      <c r="FZ1041" s="24">
        <v>647</v>
      </c>
      <c r="GA1041" s="24">
        <v>479</v>
      </c>
    </row>
    <row r="1042" spans="9:183" x14ac:dyDescent="0.4">
      <c r="I1042" s="305">
        <v>2013</v>
      </c>
      <c r="J1042" s="306">
        <v>31</v>
      </c>
      <c r="K1042" s="306" t="s">
        <v>33</v>
      </c>
      <c r="L1042" s="306">
        <v>24194</v>
      </c>
      <c r="M1042" s="306">
        <v>21810</v>
      </c>
      <c r="N1042" s="306"/>
      <c r="O1042" s="306">
        <v>2363</v>
      </c>
      <c r="P1042" s="306"/>
      <c r="Q1042" s="306"/>
      <c r="DJ1042" s="24"/>
      <c r="DK1042" s="24"/>
      <c r="DL1042" s="24"/>
      <c r="DM1042" s="24"/>
      <c r="EI1042" s="24">
        <v>2022</v>
      </c>
      <c r="EJ1042" s="24">
        <v>29</v>
      </c>
      <c r="EK1042" s="24" t="s">
        <v>237</v>
      </c>
      <c r="EL1042" s="24" t="s">
        <v>557</v>
      </c>
      <c r="EM1042" s="24" t="s">
        <v>234</v>
      </c>
      <c r="EN1042" s="24">
        <v>9</v>
      </c>
      <c r="EO1042" s="24"/>
      <c r="EP1042" s="24"/>
      <c r="FW1042" s="24">
        <v>2013</v>
      </c>
      <c r="FX1042" s="24">
        <v>30</v>
      </c>
      <c r="FY1042" s="24" t="s">
        <v>32</v>
      </c>
      <c r="FZ1042" s="24">
        <v>91</v>
      </c>
      <c r="GA1042" s="24">
        <v>76</v>
      </c>
    </row>
    <row r="1043" spans="9:183" x14ac:dyDescent="0.4">
      <c r="I1043" s="305">
        <v>2013</v>
      </c>
      <c r="J1043" s="306">
        <v>30</v>
      </c>
      <c r="K1043" s="306" t="s">
        <v>32</v>
      </c>
      <c r="L1043" s="306">
        <v>1248</v>
      </c>
      <c r="M1043" s="306">
        <v>1105</v>
      </c>
      <c r="N1043" s="306"/>
      <c r="O1043" s="306">
        <v>143</v>
      </c>
      <c r="P1043" s="306"/>
      <c r="Q1043" s="306"/>
      <c r="DJ1043" s="24"/>
      <c r="DK1043" s="24"/>
      <c r="DL1043" s="24"/>
      <c r="DM1043" s="24"/>
      <c r="EI1043" s="24">
        <v>2022</v>
      </c>
      <c r="EJ1043" s="24">
        <v>29</v>
      </c>
      <c r="EK1043" s="24" t="s">
        <v>237</v>
      </c>
      <c r="EL1043" s="24" t="s">
        <v>557</v>
      </c>
      <c r="EM1043" s="24" t="s">
        <v>215</v>
      </c>
      <c r="EN1043" s="24">
        <v>2</v>
      </c>
      <c r="EO1043" s="24"/>
      <c r="EP1043" s="24"/>
      <c r="FW1043" s="24">
        <v>2013</v>
      </c>
      <c r="FX1043" s="24">
        <v>30</v>
      </c>
      <c r="FY1043" s="24" t="s">
        <v>33</v>
      </c>
      <c r="FZ1043" s="24">
        <v>632</v>
      </c>
      <c r="GA1043" s="24">
        <v>518</v>
      </c>
    </row>
    <row r="1044" spans="9:183" x14ac:dyDescent="0.4">
      <c r="I1044" s="305">
        <v>2013</v>
      </c>
      <c r="J1044" s="306">
        <v>30</v>
      </c>
      <c r="K1044" s="306" t="s">
        <v>33</v>
      </c>
      <c r="L1044" s="306">
        <v>23487</v>
      </c>
      <c r="M1044" s="306">
        <v>22062</v>
      </c>
      <c r="N1044" s="306"/>
      <c r="O1044" s="306">
        <v>1423</v>
      </c>
      <c r="P1044" s="306"/>
      <c r="Q1044" s="306"/>
      <c r="DJ1044" s="24"/>
      <c r="DK1044" s="24"/>
      <c r="DL1044" s="24"/>
      <c r="DM1044" s="24"/>
      <c r="EI1044" s="24">
        <v>2022</v>
      </c>
      <c r="EJ1044" s="24">
        <v>29</v>
      </c>
      <c r="EK1044" s="24" t="s">
        <v>237</v>
      </c>
      <c r="EL1044" s="24" t="s">
        <v>233</v>
      </c>
      <c r="EM1044" s="24" t="s">
        <v>234</v>
      </c>
      <c r="EN1044" s="24">
        <v>2</v>
      </c>
      <c r="EO1044" s="24"/>
      <c r="EP1044" s="24"/>
      <c r="FW1044" s="24">
        <v>2013</v>
      </c>
      <c r="FX1044" s="24">
        <v>29</v>
      </c>
      <c r="FY1044" s="24" t="s">
        <v>32</v>
      </c>
      <c r="FZ1044" s="24">
        <v>76</v>
      </c>
      <c r="GA1044" s="24">
        <v>56</v>
      </c>
    </row>
    <row r="1045" spans="9:183" x14ac:dyDescent="0.4">
      <c r="I1045" s="305">
        <v>2013</v>
      </c>
      <c r="J1045" s="306">
        <v>29</v>
      </c>
      <c r="K1045" s="306" t="s">
        <v>32</v>
      </c>
      <c r="L1045" s="306">
        <v>1212</v>
      </c>
      <c r="M1045" s="306">
        <v>1051</v>
      </c>
      <c r="N1045" s="306"/>
      <c r="O1045" s="306">
        <v>161</v>
      </c>
      <c r="P1045" s="306"/>
      <c r="Q1045" s="306"/>
      <c r="DJ1045" s="24"/>
      <c r="DK1045" s="24"/>
      <c r="DL1045" s="24"/>
      <c r="DM1045" s="24"/>
      <c r="EI1045" s="24">
        <v>2022</v>
      </c>
      <c r="EJ1045" s="24">
        <v>29</v>
      </c>
      <c r="EK1045" s="24" t="s">
        <v>237</v>
      </c>
      <c r="EL1045" s="24" t="s">
        <v>233</v>
      </c>
      <c r="EM1045" s="24" t="s">
        <v>215</v>
      </c>
      <c r="EN1045" s="24">
        <v>1</v>
      </c>
      <c r="EO1045" s="24"/>
      <c r="EP1045" s="24"/>
      <c r="FW1045" s="24">
        <v>2013</v>
      </c>
      <c r="FX1045" s="24">
        <v>29</v>
      </c>
      <c r="FY1045" s="24" t="s">
        <v>33</v>
      </c>
      <c r="FZ1045" s="24">
        <v>484</v>
      </c>
      <c r="GA1045" s="24">
        <v>390</v>
      </c>
    </row>
    <row r="1046" spans="9:183" x14ac:dyDescent="0.4">
      <c r="I1046" s="305">
        <v>2013</v>
      </c>
      <c r="J1046" s="306">
        <v>29</v>
      </c>
      <c r="K1046" s="306" t="s">
        <v>33</v>
      </c>
      <c r="L1046" s="306">
        <v>26493</v>
      </c>
      <c r="M1046" s="306">
        <v>24594</v>
      </c>
      <c r="N1046" s="306"/>
      <c r="O1046" s="306">
        <v>1881</v>
      </c>
      <c r="P1046" s="306"/>
      <c r="Q1046" s="306"/>
      <c r="DJ1046" s="24"/>
      <c r="DK1046" s="24"/>
      <c r="DL1046" s="24"/>
      <c r="DM1046" s="24"/>
      <c r="EI1046" s="24">
        <v>2022</v>
      </c>
      <c r="EJ1046" s="24">
        <v>29</v>
      </c>
      <c r="EK1046" s="24" t="s">
        <v>237</v>
      </c>
      <c r="EL1046" s="24" t="s">
        <v>235</v>
      </c>
      <c r="EM1046" s="24" t="s">
        <v>210</v>
      </c>
      <c r="EN1046" s="24">
        <v>3</v>
      </c>
      <c r="EO1046" s="24"/>
      <c r="EP1046" s="24"/>
      <c r="FW1046" s="24">
        <v>2013</v>
      </c>
      <c r="FX1046" s="24">
        <v>28</v>
      </c>
      <c r="FY1046" s="24" t="s">
        <v>32</v>
      </c>
      <c r="FZ1046" s="24">
        <v>67</v>
      </c>
      <c r="GA1046" s="24">
        <v>52</v>
      </c>
    </row>
    <row r="1047" spans="9:183" x14ac:dyDescent="0.4">
      <c r="I1047" s="305">
        <v>2013</v>
      </c>
      <c r="J1047" s="306">
        <v>28</v>
      </c>
      <c r="K1047" s="306" t="s">
        <v>32</v>
      </c>
      <c r="L1047" s="306">
        <v>1252</v>
      </c>
      <c r="M1047" s="306">
        <v>929</v>
      </c>
      <c r="N1047" s="306"/>
      <c r="O1047" s="306">
        <v>323</v>
      </c>
      <c r="P1047" s="306"/>
      <c r="Q1047" s="306"/>
      <c r="DJ1047" s="24"/>
      <c r="DK1047" s="24"/>
      <c r="DL1047" s="24"/>
      <c r="DM1047" s="24"/>
      <c r="EI1047" s="24">
        <v>2022</v>
      </c>
      <c r="EJ1047" s="24">
        <v>29</v>
      </c>
      <c r="EK1047" s="24" t="s">
        <v>237</v>
      </c>
      <c r="EL1047" s="24" t="s">
        <v>235</v>
      </c>
      <c r="EM1047" s="24" t="s">
        <v>234</v>
      </c>
      <c r="EN1047" s="24">
        <v>7</v>
      </c>
      <c r="EO1047" s="24"/>
      <c r="EP1047" s="24"/>
      <c r="FW1047" s="24">
        <v>2013</v>
      </c>
      <c r="FX1047" s="24">
        <v>28</v>
      </c>
      <c r="FY1047" s="24" t="s">
        <v>33</v>
      </c>
      <c r="FZ1047" s="24">
        <v>435</v>
      </c>
      <c r="GA1047" s="24">
        <v>374</v>
      </c>
    </row>
    <row r="1048" spans="9:183" x14ac:dyDescent="0.4">
      <c r="I1048" s="305">
        <v>2013</v>
      </c>
      <c r="J1048" s="306">
        <v>28</v>
      </c>
      <c r="K1048" s="306" t="s">
        <v>33</v>
      </c>
      <c r="L1048" s="306">
        <v>20824</v>
      </c>
      <c r="M1048" s="306">
        <v>19531</v>
      </c>
      <c r="N1048" s="306"/>
      <c r="O1048" s="306">
        <v>1292</v>
      </c>
      <c r="P1048" s="306"/>
      <c r="Q1048" s="306"/>
      <c r="DJ1048" s="24"/>
      <c r="DK1048" s="24"/>
      <c r="DL1048" s="24"/>
      <c r="DM1048" s="24"/>
      <c r="EI1048" s="24">
        <v>2022</v>
      </c>
      <c r="EJ1048" s="24">
        <v>29</v>
      </c>
      <c r="EK1048" s="24" t="s">
        <v>237</v>
      </c>
      <c r="EL1048" s="24" t="s">
        <v>247</v>
      </c>
      <c r="EM1048" s="24" t="s">
        <v>234</v>
      </c>
      <c r="EN1048" s="24">
        <v>4</v>
      </c>
      <c r="EO1048" s="24"/>
      <c r="EP1048" s="24"/>
      <c r="FW1048" s="24">
        <v>2013</v>
      </c>
      <c r="FX1048" s="24">
        <v>27</v>
      </c>
      <c r="FY1048" s="24" t="s">
        <v>32</v>
      </c>
      <c r="FZ1048" s="24">
        <v>46</v>
      </c>
      <c r="GA1048" s="24">
        <v>19</v>
      </c>
    </row>
    <row r="1049" spans="9:183" x14ac:dyDescent="0.4">
      <c r="I1049" s="305">
        <v>2013</v>
      </c>
      <c r="J1049" s="306">
        <v>27</v>
      </c>
      <c r="K1049" s="306" t="s">
        <v>32</v>
      </c>
      <c r="L1049" s="306">
        <v>1469</v>
      </c>
      <c r="M1049" s="306">
        <v>1003</v>
      </c>
      <c r="N1049" s="306"/>
      <c r="O1049" s="306">
        <v>466</v>
      </c>
      <c r="P1049" s="306"/>
      <c r="Q1049" s="306"/>
      <c r="DJ1049" s="24"/>
      <c r="DK1049" s="24"/>
      <c r="DL1049" s="24"/>
      <c r="DM1049" s="24"/>
      <c r="EI1049" s="24">
        <v>2022</v>
      </c>
      <c r="EJ1049" s="24">
        <v>29</v>
      </c>
      <c r="EK1049" s="24" t="s">
        <v>237</v>
      </c>
      <c r="EL1049" s="24" t="s">
        <v>247</v>
      </c>
      <c r="EM1049" s="24" t="s">
        <v>215</v>
      </c>
      <c r="EN1049" s="24">
        <v>1</v>
      </c>
      <c r="EO1049" s="24"/>
      <c r="EP1049" s="24"/>
      <c r="FW1049" s="319">
        <v>2013</v>
      </c>
      <c r="FX1049" s="319">
        <v>27</v>
      </c>
      <c r="FY1049" s="319" t="s">
        <v>33</v>
      </c>
      <c r="FZ1049" s="319">
        <v>630</v>
      </c>
      <c r="GA1049" s="319">
        <v>511</v>
      </c>
    </row>
    <row r="1050" spans="9:183" x14ac:dyDescent="0.4">
      <c r="I1050" s="305">
        <v>2013</v>
      </c>
      <c r="J1050" s="306">
        <v>27</v>
      </c>
      <c r="K1050" s="306" t="s">
        <v>33</v>
      </c>
      <c r="L1050" s="306">
        <v>22651</v>
      </c>
      <c r="M1050" s="306">
        <v>20959</v>
      </c>
      <c r="N1050" s="306"/>
      <c r="O1050" s="306">
        <v>1673</v>
      </c>
      <c r="P1050" s="306"/>
      <c r="Q1050" s="306"/>
      <c r="DJ1050" s="24"/>
      <c r="DK1050" s="24"/>
      <c r="DL1050" s="24"/>
      <c r="DM1050" s="24"/>
      <c r="EI1050" s="24">
        <v>2022</v>
      </c>
      <c r="EJ1050" s="24">
        <v>29</v>
      </c>
      <c r="EK1050" s="24" t="s">
        <v>211</v>
      </c>
      <c r="EL1050" s="24" t="s">
        <v>212</v>
      </c>
      <c r="EM1050" s="24" t="s">
        <v>210</v>
      </c>
      <c r="EN1050" s="24">
        <v>10</v>
      </c>
      <c r="EO1050" s="24"/>
      <c r="EP1050" s="24"/>
      <c r="FW1050" s="319">
        <v>2013</v>
      </c>
      <c r="FX1050" s="319">
        <v>26</v>
      </c>
      <c r="FY1050" s="319" t="s">
        <v>32</v>
      </c>
      <c r="FZ1050" s="319">
        <v>47</v>
      </c>
      <c r="GA1050" s="319">
        <v>14</v>
      </c>
    </row>
    <row r="1051" spans="9:183" x14ac:dyDescent="0.4">
      <c r="I1051" s="305">
        <v>2013</v>
      </c>
      <c r="J1051" s="306">
        <v>26</v>
      </c>
      <c r="K1051" s="306" t="s">
        <v>32</v>
      </c>
      <c r="L1051" s="306">
        <v>1001</v>
      </c>
      <c r="M1051" s="306">
        <v>658</v>
      </c>
      <c r="N1051" s="306"/>
      <c r="O1051" s="306">
        <v>343</v>
      </c>
      <c r="P1051" s="306"/>
      <c r="Q1051" s="306"/>
      <c r="DJ1051" s="24"/>
      <c r="DK1051" s="24"/>
      <c r="DL1051" s="24"/>
      <c r="DM1051" s="24"/>
      <c r="EI1051" s="24">
        <v>2022</v>
      </c>
      <c r="EJ1051" s="24">
        <v>29</v>
      </c>
      <c r="EK1051" s="24" t="s">
        <v>211</v>
      </c>
      <c r="EL1051" s="24" t="s">
        <v>212</v>
      </c>
      <c r="EM1051" s="24" t="s">
        <v>234</v>
      </c>
      <c r="EN1051" s="24">
        <v>4</v>
      </c>
      <c r="EO1051" s="24"/>
      <c r="EP1051" s="24"/>
      <c r="FW1051" s="319">
        <v>2013</v>
      </c>
      <c r="FX1051" s="319">
        <v>26</v>
      </c>
      <c r="FY1051" s="319" t="s">
        <v>33</v>
      </c>
      <c r="FZ1051" s="319">
        <v>818</v>
      </c>
      <c r="GA1051" s="319">
        <v>689</v>
      </c>
    </row>
    <row r="1052" spans="9:183" x14ac:dyDescent="0.4">
      <c r="I1052" s="305">
        <v>2013</v>
      </c>
      <c r="J1052" s="306">
        <v>26</v>
      </c>
      <c r="K1052" s="306" t="s">
        <v>33</v>
      </c>
      <c r="L1052" s="306">
        <v>20340</v>
      </c>
      <c r="M1052" s="306">
        <v>17394</v>
      </c>
      <c r="N1052" s="306"/>
      <c r="O1052" s="306">
        <v>2928</v>
      </c>
      <c r="P1052" s="306"/>
      <c r="Q1052" s="306"/>
      <c r="DJ1052" s="24"/>
      <c r="DK1052" s="24"/>
      <c r="DL1052" s="24"/>
      <c r="DM1052" s="24"/>
      <c r="EI1052" s="24">
        <v>2022</v>
      </c>
      <c r="EJ1052" s="24">
        <v>29</v>
      </c>
      <c r="EK1052" s="24" t="s">
        <v>211</v>
      </c>
      <c r="EL1052" s="24" t="s">
        <v>212</v>
      </c>
      <c r="EM1052" s="24" t="s">
        <v>215</v>
      </c>
      <c r="EN1052" s="24">
        <v>4</v>
      </c>
      <c r="EO1052" s="24"/>
      <c r="EP1052" s="24"/>
      <c r="FW1052" s="319">
        <v>2013</v>
      </c>
      <c r="FX1052" s="319">
        <v>25</v>
      </c>
      <c r="FY1052" s="319" t="s">
        <v>32</v>
      </c>
      <c r="FZ1052" s="319">
        <v>34</v>
      </c>
      <c r="GA1052" s="319">
        <v>20</v>
      </c>
    </row>
    <row r="1053" spans="9:183" x14ac:dyDescent="0.4">
      <c r="I1053" s="305">
        <v>2013</v>
      </c>
      <c r="J1053" s="306">
        <v>25</v>
      </c>
      <c r="K1053" s="306" t="s">
        <v>32</v>
      </c>
      <c r="L1053" s="306">
        <v>1309</v>
      </c>
      <c r="M1053" s="306">
        <v>916</v>
      </c>
      <c r="N1053" s="306"/>
      <c r="O1053" s="306">
        <v>392</v>
      </c>
      <c r="P1053" s="306"/>
      <c r="Q1053" s="306"/>
      <c r="DJ1053" s="24"/>
      <c r="DK1053" s="24"/>
      <c r="DL1053" s="24"/>
      <c r="DM1053" s="24"/>
      <c r="EI1053" s="24">
        <v>2022</v>
      </c>
      <c r="EJ1053" s="24">
        <v>29</v>
      </c>
      <c r="EK1053" s="24" t="s">
        <v>211</v>
      </c>
      <c r="EL1053" s="24" t="s">
        <v>247</v>
      </c>
      <c r="EM1053" s="24" t="s">
        <v>210</v>
      </c>
      <c r="EN1053" s="24">
        <v>6</v>
      </c>
      <c r="EO1053" s="24"/>
      <c r="EP1053" s="24"/>
      <c r="FW1053" s="24">
        <v>2013</v>
      </c>
      <c r="FX1053" s="24">
        <v>25</v>
      </c>
      <c r="FY1053" s="24" t="s">
        <v>33</v>
      </c>
      <c r="FZ1053" s="24">
        <v>593</v>
      </c>
      <c r="GA1053" s="24">
        <v>441</v>
      </c>
    </row>
    <row r="1054" spans="9:183" x14ac:dyDescent="0.4">
      <c r="I1054" s="305">
        <v>2013</v>
      </c>
      <c r="J1054" s="306">
        <v>25</v>
      </c>
      <c r="K1054" s="306" t="s">
        <v>33</v>
      </c>
      <c r="L1054" s="306">
        <v>27797</v>
      </c>
      <c r="M1054" s="306">
        <v>24483</v>
      </c>
      <c r="N1054" s="306"/>
      <c r="O1054" s="306">
        <v>3303</v>
      </c>
      <c r="P1054" s="306"/>
      <c r="Q1054" s="306"/>
      <c r="DJ1054" s="24"/>
      <c r="DK1054" s="24"/>
      <c r="DL1054" s="24"/>
      <c r="DM1054" s="24"/>
      <c r="EI1054" s="24">
        <v>2022</v>
      </c>
      <c r="EJ1054" s="24">
        <v>29</v>
      </c>
      <c r="EK1054" s="24" t="s">
        <v>211</v>
      </c>
      <c r="EL1054" s="24" t="s">
        <v>247</v>
      </c>
      <c r="EM1054" s="24" t="s">
        <v>234</v>
      </c>
      <c r="EN1054" s="24">
        <v>2</v>
      </c>
      <c r="EO1054" s="24"/>
      <c r="EP1054" s="24"/>
      <c r="FW1054" s="320">
        <v>2013</v>
      </c>
      <c r="FX1054" s="320">
        <v>24</v>
      </c>
      <c r="FY1054" s="320" t="s">
        <v>32</v>
      </c>
      <c r="FZ1054" s="320">
        <v>37</v>
      </c>
      <c r="GA1054" s="320">
        <v>29</v>
      </c>
    </row>
    <row r="1055" spans="9:183" x14ac:dyDescent="0.4">
      <c r="I1055" s="305">
        <v>2013</v>
      </c>
      <c r="J1055" s="306">
        <v>24</v>
      </c>
      <c r="K1055" s="306" t="s">
        <v>32</v>
      </c>
      <c r="L1055" s="306">
        <v>805</v>
      </c>
      <c r="M1055" s="306">
        <v>552</v>
      </c>
      <c r="N1055" s="306"/>
      <c r="O1055" s="306">
        <v>253</v>
      </c>
      <c r="P1055" s="306"/>
      <c r="Q1055" s="306"/>
      <c r="DJ1055" s="24"/>
      <c r="DK1055" s="24"/>
      <c r="DL1055" s="24"/>
      <c r="DM1055" s="24"/>
      <c r="EI1055" s="24">
        <v>2022</v>
      </c>
      <c r="EJ1055" s="24">
        <v>28</v>
      </c>
      <c r="EK1055" s="24" t="s">
        <v>208</v>
      </c>
      <c r="EL1055" s="24" t="s">
        <v>351</v>
      </c>
      <c r="EM1055" s="24" t="s">
        <v>234</v>
      </c>
      <c r="EN1055" s="24">
        <v>6</v>
      </c>
      <c r="EO1055" s="24"/>
      <c r="EP1055" s="24"/>
      <c r="FW1055" s="320">
        <v>2013</v>
      </c>
      <c r="FX1055" s="320">
        <v>24</v>
      </c>
      <c r="FY1055" s="320" t="s">
        <v>33</v>
      </c>
      <c r="FZ1055" s="320">
        <v>520</v>
      </c>
      <c r="GA1055" s="320">
        <v>466</v>
      </c>
    </row>
    <row r="1056" spans="9:183" x14ac:dyDescent="0.4">
      <c r="I1056" s="305">
        <v>2013</v>
      </c>
      <c r="J1056" s="306">
        <v>24</v>
      </c>
      <c r="K1056" s="306" t="s">
        <v>33</v>
      </c>
      <c r="L1056" s="306">
        <v>21171</v>
      </c>
      <c r="M1056" s="306">
        <v>19451</v>
      </c>
      <c r="N1056" s="306"/>
      <c r="O1056" s="306">
        <v>1706</v>
      </c>
      <c r="P1056" s="306"/>
      <c r="Q1056" s="306"/>
      <c r="DJ1056" s="24"/>
      <c r="DK1056" s="24"/>
      <c r="DL1056" s="24"/>
      <c r="DM1056" s="24"/>
      <c r="EI1056" s="24">
        <v>2022</v>
      </c>
      <c r="EJ1056" s="24">
        <v>28</v>
      </c>
      <c r="EK1056" s="24" t="s">
        <v>208</v>
      </c>
      <c r="EL1056" s="24" t="s">
        <v>235</v>
      </c>
      <c r="EM1056" s="24" t="s">
        <v>210</v>
      </c>
      <c r="EN1056" s="24">
        <v>6</v>
      </c>
      <c r="EO1056" s="24"/>
      <c r="EP1056" s="24"/>
      <c r="FW1056" s="320">
        <v>2013</v>
      </c>
      <c r="FX1056" s="320">
        <v>23</v>
      </c>
      <c r="FY1056" s="320" t="s">
        <v>32</v>
      </c>
      <c r="FZ1056" s="320">
        <v>36</v>
      </c>
      <c r="GA1056" s="320">
        <v>4</v>
      </c>
    </row>
    <row r="1057" spans="9:183" x14ac:dyDescent="0.4">
      <c r="I1057" s="305">
        <v>2013</v>
      </c>
      <c r="J1057" s="306">
        <v>23</v>
      </c>
      <c r="K1057" s="306" t="s">
        <v>32</v>
      </c>
      <c r="L1057" s="306">
        <v>1083</v>
      </c>
      <c r="M1057" s="306">
        <v>752</v>
      </c>
      <c r="N1057" s="306"/>
      <c r="O1057" s="306">
        <v>331</v>
      </c>
      <c r="P1057" s="306"/>
      <c r="Q1057" s="306"/>
      <c r="DJ1057" s="24"/>
      <c r="DK1057" s="24"/>
      <c r="DL1057" s="24"/>
      <c r="DM1057" s="24"/>
      <c r="EI1057" s="24">
        <v>2022</v>
      </c>
      <c r="EJ1057" s="24">
        <v>28</v>
      </c>
      <c r="EK1057" s="24" t="s">
        <v>208</v>
      </c>
      <c r="EL1057" s="24" t="s">
        <v>235</v>
      </c>
      <c r="EM1057" s="24" t="s">
        <v>234</v>
      </c>
      <c r="EN1057" s="24">
        <v>38</v>
      </c>
      <c r="EO1057" s="24"/>
      <c r="EP1057" s="24"/>
      <c r="FW1057" s="320">
        <v>2013</v>
      </c>
      <c r="FX1057" s="320">
        <v>23</v>
      </c>
      <c r="FY1057" s="320" t="s">
        <v>33</v>
      </c>
      <c r="FZ1057" s="320">
        <v>467</v>
      </c>
      <c r="GA1057" s="320">
        <v>423</v>
      </c>
    </row>
    <row r="1058" spans="9:183" x14ac:dyDescent="0.4">
      <c r="I1058" s="305">
        <v>2013</v>
      </c>
      <c r="J1058" s="306">
        <v>23</v>
      </c>
      <c r="K1058" s="306" t="s">
        <v>33</v>
      </c>
      <c r="L1058" s="306">
        <v>22705</v>
      </c>
      <c r="M1058" s="306">
        <v>20501</v>
      </c>
      <c r="N1058" s="306"/>
      <c r="O1058" s="306">
        <v>2201</v>
      </c>
      <c r="P1058" s="306"/>
      <c r="Q1058" s="306"/>
      <c r="DJ1058" s="24"/>
      <c r="DK1058" s="24"/>
      <c r="DL1058" s="24"/>
      <c r="DM1058" s="24"/>
      <c r="EI1058" s="24">
        <v>2022</v>
      </c>
      <c r="EJ1058" s="24">
        <v>28</v>
      </c>
      <c r="EK1058" s="24" t="s">
        <v>208</v>
      </c>
      <c r="EL1058" s="24" t="s">
        <v>209</v>
      </c>
      <c r="EM1058" s="24" t="s">
        <v>210</v>
      </c>
      <c r="EN1058" s="24">
        <v>1</v>
      </c>
      <c r="EO1058" s="24"/>
      <c r="EP1058" s="24"/>
      <c r="FW1058" s="320">
        <v>2013</v>
      </c>
      <c r="FX1058" s="320">
        <v>22</v>
      </c>
      <c r="FY1058" s="320" t="s">
        <v>32</v>
      </c>
      <c r="FZ1058" s="320">
        <v>76</v>
      </c>
      <c r="GA1058" s="320">
        <v>24</v>
      </c>
    </row>
    <row r="1059" spans="9:183" x14ac:dyDescent="0.4">
      <c r="I1059" s="305">
        <v>2013</v>
      </c>
      <c r="J1059" s="306">
        <v>22</v>
      </c>
      <c r="K1059" s="306" t="s">
        <v>32</v>
      </c>
      <c r="L1059" s="306">
        <v>3021</v>
      </c>
      <c r="M1059" s="306">
        <v>1739</v>
      </c>
      <c r="N1059" s="306"/>
      <c r="O1059" s="306">
        <v>1282</v>
      </c>
      <c r="P1059" s="306"/>
      <c r="Q1059" s="306"/>
      <c r="DJ1059" s="24"/>
      <c r="DK1059" s="24"/>
      <c r="DL1059" s="24"/>
      <c r="DM1059" s="24"/>
      <c r="EI1059" s="24">
        <v>2022</v>
      </c>
      <c r="EJ1059" s="24">
        <v>28</v>
      </c>
      <c r="EK1059" s="24" t="s">
        <v>208</v>
      </c>
      <c r="EL1059" s="24" t="s">
        <v>209</v>
      </c>
      <c r="EM1059" s="24" t="s">
        <v>234</v>
      </c>
      <c r="EN1059" s="24">
        <v>2</v>
      </c>
      <c r="EO1059" s="24"/>
      <c r="EP1059" s="24"/>
      <c r="FW1059" s="320">
        <v>2013</v>
      </c>
      <c r="FX1059" s="320">
        <v>22</v>
      </c>
      <c r="FY1059" s="320" t="s">
        <v>33</v>
      </c>
      <c r="FZ1059" s="320">
        <v>612</v>
      </c>
      <c r="GA1059" s="320">
        <v>296</v>
      </c>
    </row>
    <row r="1060" spans="9:183" x14ac:dyDescent="0.4">
      <c r="I1060" s="305">
        <v>2013</v>
      </c>
      <c r="J1060" s="306">
        <v>22</v>
      </c>
      <c r="K1060" s="306" t="s">
        <v>33</v>
      </c>
      <c r="L1060" s="306">
        <v>23667</v>
      </c>
      <c r="M1060" s="306">
        <v>15751</v>
      </c>
      <c r="N1060" s="306"/>
      <c r="O1060" s="306">
        <v>7873</v>
      </c>
      <c r="P1060" s="306"/>
      <c r="Q1060" s="306"/>
      <c r="DJ1060" s="24"/>
      <c r="DK1060" s="24"/>
      <c r="DL1060" s="24"/>
      <c r="DM1060" s="24"/>
      <c r="EI1060" s="24">
        <v>2022</v>
      </c>
      <c r="EJ1060" s="24">
        <v>28</v>
      </c>
      <c r="EK1060" s="24" t="s">
        <v>33</v>
      </c>
      <c r="EL1060" s="24" t="s">
        <v>235</v>
      </c>
      <c r="EM1060" s="24" t="s">
        <v>210</v>
      </c>
      <c r="EN1060" s="24">
        <v>2</v>
      </c>
      <c r="EO1060" s="24"/>
      <c r="EP1060" s="24"/>
      <c r="FW1060" s="24">
        <v>2013</v>
      </c>
      <c r="FX1060" s="24">
        <v>21</v>
      </c>
      <c r="FY1060" s="24" t="s">
        <v>32</v>
      </c>
      <c r="FZ1060" s="24">
        <v>46</v>
      </c>
      <c r="GA1060" s="24">
        <v>25</v>
      </c>
    </row>
    <row r="1061" spans="9:183" x14ac:dyDescent="0.4">
      <c r="I1061" s="305">
        <v>2013</v>
      </c>
      <c r="J1061" s="306">
        <v>21</v>
      </c>
      <c r="K1061" s="306" t="s">
        <v>32</v>
      </c>
      <c r="L1061" s="306">
        <v>854</v>
      </c>
      <c r="M1061" s="306">
        <v>562</v>
      </c>
      <c r="N1061" s="306"/>
      <c r="O1061" s="306">
        <v>292</v>
      </c>
      <c r="P1061" s="306"/>
      <c r="Q1061" s="306"/>
      <c r="DJ1061" s="24"/>
      <c r="DK1061" s="24"/>
      <c r="DL1061" s="24"/>
      <c r="DM1061" s="24"/>
      <c r="EI1061" s="24">
        <v>2022</v>
      </c>
      <c r="EJ1061" s="24">
        <v>28</v>
      </c>
      <c r="EK1061" s="24" t="s">
        <v>33</v>
      </c>
      <c r="EL1061" s="24" t="s">
        <v>235</v>
      </c>
      <c r="EM1061" s="24" t="s">
        <v>234</v>
      </c>
      <c r="EN1061" s="24">
        <v>2</v>
      </c>
      <c r="EO1061" s="24"/>
      <c r="EP1061" s="24"/>
      <c r="FW1061" s="24">
        <v>2013</v>
      </c>
      <c r="FX1061" s="24">
        <v>21</v>
      </c>
      <c r="FY1061" s="24" t="s">
        <v>33</v>
      </c>
      <c r="FZ1061" s="24">
        <v>444</v>
      </c>
      <c r="GA1061" s="24">
        <v>288</v>
      </c>
    </row>
    <row r="1062" spans="9:183" x14ac:dyDescent="0.4">
      <c r="I1062" s="305">
        <v>2013</v>
      </c>
      <c r="J1062" s="306">
        <v>21</v>
      </c>
      <c r="K1062" s="306" t="s">
        <v>33</v>
      </c>
      <c r="L1062" s="306">
        <v>21761</v>
      </c>
      <c r="M1062" s="306">
        <v>17208</v>
      </c>
      <c r="N1062" s="306"/>
      <c r="O1062" s="306">
        <v>4531</v>
      </c>
      <c r="P1062" s="306"/>
      <c r="Q1062" s="306"/>
      <c r="DJ1062" s="24"/>
      <c r="DK1062" s="24"/>
      <c r="DL1062" s="24"/>
      <c r="DM1062" s="24"/>
      <c r="EI1062" s="24">
        <v>2022</v>
      </c>
      <c r="EJ1062" s="24">
        <v>28</v>
      </c>
      <c r="EK1062" s="24" t="s">
        <v>237</v>
      </c>
      <c r="EL1062" s="24" t="s">
        <v>235</v>
      </c>
      <c r="EM1062" s="24" t="s">
        <v>234</v>
      </c>
      <c r="EN1062" s="24">
        <v>3</v>
      </c>
      <c r="EO1062" s="24"/>
      <c r="EP1062" s="24"/>
      <c r="FW1062" s="24">
        <v>2013</v>
      </c>
      <c r="FX1062" s="24">
        <v>20</v>
      </c>
      <c r="FY1062" s="24" t="s">
        <v>32</v>
      </c>
      <c r="FZ1062" s="24">
        <v>27</v>
      </c>
      <c r="GA1062" s="24">
        <v>18</v>
      </c>
    </row>
    <row r="1063" spans="9:183" x14ac:dyDescent="0.4">
      <c r="I1063" s="305">
        <v>2013</v>
      </c>
      <c r="J1063" s="306">
        <v>20</v>
      </c>
      <c r="K1063" s="306" t="s">
        <v>32</v>
      </c>
      <c r="L1063" s="306">
        <v>883</v>
      </c>
      <c r="M1063" s="306">
        <v>602</v>
      </c>
      <c r="N1063" s="306"/>
      <c r="O1063" s="306">
        <v>281</v>
      </c>
      <c r="P1063" s="306"/>
      <c r="Q1063" s="306"/>
      <c r="DJ1063" s="24"/>
      <c r="DK1063" s="24"/>
      <c r="DL1063" s="24"/>
      <c r="DM1063" s="24"/>
      <c r="EI1063" s="24">
        <v>2022</v>
      </c>
      <c r="EJ1063" s="24">
        <v>28</v>
      </c>
      <c r="EK1063" s="24" t="s">
        <v>211</v>
      </c>
      <c r="EL1063" s="24" t="s">
        <v>212</v>
      </c>
      <c r="EM1063" s="24" t="s">
        <v>210</v>
      </c>
      <c r="EN1063" s="24">
        <v>9</v>
      </c>
      <c r="EO1063" s="24"/>
      <c r="EP1063" s="24"/>
      <c r="FW1063" s="24">
        <v>2013</v>
      </c>
      <c r="FX1063" s="24">
        <v>20</v>
      </c>
      <c r="FY1063" s="24" t="s">
        <v>33</v>
      </c>
      <c r="FZ1063" s="24">
        <v>507</v>
      </c>
      <c r="GA1063" s="24">
        <v>384</v>
      </c>
    </row>
    <row r="1064" spans="9:183" x14ac:dyDescent="0.4">
      <c r="I1064" s="305">
        <v>2013</v>
      </c>
      <c r="J1064" s="306">
        <v>20</v>
      </c>
      <c r="K1064" s="306" t="s">
        <v>33</v>
      </c>
      <c r="L1064" s="306">
        <v>28861</v>
      </c>
      <c r="M1064" s="306">
        <v>25526</v>
      </c>
      <c r="N1064" s="306"/>
      <c r="O1064" s="306">
        <v>3325</v>
      </c>
      <c r="P1064" s="306"/>
      <c r="Q1064" s="306"/>
      <c r="DJ1064" s="24"/>
      <c r="DK1064" s="24"/>
      <c r="DL1064" s="24"/>
      <c r="DM1064" s="24"/>
      <c r="EI1064" s="24">
        <v>2022</v>
      </c>
      <c r="EJ1064" s="24">
        <v>28</v>
      </c>
      <c r="EK1064" s="24" t="s">
        <v>211</v>
      </c>
      <c r="EL1064" s="24" t="s">
        <v>212</v>
      </c>
      <c r="EM1064" s="24" t="s">
        <v>234</v>
      </c>
      <c r="EN1064" s="24">
        <v>16</v>
      </c>
      <c r="EO1064" s="24"/>
      <c r="EP1064" s="24"/>
      <c r="FW1064" s="24">
        <v>2013</v>
      </c>
      <c r="FX1064" s="24">
        <v>19</v>
      </c>
      <c r="FY1064" s="24" t="s">
        <v>32</v>
      </c>
      <c r="FZ1064" s="24">
        <v>60</v>
      </c>
      <c r="GA1064" s="24">
        <v>53</v>
      </c>
    </row>
    <row r="1065" spans="9:183" x14ac:dyDescent="0.4">
      <c r="I1065" s="305">
        <v>2013</v>
      </c>
      <c r="J1065" s="306">
        <v>19</v>
      </c>
      <c r="K1065" s="306" t="s">
        <v>32</v>
      </c>
      <c r="L1065" s="306">
        <v>970</v>
      </c>
      <c r="M1065" s="306">
        <v>709</v>
      </c>
      <c r="N1065" s="306"/>
      <c r="O1065" s="306">
        <v>261</v>
      </c>
      <c r="P1065" s="306"/>
      <c r="Q1065" s="306"/>
      <c r="DJ1065" s="24"/>
      <c r="DK1065" s="24"/>
      <c r="DL1065" s="24"/>
      <c r="DM1065" s="24"/>
      <c r="EI1065" s="24">
        <v>2022</v>
      </c>
      <c r="EJ1065" s="24">
        <v>28</v>
      </c>
      <c r="EK1065" s="24" t="s">
        <v>211</v>
      </c>
      <c r="EL1065" s="24" t="s">
        <v>247</v>
      </c>
      <c r="EM1065" s="24" t="s">
        <v>210</v>
      </c>
      <c r="EN1065" s="24">
        <v>4</v>
      </c>
      <c r="EO1065" s="24"/>
      <c r="EP1065" s="24"/>
      <c r="FW1065" s="321">
        <v>2013</v>
      </c>
      <c r="FX1065" s="321">
        <v>19</v>
      </c>
      <c r="FY1065" s="321" t="s">
        <v>33</v>
      </c>
      <c r="FZ1065" s="321">
        <v>474</v>
      </c>
      <c r="GA1065" s="321">
        <v>405</v>
      </c>
    </row>
    <row r="1066" spans="9:183" x14ac:dyDescent="0.4">
      <c r="I1066" s="305">
        <v>2013</v>
      </c>
      <c r="J1066" s="306">
        <v>19</v>
      </c>
      <c r="K1066" s="306" t="s">
        <v>33</v>
      </c>
      <c r="L1066" s="306">
        <v>21839</v>
      </c>
      <c r="M1066" s="306">
        <v>19769</v>
      </c>
      <c r="N1066" s="306"/>
      <c r="O1066" s="306">
        <v>2056</v>
      </c>
      <c r="P1066" s="306"/>
      <c r="Q1066" s="306"/>
      <c r="DJ1066" s="24"/>
      <c r="DK1066" s="24"/>
      <c r="DL1066" s="24"/>
      <c r="DM1066" s="24"/>
      <c r="EI1066" s="24">
        <v>2022</v>
      </c>
      <c r="EJ1066" s="24">
        <v>28</v>
      </c>
      <c r="EK1066" s="24" t="s">
        <v>211</v>
      </c>
      <c r="EL1066" s="24" t="s">
        <v>247</v>
      </c>
      <c r="EM1066" s="24" t="s">
        <v>234</v>
      </c>
      <c r="EN1066" s="24">
        <v>4</v>
      </c>
      <c r="EO1066" s="24"/>
      <c r="EP1066" s="24"/>
      <c r="FW1066" s="24">
        <v>2013</v>
      </c>
      <c r="FX1066" s="24">
        <v>18</v>
      </c>
      <c r="FY1066" s="24" t="s">
        <v>32</v>
      </c>
      <c r="FZ1066" s="24">
        <v>31</v>
      </c>
      <c r="GA1066" s="24">
        <v>14</v>
      </c>
    </row>
    <row r="1067" spans="9:183" x14ac:dyDescent="0.4">
      <c r="I1067" s="305">
        <v>2013</v>
      </c>
      <c r="J1067" s="306">
        <v>18</v>
      </c>
      <c r="K1067" s="306" t="s">
        <v>32</v>
      </c>
      <c r="L1067" s="306">
        <v>1220</v>
      </c>
      <c r="M1067" s="306">
        <v>856</v>
      </c>
      <c r="N1067" s="306"/>
      <c r="O1067" s="306">
        <v>364</v>
      </c>
      <c r="P1067" s="306"/>
      <c r="Q1067" s="306"/>
      <c r="DJ1067" s="24"/>
      <c r="DK1067" s="24"/>
      <c r="DL1067" s="24"/>
      <c r="DM1067" s="24"/>
      <c r="EI1067" s="24">
        <v>2022</v>
      </c>
      <c r="EJ1067" s="24">
        <v>27</v>
      </c>
      <c r="EK1067" s="24" t="s">
        <v>208</v>
      </c>
      <c r="EL1067" s="24" t="s">
        <v>351</v>
      </c>
      <c r="EM1067" s="24" t="s">
        <v>234</v>
      </c>
      <c r="EN1067" s="24">
        <v>22</v>
      </c>
      <c r="EO1067" s="24"/>
      <c r="EP1067" s="24"/>
      <c r="FW1067" s="24">
        <v>2013</v>
      </c>
      <c r="FX1067" s="24">
        <v>18</v>
      </c>
      <c r="FY1067" s="24" t="s">
        <v>33</v>
      </c>
      <c r="FZ1067" s="24">
        <v>403</v>
      </c>
      <c r="GA1067" s="24">
        <v>289</v>
      </c>
    </row>
    <row r="1068" spans="9:183" x14ac:dyDescent="0.4">
      <c r="I1068" s="305">
        <v>2013</v>
      </c>
      <c r="J1068" s="306">
        <v>18</v>
      </c>
      <c r="K1068" s="306" t="s">
        <v>33</v>
      </c>
      <c r="L1068" s="306">
        <v>22184</v>
      </c>
      <c r="M1068" s="306">
        <v>19216</v>
      </c>
      <c r="N1068" s="306"/>
      <c r="O1068" s="306">
        <v>2952</v>
      </c>
      <c r="P1068" s="306"/>
      <c r="Q1068" s="306"/>
      <c r="DJ1068" s="24"/>
      <c r="DK1068" s="24"/>
      <c r="DL1068" s="24"/>
      <c r="DM1068" s="24"/>
      <c r="EI1068" s="24">
        <v>2022</v>
      </c>
      <c r="EJ1068" s="24">
        <v>27</v>
      </c>
      <c r="EK1068" s="24" t="s">
        <v>208</v>
      </c>
      <c r="EL1068" s="24" t="s">
        <v>235</v>
      </c>
      <c r="EM1068" s="24" t="s">
        <v>210</v>
      </c>
      <c r="EN1068" s="24">
        <v>6</v>
      </c>
      <c r="EO1068" s="24"/>
      <c r="EP1068" s="24"/>
      <c r="FW1068" s="322">
        <v>2013</v>
      </c>
      <c r="FX1068" s="322">
        <v>17</v>
      </c>
      <c r="FY1068" s="322" t="s">
        <v>32</v>
      </c>
      <c r="FZ1068" s="322">
        <v>35</v>
      </c>
      <c r="GA1068" s="322">
        <v>17</v>
      </c>
    </row>
    <row r="1069" spans="9:183" x14ac:dyDescent="0.4">
      <c r="I1069" s="305">
        <v>2013</v>
      </c>
      <c r="J1069" s="306">
        <v>17</v>
      </c>
      <c r="K1069" s="306" t="s">
        <v>32</v>
      </c>
      <c r="L1069" s="306">
        <v>1119</v>
      </c>
      <c r="M1069" s="306">
        <v>789</v>
      </c>
      <c r="N1069" s="306"/>
      <c r="O1069" s="306">
        <v>330</v>
      </c>
      <c r="P1069" s="306"/>
      <c r="Q1069" s="306"/>
      <c r="DJ1069" s="24"/>
      <c r="DK1069" s="24"/>
      <c r="DL1069" s="24"/>
      <c r="DM1069" s="24"/>
      <c r="EI1069" s="24">
        <v>2022</v>
      </c>
      <c r="EJ1069" s="24">
        <v>27</v>
      </c>
      <c r="EK1069" s="24" t="s">
        <v>208</v>
      </c>
      <c r="EL1069" s="24" t="s">
        <v>235</v>
      </c>
      <c r="EM1069" s="24" t="s">
        <v>234</v>
      </c>
      <c r="EN1069" s="24">
        <v>15</v>
      </c>
      <c r="EO1069" s="24"/>
      <c r="EP1069" s="24"/>
      <c r="FW1069" s="322">
        <v>2013</v>
      </c>
      <c r="FX1069" s="322">
        <v>17</v>
      </c>
      <c r="FY1069" s="322" t="s">
        <v>33</v>
      </c>
      <c r="FZ1069" s="322">
        <v>372</v>
      </c>
      <c r="GA1069" s="322">
        <v>316</v>
      </c>
    </row>
    <row r="1070" spans="9:183" x14ac:dyDescent="0.4">
      <c r="I1070" s="305">
        <v>2013</v>
      </c>
      <c r="J1070" s="306">
        <v>17</v>
      </c>
      <c r="K1070" s="306" t="s">
        <v>33</v>
      </c>
      <c r="L1070" s="306">
        <v>22137</v>
      </c>
      <c r="M1070" s="306">
        <v>19939</v>
      </c>
      <c r="N1070" s="306"/>
      <c r="O1070" s="306">
        <v>2191</v>
      </c>
      <c r="P1070" s="306"/>
      <c r="Q1070" s="306"/>
      <c r="DJ1070" s="24"/>
      <c r="DK1070" s="24"/>
      <c r="DL1070" s="24"/>
      <c r="DM1070" s="24"/>
      <c r="EI1070" s="24">
        <v>2022</v>
      </c>
      <c r="EJ1070" s="24">
        <v>27</v>
      </c>
      <c r="EK1070" s="24" t="s">
        <v>208</v>
      </c>
      <c r="EL1070" s="24" t="s">
        <v>209</v>
      </c>
      <c r="EM1070" s="24" t="s">
        <v>210</v>
      </c>
      <c r="EN1070" s="24">
        <v>5</v>
      </c>
      <c r="EO1070" s="24"/>
      <c r="EP1070" s="24"/>
      <c r="FW1070" s="322">
        <v>2013</v>
      </c>
      <c r="FX1070" s="322">
        <v>16</v>
      </c>
      <c r="FY1070" s="322" t="s">
        <v>32</v>
      </c>
      <c r="FZ1070" s="322">
        <v>48</v>
      </c>
      <c r="GA1070" s="322">
        <v>39</v>
      </c>
    </row>
    <row r="1071" spans="9:183" x14ac:dyDescent="0.4">
      <c r="I1071" s="305">
        <v>2013</v>
      </c>
      <c r="J1071" s="306">
        <v>16</v>
      </c>
      <c r="K1071" s="306" t="s">
        <v>32</v>
      </c>
      <c r="L1071" s="306">
        <v>966</v>
      </c>
      <c r="M1071" s="306">
        <v>688</v>
      </c>
      <c r="N1071" s="306"/>
      <c r="O1071" s="306">
        <v>278</v>
      </c>
      <c r="P1071" s="306"/>
      <c r="Q1071" s="306"/>
      <c r="DJ1071" s="24"/>
      <c r="DK1071" s="24"/>
      <c r="DL1071" s="24"/>
      <c r="DM1071" s="24"/>
      <c r="EI1071" s="24">
        <v>2022</v>
      </c>
      <c r="EJ1071" s="24">
        <v>27</v>
      </c>
      <c r="EK1071" s="24" t="s">
        <v>208</v>
      </c>
      <c r="EL1071" s="24" t="s">
        <v>247</v>
      </c>
      <c r="EM1071" s="24" t="s">
        <v>234</v>
      </c>
      <c r="EN1071" s="24">
        <v>3</v>
      </c>
      <c r="EO1071" s="24"/>
      <c r="EP1071" s="24"/>
      <c r="FW1071" s="322">
        <v>2013</v>
      </c>
      <c r="FX1071" s="322">
        <v>16</v>
      </c>
      <c r="FY1071" s="322" t="s">
        <v>33</v>
      </c>
      <c r="FZ1071" s="322">
        <v>374</v>
      </c>
      <c r="GA1071" s="322">
        <v>245</v>
      </c>
    </row>
    <row r="1072" spans="9:183" x14ac:dyDescent="0.4">
      <c r="I1072" s="305">
        <v>2013</v>
      </c>
      <c r="J1072" s="306">
        <v>16</v>
      </c>
      <c r="K1072" s="306" t="s">
        <v>33</v>
      </c>
      <c r="L1072" s="306">
        <v>26505</v>
      </c>
      <c r="M1072" s="306">
        <v>22602</v>
      </c>
      <c r="N1072" s="306"/>
      <c r="O1072" s="306">
        <v>3892</v>
      </c>
      <c r="P1072" s="306"/>
      <c r="Q1072" s="306"/>
      <c r="DJ1072" s="24"/>
      <c r="DK1072" s="24"/>
      <c r="DL1072" s="24"/>
      <c r="DM1072" s="24"/>
      <c r="EI1072" s="24">
        <v>2022</v>
      </c>
      <c r="EJ1072" s="24">
        <v>27</v>
      </c>
      <c r="EK1072" s="24" t="s">
        <v>208</v>
      </c>
      <c r="EL1072" s="24" t="s">
        <v>245</v>
      </c>
      <c r="EM1072" s="24" t="s">
        <v>234</v>
      </c>
      <c r="EN1072" s="24">
        <v>2</v>
      </c>
      <c r="EO1072" s="24"/>
      <c r="EP1072" s="24"/>
      <c r="FW1072" s="322">
        <v>2013</v>
      </c>
      <c r="FX1072" s="322">
        <v>15</v>
      </c>
      <c r="FY1072" s="322" t="s">
        <v>32</v>
      </c>
      <c r="FZ1072" s="322">
        <v>20</v>
      </c>
      <c r="GA1072" s="322">
        <v>16</v>
      </c>
    </row>
    <row r="1073" spans="9:183" x14ac:dyDescent="0.4">
      <c r="I1073" s="305">
        <v>2013</v>
      </c>
      <c r="J1073" s="306">
        <v>15</v>
      </c>
      <c r="K1073" s="306" t="s">
        <v>32</v>
      </c>
      <c r="L1073" s="306">
        <v>816</v>
      </c>
      <c r="M1073" s="306">
        <v>590</v>
      </c>
      <c r="N1073" s="306"/>
      <c r="O1073" s="306">
        <v>226</v>
      </c>
      <c r="P1073" s="306"/>
      <c r="Q1073" s="306"/>
      <c r="DJ1073" s="24"/>
      <c r="DK1073" s="24"/>
      <c r="DL1073" s="24"/>
      <c r="DM1073" s="24"/>
      <c r="EI1073" s="24">
        <v>2022</v>
      </c>
      <c r="EJ1073" s="24">
        <v>27</v>
      </c>
      <c r="EK1073" s="24" t="s">
        <v>33</v>
      </c>
      <c r="EL1073" s="24" t="s">
        <v>235</v>
      </c>
      <c r="EM1073" s="24" t="s">
        <v>210</v>
      </c>
      <c r="EN1073" s="24">
        <v>2</v>
      </c>
      <c r="EO1073" s="24"/>
      <c r="EP1073" s="24"/>
      <c r="FW1073" s="24">
        <v>2013</v>
      </c>
      <c r="FX1073" s="24">
        <v>15</v>
      </c>
      <c r="FY1073" s="24" t="s">
        <v>33</v>
      </c>
      <c r="FZ1073" s="24">
        <v>284</v>
      </c>
      <c r="GA1073" s="24">
        <v>242</v>
      </c>
    </row>
    <row r="1074" spans="9:183" x14ac:dyDescent="0.4">
      <c r="I1074" s="305">
        <v>2013</v>
      </c>
      <c r="J1074" s="306">
        <v>15</v>
      </c>
      <c r="K1074" s="306" t="s">
        <v>33</v>
      </c>
      <c r="L1074" s="306">
        <v>19845</v>
      </c>
      <c r="M1074" s="306">
        <v>18943</v>
      </c>
      <c r="N1074" s="306"/>
      <c r="O1074" s="306">
        <v>900</v>
      </c>
      <c r="P1074" s="306"/>
      <c r="Q1074" s="306"/>
      <c r="DJ1074" s="24"/>
      <c r="DK1074" s="24"/>
      <c r="DL1074" s="24"/>
      <c r="DM1074" s="24"/>
      <c r="EI1074" s="24">
        <v>2022</v>
      </c>
      <c r="EJ1074" s="24">
        <v>27</v>
      </c>
      <c r="EK1074" s="24" t="s">
        <v>211</v>
      </c>
      <c r="EL1074" s="24" t="s">
        <v>212</v>
      </c>
      <c r="EM1074" s="24" t="s">
        <v>210</v>
      </c>
      <c r="EN1074" s="24">
        <v>13</v>
      </c>
      <c r="EO1074" s="24"/>
      <c r="EP1074" s="24"/>
      <c r="FW1074" s="24">
        <v>2013</v>
      </c>
      <c r="FX1074" s="24">
        <v>14</v>
      </c>
      <c r="FY1074" s="24" t="s">
        <v>32</v>
      </c>
      <c r="FZ1074" s="24">
        <v>44</v>
      </c>
      <c r="GA1074" s="24">
        <v>32</v>
      </c>
    </row>
    <row r="1075" spans="9:183" x14ac:dyDescent="0.4">
      <c r="I1075" s="305">
        <v>2013</v>
      </c>
      <c r="J1075" s="306">
        <v>14</v>
      </c>
      <c r="K1075" s="306" t="s">
        <v>32</v>
      </c>
      <c r="L1075" s="306">
        <v>1090</v>
      </c>
      <c r="M1075" s="306">
        <v>799</v>
      </c>
      <c r="N1075" s="306"/>
      <c r="O1075" s="306">
        <v>291</v>
      </c>
      <c r="P1075" s="306"/>
      <c r="Q1075" s="306"/>
      <c r="DJ1075" s="24"/>
      <c r="DK1075" s="24"/>
      <c r="DL1075" s="24"/>
      <c r="DM1075" s="24"/>
      <c r="EI1075" s="24">
        <v>2022</v>
      </c>
      <c r="EJ1075" s="24">
        <v>27</v>
      </c>
      <c r="EK1075" s="24" t="s">
        <v>211</v>
      </c>
      <c r="EL1075" s="24" t="s">
        <v>212</v>
      </c>
      <c r="EM1075" s="24" t="s">
        <v>234</v>
      </c>
      <c r="EN1075" s="24">
        <v>7</v>
      </c>
      <c r="EO1075" s="24"/>
      <c r="EP1075" s="24"/>
      <c r="FW1075" s="24">
        <v>2013</v>
      </c>
      <c r="FX1075" s="24">
        <v>14</v>
      </c>
      <c r="FY1075" s="24" t="s">
        <v>33</v>
      </c>
      <c r="FZ1075" s="24">
        <v>318</v>
      </c>
      <c r="GA1075" s="24">
        <v>225</v>
      </c>
    </row>
    <row r="1076" spans="9:183" x14ac:dyDescent="0.4">
      <c r="I1076" s="305">
        <v>2013</v>
      </c>
      <c r="J1076" s="306">
        <v>14</v>
      </c>
      <c r="K1076" s="306" t="s">
        <v>33</v>
      </c>
      <c r="L1076" s="306">
        <v>20424</v>
      </c>
      <c r="M1076" s="306">
        <v>19407</v>
      </c>
      <c r="N1076" s="306"/>
      <c r="O1076" s="306">
        <v>1013</v>
      </c>
      <c r="P1076" s="306"/>
      <c r="Q1076" s="306"/>
      <c r="DJ1076" s="24"/>
      <c r="DK1076" s="24"/>
      <c r="DL1076" s="24"/>
      <c r="DM1076" s="24"/>
      <c r="EI1076" s="24">
        <v>2022</v>
      </c>
      <c r="EJ1076" s="24">
        <v>27</v>
      </c>
      <c r="EK1076" s="24" t="s">
        <v>211</v>
      </c>
      <c r="EL1076" s="24" t="s">
        <v>247</v>
      </c>
      <c r="EM1076" s="24" t="s">
        <v>234</v>
      </c>
      <c r="EN1076" s="24">
        <v>2</v>
      </c>
      <c r="EO1076" s="24"/>
      <c r="EP1076" s="24"/>
      <c r="FW1076" s="24">
        <v>2013</v>
      </c>
      <c r="FX1076" s="24">
        <v>13</v>
      </c>
      <c r="FY1076" s="24" t="s">
        <v>32</v>
      </c>
      <c r="FZ1076" s="24">
        <v>25</v>
      </c>
      <c r="GA1076" s="24">
        <v>17</v>
      </c>
    </row>
    <row r="1077" spans="9:183" x14ac:dyDescent="0.4">
      <c r="I1077" s="305">
        <v>2013</v>
      </c>
      <c r="J1077" s="306">
        <v>13</v>
      </c>
      <c r="K1077" s="306" t="s">
        <v>32</v>
      </c>
      <c r="L1077" s="306">
        <v>999</v>
      </c>
      <c r="M1077" s="306">
        <v>694</v>
      </c>
      <c r="N1077" s="306"/>
      <c r="O1077" s="306">
        <v>305</v>
      </c>
      <c r="P1077" s="306"/>
      <c r="Q1077" s="306"/>
      <c r="DJ1077" s="24"/>
      <c r="DK1077" s="24"/>
      <c r="DL1077" s="24"/>
      <c r="DM1077" s="24"/>
      <c r="EI1077" s="24">
        <v>2022</v>
      </c>
      <c r="EJ1077" s="24">
        <v>26</v>
      </c>
      <c r="EK1077" s="24" t="s">
        <v>208</v>
      </c>
      <c r="EL1077" s="24" t="s">
        <v>555</v>
      </c>
      <c r="EM1077" s="24" t="s">
        <v>215</v>
      </c>
      <c r="EN1077" s="24">
        <v>1</v>
      </c>
      <c r="EO1077" s="24"/>
      <c r="EP1077" s="24"/>
      <c r="FW1077" s="323">
        <v>2013</v>
      </c>
      <c r="FX1077" s="323">
        <v>13</v>
      </c>
      <c r="FY1077" s="323" t="s">
        <v>33</v>
      </c>
      <c r="FZ1077" s="323">
        <v>249</v>
      </c>
      <c r="GA1077" s="323">
        <v>96</v>
      </c>
    </row>
    <row r="1078" spans="9:183" x14ac:dyDescent="0.4">
      <c r="I1078" s="305">
        <v>2013</v>
      </c>
      <c r="J1078" s="306">
        <v>13</v>
      </c>
      <c r="K1078" s="306" t="s">
        <v>33</v>
      </c>
      <c r="L1078" s="306">
        <v>19908</v>
      </c>
      <c r="M1078" s="306">
        <v>18785</v>
      </c>
      <c r="N1078" s="306"/>
      <c r="O1078" s="306">
        <v>1121</v>
      </c>
      <c r="P1078" s="306"/>
      <c r="Q1078" s="306"/>
      <c r="DJ1078" s="24"/>
      <c r="DK1078" s="24"/>
      <c r="DL1078" s="24"/>
      <c r="DM1078" s="24"/>
      <c r="EI1078" s="24">
        <v>2022</v>
      </c>
      <c r="EJ1078" s="24">
        <v>26</v>
      </c>
      <c r="EK1078" s="24" t="s">
        <v>208</v>
      </c>
      <c r="EL1078" s="24" t="s">
        <v>352</v>
      </c>
      <c r="EM1078" s="24" t="s">
        <v>234</v>
      </c>
      <c r="EN1078" s="24">
        <v>1</v>
      </c>
      <c r="EO1078" s="24"/>
      <c r="EP1078" s="24"/>
      <c r="FW1078" s="24">
        <v>2013</v>
      </c>
      <c r="FX1078" s="24">
        <v>12</v>
      </c>
      <c r="FY1078" s="24" t="s">
        <v>32</v>
      </c>
      <c r="FZ1078" s="24">
        <v>14</v>
      </c>
      <c r="GA1078" s="24">
        <v>9</v>
      </c>
    </row>
    <row r="1079" spans="9:183" x14ac:dyDescent="0.4">
      <c r="I1079" s="305">
        <v>2013</v>
      </c>
      <c r="J1079" s="306">
        <v>12</v>
      </c>
      <c r="K1079" s="306" t="s">
        <v>32</v>
      </c>
      <c r="L1079" s="306">
        <v>973</v>
      </c>
      <c r="M1079" s="306">
        <v>563</v>
      </c>
      <c r="N1079" s="306"/>
      <c r="O1079" s="306">
        <v>410</v>
      </c>
      <c r="P1079" s="306"/>
      <c r="Q1079" s="306"/>
      <c r="DJ1079" s="24"/>
      <c r="DK1079" s="24"/>
      <c r="DL1079" s="24"/>
      <c r="DM1079" s="24"/>
      <c r="EI1079" s="24">
        <v>2022</v>
      </c>
      <c r="EJ1079" s="24">
        <v>26</v>
      </c>
      <c r="EK1079" s="24" t="s">
        <v>208</v>
      </c>
      <c r="EL1079" s="24" t="s">
        <v>554</v>
      </c>
      <c r="EM1079" s="24" t="s">
        <v>234</v>
      </c>
      <c r="EN1079" s="24">
        <v>3</v>
      </c>
      <c r="EO1079" s="24"/>
      <c r="EP1079" s="24"/>
      <c r="FW1079" s="24">
        <v>2013</v>
      </c>
      <c r="FX1079" s="24">
        <v>12</v>
      </c>
      <c r="FY1079" s="24" t="s">
        <v>33</v>
      </c>
      <c r="FZ1079" s="24">
        <v>319</v>
      </c>
      <c r="GA1079" s="24">
        <v>197</v>
      </c>
    </row>
    <row r="1080" spans="9:183" x14ac:dyDescent="0.4">
      <c r="I1080" s="305">
        <v>2013</v>
      </c>
      <c r="J1080" s="306">
        <v>12</v>
      </c>
      <c r="K1080" s="306" t="s">
        <v>33</v>
      </c>
      <c r="L1080" s="306">
        <v>20357</v>
      </c>
      <c r="M1080" s="306">
        <v>18515</v>
      </c>
      <c r="N1080" s="306"/>
      <c r="O1080" s="306">
        <v>1842</v>
      </c>
      <c r="P1080" s="306"/>
      <c r="Q1080" s="306"/>
      <c r="DJ1080" s="24"/>
      <c r="DK1080" s="24"/>
      <c r="DL1080" s="24"/>
      <c r="DM1080" s="24"/>
      <c r="EI1080" s="24">
        <v>2022</v>
      </c>
      <c r="EJ1080" s="24">
        <v>26</v>
      </c>
      <c r="EK1080" s="24" t="s">
        <v>208</v>
      </c>
      <c r="EL1080" s="24" t="s">
        <v>351</v>
      </c>
      <c r="EM1080" s="24" t="s">
        <v>234</v>
      </c>
      <c r="EN1080" s="24">
        <v>10</v>
      </c>
      <c r="EO1080" s="24"/>
      <c r="EP1080" s="24"/>
      <c r="FW1080" s="24">
        <v>2013</v>
      </c>
      <c r="FX1080" s="24">
        <v>11</v>
      </c>
      <c r="FY1080" s="24" t="s">
        <v>32</v>
      </c>
      <c r="FZ1080" s="24">
        <v>51</v>
      </c>
      <c r="GA1080" s="24">
        <v>40</v>
      </c>
    </row>
    <row r="1081" spans="9:183" x14ac:dyDescent="0.4">
      <c r="I1081" s="305">
        <v>2013</v>
      </c>
      <c r="J1081" s="306">
        <v>11</v>
      </c>
      <c r="K1081" s="306" t="s">
        <v>32</v>
      </c>
      <c r="L1081" s="306">
        <v>1140</v>
      </c>
      <c r="M1081" s="306">
        <v>831</v>
      </c>
      <c r="N1081" s="306"/>
      <c r="O1081" s="306">
        <v>309</v>
      </c>
      <c r="P1081" s="306"/>
      <c r="Q1081" s="306"/>
      <c r="DJ1081" s="24"/>
      <c r="DK1081" s="24"/>
      <c r="DL1081" s="24"/>
      <c r="DM1081" s="24"/>
      <c r="EI1081" s="24">
        <v>2022</v>
      </c>
      <c r="EJ1081" s="24">
        <v>26</v>
      </c>
      <c r="EK1081" s="24" t="s">
        <v>208</v>
      </c>
      <c r="EL1081" s="24" t="s">
        <v>235</v>
      </c>
      <c r="EM1081" s="24" t="s">
        <v>210</v>
      </c>
      <c r="EN1081" s="24">
        <v>5</v>
      </c>
      <c r="EO1081" s="24"/>
      <c r="EP1081" s="24"/>
      <c r="FW1081" s="24">
        <v>2013</v>
      </c>
      <c r="FX1081" s="24">
        <v>11</v>
      </c>
      <c r="FY1081" s="24" t="s">
        <v>33</v>
      </c>
      <c r="FZ1081" s="24">
        <v>258</v>
      </c>
      <c r="GA1081" s="24">
        <v>223</v>
      </c>
    </row>
    <row r="1082" spans="9:183" x14ac:dyDescent="0.4">
      <c r="I1082" s="305">
        <v>2013</v>
      </c>
      <c r="J1082" s="306">
        <v>11</v>
      </c>
      <c r="K1082" s="306" t="s">
        <v>33</v>
      </c>
      <c r="L1082" s="306">
        <v>17560</v>
      </c>
      <c r="M1082" s="306">
        <v>16631</v>
      </c>
      <c r="N1082" s="306"/>
      <c r="O1082" s="306">
        <v>929</v>
      </c>
      <c r="P1082" s="306"/>
      <c r="Q1082" s="306"/>
      <c r="DJ1082" s="24"/>
      <c r="DK1082" s="24"/>
      <c r="DL1082" s="24"/>
      <c r="DM1082" s="24"/>
      <c r="EI1082" s="24">
        <v>2022</v>
      </c>
      <c r="EJ1082" s="24">
        <v>26</v>
      </c>
      <c r="EK1082" s="24" t="s">
        <v>208</v>
      </c>
      <c r="EL1082" s="24" t="s">
        <v>235</v>
      </c>
      <c r="EM1082" s="24" t="s">
        <v>234</v>
      </c>
      <c r="EN1082" s="24">
        <v>6</v>
      </c>
      <c r="EO1082" s="24"/>
      <c r="EP1082" s="24"/>
      <c r="FW1082" s="24">
        <v>2013</v>
      </c>
      <c r="FX1082" s="24">
        <v>10</v>
      </c>
      <c r="FY1082" s="24" t="s">
        <v>32</v>
      </c>
      <c r="FZ1082" s="24">
        <v>79</v>
      </c>
      <c r="GA1082" s="24">
        <v>54</v>
      </c>
    </row>
    <row r="1083" spans="9:183" x14ac:dyDescent="0.4">
      <c r="I1083" s="305">
        <v>2013</v>
      </c>
      <c r="J1083" s="306">
        <v>10</v>
      </c>
      <c r="K1083" s="306" t="s">
        <v>32</v>
      </c>
      <c r="L1083" s="306">
        <v>1449</v>
      </c>
      <c r="M1083" s="306">
        <v>1031</v>
      </c>
      <c r="N1083" s="306"/>
      <c r="O1083" s="306">
        <v>418</v>
      </c>
      <c r="P1083" s="306"/>
      <c r="Q1083" s="306"/>
      <c r="DJ1083" s="24"/>
      <c r="DK1083" s="24"/>
      <c r="DL1083" s="24"/>
      <c r="DM1083" s="24"/>
      <c r="EI1083" s="24">
        <v>2022</v>
      </c>
      <c r="EJ1083" s="24">
        <v>26</v>
      </c>
      <c r="EK1083" s="24" t="s">
        <v>208</v>
      </c>
      <c r="EL1083" s="24" t="s">
        <v>235</v>
      </c>
      <c r="EM1083" s="24" t="s">
        <v>215</v>
      </c>
      <c r="EN1083" s="24">
        <v>26</v>
      </c>
      <c r="EO1083" s="24"/>
      <c r="EP1083" s="24"/>
      <c r="FW1083" s="24">
        <v>2013</v>
      </c>
      <c r="FX1083" s="24">
        <v>10</v>
      </c>
      <c r="FY1083" s="24" t="s">
        <v>33</v>
      </c>
      <c r="FZ1083" s="24">
        <v>265</v>
      </c>
      <c r="GA1083" s="24">
        <v>212</v>
      </c>
    </row>
    <row r="1084" spans="9:183" x14ac:dyDescent="0.4">
      <c r="I1084" s="305">
        <v>2013</v>
      </c>
      <c r="J1084" s="306">
        <v>10</v>
      </c>
      <c r="K1084" s="306" t="s">
        <v>33</v>
      </c>
      <c r="L1084" s="306">
        <v>17062</v>
      </c>
      <c r="M1084" s="306">
        <v>16322</v>
      </c>
      <c r="N1084" s="306"/>
      <c r="O1084" s="306">
        <v>740</v>
      </c>
      <c r="P1084" s="306"/>
      <c r="Q1084" s="306"/>
      <c r="DJ1084" s="24"/>
      <c r="DK1084" s="24"/>
      <c r="DL1084" s="24"/>
      <c r="DM1084" s="24"/>
      <c r="EI1084" s="24">
        <v>2022</v>
      </c>
      <c r="EJ1084" s="24">
        <v>26</v>
      </c>
      <c r="EK1084" s="24" t="s">
        <v>208</v>
      </c>
      <c r="EL1084" s="24" t="s">
        <v>209</v>
      </c>
      <c r="EM1084" s="24" t="s">
        <v>210</v>
      </c>
      <c r="EN1084" s="24">
        <v>9</v>
      </c>
      <c r="EO1084" s="24"/>
      <c r="EP1084" s="24"/>
      <c r="FW1084" s="24">
        <v>2013</v>
      </c>
      <c r="FX1084" s="24">
        <v>9</v>
      </c>
      <c r="FY1084" s="24" t="s">
        <v>32</v>
      </c>
      <c r="FZ1084" s="24">
        <v>31</v>
      </c>
      <c r="GA1084" s="24">
        <v>22</v>
      </c>
    </row>
    <row r="1085" spans="9:183" x14ac:dyDescent="0.4">
      <c r="I1085" s="305">
        <v>2013</v>
      </c>
      <c r="J1085" s="306">
        <v>9</v>
      </c>
      <c r="K1085" s="306" t="s">
        <v>32</v>
      </c>
      <c r="L1085" s="306">
        <v>1015</v>
      </c>
      <c r="M1085" s="306">
        <v>753</v>
      </c>
      <c r="N1085" s="306"/>
      <c r="O1085" s="306">
        <v>262</v>
      </c>
      <c r="P1085" s="306"/>
      <c r="Q1085" s="306"/>
      <c r="DJ1085" s="24"/>
      <c r="DK1085" s="24"/>
      <c r="DL1085" s="24"/>
      <c r="DM1085" s="24"/>
      <c r="EI1085" s="24">
        <v>2022</v>
      </c>
      <c r="EJ1085" s="24">
        <v>26</v>
      </c>
      <c r="EK1085" s="24" t="s">
        <v>208</v>
      </c>
      <c r="EL1085" s="24" t="s">
        <v>209</v>
      </c>
      <c r="EM1085" s="24" t="s">
        <v>234</v>
      </c>
      <c r="EN1085" s="24">
        <v>1</v>
      </c>
      <c r="EO1085" s="24"/>
      <c r="EP1085" s="24"/>
      <c r="FW1085" s="24">
        <v>2013</v>
      </c>
      <c r="FX1085" s="24">
        <v>9</v>
      </c>
      <c r="FY1085" s="24" t="s">
        <v>33</v>
      </c>
      <c r="FZ1085" s="24">
        <v>241</v>
      </c>
      <c r="GA1085" s="24">
        <v>212</v>
      </c>
    </row>
    <row r="1086" spans="9:183" x14ac:dyDescent="0.4">
      <c r="I1086" s="305">
        <v>2013</v>
      </c>
      <c r="J1086" s="306">
        <v>9</v>
      </c>
      <c r="K1086" s="306" t="s">
        <v>33</v>
      </c>
      <c r="L1086" s="306">
        <v>18359</v>
      </c>
      <c r="M1086" s="306">
        <v>17469</v>
      </c>
      <c r="N1086" s="306"/>
      <c r="O1086" s="306">
        <v>889</v>
      </c>
      <c r="P1086" s="306"/>
      <c r="Q1086" s="306"/>
      <c r="DJ1086" s="24"/>
      <c r="DK1086" s="24"/>
      <c r="DL1086" s="24"/>
      <c r="DM1086" s="24"/>
      <c r="EI1086" s="24">
        <v>2022</v>
      </c>
      <c r="EJ1086" s="24">
        <v>26</v>
      </c>
      <c r="EK1086" s="24" t="s">
        <v>208</v>
      </c>
      <c r="EL1086" s="24" t="s">
        <v>247</v>
      </c>
      <c r="EM1086" s="24" t="s">
        <v>215</v>
      </c>
      <c r="EN1086" s="24">
        <v>1</v>
      </c>
      <c r="EO1086" s="24"/>
      <c r="EP1086" s="24"/>
      <c r="FW1086" s="24">
        <v>2013</v>
      </c>
      <c r="FX1086" s="24">
        <v>8</v>
      </c>
      <c r="FY1086" s="24" t="s">
        <v>32</v>
      </c>
      <c r="FZ1086" s="24">
        <v>29</v>
      </c>
      <c r="GA1086" s="24">
        <v>16</v>
      </c>
    </row>
    <row r="1087" spans="9:183" x14ac:dyDescent="0.4">
      <c r="I1087" s="305">
        <v>2013</v>
      </c>
      <c r="J1087" s="306">
        <v>8</v>
      </c>
      <c r="K1087" s="306" t="s">
        <v>32</v>
      </c>
      <c r="L1087" s="306">
        <v>991</v>
      </c>
      <c r="M1087" s="306">
        <v>699</v>
      </c>
      <c r="N1087" s="306"/>
      <c r="O1087" s="306">
        <v>292</v>
      </c>
      <c r="P1087" s="306"/>
      <c r="Q1087" s="306"/>
      <c r="DJ1087" s="24"/>
      <c r="DK1087" s="24"/>
      <c r="DL1087" s="24"/>
      <c r="DM1087" s="24"/>
      <c r="EI1087" s="24">
        <v>2022</v>
      </c>
      <c r="EJ1087" s="24">
        <v>26</v>
      </c>
      <c r="EK1087" s="24" t="s">
        <v>208</v>
      </c>
      <c r="EL1087" s="24" t="s">
        <v>245</v>
      </c>
      <c r="EM1087" s="24" t="s">
        <v>234</v>
      </c>
      <c r="EN1087" s="24">
        <v>1</v>
      </c>
      <c r="EO1087" s="24"/>
      <c r="EP1087" s="24"/>
      <c r="FW1087" s="24">
        <v>2013</v>
      </c>
      <c r="FX1087" s="24">
        <v>8</v>
      </c>
      <c r="FY1087" s="24" t="s">
        <v>33</v>
      </c>
      <c r="FZ1087" s="24">
        <v>304</v>
      </c>
      <c r="GA1087" s="24">
        <v>263</v>
      </c>
    </row>
    <row r="1088" spans="9:183" x14ac:dyDescent="0.4">
      <c r="I1088" s="305">
        <v>2013</v>
      </c>
      <c r="J1088" s="306">
        <v>8</v>
      </c>
      <c r="K1088" s="306" t="s">
        <v>33</v>
      </c>
      <c r="L1088" s="306">
        <v>21583</v>
      </c>
      <c r="M1088" s="306">
        <v>20549</v>
      </c>
      <c r="N1088" s="306"/>
      <c r="O1088" s="306">
        <v>1030</v>
      </c>
      <c r="P1088" s="306"/>
      <c r="Q1088" s="306"/>
      <c r="DJ1088" s="24"/>
      <c r="DK1088" s="24"/>
      <c r="DL1088" s="24"/>
      <c r="DM1088" s="24"/>
      <c r="EI1088" s="24">
        <v>2022</v>
      </c>
      <c r="EJ1088" s="24">
        <v>26</v>
      </c>
      <c r="EK1088" s="24" t="s">
        <v>33</v>
      </c>
      <c r="EL1088" s="24" t="s">
        <v>233</v>
      </c>
      <c r="EM1088" s="24" t="s">
        <v>210</v>
      </c>
      <c r="EN1088" s="24">
        <v>14</v>
      </c>
      <c r="EO1088" s="24"/>
      <c r="EP1088" s="24"/>
      <c r="FW1088" s="24">
        <v>2013</v>
      </c>
      <c r="FX1088" s="24">
        <v>7</v>
      </c>
      <c r="FY1088" s="24" t="s">
        <v>32</v>
      </c>
      <c r="FZ1088" s="24">
        <v>30</v>
      </c>
      <c r="GA1088" s="24">
        <v>30</v>
      </c>
    </row>
    <row r="1089" spans="9:183" x14ac:dyDescent="0.4">
      <c r="I1089" s="305">
        <v>2013</v>
      </c>
      <c r="J1089" s="306">
        <v>7</v>
      </c>
      <c r="K1089" s="306" t="s">
        <v>32</v>
      </c>
      <c r="L1089" s="306">
        <v>971</v>
      </c>
      <c r="M1089" s="306">
        <v>707</v>
      </c>
      <c r="N1089" s="306"/>
      <c r="O1089" s="306">
        <v>264</v>
      </c>
      <c r="P1089" s="306"/>
      <c r="Q1089" s="306"/>
      <c r="DJ1089" s="24"/>
      <c r="DK1089" s="24"/>
      <c r="DL1089" s="24"/>
      <c r="DM1089" s="24"/>
      <c r="EI1089" s="24">
        <v>2022</v>
      </c>
      <c r="EJ1089" s="24">
        <v>26</v>
      </c>
      <c r="EK1089" s="24" t="s">
        <v>33</v>
      </c>
      <c r="EL1089" s="24" t="s">
        <v>233</v>
      </c>
      <c r="EM1089" s="24" t="s">
        <v>215</v>
      </c>
      <c r="EN1089" s="24">
        <v>20</v>
      </c>
      <c r="EO1089" s="24"/>
      <c r="EP1089" s="24"/>
      <c r="FW1089" s="24">
        <v>2013</v>
      </c>
      <c r="FX1089" s="24">
        <v>7</v>
      </c>
      <c r="FY1089" s="24" t="s">
        <v>33</v>
      </c>
      <c r="FZ1089" s="24">
        <v>293</v>
      </c>
      <c r="GA1089" s="24">
        <v>244</v>
      </c>
    </row>
    <row r="1090" spans="9:183" x14ac:dyDescent="0.4">
      <c r="I1090" s="305">
        <v>2013</v>
      </c>
      <c r="J1090" s="306">
        <v>7</v>
      </c>
      <c r="K1090" s="306" t="s">
        <v>33</v>
      </c>
      <c r="L1090" s="306">
        <v>17182</v>
      </c>
      <c r="M1090" s="306">
        <v>16428</v>
      </c>
      <c r="N1090" s="306"/>
      <c r="O1090" s="306">
        <v>751</v>
      </c>
      <c r="P1090" s="306"/>
      <c r="Q1090" s="306"/>
      <c r="DJ1090" s="24"/>
      <c r="DK1090" s="24"/>
      <c r="DL1090" s="24"/>
      <c r="DM1090" s="24"/>
      <c r="EI1090" s="24">
        <v>2022</v>
      </c>
      <c r="EJ1090" s="24">
        <v>26</v>
      </c>
      <c r="EK1090" s="24" t="s">
        <v>33</v>
      </c>
      <c r="EL1090" s="24" t="s">
        <v>244</v>
      </c>
      <c r="EM1090" s="24" t="s">
        <v>210</v>
      </c>
      <c r="EN1090" s="24">
        <v>26</v>
      </c>
      <c r="EO1090" s="24"/>
      <c r="EP1090" s="24"/>
      <c r="FW1090" s="24">
        <v>2013</v>
      </c>
      <c r="FX1090" s="24">
        <v>6</v>
      </c>
      <c r="FY1090" s="24" t="s">
        <v>32</v>
      </c>
      <c r="FZ1090" s="24">
        <v>68</v>
      </c>
      <c r="GA1090" s="24">
        <v>49</v>
      </c>
    </row>
    <row r="1091" spans="9:183" x14ac:dyDescent="0.4">
      <c r="I1091" s="305">
        <v>2013</v>
      </c>
      <c r="J1091" s="306">
        <v>6</v>
      </c>
      <c r="K1091" s="306" t="s">
        <v>32</v>
      </c>
      <c r="L1091" s="306">
        <v>1373</v>
      </c>
      <c r="M1091" s="306">
        <v>957</v>
      </c>
      <c r="N1091" s="306"/>
      <c r="O1091" s="306">
        <v>416</v>
      </c>
      <c r="P1091" s="306"/>
      <c r="Q1091" s="306"/>
      <c r="DJ1091" s="24"/>
      <c r="DK1091" s="24"/>
      <c r="DL1091" s="24"/>
      <c r="DM1091" s="24"/>
      <c r="EI1091" s="24">
        <v>2022</v>
      </c>
      <c r="EJ1091" s="24">
        <v>26</v>
      </c>
      <c r="EK1091" s="24" t="s">
        <v>33</v>
      </c>
      <c r="EL1091" s="24" t="s">
        <v>238</v>
      </c>
      <c r="EM1091" s="24" t="s">
        <v>210</v>
      </c>
      <c r="EN1091" s="24">
        <v>1</v>
      </c>
      <c r="EO1091" s="24"/>
      <c r="EP1091" s="24"/>
      <c r="FW1091" s="324">
        <v>2013</v>
      </c>
      <c r="FX1091" s="324">
        <v>6</v>
      </c>
      <c r="FY1091" s="324" t="s">
        <v>33</v>
      </c>
      <c r="FZ1091" s="324">
        <v>365</v>
      </c>
      <c r="GA1091" s="324">
        <v>299</v>
      </c>
    </row>
    <row r="1092" spans="9:183" x14ac:dyDescent="0.4">
      <c r="I1092" s="305">
        <v>2013</v>
      </c>
      <c r="J1092" s="306">
        <v>6</v>
      </c>
      <c r="K1092" s="306" t="s">
        <v>33</v>
      </c>
      <c r="L1092" s="306">
        <v>16232</v>
      </c>
      <c r="M1092" s="306">
        <v>14570</v>
      </c>
      <c r="N1092" s="306"/>
      <c r="O1092" s="306">
        <v>1657</v>
      </c>
      <c r="P1092" s="306"/>
      <c r="Q1092" s="306"/>
      <c r="DJ1092" s="24"/>
      <c r="DK1092" s="24"/>
      <c r="DL1092" s="24"/>
      <c r="DM1092" s="24"/>
      <c r="EI1092" s="24">
        <v>2022</v>
      </c>
      <c r="EJ1092" s="24">
        <v>26</v>
      </c>
      <c r="EK1092" s="24" t="s">
        <v>33</v>
      </c>
      <c r="EL1092" s="24" t="s">
        <v>238</v>
      </c>
      <c r="EM1092" s="24" t="s">
        <v>234</v>
      </c>
      <c r="EN1092" s="24">
        <v>2</v>
      </c>
      <c r="EO1092" s="24"/>
      <c r="EP1092" s="24"/>
      <c r="FW1092" s="324">
        <v>2013</v>
      </c>
      <c r="FX1092" s="324">
        <v>5</v>
      </c>
      <c r="FY1092" s="324" t="s">
        <v>32</v>
      </c>
      <c r="FZ1092" s="324">
        <v>46</v>
      </c>
      <c r="GA1092" s="324">
        <v>26</v>
      </c>
    </row>
    <row r="1093" spans="9:183" x14ac:dyDescent="0.4">
      <c r="I1093" s="305">
        <v>2013</v>
      </c>
      <c r="J1093" s="306">
        <v>5</v>
      </c>
      <c r="K1093" s="306" t="s">
        <v>32</v>
      </c>
      <c r="L1093" s="306">
        <v>1013</v>
      </c>
      <c r="M1093" s="306">
        <v>711</v>
      </c>
      <c r="N1093" s="306"/>
      <c r="O1093" s="306">
        <v>302</v>
      </c>
      <c r="P1093" s="306"/>
      <c r="Q1093" s="306"/>
      <c r="DJ1093" s="24"/>
      <c r="DK1093" s="24"/>
      <c r="DL1093" s="24"/>
      <c r="DM1093" s="24"/>
      <c r="EI1093" s="24">
        <v>2022</v>
      </c>
      <c r="EJ1093" s="24">
        <v>26</v>
      </c>
      <c r="EK1093" s="24" t="s">
        <v>33</v>
      </c>
      <c r="EL1093" s="24" t="s">
        <v>238</v>
      </c>
      <c r="EM1093" s="24" t="s">
        <v>215</v>
      </c>
      <c r="EN1093" s="24">
        <v>8</v>
      </c>
      <c r="EO1093" s="24"/>
      <c r="EP1093" s="24"/>
      <c r="FW1093" s="24">
        <v>2013</v>
      </c>
      <c r="FX1093" s="24">
        <v>5</v>
      </c>
      <c r="FY1093" s="24" t="s">
        <v>33</v>
      </c>
      <c r="FZ1093" s="24">
        <v>235</v>
      </c>
      <c r="GA1093" s="24">
        <v>197</v>
      </c>
    </row>
    <row r="1094" spans="9:183" x14ac:dyDescent="0.4">
      <c r="I1094" s="305">
        <v>2013</v>
      </c>
      <c r="J1094" s="306">
        <v>5</v>
      </c>
      <c r="K1094" s="306" t="s">
        <v>33</v>
      </c>
      <c r="L1094" s="306">
        <v>16253</v>
      </c>
      <c r="M1094" s="306">
        <v>15419</v>
      </c>
      <c r="N1094" s="306"/>
      <c r="O1094" s="306">
        <v>826</v>
      </c>
      <c r="P1094" s="306"/>
      <c r="Q1094" s="306"/>
      <c r="DJ1094" s="24"/>
      <c r="DK1094" s="24"/>
      <c r="DL1094" s="24"/>
      <c r="DM1094" s="24"/>
      <c r="EI1094" s="24">
        <v>2022</v>
      </c>
      <c r="EJ1094" s="24">
        <v>26</v>
      </c>
      <c r="EK1094" s="24" t="s">
        <v>33</v>
      </c>
      <c r="EL1094" s="24" t="s">
        <v>247</v>
      </c>
      <c r="EM1094" s="24" t="s">
        <v>210</v>
      </c>
      <c r="EN1094" s="24">
        <v>2</v>
      </c>
      <c r="EO1094" s="24"/>
      <c r="EP1094" s="24"/>
      <c r="FW1094" s="24">
        <v>2013</v>
      </c>
      <c r="FX1094" s="24">
        <v>4</v>
      </c>
      <c r="FY1094" s="24" t="s">
        <v>32</v>
      </c>
      <c r="FZ1094" s="24">
        <v>46</v>
      </c>
      <c r="GA1094" s="24">
        <v>23</v>
      </c>
    </row>
    <row r="1095" spans="9:183" x14ac:dyDescent="0.4">
      <c r="I1095" s="305">
        <v>2013</v>
      </c>
      <c r="J1095" s="306">
        <v>4</v>
      </c>
      <c r="K1095" s="306" t="s">
        <v>32</v>
      </c>
      <c r="L1095" s="306">
        <v>914</v>
      </c>
      <c r="M1095" s="306">
        <v>624</v>
      </c>
      <c r="N1095" s="306"/>
      <c r="O1095" s="306">
        <v>290</v>
      </c>
      <c r="P1095" s="306"/>
      <c r="Q1095" s="306"/>
      <c r="DJ1095" s="24"/>
      <c r="DK1095" s="24"/>
      <c r="DL1095" s="24"/>
      <c r="DM1095" s="24"/>
      <c r="EI1095" s="24">
        <v>2022</v>
      </c>
      <c r="EJ1095" s="24">
        <v>26</v>
      </c>
      <c r="EK1095" s="24" t="s">
        <v>33</v>
      </c>
      <c r="EL1095" s="24" t="s">
        <v>247</v>
      </c>
      <c r="EM1095" s="24" t="s">
        <v>215</v>
      </c>
      <c r="EN1095" s="24">
        <v>3</v>
      </c>
      <c r="EO1095" s="24"/>
      <c r="EP1095" s="24"/>
      <c r="FW1095" s="24">
        <v>2013</v>
      </c>
      <c r="FX1095" s="24">
        <v>4</v>
      </c>
      <c r="FY1095" s="24" t="s">
        <v>33</v>
      </c>
      <c r="FZ1095" s="24">
        <v>297</v>
      </c>
      <c r="GA1095" s="24">
        <v>248</v>
      </c>
    </row>
    <row r="1096" spans="9:183" x14ac:dyDescent="0.4">
      <c r="I1096" s="305">
        <v>2013</v>
      </c>
      <c r="J1096" s="306">
        <v>4</v>
      </c>
      <c r="K1096" s="306" t="s">
        <v>33</v>
      </c>
      <c r="L1096" s="306">
        <v>19140</v>
      </c>
      <c r="M1096" s="306">
        <v>18150</v>
      </c>
      <c r="N1096" s="306"/>
      <c r="O1096" s="306">
        <v>987</v>
      </c>
      <c r="P1096" s="306"/>
      <c r="Q1096" s="306"/>
      <c r="DJ1096" s="24"/>
      <c r="DK1096" s="24"/>
      <c r="DL1096" s="24"/>
      <c r="DM1096" s="24"/>
      <c r="EI1096" s="24">
        <v>2022</v>
      </c>
      <c r="EJ1096" s="24">
        <v>26</v>
      </c>
      <c r="EK1096" s="24" t="s">
        <v>211</v>
      </c>
      <c r="EL1096" s="24" t="s">
        <v>557</v>
      </c>
      <c r="EM1096" s="24" t="s">
        <v>210</v>
      </c>
      <c r="EN1096" s="24">
        <v>1</v>
      </c>
      <c r="EO1096" s="24"/>
      <c r="EP1096" s="24"/>
      <c r="FW1096" s="24">
        <v>2013</v>
      </c>
      <c r="FX1096" s="24">
        <v>3</v>
      </c>
      <c r="FY1096" s="24" t="s">
        <v>32</v>
      </c>
      <c r="FZ1096" s="24">
        <v>31</v>
      </c>
      <c r="GA1096" s="24">
        <v>26</v>
      </c>
    </row>
    <row r="1097" spans="9:183" x14ac:dyDescent="0.4">
      <c r="I1097" s="305">
        <v>2013</v>
      </c>
      <c r="J1097" s="306">
        <v>3</v>
      </c>
      <c r="K1097" s="306" t="s">
        <v>32</v>
      </c>
      <c r="L1097" s="306">
        <v>1002</v>
      </c>
      <c r="M1097" s="306">
        <v>690</v>
      </c>
      <c r="N1097" s="306"/>
      <c r="O1097" s="306">
        <v>312</v>
      </c>
      <c r="P1097" s="306"/>
      <c r="Q1097" s="306"/>
      <c r="DJ1097" s="24"/>
      <c r="DK1097" s="24"/>
      <c r="DL1097" s="24"/>
      <c r="DM1097" s="24"/>
      <c r="EI1097" s="24">
        <v>2022</v>
      </c>
      <c r="EJ1097" s="24">
        <v>26</v>
      </c>
      <c r="EK1097" s="24" t="s">
        <v>211</v>
      </c>
      <c r="EL1097" s="24" t="s">
        <v>232</v>
      </c>
      <c r="EM1097" s="24" t="s">
        <v>210</v>
      </c>
      <c r="EN1097" s="24">
        <v>11</v>
      </c>
      <c r="EO1097" s="24"/>
      <c r="EP1097" s="24"/>
      <c r="FW1097" s="24">
        <v>2013</v>
      </c>
      <c r="FX1097" s="24">
        <v>3</v>
      </c>
      <c r="FY1097" s="24" t="s">
        <v>33</v>
      </c>
      <c r="FZ1097" s="24">
        <v>183</v>
      </c>
      <c r="GA1097" s="24">
        <v>131</v>
      </c>
    </row>
    <row r="1098" spans="9:183" x14ac:dyDescent="0.4">
      <c r="I1098" s="305">
        <v>2013</v>
      </c>
      <c r="J1098" s="306">
        <v>3</v>
      </c>
      <c r="K1098" s="306" t="s">
        <v>33</v>
      </c>
      <c r="L1098" s="306">
        <v>13202</v>
      </c>
      <c r="M1098" s="306">
        <v>12535</v>
      </c>
      <c r="N1098" s="306"/>
      <c r="O1098" s="306">
        <v>666</v>
      </c>
      <c r="P1098" s="306"/>
      <c r="Q1098" s="306"/>
      <c r="DJ1098" s="24"/>
      <c r="DK1098" s="24"/>
      <c r="DL1098" s="24"/>
      <c r="DM1098" s="24"/>
      <c r="EI1098" s="24">
        <v>2022</v>
      </c>
      <c r="EJ1098" s="24">
        <v>26</v>
      </c>
      <c r="EK1098" s="24" t="s">
        <v>211</v>
      </c>
      <c r="EL1098" s="24" t="s">
        <v>232</v>
      </c>
      <c r="EM1098" s="24" t="s">
        <v>234</v>
      </c>
      <c r="EN1098" s="24">
        <v>1</v>
      </c>
      <c r="EO1098" s="24"/>
      <c r="EP1098" s="24"/>
      <c r="FW1098" s="24">
        <v>2013</v>
      </c>
      <c r="FX1098" s="24">
        <v>2</v>
      </c>
      <c r="FY1098" s="24" t="s">
        <v>32</v>
      </c>
      <c r="FZ1098" s="24">
        <v>26</v>
      </c>
      <c r="GA1098" s="24">
        <v>19</v>
      </c>
    </row>
    <row r="1099" spans="9:183" x14ac:dyDescent="0.4">
      <c r="I1099" s="305">
        <v>2013</v>
      </c>
      <c r="J1099" s="306">
        <v>2</v>
      </c>
      <c r="K1099" s="306" t="s">
        <v>32</v>
      </c>
      <c r="L1099" s="306">
        <v>1541</v>
      </c>
      <c r="M1099" s="306">
        <v>1086</v>
      </c>
      <c r="N1099" s="306"/>
      <c r="O1099" s="306">
        <v>455</v>
      </c>
      <c r="P1099" s="306"/>
      <c r="Q1099" s="306"/>
      <c r="DJ1099" s="24"/>
      <c r="DK1099" s="24"/>
      <c r="DL1099" s="24"/>
      <c r="DM1099" s="24"/>
      <c r="EI1099" s="24">
        <v>2022</v>
      </c>
      <c r="EJ1099" s="24">
        <v>26</v>
      </c>
      <c r="EK1099" s="24" t="s">
        <v>211</v>
      </c>
      <c r="EL1099" s="24" t="s">
        <v>212</v>
      </c>
      <c r="EM1099" s="24" t="s">
        <v>210</v>
      </c>
      <c r="EN1099" s="24">
        <v>8</v>
      </c>
      <c r="EO1099" s="24"/>
      <c r="EP1099" s="24"/>
      <c r="FW1099" s="24">
        <v>2013</v>
      </c>
      <c r="FX1099" s="24">
        <v>2</v>
      </c>
      <c r="FY1099" s="24" t="s">
        <v>33</v>
      </c>
      <c r="FZ1099" s="24">
        <v>188</v>
      </c>
      <c r="GA1099" s="24">
        <v>182</v>
      </c>
    </row>
    <row r="1100" spans="9:183" x14ac:dyDescent="0.4">
      <c r="I1100" s="305">
        <v>2013</v>
      </c>
      <c r="J1100" s="306">
        <v>2</v>
      </c>
      <c r="K1100" s="306" t="s">
        <v>33</v>
      </c>
      <c r="L1100" s="306">
        <v>14982</v>
      </c>
      <c r="M1100" s="306">
        <v>14419</v>
      </c>
      <c r="N1100" s="306"/>
      <c r="O1100" s="306">
        <v>562</v>
      </c>
      <c r="P1100" s="306"/>
      <c r="Q1100" s="306"/>
      <c r="DJ1100" s="24"/>
      <c r="DK1100" s="24"/>
      <c r="DL1100" s="24"/>
      <c r="DM1100" s="24"/>
      <c r="EI1100" s="24">
        <v>2022</v>
      </c>
      <c r="EJ1100" s="24">
        <v>26</v>
      </c>
      <c r="EK1100" s="24" t="s">
        <v>211</v>
      </c>
      <c r="EL1100" s="24" t="s">
        <v>212</v>
      </c>
      <c r="EM1100" s="24" t="s">
        <v>234</v>
      </c>
      <c r="EN1100" s="24">
        <v>7</v>
      </c>
      <c r="EO1100" s="24"/>
      <c r="EP1100" s="24"/>
      <c r="FW1100" s="24">
        <v>2013</v>
      </c>
      <c r="FX1100" s="24">
        <v>1</v>
      </c>
      <c r="FY1100" s="24" t="s">
        <v>32</v>
      </c>
      <c r="FZ1100" s="24">
        <v>19</v>
      </c>
      <c r="GA1100" s="24">
        <v>14</v>
      </c>
    </row>
    <row r="1101" spans="9:183" x14ac:dyDescent="0.4">
      <c r="I1101" s="305">
        <v>2013</v>
      </c>
      <c r="J1101" s="306">
        <v>1</v>
      </c>
      <c r="K1101" s="306" t="s">
        <v>32</v>
      </c>
      <c r="L1101" s="306">
        <v>831</v>
      </c>
      <c r="M1101" s="306">
        <v>531</v>
      </c>
      <c r="N1101" s="306"/>
      <c r="O1101" s="306">
        <v>300</v>
      </c>
      <c r="P1101" s="306"/>
      <c r="Q1101" s="306"/>
      <c r="DJ1101" s="24"/>
      <c r="DK1101" s="24"/>
      <c r="DL1101" s="24"/>
      <c r="DM1101" s="24"/>
      <c r="EI1101" s="24">
        <v>2022</v>
      </c>
      <c r="EJ1101" s="24">
        <v>26</v>
      </c>
      <c r="EK1101" s="24" t="s">
        <v>211</v>
      </c>
      <c r="EL1101" s="24" t="s">
        <v>247</v>
      </c>
      <c r="EM1101" s="24" t="s">
        <v>210</v>
      </c>
      <c r="EN1101" s="24">
        <v>14</v>
      </c>
      <c r="EO1101" s="24"/>
      <c r="EP1101" s="24"/>
      <c r="FW1101" s="327">
        <v>2013</v>
      </c>
      <c r="FX1101" s="327">
        <v>1</v>
      </c>
      <c r="FY1101" s="327" t="s">
        <v>33</v>
      </c>
      <c r="FZ1101" s="327">
        <v>184</v>
      </c>
      <c r="GA1101" s="327">
        <v>162</v>
      </c>
    </row>
    <row r="1102" spans="9:183" x14ac:dyDescent="0.4">
      <c r="I1102" s="305">
        <v>2013</v>
      </c>
      <c r="J1102" s="306">
        <v>1</v>
      </c>
      <c r="K1102" s="306" t="s">
        <v>33</v>
      </c>
      <c r="L1102" s="306">
        <v>14140</v>
      </c>
      <c r="M1102" s="306">
        <v>13565</v>
      </c>
      <c r="N1102" s="306"/>
      <c r="O1102" s="306">
        <v>570</v>
      </c>
      <c r="P1102" s="306"/>
      <c r="Q1102" s="306"/>
      <c r="DJ1102" s="24"/>
      <c r="DK1102" s="24"/>
      <c r="DL1102" s="24"/>
      <c r="DM1102" s="24"/>
      <c r="EI1102" s="24">
        <v>2022</v>
      </c>
      <c r="EJ1102" s="24">
        <v>25</v>
      </c>
      <c r="EK1102" s="24" t="s">
        <v>208</v>
      </c>
      <c r="EL1102" s="24" t="s">
        <v>555</v>
      </c>
      <c r="EM1102" s="24" t="s">
        <v>215</v>
      </c>
      <c r="EN1102" s="24">
        <v>1</v>
      </c>
      <c r="EO1102" s="24"/>
      <c r="EP1102" s="24"/>
      <c r="FW1102" s="327">
        <v>2012</v>
      </c>
      <c r="FX1102" s="327">
        <v>53</v>
      </c>
      <c r="FY1102" s="327" t="s">
        <v>32</v>
      </c>
      <c r="FZ1102" s="327">
        <v>8</v>
      </c>
      <c r="GA1102" s="327">
        <v>7</v>
      </c>
    </row>
    <row r="1103" spans="9:183" x14ac:dyDescent="0.4">
      <c r="I1103" s="305">
        <v>2012</v>
      </c>
      <c r="J1103" s="306">
        <v>53</v>
      </c>
      <c r="K1103" s="306" t="s">
        <v>32</v>
      </c>
      <c r="L1103" s="306">
        <v>256</v>
      </c>
      <c r="M1103" s="306">
        <v>164</v>
      </c>
      <c r="N1103" s="306"/>
      <c r="O1103" s="306">
        <v>92</v>
      </c>
      <c r="P1103" s="306"/>
      <c r="Q1103" s="306"/>
      <c r="DJ1103" s="24"/>
      <c r="DK1103" s="24"/>
      <c r="DL1103" s="24"/>
      <c r="DM1103" s="24"/>
      <c r="EI1103" s="24">
        <v>2022</v>
      </c>
      <c r="EJ1103" s="24">
        <v>25</v>
      </c>
      <c r="EK1103" s="24" t="s">
        <v>208</v>
      </c>
      <c r="EL1103" s="24" t="s">
        <v>554</v>
      </c>
      <c r="EM1103" s="24" t="s">
        <v>234</v>
      </c>
      <c r="EN1103" s="24">
        <v>1</v>
      </c>
      <c r="EO1103" s="24"/>
      <c r="EP1103" s="24"/>
      <c r="FW1103" s="327">
        <v>2012</v>
      </c>
      <c r="FX1103" s="327">
        <v>53</v>
      </c>
      <c r="FY1103" s="327" t="s">
        <v>33</v>
      </c>
      <c r="FZ1103" s="327">
        <v>41</v>
      </c>
      <c r="GA1103" s="327">
        <v>39</v>
      </c>
    </row>
    <row r="1104" spans="9:183" x14ac:dyDescent="0.4">
      <c r="I1104" s="305">
        <v>2012</v>
      </c>
      <c r="J1104" s="306">
        <v>53</v>
      </c>
      <c r="K1104" s="306" t="s">
        <v>33</v>
      </c>
      <c r="L1104" s="306">
        <v>3930</v>
      </c>
      <c r="M1104" s="306">
        <v>3717</v>
      </c>
      <c r="N1104" s="306"/>
      <c r="O1104" s="306">
        <v>212</v>
      </c>
      <c r="P1104" s="306"/>
      <c r="Q1104" s="306"/>
      <c r="DJ1104" s="24"/>
      <c r="DK1104" s="24"/>
      <c r="DL1104" s="24"/>
      <c r="DM1104" s="24"/>
      <c r="EI1104" s="24">
        <v>2022</v>
      </c>
      <c r="EJ1104" s="24">
        <v>25</v>
      </c>
      <c r="EK1104" s="24" t="s">
        <v>208</v>
      </c>
      <c r="EL1104" s="24" t="s">
        <v>351</v>
      </c>
      <c r="EM1104" s="24" t="s">
        <v>234</v>
      </c>
      <c r="EN1104" s="24">
        <v>11</v>
      </c>
      <c r="EO1104" s="24"/>
      <c r="EP1104" s="24"/>
      <c r="FW1104" s="24"/>
      <c r="FX1104" s="24"/>
      <c r="FY1104" s="24"/>
      <c r="FZ1104" s="24"/>
      <c r="GA1104" s="24"/>
    </row>
    <row r="1105" spans="9:183" x14ac:dyDescent="0.4">
      <c r="I1105" s="24"/>
      <c r="J1105" s="24"/>
      <c r="K1105" s="24"/>
      <c r="L1105" s="24"/>
      <c r="M1105" s="24"/>
      <c r="N1105" s="24"/>
      <c r="O1105" s="24"/>
      <c r="P1105" s="24"/>
      <c r="Q1105" s="24"/>
      <c r="DJ1105" s="24"/>
      <c r="DK1105" s="24"/>
      <c r="DL1105" s="24"/>
      <c r="DM1105" s="24"/>
      <c r="EI1105" s="24">
        <v>2022</v>
      </c>
      <c r="EJ1105" s="24">
        <v>25</v>
      </c>
      <c r="EK1105" s="24" t="s">
        <v>208</v>
      </c>
      <c r="EL1105" s="24" t="s">
        <v>351</v>
      </c>
      <c r="EM1105" s="24" t="s">
        <v>215</v>
      </c>
      <c r="EN1105" s="24">
        <v>1</v>
      </c>
      <c r="EO1105" s="24"/>
      <c r="EP1105" s="24"/>
      <c r="FW1105" s="24"/>
      <c r="FX1105" s="24"/>
      <c r="FY1105" s="24"/>
      <c r="FZ1105" s="24"/>
      <c r="GA1105" s="24"/>
    </row>
    <row r="1106" spans="9:183" x14ac:dyDescent="0.4">
      <c r="I1106" s="24"/>
      <c r="J1106" s="24"/>
      <c r="K1106" s="24"/>
      <c r="L1106" s="24"/>
      <c r="M1106" s="24"/>
      <c r="N1106" s="24"/>
      <c r="O1106" s="24"/>
      <c r="P1106" s="24"/>
      <c r="Q1106" s="24"/>
      <c r="DJ1106" s="24"/>
      <c r="DK1106" s="24"/>
      <c r="DL1106" s="24"/>
      <c r="DM1106" s="24"/>
      <c r="EI1106" s="24">
        <v>2022</v>
      </c>
      <c r="EJ1106" s="24">
        <v>25</v>
      </c>
      <c r="EK1106" s="24" t="s">
        <v>208</v>
      </c>
      <c r="EL1106" s="24" t="s">
        <v>235</v>
      </c>
      <c r="EM1106" s="24" t="s">
        <v>210</v>
      </c>
      <c r="EN1106" s="24">
        <v>12</v>
      </c>
      <c r="EO1106" s="24"/>
      <c r="EP1106" s="24"/>
      <c r="FW1106" s="24"/>
      <c r="FX1106" s="24"/>
      <c r="FY1106" s="24"/>
      <c r="FZ1106" s="24"/>
      <c r="GA1106" s="24"/>
    </row>
    <row r="1107" spans="9:183" x14ac:dyDescent="0.4">
      <c r="I1107" s="24"/>
      <c r="J1107" s="24"/>
      <c r="K1107" s="24"/>
      <c r="L1107" s="24"/>
      <c r="M1107" s="24"/>
      <c r="N1107" s="24"/>
      <c r="O1107" s="24"/>
      <c r="P1107" s="24"/>
      <c r="Q1107" s="24"/>
      <c r="DJ1107" s="24"/>
      <c r="DK1107" s="24"/>
      <c r="DL1107" s="24"/>
      <c r="DM1107" s="24"/>
      <c r="EI1107" s="24">
        <v>2022</v>
      </c>
      <c r="EJ1107" s="24">
        <v>25</v>
      </c>
      <c r="EK1107" s="24" t="s">
        <v>208</v>
      </c>
      <c r="EL1107" s="24" t="s">
        <v>235</v>
      </c>
      <c r="EM1107" s="24" t="s">
        <v>234</v>
      </c>
      <c r="EN1107" s="24">
        <v>16</v>
      </c>
      <c r="EO1107" s="24"/>
      <c r="EP1107" s="24"/>
      <c r="FW1107" s="24"/>
      <c r="FX1107" s="24"/>
      <c r="FY1107" s="24"/>
      <c r="FZ1107" s="24"/>
      <c r="GA1107" s="24"/>
    </row>
    <row r="1108" spans="9:183" x14ac:dyDescent="0.4">
      <c r="I1108" s="24"/>
      <c r="J1108" s="24"/>
      <c r="K1108" s="24"/>
      <c r="L1108" s="24"/>
      <c r="M1108" s="24"/>
      <c r="N1108" s="24"/>
      <c r="O1108" s="24"/>
      <c r="P1108" s="24"/>
      <c r="Q1108" s="24"/>
      <c r="DJ1108" s="24"/>
      <c r="DK1108" s="24"/>
      <c r="DL1108" s="24"/>
      <c r="DM1108" s="24"/>
      <c r="EI1108" s="24">
        <v>2022</v>
      </c>
      <c r="EJ1108" s="24">
        <v>25</v>
      </c>
      <c r="EK1108" s="24" t="s">
        <v>208</v>
      </c>
      <c r="EL1108" s="24" t="s">
        <v>235</v>
      </c>
      <c r="EM1108" s="24" t="s">
        <v>215</v>
      </c>
      <c r="EN1108" s="24">
        <v>8</v>
      </c>
      <c r="EO1108" s="24"/>
      <c r="EP1108" s="24"/>
      <c r="FW1108" s="24"/>
      <c r="FX1108" s="24"/>
      <c r="FY1108" s="24"/>
      <c r="FZ1108" s="24"/>
      <c r="GA1108" s="24"/>
    </row>
    <row r="1109" spans="9:183" x14ac:dyDescent="0.4">
      <c r="I1109" s="24"/>
      <c r="J1109" s="24"/>
      <c r="K1109" s="24"/>
      <c r="L1109" s="24"/>
      <c r="M1109" s="24"/>
      <c r="N1109" s="24"/>
      <c r="O1109" s="24"/>
      <c r="P1109" s="24"/>
      <c r="Q1109" s="24"/>
      <c r="DJ1109" s="24"/>
      <c r="DK1109" s="24"/>
      <c r="DL1109" s="24"/>
      <c r="DM1109" s="24"/>
      <c r="EI1109" s="24">
        <v>2022</v>
      </c>
      <c r="EJ1109" s="24">
        <v>25</v>
      </c>
      <c r="EK1109" s="24" t="s">
        <v>208</v>
      </c>
      <c r="EL1109" s="24" t="s">
        <v>209</v>
      </c>
      <c r="EM1109" s="24" t="s">
        <v>210</v>
      </c>
      <c r="EN1109" s="24">
        <v>6</v>
      </c>
      <c r="EO1109" s="24"/>
      <c r="EP1109" s="24"/>
      <c r="FW1109" s="24"/>
      <c r="FX1109" s="24"/>
      <c r="FY1109" s="24"/>
      <c r="FZ1109" s="24"/>
      <c r="GA1109" s="24"/>
    </row>
    <row r="1110" spans="9:183" x14ac:dyDescent="0.4">
      <c r="I1110" s="24"/>
      <c r="J1110" s="24"/>
      <c r="K1110" s="24"/>
      <c r="L1110" s="24"/>
      <c r="M1110" s="24"/>
      <c r="N1110" s="24"/>
      <c r="O1110" s="24"/>
      <c r="P1110" s="24"/>
      <c r="Q1110" s="24"/>
      <c r="DJ1110" s="24"/>
      <c r="DK1110" s="24"/>
      <c r="DL1110" s="24"/>
      <c r="DM1110" s="24"/>
      <c r="EI1110" s="24">
        <v>2022</v>
      </c>
      <c r="EJ1110" s="24">
        <v>25</v>
      </c>
      <c r="EK1110" s="24" t="s">
        <v>208</v>
      </c>
      <c r="EL1110" s="24" t="s">
        <v>209</v>
      </c>
      <c r="EM1110" s="24" t="s">
        <v>215</v>
      </c>
      <c r="EN1110" s="24">
        <v>1</v>
      </c>
      <c r="EO1110" s="24"/>
      <c r="EP1110" s="24"/>
      <c r="FW1110" s="24"/>
      <c r="FX1110" s="24"/>
      <c r="FY1110" s="24"/>
      <c r="FZ1110" s="24"/>
      <c r="GA1110" s="24"/>
    </row>
    <row r="1111" spans="9:183" x14ac:dyDescent="0.4">
      <c r="I1111" s="24"/>
      <c r="J1111" s="24"/>
      <c r="K1111" s="24"/>
      <c r="L1111" s="24"/>
      <c r="M1111" s="24"/>
      <c r="N1111" s="24"/>
      <c r="O1111" s="24"/>
      <c r="P1111" s="24"/>
      <c r="Q1111" s="24"/>
      <c r="DJ1111" s="24"/>
      <c r="DK1111" s="24"/>
      <c r="DL1111" s="24"/>
      <c r="DM1111" s="24"/>
      <c r="EI1111" s="24">
        <v>2022</v>
      </c>
      <c r="EJ1111" s="24">
        <v>25</v>
      </c>
      <c r="EK1111" s="24" t="s">
        <v>208</v>
      </c>
      <c r="EL1111" s="24" t="s">
        <v>247</v>
      </c>
      <c r="EM1111" s="24" t="s">
        <v>234</v>
      </c>
      <c r="EN1111" s="24">
        <v>1</v>
      </c>
      <c r="EO1111" s="24"/>
      <c r="EP1111" s="24"/>
      <c r="FW1111" s="24"/>
      <c r="FX1111" s="24"/>
      <c r="FY1111" s="24"/>
      <c r="FZ1111" s="24"/>
      <c r="GA1111" s="24"/>
    </row>
    <row r="1112" spans="9:183" x14ac:dyDescent="0.4">
      <c r="I1112" s="24"/>
      <c r="J1112" s="24"/>
      <c r="K1112" s="24"/>
      <c r="L1112" s="24"/>
      <c r="M1112" s="24"/>
      <c r="N1112" s="24"/>
      <c r="O1112" s="24"/>
      <c r="P1112" s="24"/>
      <c r="Q1112" s="24"/>
      <c r="DJ1112" s="24"/>
      <c r="DK1112" s="24"/>
      <c r="DL1112" s="24"/>
      <c r="DM1112" s="24"/>
      <c r="EI1112" s="24">
        <v>2022</v>
      </c>
      <c r="EJ1112" s="24">
        <v>25</v>
      </c>
      <c r="EK1112" s="24" t="s">
        <v>208</v>
      </c>
      <c r="EL1112" s="24" t="s">
        <v>247</v>
      </c>
      <c r="EM1112" s="24" t="s">
        <v>215</v>
      </c>
      <c r="EN1112" s="24">
        <v>3</v>
      </c>
      <c r="EO1112" s="24"/>
      <c r="EP1112" s="24"/>
      <c r="FW1112" s="24"/>
      <c r="FX1112" s="24"/>
      <c r="FY1112" s="24"/>
      <c r="FZ1112" s="24"/>
      <c r="GA1112" s="24"/>
    </row>
    <row r="1113" spans="9:183" x14ac:dyDescent="0.4">
      <c r="I1113" s="24"/>
      <c r="J1113" s="24"/>
      <c r="K1113" s="24"/>
      <c r="L1113" s="24"/>
      <c r="M1113" s="24"/>
      <c r="N1113" s="24"/>
      <c r="O1113" s="24"/>
      <c r="P1113" s="24"/>
      <c r="Q1113" s="24"/>
      <c r="DJ1113" s="24"/>
      <c r="DK1113" s="24"/>
      <c r="DL1113" s="24"/>
      <c r="DM1113" s="24"/>
      <c r="EI1113" s="24">
        <v>2022</v>
      </c>
      <c r="EJ1113" s="24">
        <v>25</v>
      </c>
      <c r="EK1113" s="24" t="s">
        <v>33</v>
      </c>
      <c r="EL1113" s="24" t="s">
        <v>235</v>
      </c>
      <c r="EM1113" s="24" t="s">
        <v>210</v>
      </c>
      <c r="EN1113" s="24">
        <v>1</v>
      </c>
      <c r="EO1113" s="24"/>
      <c r="EP1113" s="24"/>
      <c r="FW1113" s="24"/>
      <c r="FX1113" s="24"/>
      <c r="FY1113" s="24"/>
      <c r="FZ1113" s="24"/>
      <c r="GA1113" s="24"/>
    </row>
    <row r="1114" spans="9:183" x14ac:dyDescent="0.4">
      <c r="I1114" s="24"/>
      <c r="J1114" s="24"/>
      <c r="K1114" s="24"/>
      <c r="L1114" s="24"/>
      <c r="M1114" s="24"/>
      <c r="N1114" s="24"/>
      <c r="O1114" s="24"/>
      <c r="P1114" s="24"/>
      <c r="Q1114" s="24"/>
      <c r="DJ1114" s="24"/>
      <c r="DK1114" s="24"/>
      <c r="DL1114" s="24"/>
      <c r="DM1114" s="24"/>
      <c r="EI1114" s="24">
        <v>2022</v>
      </c>
      <c r="EJ1114" s="24">
        <v>25</v>
      </c>
      <c r="EK1114" s="24" t="s">
        <v>237</v>
      </c>
      <c r="EL1114" s="24" t="s">
        <v>556</v>
      </c>
      <c r="EM1114" s="24" t="s">
        <v>234</v>
      </c>
      <c r="EN1114" s="24">
        <v>2</v>
      </c>
      <c r="EO1114" s="24"/>
      <c r="EP1114" s="24"/>
      <c r="FW1114" s="24"/>
      <c r="FX1114" s="24"/>
      <c r="FY1114" s="24"/>
      <c r="FZ1114" s="24"/>
      <c r="GA1114" s="24"/>
    </row>
    <row r="1115" spans="9:183" x14ac:dyDescent="0.4">
      <c r="I1115" s="24"/>
      <c r="J1115" s="24"/>
      <c r="K1115" s="24"/>
      <c r="L1115" s="24"/>
      <c r="M1115" s="24"/>
      <c r="N1115" s="24"/>
      <c r="O1115" s="24"/>
      <c r="P1115" s="24"/>
      <c r="Q1115" s="24"/>
      <c r="DJ1115" s="24"/>
      <c r="DK1115" s="24"/>
      <c r="DL1115" s="24"/>
      <c r="DM1115" s="24"/>
      <c r="EI1115" s="24">
        <v>2022</v>
      </c>
      <c r="EJ1115" s="24">
        <v>25</v>
      </c>
      <c r="EK1115" s="24" t="s">
        <v>211</v>
      </c>
      <c r="EL1115" s="24" t="s">
        <v>232</v>
      </c>
      <c r="EM1115" s="24" t="s">
        <v>210</v>
      </c>
      <c r="EN1115" s="24">
        <v>90</v>
      </c>
      <c r="EO1115" s="24"/>
      <c r="EP1115" s="24"/>
      <c r="FW1115" s="24"/>
      <c r="FX1115" s="24"/>
      <c r="FY1115" s="24"/>
      <c r="FZ1115" s="24"/>
      <c r="GA1115" s="24"/>
    </row>
    <row r="1116" spans="9:183" x14ac:dyDescent="0.4">
      <c r="I1116" s="24"/>
      <c r="J1116" s="24"/>
      <c r="K1116" s="24"/>
      <c r="L1116" s="24"/>
      <c r="M1116" s="24"/>
      <c r="N1116" s="24"/>
      <c r="O1116" s="24"/>
      <c r="P1116" s="24"/>
      <c r="Q1116" s="24"/>
      <c r="DJ1116" s="24"/>
      <c r="DK1116" s="24"/>
      <c r="DL1116" s="24"/>
      <c r="DM1116" s="24"/>
      <c r="EI1116" s="24">
        <v>2022</v>
      </c>
      <c r="EJ1116" s="24">
        <v>25</v>
      </c>
      <c r="EK1116" s="24" t="s">
        <v>211</v>
      </c>
      <c r="EL1116" s="24" t="s">
        <v>232</v>
      </c>
      <c r="EM1116" s="24" t="s">
        <v>234</v>
      </c>
      <c r="EN1116" s="24">
        <v>2</v>
      </c>
      <c r="EO1116" s="24"/>
      <c r="EP1116" s="24"/>
      <c r="FW1116" s="24"/>
      <c r="FX1116" s="24"/>
      <c r="FY1116" s="24"/>
      <c r="FZ1116" s="24"/>
      <c r="GA1116" s="24"/>
    </row>
    <row r="1117" spans="9:183" x14ac:dyDescent="0.4">
      <c r="I1117" s="24"/>
      <c r="J1117" s="24"/>
      <c r="K1117" s="24"/>
      <c r="L1117" s="24"/>
      <c r="M1117" s="24"/>
      <c r="N1117" s="24"/>
      <c r="O1117" s="24"/>
      <c r="P1117" s="24"/>
      <c r="Q1117" s="24"/>
      <c r="DJ1117" s="24"/>
      <c r="DK1117" s="24"/>
      <c r="DL1117" s="24"/>
      <c r="DM1117" s="24"/>
      <c r="EI1117" s="24">
        <v>2022</v>
      </c>
      <c r="EJ1117" s="24">
        <v>25</v>
      </c>
      <c r="EK1117" s="24" t="s">
        <v>211</v>
      </c>
      <c r="EL1117" s="24" t="s">
        <v>212</v>
      </c>
      <c r="EM1117" s="24" t="s">
        <v>210</v>
      </c>
      <c r="EN1117" s="24">
        <v>9</v>
      </c>
      <c r="EO1117" s="24"/>
      <c r="EP1117" s="24"/>
      <c r="FW1117" s="24"/>
      <c r="FX1117" s="24"/>
      <c r="FY1117" s="24"/>
      <c r="FZ1117" s="24"/>
      <c r="GA1117" s="24"/>
    </row>
    <row r="1118" spans="9:183" x14ac:dyDescent="0.4">
      <c r="I1118" s="24"/>
      <c r="J1118" s="24"/>
      <c r="K1118" s="24"/>
      <c r="L1118" s="24"/>
      <c r="M1118" s="24"/>
      <c r="N1118" s="24"/>
      <c r="O1118" s="24"/>
      <c r="P1118" s="24"/>
      <c r="Q1118" s="24"/>
      <c r="DJ1118" s="24"/>
      <c r="DK1118" s="24"/>
      <c r="DL1118" s="24"/>
      <c r="DM1118" s="24"/>
      <c r="EI1118" s="24">
        <v>2022</v>
      </c>
      <c r="EJ1118" s="24">
        <v>25</v>
      </c>
      <c r="EK1118" s="24" t="s">
        <v>211</v>
      </c>
      <c r="EL1118" s="24" t="s">
        <v>212</v>
      </c>
      <c r="EM1118" s="24" t="s">
        <v>234</v>
      </c>
      <c r="EN1118" s="24">
        <v>12</v>
      </c>
      <c r="EO1118" s="24"/>
      <c r="EP1118" s="24"/>
      <c r="FW1118" s="24"/>
      <c r="FX1118" s="24"/>
      <c r="FY1118" s="24"/>
      <c r="FZ1118" s="24"/>
      <c r="GA1118" s="24"/>
    </row>
    <row r="1119" spans="9:183" x14ac:dyDescent="0.4">
      <c r="I1119" s="24"/>
      <c r="J1119" s="24"/>
      <c r="K1119" s="24"/>
      <c r="L1119" s="24"/>
      <c r="M1119" s="24"/>
      <c r="N1119" s="24"/>
      <c r="O1119" s="24"/>
      <c r="P1119" s="24"/>
      <c r="Q1119" s="24"/>
      <c r="DJ1119" s="24"/>
      <c r="DK1119" s="24"/>
      <c r="DL1119" s="24"/>
      <c r="DM1119" s="24"/>
      <c r="EI1119" s="24">
        <v>2022</v>
      </c>
      <c r="EJ1119" s="24">
        <v>25</v>
      </c>
      <c r="EK1119" s="24" t="s">
        <v>211</v>
      </c>
      <c r="EL1119" s="24" t="s">
        <v>247</v>
      </c>
      <c r="EM1119" s="24" t="s">
        <v>210</v>
      </c>
      <c r="EN1119" s="24">
        <v>9</v>
      </c>
      <c r="EO1119" s="24"/>
      <c r="EP1119" s="24"/>
      <c r="FW1119" s="24"/>
      <c r="FX1119" s="24"/>
      <c r="FY1119" s="24"/>
      <c r="FZ1119" s="24"/>
      <c r="GA1119" s="24"/>
    </row>
    <row r="1120" spans="9:183" x14ac:dyDescent="0.4">
      <c r="I1120" s="24"/>
      <c r="J1120" s="24"/>
      <c r="K1120" s="24"/>
      <c r="L1120" s="24"/>
      <c r="M1120" s="24"/>
      <c r="N1120" s="24"/>
      <c r="O1120" s="24"/>
      <c r="P1120" s="24"/>
      <c r="Q1120" s="24"/>
      <c r="EI1120" s="24">
        <v>2022</v>
      </c>
      <c r="EJ1120" s="24">
        <v>25</v>
      </c>
      <c r="EK1120" s="24" t="s">
        <v>211</v>
      </c>
      <c r="EL1120" s="24" t="s">
        <v>247</v>
      </c>
      <c r="EM1120" s="24" t="s">
        <v>234</v>
      </c>
      <c r="EN1120" s="24">
        <v>6</v>
      </c>
      <c r="EO1120" s="24"/>
      <c r="EP1120" s="24"/>
      <c r="FW1120" s="24"/>
      <c r="FX1120" s="24"/>
      <c r="FY1120" s="24"/>
      <c r="FZ1120" s="24"/>
      <c r="GA1120" s="24"/>
    </row>
    <row r="1121" spans="9:183" x14ac:dyDescent="0.4">
      <c r="I1121" s="24"/>
      <c r="J1121" s="24"/>
      <c r="K1121" s="24"/>
      <c r="L1121" s="24"/>
      <c r="M1121" s="24"/>
      <c r="N1121" s="24"/>
      <c r="O1121" s="24"/>
      <c r="P1121" s="24"/>
      <c r="Q1121" s="24"/>
      <c r="EI1121" s="24">
        <v>2022</v>
      </c>
      <c r="EJ1121" s="24">
        <v>25</v>
      </c>
      <c r="EK1121" s="24" t="s">
        <v>213</v>
      </c>
      <c r="EL1121" s="24" t="s">
        <v>214</v>
      </c>
      <c r="EM1121" s="24" t="s">
        <v>215</v>
      </c>
      <c r="EN1121" s="24">
        <v>78</v>
      </c>
      <c r="EO1121" s="24"/>
      <c r="EP1121" s="24"/>
      <c r="FW1121" s="24"/>
      <c r="FX1121" s="24"/>
      <c r="FY1121" s="24"/>
      <c r="FZ1121" s="24"/>
      <c r="GA1121" s="24"/>
    </row>
    <row r="1122" spans="9:183" x14ac:dyDescent="0.4">
      <c r="I1122" s="24"/>
      <c r="J1122" s="24"/>
      <c r="K1122" s="24"/>
      <c r="L1122" s="24"/>
      <c r="M1122" s="24"/>
      <c r="N1122" s="24"/>
      <c r="O1122" s="24"/>
      <c r="P1122" s="24"/>
      <c r="Q1122" s="24"/>
      <c r="EI1122" s="24">
        <v>2022</v>
      </c>
      <c r="EJ1122" s="24">
        <v>24</v>
      </c>
      <c r="EK1122" s="24" t="s">
        <v>208</v>
      </c>
      <c r="EL1122" s="24" t="s">
        <v>554</v>
      </c>
      <c r="EM1122" s="24" t="s">
        <v>234</v>
      </c>
      <c r="EN1122" s="24">
        <v>2</v>
      </c>
      <c r="EO1122" s="24"/>
      <c r="EP1122" s="24"/>
      <c r="FW1122" s="24"/>
      <c r="FX1122" s="24"/>
      <c r="FY1122" s="24"/>
      <c r="FZ1122" s="24"/>
      <c r="GA1122" s="24"/>
    </row>
    <row r="1123" spans="9:183" x14ac:dyDescent="0.4">
      <c r="I1123" s="24"/>
      <c r="J1123" s="24"/>
      <c r="K1123" s="24"/>
      <c r="L1123" s="24"/>
      <c r="M1123" s="24"/>
      <c r="N1123" s="24"/>
      <c r="O1123" s="24"/>
      <c r="P1123" s="24"/>
      <c r="Q1123" s="24"/>
      <c r="EI1123" s="24">
        <v>2022</v>
      </c>
      <c r="EJ1123" s="24">
        <v>24</v>
      </c>
      <c r="EK1123" s="24" t="s">
        <v>208</v>
      </c>
      <c r="EL1123" s="24" t="s">
        <v>351</v>
      </c>
      <c r="EM1123" s="24" t="s">
        <v>234</v>
      </c>
      <c r="EN1123" s="24">
        <v>19</v>
      </c>
      <c r="EO1123" s="24"/>
      <c r="EP1123" s="24"/>
      <c r="FW1123" s="24"/>
      <c r="FX1123" s="24"/>
      <c r="FY1123" s="24"/>
      <c r="FZ1123" s="24"/>
      <c r="GA1123" s="24"/>
    </row>
    <row r="1124" spans="9:183" x14ac:dyDescent="0.4">
      <c r="I1124" s="24"/>
      <c r="J1124" s="24"/>
      <c r="K1124" s="24"/>
      <c r="L1124" s="24"/>
      <c r="M1124" s="24"/>
      <c r="N1124" s="24"/>
      <c r="O1124" s="24"/>
      <c r="P1124" s="24"/>
      <c r="Q1124" s="24"/>
      <c r="EI1124" s="24">
        <v>2022</v>
      </c>
      <c r="EJ1124" s="24">
        <v>24</v>
      </c>
      <c r="EK1124" s="24" t="s">
        <v>208</v>
      </c>
      <c r="EL1124" s="24" t="s">
        <v>235</v>
      </c>
      <c r="EM1124" s="24" t="s">
        <v>210</v>
      </c>
      <c r="EN1124" s="24">
        <v>2</v>
      </c>
      <c r="EO1124" s="24"/>
      <c r="EP1124" s="24"/>
      <c r="FW1124" s="24"/>
      <c r="FX1124" s="24"/>
      <c r="FY1124" s="24"/>
      <c r="FZ1124" s="24"/>
      <c r="GA1124" s="24"/>
    </row>
    <row r="1125" spans="9:183" x14ac:dyDescent="0.4">
      <c r="I1125" s="24"/>
      <c r="J1125" s="24"/>
      <c r="K1125" s="24"/>
      <c r="L1125" s="24"/>
      <c r="M1125" s="24"/>
      <c r="N1125" s="24"/>
      <c r="O1125" s="24"/>
      <c r="P1125" s="24"/>
      <c r="Q1125" s="24"/>
      <c r="EI1125" s="24">
        <v>2022</v>
      </c>
      <c r="EJ1125" s="24">
        <v>24</v>
      </c>
      <c r="EK1125" s="24" t="s">
        <v>208</v>
      </c>
      <c r="EL1125" s="24" t="s">
        <v>235</v>
      </c>
      <c r="EM1125" s="24" t="s">
        <v>234</v>
      </c>
      <c r="EN1125" s="24">
        <v>18</v>
      </c>
      <c r="EO1125" s="24"/>
      <c r="EP1125" s="24"/>
      <c r="FW1125" s="24"/>
      <c r="FX1125" s="24"/>
      <c r="FY1125" s="24"/>
      <c r="FZ1125" s="24"/>
      <c r="GA1125" s="24"/>
    </row>
    <row r="1126" spans="9:183" x14ac:dyDescent="0.4">
      <c r="I1126" s="24"/>
      <c r="J1126" s="24"/>
      <c r="K1126" s="24"/>
      <c r="L1126" s="24"/>
      <c r="M1126" s="24"/>
      <c r="N1126" s="24"/>
      <c r="O1126" s="24"/>
      <c r="P1126" s="24"/>
      <c r="Q1126" s="24"/>
      <c r="EI1126" s="24">
        <v>2022</v>
      </c>
      <c r="EJ1126" s="24">
        <v>24</v>
      </c>
      <c r="EK1126" s="24" t="s">
        <v>208</v>
      </c>
      <c r="EL1126" s="24" t="s">
        <v>235</v>
      </c>
      <c r="EM1126" s="24" t="s">
        <v>215</v>
      </c>
      <c r="EN1126" s="24">
        <v>7</v>
      </c>
      <c r="EO1126" s="24"/>
      <c r="EP1126" s="24"/>
      <c r="FW1126" s="24"/>
      <c r="FX1126" s="24"/>
      <c r="FY1126" s="24"/>
      <c r="FZ1126" s="24"/>
      <c r="GA1126" s="24"/>
    </row>
    <row r="1127" spans="9:183" x14ac:dyDescent="0.4">
      <c r="I1127" s="24"/>
      <c r="J1127" s="24"/>
      <c r="K1127" s="24"/>
      <c r="L1127" s="24"/>
      <c r="M1127" s="24"/>
      <c r="N1127" s="24"/>
      <c r="O1127" s="24"/>
      <c r="P1127" s="24"/>
      <c r="Q1127" s="24"/>
      <c r="EI1127" s="24">
        <v>2022</v>
      </c>
      <c r="EJ1127" s="24">
        <v>24</v>
      </c>
      <c r="EK1127" s="24" t="s">
        <v>208</v>
      </c>
      <c r="EL1127" s="24" t="s">
        <v>209</v>
      </c>
      <c r="EM1127" s="24" t="s">
        <v>210</v>
      </c>
      <c r="EN1127" s="24">
        <v>7</v>
      </c>
      <c r="EO1127" s="24"/>
      <c r="EP1127" s="24"/>
      <c r="FW1127" s="24"/>
      <c r="FX1127" s="24"/>
      <c r="FY1127" s="24"/>
      <c r="FZ1127" s="24"/>
      <c r="GA1127" s="24"/>
    </row>
    <row r="1128" spans="9:183" x14ac:dyDescent="0.4">
      <c r="I1128" s="24"/>
      <c r="J1128" s="24"/>
      <c r="K1128" s="24"/>
      <c r="L1128" s="24"/>
      <c r="M1128" s="24"/>
      <c r="N1128" s="24"/>
      <c r="O1128" s="24"/>
      <c r="P1128" s="24"/>
      <c r="Q1128" s="24"/>
      <c r="EI1128" s="24">
        <v>2022</v>
      </c>
      <c r="EJ1128" s="24">
        <v>24</v>
      </c>
      <c r="EK1128" s="24" t="s">
        <v>208</v>
      </c>
      <c r="EL1128" s="24" t="s">
        <v>209</v>
      </c>
      <c r="EM1128" s="24" t="s">
        <v>234</v>
      </c>
      <c r="EN1128" s="24">
        <v>1</v>
      </c>
      <c r="EO1128" s="24"/>
      <c r="EP1128" s="24"/>
      <c r="FW1128" s="24"/>
      <c r="FX1128" s="24"/>
      <c r="FY1128" s="24"/>
      <c r="FZ1128" s="24"/>
      <c r="GA1128" s="24"/>
    </row>
    <row r="1129" spans="9:183" x14ac:dyDescent="0.4">
      <c r="I1129" s="24"/>
      <c r="J1129" s="24"/>
      <c r="K1129" s="24"/>
      <c r="L1129" s="24"/>
      <c r="M1129" s="24"/>
      <c r="N1129" s="24"/>
      <c r="O1129" s="24"/>
      <c r="P1129" s="24"/>
      <c r="Q1129" s="24"/>
      <c r="EI1129" s="24">
        <v>2022</v>
      </c>
      <c r="EJ1129" s="24">
        <v>24</v>
      </c>
      <c r="EK1129" s="24" t="s">
        <v>208</v>
      </c>
      <c r="EL1129" s="24" t="s">
        <v>209</v>
      </c>
      <c r="EM1129" s="24" t="s">
        <v>215</v>
      </c>
      <c r="EN1129" s="24">
        <v>1</v>
      </c>
      <c r="EO1129" s="24"/>
      <c r="EP1129" s="24"/>
      <c r="FW1129" s="24"/>
      <c r="FX1129" s="24"/>
      <c r="FY1129" s="24"/>
      <c r="FZ1129" s="24"/>
      <c r="GA1129" s="24"/>
    </row>
    <row r="1130" spans="9:183" x14ac:dyDescent="0.4">
      <c r="I1130" s="24"/>
      <c r="J1130" s="24"/>
      <c r="K1130" s="24"/>
      <c r="L1130" s="24"/>
      <c r="M1130" s="24"/>
      <c r="N1130" s="24"/>
      <c r="O1130" s="24"/>
      <c r="P1130" s="24"/>
      <c r="Q1130" s="24"/>
      <c r="EI1130" s="24">
        <v>2022</v>
      </c>
      <c r="EJ1130" s="24">
        <v>24</v>
      </c>
      <c r="EK1130" s="24" t="s">
        <v>208</v>
      </c>
      <c r="EL1130" s="24" t="s">
        <v>247</v>
      </c>
      <c r="EM1130" s="24" t="s">
        <v>234</v>
      </c>
      <c r="EN1130" s="24">
        <v>4</v>
      </c>
      <c r="EO1130" s="24"/>
      <c r="EP1130" s="24"/>
      <c r="FW1130" s="24"/>
      <c r="FX1130" s="24"/>
      <c r="FY1130" s="24"/>
      <c r="FZ1130" s="24"/>
      <c r="GA1130" s="24"/>
    </row>
    <row r="1131" spans="9:183" x14ac:dyDescent="0.4">
      <c r="I1131" s="24"/>
      <c r="J1131" s="24"/>
      <c r="K1131" s="24"/>
      <c r="L1131" s="24"/>
      <c r="M1131" s="24"/>
      <c r="N1131" s="24"/>
      <c r="O1131" s="24"/>
      <c r="P1131" s="24"/>
      <c r="Q1131" s="24"/>
      <c r="EI1131" s="24">
        <v>2022</v>
      </c>
      <c r="EJ1131" s="24">
        <v>24</v>
      </c>
      <c r="EK1131" s="24" t="s">
        <v>208</v>
      </c>
      <c r="EL1131" s="24" t="s">
        <v>247</v>
      </c>
      <c r="EM1131" s="24" t="s">
        <v>215</v>
      </c>
      <c r="EN1131" s="24">
        <v>6</v>
      </c>
      <c r="EO1131" s="24"/>
      <c r="EP1131" s="24"/>
      <c r="FW1131" s="24"/>
      <c r="FX1131" s="24"/>
      <c r="FY1131" s="24"/>
      <c r="FZ1131" s="24"/>
      <c r="GA1131" s="24"/>
    </row>
    <row r="1132" spans="9:183" x14ac:dyDescent="0.4">
      <c r="I1132" s="24"/>
      <c r="J1132" s="24"/>
      <c r="K1132" s="24"/>
      <c r="L1132" s="24"/>
      <c r="M1132" s="24"/>
      <c r="N1132" s="24"/>
      <c r="O1132" s="24"/>
      <c r="P1132" s="24"/>
      <c r="Q1132" s="24"/>
      <c r="EI1132" s="24">
        <v>2022</v>
      </c>
      <c r="EJ1132" s="24">
        <v>24</v>
      </c>
      <c r="EK1132" s="24" t="s">
        <v>33</v>
      </c>
      <c r="EL1132" s="24" t="s">
        <v>233</v>
      </c>
      <c r="EM1132" s="24" t="s">
        <v>210</v>
      </c>
      <c r="EN1132" s="24">
        <v>28</v>
      </c>
      <c r="EO1132" s="24"/>
      <c r="EP1132" s="24"/>
      <c r="FW1132" s="24"/>
      <c r="FX1132" s="24"/>
      <c r="FY1132" s="24"/>
      <c r="FZ1132" s="24"/>
      <c r="GA1132" s="24"/>
    </row>
    <row r="1133" spans="9:183" x14ac:dyDescent="0.4">
      <c r="I1133" s="24"/>
      <c r="J1133" s="24"/>
      <c r="K1133" s="24"/>
      <c r="L1133" s="24"/>
      <c r="M1133" s="24"/>
      <c r="N1133" s="24"/>
      <c r="O1133" s="24"/>
      <c r="P1133" s="24"/>
      <c r="Q1133" s="24"/>
      <c r="EI1133" s="24">
        <v>2022</v>
      </c>
      <c r="EJ1133" s="24">
        <v>24</v>
      </c>
      <c r="EK1133" s="24" t="s">
        <v>211</v>
      </c>
      <c r="EL1133" s="24" t="s">
        <v>232</v>
      </c>
      <c r="EM1133" s="24" t="s">
        <v>210</v>
      </c>
      <c r="EN1133" s="24">
        <v>6</v>
      </c>
      <c r="EO1133" s="24"/>
      <c r="EP1133" s="24"/>
      <c r="FW1133" s="24"/>
      <c r="FX1133" s="24"/>
      <c r="FY1133" s="24"/>
      <c r="FZ1133" s="24"/>
      <c r="GA1133" s="24"/>
    </row>
    <row r="1134" spans="9:183" x14ac:dyDescent="0.4">
      <c r="I1134" s="24"/>
      <c r="J1134" s="24"/>
      <c r="K1134" s="24"/>
      <c r="L1134" s="24"/>
      <c r="M1134" s="24"/>
      <c r="N1134" s="24"/>
      <c r="O1134" s="24"/>
      <c r="P1134" s="24"/>
      <c r="Q1134" s="24"/>
      <c r="EI1134" s="24">
        <v>2022</v>
      </c>
      <c r="EJ1134" s="24">
        <v>24</v>
      </c>
      <c r="EK1134" s="24" t="s">
        <v>211</v>
      </c>
      <c r="EL1134" s="24" t="s">
        <v>232</v>
      </c>
      <c r="EM1134" s="24" t="s">
        <v>234</v>
      </c>
      <c r="EN1134" s="24">
        <v>1</v>
      </c>
      <c r="EO1134" s="24"/>
      <c r="EP1134" s="24"/>
      <c r="FW1134" s="24"/>
      <c r="FX1134" s="24"/>
      <c r="FY1134" s="24"/>
      <c r="FZ1134" s="24"/>
      <c r="GA1134" s="24"/>
    </row>
    <row r="1135" spans="9:183" x14ac:dyDescent="0.4">
      <c r="I1135" s="24"/>
      <c r="J1135" s="24"/>
      <c r="K1135" s="24"/>
      <c r="L1135" s="24"/>
      <c r="M1135" s="24"/>
      <c r="N1135" s="24"/>
      <c r="O1135" s="24"/>
      <c r="P1135" s="24"/>
      <c r="Q1135" s="24"/>
      <c r="EI1135" s="24">
        <v>2022</v>
      </c>
      <c r="EJ1135" s="24">
        <v>24</v>
      </c>
      <c r="EK1135" s="24" t="s">
        <v>211</v>
      </c>
      <c r="EL1135" s="24" t="s">
        <v>212</v>
      </c>
      <c r="EM1135" s="24" t="s">
        <v>210</v>
      </c>
      <c r="EN1135" s="24">
        <v>9</v>
      </c>
      <c r="EO1135" s="24"/>
      <c r="EP1135" s="24"/>
      <c r="FW1135" s="24"/>
      <c r="FX1135" s="24"/>
      <c r="FY1135" s="24"/>
      <c r="FZ1135" s="24"/>
      <c r="GA1135" s="24"/>
    </row>
    <row r="1136" spans="9:183" x14ac:dyDescent="0.4">
      <c r="I1136" s="24"/>
      <c r="J1136" s="24"/>
      <c r="K1136" s="24"/>
      <c r="L1136" s="24"/>
      <c r="M1136" s="24"/>
      <c r="N1136" s="24"/>
      <c r="O1136" s="24"/>
      <c r="P1136" s="24"/>
      <c r="Q1136" s="24"/>
      <c r="EI1136" s="24">
        <v>2022</v>
      </c>
      <c r="EJ1136" s="24">
        <v>24</v>
      </c>
      <c r="EK1136" s="24" t="s">
        <v>211</v>
      </c>
      <c r="EL1136" s="24" t="s">
        <v>212</v>
      </c>
      <c r="EM1136" s="24" t="s">
        <v>234</v>
      </c>
      <c r="EN1136" s="24">
        <v>9</v>
      </c>
      <c r="EO1136" s="24"/>
      <c r="EP1136" s="24"/>
      <c r="FW1136" s="24"/>
      <c r="FX1136" s="24"/>
      <c r="FY1136" s="24"/>
      <c r="FZ1136" s="24"/>
      <c r="GA1136" s="24"/>
    </row>
    <row r="1137" spans="9:146" x14ac:dyDescent="0.4">
      <c r="I1137" s="24"/>
      <c r="J1137" s="24"/>
      <c r="K1137" s="24"/>
      <c r="L1137" s="24"/>
      <c r="M1137" s="24"/>
      <c r="N1137" s="24"/>
      <c r="O1137" s="24"/>
      <c r="P1137" s="24"/>
      <c r="Q1137" s="24"/>
      <c r="EI1137" s="24">
        <v>2022</v>
      </c>
      <c r="EJ1137" s="24">
        <v>24</v>
      </c>
      <c r="EK1137" s="24" t="s">
        <v>211</v>
      </c>
      <c r="EL1137" s="24" t="s">
        <v>247</v>
      </c>
      <c r="EM1137" s="24" t="s">
        <v>210</v>
      </c>
      <c r="EN1137" s="24">
        <v>36</v>
      </c>
      <c r="EO1137" s="24"/>
      <c r="EP1137" s="24"/>
    </row>
    <row r="1138" spans="9:146" x14ac:dyDescent="0.4">
      <c r="EI1138" s="24">
        <v>2022</v>
      </c>
      <c r="EJ1138" s="24">
        <v>24</v>
      </c>
      <c r="EK1138" s="24" t="s">
        <v>211</v>
      </c>
      <c r="EL1138" s="24" t="s">
        <v>247</v>
      </c>
      <c r="EM1138" s="24" t="s">
        <v>234</v>
      </c>
      <c r="EN1138" s="24">
        <v>6</v>
      </c>
      <c r="EO1138" s="24"/>
      <c r="EP1138" s="24"/>
    </row>
    <row r="1139" spans="9:146" x14ac:dyDescent="0.4">
      <c r="EI1139" s="24">
        <v>2022</v>
      </c>
      <c r="EJ1139" s="24">
        <v>23</v>
      </c>
      <c r="EK1139" s="24" t="s">
        <v>208</v>
      </c>
      <c r="EL1139" s="24" t="s">
        <v>554</v>
      </c>
      <c r="EM1139" s="24" t="s">
        <v>234</v>
      </c>
      <c r="EN1139" s="24">
        <v>3</v>
      </c>
      <c r="EO1139" s="24"/>
      <c r="EP1139" s="24"/>
    </row>
    <row r="1140" spans="9:146" x14ac:dyDescent="0.4">
      <c r="EI1140" s="24">
        <v>2022</v>
      </c>
      <c r="EJ1140" s="24">
        <v>23</v>
      </c>
      <c r="EK1140" s="24" t="s">
        <v>208</v>
      </c>
      <c r="EL1140" s="24" t="s">
        <v>351</v>
      </c>
      <c r="EM1140" s="24" t="s">
        <v>234</v>
      </c>
      <c r="EN1140" s="24">
        <v>4</v>
      </c>
      <c r="EO1140" s="24"/>
      <c r="EP1140" s="24"/>
    </row>
    <row r="1141" spans="9:146" x14ac:dyDescent="0.4">
      <c r="EI1141" s="24">
        <v>2022</v>
      </c>
      <c r="EJ1141" s="24">
        <v>23</v>
      </c>
      <c r="EK1141" s="24" t="s">
        <v>208</v>
      </c>
      <c r="EL1141" s="24" t="s">
        <v>235</v>
      </c>
      <c r="EM1141" s="24" t="s">
        <v>210</v>
      </c>
      <c r="EN1141" s="24">
        <v>6</v>
      </c>
      <c r="EO1141" s="24"/>
      <c r="EP1141" s="24"/>
    </row>
    <row r="1142" spans="9:146" x14ac:dyDescent="0.4">
      <c r="EI1142" s="24">
        <v>2022</v>
      </c>
      <c r="EJ1142" s="24">
        <v>23</v>
      </c>
      <c r="EK1142" s="24" t="s">
        <v>208</v>
      </c>
      <c r="EL1142" s="24" t="s">
        <v>235</v>
      </c>
      <c r="EM1142" s="24" t="s">
        <v>234</v>
      </c>
      <c r="EN1142" s="24">
        <v>13</v>
      </c>
      <c r="EO1142" s="24"/>
      <c r="EP1142" s="24"/>
    </row>
    <row r="1143" spans="9:146" x14ac:dyDescent="0.4">
      <c r="EI1143" s="24">
        <v>2022</v>
      </c>
      <c r="EJ1143" s="24">
        <v>23</v>
      </c>
      <c r="EK1143" s="24" t="s">
        <v>208</v>
      </c>
      <c r="EL1143" s="24" t="s">
        <v>235</v>
      </c>
      <c r="EM1143" s="24" t="s">
        <v>215</v>
      </c>
      <c r="EN1143" s="24">
        <v>4</v>
      </c>
      <c r="EO1143" s="24"/>
      <c r="EP1143" s="24"/>
    </row>
    <row r="1144" spans="9:146" x14ac:dyDescent="0.4">
      <c r="EI1144" s="24">
        <v>2022</v>
      </c>
      <c r="EJ1144" s="24">
        <v>23</v>
      </c>
      <c r="EK1144" s="24" t="s">
        <v>208</v>
      </c>
      <c r="EL1144" s="24" t="s">
        <v>209</v>
      </c>
      <c r="EM1144" s="24" t="s">
        <v>210</v>
      </c>
      <c r="EN1144" s="24">
        <v>7</v>
      </c>
      <c r="EO1144" s="24"/>
      <c r="EP1144" s="24"/>
    </row>
    <row r="1145" spans="9:146" x14ac:dyDescent="0.4">
      <c r="EI1145" s="24">
        <v>2022</v>
      </c>
      <c r="EJ1145" s="24">
        <v>23</v>
      </c>
      <c r="EK1145" s="24" t="s">
        <v>208</v>
      </c>
      <c r="EL1145" s="24" t="s">
        <v>209</v>
      </c>
      <c r="EM1145" s="24" t="s">
        <v>234</v>
      </c>
      <c r="EN1145" s="24">
        <v>2</v>
      </c>
      <c r="EO1145" s="24"/>
      <c r="EP1145" s="24"/>
    </row>
    <row r="1146" spans="9:146" x14ac:dyDescent="0.4">
      <c r="EI1146" s="24">
        <v>2022</v>
      </c>
      <c r="EJ1146" s="24">
        <v>23</v>
      </c>
      <c r="EK1146" s="24" t="s">
        <v>208</v>
      </c>
      <c r="EL1146" s="24" t="s">
        <v>247</v>
      </c>
      <c r="EM1146" s="24" t="s">
        <v>215</v>
      </c>
      <c r="EN1146" s="24">
        <v>2</v>
      </c>
      <c r="EO1146" s="24"/>
      <c r="EP1146" s="24"/>
    </row>
    <row r="1147" spans="9:146" x14ac:dyDescent="0.4">
      <c r="EI1147" s="24">
        <v>2022</v>
      </c>
      <c r="EJ1147" s="24">
        <v>23</v>
      </c>
      <c r="EK1147" s="24" t="s">
        <v>211</v>
      </c>
      <c r="EL1147" s="24" t="s">
        <v>212</v>
      </c>
      <c r="EM1147" s="24" t="s">
        <v>210</v>
      </c>
      <c r="EN1147" s="24">
        <v>18</v>
      </c>
      <c r="EO1147" s="24"/>
      <c r="EP1147" s="24"/>
    </row>
    <row r="1148" spans="9:146" x14ac:dyDescent="0.4">
      <c r="EI1148" s="24">
        <v>2022</v>
      </c>
      <c r="EJ1148" s="24">
        <v>23</v>
      </c>
      <c r="EK1148" s="24" t="s">
        <v>211</v>
      </c>
      <c r="EL1148" s="24" t="s">
        <v>212</v>
      </c>
      <c r="EM1148" s="24" t="s">
        <v>234</v>
      </c>
      <c r="EN1148" s="24">
        <v>14</v>
      </c>
      <c r="EO1148" s="24"/>
      <c r="EP1148" s="24"/>
    </row>
    <row r="1149" spans="9:146" x14ac:dyDescent="0.4">
      <c r="EI1149" s="24">
        <v>2022</v>
      </c>
      <c r="EJ1149" s="24">
        <v>23</v>
      </c>
      <c r="EK1149" s="24" t="s">
        <v>211</v>
      </c>
      <c r="EL1149" s="24" t="s">
        <v>247</v>
      </c>
      <c r="EM1149" s="24" t="s">
        <v>210</v>
      </c>
      <c r="EN1149" s="24">
        <v>4</v>
      </c>
      <c r="EO1149" s="24"/>
      <c r="EP1149" s="24"/>
    </row>
    <row r="1150" spans="9:146" x14ac:dyDescent="0.4">
      <c r="EI1150" s="24">
        <v>2022</v>
      </c>
      <c r="EJ1150" s="24">
        <v>23</v>
      </c>
      <c r="EK1150" s="24" t="s">
        <v>211</v>
      </c>
      <c r="EL1150" s="24" t="s">
        <v>247</v>
      </c>
      <c r="EM1150" s="24" t="s">
        <v>234</v>
      </c>
      <c r="EN1150" s="24">
        <v>10</v>
      </c>
      <c r="EO1150" s="24"/>
      <c r="EP1150" s="24"/>
    </row>
    <row r="1151" spans="9:146" x14ac:dyDescent="0.4">
      <c r="EI1151" s="24">
        <v>2022</v>
      </c>
      <c r="EJ1151" s="24">
        <v>22</v>
      </c>
      <c r="EK1151" s="24" t="s">
        <v>19</v>
      </c>
      <c r="EL1151" s="24" t="s">
        <v>235</v>
      </c>
      <c r="EM1151" s="24" t="s">
        <v>215</v>
      </c>
      <c r="EN1151" s="24">
        <v>2</v>
      </c>
      <c r="EO1151" s="24"/>
      <c r="EP1151" s="24"/>
    </row>
    <row r="1152" spans="9:146" x14ac:dyDescent="0.4">
      <c r="EI1152" s="24">
        <v>2022</v>
      </c>
      <c r="EJ1152" s="24">
        <v>22</v>
      </c>
      <c r="EK1152" s="24" t="s">
        <v>208</v>
      </c>
      <c r="EL1152" s="24" t="s">
        <v>352</v>
      </c>
      <c r="EM1152" s="24" t="s">
        <v>234</v>
      </c>
      <c r="EN1152" s="24">
        <v>1</v>
      </c>
      <c r="EO1152" s="24"/>
      <c r="EP1152" s="24"/>
    </row>
    <row r="1153" spans="139:146" x14ac:dyDescent="0.4">
      <c r="EI1153" s="24">
        <v>2022</v>
      </c>
      <c r="EJ1153" s="24">
        <v>22</v>
      </c>
      <c r="EK1153" s="24" t="s">
        <v>208</v>
      </c>
      <c r="EL1153" s="24" t="s">
        <v>554</v>
      </c>
      <c r="EM1153" s="24" t="s">
        <v>234</v>
      </c>
      <c r="EN1153" s="24">
        <v>10</v>
      </c>
      <c r="EO1153" s="24"/>
      <c r="EP1153" s="24"/>
    </row>
    <row r="1154" spans="139:146" x14ac:dyDescent="0.4">
      <c r="EI1154" s="24">
        <v>2022</v>
      </c>
      <c r="EJ1154" s="24">
        <v>22</v>
      </c>
      <c r="EK1154" s="24" t="s">
        <v>208</v>
      </c>
      <c r="EL1154" s="24" t="s">
        <v>351</v>
      </c>
      <c r="EM1154" s="24" t="s">
        <v>234</v>
      </c>
      <c r="EN1154" s="24">
        <v>5</v>
      </c>
      <c r="EO1154" s="24"/>
      <c r="EP1154" s="24"/>
    </row>
    <row r="1155" spans="139:146" x14ac:dyDescent="0.4">
      <c r="EI1155" s="24">
        <v>2022</v>
      </c>
      <c r="EJ1155" s="24">
        <v>22</v>
      </c>
      <c r="EK1155" s="24" t="s">
        <v>208</v>
      </c>
      <c r="EL1155" s="24" t="s">
        <v>235</v>
      </c>
      <c r="EM1155" s="24" t="s">
        <v>210</v>
      </c>
      <c r="EN1155" s="24">
        <v>1</v>
      </c>
      <c r="EO1155" s="24"/>
      <c r="EP1155" s="24"/>
    </row>
    <row r="1156" spans="139:146" x14ac:dyDescent="0.4">
      <c r="EI1156" s="24">
        <v>2022</v>
      </c>
      <c r="EJ1156" s="24">
        <v>22</v>
      </c>
      <c r="EK1156" s="24" t="s">
        <v>208</v>
      </c>
      <c r="EL1156" s="24" t="s">
        <v>235</v>
      </c>
      <c r="EM1156" s="24" t="s">
        <v>234</v>
      </c>
      <c r="EN1156" s="24">
        <v>6</v>
      </c>
      <c r="EO1156" s="24"/>
      <c r="EP1156" s="24"/>
    </row>
    <row r="1157" spans="139:146" x14ac:dyDescent="0.4">
      <c r="EI1157" s="24">
        <v>2022</v>
      </c>
      <c r="EJ1157" s="24">
        <v>22</v>
      </c>
      <c r="EK1157" s="24" t="s">
        <v>208</v>
      </c>
      <c r="EL1157" s="24" t="s">
        <v>235</v>
      </c>
      <c r="EM1157" s="24" t="s">
        <v>215</v>
      </c>
      <c r="EN1157" s="24">
        <v>1</v>
      </c>
      <c r="EO1157" s="24"/>
      <c r="EP1157" s="24"/>
    </row>
    <row r="1158" spans="139:146" x14ac:dyDescent="0.4">
      <c r="EI1158" s="24">
        <v>2022</v>
      </c>
      <c r="EJ1158" s="24">
        <v>22</v>
      </c>
      <c r="EK1158" s="24" t="s">
        <v>208</v>
      </c>
      <c r="EL1158" s="24" t="s">
        <v>209</v>
      </c>
      <c r="EM1158" s="24" t="s">
        <v>210</v>
      </c>
      <c r="EN1158" s="24">
        <v>10</v>
      </c>
      <c r="EO1158" s="24"/>
      <c r="EP1158" s="24"/>
    </row>
    <row r="1159" spans="139:146" x14ac:dyDescent="0.4">
      <c r="EI1159" s="24">
        <v>2022</v>
      </c>
      <c r="EJ1159" s="24">
        <v>22</v>
      </c>
      <c r="EK1159" s="24" t="s">
        <v>208</v>
      </c>
      <c r="EL1159" s="24" t="s">
        <v>209</v>
      </c>
      <c r="EM1159" s="24" t="s">
        <v>234</v>
      </c>
      <c r="EN1159" s="24">
        <v>1</v>
      </c>
      <c r="EO1159" s="24"/>
      <c r="EP1159" s="24"/>
    </row>
    <row r="1160" spans="139:146" x14ac:dyDescent="0.4">
      <c r="EI1160" s="24">
        <v>2022</v>
      </c>
      <c r="EJ1160" s="24">
        <v>22</v>
      </c>
      <c r="EK1160" s="24" t="s">
        <v>208</v>
      </c>
      <c r="EL1160" s="24" t="s">
        <v>247</v>
      </c>
      <c r="EM1160" s="24" t="s">
        <v>210</v>
      </c>
      <c r="EN1160" s="24">
        <v>1</v>
      </c>
      <c r="EO1160" s="24"/>
      <c r="EP1160" s="24"/>
    </row>
    <row r="1161" spans="139:146" x14ac:dyDescent="0.4">
      <c r="EI1161" s="24">
        <v>2022</v>
      </c>
      <c r="EJ1161" s="24">
        <v>22</v>
      </c>
      <c r="EK1161" s="24" t="s">
        <v>208</v>
      </c>
      <c r="EL1161" s="24" t="s">
        <v>247</v>
      </c>
      <c r="EM1161" s="24" t="s">
        <v>234</v>
      </c>
      <c r="EN1161" s="24">
        <v>2</v>
      </c>
      <c r="EO1161" s="24"/>
      <c r="EP1161" s="24"/>
    </row>
    <row r="1162" spans="139:146" x14ac:dyDescent="0.4">
      <c r="EI1162" s="24">
        <v>2022</v>
      </c>
      <c r="EJ1162" s="24">
        <v>22</v>
      </c>
      <c r="EK1162" s="24" t="s">
        <v>208</v>
      </c>
      <c r="EL1162" s="24" t="s">
        <v>247</v>
      </c>
      <c r="EM1162" s="24" t="s">
        <v>215</v>
      </c>
      <c r="EN1162" s="24">
        <v>3</v>
      </c>
      <c r="EO1162" s="24"/>
      <c r="EP1162" s="24"/>
    </row>
    <row r="1163" spans="139:146" x14ac:dyDescent="0.4">
      <c r="EI1163" s="24">
        <v>2022</v>
      </c>
      <c r="EJ1163" s="24">
        <v>22</v>
      </c>
      <c r="EK1163" s="24" t="s">
        <v>33</v>
      </c>
      <c r="EL1163" s="24" t="s">
        <v>233</v>
      </c>
      <c r="EM1163" s="24" t="s">
        <v>210</v>
      </c>
      <c r="EN1163" s="24">
        <v>8</v>
      </c>
      <c r="EO1163" s="24"/>
      <c r="EP1163" s="24"/>
    </row>
    <row r="1164" spans="139:146" x14ac:dyDescent="0.4">
      <c r="EI1164" s="24">
        <v>2022</v>
      </c>
      <c r="EJ1164" s="24">
        <v>22</v>
      </c>
      <c r="EK1164" s="24" t="s">
        <v>33</v>
      </c>
      <c r="EL1164" s="24" t="s">
        <v>244</v>
      </c>
      <c r="EM1164" s="24" t="s">
        <v>210</v>
      </c>
      <c r="EN1164" s="24">
        <v>17</v>
      </c>
      <c r="EO1164" s="24"/>
      <c r="EP1164" s="24"/>
    </row>
    <row r="1165" spans="139:146" x14ac:dyDescent="0.4">
      <c r="EI1165" s="24">
        <v>2022</v>
      </c>
      <c r="EJ1165" s="24">
        <v>22</v>
      </c>
      <c r="EK1165" s="24" t="s">
        <v>33</v>
      </c>
      <c r="EL1165" s="24" t="s">
        <v>235</v>
      </c>
      <c r="EM1165" s="24" t="s">
        <v>210</v>
      </c>
      <c r="EN1165" s="24">
        <v>14</v>
      </c>
      <c r="EO1165" s="24"/>
      <c r="EP1165" s="24"/>
    </row>
    <row r="1166" spans="139:146" x14ac:dyDescent="0.4">
      <c r="EI1166" s="24">
        <v>2022</v>
      </c>
      <c r="EJ1166" s="24">
        <v>22</v>
      </c>
      <c r="EK1166" s="24" t="s">
        <v>211</v>
      </c>
      <c r="EL1166" s="24" t="s">
        <v>232</v>
      </c>
      <c r="EM1166" s="24" t="s">
        <v>234</v>
      </c>
      <c r="EN1166" s="24">
        <v>1</v>
      </c>
      <c r="EO1166" s="24"/>
      <c r="EP1166" s="24"/>
    </row>
    <row r="1167" spans="139:146" x14ac:dyDescent="0.4">
      <c r="EI1167" s="24">
        <v>2022</v>
      </c>
      <c r="EJ1167" s="24">
        <v>22</v>
      </c>
      <c r="EK1167" s="24" t="s">
        <v>211</v>
      </c>
      <c r="EL1167" s="24" t="s">
        <v>212</v>
      </c>
      <c r="EM1167" s="24" t="s">
        <v>210</v>
      </c>
      <c r="EN1167" s="24">
        <v>14</v>
      </c>
      <c r="EO1167" s="24"/>
      <c r="EP1167" s="24"/>
    </row>
    <row r="1168" spans="139:146" x14ac:dyDescent="0.4">
      <c r="EI1168" s="24">
        <v>2022</v>
      </c>
      <c r="EJ1168" s="24">
        <v>22</v>
      </c>
      <c r="EK1168" s="24" t="s">
        <v>211</v>
      </c>
      <c r="EL1168" s="24" t="s">
        <v>212</v>
      </c>
      <c r="EM1168" s="24" t="s">
        <v>234</v>
      </c>
      <c r="EN1168" s="24">
        <v>7</v>
      </c>
      <c r="EO1168" s="24"/>
      <c r="EP1168" s="24"/>
    </row>
    <row r="1169" spans="139:146" x14ac:dyDescent="0.4">
      <c r="EI1169" s="24">
        <v>2022</v>
      </c>
      <c r="EJ1169" s="24">
        <v>22</v>
      </c>
      <c r="EK1169" s="24" t="s">
        <v>211</v>
      </c>
      <c r="EL1169" s="24" t="s">
        <v>247</v>
      </c>
      <c r="EM1169" s="24" t="s">
        <v>210</v>
      </c>
      <c r="EN1169" s="24">
        <v>4</v>
      </c>
      <c r="EO1169" s="24"/>
      <c r="EP1169" s="24"/>
    </row>
    <row r="1170" spans="139:146" x14ac:dyDescent="0.4">
      <c r="EI1170" s="24">
        <v>2022</v>
      </c>
      <c r="EJ1170" s="24">
        <v>22</v>
      </c>
      <c r="EK1170" s="24" t="s">
        <v>211</v>
      </c>
      <c r="EL1170" s="24" t="s">
        <v>247</v>
      </c>
      <c r="EM1170" s="24" t="s">
        <v>234</v>
      </c>
      <c r="EN1170" s="24">
        <v>2</v>
      </c>
      <c r="EO1170" s="24"/>
      <c r="EP1170" s="24"/>
    </row>
    <row r="1171" spans="139:146" x14ac:dyDescent="0.4">
      <c r="EI1171" s="24">
        <v>2022</v>
      </c>
      <c r="EJ1171" s="24">
        <v>21</v>
      </c>
      <c r="EK1171" s="24" t="s">
        <v>208</v>
      </c>
      <c r="EL1171" s="24" t="s">
        <v>352</v>
      </c>
      <c r="EM1171" s="24" t="s">
        <v>234</v>
      </c>
      <c r="EN1171" s="24">
        <v>3</v>
      </c>
      <c r="EO1171" s="24"/>
      <c r="EP1171" s="24"/>
    </row>
    <row r="1172" spans="139:146" x14ac:dyDescent="0.4">
      <c r="EI1172" s="24">
        <v>2022</v>
      </c>
      <c r="EJ1172" s="24">
        <v>21</v>
      </c>
      <c r="EK1172" s="24" t="s">
        <v>208</v>
      </c>
      <c r="EL1172" s="24" t="s">
        <v>554</v>
      </c>
      <c r="EM1172" s="24" t="s">
        <v>234</v>
      </c>
      <c r="EN1172" s="24">
        <v>1</v>
      </c>
      <c r="EO1172" s="24"/>
      <c r="EP1172" s="24"/>
    </row>
    <row r="1173" spans="139:146" x14ac:dyDescent="0.4">
      <c r="EI1173" s="24">
        <v>2022</v>
      </c>
      <c r="EJ1173" s="24">
        <v>21</v>
      </c>
      <c r="EK1173" s="24" t="s">
        <v>208</v>
      </c>
      <c r="EL1173" s="24" t="s">
        <v>351</v>
      </c>
      <c r="EM1173" s="24" t="s">
        <v>234</v>
      </c>
      <c r="EN1173" s="24">
        <v>14</v>
      </c>
      <c r="EO1173" s="24"/>
      <c r="EP1173" s="24"/>
    </row>
    <row r="1174" spans="139:146" x14ac:dyDescent="0.4">
      <c r="EI1174" s="24">
        <v>2022</v>
      </c>
      <c r="EJ1174" s="24">
        <v>21</v>
      </c>
      <c r="EK1174" s="24" t="s">
        <v>208</v>
      </c>
      <c r="EL1174" s="24" t="s">
        <v>235</v>
      </c>
      <c r="EM1174" s="24" t="s">
        <v>210</v>
      </c>
      <c r="EN1174" s="24">
        <v>1</v>
      </c>
      <c r="EO1174" s="24"/>
      <c r="EP1174" s="24"/>
    </row>
    <row r="1175" spans="139:146" x14ac:dyDescent="0.4">
      <c r="EI1175" s="24">
        <v>2022</v>
      </c>
      <c r="EJ1175" s="24">
        <v>21</v>
      </c>
      <c r="EK1175" s="24" t="s">
        <v>208</v>
      </c>
      <c r="EL1175" s="24" t="s">
        <v>235</v>
      </c>
      <c r="EM1175" s="24" t="s">
        <v>234</v>
      </c>
      <c r="EN1175" s="24">
        <v>7</v>
      </c>
      <c r="EO1175" s="24"/>
      <c r="EP1175" s="24"/>
    </row>
    <row r="1176" spans="139:146" x14ac:dyDescent="0.4">
      <c r="EI1176" s="24">
        <v>2022</v>
      </c>
      <c r="EJ1176" s="24">
        <v>21</v>
      </c>
      <c r="EK1176" s="24" t="s">
        <v>208</v>
      </c>
      <c r="EL1176" s="24" t="s">
        <v>209</v>
      </c>
      <c r="EM1176" s="24" t="s">
        <v>210</v>
      </c>
      <c r="EN1176" s="24">
        <v>2</v>
      </c>
      <c r="EO1176" s="24"/>
      <c r="EP1176" s="24"/>
    </row>
    <row r="1177" spans="139:146" x14ac:dyDescent="0.4">
      <c r="EI1177" s="24">
        <v>2022</v>
      </c>
      <c r="EJ1177" s="24">
        <v>21</v>
      </c>
      <c r="EK1177" s="24" t="s">
        <v>208</v>
      </c>
      <c r="EL1177" s="24" t="s">
        <v>247</v>
      </c>
      <c r="EM1177" s="24" t="s">
        <v>234</v>
      </c>
      <c r="EN1177" s="24">
        <v>1</v>
      </c>
      <c r="EO1177" s="24"/>
      <c r="EP1177" s="24"/>
    </row>
    <row r="1178" spans="139:146" x14ac:dyDescent="0.4">
      <c r="EI1178" s="24">
        <v>2022</v>
      </c>
      <c r="EJ1178" s="24">
        <v>21</v>
      </c>
      <c r="EK1178" s="24" t="s">
        <v>33</v>
      </c>
      <c r="EL1178" s="24" t="s">
        <v>240</v>
      </c>
      <c r="EM1178" s="24" t="s">
        <v>215</v>
      </c>
      <c r="EN1178" s="24">
        <v>1</v>
      </c>
      <c r="EO1178" s="24"/>
      <c r="EP1178" s="24"/>
    </row>
    <row r="1179" spans="139:146" x14ac:dyDescent="0.4">
      <c r="EI1179" s="24">
        <v>2022</v>
      </c>
      <c r="EJ1179" s="24">
        <v>21</v>
      </c>
      <c r="EK1179" s="24" t="s">
        <v>33</v>
      </c>
      <c r="EL1179" s="24" t="s">
        <v>233</v>
      </c>
      <c r="EM1179" s="24" t="s">
        <v>210</v>
      </c>
      <c r="EN1179" s="24">
        <v>31</v>
      </c>
      <c r="EO1179" s="24"/>
      <c r="EP1179" s="24"/>
    </row>
    <row r="1180" spans="139:146" x14ac:dyDescent="0.4">
      <c r="EI1180" s="24">
        <v>2022</v>
      </c>
      <c r="EJ1180" s="24">
        <v>21</v>
      </c>
      <c r="EK1180" s="24" t="s">
        <v>33</v>
      </c>
      <c r="EL1180" s="24" t="s">
        <v>244</v>
      </c>
      <c r="EM1180" s="24" t="s">
        <v>210</v>
      </c>
      <c r="EN1180" s="24">
        <v>2</v>
      </c>
      <c r="EO1180" s="24"/>
      <c r="EP1180" s="24"/>
    </row>
    <row r="1181" spans="139:146" x14ac:dyDescent="0.4">
      <c r="EI1181" s="24">
        <v>2022</v>
      </c>
      <c r="EJ1181" s="24">
        <v>21</v>
      </c>
      <c r="EK1181" s="24" t="s">
        <v>33</v>
      </c>
      <c r="EL1181" s="24" t="s">
        <v>235</v>
      </c>
      <c r="EM1181" s="24" t="s">
        <v>210</v>
      </c>
      <c r="EN1181" s="24">
        <v>1</v>
      </c>
      <c r="EO1181" s="24"/>
      <c r="EP1181" s="24"/>
    </row>
    <row r="1182" spans="139:146" x14ac:dyDescent="0.4">
      <c r="EI1182" s="24">
        <v>2022</v>
      </c>
      <c r="EJ1182" s="24">
        <v>21</v>
      </c>
      <c r="EK1182" s="24" t="s">
        <v>211</v>
      </c>
      <c r="EL1182" s="24" t="s">
        <v>232</v>
      </c>
      <c r="EM1182" s="24" t="s">
        <v>234</v>
      </c>
      <c r="EN1182" s="24">
        <v>1</v>
      </c>
      <c r="EO1182" s="24"/>
      <c r="EP1182" s="24"/>
    </row>
    <row r="1183" spans="139:146" x14ac:dyDescent="0.4">
      <c r="EI1183" s="24">
        <v>2022</v>
      </c>
      <c r="EJ1183" s="24">
        <v>21</v>
      </c>
      <c r="EK1183" s="24" t="s">
        <v>211</v>
      </c>
      <c r="EL1183" s="24" t="s">
        <v>212</v>
      </c>
      <c r="EM1183" s="24" t="s">
        <v>210</v>
      </c>
      <c r="EN1183" s="24">
        <v>7</v>
      </c>
      <c r="EO1183" s="24"/>
      <c r="EP1183" s="24"/>
    </row>
    <row r="1184" spans="139:146" x14ac:dyDescent="0.4">
      <c r="EI1184" s="24">
        <v>2022</v>
      </c>
      <c r="EJ1184" s="24">
        <v>21</v>
      </c>
      <c r="EK1184" s="24" t="s">
        <v>211</v>
      </c>
      <c r="EL1184" s="24" t="s">
        <v>212</v>
      </c>
      <c r="EM1184" s="24" t="s">
        <v>234</v>
      </c>
      <c r="EN1184" s="24">
        <v>9</v>
      </c>
      <c r="EO1184" s="24"/>
      <c r="EP1184" s="24"/>
    </row>
    <row r="1185" spans="139:146" x14ac:dyDescent="0.4">
      <c r="EI1185" s="24">
        <v>2022</v>
      </c>
      <c r="EJ1185" s="24">
        <v>21</v>
      </c>
      <c r="EK1185" s="24" t="s">
        <v>211</v>
      </c>
      <c r="EL1185" s="24" t="s">
        <v>247</v>
      </c>
      <c r="EM1185" s="24" t="s">
        <v>234</v>
      </c>
      <c r="EN1185" s="24">
        <v>12</v>
      </c>
      <c r="EO1185" s="24"/>
      <c r="EP1185" s="24"/>
    </row>
    <row r="1186" spans="139:146" x14ac:dyDescent="0.4">
      <c r="EI1186" s="24">
        <v>2022</v>
      </c>
      <c r="EJ1186" s="24">
        <v>20</v>
      </c>
      <c r="EK1186" s="24" t="s">
        <v>19</v>
      </c>
      <c r="EL1186" s="24" t="s">
        <v>233</v>
      </c>
      <c r="EM1186" s="24" t="s">
        <v>210</v>
      </c>
      <c r="EN1186" s="24">
        <v>1</v>
      </c>
      <c r="EO1186" s="24"/>
      <c r="EP1186" s="24"/>
    </row>
    <row r="1187" spans="139:146" x14ac:dyDescent="0.4">
      <c r="EI1187" s="24">
        <v>2022</v>
      </c>
      <c r="EJ1187" s="24">
        <v>20</v>
      </c>
      <c r="EK1187" s="24" t="s">
        <v>208</v>
      </c>
      <c r="EL1187" s="24" t="s">
        <v>351</v>
      </c>
      <c r="EM1187" s="24" t="s">
        <v>234</v>
      </c>
      <c r="EN1187" s="24">
        <v>17</v>
      </c>
      <c r="EO1187" s="24"/>
      <c r="EP1187" s="24"/>
    </row>
    <row r="1188" spans="139:146" x14ac:dyDescent="0.4">
      <c r="EI1188" s="24">
        <v>2022</v>
      </c>
      <c r="EJ1188" s="24">
        <v>20</v>
      </c>
      <c r="EK1188" s="24" t="s">
        <v>208</v>
      </c>
      <c r="EL1188" s="24" t="s">
        <v>235</v>
      </c>
      <c r="EM1188" s="24" t="s">
        <v>234</v>
      </c>
      <c r="EN1188" s="24">
        <v>14</v>
      </c>
      <c r="EO1188" s="24"/>
      <c r="EP1188" s="24"/>
    </row>
    <row r="1189" spans="139:146" x14ac:dyDescent="0.4">
      <c r="EI1189" s="24">
        <v>2022</v>
      </c>
      <c r="EJ1189" s="24">
        <v>20</v>
      </c>
      <c r="EK1189" s="24" t="s">
        <v>208</v>
      </c>
      <c r="EL1189" s="24" t="s">
        <v>235</v>
      </c>
      <c r="EM1189" s="24" t="s">
        <v>215</v>
      </c>
      <c r="EN1189" s="24">
        <v>5</v>
      </c>
      <c r="EO1189" s="24"/>
      <c r="EP1189" s="24"/>
    </row>
    <row r="1190" spans="139:146" x14ac:dyDescent="0.4">
      <c r="EI1190" s="24">
        <v>2022</v>
      </c>
      <c r="EJ1190" s="24">
        <v>20</v>
      </c>
      <c r="EK1190" s="24" t="s">
        <v>208</v>
      </c>
      <c r="EL1190" s="24" t="s">
        <v>209</v>
      </c>
      <c r="EM1190" s="24" t="s">
        <v>210</v>
      </c>
      <c r="EN1190" s="24">
        <v>12</v>
      </c>
      <c r="EO1190" s="24"/>
      <c r="EP1190" s="24"/>
    </row>
    <row r="1191" spans="139:146" x14ac:dyDescent="0.4">
      <c r="EI1191" s="24">
        <v>2022</v>
      </c>
      <c r="EJ1191" s="24">
        <v>20</v>
      </c>
      <c r="EK1191" s="24" t="s">
        <v>208</v>
      </c>
      <c r="EL1191" s="24" t="s">
        <v>209</v>
      </c>
      <c r="EM1191" s="24" t="s">
        <v>215</v>
      </c>
      <c r="EN1191" s="24">
        <v>1</v>
      </c>
      <c r="EO1191" s="24"/>
      <c r="EP1191" s="24"/>
    </row>
    <row r="1192" spans="139:146" x14ac:dyDescent="0.4">
      <c r="EI1192" s="24">
        <v>2022</v>
      </c>
      <c r="EJ1192" s="24">
        <v>20</v>
      </c>
      <c r="EK1192" s="24" t="s">
        <v>208</v>
      </c>
      <c r="EL1192" s="24" t="s">
        <v>247</v>
      </c>
      <c r="EM1192" s="24" t="s">
        <v>215</v>
      </c>
      <c r="EN1192" s="24">
        <v>4</v>
      </c>
      <c r="EO1192" s="24"/>
      <c r="EP1192" s="24"/>
    </row>
    <row r="1193" spans="139:146" x14ac:dyDescent="0.4">
      <c r="EI1193" s="24">
        <v>2022</v>
      </c>
      <c r="EJ1193" s="24">
        <v>20</v>
      </c>
      <c r="EK1193" s="24" t="s">
        <v>208</v>
      </c>
      <c r="EL1193" s="24" t="s">
        <v>410</v>
      </c>
      <c r="EM1193" s="24" t="s">
        <v>234</v>
      </c>
      <c r="EN1193" s="24">
        <v>1</v>
      </c>
      <c r="EO1193" s="24"/>
      <c r="EP1193" s="24"/>
    </row>
    <row r="1194" spans="139:146" x14ac:dyDescent="0.4">
      <c r="EI1194" s="24">
        <v>2022</v>
      </c>
      <c r="EJ1194" s="24">
        <v>20</v>
      </c>
      <c r="EK1194" s="24" t="s">
        <v>33</v>
      </c>
      <c r="EL1194" s="24" t="s">
        <v>240</v>
      </c>
      <c r="EM1194" s="24" t="s">
        <v>234</v>
      </c>
      <c r="EN1194" s="24">
        <v>1</v>
      </c>
      <c r="EO1194" s="24"/>
      <c r="EP1194" s="24"/>
    </row>
    <row r="1195" spans="139:146" x14ac:dyDescent="0.4">
      <c r="EI1195" s="24">
        <v>2022</v>
      </c>
      <c r="EJ1195" s="24">
        <v>20</v>
      </c>
      <c r="EK1195" s="24" t="s">
        <v>33</v>
      </c>
      <c r="EL1195" s="24" t="s">
        <v>233</v>
      </c>
      <c r="EM1195" s="24" t="s">
        <v>210</v>
      </c>
      <c r="EN1195" s="24">
        <v>22</v>
      </c>
      <c r="EO1195" s="24"/>
      <c r="EP1195" s="24"/>
    </row>
    <row r="1196" spans="139:146" x14ac:dyDescent="0.4">
      <c r="EI1196" s="24">
        <v>2022</v>
      </c>
      <c r="EJ1196" s="24">
        <v>20</v>
      </c>
      <c r="EK1196" s="24" t="s">
        <v>33</v>
      </c>
      <c r="EL1196" s="24" t="s">
        <v>233</v>
      </c>
      <c r="EM1196" s="24" t="s">
        <v>215</v>
      </c>
      <c r="EN1196" s="24">
        <v>36</v>
      </c>
      <c r="EO1196" s="24"/>
      <c r="EP1196" s="24"/>
    </row>
    <row r="1197" spans="139:146" x14ac:dyDescent="0.4">
      <c r="EI1197" s="24">
        <v>2022</v>
      </c>
      <c r="EJ1197" s="24">
        <v>20</v>
      </c>
      <c r="EK1197" s="24" t="s">
        <v>33</v>
      </c>
      <c r="EL1197" s="24" t="s">
        <v>244</v>
      </c>
      <c r="EM1197" s="24" t="s">
        <v>210</v>
      </c>
      <c r="EN1197" s="24">
        <v>32</v>
      </c>
      <c r="EO1197" s="24"/>
      <c r="EP1197" s="24"/>
    </row>
    <row r="1198" spans="139:146" x14ac:dyDescent="0.4">
      <c r="EI1198" s="24">
        <v>2022</v>
      </c>
      <c r="EJ1198" s="24">
        <v>20</v>
      </c>
      <c r="EK1198" s="24" t="s">
        <v>33</v>
      </c>
      <c r="EL1198" s="24" t="s">
        <v>236</v>
      </c>
      <c r="EM1198" s="24" t="s">
        <v>210</v>
      </c>
      <c r="EN1198" s="24">
        <v>1</v>
      </c>
      <c r="EO1198" s="24"/>
      <c r="EP1198" s="24"/>
    </row>
    <row r="1199" spans="139:146" x14ac:dyDescent="0.4">
      <c r="EI1199" s="24">
        <v>2022</v>
      </c>
      <c r="EJ1199" s="24">
        <v>20</v>
      </c>
      <c r="EK1199" s="24" t="s">
        <v>33</v>
      </c>
      <c r="EL1199" s="24" t="s">
        <v>238</v>
      </c>
      <c r="EM1199" s="24" t="s">
        <v>210</v>
      </c>
      <c r="EN1199" s="24">
        <v>5</v>
      </c>
      <c r="EO1199" s="24"/>
      <c r="EP1199" s="24"/>
    </row>
    <row r="1200" spans="139:146" x14ac:dyDescent="0.4">
      <c r="EI1200" s="24">
        <v>2022</v>
      </c>
      <c r="EJ1200" s="24">
        <v>20</v>
      </c>
      <c r="EK1200" s="24" t="s">
        <v>33</v>
      </c>
      <c r="EL1200" s="24" t="s">
        <v>247</v>
      </c>
      <c r="EM1200" s="24" t="s">
        <v>210</v>
      </c>
      <c r="EN1200" s="24">
        <v>3</v>
      </c>
      <c r="EO1200" s="24"/>
      <c r="EP1200" s="24"/>
    </row>
    <row r="1201" spans="139:146" x14ac:dyDescent="0.4">
      <c r="EI1201" s="24">
        <v>2022</v>
      </c>
      <c r="EJ1201" s="24">
        <v>20</v>
      </c>
      <c r="EK1201" s="24" t="s">
        <v>211</v>
      </c>
      <c r="EL1201" s="24" t="s">
        <v>232</v>
      </c>
      <c r="EM1201" s="24" t="s">
        <v>234</v>
      </c>
      <c r="EN1201" s="24">
        <v>1</v>
      </c>
      <c r="EO1201" s="24"/>
      <c r="EP1201" s="24"/>
    </row>
    <row r="1202" spans="139:146" x14ac:dyDescent="0.4">
      <c r="EI1202" s="24">
        <v>2022</v>
      </c>
      <c r="EJ1202" s="24">
        <v>20</v>
      </c>
      <c r="EK1202" s="24" t="s">
        <v>211</v>
      </c>
      <c r="EL1202" s="24" t="s">
        <v>212</v>
      </c>
      <c r="EM1202" s="24" t="s">
        <v>210</v>
      </c>
      <c r="EN1202" s="24">
        <v>10</v>
      </c>
      <c r="EO1202" s="24"/>
      <c r="EP1202" s="24"/>
    </row>
    <row r="1203" spans="139:146" x14ac:dyDescent="0.4">
      <c r="EI1203" s="24">
        <v>2022</v>
      </c>
      <c r="EJ1203" s="24">
        <v>20</v>
      </c>
      <c r="EK1203" s="24" t="s">
        <v>211</v>
      </c>
      <c r="EL1203" s="24" t="s">
        <v>212</v>
      </c>
      <c r="EM1203" s="24" t="s">
        <v>234</v>
      </c>
      <c r="EN1203" s="24">
        <v>9</v>
      </c>
      <c r="EO1203" s="24"/>
      <c r="EP1203" s="24"/>
    </row>
    <row r="1204" spans="139:146" x14ac:dyDescent="0.4">
      <c r="EI1204" s="24">
        <v>2022</v>
      </c>
      <c r="EJ1204" s="24">
        <v>20</v>
      </c>
      <c r="EK1204" s="24" t="s">
        <v>211</v>
      </c>
      <c r="EL1204" s="24" t="s">
        <v>247</v>
      </c>
      <c r="EM1204" s="24" t="s">
        <v>234</v>
      </c>
      <c r="EN1204" s="24">
        <v>2</v>
      </c>
      <c r="EO1204" s="24"/>
      <c r="EP1204" s="24"/>
    </row>
    <row r="1205" spans="139:146" x14ac:dyDescent="0.4">
      <c r="EI1205" s="24">
        <v>2022</v>
      </c>
      <c r="EJ1205" s="24">
        <v>19</v>
      </c>
      <c r="EK1205" s="24" t="s">
        <v>208</v>
      </c>
      <c r="EL1205" s="24" t="s">
        <v>351</v>
      </c>
      <c r="EM1205" s="24" t="s">
        <v>234</v>
      </c>
      <c r="EN1205" s="24">
        <v>9</v>
      </c>
      <c r="EO1205" s="24"/>
      <c r="EP1205" s="24"/>
    </row>
    <row r="1206" spans="139:146" x14ac:dyDescent="0.4">
      <c r="EI1206" s="24">
        <v>2022</v>
      </c>
      <c r="EJ1206" s="24">
        <v>19</v>
      </c>
      <c r="EK1206" s="24" t="s">
        <v>208</v>
      </c>
      <c r="EL1206" s="24" t="s">
        <v>235</v>
      </c>
      <c r="EM1206" s="24" t="s">
        <v>210</v>
      </c>
      <c r="EN1206" s="24">
        <v>3</v>
      </c>
      <c r="EO1206" s="24"/>
      <c r="EP1206" s="24"/>
    </row>
    <row r="1207" spans="139:146" x14ac:dyDescent="0.4">
      <c r="EI1207" s="24">
        <v>2022</v>
      </c>
      <c r="EJ1207" s="24">
        <v>19</v>
      </c>
      <c r="EK1207" s="24" t="s">
        <v>208</v>
      </c>
      <c r="EL1207" s="24" t="s">
        <v>235</v>
      </c>
      <c r="EM1207" s="24" t="s">
        <v>234</v>
      </c>
      <c r="EN1207" s="24">
        <v>19</v>
      </c>
      <c r="EO1207" s="24"/>
      <c r="EP1207" s="24"/>
    </row>
    <row r="1208" spans="139:146" x14ac:dyDescent="0.4">
      <c r="EI1208" s="24">
        <v>2022</v>
      </c>
      <c r="EJ1208" s="24">
        <v>19</v>
      </c>
      <c r="EK1208" s="24" t="s">
        <v>208</v>
      </c>
      <c r="EL1208" s="24" t="s">
        <v>235</v>
      </c>
      <c r="EM1208" s="24" t="s">
        <v>215</v>
      </c>
      <c r="EN1208" s="24">
        <v>7</v>
      </c>
      <c r="EO1208" s="24"/>
      <c r="EP1208" s="24"/>
    </row>
    <row r="1209" spans="139:146" x14ac:dyDescent="0.4">
      <c r="EI1209" s="24">
        <v>2022</v>
      </c>
      <c r="EJ1209" s="24">
        <v>19</v>
      </c>
      <c r="EK1209" s="24" t="s">
        <v>208</v>
      </c>
      <c r="EL1209" s="24" t="s">
        <v>209</v>
      </c>
      <c r="EM1209" s="24" t="s">
        <v>210</v>
      </c>
      <c r="EN1209" s="24">
        <v>5</v>
      </c>
      <c r="EO1209" s="24"/>
      <c r="EP1209" s="24"/>
    </row>
    <row r="1210" spans="139:146" x14ac:dyDescent="0.4">
      <c r="EI1210" s="24">
        <v>2022</v>
      </c>
      <c r="EJ1210" s="24">
        <v>19</v>
      </c>
      <c r="EK1210" s="24" t="s">
        <v>208</v>
      </c>
      <c r="EL1210" s="24" t="s">
        <v>209</v>
      </c>
      <c r="EM1210" s="24" t="s">
        <v>215</v>
      </c>
      <c r="EN1210" s="24">
        <v>1</v>
      </c>
      <c r="EO1210" s="24"/>
      <c r="EP1210" s="24"/>
    </row>
    <row r="1211" spans="139:146" x14ac:dyDescent="0.4">
      <c r="EI1211" s="24">
        <v>2022</v>
      </c>
      <c r="EJ1211" s="24">
        <v>19</v>
      </c>
      <c r="EK1211" s="24" t="s">
        <v>208</v>
      </c>
      <c r="EL1211" s="24" t="s">
        <v>247</v>
      </c>
      <c r="EM1211" s="24" t="s">
        <v>215</v>
      </c>
      <c r="EN1211" s="24">
        <v>1</v>
      </c>
      <c r="EO1211" s="24"/>
      <c r="EP1211" s="24"/>
    </row>
    <row r="1212" spans="139:146" x14ac:dyDescent="0.4">
      <c r="EI1212" s="24">
        <v>2022</v>
      </c>
      <c r="EJ1212" s="24">
        <v>19</v>
      </c>
      <c r="EK1212" s="24" t="s">
        <v>208</v>
      </c>
      <c r="EL1212" s="24" t="s">
        <v>245</v>
      </c>
      <c r="EM1212" s="24" t="s">
        <v>234</v>
      </c>
      <c r="EN1212" s="24">
        <v>2</v>
      </c>
      <c r="EO1212" s="24"/>
      <c r="EP1212" s="24"/>
    </row>
    <row r="1213" spans="139:146" x14ac:dyDescent="0.4">
      <c r="EI1213" s="24">
        <v>2022</v>
      </c>
      <c r="EJ1213" s="24">
        <v>19</v>
      </c>
      <c r="EK1213" s="24" t="s">
        <v>33</v>
      </c>
      <c r="EL1213" s="24" t="s">
        <v>240</v>
      </c>
      <c r="EM1213" s="24" t="s">
        <v>210</v>
      </c>
      <c r="EN1213" s="24">
        <v>1</v>
      </c>
      <c r="EO1213" s="24"/>
      <c r="EP1213" s="24"/>
    </row>
    <row r="1214" spans="139:146" x14ac:dyDescent="0.4">
      <c r="EI1214" s="24">
        <v>2022</v>
      </c>
      <c r="EJ1214" s="24">
        <v>19</v>
      </c>
      <c r="EK1214" s="24" t="s">
        <v>33</v>
      </c>
      <c r="EL1214" s="24" t="s">
        <v>233</v>
      </c>
      <c r="EM1214" s="24" t="s">
        <v>210</v>
      </c>
      <c r="EN1214" s="24">
        <v>10</v>
      </c>
      <c r="EO1214" s="24"/>
      <c r="EP1214" s="24"/>
    </row>
    <row r="1215" spans="139:146" x14ac:dyDescent="0.4">
      <c r="EI1215" s="24">
        <v>2022</v>
      </c>
      <c r="EJ1215" s="24">
        <v>19</v>
      </c>
      <c r="EK1215" s="24" t="s">
        <v>33</v>
      </c>
      <c r="EL1215" s="24" t="s">
        <v>233</v>
      </c>
      <c r="EM1215" s="24" t="s">
        <v>215</v>
      </c>
      <c r="EN1215" s="24">
        <v>4</v>
      </c>
      <c r="EO1215" s="24"/>
      <c r="EP1215" s="24"/>
    </row>
    <row r="1216" spans="139:146" x14ac:dyDescent="0.4">
      <c r="EI1216" s="24">
        <v>2022</v>
      </c>
      <c r="EJ1216" s="24">
        <v>19</v>
      </c>
      <c r="EK1216" s="24" t="s">
        <v>33</v>
      </c>
      <c r="EL1216" s="24" t="s">
        <v>235</v>
      </c>
      <c r="EM1216" s="24" t="s">
        <v>215</v>
      </c>
      <c r="EN1216" s="24">
        <v>3</v>
      </c>
      <c r="EO1216" s="24"/>
      <c r="EP1216" s="24"/>
    </row>
    <row r="1217" spans="139:146" x14ac:dyDescent="0.4">
      <c r="EI1217" s="24">
        <v>2022</v>
      </c>
      <c r="EJ1217" s="24">
        <v>19</v>
      </c>
      <c r="EK1217" s="24" t="s">
        <v>237</v>
      </c>
      <c r="EL1217" s="24" t="s">
        <v>235</v>
      </c>
      <c r="EM1217" s="24" t="s">
        <v>234</v>
      </c>
      <c r="EN1217" s="24">
        <v>13</v>
      </c>
      <c r="EO1217" s="24"/>
      <c r="EP1217" s="24"/>
    </row>
    <row r="1218" spans="139:146" x14ac:dyDescent="0.4">
      <c r="EI1218" s="24">
        <v>2022</v>
      </c>
      <c r="EJ1218" s="24">
        <v>19</v>
      </c>
      <c r="EK1218" s="24" t="s">
        <v>211</v>
      </c>
      <c r="EL1218" s="24" t="s">
        <v>212</v>
      </c>
      <c r="EM1218" s="24" t="s">
        <v>210</v>
      </c>
      <c r="EN1218" s="24">
        <v>2</v>
      </c>
      <c r="EO1218" s="24"/>
      <c r="EP1218" s="24"/>
    </row>
    <row r="1219" spans="139:146" x14ac:dyDescent="0.4">
      <c r="EI1219" s="24">
        <v>2022</v>
      </c>
      <c r="EJ1219" s="24">
        <v>19</v>
      </c>
      <c r="EK1219" s="24" t="s">
        <v>211</v>
      </c>
      <c r="EL1219" s="24" t="s">
        <v>212</v>
      </c>
      <c r="EM1219" s="24" t="s">
        <v>234</v>
      </c>
      <c r="EN1219" s="24">
        <v>9</v>
      </c>
      <c r="EO1219" s="24"/>
      <c r="EP1219" s="24"/>
    </row>
    <row r="1220" spans="139:146" x14ac:dyDescent="0.4">
      <c r="EI1220" s="24">
        <v>2022</v>
      </c>
      <c r="EJ1220" s="24">
        <v>19</v>
      </c>
      <c r="EK1220" s="24" t="s">
        <v>211</v>
      </c>
      <c r="EL1220" s="24" t="s">
        <v>247</v>
      </c>
      <c r="EM1220" s="24" t="s">
        <v>234</v>
      </c>
      <c r="EN1220" s="24">
        <v>2</v>
      </c>
      <c r="EO1220" s="24"/>
      <c r="EP1220" s="24"/>
    </row>
    <row r="1221" spans="139:146" x14ac:dyDescent="0.4">
      <c r="EI1221" s="24">
        <v>2022</v>
      </c>
      <c r="EJ1221" s="24">
        <v>19</v>
      </c>
      <c r="EK1221" s="24" t="s">
        <v>213</v>
      </c>
      <c r="EL1221" s="24" t="s">
        <v>214</v>
      </c>
      <c r="EM1221" s="24" t="s">
        <v>215</v>
      </c>
      <c r="EN1221" s="24">
        <v>1</v>
      </c>
      <c r="EO1221" s="24"/>
      <c r="EP1221" s="24"/>
    </row>
    <row r="1222" spans="139:146" x14ac:dyDescent="0.4">
      <c r="EI1222" s="24">
        <v>2022</v>
      </c>
      <c r="EJ1222" s="24">
        <v>18</v>
      </c>
      <c r="EK1222" s="24" t="s">
        <v>208</v>
      </c>
      <c r="EL1222" s="24" t="s">
        <v>352</v>
      </c>
      <c r="EM1222" s="24" t="s">
        <v>234</v>
      </c>
      <c r="EN1222" s="24">
        <v>1</v>
      </c>
      <c r="EO1222" s="24"/>
      <c r="EP1222" s="24"/>
    </row>
    <row r="1223" spans="139:146" x14ac:dyDescent="0.4">
      <c r="EI1223" s="24">
        <v>2022</v>
      </c>
      <c r="EJ1223" s="24">
        <v>18</v>
      </c>
      <c r="EK1223" s="24" t="s">
        <v>208</v>
      </c>
      <c r="EL1223" s="24" t="s">
        <v>235</v>
      </c>
      <c r="EM1223" s="24" t="s">
        <v>210</v>
      </c>
      <c r="EN1223" s="24">
        <v>2</v>
      </c>
      <c r="EO1223" s="24"/>
      <c r="EP1223" s="24"/>
    </row>
    <row r="1224" spans="139:146" x14ac:dyDescent="0.4">
      <c r="EI1224" s="24">
        <v>2022</v>
      </c>
      <c r="EJ1224" s="24">
        <v>18</v>
      </c>
      <c r="EK1224" s="24" t="s">
        <v>208</v>
      </c>
      <c r="EL1224" s="24" t="s">
        <v>235</v>
      </c>
      <c r="EM1224" s="24" t="s">
        <v>234</v>
      </c>
      <c r="EN1224" s="24">
        <v>28</v>
      </c>
      <c r="EO1224" s="24"/>
      <c r="EP1224" s="24"/>
    </row>
    <row r="1225" spans="139:146" x14ac:dyDescent="0.4">
      <c r="EI1225" s="24">
        <v>2022</v>
      </c>
      <c r="EJ1225" s="24">
        <v>18</v>
      </c>
      <c r="EK1225" s="24" t="s">
        <v>208</v>
      </c>
      <c r="EL1225" s="24" t="s">
        <v>235</v>
      </c>
      <c r="EM1225" s="24" t="s">
        <v>215</v>
      </c>
      <c r="EN1225" s="24">
        <v>2</v>
      </c>
      <c r="EO1225" s="24"/>
      <c r="EP1225" s="24"/>
    </row>
    <row r="1226" spans="139:146" x14ac:dyDescent="0.4">
      <c r="EI1226" s="24">
        <v>2022</v>
      </c>
      <c r="EJ1226" s="24">
        <v>18</v>
      </c>
      <c r="EK1226" s="24" t="s">
        <v>208</v>
      </c>
      <c r="EL1226" s="24" t="s">
        <v>209</v>
      </c>
      <c r="EM1226" s="24" t="s">
        <v>210</v>
      </c>
      <c r="EN1226" s="24">
        <v>8</v>
      </c>
      <c r="EO1226" s="24"/>
      <c r="EP1226" s="24"/>
    </row>
    <row r="1227" spans="139:146" x14ac:dyDescent="0.4">
      <c r="EI1227" s="24">
        <v>2022</v>
      </c>
      <c r="EJ1227" s="24">
        <v>18</v>
      </c>
      <c r="EK1227" s="24" t="s">
        <v>208</v>
      </c>
      <c r="EL1227" s="24" t="s">
        <v>209</v>
      </c>
      <c r="EM1227" s="24" t="s">
        <v>215</v>
      </c>
      <c r="EN1227" s="24">
        <v>1</v>
      </c>
      <c r="EO1227" s="24"/>
      <c r="EP1227" s="24"/>
    </row>
    <row r="1228" spans="139:146" x14ac:dyDescent="0.4">
      <c r="EI1228" s="24">
        <v>2022</v>
      </c>
      <c r="EJ1228" s="24">
        <v>18</v>
      </c>
      <c r="EK1228" s="24" t="s">
        <v>208</v>
      </c>
      <c r="EL1228" s="24" t="s">
        <v>245</v>
      </c>
      <c r="EM1228" s="24" t="s">
        <v>234</v>
      </c>
      <c r="EN1228" s="24">
        <v>1</v>
      </c>
      <c r="EO1228" s="24"/>
      <c r="EP1228" s="24"/>
    </row>
    <row r="1229" spans="139:146" x14ac:dyDescent="0.4">
      <c r="EI1229" s="24">
        <v>2022</v>
      </c>
      <c r="EJ1229" s="24">
        <v>18</v>
      </c>
      <c r="EK1229" s="24" t="s">
        <v>33</v>
      </c>
      <c r="EL1229" s="24" t="s">
        <v>233</v>
      </c>
      <c r="EM1229" s="24" t="s">
        <v>215</v>
      </c>
      <c r="EN1229" s="24">
        <v>14</v>
      </c>
      <c r="EO1229" s="24"/>
      <c r="EP1229" s="24"/>
    </row>
    <row r="1230" spans="139:146" x14ac:dyDescent="0.4">
      <c r="EI1230" s="24">
        <v>2022</v>
      </c>
      <c r="EJ1230" s="24">
        <v>18</v>
      </c>
      <c r="EK1230" s="24" t="s">
        <v>33</v>
      </c>
      <c r="EL1230" s="24" t="s">
        <v>244</v>
      </c>
      <c r="EM1230" s="24" t="s">
        <v>210</v>
      </c>
      <c r="EN1230" s="24">
        <v>1</v>
      </c>
      <c r="EO1230" s="24"/>
      <c r="EP1230" s="24"/>
    </row>
    <row r="1231" spans="139:146" x14ac:dyDescent="0.4">
      <c r="EI1231" s="24">
        <v>2022</v>
      </c>
      <c r="EJ1231" s="24">
        <v>18</v>
      </c>
      <c r="EK1231" s="24" t="s">
        <v>33</v>
      </c>
      <c r="EL1231" s="24" t="s">
        <v>236</v>
      </c>
      <c r="EM1231" s="24" t="s">
        <v>210</v>
      </c>
      <c r="EN1231" s="24">
        <v>2</v>
      </c>
      <c r="EO1231" s="24"/>
      <c r="EP1231" s="24"/>
    </row>
    <row r="1232" spans="139:146" x14ac:dyDescent="0.4">
      <c r="EI1232" s="24">
        <v>2022</v>
      </c>
      <c r="EJ1232" s="24">
        <v>18</v>
      </c>
      <c r="EK1232" s="24" t="s">
        <v>33</v>
      </c>
      <c r="EL1232" s="24" t="s">
        <v>238</v>
      </c>
      <c r="EM1232" s="24" t="s">
        <v>215</v>
      </c>
      <c r="EN1232" s="24">
        <v>2</v>
      </c>
      <c r="EO1232" s="24"/>
      <c r="EP1232" s="24"/>
    </row>
    <row r="1233" spans="139:146" x14ac:dyDescent="0.4">
      <c r="EI1233" s="24">
        <v>2022</v>
      </c>
      <c r="EJ1233" s="24">
        <v>18</v>
      </c>
      <c r="EK1233" s="24" t="s">
        <v>211</v>
      </c>
      <c r="EL1233" s="24" t="s">
        <v>232</v>
      </c>
      <c r="EM1233" s="24" t="s">
        <v>210</v>
      </c>
      <c r="EN1233" s="24">
        <v>4</v>
      </c>
      <c r="EO1233" s="24"/>
      <c r="EP1233" s="24"/>
    </row>
    <row r="1234" spans="139:146" x14ac:dyDescent="0.4">
      <c r="EI1234" s="24">
        <v>2022</v>
      </c>
      <c r="EJ1234" s="24">
        <v>18</v>
      </c>
      <c r="EK1234" s="24" t="s">
        <v>211</v>
      </c>
      <c r="EL1234" s="24" t="s">
        <v>212</v>
      </c>
      <c r="EM1234" s="24" t="s">
        <v>210</v>
      </c>
      <c r="EN1234" s="24">
        <v>11</v>
      </c>
      <c r="EO1234" s="24"/>
      <c r="EP1234" s="24"/>
    </row>
    <row r="1235" spans="139:146" x14ac:dyDescent="0.4">
      <c r="EI1235" s="24">
        <v>2022</v>
      </c>
      <c r="EJ1235" s="24">
        <v>18</v>
      </c>
      <c r="EK1235" s="24" t="s">
        <v>211</v>
      </c>
      <c r="EL1235" s="24" t="s">
        <v>212</v>
      </c>
      <c r="EM1235" s="24" t="s">
        <v>234</v>
      </c>
      <c r="EN1235" s="24">
        <v>10</v>
      </c>
      <c r="EO1235" s="24"/>
      <c r="EP1235" s="24"/>
    </row>
    <row r="1236" spans="139:146" x14ac:dyDescent="0.4">
      <c r="EI1236" s="24">
        <v>2022</v>
      </c>
      <c r="EJ1236" s="24">
        <v>18</v>
      </c>
      <c r="EK1236" s="24" t="s">
        <v>211</v>
      </c>
      <c r="EL1236" s="24" t="s">
        <v>247</v>
      </c>
      <c r="EM1236" s="24" t="s">
        <v>234</v>
      </c>
      <c r="EN1236" s="24">
        <v>2</v>
      </c>
      <c r="EO1236" s="24"/>
      <c r="EP1236" s="24"/>
    </row>
    <row r="1237" spans="139:146" x14ac:dyDescent="0.4">
      <c r="EI1237" s="24">
        <v>2022</v>
      </c>
      <c r="EJ1237" s="24">
        <v>17</v>
      </c>
      <c r="EK1237" s="24" t="s">
        <v>208</v>
      </c>
      <c r="EL1237" s="24" t="s">
        <v>351</v>
      </c>
      <c r="EM1237" s="24" t="s">
        <v>210</v>
      </c>
      <c r="EN1237" s="24">
        <v>9</v>
      </c>
      <c r="EO1237" s="24"/>
      <c r="EP1237" s="24"/>
    </row>
    <row r="1238" spans="139:146" x14ac:dyDescent="0.4">
      <c r="EI1238" s="24">
        <v>2022</v>
      </c>
      <c r="EJ1238" s="24">
        <v>17</v>
      </c>
      <c r="EK1238" s="24" t="s">
        <v>208</v>
      </c>
      <c r="EL1238" s="24" t="s">
        <v>351</v>
      </c>
      <c r="EM1238" s="24" t="s">
        <v>234</v>
      </c>
      <c r="EN1238" s="24">
        <v>2</v>
      </c>
      <c r="EO1238" s="24"/>
      <c r="EP1238" s="24"/>
    </row>
    <row r="1239" spans="139:146" x14ac:dyDescent="0.4">
      <c r="EI1239" s="24">
        <v>2022</v>
      </c>
      <c r="EJ1239" s="24">
        <v>17</v>
      </c>
      <c r="EK1239" s="24" t="s">
        <v>208</v>
      </c>
      <c r="EL1239" s="24" t="s">
        <v>236</v>
      </c>
      <c r="EM1239" s="24" t="s">
        <v>234</v>
      </c>
      <c r="EN1239" s="24">
        <v>1</v>
      </c>
      <c r="EO1239" s="24"/>
      <c r="EP1239" s="24"/>
    </row>
    <row r="1240" spans="139:146" x14ac:dyDescent="0.4">
      <c r="EI1240" s="24">
        <v>2022</v>
      </c>
      <c r="EJ1240" s="24">
        <v>17</v>
      </c>
      <c r="EK1240" s="24" t="s">
        <v>208</v>
      </c>
      <c r="EL1240" s="24" t="s">
        <v>235</v>
      </c>
      <c r="EM1240" s="24" t="s">
        <v>210</v>
      </c>
      <c r="EN1240" s="24">
        <v>4</v>
      </c>
      <c r="EO1240" s="24"/>
      <c r="EP1240" s="24"/>
    </row>
    <row r="1241" spans="139:146" x14ac:dyDescent="0.4">
      <c r="EI1241" s="24">
        <v>2022</v>
      </c>
      <c r="EJ1241" s="24">
        <v>17</v>
      </c>
      <c r="EK1241" s="24" t="s">
        <v>208</v>
      </c>
      <c r="EL1241" s="24" t="s">
        <v>235</v>
      </c>
      <c r="EM1241" s="24" t="s">
        <v>234</v>
      </c>
      <c r="EN1241" s="24">
        <v>8</v>
      </c>
      <c r="EO1241" s="24"/>
      <c r="EP1241" s="24"/>
    </row>
    <row r="1242" spans="139:146" x14ac:dyDescent="0.4">
      <c r="EI1242" s="24">
        <v>2022</v>
      </c>
      <c r="EJ1242" s="24">
        <v>17</v>
      </c>
      <c r="EK1242" s="24" t="s">
        <v>208</v>
      </c>
      <c r="EL1242" s="24" t="s">
        <v>235</v>
      </c>
      <c r="EM1242" s="24" t="s">
        <v>215</v>
      </c>
      <c r="EN1242" s="24">
        <v>1</v>
      </c>
      <c r="EO1242" s="24"/>
      <c r="EP1242" s="24"/>
    </row>
    <row r="1243" spans="139:146" x14ac:dyDescent="0.4">
      <c r="EI1243" s="24">
        <v>2022</v>
      </c>
      <c r="EJ1243" s="24">
        <v>17</v>
      </c>
      <c r="EK1243" s="24" t="s">
        <v>208</v>
      </c>
      <c r="EL1243" s="24" t="s">
        <v>209</v>
      </c>
      <c r="EM1243" s="24" t="s">
        <v>210</v>
      </c>
      <c r="EN1243" s="24">
        <v>6</v>
      </c>
      <c r="EO1243" s="24"/>
      <c r="EP1243" s="24"/>
    </row>
    <row r="1244" spans="139:146" x14ac:dyDescent="0.4">
      <c r="EI1244" s="24">
        <v>2022</v>
      </c>
      <c r="EJ1244" s="24">
        <v>17</v>
      </c>
      <c r="EK1244" s="24" t="s">
        <v>208</v>
      </c>
      <c r="EL1244" s="24" t="s">
        <v>245</v>
      </c>
      <c r="EM1244" s="24" t="s">
        <v>210</v>
      </c>
      <c r="EN1244" s="24">
        <v>1</v>
      </c>
      <c r="EO1244" s="24"/>
      <c r="EP1244" s="24"/>
    </row>
    <row r="1245" spans="139:146" x14ac:dyDescent="0.4">
      <c r="EI1245" s="24">
        <v>2022</v>
      </c>
      <c r="EJ1245" s="24">
        <v>17</v>
      </c>
      <c r="EK1245" s="24" t="s">
        <v>33</v>
      </c>
      <c r="EL1245" s="24" t="s">
        <v>244</v>
      </c>
      <c r="EM1245" s="24" t="s">
        <v>210</v>
      </c>
      <c r="EN1245" s="24">
        <v>7</v>
      </c>
      <c r="EO1245" s="24"/>
      <c r="EP1245" s="24"/>
    </row>
    <row r="1246" spans="139:146" x14ac:dyDescent="0.4">
      <c r="EI1246" s="24">
        <v>2022</v>
      </c>
      <c r="EJ1246" s="24">
        <v>17</v>
      </c>
      <c r="EK1246" s="24" t="s">
        <v>33</v>
      </c>
      <c r="EL1246" s="24" t="s">
        <v>235</v>
      </c>
      <c r="EM1246" s="24" t="s">
        <v>210</v>
      </c>
      <c r="EN1246" s="24">
        <v>24</v>
      </c>
      <c r="EO1246" s="24"/>
      <c r="EP1246" s="24"/>
    </row>
    <row r="1247" spans="139:146" x14ac:dyDescent="0.4">
      <c r="EI1247" s="24">
        <v>2022</v>
      </c>
      <c r="EJ1247" s="24">
        <v>17</v>
      </c>
      <c r="EK1247" s="24" t="s">
        <v>211</v>
      </c>
      <c r="EL1247" s="24" t="s">
        <v>232</v>
      </c>
      <c r="EM1247" s="24" t="s">
        <v>234</v>
      </c>
      <c r="EN1247" s="24">
        <v>2</v>
      </c>
      <c r="EO1247" s="24"/>
      <c r="EP1247" s="24"/>
    </row>
    <row r="1248" spans="139:146" x14ac:dyDescent="0.4">
      <c r="EI1248" s="24">
        <v>2022</v>
      </c>
      <c r="EJ1248" s="24">
        <v>17</v>
      </c>
      <c r="EK1248" s="24" t="s">
        <v>211</v>
      </c>
      <c r="EL1248" s="24" t="s">
        <v>212</v>
      </c>
      <c r="EM1248" s="24" t="s">
        <v>210</v>
      </c>
      <c r="EN1248" s="24">
        <v>8</v>
      </c>
      <c r="EO1248" s="24"/>
      <c r="EP1248" s="24"/>
    </row>
    <row r="1249" spans="139:146" x14ac:dyDescent="0.4">
      <c r="EI1249" s="24">
        <v>2022</v>
      </c>
      <c r="EJ1249" s="24">
        <v>17</v>
      </c>
      <c r="EK1249" s="24" t="s">
        <v>211</v>
      </c>
      <c r="EL1249" s="24" t="s">
        <v>212</v>
      </c>
      <c r="EM1249" s="24" t="s">
        <v>234</v>
      </c>
      <c r="EN1249" s="24">
        <v>8</v>
      </c>
      <c r="EO1249" s="24"/>
      <c r="EP1249" s="24"/>
    </row>
    <row r="1250" spans="139:146" x14ac:dyDescent="0.4">
      <c r="EI1250" s="24">
        <v>2022</v>
      </c>
      <c r="EJ1250" s="24">
        <v>17</v>
      </c>
      <c r="EK1250" s="24" t="s">
        <v>211</v>
      </c>
      <c r="EL1250" s="24" t="s">
        <v>247</v>
      </c>
      <c r="EM1250" s="24" t="s">
        <v>210</v>
      </c>
      <c r="EN1250" s="24">
        <v>2</v>
      </c>
      <c r="EO1250" s="24"/>
      <c r="EP1250" s="24"/>
    </row>
    <row r="1251" spans="139:146" x14ac:dyDescent="0.4">
      <c r="EI1251" s="24">
        <v>2022</v>
      </c>
      <c r="EJ1251" s="24">
        <v>17</v>
      </c>
      <c r="EK1251" s="24" t="s">
        <v>211</v>
      </c>
      <c r="EL1251" s="24" t="s">
        <v>247</v>
      </c>
      <c r="EM1251" s="24" t="s">
        <v>234</v>
      </c>
      <c r="EN1251" s="24">
        <v>8</v>
      </c>
      <c r="EO1251" s="24"/>
      <c r="EP1251" s="24"/>
    </row>
    <row r="1252" spans="139:146" x14ac:dyDescent="0.4">
      <c r="EI1252" s="24">
        <v>2022</v>
      </c>
      <c r="EJ1252" s="24">
        <v>16</v>
      </c>
      <c r="EK1252" s="24" t="s">
        <v>19</v>
      </c>
      <c r="EL1252" s="24" t="s">
        <v>233</v>
      </c>
      <c r="EM1252" s="24" t="s">
        <v>210</v>
      </c>
      <c r="EN1252" s="24">
        <v>6</v>
      </c>
      <c r="EO1252" s="24"/>
      <c r="EP1252" s="24"/>
    </row>
    <row r="1253" spans="139:146" x14ac:dyDescent="0.4">
      <c r="EI1253" s="24">
        <v>2022</v>
      </c>
      <c r="EJ1253" s="24">
        <v>16</v>
      </c>
      <c r="EK1253" s="24" t="s">
        <v>208</v>
      </c>
      <c r="EL1253" s="24" t="s">
        <v>352</v>
      </c>
      <c r="EM1253" s="24" t="s">
        <v>234</v>
      </c>
      <c r="EN1253" s="24">
        <v>1</v>
      </c>
      <c r="EO1253" s="24"/>
      <c r="EP1253" s="24"/>
    </row>
    <row r="1254" spans="139:146" x14ac:dyDescent="0.4">
      <c r="EI1254" s="24">
        <v>2022</v>
      </c>
      <c r="EJ1254" s="24">
        <v>16</v>
      </c>
      <c r="EK1254" s="24" t="s">
        <v>208</v>
      </c>
      <c r="EL1254" s="24" t="s">
        <v>351</v>
      </c>
      <c r="EM1254" s="24" t="s">
        <v>210</v>
      </c>
      <c r="EN1254" s="24">
        <v>10</v>
      </c>
      <c r="EO1254" s="24"/>
      <c r="EP1254" s="24"/>
    </row>
    <row r="1255" spans="139:146" x14ac:dyDescent="0.4">
      <c r="EI1255" s="24">
        <v>2022</v>
      </c>
      <c r="EJ1255" s="24">
        <v>16</v>
      </c>
      <c r="EK1255" s="24" t="s">
        <v>208</v>
      </c>
      <c r="EL1255" s="24" t="s">
        <v>351</v>
      </c>
      <c r="EM1255" s="24" t="s">
        <v>234</v>
      </c>
      <c r="EN1255" s="24">
        <v>2</v>
      </c>
      <c r="EO1255" s="24"/>
      <c r="EP1255" s="24"/>
    </row>
    <row r="1256" spans="139:146" x14ac:dyDescent="0.4">
      <c r="EI1256" s="24">
        <v>2022</v>
      </c>
      <c r="EJ1256" s="24">
        <v>16</v>
      </c>
      <c r="EK1256" s="24" t="s">
        <v>208</v>
      </c>
      <c r="EL1256" s="24" t="s">
        <v>235</v>
      </c>
      <c r="EM1256" s="24" t="s">
        <v>210</v>
      </c>
      <c r="EN1256" s="24">
        <v>5</v>
      </c>
      <c r="EO1256" s="24"/>
      <c r="EP1256" s="24"/>
    </row>
    <row r="1257" spans="139:146" x14ac:dyDescent="0.4">
      <c r="EI1257" s="24">
        <v>2022</v>
      </c>
      <c r="EJ1257" s="24">
        <v>16</v>
      </c>
      <c r="EK1257" s="24" t="s">
        <v>208</v>
      </c>
      <c r="EL1257" s="24" t="s">
        <v>235</v>
      </c>
      <c r="EM1257" s="24" t="s">
        <v>234</v>
      </c>
      <c r="EN1257" s="24">
        <v>13</v>
      </c>
      <c r="EO1257" s="24"/>
      <c r="EP1257" s="24"/>
    </row>
    <row r="1258" spans="139:146" x14ac:dyDescent="0.4">
      <c r="EI1258" s="24">
        <v>2022</v>
      </c>
      <c r="EJ1258" s="24">
        <v>16</v>
      </c>
      <c r="EK1258" s="24" t="s">
        <v>208</v>
      </c>
      <c r="EL1258" s="24" t="s">
        <v>209</v>
      </c>
      <c r="EM1258" s="24" t="s">
        <v>210</v>
      </c>
      <c r="EN1258" s="24">
        <v>9</v>
      </c>
      <c r="EO1258" s="24"/>
      <c r="EP1258" s="24"/>
    </row>
    <row r="1259" spans="139:146" x14ac:dyDescent="0.4">
      <c r="EI1259" s="24">
        <v>2022</v>
      </c>
      <c r="EJ1259" s="24">
        <v>16</v>
      </c>
      <c r="EK1259" s="24" t="s">
        <v>208</v>
      </c>
      <c r="EL1259" s="24" t="s">
        <v>209</v>
      </c>
      <c r="EM1259" s="24" t="s">
        <v>234</v>
      </c>
      <c r="EN1259" s="24">
        <v>1</v>
      </c>
      <c r="EO1259" s="24"/>
      <c r="EP1259" s="24"/>
    </row>
    <row r="1260" spans="139:146" x14ac:dyDescent="0.4">
      <c r="EI1260" s="24">
        <v>2022</v>
      </c>
      <c r="EJ1260" s="24">
        <v>16</v>
      </c>
      <c r="EK1260" s="24" t="s">
        <v>208</v>
      </c>
      <c r="EL1260" s="24" t="s">
        <v>245</v>
      </c>
      <c r="EM1260" s="24" t="s">
        <v>210</v>
      </c>
      <c r="EN1260" s="24">
        <v>2</v>
      </c>
      <c r="EO1260" s="24"/>
      <c r="EP1260" s="24"/>
    </row>
    <row r="1261" spans="139:146" x14ac:dyDescent="0.4">
      <c r="EI1261" s="24">
        <v>2022</v>
      </c>
      <c r="EJ1261" s="24">
        <v>16</v>
      </c>
      <c r="EK1261" s="24" t="s">
        <v>33</v>
      </c>
      <c r="EL1261" s="24" t="s">
        <v>233</v>
      </c>
      <c r="EM1261" s="24" t="s">
        <v>210</v>
      </c>
      <c r="EN1261" s="24">
        <v>12</v>
      </c>
      <c r="EO1261" s="24"/>
      <c r="EP1261" s="24"/>
    </row>
    <row r="1262" spans="139:146" x14ac:dyDescent="0.4">
      <c r="EI1262" s="24">
        <v>2022</v>
      </c>
      <c r="EJ1262" s="24">
        <v>16</v>
      </c>
      <c r="EK1262" s="24" t="s">
        <v>33</v>
      </c>
      <c r="EL1262" s="24" t="s">
        <v>244</v>
      </c>
      <c r="EM1262" s="24" t="s">
        <v>210</v>
      </c>
      <c r="EN1262" s="24">
        <v>18</v>
      </c>
      <c r="EO1262" s="24"/>
      <c r="EP1262" s="24"/>
    </row>
    <row r="1263" spans="139:146" x14ac:dyDescent="0.4">
      <c r="EI1263" s="24">
        <v>2022</v>
      </c>
      <c r="EJ1263" s="24">
        <v>16</v>
      </c>
      <c r="EK1263" s="24" t="s">
        <v>33</v>
      </c>
      <c r="EL1263" s="24" t="s">
        <v>238</v>
      </c>
      <c r="EM1263" s="24" t="s">
        <v>210</v>
      </c>
      <c r="EN1263" s="24">
        <v>9</v>
      </c>
      <c r="EO1263" s="24"/>
      <c r="EP1263" s="24"/>
    </row>
    <row r="1264" spans="139:146" x14ac:dyDescent="0.4">
      <c r="EI1264" s="24">
        <v>2022</v>
      </c>
      <c r="EJ1264" s="24">
        <v>16</v>
      </c>
      <c r="EK1264" s="24" t="s">
        <v>33</v>
      </c>
      <c r="EL1264" s="24" t="s">
        <v>247</v>
      </c>
      <c r="EM1264" s="24" t="s">
        <v>210</v>
      </c>
      <c r="EN1264" s="24">
        <v>4</v>
      </c>
      <c r="EO1264" s="24"/>
      <c r="EP1264" s="24"/>
    </row>
    <row r="1265" spans="139:146" x14ac:dyDescent="0.4">
      <c r="EI1265" s="24">
        <v>2022</v>
      </c>
      <c r="EJ1265" s="24">
        <v>16</v>
      </c>
      <c r="EK1265" s="24" t="s">
        <v>211</v>
      </c>
      <c r="EL1265" s="24" t="s">
        <v>232</v>
      </c>
      <c r="EM1265" s="24" t="s">
        <v>210</v>
      </c>
      <c r="EN1265" s="24">
        <v>5</v>
      </c>
      <c r="EO1265" s="24"/>
      <c r="EP1265" s="24"/>
    </row>
    <row r="1266" spans="139:146" x14ac:dyDescent="0.4">
      <c r="EI1266" s="24">
        <v>2022</v>
      </c>
      <c r="EJ1266" s="24">
        <v>16</v>
      </c>
      <c r="EK1266" s="24" t="s">
        <v>211</v>
      </c>
      <c r="EL1266" s="24" t="s">
        <v>232</v>
      </c>
      <c r="EM1266" s="24" t="s">
        <v>234</v>
      </c>
      <c r="EN1266" s="24">
        <v>1</v>
      </c>
      <c r="EO1266" s="24"/>
      <c r="EP1266" s="24"/>
    </row>
    <row r="1267" spans="139:146" x14ac:dyDescent="0.4">
      <c r="EI1267" s="24">
        <v>2022</v>
      </c>
      <c r="EJ1267" s="24">
        <v>16</v>
      </c>
      <c r="EK1267" s="24" t="s">
        <v>211</v>
      </c>
      <c r="EL1267" s="24" t="s">
        <v>212</v>
      </c>
      <c r="EM1267" s="24" t="s">
        <v>210</v>
      </c>
      <c r="EN1267" s="24">
        <v>6</v>
      </c>
      <c r="EO1267" s="24"/>
      <c r="EP1267" s="24"/>
    </row>
    <row r="1268" spans="139:146" x14ac:dyDescent="0.4">
      <c r="EI1268" s="24">
        <v>2022</v>
      </c>
      <c r="EJ1268" s="24">
        <v>16</v>
      </c>
      <c r="EK1268" s="24" t="s">
        <v>211</v>
      </c>
      <c r="EL1268" s="24" t="s">
        <v>212</v>
      </c>
      <c r="EM1268" s="24" t="s">
        <v>234</v>
      </c>
      <c r="EN1268" s="24">
        <v>9</v>
      </c>
      <c r="EO1268" s="24"/>
      <c r="EP1268" s="24"/>
    </row>
    <row r="1269" spans="139:146" x14ac:dyDescent="0.4">
      <c r="EI1269" s="24">
        <v>2022</v>
      </c>
      <c r="EJ1269" s="24">
        <v>16</v>
      </c>
      <c r="EK1269" s="24" t="s">
        <v>211</v>
      </c>
      <c r="EL1269" s="24" t="s">
        <v>247</v>
      </c>
      <c r="EM1269" s="24" t="s">
        <v>234</v>
      </c>
      <c r="EN1269" s="24">
        <v>6</v>
      </c>
      <c r="EO1269" s="24"/>
      <c r="EP1269" s="24"/>
    </row>
    <row r="1270" spans="139:146" x14ac:dyDescent="0.4">
      <c r="EI1270" s="24">
        <v>2022</v>
      </c>
      <c r="EJ1270" s="24">
        <v>15</v>
      </c>
      <c r="EK1270" s="24" t="s">
        <v>19</v>
      </c>
      <c r="EL1270" s="24" t="s">
        <v>233</v>
      </c>
      <c r="EM1270" s="24" t="s">
        <v>215</v>
      </c>
      <c r="EN1270" s="24">
        <v>1</v>
      </c>
      <c r="EO1270" s="24"/>
      <c r="EP1270" s="24"/>
    </row>
    <row r="1271" spans="139:146" x14ac:dyDescent="0.4">
      <c r="EI1271" s="24">
        <v>2022</v>
      </c>
      <c r="EJ1271" s="24">
        <v>15</v>
      </c>
      <c r="EK1271" s="24" t="s">
        <v>208</v>
      </c>
      <c r="EL1271" s="24" t="s">
        <v>352</v>
      </c>
      <c r="EM1271" s="24" t="s">
        <v>210</v>
      </c>
      <c r="EN1271" s="24">
        <v>1</v>
      </c>
      <c r="EO1271" s="24"/>
      <c r="EP1271" s="24"/>
    </row>
    <row r="1272" spans="139:146" x14ac:dyDescent="0.4">
      <c r="EI1272" s="24">
        <v>2022</v>
      </c>
      <c r="EJ1272" s="24">
        <v>15</v>
      </c>
      <c r="EK1272" s="24" t="s">
        <v>208</v>
      </c>
      <c r="EL1272" s="24" t="s">
        <v>351</v>
      </c>
      <c r="EM1272" s="24" t="s">
        <v>210</v>
      </c>
      <c r="EN1272" s="24">
        <v>4</v>
      </c>
      <c r="EO1272" s="24"/>
      <c r="EP1272" s="24"/>
    </row>
    <row r="1273" spans="139:146" x14ac:dyDescent="0.4">
      <c r="EI1273" s="24">
        <v>2022</v>
      </c>
      <c r="EJ1273" s="24">
        <v>15</v>
      </c>
      <c r="EK1273" s="24" t="s">
        <v>208</v>
      </c>
      <c r="EL1273" s="24" t="s">
        <v>351</v>
      </c>
      <c r="EM1273" s="24" t="s">
        <v>234</v>
      </c>
      <c r="EN1273" s="24">
        <v>12</v>
      </c>
      <c r="EO1273" s="24"/>
      <c r="EP1273" s="24"/>
    </row>
    <row r="1274" spans="139:146" x14ac:dyDescent="0.4">
      <c r="EI1274" s="24">
        <v>2022</v>
      </c>
      <c r="EJ1274" s="24">
        <v>15</v>
      </c>
      <c r="EK1274" s="24" t="s">
        <v>208</v>
      </c>
      <c r="EL1274" s="24" t="s">
        <v>235</v>
      </c>
      <c r="EM1274" s="24" t="s">
        <v>210</v>
      </c>
      <c r="EN1274" s="24">
        <v>3</v>
      </c>
      <c r="EO1274" s="24"/>
      <c r="EP1274" s="24"/>
    </row>
    <row r="1275" spans="139:146" x14ac:dyDescent="0.4">
      <c r="EI1275" s="24">
        <v>2022</v>
      </c>
      <c r="EJ1275" s="24">
        <v>15</v>
      </c>
      <c r="EK1275" s="24" t="s">
        <v>208</v>
      </c>
      <c r="EL1275" s="24" t="s">
        <v>235</v>
      </c>
      <c r="EM1275" s="24" t="s">
        <v>234</v>
      </c>
      <c r="EN1275" s="24">
        <v>19</v>
      </c>
      <c r="EO1275" s="24"/>
      <c r="EP1275" s="24"/>
    </row>
    <row r="1276" spans="139:146" x14ac:dyDescent="0.4">
      <c r="EI1276" s="24">
        <v>2022</v>
      </c>
      <c r="EJ1276" s="24">
        <v>15</v>
      </c>
      <c r="EK1276" s="24" t="s">
        <v>208</v>
      </c>
      <c r="EL1276" s="24" t="s">
        <v>235</v>
      </c>
      <c r="EM1276" s="24" t="s">
        <v>215</v>
      </c>
      <c r="EN1276" s="24">
        <v>3</v>
      </c>
      <c r="EO1276" s="24"/>
      <c r="EP1276" s="24"/>
    </row>
    <row r="1277" spans="139:146" x14ac:dyDescent="0.4">
      <c r="EI1277" s="24">
        <v>2022</v>
      </c>
      <c r="EJ1277" s="24">
        <v>15</v>
      </c>
      <c r="EK1277" s="24" t="s">
        <v>208</v>
      </c>
      <c r="EL1277" s="24" t="s">
        <v>209</v>
      </c>
      <c r="EM1277" s="24" t="s">
        <v>210</v>
      </c>
      <c r="EN1277" s="24">
        <v>6</v>
      </c>
      <c r="EO1277" s="24"/>
      <c r="EP1277" s="24"/>
    </row>
    <row r="1278" spans="139:146" x14ac:dyDescent="0.4">
      <c r="EI1278" s="24">
        <v>2022</v>
      </c>
      <c r="EJ1278" s="24">
        <v>15</v>
      </c>
      <c r="EK1278" s="24" t="s">
        <v>208</v>
      </c>
      <c r="EL1278" s="24" t="s">
        <v>209</v>
      </c>
      <c r="EM1278" s="24" t="s">
        <v>234</v>
      </c>
      <c r="EN1278" s="24">
        <v>1</v>
      </c>
      <c r="EO1278" s="24"/>
      <c r="EP1278" s="24"/>
    </row>
    <row r="1279" spans="139:146" x14ac:dyDescent="0.4">
      <c r="EI1279" s="24">
        <v>2022</v>
      </c>
      <c r="EJ1279" s="24">
        <v>15</v>
      </c>
      <c r="EK1279" s="24" t="s">
        <v>208</v>
      </c>
      <c r="EL1279" s="24" t="s">
        <v>245</v>
      </c>
      <c r="EM1279" s="24" t="s">
        <v>210</v>
      </c>
      <c r="EN1279" s="24">
        <v>4</v>
      </c>
      <c r="EO1279" s="24"/>
      <c r="EP1279" s="24"/>
    </row>
    <row r="1280" spans="139:146" x14ac:dyDescent="0.4">
      <c r="EI1280" s="24">
        <v>2022</v>
      </c>
      <c r="EJ1280" s="24">
        <v>15</v>
      </c>
      <c r="EK1280" s="24" t="s">
        <v>33</v>
      </c>
      <c r="EL1280" s="24" t="s">
        <v>233</v>
      </c>
      <c r="EM1280" s="24" t="s">
        <v>210</v>
      </c>
      <c r="EN1280" s="24">
        <v>5</v>
      </c>
      <c r="EO1280" s="24"/>
      <c r="EP1280" s="24"/>
    </row>
    <row r="1281" spans="139:146" x14ac:dyDescent="0.4">
      <c r="EI1281" s="24">
        <v>2022</v>
      </c>
      <c r="EJ1281" s="24">
        <v>15</v>
      </c>
      <c r="EK1281" s="24" t="s">
        <v>33</v>
      </c>
      <c r="EL1281" s="24" t="s">
        <v>235</v>
      </c>
      <c r="EM1281" s="24" t="s">
        <v>215</v>
      </c>
      <c r="EN1281" s="24">
        <v>1</v>
      </c>
      <c r="EO1281" s="24"/>
      <c r="EP1281" s="24"/>
    </row>
    <row r="1282" spans="139:146" x14ac:dyDescent="0.4">
      <c r="EI1282" s="24">
        <v>2022</v>
      </c>
      <c r="EJ1282" s="24">
        <v>15</v>
      </c>
      <c r="EK1282" s="24" t="s">
        <v>211</v>
      </c>
      <c r="EL1282" s="24" t="s">
        <v>232</v>
      </c>
      <c r="EM1282" s="24" t="s">
        <v>210</v>
      </c>
      <c r="EN1282" s="24">
        <v>1</v>
      </c>
      <c r="EO1282" s="24"/>
      <c r="EP1282" s="24"/>
    </row>
    <row r="1283" spans="139:146" x14ac:dyDescent="0.4">
      <c r="EI1283" s="24">
        <v>2022</v>
      </c>
      <c r="EJ1283" s="24">
        <v>15</v>
      </c>
      <c r="EK1283" s="24" t="s">
        <v>211</v>
      </c>
      <c r="EL1283" s="24" t="s">
        <v>232</v>
      </c>
      <c r="EM1283" s="24" t="s">
        <v>234</v>
      </c>
      <c r="EN1283" s="24">
        <v>9</v>
      </c>
      <c r="EO1283" s="24"/>
      <c r="EP1283" s="24"/>
    </row>
    <row r="1284" spans="139:146" x14ac:dyDescent="0.4">
      <c r="EI1284" s="24">
        <v>2022</v>
      </c>
      <c r="EJ1284" s="24">
        <v>15</v>
      </c>
      <c r="EK1284" s="24" t="s">
        <v>211</v>
      </c>
      <c r="EL1284" s="24" t="s">
        <v>212</v>
      </c>
      <c r="EM1284" s="24" t="s">
        <v>210</v>
      </c>
      <c r="EN1284" s="24">
        <v>13</v>
      </c>
      <c r="EO1284" s="24"/>
      <c r="EP1284" s="24"/>
    </row>
    <row r="1285" spans="139:146" x14ac:dyDescent="0.4">
      <c r="EI1285" s="24">
        <v>2022</v>
      </c>
      <c r="EJ1285" s="24">
        <v>15</v>
      </c>
      <c r="EK1285" s="24" t="s">
        <v>211</v>
      </c>
      <c r="EL1285" s="24" t="s">
        <v>212</v>
      </c>
      <c r="EM1285" s="24" t="s">
        <v>234</v>
      </c>
      <c r="EN1285" s="24">
        <v>7</v>
      </c>
      <c r="EO1285" s="24"/>
      <c r="EP1285" s="24"/>
    </row>
    <row r="1286" spans="139:146" x14ac:dyDescent="0.4">
      <c r="EI1286" s="24">
        <v>2022</v>
      </c>
      <c r="EJ1286" s="24">
        <v>15</v>
      </c>
      <c r="EK1286" s="24" t="s">
        <v>211</v>
      </c>
      <c r="EL1286" s="24" t="s">
        <v>247</v>
      </c>
      <c r="EM1286" s="24" t="s">
        <v>234</v>
      </c>
      <c r="EN1286" s="24">
        <v>4</v>
      </c>
      <c r="EO1286" s="24"/>
      <c r="EP1286" s="24"/>
    </row>
    <row r="1287" spans="139:146" x14ac:dyDescent="0.4">
      <c r="EI1287" s="24">
        <v>2022</v>
      </c>
      <c r="EJ1287" s="24">
        <v>14</v>
      </c>
      <c r="EK1287" s="24" t="s">
        <v>19</v>
      </c>
      <c r="EL1287" s="24" t="s">
        <v>233</v>
      </c>
      <c r="EM1287" s="24" t="s">
        <v>215</v>
      </c>
      <c r="EN1287" s="24">
        <v>11</v>
      </c>
      <c r="EO1287" s="24"/>
      <c r="EP1287" s="24"/>
    </row>
    <row r="1288" spans="139:146" x14ac:dyDescent="0.4">
      <c r="EI1288" s="24">
        <v>2022</v>
      </c>
      <c r="EJ1288" s="24">
        <v>14</v>
      </c>
      <c r="EK1288" s="24" t="s">
        <v>208</v>
      </c>
      <c r="EL1288" s="24" t="s">
        <v>351</v>
      </c>
      <c r="EM1288" s="24" t="s">
        <v>234</v>
      </c>
      <c r="EN1288" s="24">
        <v>16</v>
      </c>
      <c r="EO1288" s="24"/>
      <c r="EP1288" s="24"/>
    </row>
    <row r="1289" spans="139:146" x14ac:dyDescent="0.4">
      <c r="EI1289" s="24">
        <v>2022</v>
      </c>
      <c r="EJ1289" s="24">
        <v>14</v>
      </c>
      <c r="EK1289" s="24" t="s">
        <v>208</v>
      </c>
      <c r="EL1289" s="24" t="s">
        <v>235</v>
      </c>
      <c r="EM1289" s="24" t="s">
        <v>210</v>
      </c>
      <c r="EN1289" s="24">
        <v>2</v>
      </c>
      <c r="EO1289" s="24"/>
      <c r="EP1289" s="24"/>
    </row>
    <row r="1290" spans="139:146" x14ac:dyDescent="0.4">
      <c r="EI1290" s="24">
        <v>2022</v>
      </c>
      <c r="EJ1290" s="24">
        <v>14</v>
      </c>
      <c r="EK1290" s="24" t="s">
        <v>208</v>
      </c>
      <c r="EL1290" s="24" t="s">
        <v>235</v>
      </c>
      <c r="EM1290" s="24" t="s">
        <v>234</v>
      </c>
      <c r="EN1290" s="24">
        <v>13</v>
      </c>
      <c r="EO1290" s="24"/>
      <c r="EP1290" s="24"/>
    </row>
    <row r="1291" spans="139:146" x14ac:dyDescent="0.4">
      <c r="EI1291" s="24">
        <v>2022</v>
      </c>
      <c r="EJ1291" s="24">
        <v>14</v>
      </c>
      <c r="EK1291" s="24" t="s">
        <v>208</v>
      </c>
      <c r="EL1291" s="24" t="s">
        <v>209</v>
      </c>
      <c r="EM1291" s="24" t="s">
        <v>210</v>
      </c>
      <c r="EN1291" s="24">
        <v>7</v>
      </c>
      <c r="EO1291" s="24"/>
      <c r="EP1291" s="24"/>
    </row>
    <row r="1292" spans="139:146" x14ac:dyDescent="0.4">
      <c r="EI1292" s="24">
        <v>2022</v>
      </c>
      <c r="EJ1292" s="24">
        <v>14</v>
      </c>
      <c r="EK1292" s="24" t="s">
        <v>208</v>
      </c>
      <c r="EL1292" s="24" t="s">
        <v>247</v>
      </c>
      <c r="EM1292" s="24" t="s">
        <v>234</v>
      </c>
      <c r="EN1292" s="24">
        <v>1</v>
      </c>
      <c r="EO1292" s="24"/>
      <c r="EP1292" s="24"/>
    </row>
    <row r="1293" spans="139:146" x14ac:dyDescent="0.4">
      <c r="EI1293" s="24">
        <v>2022</v>
      </c>
      <c r="EJ1293" s="24">
        <v>14</v>
      </c>
      <c r="EK1293" s="24" t="s">
        <v>208</v>
      </c>
      <c r="EL1293" s="24" t="s">
        <v>245</v>
      </c>
      <c r="EM1293" s="24" t="s">
        <v>210</v>
      </c>
      <c r="EN1293" s="24">
        <v>1</v>
      </c>
      <c r="EO1293" s="24"/>
      <c r="EP1293" s="24"/>
    </row>
    <row r="1294" spans="139:146" x14ac:dyDescent="0.4">
      <c r="EI1294" s="24">
        <v>2022</v>
      </c>
      <c r="EJ1294" s="24">
        <v>14</v>
      </c>
      <c r="EK1294" s="24" t="s">
        <v>208</v>
      </c>
      <c r="EL1294" s="24" t="s">
        <v>245</v>
      </c>
      <c r="EM1294" s="24" t="s">
        <v>234</v>
      </c>
      <c r="EN1294" s="24">
        <v>1</v>
      </c>
      <c r="EO1294" s="24"/>
      <c r="EP1294" s="24"/>
    </row>
    <row r="1295" spans="139:146" x14ac:dyDescent="0.4">
      <c r="EI1295" s="24">
        <v>2022</v>
      </c>
      <c r="EJ1295" s="24">
        <v>14</v>
      </c>
      <c r="EK1295" s="24" t="s">
        <v>33</v>
      </c>
      <c r="EL1295" s="24" t="s">
        <v>233</v>
      </c>
      <c r="EM1295" s="24" t="s">
        <v>210</v>
      </c>
      <c r="EN1295" s="24">
        <v>3</v>
      </c>
      <c r="EO1295" s="24"/>
      <c r="EP1295" s="24"/>
    </row>
    <row r="1296" spans="139:146" x14ac:dyDescent="0.4">
      <c r="EI1296" s="24">
        <v>2022</v>
      </c>
      <c r="EJ1296" s="24">
        <v>14</v>
      </c>
      <c r="EK1296" s="24" t="s">
        <v>33</v>
      </c>
      <c r="EL1296" s="24" t="s">
        <v>233</v>
      </c>
      <c r="EM1296" s="24" t="s">
        <v>215</v>
      </c>
      <c r="EN1296" s="24">
        <v>7</v>
      </c>
      <c r="EO1296" s="24"/>
      <c r="EP1296" s="24"/>
    </row>
    <row r="1297" spans="139:146" x14ac:dyDescent="0.4">
      <c r="EI1297" s="24">
        <v>2022</v>
      </c>
      <c r="EJ1297" s="24">
        <v>14</v>
      </c>
      <c r="EK1297" s="24" t="s">
        <v>33</v>
      </c>
      <c r="EL1297" s="24" t="s">
        <v>244</v>
      </c>
      <c r="EM1297" s="24" t="s">
        <v>210</v>
      </c>
      <c r="EN1297" s="24">
        <v>10</v>
      </c>
      <c r="EO1297" s="24"/>
      <c r="EP1297" s="24"/>
    </row>
    <row r="1298" spans="139:146" x14ac:dyDescent="0.4">
      <c r="EI1298" s="24">
        <v>2022</v>
      </c>
      <c r="EJ1298" s="24">
        <v>14</v>
      </c>
      <c r="EK1298" s="24" t="s">
        <v>33</v>
      </c>
      <c r="EL1298" s="24" t="s">
        <v>244</v>
      </c>
      <c r="EM1298" s="24" t="s">
        <v>215</v>
      </c>
      <c r="EN1298" s="24">
        <v>1</v>
      </c>
      <c r="EO1298" s="24"/>
      <c r="EP1298" s="24"/>
    </row>
    <row r="1299" spans="139:146" x14ac:dyDescent="0.4">
      <c r="EI1299" s="24">
        <v>2022</v>
      </c>
      <c r="EJ1299" s="24">
        <v>14</v>
      </c>
      <c r="EK1299" s="24" t="s">
        <v>33</v>
      </c>
      <c r="EL1299" s="24" t="s">
        <v>247</v>
      </c>
      <c r="EM1299" s="24" t="s">
        <v>210</v>
      </c>
      <c r="EN1299" s="24">
        <v>1</v>
      </c>
      <c r="EO1299" s="24"/>
      <c r="EP1299" s="24"/>
    </row>
    <row r="1300" spans="139:146" x14ac:dyDescent="0.4">
      <c r="EI1300" s="24">
        <v>2022</v>
      </c>
      <c r="EJ1300" s="24">
        <v>14</v>
      </c>
      <c r="EK1300" s="24" t="s">
        <v>211</v>
      </c>
      <c r="EL1300" s="24" t="s">
        <v>232</v>
      </c>
      <c r="EM1300" s="24" t="s">
        <v>210</v>
      </c>
      <c r="EN1300" s="24">
        <v>6</v>
      </c>
      <c r="EO1300" s="24"/>
      <c r="EP1300" s="24"/>
    </row>
    <row r="1301" spans="139:146" x14ac:dyDescent="0.4">
      <c r="EI1301" s="24">
        <v>2022</v>
      </c>
      <c r="EJ1301" s="24">
        <v>14</v>
      </c>
      <c r="EK1301" s="24" t="s">
        <v>211</v>
      </c>
      <c r="EL1301" s="24" t="s">
        <v>212</v>
      </c>
      <c r="EM1301" s="24" t="s">
        <v>210</v>
      </c>
      <c r="EN1301" s="24">
        <v>7</v>
      </c>
      <c r="EO1301" s="24"/>
      <c r="EP1301" s="24"/>
    </row>
    <row r="1302" spans="139:146" x14ac:dyDescent="0.4">
      <c r="EI1302" s="24">
        <v>2022</v>
      </c>
      <c r="EJ1302" s="24">
        <v>14</v>
      </c>
      <c r="EK1302" s="24" t="s">
        <v>211</v>
      </c>
      <c r="EL1302" s="24" t="s">
        <v>212</v>
      </c>
      <c r="EM1302" s="24" t="s">
        <v>234</v>
      </c>
      <c r="EN1302" s="24">
        <v>3</v>
      </c>
      <c r="EO1302" s="24"/>
      <c r="EP1302" s="24"/>
    </row>
    <row r="1303" spans="139:146" x14ac:dyDescent="0.4">
      <c r="EI1303" s="24">
        <v>2022</v>
      </c>
      <c r="EJ1303" s="24">
        <v>14</v>
      </c>
      <c r="EK1303" s="24" t="s">
        <v>211</v>
      </c>
      <c r="EL1303" s="24" t="s">
        <v>247</v>
      </c>
      <c r="EM1303" s="24" t="s">
        <v>210</v>
      </c>
      <c r="EN1303" s="24">
        <v>2</v>
      </c>
      <c r="EO1303" s="24"/>
      <c r="EP1303" s="24"/>
    </row>
    <row r="1304" spans="139:146" x14ac:dyDescent="0.4">
      <c r="EI1304" s="24">
        <v>2022</v>
      </c>
      <c r="EJ1304" s="24">
        <v>14</v>
      </c>
      <c r="EK1304" s="24" t="s">
        <v>211</v>
      </c>
      <c r="EL1304" s="24" t="s">
        <v>247</v>
      </c>
      <c r="EM1304" s="24" t="s">
        <v>234</v>
      </c>
      <c r="EN1304" s="24">
        <v>10</v>
      </c>
      <c r="EO1304" s="24"/>
      <c r="EP1304" s="24"/>
    </row>
    <row r="1305" spans="139:146" x14ac:dyDescent="0.4">
      <c r="EI1305" s="24">
        <v>2022</v>
      </c>
      <c r="EJ1305" s="24">
        <v>14</v>
      </c>
      <c r="EK1305" s="24" t="s">
        <v>213</v>
      </c>
      <c r="EL1305" s="24" t="s">
        <v>247</v>
      </c>
      <c r="EM1305" s="24" t="s">
        <v>210</v>
      </c>
      <c r="EN1305" s="24">
        <v>5</v>
      </c>
      <c r="EO1305" s="24"/>
      <c r="EP1305" s="24"/>
    </row>
    <row r="1306" spans="139:146" x14ac:dyDescent="0.4">
      <c r="EI1306" s="24">
        <v>2022</v>
      </c>
      <c r="EJ1306" s="24">
        <v>13</v>
      </c>
      <c r="EK1306" s="24" t="s">
        <v>208</v>
      </c>
      <c r="EL1306" s="24" t="s">
        <v>351</v>
      </c>
      <c r="EM1306" s="24" t="s">
        <v>210</v>
      </c>
      <c r="EN1306" s="24">
        <v>1</v>
      </c>
      <c r="EO1306" s="24"/>
      <c r="EP1306" s="24"/>
    </row>
    <row r="1307" spans="139:146" x14ac:dyDescent="0.4">
      <c r="EI1307" s="24">
        <v>2022</v>
      </c>
      <c r="EJ1307" s="24">
        <v>13</v>
      </c>
      <c r="EK1307" s="24" t="s">
        <v>208</v>
      </c>
      <c r="EL1307" s="24" t="s">
        <v>235</v>
      </c>
      <c r="EM1307" s="24" t="s">
        <v>210</v>
      </c>
      <c r="EN1307" s="24">
        <v>11</v>
      </c>
      <c r="EO1307" s="24"/>
      <c r="EP1307" s="24"/>
    </row>
    <row r="1308" spans="139:146" x14ac:dyDescent="0.4">
      <c r="EI1308" s="24">
        <v>2022</v>
      </c>
      <c r="EJ1308" s="24">
        <v>13</v>
      </c>
      <c r="EK1308" s="24" t="s">
        <v>208</v>
      </c>
      <c r="EL1308" s="24" t="s">
        <v>209</v>
      </c>
      <c r="EM1308" s="24" t="s">
        <v>210</v>
      </c>
      <c r="EN1308" s="24">
        <v>6</v>
      </c>
      <c r="EO1308" s="24"/>
      <c r="EP1308" s="24"/>
    </row>
    <row r="1309" spans="139:146" x14ac:dyDescent="0.4">
      <c r="EI1309" s="24">
        <v>2022</v>
      </c>
      <c r="EJ1309" s="24">
        <v>13</v>
      </c>
      <c r="EK1309" s="24" t="s">
        <v>208</v>
      </c>
      <c r="EL1309" s="24" t="s">
        <v>247</v>
      </c>
      <c r="EM1309" s="24" t="s">
        <v>210</v>
      </c>
      <c r="EN1309" s="24">
        <v>2</v>
      </c>
      <c r="EO1309" s="24"/>
      <c r="EP1309" s="24"/>
    </row>
    <row r="1310" spans="139:146" x14ac:dyDescent="0.4">
      <c r="EI1310" s="24">
        <v>2022</v>
      </c>
      <c r="EJ1310" s="24">
        <v>13</v>
      </c>
      <c r="EK1310" s="24" t="s">
        <v>208</v>
      </c>
      <c r="EL1310" s="24" t="s">
        <v>245</v>
      </c>
      <c r="EM1310" s="24" t="s">
        <v>210</v>
      </c>
      <c r="EN1310" s="24">
        <v>1</v>
      </c>
      <c r="EO1310" s="24"/>
      <c r="EP1310" s="24"/>
    </row>
    <row r="1311" spans="139:146" x14ac:dyDescent="0.4">
      <c r="EI1311" s="24">
        <v>2022</v>
      </c>
      <c r="EJ1311" s="24">
        <v>13</v>
      </c>
      <c r="EK1311" s="24" t="s">
        <v>33</v>
      </c>
      <c r="EL1311" s="24" t="s">
        <v>238</v>
      </c>
      <c r="EM1311" s="24" t="s">
        <v>210</v>
      </c>
      <c r="EN1311" s="24">
        <v>5</v>
      </c>
      <c r="EO1311" s="24"/>
      <c r="EP1311" s="24"/>
    </row>
    <row r="1312" spans="139:146" x14ac:dyDescent="0.4">
      <c r="EI1312" s="24">
        <v>2022</v>
      </c>
      <c r="EJ1312" s="24">
        <v>13</v>
      </c>
      <c r="EK1312" s="24" t="s">
        <v>33</v>
      </c>
      <c r="EL1312" s="24" t="s">
        <v>238</v>
      </c>
      <c r="EM1312" s="24" t="s">
        <v>215</v>
      </c>
      <c r="EN1312" s="24">
        <v>1</v>
      </c>
      <c r="EO1312" s="24"/>
      <c r="EP1312" s="24"/>
    </row>
    <row r="1313" spans="139:146" x14ac:dyDescent="0.4">
      <c r="EI1313" s="24">
        <v>2022</v>
      </c>
      <c r="EJ1313" s="24">
        <v>13</v>
      </c>
      <c r="EK1313" s="24" t="s">
        <v>33</v>
      </c>
      <c r="EL1313" s="24" t="s">
        <v>247</v>
      </c>
      <c r="EM1313" s="24" t="s">
        <v>210</v>
      </c>
      <c r="EN1313" s="24">
        <v>20</v>
      </c>
      <c r="EO1313" s="24"/>
      <c r="EP1313" s="24"/>
    </row>
    <row r="1314" spans="139:146" x14ac:dyDescent="0.4">
      <c r="EI1314" s="24">
        <v>2022</v>
      </c>
      <c r="EJ1314" s="24">
        <v>13</v>
      </c>
      <c r="EK1314" s="24" t="s">
        <v>211</v>
      </c>
      <c r="EL1314" s="24" t="s">
        <v>232</v>
      </c>
      <c r="EM1314" s="24" t="s">
        <v>234</v>
      </c>
      <c r="EN1314" s="24">
        <v>8</v>
      </c>
      <c r="EO1314" s="24"/>
      <c r="EP1314" s="24"/>
    </row>
    <row r="1315" spans="139:146" x14ac:dyDescent="0.4">
      <c r="EI1315" s="24">
        <v>2022</v>
      </c>
      <c r="EJ1315" s="24">
        <v>13</v>
      </c>
      <c r="EK1315" s="24" t="s">
        <v>211</v>
      </c>
      <c r="EL1315" s="24" t="s">
        <v>212</v>
      </c>
      <c r="EM1315" s="24" t="s">
        <v>210</v>
      </c>
      <c r="EN1315" s="24">
        <v>4</v>
      </c>
      <c r="EO1315" s="24"/>
      <c r="EP1315" s="24"/>
    </row>
    <row r="1316" spans="139:146" x14ac:dyDescent="0.4">
      <c r="EI1316" s="24">
        <v>2022</v>
      </c>
      <c r="EJ1316" s="24">
        <v>13</v>
      </c>
      <c r="EK1316" s="24" t="s">
        <v>211</v>
      </c>
      <c r="EL1316" s="24" t="s">
        <v>212</v>
      </c>
      <c r="EM1316" s="24" t="s">
        <v>234</v>
      </c>
      <c r="EN1316" s="24">
        <v>3</v>
      </c>
      <c r="EO1316" s="24"/>
      <c r="EP1316" s="24"/>
    </row>
    <row r="1317" spans="139:146" x14ac:dyDescent="0.4">
      <c r="EI1317" s="24">
        <v>2022</v>
      </c>
      <c r="EJ1317" s="24">
        <v>13</v>
      </c>
      <c r="EK1317" s="24" t="s">
        <v>211</v>
      </c>
      <c r="EL1317" s="24" t="s">
        <v>247</v>
      </c>
      <c r="EM1317" s="24" t="s">
        <v>210</v>
      </c>
      <c r="EN1317" s="24">
        <v>4</v>
      </c>
      <c r="EO1317" s="24"/>
      <c r="EP1317" s="24"/>
    </row>
    <row r="1318" spans="139:146" x14ac:dyDescent="0.4">
      <c r="EI1318" s="24">
        <v>2022</v>
      </c>
      <c r="EJ1318" s="24">
        <v>13</v>
      </c>
      <c r="EK1318" s="24" t="s">
        <v>211</v>
      </c>
      <c r="EL1318" s="24" t="s">
        <v>247</v>
      </c>
      <c r="EM1318" s="24" t="s">
        <v>234</v>
      </c>
      <c r="EN1318" s="24">
        <v>10</v>
      </c>
      <c r="EO1318" s="24"/>
      <c r="EP1318" s="24"/>
    </row>
    <row r="1319" spans="139:146" x14ac:dyDescent="0.4">
      <c r="EI1319" s="24">
        <v>2022</v>
      </c>
      <c r="EJ1319" s="24">
        <v>12</v>
      </c>
      <c r="EK1319" s="24" t="s">
        <v>208</v>
      </c>
      <c r="EL1319" s="24" t="s">
        <v>351</v>
      </c>
      <c r="EM1319" s="24" t="s">
        <v>210</v>
      </c>
      <c r="EN1319" s="24">
        <v>1</v>
      </c>
      <c r="EO1319" s="24"/>
      <c r="EP1319" s="24"/>
    </row>
    <row r="1320" spans="139:146" x14ac:dyDescent="0.4">
      <c r="EI1320" s="24">
        <v>2022</v>
      </c>
      <c r="EJ1320" s="24">
        <v>12</v>
      </c>
      <c r="EK1320" s="24" t="s">
        <v>208</v>
      </c>
      <c r="EL1320" s="24" t="s">
        <v>235</v>
      </c>
      <c r="EM1320" s="24" t="s">
        <v>210</v>
      </c>
      <c r="EN1320" s="24">
        <v>16</v>
      </c>
      <c r="EO1320" s="24"/>
      <c r="EP1320" s="24"/>
    </row>
    <row r="1321" spans="139:146" x14ac:dyDescent="0.4">
      <c r="EI1321" s="24">
        <v>2022</v>
      </c>
      <c r="EJ1321" s="24">
        <v>12</v>
      </c>
      <c r="EK1321" s="24" t="s">
        <v>208</v>
      </c>
      <c r="EL1321" s="24" t="s">
        <v>235</v>
      </c>
      <c r="EM1321" s="24" t="s">
        <v>215</v>
      </c>
      <c r="EN1321" s="24">
        <v>1</v>
      </c>
      <c r="EO1321" s="24"/>
      <c r="EP1321" s="24"/>
    </row>
    <row r="1322" spans="139:146" x14ac:dyDescent="0.4">
      <c r="EI1322" s="24">
        <v>2022</v>
      </c>
      <c r="EJ1322" s="24">
        <v>12</v>
      </c>
      <c r="EK1322" s="24" t="s">
        <v>208</v>
      </c>
      <c r="EL1322" s="24" t="s">
        <v>209</v>
      </c>
      <c r="EM1322" s="24" t="s">
        <v>210</v>
      </c>
      <c r="EN1322" s="24">
        <v>7</v>
      </c>
      <c r="EO1322" s="24"/>
      <c r="EP1322" s="24"/>
    </row>
    <row r="1323" spans="139:146" x14ac:dyDescent="0.4">
      <c r="EI1323" s="24">
        <v>2022</v>
      </c>
      <c r="EJ1323" s="24">
        <v>12</v>
      </c>
      <c r="EK1323" s="24" t="s">
        <v>33</v>
      </c>
      <c r="EL1323" s="24" t="s">
        <v>240</v>
      </c>
      <c r="EM1323" s="24" t="s">
        <v>210</v>
      </c>
      <c r="EN1323" s="24">
        <v>1</v>
      </c>
      <c r="EO1323" s="24"/>
      <c r="EP1323" s="24"/>
    </row>
    <row r="1324" spans="139:146" x14ac:dyDescent="0.4">
      <c r="EI1324" s="24">
        <v>2022</v>
      </c>
      <c r="EJ1324" s="24">
        <v>12</v>
      </c>
      <c r="EK1324" s="24" t="s">
        <v>33</v>
      </c>
      <c r="EL1324" s="24" t="s">
        <v>233</v>
      </c>
      <c r="EM1324" s="24" t="s">
        <v>210</v>
      </c>
      <c r="EN1324" s="24">
        <v>6</v>
      </c>
      <c r="EO1324" s="24"/>
      <c r="EP1324" s="24"/>
    </row>
    <row r="1325" spans="139:146" x14ac:dyDescent="0.4">
      <c r="EI1325" s="24">
        <v>2022</v>
      </c>
      <c r="EJ1325" s="24">
        <v>12</v>
      </c>
      <c r="EK1325" s="24" t="s">
        <v>33</v>
      </c>
      <c r="EL1325" s="24" t="s">
        <v>233</v>
      </c>
      <c r="EM1325" s="24" t="s">
        <v>234</v>
      </c>
      <c r="EN1325" s="24">
        <v>1</v>
      </c>
      <c r="EO1325" s="24"/>
      <c r="EP1325" s="24"/>
    </row>
    <row r="1326" spans="139:146" x14ac:dyDescent="0.4">
      <c r="EI1326" s="24">
        <v>2022</v>
      </c>
      <c r="EJ1326" s="24">
        <v>12</v>
      </c>
      <c r="EK1326" s="24" t="s">
        <v>33</v>
      </c>
      <c r="EL1326" s="24" t="s">
        <v>233</v>
      </c>
      <c r="EM1326" s="24" t="s">
        <v>215</v>
      </c>
      <c r="EN1326" s="24">
        <v>49</v>
      </c>
      <c r="EO1326" s="24"/>
      <c r="EP1326" s="24"/>
    </row>
    <row r="1327" spans="139:146" x14ac:dyDescent="0.4">
      <c r="EI1327" s="24">
        <v>2022</v>
      </c>
      <c r="EJ1327" s="24">
        <v>12</v>
      </c>
      <c r="EK1327" s="24" t="s">
        <v>33</v>
      </c>
      <c r="EL1327" s="24" t="s">
        <v>244</v>
      </c>
      <c r="EM1327" s="24" t="s">
        <v>210</v>
      </c>
      <c r="EN1327" s="24">
        <v>28</v>
      </c>
      <c r="EO1327" s="24"/>
      <c r="EP1327" s="24"/>
    </row>
    <row r="1328" spans="139:146" x14ac:dyDescent="0.4">
      <c r="EI1328" s="24">
        <v>2022</v>
      </c>
      <c r="EJ1328" s="24">
        <v>12</v>
      </c>
      <c r="EK1328" s="24" t="s">
        <v>211</v>
      </c>
      <c r="EL1328" s="24" t="s">
        <v>232</v>
      </c>
      <c r="EM1328" s="24" t="s">
        <v>234</v>
      </c>
      <c r="EN1328" s="24">
        <v>3</v>
      </c>
      <c r="EO1328" s="24"/>
      <c r="EP1328" s="24"/>
    </row>
    <row r="1329" spans="139:146" x14ac:dyDescent="0.4">
      <c r="EI1329" s="24">
        <v>2022</v>
      </c>
      <c r="EJ1329" s="24">
        <v>12</v>
      </c>
      <c r="EK1329" s="24" t="s">
        <v>211</v>
      </c>
      <c r="EL1329" s="24" t="s">
        <v>212</v>
      </c>
      <c r="EM1329" s="24" t="s">
        <v>210</v>
      </c>
      <c r="EN1329" s="24">
        <v>3</v>
      </c>
      <c r="EO1329" s="24"/>
      <c r="EP1329" s="24"/>
    </row>
    <row r="1330" spans="139:146" x14ac:dyDescent="0.4">
      <c r="EI1330" s="24">
        <v>2022</v>
      </c>
      <c r="EJ1330" s="24">
        <v>12</v>
      </c>
      <c r="EK1330" s="24" t="s">
        <v>211</v>
      </c>
      <c r="EL1330" s="24" t="s">
        <v>212</v>
      </c>
      <c r="EM1330" s="24" t="s">
        <v>234</v>
      </c>
      <c r="EN1330" s="24">
        <v>7</v>
      </c>
      <c r="EO1330" s="24"/>
      <c r="EP1330" s="24"/>
    </row>
    <row r="1331" spans="139:146" x14ac:dyDescent="0.4">
      <c r="EI1331" s="24">
        <v>2022</v>
      </c>
      <c r="EJ1331" s="24">
        <v>12</v>
      </c>
      <c r="EK1331" s="24" t="s">
        <v>211</v>
      </c>
      <c r="EL1331" s="24" t="s">
        <v>247</v>
      </c>
      <c r="EM1331" s="24" t="s">
        <v>234</v>
      </c>
      <c r="EN1331" s="24">
        <v>2</v>
      </c>
      <c r="EO1331" s="24"/>
      <c r="EP1331" s="24"/>
    </row>
    <row r="1332" spans="139:146" x14ac:dyDescent="0.4">
      <c r="EI1332" s="24">
        <v>2022</v>
      </c>
      <c r="EJ1332" s="24">
        <v>11</v>
      </c>
      <c r="EK1332" s="24" t="s">
        <v>208</v>
      </c>
      <c r="EL1332" s="24" t="s">
        <v>351</v>
      </c>
      <c r="EM1332" s="24" t="s">
        <v>210</v>
      </c>
      <c r="EN1332" s="24">
        <v>3</v>
      </c>
      <c r="EO1332" s="24"/>
      <c r="EP1332" s="24"/>
    </row>
    <row r="1333" spans="139:146" x14ac:dyDescent="0.4">
      <c r="EI1333" s="24">
        <v>2022</v>
      </c>
      <c r="EJ1333" s="24">
        <v>11</v>
      </c>
      <c r="EK1333" s="24" t="s">
        <v>208</v>
      </c>
      <c r="EL1333" s="24" t="s">
        <v>235</v>
      </c>
      <c r="EM1333" s="24" t="s">
        <v>210</v>
      </c>
      <c r="EN1333" s="24">
        <v>11</v>
      </c>
      <c r="EO1333" s="24"/>
      <c r="EP1333" s="24"/>
    </row>
    <row r="1334" spans="139:146" x14ac:dyDescent="0.4">
      <c r="EI1334" s="24">
        <v>2022</v>
      </c>
      <c r="EJ1334" s="24">
        <v>11</v>
      </c>
      <c r="EK1334" s="24" t="s">
        <v>208</v>
      </c>
      <c r="EL1334" s="24" t="s">
        <v>209</v>
      </c>
      <c r="EM1334" s="24" t="s">
        <v>210</v>
      </c>
      <c r="EN1334" s="24">
        <v>8</v>
      </c>
      <c r="EO1334" s="24"/>
      <c r="EP1334" s="24"/>
    </row>
    <row r="1335" spans="139:146" x14ac:dyDescent="0.4">
      <c r="EI1335" s="24">
        <v>2022</v>
      </c>
      <c r="EJ1335" s="24">
        <v>11</v>
      </c>
      <c r="EK1335" s="24" t="s">
        <v>208</v>
      </c>
      <c r="EL1335" s="24" t="s">
        <v>247</v>
      </c>
      <c r="EM1335" s="24" t="s">
        <v>210</v>
      </c>
      <c r="EN1335" s="24">
        <v>1</v>
      </c>
      <c r="EO1335" s="24"/>
      <c r="EP1335" s="24"/>
    </row>
    <row r="1336" spans="139:146" x14ac:dyDescent="0.4">
      <c r="EI1336" s="24">
        <v>2022</v>
      </c>
      <c r="EJ1336" s="24">
        <v>11</v>
      </c>
      <c r="EK1336" s="24" t="s">
        <v>208</v>
      </c>
      <c r="EL1336" s="24" t="s">
        <v>245</v>
      </c>
      <c r="EM1336" s="24" t="s">
        <v>210</v>
      </c>
      <c r="EN1336" s="24">
        <v>1</v>
      </c>
      <c r="EO1336" s="24"/>
      <c r="EP1336" s="24"/>
    </row>
    <row r="1337" spans="139:146" x14ac:dyDescent="0.4">
      <c r="EI1337" s="24">
        <v>2022</v>
      </c>
      <c r="EJ1337" s="24">
        <v>11</v>
      </c>
      <c r="EK1337" s="24" t="s">
        <v>33</v>
      </c>
      <c r="EL1337" s="24" t="s">
        <v>240</v>
      </c>
      <c r="EM1337" s="24" t="s">
        <v>215</v>
      </c>
      <c r="EN1337" s="24">
        <v>10</v>
      </c>
      <c r="EO1337" s="24"/>
      <c r="EP1337" s="24"/>
    </row>
    <row r="1338" spans="139:146" x14ac:dyDescent="0.4">
      <c r="EI1338" s="24">
        <v>2022</v>
      </c>
      <c r="EJ1338" s="24">
        <v>11</v>
      </c>
      <c r="EK1338" s="24" t="s">
        <v>33</v>
      </c>
      <c r="EL1338" s="24" t="s">
        <v>233</v>
      </c>
      <c r="EM1338" s="24" t="s">
        <v>210</v>
      </c>
      <c r="EN1338" s="24">
        <v>50</v>
      </c>
      <c r="EO1338" s="24"/>
      <c r="EP1338" s="24"/>
    </row>
    <row r="1339" spans="139:146" x14ac:dyDescent="0.4">
      <c r="EI1339" s="24">
        <v>2022</v>
      </c>
      <c r="EJ1339" s="24">
        <v>11</v>
      </c>
      <c r="EK1339" s="24" t="s">
        <v>33</v>
      </c>
      <c r="EL1339" s="24" t="s">
        <v>233</v>
      </c>
      <c r="EM1339" s="24" t="s">
        <v>215</v>
      </c>
      <c r="EN1339" s="24">
        <v>42</v>
      </c>
      <c r="EO1339" s="24"/>
      <c r="EP1339" s="24"/>
    </row>
    <row r="1340" spans="139:146" x14ac:dyDescent="0.4">
      <c r="EI1340" s="24">
        <v>2022</v>
      </c>
      <c r="EJ1340" s="24">
        <v>11</v>
      </c>
      <c r="EK1340" s="24" t="s">
        <v>33</v>
      </c>
      <c r="EL1340" s="24" t="s">
        <v>235</v>
      </c>
      <c r="EM1340" s="24" t="s">
        <v>210</v>
      </c>
      <c r="EN1340" s="24">
        <v>50</v>
      </c>
      <c r="EO1340" s="24"/>
      <c r="EP1340" s="24"/>
    </row>
    <row r="1341" spans="139:146" x14ac:dyDescent="0.4">
      <c r="EI1341" s="24">
        <v>2022</v>
      </c>
      <c r="EJ1341" s="24">
        <v>11</v>
      </c>
      <c r="EK1341" s="24" t="s">
        <v>33</v>
      </c>
      <c r="EL1341" s="24" t="s">
        <v>238</v>
      </c>
      <c r="EM1341" s="24" t="s">
        <v>210</v>
      </c>
      <c r="EN1341" s="24">
        <v>5</v>
      </c>
      <c r="EO1341" s="24"/>
      <c r="EP1341" s="24"/>
    </row>
    <row r="1342" spans="139:146" x14ac:dyDescent="0.4">
      <c r="EI1342" s="24">
        <v>2022</v>
      </c>
      <c r="EJ1342" s="24">
        <v>11</v>
      </c>
      <c r="EK1342" s="24" t="s">
        <v>33</v>
      </c>
      <c r="EL1342" s="24" t="s">
        <v>238</v>
      </c>
      <c r="EM1342" s="24" t="s">
        <v>215</v>
      </c>
      <c r="EN1342" s="24">
        <v>2</v>
      </c>
      <c r="EO1342" s="24"/>
      <c r="EP1342" s="24"/>
    </row>
    <row r="1343" spans="139:146" x14ac:dyDescent="0.4">
      <c r="EI1343" s="24">
        <v>2022</v>
      </c>
      <c r="EJ1343" s="24">
        <v>11</v>
      </c>
      <c r="EK1343" s="24" t="s">
        <v>211</v>
      </c>
      <c r="EL1343" s="24" t="s">
        <v>232</v>
      </c>
      <c r="EM1343" s="24" t="s">
        <v>234</v>
      </c>
      <c r="EN1343" s="24">
        <v>5</v>
      </c>
      <c r="EO1343" s="24"/>
      <c r="EP1343" s="24"/>
    </row>
    <row r="1344" spans="139:146" x14ac:dyDescent="0.4">
      <c r="EI1344" s="24">
        <v>2022</v>
      </c>
      <c r="EJ1344" s="24">
        <v>11</v>
      </c>
      <c r="EK1344" s="24" t="s">
        <v>211</v>
      </c>
      <c r="EL1344" s="24" t="s">
        <v>212</v>
      </c>
      <c r="EM1344" s="24" t="s">
        <v>210</v>
      </c>
      <c r="EN1344" s="24">
        <v>8</v>
      </c>
      <c r="EO1344" s="24"/>
      <c r="EP1344" s="24"/>
    </row>
    <row r="1345" spans="139:146" x14ac:dyDescent="0.4">
      <c r="EI1345" s="24">
        <v>2022</v>
      </c>
      <c r="EJ1345" s="24">
        <v>11</v>
      </c>
      <c r="EK1345" s="24" t="s">
        <v>211</v>
      </c>
      <c r="EL1345" s="24" t="s">
        <v>212</v>
      </c>
      <c r="EM1345" s="24" t="s">
        <v>234</v>
      </c>
      <c r="EN1345" s="24">
        <v>12</v>
      </c>
      <c r="EO1345" s="24"/>
      <c r="EP1345" s="24"/>
    </row>
    <row r="1346" spans="139:146" x14ac:dyDescent="0.4">
      <c r="EI1346" s="24">
        <v>2022</v>
      </c>
      <c r="EJ1346" s="24">
        <v>11</v>
      </c>
      <c r="EK1346" s="24" t="s">
        <v>211</v>
      </c>
      <c r="EL1346" s="24" t="s">
        <v>247</v>
      </c>
      <c r="EM1346" s="24" t="s">
        <v>210</v>
      </c>
      <c r="EN1346" s="24">
        <v>9</v>
      </c>
      <c r="EO1346" s="24"/>
      <c r="EP1346" s="24"/>
    </row>
    <row r="1347" spans="139:146" x14ac:dyDescent="0.4">
      <c r="EI1347" s="24">
        <v>2022</v>
      </c>
      <c r="EJ1347" s="24">
        <v>11</v>
      </c>
      <c r="EK1347" s="24" t="s">
        <v>211</v>
      </c>
      <c r="EL1347" s="24" t="s">
        <v>247</v>
      </c>
      <c r="EM1347" s="24" t="s">
        <v>234</v>
      </c>
      <c r="EN1347" s="24">
        <v>2</v>
      </c>
      <c r="EO1347" s="24"/>
      <c r="EP1347" s="24"/>
    </row>
    <row r="1348" spans="139:146" x14ac:dyDescent="0.4">
      <c r="EI1348" s="24">
        <v>2022</v>
      </c>
      <c r="EJ1348" s="24">
        <v>10</v>
      </c>
      <c r="EK1348" s="24" t="s">
        <v>208</v>
      </c>
      <c r="EL1348" s="24" t="s">
        <v>352</v>
      </c>
      <c r="EM1348" s="24" t="s">
        <v>210</v>
      </c>
      <c r="EN1348" s="24">
        <v>4</v>
      </c>
      <c r="EO1348" s="24"/>
      <c r="EP1348" s="24"/>
    </row>
    <row r="1349" spans="139:146" x14ac:dyDescent="0.4">
      <c r="EI1349" s="24">
        <v>2022</v>
      </c>
      <c r="EJ1349" s="24">
        <v>10</v>
      </c>
      <c r="EK1349" s="24" t="s">
        <v>208</v>
      </c>
      <c r="EL1349" s="24" t="s">
        <v>351</v>
      </c>
      <c r="EM1349" s="24" t="s">
        <v>210</v>
      </c>
      <c r="EN1349" s="24">
        <v>4</v>
      </c>
      <c r="EO1349" s="24"/>
      <c r="EP1349" s="24"/>
    </row>
    <row r="1350" spans="139:146" x14ac:dyDescent="0.4">
      <c r="EI1350" s="24">
        <v>2022</v>
      </c>
      <c r="EJ1350" s="24">
        <v>10</v>
      </c>
      <c r="EK1350" s="24" t="s">
        <v>208</v>
      </c>
      <c r="EL1350" s="24" t="s">
        <v>235</v>
      </c>
      <c r="EM1350" s="24" t="s">
        <v>210</v>
      </c>
      <c r="EN1350" s="24">
        <v>30</v>
      </c>
      <c r="EO1350" s="24"/>
      <c r="EP1350" s="24"/>
    </row>
    <row r="1351" spans="139:146" x14ac:dyDescent="0.4">
      <c r="EI1351" s="24">
        <v>2022</v>
      </c>
      <c r="EJ1351" s="24">
        <v>10</v>
      </c>
      <c r="EK1351" s="24" t="s">
        <v>208</v>
      </c>
      <c r="EL1351" s="24" t="s">
        <v>235</v>
      </c>
      <c r="EM1351" s="24" t="s">
        <v>234</v>
      </c>
      <c r="EN1351" s="24">
        <v>2</v>
      </c>
      <c r="EO1351" s="24"/>
      <c r="EP1351" s="24"/>
    </row>
    <row r="1352" spans="139:146" x14ac:dyDescent="0.4">
      <c r="EI1352" s="24">
        <v>2022</v>
      </c>
      <c r="EJ1352" s="24">
        <v>10</v>
      </c>
      <c r="EK1352" s="24" t="s">
        <v>208</v>
      </c>
      <c r="EL1352" s="24" t="s">
        <v>209</v>
      </c>
      <c r="EM1352" s="24" t="s">
        <v>210</v>
      </c>
      <c r="EN1352" s="24">
        <v>11</v>
      </c>
      <c r="EO1352" s="24"/>
      <c r="EP1352" s="24"/>
    </row>
    <row r="1353" spans="139:146" x14ac:dyDescent="0.4">
      <c r="EI1353" s="24">
        <v>2022</v>
      </c>
      <c r="EJ1353" s="24">
        <v>10</v>
      </c>
      <c r="EK1353" s="24" t="s">
        <v>208</v>
      </c>
      <c r="EL1353" s="24" t="s">
        <v>247</v>
      </c>
      <c r="EM1353" s="24" t="s">
        <v>210</v>
      </c>
      <c r="EN1353" s="24">
        <v>5</v>
      </c>
      <c r="EO1353" s="24"/>
      <c r="EP1353" s="24"/>
    </row>
    <row r="1354" spans="139:146" x14ac:dyDescent="0.4">
      <c r="EI1354" s="24">
        <v>2022</v>
      </c>
      <c r="EJ1354" s="24">
        <v>10</v>
      </c>
      <c r="EK1354" s="24" t="s">
        <v>208</v>
      </c>
      <c r="EL1354" s="24" t="s">
        <v>245</v>
      </c>
      <c r="EM1354" s="24" t="s">
        <v>210</v>
      </c>
      <c r="EN1354" s="24">
        <v>2</v>
      </c>
      <c r="EO1354" s="24"/>
      <c r="EP1354" s="24"/>
    </row>
    <row r="1355" spans="139:146" x14ac:dyDescent="0.4">
      <c r="EI1355" s="24">
        <v>2022</v>
      </c>
      <c r="EJ1355" s="24">
        <v>10</v>
      </c>
      <c r="EK1355" s="24" t="s">
        <v>33</v>
      </c>
      <c r="EL1355" s="24" t="s">
        <v>233</v>
      </c>
      <c r="EM1355" s="24" t="s">
        <v>210</v>
      </c>
      <c r="EN1355" s="24">
        <v>58</v>
      </c>
      <c r="EO1355" s="24"/>
      <c r="EP1355" s="24"/>
    </row>
    <row r="1356" spans="139:146" x14ac:dyDescent="0.4">
      <c r="EI1356" s="24">
        <v>2022</v>
      </c>
      <c r="EJ1356" s="24">
        <v>10</v>
      </c>
      <c r="EK1356" s="24" t="s">
        <v>33</v>
      </c>
      <c r="EL1356" s="24" t="s">
        <v>233</v>
      </c>
      <c r="EM1356" s="24" t="s">
        <v>215</v>
      </c>
      <c r="EN1356" s="24">
        <v>3</v>
      </c>
      <c r="EO1356" s="24"/>
      <c r="EP1356" s="24"/>
    </row>
    <row r="1357" spans="139:146" x14ac:dyDescent="0.4">
      <c r="EI1357" s="24">
        <v>2022</v>
      </c>
      <c r="EJ1357" s="24">
        <v>10</v>
      </c>
      <c r="EK1357" s="24" t="s">
        <v>33</v>
      </c>
      <c r="EL1357" s="24" t="s">
        <v>235</v>
      </c>
      <c r="EM1357" s="24" t="s">
        <v>210</v>
      </c>
      <c r="EN1357" s="24">
        <v>10</v>
      </c>
      <c r="EO1357" s="24"/>
      <c r="EP1357" s="24"/>
    </row>
    <row r="1358" spans="139:146" x14ac:dyDescent="0.4">
      <c r="EI1358" s="24">
        <v>2022</v>
      </c>
      <c r="EJ1358" s="24">
        <v>10</v>
      </c>
      <c r="EK1358" s="24" t="s">
        <v>33</v>
      </c>
      <c r="EL1358" s="24" t="s">
        <v>238</v>
      </c>
      <c r="EM1358" s="24" t="s">
        <v>210</v>
      </c>
      <c r="EN1358" s="24">
        <v>255</v>
      </c>
      <c r="EO1358" s="24"/>
      <c r="EP1358" s="24"/>
    </row>
    <row r="1359" spans="139:146" x14ac:dyDescent="0.4">
      <c r="EI1359" s="24">
        <v>2022</v>
      </c>
      <c r="EJ1359" s="24">
        <v>10</v>
      </c>
      <c r="EK1359" s="24" t="s">
        <v>211</v>
      </c>
      <c r="EL1359" s="24" t="s">
        <v>232</v>
      </c>
      <c r="EM1359" s="24" t="s">
        <v>210</v>
      </c>
      <c r="EN1359" s="24">
        <v>1</v>
      </c>
      <c r="EO1359" s="24"/>
      <c r="EP1359" s="24"/>
    </row>
    <row r="1360" spans="139:146" x14ac:dyDescent="0.4">
      <c r="EI1360" s="24">
        <v>2022</v>
      </c>
      <c r="EJ1360" s="24">
        <v>10</v>
      </c>
      <c r="EK1360" s="24" t="s">
        <v>211</v>
      </c>
      <c r="EL1360" s="24" t="s">
        <v>232</v>
      </c>
      <c r="EM1360" s="24" t="s">
        <v>234</v>
      </c>
      <c r="EN1360" s="24">
        <v>14</v>
      </c>
      <c r="EO1360" s="24"/>
      <c r="EP1360" s="24"/>
    </row>
    <row r="1361" spans="139:146" x14ac:dyDescent="0.4">
      <c r="EI1361" s="24">
        <v>2022</v>
      </c>
      <c r="EJ1361" s="24">
        <v>10</v>
      </c>
      <c r="EK1361" s="24" t="s">
        <v>211</v>
      </c>
      <c r="EL1361" s="24" t="s">
        <v>212</v>
      </c>
      <c r="EM1361" s="24" t="s">
        <v>210</v>
      </c>
      <c r="EN1361" s="24">
        <v>7</v>
      </c>
      <c r="EO1361" s="24"/>
      <c r="EP1361" s="24"/>
    </row>
    <row r="1362" spans="139:146" x14ac:dyDescent="0.4">
      <c r="EI1362" s="24">
        <v>2022</v>
      </c>
      <c r="EJ1362" s="24">
        <v>10</v>
      </c>
      <c r="EK1362" s="24" t="s">
        <v>211</v>
      </c>
      <c r="EL1362" s="24" t="s">
        <v>212</v>
      </c>
      <c r="EM1362" s="24" t="s">
        <v>234</v>
      </c>
      <c r="EN1362" s="24">
        <v>7</v>
      </c>
      <c r="EO1362" s="24"/>
      <c r="EP1362" s="24"/>
    </row>
    <row r="1363" spans="139:146" x14ac:dyDescent="0.4">
      <c r="EI1363" s="24">
        <v>2022</v>
      </c>
      <c r="EJ1363" s="24">
        <v>9</v>
      </c>
      <c r="EK1363" s="24" t="s">
        <v>208</v>
      </c>
      <c r="EL1363" s="24" t="s">
        <v>352</v>
      </c>
      <c r="EM1363" s="24" t="s">
        <v>210</v>
      </c>
      <c r="EN1363" s="24">
        <v>2</v>
      </c>
      <c r="EO1363" s="24"/>
      <c r="EP1363" s="24"/>
    </row>
    <row r="1364" spans="139:146" x14ac:dyDescent="0.4">
      <c r="EI1364" s="24">
        <v>2022</v>
      </c>
      <c r="EJ1364" s="24">
        <v>9</v>
      </c>
      <c r="EK1364" s="24" t="s">
        <v>208</v>
      </c>
      <c r="EL1364" s="24" t="s">
        <v>351</v>
      </c>
      <c r="EM1364" s="24" t="s">
        <v>210</v>
      </c>
      <c r="EN1364" s="24">
        <v>10</v>
      </c>
      <c r="EO1364" s="24"/>
      <c r="EP1364" s="24"/>
    </row>
    <row r="1365" spans="139:146" x14ac:dyDescent="0.4">
      <c r="EI1365" s="24">
        <v>2022</v>
      </c>
      <c r="EJ1365" s="24">
        <v>9</v>
      </c>
      <c r="EK1365" s="24" t="s">
        <v>208</v>
      </c>
      <c r="EL1365" s="24" t="s">
        <v>235</v>
      </c>
      <c r="EM1365" s="24" t="s">
        <v>210</v>
      </c>
      <c r="EN1365" s="24">
        <v>23</v>
      </c>
      <c r="EO1365" s="24"/>
      <c r="EP1365" s="24"/>
    </row>
    <row r="1366" spans="139:146" x14ac:dyDescent="0.4">
      <c r="EI1366" s="24">
        <v>2022</v>
      </c>
      <c r="EJ1366" s="24">
        <v>9</v>
      </c>
      <c r="EK1366" s="24" t="s">
        <v>208</v>
      </c>
      <c r="EL1366" s="24" t="s">
        <v>235</v>
      </c>
      <c r="EM1366" s="24" t="s">
        <v>215</v>
      </c>
      <c r="EN1366" s="24">
        <v>2</v>
      </c>
      <c r="EO1366" s="24"/>
      <c r="EP1366" s="24"/>
    </row>
    <row r="1367" spans="139:146" x14ac:dyDescent="0.4">
      <c r="EI1367" s="24">
        <v>2022</v>
      </c>
      <c r="EJ1367" s="24">
        <v>9</v>
      </c>
      <c r="EK1367" s="24" t="s">
        <v>208</v>
      </c>
      <c r="EL1367" s="24" t="s">
        <v>209</v>
      </c>
      <c r="EM1367" s="24" t="s">
        <v>210</v>
      </c>
      <c r="EN1367" s="24">
        <v>3</v>
      </c>
      <c r="EO1367" s="24"/>
      <c r="EP1367" s="24"/>
    </row>
    <row r="1368" spans="139:146" x14ac:dyDescent="0.4">
      <c r="EI1368" s="24">
        <v>2022</v>
      </c>
      <c r="EJ1368" s="24">
        <v>9</v>
      </c>
      <c r="EK1368" s="24" t="s">
        <v>208</v>
      </c>
      <c r="EL1368" s="24" t="s">
        <v>247</v>
      </c>
      <c r="EM1368" s="24" t="s">
        <v>210</v>
      </c>
      <c r="EN1368" s="24">
        <v>3</v>
      </c>
      <c r="EO1368" s="24"/>
      <c r="EP1368" s="24"/>
    </row>
    <row r="1369" spans="139:146" x14ac:dyDescent="0.4">
      <c r="EI1369" s="24">
        <v>2022</v>
      </c>
      <c r="EJ1369" s="24">
        <v>9</v>
      </c>
      <c r="EK1369" s="24" t="s">
        <v>208</v>
      </c>
      <c r="EL1369" s="24" t="s">
        <v>245</v>
      </c>
      <c r="EM1369" s="24" t="s">
        <v>210</v>
      </c>
      <c r="EN1369" s="24">
        <v>3</v>
      </c>
      <c r="EO1369" s="24"/>
      <c r="EP1369" s="24"/>
    </row>
    <row r="1370" spans="139:146" x14ac:dyDescent="0.4">
      <c r="EI1370" s="24">
        <v>2022</v>
      </c>
      <c r="EJ1370" s="24">
        <v>9</v>
      </c>
      <c r="EK1370" s="24" t="s">
        <v>33</v>
      </c>
      <c r="EL1370" s="24" t="s">
        <v>233</v>
      </c>
      <c r="EM1370" s="24" t="s">
        <v>210</v>
      </c>
      <c r="EN1370" s="24">
        <v>4</v>
      </c>
      <c r="EO1370" s="24"/>
      <c r="EP1370" s="24"/>
    </row>
    <row r="1371" spans="139:146" x14ac:dyDescent="0.4">
      <c r="EI1371" s="24">
        <v>2022</v>
      </c>
      <c r="EJ1371" s="24">
        <v>9</v>
      </c>
      <c r="EK1371" s="24" t="s">
        <v>33</v>
      </c>
      <c r="EL1371" s="24" t="s">
        <v>233</v>
      </c>
      <c r="EM1371" s="24" t="s">
        <v>215</v>
      </c>
      <c r="EN1371" s="24">
        <v>6</v>
      </c>
      <c r="EO1371" s="24"/>
      <c r="EP1371" s="24"/>
    </row>
    <row r="1372" spans="139:146" x14ac:dyDescent="0.4">
      <c r="EI1372" s="24">
        <v>2022</v>
      </c>
      <c r="EJ1372" s="24">
        <v>9</v>
      </c>
      <c r="EK1372" s="24" t="s">
        <v>33</v>
      </c>
      <c r="EL1372" s="24" t="s">
        <v>244</v>
      </c>
      <c r="EM1372" s="24" t="s">
        <v>210</v>
      </c>
      <c r="EN1372" s="24">
        <v>5</v>
      </c>
      <c r="EO1372" s="24"/>
      <c r="EP1372" s="24"/>
    </row>
    <row r="1373" spans="139:146" x14ac:dyDescent="0.4">
      <c r="EI1373" s="24">
        <v>2022</v>
      </c>
      <c r="EJ1373" s="24">
        <v>9</v>
      </c>
      <c r="EK1373" s="24" t="s">
        <v>33</v>
      </c>
      <c r="EL1373" s="24" t="s">
        <v>247</v>
      </c>
      <c r="EM1373" s="24" t="s">
        <v>210</v>
      </c>
      <c r="EN1373" s="24">
        <v>8</v>
      </c>
      <c r="EO1373" s="24"/>
      <c r="EP1373" s="24"/>
    </row>
    <row r="1374" spans="139:146" x14ac:dyDescent="0.4">
      <c r="EI1374" s="24">
        <v>2022</v>
      </c>
      <c r="EJ1374" s="24">
        <v>9</v>
      </c>
      <c r="EK1374" s="24" t="s">
        <v>211</v>
      </c>
      <c r="EL1374" s="24" t="s">
        <v>232</v>
      </c>
      <c r="EM1374" s="24" t="s">
        <v>234</v>
      </c>
      <c r="EN1374" s="24">
        <v>2</v>
      </c>
      <c r="EO1374" s="24"/>
      <c r="EP1374" s="24"/>
    </row>
    <row r="1375" spans="139:146" x14ac:dyDescent="0.4">
      <c r="EI1375" s="24">
        <v>2022</v>
      </c>
      <c r="EJ1375" s="24">
        <v>9</v>
      </c>
      <c r="EK1375" s="24" t="s">
        <v>211</v>
      </c>
      <c r="EL1375" s="24" t="s">
        <v>212</v>
      </c>
      <c r="EM1375" s="24" t="s">
        <v>210</v>
      </c>
      <c r="EN1375" s="24">
        <v>6</v>
      </c>
      <c r="EO1375" s="24"/>
      <c r="EP1375" s="24"/>
    </row>
    <row r="1376" spans="139:146" x14ac:dyDescent="0.4">
      <c r="EI1376" s="24">
        <v>2022</v>
      </c>
      <c r="EJ1376" s="24">
        <v>9</v>
      </c>
      <c r="EK1376" s="24" t="s">
        <v>211</v>
      </c>
      <c r="EL1376" s="24" t="s">
        <v>212</v>
      </c>
      <c r="EM1376" s="24" t="s">
        <v>234</v>
      </c>
      <c r="EN1376" s="24">
        <v>5</v>
      </c>
      <c r="EO1376" s="24"/>
      <c r="EP1376" s="24"/>
    </row>
    <row r="1377" spans="139:146" x14ac:dyDescent="0.4">
      <c r="EI1377" s="24">
        <v>2022</v>
      </c>
      <c r="EJ1377" s="24">
        <v>8</v>
      </c>
      <c r="EK1377" s="24" t="s">
        <v>19</v>
      </c>
      <c r="EL1377" s="24" t="s">
        <v>233</v>
      </c>
      <c r="EM1377" s="24" t="s">
        <v>215</v>
      </c>
      <c r="EN1377" s="24">
        <v>1</v>
      </c>
      <c r="EO1377" s="24"/>
      <c r="EP1377" s="24"/>
    </row>
    <row r="1378" spans="139:146" x14ac:dyDescent="0.4">
      <c r="EI1378" s="24">
        <v>2022</v>
      </c>
      <c r="EJ1378" s="24">
        <v>8</v>
      </c>
      <c r="EK1378" s="24" t="s">
        <v>208</v>
      </c>
      <c r="EL1378" s="24" t="s">
        <v>352</v>
      </c>
      <c r="EM1378" s="24" t="s">
        <v>210</v>
      </c>
      <c r="EN1378" s="24">
        <v>1</v>
      </c>
      <c r="EO1378" s="24"/>
      <c r="EP1378" s="24"/>
    </row>
    <row r="1379" spans="139:146" x14ac:dyDescent="0.4">
      <c r="EI1379" s="24">
        <v>2022</v>
      </c>
      <c r="EJ1379" s="24">
        <v>8</v>
      </c>
      <c r="EK1379" s="24" t="s">
        <v>208</v>
      </c>
      <c r="EL1379" s="24" t="s">
        <v>351</v>
      </c>
      <c r="EM1379" s="24" t="s">
        <v>210</v>
      </c>
      <c r="EN1379" s="24">
        <v>3</v>
      </c>
      <c r="EO1379" s="24"/>
      <c r="EP1379" s="24"/>
    </row>
    <row r="1380" spans="139:146" x14ac:dyDescent="0.4">
      <c r="EI1380" s="24">
        <v>2022</v>
      </c>
      <c r="EJ1380" s="24">
        <v>8</v>
      </c>
      <c r="EK1380" s="24" t="s">
        <v>208</v>
      </c>
      <c r="EL1380" s="24" t="s">
        <v>235</v>
      </c>
      <c r="EM1380" s="24" t="s">
        <v>210</v>
      </c>
      <c r="EN1380" s="24">
        <v>18</v>
      </c>
      <c r="EO1380" s="24"/>
      <c r="EP1380" s="24"/>
    </row>
    <row r="1381" spans="139:146" x14ac:dyDescent="0.4">
      <c r="EI1381" s="24">
        <v>2022</v>
      </c>
      <c r="EJ1381" s="24">
        <v>8</v>
      </c>
      <c r="EK1381" s="24" t="s">
        <v>208</v>
      </c>
      <c r="EL1381" s="24" t="s">
        <v>209</v>
      </c>
      <c r="EM1381" s="24" t="s">
        <v>210</v>
      </c>
      <c r="EN1381" s="24">
        <v>4</v>
      </c>
      <c r="EO1381" s="24"/>
      <c r="EP1381" s="24"/>
    </row>
    <row r="1382" spans="139:146" x14ac:dyDescent="0.4">
      <c r="EI1382" s="24">
        <v>2022</v>
      </c>
      <c r="EJ1382" s="24">
        <v>8</v>
      </c>
      <c r="EK1382" s="24" t="s">
        <v>208</v>
      </c>
      <c r="EL1382" s="24" t="s">
        <v>245</v>
      </c>
      <c r="EM1382" s="24" t="s">
        <v>210</v>
      </c>
      <c r="EN1382" s="24">
        <v>1</v>
      </c>
      <c r="EO1382" s="24"/>
      <c r="EP1382" s="24"/>
    </row>
    <row r="1383" spans="139:146" x14ac:dyDescent="0.4">
      <c r="EI1383" s="24">
        <v>2022</v>
      </c>
      <c r="EJ1383" s="24">
        <v>8</v>
      </c>
      <c r="EK1383" s="24" t="s">
        <v>33</v>
      </c>
      <c r="EL1383" s="24" t="s">
        <v>233</v>
      </c>
      <c r="EM1383" s="24" t="s">
        <v>210</v>
      </c>
      <c r="EN1383" s="24">
        <v>8</v>
      </c>
      <c r="EO1383" s="24"/>
      <c r="EP1383" s="24"/>
    </row>
    <row r="1384" spans="139:146" x14ac:dyDescent="0.4">
      <c r="EI1384" s="24">
        <v>2022</v>
      </c>
      <c r="EJ1384" s="24">
        <v>8</v>
      </c>
      <c r="EK1384" s="24" t="s">
        <v>33</v>
      </c>
      <c r="EL1384" s="24" t="s">
        <v>233</v>
      </c>
      <c r="EM1384" s="24" t="s">
        <v>215</v>
      </c>
      <c r="EN1384" s="24">
        <v>23</v>
      </c>
      <c r="EO1384" s="24"/>
      <c r="EP1384" s="24"/>
    </row>
    <row r="1385" spans="139:146" x14ac:dyDescent="0.4">
      <c r="EI1385" s="24">
        <v>2022</v>
      </c>
      <c r="EJ1385" s="24">
        <v>8</v>
      </c>
      <c r="EK1385" s="24" t="s">
        <v>33</v>
      </c>
      <c r="EL1385" s="24" t="s">
        <v>235</v>
      </c>
      <c r="EM1385" s="24" t="s">
        <v>210</v>
      </c>
      <c r="EN1385" s="24">
        <v>7</v>
      </c>
      <c r="EO1385" s="24"/>
      <c r="EP1385" s="24"/>
    </row>
    <row r="1386" spans="139:146" x14ac:dyDescent="0.4">
      <c r="EI1386" s="24">
        <v>2022</v>
      </c>
      <c r="EJ1386" s="24">
        <v>8</v>
      </c>
      <c r="EK1386" s="24" t="s">
        <v>33</v>
      </c>
      <c r="EL1386" s="24" t="s">
        <v>238</v>
      </c>
      <c r="EM1386" s="24" t="s">
        <v>215</v>
      </c>
      <c r="EN1386" s="24">
        <v>4</v>
      </c>
      <c r="EO1386" s="24"/>
      <c r="EP1386" s="24"/>
    </row>
    <row r="1387" spans="139:146" x14ac:dyDescent="0.4">
      <c r="EI1387" s="24">
        <v>2022</v>
      </c>
      <c r="EJ1387" s="24">
        <v>8</v>
      </c>
      <c r="EK1387" s="24" t="s">
        <v>211</v>
      </c>
      <c r="EL1387" s="24" t="s">
        <v>232</v>
      </c>
      <c r="EM1387" s="24" t="s">
        <v>234</v>
      </c>
      <c r="EN1387" s="24">
        <v>1</v>
      </c>
      <c r="EO1387" s="24"/>
      <c r="EP1387" s="24"/>
    </row>
    <row r="1388" spans="139:146" x14ac:dyDescent="0.4">
      <c r="EI1388" s="24">
        <v>2022</v>
      </c>
      <c r="EJ1388" s="24">
        <v>8</v>
      </c>
      <c r="EK1388" s="24" t="s">
        <v>211</v>
      </c>
      <c r="EL1388" s="24" t="s">
        <v>212</v>
      </c>
      <c r="EM1388" s="24" t="s">
        <v>210</v>
      </c>
      <c r="EN1388" s="24">
        <v>4</v>
      </c>
      <c r="EO1388" s="24"/>
      <c r="EP1388" s="24"/>
    </row>
    <row r="1389" spans="139:146" x14ac:dyDescent="0.4">
      <c r="EI1389" s="24">
        <v>2022</v>
      </c>
      <c r="EJ1389" s="24">
        <v>8</v>
      </c>
      <c r="EK1389" s="24" t="s">
        <v>211</v>
      </c>
      <c r="EL1389" s="24" t="s">
        <v>212</v>
      </c>
      <c r="EM1389" s="24" t="s">
        <v>234</v>
      </c>
      <c r="EN1389" s="24">
        <v>7</v>
      </c>
      <c r="EO1389" s="24"/>
      <c r="EP1389" s="24"/>
    </row>
    <row r="1390" spans="139:146" x14ac:dyDescent="0.4">
      <c r="EI1390" s="24">
        <v>2022</v>
      </c>
      <c r="EJ1390" s="24">
        <v>7</v>
      </c>
      <c r="EK1390" s="24" t="s">
        <v>208</v>
      </c>
      <c r="EL1390" s="24" t="s">
        <v>352</v>
      </c>
      <c r="EM1390" s="24" t="s">
        <v>210</v>
      </c>
      <c r="EN1390" s="24">
        <v>1</v>
      </c>
      <c r="EO1390" s="24"/>
      <c r="EP1390" s="24"/>
    </row>
    <row r="1391" spans="139:146" x14ac:dyDescent="0.4">
      <c r="EI1391" s="24">
        <v>2022</v>
      </c>
      <c r="EJ1391" s="24">
        <v>7</v>
      </c>
      <c r="EK1391" s="24" t="s">
        <v>208</v>
      </c>
      <c r="EL1391" s="24" t="s">
        <v>351</v>
      </c>
      <c r="EM1391" s="24" t="s">
        <v>210</v>
      </c>
      <c r="EN1391" s="24">
        <v>1</v>
      </c>
      <c r="EO1391" s="24"/>
      <c r="EP1391" s="24"/>
    </row>
    <row r="1392" spans="139:146" x14ac:dyDescent="0.4">
      <c r="EI1392" s="24">
        <v>2022</v>
      </c>
      <c r="EJ1392" s="24">
        <v>7</v>
      </c>
      <c r="EK1392" s="24" t="s">
        <v>208</v>
      </c>
      <c r="EL1392" s="24" t="s">
        <v>235</v>
      </c>
      <c r="EM1392" s="24" t="s">
        <v>210</v>
      </c>
      <c r="EN1392" s="24">
        <v>22</v>
      </c>
      <c r="EO1392" s="24"/>
      <c r="EP1392" s="24"/>
    </row>
    <row r="1393" spans="139:146" x14ac:dyDescent="0.4">
      <c r="EI1393" s="24">
        <v>2022</v>
      </c>
      <c r="EJ1393" s="24">
        <v>7</v>
      </c>
      <c r="EK1393" s="24" t="s">
        <v>208</v>
      </c>
      <c r="EL1393" s="24" t="s">
        <v>235</v>
      </c>
      <c r="EM1393" s="24" t="s">
        <v>215</v>
      </c>
      <c r="EN1393" s="24">
        <v>1</v>
      </c>
      <c r="EO1393" s="24"/>
      <c r="EP1393" s="24"/>
    </row>
    <row r="1394" spans="139:146" x14ac:dyDescent="0.4">
      <c r="EI1394" s="24">
        <v>2022</v>
      </c>
      <c r="EJ1394" s="24">
        <v>7</v>
      </c>
      <c r="EK1394" s="24" t="s">
        <v>208</v>
      </c>
      <c r="EL1394" s="24" t="s">
        <v>209</v>
      </c>
      <c r="EM1394" s="24" t="s">
        <v>210</v>
      </c>
      <c r="EN1394" s="24">
        <v>7</v>
      </c>
      <c r="EO1394" s="24"/>
      <c r="EP1394" s="24"/>
    </row>
    <row r="1395" spans="139:146" x14ac:dyDescent="0.4">
      <c r="EI1395" s="24">
        <v>2022</v>
      </c>
      <c r="EJ1395" s="24">
        <v>7</v>
      </c>
      <c r="EK1395" s="24" t="s">
        <v>208</v>
      </c>
      <c r="EL1395" s="24" t="s">
        <v>410</v>
      </c>
      <c r="EM1395" s="24" t="s">
        <v>210</v>
      </c>
      <c r="EN1395" s="24">
        <v>1</v>
      </c>
      <c r="EO1395" s="24"/>
      <c r="EP1395" s="24"/>
    </row>
    <row r="1396" spans="139:146" x14ac:dyDescent="0.4">
      <c r="EI1396" s="24">
        <v>2022</v>
      </c>
      <c r="EJ1396" s="24">
        <v>7</v>
      </c>
      <c r="EK1396" s="24" t="s">
        <v>33</v>
      </c>
      <c r="EL1396" s="24" t="s">
        <v>233</v>
      </c>
      <c r="EM1396" s="24" t="s">
        <v>210</v>
      </c>
      <c r="EN1396" s="24">
        <v>4</v>
      </c>
      <c r="EO1396" s="24"/>
      <c r="EP1396" s="24"/>
    </row>
    <row r="1397" spans="139:146" x14ac:dyDescent="0.4">
      <c r="EI1397" s="24">
        <v>2022</v>
      </c>
      <c r="EJ1397" s="24">
        <v>7</v>
      </c>
      <c r="EK1397" s="24" t="s">
        <v>33</v>
      </c>
      <c r="EL1397" s="24" t="s">
        <v>233</v>
      </c>
      <c r="EM1397" s="24" t="s">
        <v>215</v>
      </c>
      <c r="EN1397" s="24">
        <v>2</v>
      </c>
      <c r="EO1397" s="24"/>
      <c r="EP1397" s="24"/>
    </row>
    <row r="1398" spans="139:146" x14ac:dyDescent="0.4">
      <c r="EI1398" s="24">
        <v>2022</v>
      </c>
      <c r="EJ1398" s="24">
        <v>7</v>
      </c>
      <c r="EK1398" s="24" t="s">
        <v>33</v>
      </c>
      <c r="EL1398" s="24" t="s">
        <v>244</v>
      </c>
      <c r="EM1398" s="24" t="s">
        <v>210</v>
      </c>
      <c r="EN1398" s="24">
        <v>4</v>
      </c>
      <c r="EO1398" s="24"/>
      <c r="EP1398" s="24"/>
    </row>
    <row r="1399" spans="139:146" x14ac:dyDescent="0.4">
      <c r="EI1399" s="24">
        <v>2022</v>
      </c>
      <c r="EJ1399" s="24">
        <v>7</v>
      </c>
      <c r="EK1399" s="24" t="s">
        <v>33</v>
      </c>
      <c r="EL1399" s="24" t="s">
        <v>238</v>
      </c>
      <c r="EM1399" s="24" t="s">
        <v>234</v>
      </c>
      <c r="EN1399" s="24">
        <v>4</v>
      </c>
      <c r="EO1399" s="24"/>
      <c r="EP1399" s="24"/>
    </row>
    <row r="1400" spans="139:146" x14ac:dyDescent="0.4">
      <c r="EI1400" s="24">
        <v>2022</v>
      </c>
      <c r="EJ1400" s="24">
        <v>7</v>
      </c>
      <c r="EK1400" s="24" t="s">
        <v>33</v>
      </c>
      <c r="EL1400" s="24" t="s">
        <v>238</v>
      </c>
      <c r="EM1400" s="24" t="s">
        <v>215</v>
      </c>
      <c r="EN1400" s="24">
        <v>4</v>
      </c>
      <c r="EO1400" s="24"/>
      <c r="EP1400" s="24"/>
    </row>
    <row r="1401" spans="139:146" x14ac:dyDescent="0.4">
      <c r="EI1401" s="24">
        <v>2022</v>
      </c>
      <c r="EJ1401" s="24">
        <v>7</v>
      </c>
      <c r="EK1401" s="24" t="s">
        <v>211</v>
      </c>
      <c r="EL1401" s="24" t="s">
        <v>212</v>
      </c>
      <c r="EM1401" s="24" t="s">
        <v>210</v>
      </c>
      <c r="EN1401" s="24">
        <v>8</v>
      </c>
      <c r="EO1401" s="24"/>
      <c r="EP1401" s="24"/>
    </row>
    <row r="1402" spans="139:146" x14ac:dyDescent="0.4">
      <c r="EI1402" s="24">
        <v>2022</v>
      </c>
      <c r="EJ1402" s="24">
        <v>7</v>
      </c>
      <c r="EK1402" s="24" t="s">
        <v>211</v>
      </c>
      <c r="EL1402" s="24" t="s">
        <v>212</v>
      </c>
      <c r="EM1402" s="24" t="s">
        <v>234</v>
      </c>
      <c r="EN1402" s="24">
        <v>6</v>
      </c>
      <c r="EO1402" s="24"/>
      <c r="EP1402" s="24"/>
    </row>
    <row r="1403" spans="139:146" x14ac:dyDescent="0.4">
      <c r="EI1403" s="24">
        <v>2022</v>
      </c>
      <c r="EJ1403" s="24">
        <v>7</v>
      </c>
      <c r="EK1403" s="24" t="s">
        <v>211</v>
      </c>
      <c r="EL1403" s="24" t="s">
        <v>247</v>
      </c>
      <c r="EM1403" s="24" t="s">
        <v>210</v>
      </c>
      <c r="EN1403" s="24">
        <v>6</v>
      </c>
      <c r="EO1403" s="24"/>
      <c r="EP1403" s="24"/>
    </row>
    <row r="1404" spans="139:146" x14ac:dyDescent="0.4">
      <c r="EI1404" s="24">
        <v>2022</v>
      </c>
      <c r="EJ1404" s="24">
        <v>7</v>
      </c>
      <c r="EK1404" s="24" t="s">
        <v>211</v>
      </c>
      <c r="EL1404" s="24" t="s">
        <v>247</v>
      </c>
      <c r="EM1404" s="24" t="s">
        <v>234</v>
      </c>
      <c r="EN1404" s="24">
        <v>4</v>
      </c>
      <c r="EO1404" s="24"/>
      <c r="EP1404" s="24"/>
    </row>
    <row r="1405" spans="139:146" x14ac:dyDescent="0.4">
      <c r="EI1405" s="24">
        <v>2022</v>
      </c>
      <c r="EJ1405" s="24">
        <v>6</v>
      </c>
      <c r="EK1405" s="24" t="s">
        <v>208</v>
      </c>
      <c r="EL1405" s="24" t="s">
        <v>352</v>
      </c>
      <c r="EM1405" s="24" t="s">
        <v>210</v>
      </c>
      <c r="EN1405" s="24">
        <v>3</v>
      </c>
      <c r="EO1405" s="24"/>
      <c r="EP1405" s="24"/>
    </row>
    <row r="1406" spans="139:146" x14ac:dyDescent="0.4">
      <c r="EI1406" s="24">
        <v>2022</v>
      </c>
      <c r="EJ1406" s="24">
        <v>6</v>
      </c>
      <c r="EK1406" s="24" t="s">
        <v>208</v>
      </c>
      <c r="EL1406" s="24" t="s">
        <v>351</v>
      </c>
      <c r="EM1406" s="24" t="s">
        <v>210</v>
      </c>
      <c r="EN1406" s="24">
        <v>3</v>
      </c>
      <c r="EO1406" s="24"/>
      <c r="EP1406" s="24"/>
    </row>
    <row r="1407" spans="139:146" x14ac:dyDescent="0.4">
      <c r="EI1407" s="24">
        <v>2022</v>
      </c>
      <c r="EJ1407" s="24">
        <v>6</v>
      </c>
      <c r="EK1407" s="24" t="s">
        <v>208</v>
      </c>
      <c r="EL1407" s="24" t="s">
        <v>235</v>
      </c>
      <c r="EM1407" s="24" t="s">
        <v>210</v>
      </c>
      <c r="EN1407" s="24">
        <v>38</v>
      </c>
      <c r="EO1407" s="24"/>
      <c r="EP1407" s="24"/>
    </row>
    <row r="1408" spans="139:146" x14ac:dyDescent="0.4">
      <c r="EI1408" s="24">
        <v>2022</v>
      </c>
      <c r="EJ1408" s="24">
        <v>6</v>
      </c>
      <c r="EK1408" s="24" t="s">
        <v>208</v>
      </c>
      <c r="EL1408" s="24" t="s">
        <v>235</v>
      </c>
      <c r="EM1408" s="24" t="s">
        <v>215</v>
      </c>
      <c r="EN1408" s="24">
        <v>9</v>
      </c>
      <c r="EO1408" s="24"/>
      <c r="EP1408" s="24"/>
    </row>
    <row r="1409" spans="139:146" x14ac:dyDescent="0.4">
      <c r="EI1409" s="24">
        <v>2022</v>
      </c>
      <c r="EJ1409" s="24">
        <v>6</v>
      </c>
      <c r="EK1409" s="24" t="s">
        <v>208</v>
      </c>
      <c r="EL1409" s="24" t="s">
        <v>209</v>
      </c>
      <c r="EM1409" s="24" t="s">
        <v>210</v>
      </c>
      <c r="EN1409" s="24">
        <v>2</v>
      </c>
      <c r="EO1409" s="24"/>
      <c r="EP1409" s="24"/>
    </row>
    <row r="1410" spans="139:146" x14ac:dyDescent="0.4">
      <c r="EI1410" s="24">
        <v>2022</v>
      </c>
      <c r="EJ1410" s="24">
        <v>6</v>
      </c>
      <c r="EK1410" s="24" t="s">
        <v>208</v>
      </c>
      <c r="EL1410" s="24" t="s">
        <v>247</v>
      </c>
      <c r="EM1410" s="24" t="s">
        <v>210</v>
      </c>
      <c r="EN1410" s="24">
        <v>1</v>
      </c>
      <c r="EO1410" s="24"/>
      <c r="EP1410" s="24"/>
    </row>
    <row r="1411" spans="139:146" x14ac:dyDescent="0.4">
      <c r="EI1411" s="24">
        <v>2022</v>
      </c>
      <c r="EJ1411" s="24">
        <v>6</v>
      </c>
      <c r="EK1411" s="24" t="s">
        <v>208</v>
      </c>
      <c r="EL1411" s="24" t="s">
        <v>245</v>
      </c>
      <c r="EM1411" s="24" t="s">
        <v>210</v>
      </c>
      <c r="EN1411" s="24">
        <v>3</v>
      </c>
      <c r="EO1411" s="24"/>
      <c r="EP1411" s="24"/>
    </row>
    <row r="1412" spans="139:146" x14ac:dyDescent="0.4">
      <c r="EI1412" s="24">
        <v>2022</v>
      </c>
      <c r="EJ1412" s="24">
        <v>6</v>
      </c>
      <c r="EK1412" s="24" t="s">
        <v>33</v>
      </c>
      <c r="EL1412" s="24" t="s">
        <v>233</v>
      </c>
      <c r="EM1412" s="24" t="s">
        <v>210</v>
      </c>
      <c r="EN1412" s="24">
        <v>1</v>
      </c>
      <c r="EO1412" s="24"/>
      <c r="EP1412" s="24"/>
    </row>
    <row r="1413" spans="139:146" x14ac:dyDescent="0.4">
      <c r="EI1413" s="24">
        <v>2022</v>
      </c>
      <c r="EJ1413" s="24">
        <v>6</v>
      </c>
      <c r="EK1413" s="24" t="s">
        <v>33</v>
      </c>
      <c r="EL1413" s="24" t="s">
        <v>233</v>
      </c>
      <c r="EM1413" s="24" t="s">
        <v>215</v>
      </c>
      <c r="EN1413" s="24">
        <v>6</v>
      </c>
      <c r="EO1413" s="24"/>
      <c r="EP1413" s="24"/>
    </row>
    <row r="1414" spans="139:146" x14ac:dyDescent="0.4">
      <c r="EI1414" s="24">
        <v>2022</v>
      </c>
      <c r="EJ1414" s="24">
        <v>6</v>
      </c>
      <c r="EK1414" s="24" t="s">
        <v>33</v>
      </c>
      <c r="EL1414" s="24" t="s">
        <v>236</v>
      </c>
      <c r="EM1414" s="24" t="s">
        <v>210</v>
      </c>
      <c r="EN1414" s="24">
        <v>50</v>
      </c>
      <c r="EO1414" s="24"/>
      <c r="EP1414" s="24"/>
    </row>
    <row r="1415" spans="139:146" x14ac:dyDescent="0.4">
      <c r="EI1415" s="24">
        <v>2022</v>
      </c>
      <c r="EJ1415" s="24">
        <v>6</v>
      </c>
      <c r="EK1415" s="24" t="s">
        <v>33</v>
      </c>
      <c r="EL1415" s="24" t="s">
        <v>247</v>
      </c>
      <c r="EM1415" s="24" t="s">
        <v>210</v>
      </c>
      <c r="EN1415" s="24">
        <v>27</v>
      </c>
      <c r="EO1415" s="24"/>
      <c r="EP1415" s="24"/>
    </row>
    <row r="1416" spans="139:146" x14ac:dyDescent="0.4">
      <c r="EI1416" s="24">
        <v>2022</v>
      </c>
      <c r="EJ1416" s="24">
        <v>6</v>
      </c>
      <c r="EK1416" s="24" t="s">
        <v>211</v>
      </c>
      <c r="EL1416" s="24" t="s">
        <v>212</v>
      </c>
      <c r="EM1416" s="24" t="s">
        <v>210</v>
      </c>
      <c r="EN1416" s="24">
        <v>10</v>
      </c>
      <c r="EO1416" s="24"/>
      <c r="EP1416" s="24"/>
    </row>
    <row r="1417" spans="139:146" x14ac:dyDescent="0.4">
      <c r="EI1417" s="24">
        <v>2022</v>
      </c>
      <c r="EJ1417" s="24">
        <v>6</v>
      </c>
      <c r="EK1417" s="24" t="s">
        <v>211</v>
      </c>
      <c r="EL1417" s="24" t="s">
        <v>212</v>
      </c>
      <c r="EM1417" s="24" t="s">
        <v>234</v>
      </c>
      <c r="EN1417" s="24">
        <v>6</v>
      </c>
      <c r="EO1417" s="24"/>
      <c r="EP1417" s="24"/>
    </row>
    <row r="1418" spans="139:146" x14ac:dyDescent="0.4">
      <c r="EI1418" s="24">
        <v>2022</v>
      </c>
      <c r="EJ1418" s="24">
        <v>6</v>
      </c>
      <c r="EK1418" s="24" t="s">
        <v>211</v>
      </c>
      <c r="EL1418" s="24" t="s">
        <v>247</v>
      </c>
      <c r="EM1418" s="24" t="s">
        <v>210</v>
      </c>
      <c r="EN1418" s="24">
        <v>2</v>
      </c>
      <c r="EO1418" s="24"/>
      <c r="EP1418" s="24"/>
    </row>
    <row r="1419" spans="139:146" x14ac:dyDescent="0.4">
      <c r="EI1419" s="24">
        <v>2022</v>
      </c>
      <c r="EJ1419" s="24">
        <v>6</v>
      </c>
      <c r="EK1419" s="24" t="s">
        <v>211</v>
      </c>
      <c r="EL1419" s="24" t="s">
        <v>247</v>
      </c>
      <c r="EM1419" s="24" t="s">
        <v>234</v>
      </c>
      <c r="EN1419" s="24">
        <v>12</v>
      </c>
      <c r="EO1419" s="24"/>
      <c r="EP1419" s="24"/>
    </row>
    <row r="1420" spans="139:146" x14ac:dyDescent="0.4">
      <c r="EI1420" s="24">
        <v>2022</v>
      </c>
      <c r="EJ1420" s="24">
        <v>5</v>
      </c>
      <c r="EK1420" s="24" t="s">
        <v>208</v>
      </c>
      <c r="EL1420" s="24" t="s">
        <v>352</v>
      </c>
      <c r="EM1420" s="24" t="s">
        <v>210</v>
      </c>
      <c r="EN1420" s="24">
        <v>1</v>
      </c>
      <c r="EO1420" s="24"/>
      <c r="EP1420" s="24"/>
    </row>
    <row r="1421" spans="139:146" x14ac:dyDescent="0.4">
      <c r="EI1421" s="24">
        <v>2022</v>
      </c>
      <c r="EJ1421" s="24">
        <v>5</v>
      </c>
      <c r="EK1421" s="24" t="s">
        <v>208</v>
      </c>
      <c r="EL1421" s="24" t="s">
        <v>351</v>
      </c>
      <c r="EM1421" s="24" t="s">
        <v>210</v>
      </c>
      <c r="EN1421" s="24">
        <v>8</v>
      </c>
      <c r="EO1421" s="24"/>
      <c r="EP1421" s="24"/>
    </row>
    <row r="1422" spans="139:146" x14ac:dyDescent="0.4">
      <c r="EI1422" s="24">
        <v>2022</v>
      </c>
      <c r="EJ1422" s="24">
        <v>5</v>
      </c>
      <c r="EK1422" s="24" t="s">
        <v>208</v>
      </c>
      <c r="EL1422" s="24" t="s">
        <v>235</v>
      </c>
      <c r="EM1422" s="24" t="s">
        <v>210</v>
      </c>
      <c r="EN1422" s="24">
        <v>31</v>
      </c>
      <c r="EO1422" s="24"/>
      <c r="EP1422" s="24"/>
    </row>
    <row r="1423" spans="139:146" x14ac:dyDescent="0.4">
      <c r="EI1423" s="24">
        <v>2022</v>
      </c>
      <c r="EJ1423" s="24">
        <v>5</v>
      </c>
      <c r="EK1423" s="24" t="s">
        <v>208</v>
      </c>
      <c r="EL1423" s="24" t="s">
        <v>235</v>
      </c>
      <c r="EM1423" s="24" t="s">
        <v>234</v>
      </c>
      <c r="EN1423" s="24">
        <v>1</v>
      </c>
      <c r="EO1423" s="24"/>
      <c r="EP1423" s="24"/>
    </row>
    <row r="1424" spans="139:146" x14ac:dyDescent="0.4">
      <c r="EI1424" s="24">
        <v>2022</v>
      </c>
      <c r="EJ1424" s="24">
        <v>5</v>
      </c>
      <c r="EK1424" s="24" t="s">
        <v>208</v>
      </c>
      <c r="EL1424" s="24" t="s">
        <v>235</v>
      </c>
      <c r="EM1424" s="24" t="s">
        <v>215</v>
      </c>
      <c r="EN1424" s="24">
        <v>4</v>
      </c>
      <c r="EO1424" s="24"/>
      <c r="EP1424" s="24"/>
    </row>
    <row r="1425" spans="139:146" x14ac:dyDescent="0.4">
      <c r="EI1425" s="24">
        <v>2022</v>
      </c>
      <c r="EJ1425" s="24">
        <v>5</v>
      </c>
      <c r="EK1425" s="24" t="s">
        <v>208</v>
      </c>
      <c r="EL1425" s="24" t="s">
        <v>209</v>
      </c>
      <c r="EM1425" s="24" t="s">
        <v>210</v>
      </c>
      <c r="EN1425" s="24">
        <v>1</v>
      </c>
      <c r="EO1425" s="24"/>
      <c r="EP1425" s="24"/>
    </row>
    <row r="1426" spans="139:146" x14ac:dyDescent="0.4">
      <c r="EI1426" s="24">
        <v>2022</v>
      </c>
      <c r="EJ1426" s="24">
        <v>5</v>
      </c>
      <c r="EK1426" s="24" t="s">
        <v>208</v>
      </c>
      <c r="EL1426" s="24" t="s">
        <v>247</v>
      </c>
      <c r="EM1426" s="24" t="s">
        <v>210</v>
      </c>
      <c r="EN1426" s="24">
        <v>3</v>
      </c>
      <c r="EO1426" s="24"/>
      <c r="EP1426" s="24"/>
    </row>
    <row r="1427" spans="139:146" x14ac:dyDescent="0.4">
      <c r="EI1427" s="24">
        <v>2022</v>
      </c>
      <c r="EJ1427" s="24">
        <v>5</v>
      </c>
      <c r="EK1427" s="24" t="s">
        <v>208</v>
      </c>
      <c r="EL1427" s="24" t="s">
        <v>247</v>
      </c>
      <c r="EM1427" s="24" t="s">
        <v>215</v>
      </c>
      <c r="EN1427" s="24">
        <v>1</v>
      </c>
      <c r="EO1427" s="24"/>
      <c r="EP1427" s="24"/>
    </row>
    <row r="1428" spans="139:146" x14ac:dyDescent="0.4">
      <c r="EI1428" s="24">
        <v>2022</v>
      </c>
      <c r="EJ1428" s="24">
        <v>5</v>
      </c>
      <c r="EK1428" s="24" t="s">
        <v>33</v>
      </c>
      <c r="EL1428" s="24" t="s">
        <v>233</v>
      </c>
      <c r="EM1428" s="24" t="s">
        <v>215</v>
      </c>
      <c r="EN1428" s="24">
        <v>1</v>
      </c>
      <c r="EO1428" s="24"/>
      <c r="EP1428" s="24"/>
    </row>
    <row r="1429" spans="139:146" x14ac:dyDescent="0.4">
      <c r="EI1429" s="24">
        <v>2022</v>
      </c>
      <c r="EJ1429" s="24">
        <v>5</v>
      </c>
      <c r="EK1429" s="24" t="s">
        <v>33</v>
      </c>
      <c r="EL1429" s="24" t="s">
        <v>238</v>
      </c>
      <c r="EM1429" s="24" t="s">
        <v>210</v>
      </c>
      <c r="EN1429" s="24">
        <v>4</v>
      </c>
      <c r="EO1429" s="24"/>
      <c r="EP1429" s="24"/>
    </row>
    <row r="1430" spans="139:146" x14ac:dyDescent="0.4">
      <c r="EI1430" s="24">
        <v>2022</v>
      </c>
      <c r="EJ1430" s="24">
        <v>5</v>
      </c>
      <c r="EK1430" s="24" t="s">
        <v>33</v>
      </c>
      <c r="EL1430" s="24" t="s">
        <v>238</v>
      </c>
      <c r="EM1430" s="24" t="s">
        <v>215</v>
      </c>
      <c r="EN1430" s="24">
        <v>4</v>
      </c>
      <c r="EO1430" s="24"/>
      <c r="EP1430" s="24"/>
    </row>
    <row r="1431" spans="139:146" x14ac:dyDescent="0.4">
      <c r="EI1431" s="24">
        <v>2022</v>
      </c>
      <c r="EJ1431" s="24">
        <v>5</v>
      </c>
      <c r="EK1431" s="24" t="s">
        <v>211</v>
      </c>
      <c r="EL1431" s="24" t="s">
        <v>232</v>
      </c>
      <c r="EM1431" s="24" t="s">
        <v>234</v>
      </c>
      <c r="EN1431" s="24">
        <v>2</v>
      </c>
      <c r="EO1431" s="24"/>
      <c r="EP1431" s="24"/>
    </row>
    <row r="1432" spans="139:146" x14ac:dyDescent="0.4">
      <c r="EI1432" s="24">
        <v>2022</v>
      </c>
      <c r="EJ1432" s="24">
        <v>5</v>
      </c>
      <c r="EK1432" s="24" t="s">
        <v>211</v>
      </c>
      <c r="EL1432" s="24" t="s">
        <v>212</v>
      </c>
      <c r="EM1432" s="24" t="s">
        <v>210</v>
      </c>
      <c r="EN1432" s="24">
        <v>4</v>
      </c>
      <c r="EO1432" s="24"/>
      <c r="EP1432" s="24"/>
    </row>
    <row r="1433" spans="139:146" x14ac:dyDescent="0.4">
      <c r="EI1433" s="24">
        <v>2022</v>
      </c>
      <c r="EJ1433" s="24">
        <v>5</v>
      </c>
      <c r="EK1433" s="24" t="s">
        <v>211</v>
      </c>
      <c r="EL1433" s="24" t="s">
        <v>212</v>
      </c>
      <c r="EM1433" s="24" t="s">
        <v>234</v>
      </c>
      <c r="EN1433" s="24">
        <v>6</v>
      </c>
      <c r="EO1433" s="24"/>
      <c r="EP1433" s="24"/>
    </row>
    <row r="1434" spans="139:146" x14ac:dyDescent="0.4">
      <c r="EI1434" s="24">
        <v>2022</v>
      </c>
      <c r="EJ1434" s="24">
        <v>5</v>
      </c>
      <c r="EK1434" s="24" t="s">
        <v>211</v>
      </c>
      <c r="EL1434" s="24" t="s">
        <v>247</v>
      </c>
      <c r="EM1434" s="24" t="s">
        <v>210</v>
      </c>
      <c r="EN1434" s="24">
        <v>6</v>
      </c>
      <c r="EO1434" s="24"/>
      <c r="EP1434" s="24"/>
    </row>
    <row r="1435" spans="139:146" x14ac:dyDescent="0.4">
      <c r="EI1435" s="24">
        <v>2022</v>
      </c>
      <c r="EJ1435" s="24">
        <v>5</v>
      </c>
      <c r="EK1435" s="24" t="s">
        <v>211</v>
      </c>
      <c r="EL1435" s="24" t="s">
        <v>247</v>
      </c>
      <c r="EM1435" s="24" t="s">
        <v>234</v>
      </c>
      <c r="EN1435" s="24">
        <v>8</v>
      </c>
      <c r="EO1435" s="24"/>
      <c r="EP1435" s="24"/>
    </row>
    <row r="1436" spans="139:146" x14ac:dyDescent="0.4">
      <c r="EI1436" s="24">
        <v>2022</v>
      </c>
      <c r="EJ1436" s="24">
        <v>4</v>
      </c>
      <c r="EK1436" s="24" t="s">
        <v>19</v>
      </c>
      <c r="EL1436" s="24" t="s">
        <v>233</v>
      </c>
      <c r="EM1436" s="24" t="s">
        <v>210</v>
      </c>
      <c r="EN1436" s="24">
        <v>1</v>
      </c>
      <c r="EO1436" s="24"/>
      <c r="EP1436" s="24"/>
    </row>
    <row r="1437" spans="139:146" x14ac:dyDescent="0.4">
      <c r="EI1437" s="24">
        <v>2022</v>
      </c>
      <c r="EJ1437" s="24">
        <v>4</v>
      </c>
      <c r="EK1437" s="24" t="s">
        <v>208</v>
      </c>
      <c r="EL1437" s="24" t="s">
        <v>351</v>
      </c>
      <c r="EM1437" s="24" t="s">
        <v>210</v>
      </c>
      <c r="EN1437" s="24">
        <v>5</v>
      </c>
      <c r="EO1437" s="24"/>
      <c r="EP1437" s="24"/>
    </row>
    <row r="1438" spans="139:146" x14ac:dyDescent="0.4">
      <c r="EI1438" s="24">
        <v>2022</v>
      </c>
      <c r="EJ1438" s="24">
        <v>4</v>
      </c>
      <c r="EK1438" s="24" t="s">
        <v>208</v>
      </c>
      <c r="EL1438" s="24" t="s">
        <v>235</v>
      </c>
      <c r="EM1438" s="24" t="s">
        <v>210</v>
      </c>
      <c r="EN1438" s="24">
        <v>15</v>
      </c>
      <c r="EO1438" s="24"/>
      <c r="EP1438" s="24"/>
    </row>
    <row r="1439" spans="139:146" x14ac:dyDescent="0.4">
      <c r="EI1439" s="24">
        <v>2022</v>
      </c>
      <c r="EJ1439" s="24">
        <v>4</v>
      </c>
      <c r="EK1439" s="24" t="s">
        <v>208</v>
      </c>
      <c r="EL1439" s="24" t="s">
        <v>235</v>
      </c>
      <c r="EM1439" s="24" t="s">
        <v>215</v>
      </c>
      <c r="EN1439" s="24">
        <v>14</v>
      </c>
      <c r="EO1439" s="24"/>
      <c r="EP1439" s="24"/>
    </row>
    <row r="1440" spans="139:146" x14ac:dyDescent="0.4">
      <c r="EI1440" s="24">
        <v>2022</v>
      </c>
      <c r="EJ1440" s="24">
        <v>4</v>
      </c>
      <c r="EK1440" s="24" t="s">
        <v>208</v>
      </c>
      <c r="EL1440" s="24" t="s">
        <v>209</v>
      </c>
      <c r="EM1440" s="24" t="s">
        <v>210</v>
      </c>
      <c r="EN1440" s="24">
        <v>3</v>
      </c>
      <c r="EO1440" s="24"/>
      <c r="EP1440" s="24"/>
    </row>
    <row r="1441" spans="139:146" x14ac:dyDescent="0.4">
      <c r="EI1441" s="24">
        <v>2022</v>
      </c>
      <c r="EJ1441" s="24">
        <v>4</v>
      </c>
      <c r="EK1441" s="24" t="s">
        <v>208</v>
      </c>
      <c r="EL1441" s="24" t="s">
        <v>247</v>
      </c>
      <c r="EM1441" s="24" t="s">
        <v>210</v>
      </c>
      <c r="EN1441" s="24">
        <v>1</v>
      </c>
      <c r="EO1441" s="24"/>
      <c r="EP1441" s="24"/>
    </row>
    <row r="1442" spans="139:146" x14ac:dyDescent="0.4">
      <c r="EI1442" s="24">
        <v>2022</v>
      </c>
      <c r="EJ1442" s="24">
        <v>4</v>
      </c>
      <c r="EK1442" s="24" t="s">
        <v>208</v>
      </c>
      <c r="EL1442" s="24" t="s">
        <v>245</v>
      </c>
      <c r="EM1442" s="24" t="s">
        <v>210</v>
      </c>
      <c r="EN1442" s="24">
        <v>3</v>
      </c>
      <c r="EO1442" s="24"/>
      <c r="EP1442" s="24"/>
    </row>
    <row r="1443" spans="139:146" x14ac:dyDescent="0.4">
      <c r="EI1443" s="24">
        <v>2022</v>
      </c>
      <c r="EJ1443" s="24">
        <v>4</v>
      </c>
      <c r="EK1443" s="24" t="s">
        <v>33</v>
      </c>
      <c r="EL1443" s="24" t="s">
        <v>233</v>
      </c>
      <c r="EM1443" s="24" t="s">
        <v>210</v>
      </c>
      <c r="EN1443" s="24">
        <v>120</v>
      </c>
      <c r="EO1443" s="24"/>
      <c r="EP1443" s="24"/>
    </row>
    <row r="1444" spans="139:146" x14ac:dyDescent="0.4">
      <c r="EI1444" s="24">
        <v>2022</v>
      </c>
      <c r="EJ1444" s="24">
        <v>4</v>
      </c>
      <c r="EK1444" s="24" t="s">
        <v>33</v>
      </c>
      <c r="EL1444" s="24" t="s">
        <v>238</v>
      </c>
      <c r="EM1444" s="24" t="s">
        <v>234</v>
      </c>
      <c r="EN1444" s="24">
        <v>4</v>
      </c>
      <c r="EO1444" s="24"/>
      <c r="EP1444" s="24"/>
    </row>
    <row r="1445" spans="139:146" x14ac:dyDescent="0.4">
      <c r="EI1445" s="24">
        <v>2022</v>
      </c>
      <c r="EJ1445" s="24">
        <v>4</v>
      </c>
      <c r="EK1445" s="24" t="s">
        <v>33</v>
      </c>
      <c r="EL1445" s="24" t="s">
        <v>247</v>
      </c>
      <c r="EM1445" s="24" t="s">
        <v>215</v>
      </c>
      <c r="EN1445" s="24">
        <v>1</v>
      </c>
      <c r="EO1445" s="24"/>
      <c r="EP1445" s="24"/>
    </row>
    <row r="1446" spans="139:146" x14ac:dyDescent="0.4">
      <c r="EI1446" s="24">
        <v>2022</v>
      </c>
      <c r="EJ1446" s="24">
        <v>4</v>
      </c>
      <c r="EK1446" s="24" t="s">
        <v>211</v>
      </c>
      <c r="EL1446" s="24" t="s">
        <v>232</v>
      </c>
      <c r="EM1446" s="24" t="s">
        <v>234</v>
      </c>
      <c r="EN1446" s="24">
        <v>1</v>
      </c>
      <c r="EO1446" s="24"/>
      <c r="EP1446" s="24"/>
    </row>
    <row r="1447" spans="139:146" x14ac:dyDescent="0.4">
      <c r="EI1447" s="24">
        <v>2022</v>
      </c>
      <c r="EJ1447" s="24">
        <v>4</v>
      </c>
      <c r="EK1447" s="24" t="s">
        <v>211</v>
      </c>
      <c r="EL1447" s="24" t="s">
        <v>212</v>
      </c>
      <c r="EM1447" s="24" t="s">
        <v>210</v>
      </c>
      <c r="EN1447" s="24">
        <v>6</v>
      </c>
      <c r="EO1447" s="24"/>
      <c r="EP1447" s="24"/>
    </row>
    <row r="1448" spans="139:146" x14ac:dyDescent="0.4">
      <c r="EI1448" s="24">
        <v>2022</v>
      </c>
      <c r="EJ1448" s="24">
        <v>4</v>
      </c>
      <c r="EK1448" s="24" t="s">
        <v>211</v>
      </c>
      <c r="EL1448" s="24" t="s">
        <v>212</v>
      </c>
      <c r="EM1448" s="24" t="s">
        <v>234</v>
      </c>
      <c r="EN1448" s="24">
        <v>7</v>
      </c>
      <c r="EO1448" s="24"/>
      <c r="EP1448" s="24"/>
    </row>
    <row r="1449" spans="139:146" x14ac:dyDescent="0.4">
      <c r="EI1449" s="24">
        <v>2022</v>
      </c>
      <c r="EJ1449" s="24">
        <v>4</v>
      </c>
      <c r="EK1449" s="24" t="s">
        <v>211</v>
      </c>
      <c r="EL1449" s="24" t="s">
        <v>247</v>
      </c>
      <c r="EM1449" s="24" t="s">
        <v>210</v>
      </c>
      <c r="EN1449" s="24">
        <v>7</v>
      </c>
      <c r="EO1449" s="24"/>
      <c r="EP1449" s="24"/>
    </row>
    <row r="1450" spans="139:146" x14ac:dyDescent="0.4">
      <c r="EI1450" s="24">
        <v>2022</v>
      </c>
      <c r="EJ1450" s="24">
        <v>4</v>
      </c>
      <c r="EK1450" s="24" t="s">
        <v>211</v>
      </c>
      <c r="EL1450" s="24" t="s">
        <v>247</v>
      </c>
      <c r="EM1450" s="24" t="s">
        <v>234</v>
      </c>
      <c r="EN1450" s="24">
        <v>4</v>
      </c>
      <c r="EO1450" s="24"/>
      <c r="EP1450" s="24"/>
    </row>
    <row r="1451" spans="139:146" x14ac:dyDescent="0.4">
      <c r="EI1451" s="24">
        <v>2022</v>
      </c>
      <c r="EJ1451" s="24">
        <v>3</v>
      </c>
      <c r="EK1451" s="24" t="s">
        <v>19</v>
      </c>
      <c r="EL1451" s="24" t="s">
        <v>233</v>
      </c>
      <c r="EM1451" s="24" t="s">
        <v>210</v>
      </c>
      <c r="EN1451" s="24">
        <v>1</v>
      </c>
      <c r="EO1451" s="24"/>
      <c r="EP1451" s="24"/>
    </row>
    <row r="1452" spans="139:146" x14ac:dyDescent="0.4">
      <c r="EI1452" s="24">
        <v>2022</v>
      </c>
      <c r="EJ1452" s="24">
        <v>3</v>
      </c>
      <c r="EK1452" s="24" t="s">
        <v>208</v>
      </c>
      <c r="EL1452" s="24" t="s">
        <v>352</v>
      </c>
      <c r="EM1452" s="24" t="s">
        <v>210</v>
      </c>
      <c r="EN1452" s="24">
        <v>1</v>
      </c>
      <c r="EO1452" s="24"/>
      <c r="EP1452" s="24"/>
    </row>
    <row r="1453" spans="139:146" x14ac:dyDescent="0.4">
      <c r="EI1453" s="24">
        <v>2022</v>
      </c>
      <c r="EJ1453" s="24">
        <v>3</v>
      </c>
      <c r="EK1453" s="24" t="s">
        <v>208</v>
      </c>
      <c r="EL1453" s="24" t="s">
        <v>351</v>
      </c>
      <c r="EM1453" s="24" t="s">
        <v>210</v>
      </c>
      <c r="EN1453" s="24">
        <v>2</v>
      </c>
      <c r="EO1453" s="24"/>
      <c r="EP1453" s="24"/>
    </row>
    <row r="1454" spans="139:146" x14ac:dyDescent="0.4">
      <c r="EI1454" s="24">
        <v>2022</v>
      </c>
      <c r="EJ1454" s="24">
        <v>3</v>
      </c>
      <c r="EK1454" s="24" t="s">
        <v>208</v>
      </c>
      <c r="EL1454" s="24" t="s">
        <v>235</v>
      </c>
      <c r="EM1454" s="24" t="s">
        <v>210</v>
      </c>
      <c r="EN1454" s="24">
        <v>22</v>
      </c>
      <c r="EO1454" s="24"/>
      <c r="EP1454" s="24"/>
    </row>
    <row r="1455" spans="139:146" x14ac:dyDescent="0.4">
      <c r="EI1455" s="24">
        <v>2022</v>
      </c>
      <c r="EJ1455" s="24">
        <v>3</v>
      </c>
      <c r="EK1455" s="24" t="s">
        <v>208</v>
      </c>
      <c r="EL1455" s="24" t="s">
        <v>235</v>
      </c>
      <c r="EM1455" s="24" t="s">
        <v>215</v>
      </c>
      <c r="EN1455" s="24">
        <v>23</v>
      </c>
      <c r="EO1455" s="24"/>
      <c r="EP1455" s="24"/>
    </row>
    <row r="1456" spans="139:146" x14ac:dyDescent="0.4">
      <c r="EI1456" s="24">
        <v>2022</v>
      </c>
      <c r="EJ1456" s="24">
        <v>3</v>
      </c>
      <c r="EK1456" s="24" t="s">
        <v>208</v>
      </c>
      <c r="EL1456" s="24" t="s">
        <v>209</v>
      </c>
      <c r="EM1456" s="24" t="s">
        <v>210</v>
      </c>
      <c r="EN1456" s="24">
        <v>3</v>
      </c>
      <c r="EO1456" s="24"/>
      <c r="EP1456" s="24"/>
    </row>
    <row r="1457" spans="139:146" x14ac:dyDescent="0.4">
      <c r="EI1457" s="24">
        <v>2022</v>
      </c>
      <c r="EJ1457" s="24">
        <v>3</v>
      </c>
      <c r="EK1457" s="24" t="s">
        <v>208</v>
      </c>
      <c r="EL1457" s="24" t="s">
        <v>209</v>
      </c>
      <c r="EM1457" s="24" t="s">
        <v>215</v>
      </c>
      <c r="EN1457" s="24">
        <v>3</v>
      </c>
      <c r="EO1457" s="24"/>
      <c r="EP1457" s="24"/>
    </row>
    <row r="1458" spans="139:146" x14ac:dyDescent="0.4">
      <c r="EI1458" s="24">
        <v>2022</v>
      </c>
      <c r="EJ1458" s="24">
        <v>3</v>
      </c>
      <c r="EK1458" s="24" t="s">
        <v>208</v>
      </c>
      <c r="EL1458" s="24" t="s">
        <v>247</v>
      </c>
      <c r="EM1458" s="24" t="s">
        <v>210</v>
      </c>
      <c r="EN1458" s="24">
        <v>2</v>
      </c>
      <c r="EO1458" s="24"/>
      <c r="EP1458" s="24"/>
    </row>
    <row r="1459" spans="139:146" x14ac:dyDescent="0.4">
      <c r="EI1459" s="24">
        <v>2022</v>
      </c>
      <c r="EJ1459" s="24">
        <v>3</v>
      </c>
      <c r="EK1459" s="24" t="s">
        <v>33</v>
      </c>
      <c r="EL1459" s="24" t="s">
        <v>233</v>
      </c>
      <c r="EM1459" s="24" t="s">
        <v>215</v>
      </c>
      <c r="EN1459" s="24">
        <v>10</v>
      </c>
      <c r="EO1459" s="24"/>
      <c r="EP1459" s="24"/>
    </row>
    <row r="1460" spans="139:146" x14ac:dyDescent="0.4">
      <c r="EI1460" s="24">
        <v>2022</v>
      </c>
      <c r="EJ1460" s="24">
        <v>3</v>
      </c>
      <c r="EK1460" s="24" t="s">
        <v>33</v>
      </c>
      <c r="EL1460" s="24" t="s">
        <v>238</v>
      </c>
      <c r="EM1460" s="24" t="s">
        <v>234</v>
      </c>
      <c r="EN1460" s="24">
        <v>4</v>
      </c>
      <c r="EO1460" s="24"/>
      <c r="EP1460" s="24"/>
    </row>
    <row r="1461" spans="139:146" x14ac:dyDescent="0.4">
      <c r="EI1461" s="24">
        <v>2022</v>
      </c>
      <c r="EJ1461" s="24">
        <v>3</v>
      </c>
      <c r="EK1461" s="24" t="s">
        <v>33</v>
      </c>
      <c r="EL1461" s="24" t="s">
        <v>238</v>
      </c>
      <c r="EM1461" s="24" t="s">
        <v>215</v>
      </c>
      <c r="EN1461" s="24">
        <v>16</v>
      </c>
      <c r="EO1461" s="24"/>
      <c r="EP1461" s="24"/>
    </row>
    <row r="1462" spans="139:146" x14ac:dyDescent="0.4">
      <c r="EI1462" s="24">
        <v>2022</v>
      </c>
      <c r="EJ1462" s="24">
        <v>3</v>
      </c>
      <c r="EK1462" s="24" t="s">
        <v>33</v>
      </c>
      <c r="EL1462" s="24" t="s">
        <v>247</v>
      </c>
      <c r="EM1462" s="24" t="s">
        <v>210</v>
      </c>
      <c r="EN1462" s="24">
        <v>16</v>
      </c>
      <c r="EO1462" s="24"/>
      <c r="EP1462" s="24"/>
    </row>
    <row r="1463" spans="139:146" x14ac:dyDescent="0.4">
      <c r="EI1463" s="24">
        <v>2022</v>
      </c>
      <c r="EJ1463" s="24">
        <v>3</v>
      </c>
      <c r="EK1463" s="24" t="s">
        <v>211</v>
      </c>
      <c r="EL1463" s="24" t="s">
        <v>232</v>
      </c>
      <c r="EM1463" s="24" t="s">
        <v>210</v>
      </c>
      <c r="EN1463" s="24">
        <v>7</v>
      </c>
      <c r="EO1463" s="24"/>
      <c r="EP1463" s="24"/>
    </row>
    <row r="1464" spans="139:146" x14ac:dyDescent="0.4">
      <c r="EI1464" s="24">
        <v>2022</v>
      </c>
      <c r="EJ1464" s="24">
        <v>3</v>
      </c>
      <c r="EK1464" s="24" t="s">
        <v>211</v>
      </c>
      <c r="EL1464" s="24" t="s">
        <v>232</v>
      </c>
      <c r="EM1464" s="24" t="s">
        <v>234</v>
      </c>
      <c r="EN1464" s="24">
        <v>1</v>
      </c>
      <c r="EO1464" s="24"/>
      <c r="EP1464" s="24"/>
    </row>
    <row r="1465" spans="139:146" x14ac:dyDescent="0.4">
      <c r="EI1465" s="24">
        <v>2022</v>
      </c>
      <c r="EJ1465" s="24">
        <v>3</v>
      </c>
      <c r="EK1465" s="24" t="s">
        <v>211</v>
      </c>
      <c r="EL1465" s="24" t="s">
        <v>212</v>
      </c>
      <c r="EM1465" s="24" t="s">
        <v>210</v>
      </c>
      <c r="EN1465" s="24">
        <v>4</v>
      </c>
      <c r="EO1465" s="24"/>
      <c r="EP1465" s="24"/>
    </row>
    <row r="1466" spans="139:146" x14ac:dyDescent="0.4">
      <c r="EI1466" s="24">
        <v>2022</v>
      </c>
      <c r="EJ1466" s="24">
        <v>3</v>
      </c>
      <c r="EK1466" s="24" t="s">
        <v>211</v>
      </c>
      <c r="EL1466" s="24" t="s">
        <v>212</v>
      </c>
      <c r="EM1466" s="24" t="s">
        <v>234</v>
      </c>
      <c r="EN1466" s="24">
        <v>4</v>
      </c>
      <c r="EO1466" s="24"/>
      <c r="EP1466" s="24"/>
    </row>
    <row r="1467" spans="139:146" x14ac:dyDescent="0.4">
      <c r="EI1467" s="24">
        <v>2022</v>
      </c>
      <c r="EJ1467" s="24">
        <v>3</v>
      </c>
      <c r="EK1467" s="24" t="s">
        <v>211</v>
      </c>
      <c r="EL1467" s="24" t="s">
        <v>247</v>
      </c>
      <c r="EM1467" s="24" t="s">
        <v>234</v>
      </c>
      <c r="EN1467" s="24">
        <v>8</v>
      </c>
      <c r="EO1467" s="24"/>
      <c r="EP1467" s="24"/>
    </row>
    <row r="1468" spans="139:146" x14ac:dyDescent="0.4">
      <c r="EI1468" s="24">
        <v>2022</v>
      </c>
      <c r="EJ1468" s="24">
        <v>2</v>
      </c>
      <c r="EK1468" s="24" t="s">
        <v>19</v>
      </c>
      <c r="EL1468" s="24" t="s">
        <v>233</v>
      </c>
      <c r="EM1468" s="24" t="s">
        <v>215</v>
      </c>
      <c r="EN1468" s="24">
        <v>10</v>
      </c>
      <c r="EO1468" s="24"/>
      <c r="EP1468" s="24"/>
    </row>
    <row r="1469" spans="139:146" x14ac:dyDescent="0.4">
      <c r="EI1469" s="24">
        <v>2022</v>
      </c>
      <c r="EJ1469" s="24">
        <v>2</v>
      </c>
      <c r="EK1469" s="24" t="s">
        <v>208</v>
      </c>
      <c r="EL1469" s="24" t="s">
        <v>352</v>
      </c>
      <c r="EM1469" s="24" t="s">
        <v>210</v>
      </c>
      <c r="EN1469" s="24">
        <v>2</v>
      </c>
      <c r="EO1469" s="24"/>
      <c r="EP1469" s="24"/>
    </row>
    <row r="1470" spans="139:146" x14ac:dyDescent="0.4">
      <c r="EI1470" s="24">
        <v>2022</v>
      </c>
      <c r="EJ1470" s="24">
        <v>2</v>
      </c>
      <c r="EK1470" s="24" t="s">
        <v>208</v>
      </c>
      <c r="EL1470" s="24" t="s">
        <v>351</v>
      </c>
      <c r="EM1470" s="24" t="s">
        <v>210</v>
      </c>
      <c r="EN1470" s="24">
        <v>1</v>
      </c>
      <c r="EO1470" s="24"/>
      <c r="EP1470" s="24"/>
    </row>
    <row r="1471" spans="139:146" x14ac:dyDescent="0.4">
      <c r="EI1471" s="24">
        <v>2022</v>
      </c>
      <c r="EJ1471" s="24">
        <v>2</v>
      </c>
      <c r="EK1471" s="24" t="s">
        <v>208</v>
      </c>
      <c r="EL1471" s="24" t="s">
        <v>235</v>
      </c>
      <c r="EM1471" s="24" t="s">
        <v>210</v>
      </c>
      <c r="EN1471" s="24">
        <v>21</v>
      </c>
      <c r="EO1471" s="24"/>
      <c r="EP1471" s="24"/>
    </row>
    <row r="1472" spans="139:146" x14ac:dyDescent="0.4">
      <c r="EI1472" s="24">
        <v>2022</v>
      </c>
      <c r="EJ1472" s="24">
        <v>2</v>
      </c>
      <c r="EK1472" s="24" t="s">
        <v>208</v>
      </c>
      <c r="EL1472" s="24" t="s">
        <v>235</v>
      </c>
      <c r="EM1472" s="24" t="s">
        <v>215</v>
      </c>
      <c r="EN1472" s="24">
        <v>13</v>
      </c>
      <c r="EO1472" s="24"/>
      <c r="EP1472" s="24"/>
    </row>
    <row r="1473" spans="139:146" x14ac:dyDescent="0.4">
      <c r="EI1473" s="24">
        <v>2022</v>
      </c>
      <c r="EJ1473" s="24">
        <v>2</v>
      </c>
      <c r="EK1473" s="24" t="s">
        <v>208</v>
      </c>
      <c r="EL1473" s="24" t="s">
        <v>209</v>
      </c>
      <c r="EM1473" s="24" t="s">
        <v>210</v>
      </c>
      <c r="EN1473" s="24">
        <v>2</v>
      </c>
      <c r="EO1473" s="24"/>
      <c r="EP1473" s="24"/>
    </row>
    <row r="1474" spans="139:146" x14ac:dyDescent="0.4">
      <c r="EI1474" s="24">
        <v>2022</v>
      </c>
      <c r="EJ1474" s="24">
        <v>2</v>
      </c>
      <c r="EK1474" s="24" t="s">
        <v>208</v>
      </c>
      <c r="EL1474" s="24" t="s">
        <v>247</v>
      </c>
      <c r="EM1474" s="24" t="s">
        <v>210</v>
      </c>
      <c r="EN1474" s="24">
        <v>1</v>
      </c>
      <c r="EO1474" s="24"/>
      <c r="EP1474" s="24"/>
    </row>
    <row r="1475" spans="139:146" x14ac:dyDescent="0.4">
      <c r="EI1475" s="24">
        <v>2022</v>
      </c>
      <c r="EJ1475" s="24">
        <v>2</v>
      </c>
      <c r="EK1475" s="24" t="s">
        <v>208</v>
      </c>
      <c r="EL1475" s="24" t="s">
        <v>410</v>
      </c>
      <c r="EM1475" s="24" t="s">
        <v>210</v>
      </c>
      <c r="EN1475" s="24">
        <v>1</v>
      </c>
      <c r="EO1475" s="24"/>
      <c r="EP1475" s="24"/>
    </row>
    <row r="1476" spans="139:146" x14ac:dyDescent="0.4">
      <c r="EI1476" s="24">
        <v>2022</v>
      </c>
      <c r="EJ1476" s="24">
        <v>2</v>
      </c>
      <c r="EK1476" s="24" t="s">
        <v>33</v>
      </c>
      <c r="EL1476" s="24" t="s">
        <v>235</v>
      </c>
      <c r="EM1476" s="24" t="s">
        <v>210</v>
      </c>
      <c r="EN1476" s="24">
        <v>19</v>
      </c>
      <c r="EO1476" s="24"/>
      <c r="EP1476" s="24"/>
    </row>
    <row r="1477" spans="139:146" x14ac:dyDescent="0.4">
      <c r="EI1477" s="24">
        <v>2022</v>
      </c>
      <c r="EJ1477" s="24">
        <v>2</v>
      </c>
      <c r="EK1477" s="24" t="s">
        <v>33</v>
      </c>
      <c r="EL1477" s="24" t="s">
        <v>238</v>
      </c>
      <c r="EM1477" s="24" t="s">
        <v>234</v>
      </c>
      <c r="EN1477" s="24">
        <v>8</v>
      </c>
      <c r="EO1477" s="24"/>
      <c r="EP1477" s="24"/>
    </row>
    <row r="1478" spans="139:146" x14ac:dyDescent="0.4">
      <c r="EI1478" s="24">
        <v>2022</v>
      </c>
      <c r="EJ1478" s="24">
        <v>2</v>
      </c>
      <c r="EK1478" s="24" t="s">
        <v>211</v>
      </c>
      <c r="EL1478" s="24" t="s">
        <v>212</v>
      </c>
      <c r="EM1478" s="24" t="s">
        <v>210</v>
      </c>
      <c r="EN1478" s="24">
        <v>11</v>
      </c>
      <c r="EO1478" s="24"/>
      <c r="EP1478" s="24"/>
    </row>
    <row r="1479" spans="139:146" x14ac:dyDescent="0.4">
      <c r="EI1479" s="24">
        <v>2022</v>
      </c>
      <c r="EJ1479" s="24">
        <v>2</v>
      </c>
      <c r="EK1479" s="24" t="s">
        <v>211</v>
      </c>
      <c r="EL1479" s="24" t="s">
        <v>212</v>
      </c>
      <c r="EM1479" s="24" t="s">
        <v>234</v>
      </c>
      <c r="EN1479" s="24">
        <v>6</v>
      </c>
      <c r="EO1479" s="24"/>
      <c r="EP1479" s="24"/>
    </row>
    <row r="1480" spans="139:146" x14ac:dyDescent="0.4">
      <c r="EI1480" s="24">
        <v>2022</v>
      </c>
      <c r="EJ1480" s="24">
        <v>2</v>
      </c>
      <c r="EK1480" s="24" t="s">
        <v>211</v>
      </c>
      <c r="EL1480" s="24" t="s">
        <v>247</v>
      </c>
      <c r="EM1480" s="24" t="s">
        <v>210</v>
      </c>
      <c r="EN1480" s="24">
        <v>4</v>
      </c>
      <c r="EO1480" s="24"/>
      <c r="EP1480" s="24"/>
    </row>
    <row r="1481" spans="139:146" x14ac:dyDescent="0.4">
      <c r="EI1481" s="24">
        <v>2022</v>
      </c>
      <c r="EJ1481" s="24">
        <v>1</v>
      </c>
      <c r="EK1481" s="24" t="s">
        <v>19</v>
      </c>
      <c r="EL1481" s="24" t="s">
        <v>247</v>
      </c>
      <c r="EM1481" s="24" t="s">
        <v>234</v>
      </c>
      <c r="EN1481" s="24">
        <v>2</v>
      </c>
      <c r="EO1481" s="24"/>
      <c r="EP1481" s="24"/>
    </row>
    <row r="1482" spans="139:146" x14ac:dyDescent="0.4">
      <c r="EI1482" s="24">
        <v>2022</v>
      </c>
      <c r="EJ1482" s="24">
        <v>1</v>
      </c>
      <c r="EK1482" s="24" t="s">
        <v>208</v>
      </c>
      <c r="EL1482" s="24" t="s">
        <v>351</v>
      </c>
      <c r="EM1482" s="24" t="s">
        <v>210</v>
      </c>
      <c r="EN1482" s="24">
        <v>8</v>
      </c>
      <c r="EO1482" s="24"/>
      <c r="EP1482" s="24"/>
    </row>
    <row r="1483" spans="139:146" x14ac:dyDescent="0.4">
      <c r="EI1483" s="24">
        <v>2022</v>
      </c>
      <c r="EJ1483" s="24">
        <v>1</v>
      </c>
      <c r="EK1483" s="24" t="s">
        <v>208</v>
      </c>
      <c r="EL1483" s="24" t="s">
        <v>235</v>
      </c>
      <c r="EM1483" s="24" t="s">
        <v>210</v>
      </c>
      <c r="EN1483" s="24">
        <v>17</v>
      </c>
      <c r="EO1483" s="24"/>
      <c r="EP1483" s="24"/>
    </row>
    <row r="1484" spans="139:146" x14ac:dyDescent="0.4">
      <c r="EI1484" s="24">
        <v>2022</v>
      </c>
      <c r="EJ1484" s="24">
        <v>1</v>
      </c>
      <c r="EK1484" s="24" t="s">
        <v>208</v>
      </c>
      <c r="EL1484" s="24" t="s">
        <v>235</v>
      </c>
      <c r="EM1484" s="24" t="s">
        <v>215</v>
      </c>
      <c r="EN1484" s="24">
        <v>26</v>
      </c>
      <c r="EO1484" s="24"/>
      <c r="EP1484" s="24"/>
    </row>
    <row r="1485" spans="139:146" x14ac:dyDescent="0.4">
      <c r="EI1485" s="24">
        <v>2022</v>
      </c>
      <c r="EJ1485" s="24">
        <v>1</v>
      </c>
      <c r="EK1485" s="24" t="s">
        <v>208</v>
      </c>
      <c r="EL1485" s="24" t="s">
        <v>209</v>
      </c>
      <c r="EM1485" s="24" t="s">
        <v>210</v>
      </c>
      <c r="EN1485" s="24">
        <v>3</v>
      </c>
      <c r="EO1485" s="24"/>
      <c r="EP1485" s="24"/>
    </row>
    <row r="1486" spans="139:146" x14ac:dyDescent="0.4">
      <c r="EI1486" s="24">
        <v>2022</v>
      </c>
      <c r="EJ1486" s="24">
        <v>1</v>
      </c>
      <c r="EK1486" s="24" t="s">
        <v>208</v>
      </c>
      <c r="EL1486" s="24" t="s">
        <v>247</v>
      </c>
      <c r="EM1486" s="24" t="s">
        <v>210</v>
      </c>
      <c r="EN1486" s="24">
        <v>3</v>
      </c>
      <c r="EO1486" s="24"/>
      <c r="EP1486" s="24"/>
    </row>
    <row r="1487" spans="139:146" x14ac:dyDescent="0.4">
      <c r="EI1487" s="24">
        <v>2022</v>
      </c>
      <c r="EJ1487" s="24">
        <v>1</v>
      </c>
      <c r="EK1487" s="24" t="s">
        <v>33</v>
      </c>
      <c r="EL1487" s="24" t="s">
        <v>244</v>
      </c>
      <c r="EM1487" s="24" t="s">
        <v>210</v>
      </c>
      <c r="EN1487" s="24">
        <v>4</v>
      </c>
      <c r="EO1487" s="24"/>
      <c r="EP1487" s="24"/>
    </row>
    <row r="1488" spans="139:146" x14ac:dyDescent="0.4">
      <c r="EI1488" s="24">
        <v>2022</v>
      </c>
      <c r="EJ1488" s="24">
        <v>1</v>
      </c>
      <c r="EK1488" s="24" t="s">
        <v>211</v>
      </c>
      <c r="EL1488" s="24" t="s">
        <v>212</v>
      </c>
      <c r="EM1488" s="24" t="s">
        <v>210</v>
      </c>
      <c r="EN1488" s="24">
        <v>7</v>
      </c>
      <c r="EO1488" s="24"/>
      <c r="EP1488" s="24"/>
    </row>
    <row r="1489" spans="139:146" x14ac:dyDescent="0.4">
      <c r="EI1489" s="24">
        <v>2022</v>
      </c>
      <c r="EJ1489" s="24">
        <v>1</v>
      </c>
      <c r="EK1489" s="24" t="s">
        <v>211</v>
      </c>
      <c r="EL1489" s="24" t="s">
        <v>212</v>
      </c>
      <c r="EM1489" s="24" t="s">
        <v>234</v>
      </c>
      <c r="EN1489" s="24">
        <v>3</v>
      </c>
      <c r="EO1489" s="24"/>
      <c r="EP1489" s="24"/>
    </row>
    <row r="1490" spans="139:146" x14ac:dyDescent="0.4">
      <c r="EI1490" s="24">
        <v>2022</v>
      </c>
      <c r="EJ1490" s="24">
        <v>1</v>
      </c>
      <c r="EK1490" s="24" t="s">
        <v>211</v>
      </c>
      <c r="EL1490" s="24" t="s">
        <v>247</v>
      </c>
      <c r="EM1490" s="24" t="s">
        <v>234</v>
      </c>
      <c r="EN1490" s="24">
        <v>6</v>
      </c>
      <c r="EO1490" s="24"/>
      <c r="EP1490" s="24"/>
    </row>
    <row r="1491" spans="139:146" x14ac:dyDescent="0.4">
      <c r="EI1491" s="24">
        <v>2021</v>
      </c>
      <c r="EJ1491" s="24">
        <v>52</v>
      </c>
      <c r="EK1491" s="24" t="s">
        <v>19</v>
      </c>
      <c r="EL1491" s="24" t="s">
        <v>233</v>
      </c>
      <c r="EM1491" s="24" t="s">
        <v>210</v>
      </c>
      <c r="EN1491" s="24">
        <v>12</v>
      </c>
      <c r="EO1491" s="24"/>
      <c r="EP1491" s="24"/>
    </row>
    <row r="1492" spans="139:146" x14ac:dyDescent="0.4">
      <c r="EI1492" s="24">
        <v>2021</v>
      </c>
      <c r="EJ1492" s="24">
        <v>52</v>
      </c>
      <c r="EK1492" s="24" t="s">
        <v>208</v>
      </c>
      <c r="EL1492" s="24" t="s">
        <v>351</v>
      </c>
      <c r="EM1492" s="24" t="s">
        <v>210</v>
      </c>
      <c r="EN1492" s="24">
        <v>1</v>
      </c>
      <c r="EO1492" s="24"/>
      <c r="EP1492" s="24"/>
    </row>
    <row r="1493" spans="139:146" x14ac:dyDescent="0.4">
      <c r="EI1493" s="24">
        <v>2021</v>
      </c>
      <c r="EJ1493" s="24">
        <v>52</v>
      </c>
      <c r="EK1493" s="24" t="s">
        <v>208</v>
      </c>
      <c r="EL1493" s="24" t="s">
        <v>235</v>
      </c>
      <c r="EM1493" s="24" t="s">
        <v>210</v>
      </c>
      <c r="EN1493" s="24">
        <v>12</v>
      </c>
      <c r="EO1493" s="24"/>
      <c r="EP1493" s="24"/>
    </row>
    <row r="1494" spans="139:146" x14ac:dyDescent="0.4">
      <c r="EI1494" s="24">
        <v>2021</v>
      </c>
      <c r="EJ1494" s="24">
        <v>52</v>
      </c>
      <c r="EK1494" s="24" t="s">
        <v>208</v>
      </c>
      <c r="EL1494" s="24" t="s">
        <v>235</v>
      </c>
      <c r="EM1494" s="24" t="s">
        <v>215</v>
      </c>
      <c r="EN1494" s="24">
        <v>3</v>
      </c>
      <c r="EO1494" s="24"/>
      <c r="EP1494" s="24"/>
    </row>
    <row r="1495" spans="139:146" x14ac:dyDescent="0.4">
      <c r="EI1495" s="24">
        <v>2021</v>
      </c>
      <c r="EJ1495" s="24">
        <v>52</v>
      </c>
      <c r="EK1495" s="24" t="s">
        <v>208</v>
      </c>
      <c r="EL1495" s="24" t="s">
        <v>209</v>
      </c>
      <c r="EM1495" s="24" t="s">
        <v>210</v>
      </c>
      <c r="EN1495" s="24">
        <v>2</v>
      </c>
      <c r="EO1495" s="24"/>
      <c r="EP1495" s="24"/>
    </row>
    <row r="1496" spans="139:146" x14ac:dyDescent="0.4">
      <c r="EI1496" s="24">
        <v>2021</v>
      </c>
      <c r="EJ1496" s="24">
        <v>52</v>
      </c>
      <c r="EK1496" s="24" t="s">
        <v>208</v>
      </c>
      <c r="EL1496" s="24" t="s">
        <v>247</v>
      </c>
      <c r="EM1496" s="24" t="s">
        <v>210</v>
      </c>
      <c r="EN1496" s="24">
        <v>2</v>
      </c>
      <c r="EO1496" s="24"/>
      <c r="EP1496" s="24"/>
    </row>
    <row r="1497" spans="139:146" x14ac:dyDescent="0.4">
      <c r="EI1497" s="24">
        <v>2021</v>
      </c>
      <c r="EJ1497" s="24">
        <v>52</v>
      </c>
      <c r="EK1497" s="24" t="s">
        <v>208</v>
      </c>
      <c r="EL1497" s="24" t="s">
        <v>245</v>
      </c>
      <c r="EM1497" s="24" t="s">
        <v>210</v>
      </c>
      <c r="EN1497" s="24">
        <v>1</v>
      </c>
      <c r="EO1497" s="24"/>
      <c r="EP1497" s="24"/>
    </row>
    <row r="1498" spans="139:146" x14ac:dyDescent="0.4">
      <c r="EI1498" s="24">
        <v>2021</v>
      </c>
      <c r="EJ1498" s="24">
        <v>52</v>
      </c>
      <c r="EK1498" s="24" t="s">
        <v>33</v>
      </c>
      <c r="EL1498" s="24" t="s">
        <v>233</v>
      </c>
      <c r="EM1498" s="24" t="s">
        <v>210</v>
      </c>
      <c r="EN1498" s="24">
        <v>1</v>
      </c>
      <c r="EO1498" s="24"/>
      <c r="EP1498" s="24"/>
    </row>
    <row r="1499" spans="139:146" x14ac:dyDescent="0.4">
      <c r="EI1499" s="24">
        <v>2021</v>
      </c>
      <c r="EJ1499" s="24">
        <v>52</v>
      </c>
      <c r="EK1499" s="24" t="s">
        <v>211</v>
      </c>
      <c r="EL1499" s="24" t="s">
        <v>212</v>
      </c>
      <c r="EM1499" s="24" t="s">
        <v>210</v>
      </c>
      <c r="EN1499" s="24">
        <v>2</v>
      </c>
      <c r="EO1499" s="24"/>
      <c r="EP1499" s="24"/>
    </row>
    <row r="1500" spans="139:146" x14ac:dyDescent="0.4">
      <c r="EI1500" s="24">
        <v>2021</v>
      </c>
      <c r="EJ1500" s="24">
        <v>52</v>
      </c>
      <c r="EK1500" s="24" t="s">
        <v>211</v>
      </c>
      <c r="EL1500" s="24" t="s">
        <v>212</v>
      </c>
      <c r="EM1500" s="24" t="s">
        <v>234</v>
      </c>
      <c r="EN1500" s="24">
        <v>5</v>
      </c>
      <c r="EO1500" s="24"/>
      <c r="EP1500" s="24"/>
    </row>
    <row r="1501" spans="139:146" x14ac:dyDescent="0.4">
      <c r="EI1501" s="24">
        <v>2021</v>
      </c>
      <c r="EJ1501" s="24">
        <v>52</v>
      </c>
      <c r="EK1501" s="24" t="s">
        <v>211</v>
      </c>
      <c r="EL1501" s="24" t="s">
        <v>247</v>
      </c>
      <c r="EM1501" s="24" t="s">
        <v>234</v>
      </c>
      <c r="EN1501" s="24">
        <v>2</v>
      </c>
      <c r="EO1501" s="24"/>
      <c r="EP1501" s="24"/>
    </row>
    <row r="1502" spans="139:146" x14ac:dyDescent="0.4">
      <c r="EI1502" s="24">
        <v>2021</v>
      </c>
      <c r="EJ1502" s="24">
        <v>51</v>
      </c>
      <c r="EK1502" s="24" t="s">
        <v>208</v>
      </c>
      <c r="EL1502" s="24" t="s">
        <v>352</v>
      </c>
      <c r="EM1502" s="24" t="s">
        <v>210</v>
      </c>
      <c r="EN1502" s="24">
        <v>1</v>
      </c>
      <c r="EO1502" s="24"/>
      <c r="EP1502" s="24"/>
    </row>
    <row r="1503" spans="139:146" x14ac:dyDescent="0.4">
      <c r="EI1503" s="24">
        <v>2021</v>
      </c>
      <c r="EJ1503" s="24">
        <v>51</v>
      </c>
      <c r="EK1503" s="24" t="s">
        <v>208</v>
      </c>
      <c r="EL1503" s="24" t="s">
        <v>351</v>
      </c>
      <c r="EM1503" s="24" t="s">
        <v>210</v>
      </c>
      <c r="EN1503" s="24">
        <v>4</v>
      </c>
      <c r="EO1503" s="24"/>
      <c r="EP1503" s="24"/>
    </row>
    <row r="1504" spans="139:146" x14ac:dyDescent="0.4">
      <c r="EI1504" s="24">
        <v>2021</v>
      </c>
      <c r="EJ1504" s="24">
        <v>51</v>
      </c>
      <c r="EK1504" s="24" t="s">
        <v>208</v>
      </c>
      <c r="EL1504" s="24" t="s">
        <v>235</v>
      </c>
      <c r="EM1504" s="24" t="s">
        <v>210</v>
      </c>
      <c r="EN1504" s="24">
        <v>17</v>
      </c>
      <c r="EO1504" s="24"/>
      <c r="EP1504" s="24"/>
    </row>
    <row r="1505" spans="139:146" x14ac:dyDescent="0.4">
      <c r="EI1505" s="24">
        <v>2021</v>
      </c>
      <c r="EJ1505" s="24">
        <v>51</v>
      </c>
      <c r="EK1505" s="24" t="s">
        <v>208</v>
      </c>
      <c r="EL1505" s="24" t="s">
        <v>235</v>
      </c>
      <c r="EM1505" s="24" t="s">
        <v>215</v>
      </c>
      <c r="EN1505" s="24">
        <v>10</v>
      </c>
      <c r="EO1505" s="24"/>
      <c r="EP1505" s="24"/>
    </row>
    <row r="1506" spans="139:146" x14ac:dyDescent="0.4">
      <c r="EI1506" s="24">
        <v>2021</v>
      </c>
      <c r="EJ1506" s="24">
        <v>51</v>
      </c>
      <c r="EK1506" s="24" t="s">
        <v>208</v>
      </c>
      <c r="EL1506" s="24" t="s">
        <v>209</v>
      </c>
      <c r="EM1506" s="24" t="s">
        <v>210</v>
      </c>
      <c r="EN1506" s="24">
        <v>2</v>
      </c>
      <c r="EO1506" s="24"/>
      <c r="EP1506" s="24"/>
    </row>
    <row r="1507" spans="139:146" x14ac:dyDescent="0.4">
      <c r="EI1507" s="24">
        <v>2021</v>
      </c>
      <c r="EJ1507" s="24">
        <v>51</v>
      </c>
      <c r="EK1507" s="24" t="s">
        <v>208</v>
      </c>
      <c r="EL1507" s="24" t="s">
        <v>209</v>
      </c>
      <c r="EM1507" s="24" t="s">
        <v>215</v>
      </c>
      <c r="EN1507" s="24">
        <v>2</v>
      </c>
      <c r="EO1507" s="24"/>
      <c r="EP1507" s="24"/>
    </row>
    <row r="1508" spans="139:146" x14ac:dyDescent="0.4">
      <c r="EI1508" s="24">
        <v>2021</v>
      </c>
      <c r="EJ1508" s="24">
        <v>51</v>
      </c>
      <c r="EK1508" s="24" t="s">
        <v>208</v>
      </c>
      <c r="EL1508" s="24" t="s">
        <v>247</v>
      </c>
      <c r="EM1508" s="24" t="s">
        <v>210</v>
      </c>
      <c r="EN1508" s="24">
        <v>1</v>
      </c>
      <c r="EO1508" s="24"/>
      <c r="EP1508" s="24"/>
    </row>
    <row r="1509" spans="139:146" x14ac:dyDescent="0.4">
      <c r="EI1509" s="24">
        <v>2021</v>
      </c>
      <c r="EJ1509" s="24">
        <v>51</v>
      </c>
      <c r="EK1509" s="24" t="s">
        <v>33</v>
      </c>
      <c r="EL1509" s="24" t="s">
        <v>233</v>
      </c>
      <c r="EM1509" s="24" t="s">
        <v>210</v>
      </c>
      <c r="EN1509" s="24">
        <v>4</v>
      </c>
      <c r="EO1509" s="24"/>
      <c r="EP1509" s="24"/>
    </row>
    <row r="1510" spans="139:146" x14ac:dyDescent="0.4">
      <c r="EI1510" s="24">
        <v>2021</v>
      </c>
      <c r="EJ1510" s="24">
        <v>51</v>
      </c>
      <c r="EK1510" s="24" t="s">
        <v>33</v>
      </c>
      <c r="EL1510" s="24" t="s">
        <v>244</v>
      </c>
      <c r="EM1510" s="24" t="s">
        <v>210</v>
      </c>
      <c r="EN1510" s="24">
        <v>7</v>
      </c>
      <c r="EO1510" s="24"/>
      <c r="EP1510" s="24"/>
    </row>
    <row r="1511" spans="139:146" x14ac:dyDescent="0.4">
      <c r="EI1511" s="24">
        <v>2021</v>
      </c>
      <c r="EJ1511" s="24">
        <v>51</v>
      </c>
      <c r="EK1511" s="24" t="s">
        <v>33</v>
      </c>
      <c r="EL1511" s="24" t="s">
        <v>235</v>
      </c>
      <c r="EM1511" s="24" t="s">
        <v>234</v>
      </c>
      <c r="EN1511" s="24">
        <v>1</v>
      </c>
      <c r="EO1511" s="24"/>
      <c r="EP1511" s="24"/>
    </row>
    <row r="1512" spans="139:146" x14ac:dyDescent="0.4">
      <c r="EI1512" s="24">
        <v>2021</v>
      </c>
      <c r="EJ1512" s="24">
        <v>51</v>
      </c>
      <c r="EK1512" s="24" t="s">
        <v>211</v>
      </c>
      <c r="EL1512" s="24" t="s">
        <v>212</v>
      </c>
      <c r="EM1512" s="24" t="s">
        <v>210</v>
      </c>
      <c r="EN1512" s="24">
        <v>6</v>
      </c>
      <c r="EO1512" s="24"/>
      <c r="EP1512" s="24"/>
    </row>
    <row r="1513" spans="139:146" x14ac:dyDescent="0.4">
      <c r="EI1513" s="24">
        <v>2021</v>
      </c>
      <c r="EJ1513" s="24">
        <v>51</v>
      </c>
      <c r="EK1513" s="24" t="s">
        <v>211</v>
      </c>
      <c r="EL1513" s="24" t="s">
        <v>212</v>
      </c>
      <c r="EM1513" s="24" t="s">
        <v>234</v>
      </c>
      <c r="EN1513" s="24">
        <v>7</v>
      </c>
      <c r="EO1513" s="24"/>
      <c r="EP1513" s="24"/>
    </row>
    <row r="1514" spans="139:146" x14ac:dyDescent="0.4">
      <c r="EI1514" s="24">
        <v>2021</v>
      </c>
      <c r="EJ1514" s="24">
        <v>51</v>
      </c>
      <c r="EK1514" s="24" t="s">
        <v>211</v>
      </c>
      <c r="EL1514" s="24" t="s">
        <v>247</v>
      </c>
      <c r="EM1514" s="24" t="s">
        <v>234</v>
      </c>
      <c r="EN1514" s="24">
        <v>4</v>
      </c>
      <c r="EO1514" s="24"/>
      <c r="EP1514" s="24"/>
    </row>
    <row r="1515" spans="139:146" x14ac:dyDescent="0.4">
      <c r="EI1515" s="24">
        <v>2021</v>
      </c>
      <c r="EJ1515" s="24">
        <v>51</v>
      </c>
      <c r="EK1515" s="24" t="s">
        <v>213</v>
      </c>
      <c r="EL1515" s="24" t="s">
        <v>214</v>
      </c>
      <c r="EM1515" s="24" t="s">
        <v>215</v>
      </c>
      <c r="EN1515" s="24">
        <v>1</v>
      </c>
      <c r="EO1515" s="24"/>
      <c r="EP1515" s="24"/>
    </row>
    <row r="1516" spans="139:146" x14ac:dyDescent="0.4">
      <c r="EI1516" s="24">
        <v>2021</v>
      </c>
      <c r="EJ1516" s="24">
        <v>50</v>
      </c>
      <c r="EK1516" s="24" t="s">
        <v>208</v>
      </c>
      <c r="EL1516" s="24" t="s">
        <v>351</v>
      </c>
      <c r="EM1516" s="24" t="s">
        <v>210</v>
      </c>
      <c r="EN1516" s="24">
        <v>5</v>
      </c>
      <c r="EO1516" s="24"/>
      <c r="EP1516" s="24"/>
    </row>
    <row r="1517" spans="139:146" x14ac:dyDescent="0.4">
      <c r="EI1517" s="24">
        <v>2021</v>
      </c>
      <c r="EJ1517" s="24">
        <v>50</v>
      </c>
      <c r="EK1517" s="24" t="s">
        <v>208</v>
      </c>
      <c r="EL1517" s="24" t="s">
        <v>235</v>
      </c>
      <c r="EM1517" s="24" t="s">
        <v>210</v>
      </c>
      <c r="EN1517" s="24">
        <v>12</v>
      </c>
      <c r="EO1517" s="24"/>
      <c r="EP1517" s="24"/>
    </row>
    <row r="1518" spans="139:146" x14ac:dyDescent="0.4">
      <c r="EI1518" s="24">
        <v>2021</v>
      </c>
      <c r="EJ1518" s="24">
        <v>50</v>
      </c>
      <c r="EK1518" s="24" t="s">
        <v>208</v>
      </c>
      <c r="EL1518" s="24" t="s">
        <v>235</v>
      </c>
      <c r="EM1518" s="24" t="s">
        <v>215</v>
      </c>
      <c r="EN1518" s="24">
        <v>3</v>
      </c>
      <c r="EO1518" s="24"/>
      <c r="EP1518" s="24"/>
    </row>
    <row r="1519" spans="139:146" x14ac:dyDescent="0.4">
      <c r="EI1519" s="24">
        <v>2021</v>
      </c>
      <c r="EJ1519" s="24">
        <v>50</v>
      </c>
      <c r="EK1519" s="24" t="s">
        <v>208</v>
      </c>
      <c r="EL1519" s="24" t="s">
        <v>209</v>
      </c>
      <c r="EM1519" s="24" t="s">
        <v>210</v>
      </c>
      <c r="EN1519" s="24">
        <v>6</v>
      </c>
      <c r="EO1519" s="24"/>
      <c r="EP1519" s="24"/>
    </row>
    <row r="1520" spans="139:146" x14ac:dyDescent="0.4">
      <c r="EI1520" s="24">
        <v>2021</v>
      </c>
      <c r="EJ1520" s="24">
        <v>50</v>
      </c>
      <c r="EK1520" s="24" t="s">
        <v>208</v>
      </c>
      <c r="EL1520" s="24" t="s">
        <v>245</v>
      </c>
      <c r="EM1520" s="24" t="s">
        <v>210</v>
      </c>
      <c r="EN1520" s="24">
        <v>2</v>
      </c>
      <c r="EO1520" s="24"/>
      <c r="EP1520" s="24"/>
    </row>
    <row r="1521" spans="139:146" x14ac:dyDescent="0.4">
      <c r="EI1521" s="24">
        <v>2021</v>
      </c>
      <c r="EJ1521" s="24">
        <v>50</v>
      </c>
      <c r="EK1521" s="24" t="s">
        <v>33</v>
      </c>
      <c r="EL1521" s="24" t="s">
        <v>233</v>
      </c>
      <c r="EM1521" s="24" t="s">
        <v>234</v>
      </c>
      <c r="EN1521" s="24">
        <v>1</v>
      </c>
      <c r="EO1521" s="24"/>
      <c r="EP1521" s="24"/>
    </row>
    <row r="1522" spans="139:146" x14ac:dyDescent="0.4">
      <c r="EI1522" s="24">
        <v>2021</v>
      </c>
      <c r="EJ1522" s="24">
        <v>50</v>
      </c>
      <c r="EK1522" s="24" t="s">
        <v>33</v>
      </c>
      <c r="EL1522" s="24" t="s">
        <v>244</v>
      </c>
      <c r="EM1522" s="24" t="s">
        <v>210</v>
      </c>
      <c r="EN1522" s="24">
        <v>6</v>
      </c>
      <c r="EO1522" s="24"/>
      <c r="EP1522" s="24"/>
    </row>
    <row r="1523" spans="139:146" x14ac:dyDescent="0.4">
      <c r="EI1523" s="24">
        <v>2021</v>
      </c>
      <c r="EJ1523" s="24">
        <v>50</v>
      </c>
      <c r="EK1523" s="24" t="s">
        <v>33</v>
      </c>
      <c r="EL1523" s="24" t="s">
        <v>236</v>
      </c>
      <c r="EM1523" s="24" t="s">
        <v>210</v>
      </c>
      <c r="EN1523" s="24">
        <v>120</v>
      </c>
      <c r="EO1523" s="24"/>
      <c r="EP1523" s="24"/>
    </row>
    <row r="1524" spans="139:146" x14ac:dyDescent="0.4">
      <c r="EI1524" s="24">
        <v>2021</v>
      </c>
      <c r="EJ1524" s="24">
        <v>50</v>
      </c>
      <c r="EK1524" s="24" t="s">
        <v>33</v>
      </c>
      <c r="EL1524" s="24" t="s">
        <v>235</v>
      </c>
      <c r="EM1524" s="24" t="s">
        <v>215</v>
      </c>
      <c r="EN1524" s="24">
        <v>5</v>
      </c>
      <c r="EO1524" s="24"/>
      <c r="EP1524" s="24"/>
    </row>
    <row r="1525" spans="139:146" x14ac:dyDescent="0.4">
      <c r="EI1525" s="24">
        <v>2021</v>
      </c>
      <c r="EJ1525" s="24">
        <v>50</v>
      </c>
      <c r="EK1525" s="24" t="s">
        <v>211</v>
      </c>
      <c r="EL1525" s="24" t="s">
        <v>232</v>
      </c>
      <c r="EM1525" s="24" t="s">
        <v>234</v>
      </c>
      <c r="EN1525" s="24">
        <v>1</v>
      </c>
      <c r="EO1525" s="24"/>
      <c r="EP1525" s="24"/>
    </row>
    <row r="1526" spans="139:146" x14ac:dyDescent="0.4">
      <c r="EI1526" s="24">
        <v>2021</v>
      </c>
      <c r="EJ1526" s="24">
        <v>50</v>
      </c>
      <c r="EK1526" s="24" t="s">
        <v>211</v>
      </c>
      <c r="EL1526" s="24" t="s">
        <v>212</v>
      </c>
      <c r="EM1526" s="24" t="s">
        <v>210</v>
      </c>
      <c r="EN1526" s="24">
        <v>4</v>
      </c>
      <c r="EO1526" s="24"/>
      <c r="EP1526" s="24"/>
    </row>
    <row r="1527" spans="139:146" x14ac:dyDescent="0.4">
      <c r="EI1527" s="24">
        <v>2021</v>
      </c>
      <c r="EJ1527" s="24">
        <v>50</v>
      </c>
      <c r="EK1527" s="24" t="s">
        <v>211</v>
      </c>
      <c r="EL1527" s="24" t="s">
        <v>212</v>
      </c>
      <c r="EM1527" s="24" t="s">
        <v>234</v>
      </c>
      <c r="EN1527" s="24">
        <v>4</v>
      </c>
      <c r="EO1527" s="24"/>
      <c r="EP1527" s="24"/>
    </row>
    <row r="1528" spans="139:146" x14ac:dyDescent="0.4">
      <c r="EI1528" s="24">
        <v>2021</v>
      </c>
      <c r="EJ1528" s="24">
        <v>50</v>
      </c>
      <c r="EK1528" s="24" t="s">
        <v>211</v>
      </c>
      <c r="EL1528" s="24" t="s">
        <v>247</v>
      </c>
      <c r="EM1528" s="24" t="s">
        <v>210</v>
      </c>
      <c r="EN1528" s="24">
        <v>2</v>
      </c>
      <c r="EO1528" s="24"/>
      <c r="EP1528" s="24"/>
    </row>
    <row r="1529" spans="139:146" x14ac:dyDescent="0.4">
      <c r="EI1529" s="24">
        <v>2021</v>
      </c>
      <c r="EJ1529" s="24">
        <v>50</v>
      </c>
      <c r="EK1529" s="24" t="s">
        <v>211</v>
      </c>
      <c r="EL1529" s="24" t="s">
        <v>247</v>
      </c>
      <c r="EM1529" s="24" t="s">
        <v>234</v>
      </c>
      <c r="EN1529" s="24">
        <v>2</v>
      </c>
      <c r="EO1529" s="24"/>
      <c r="EP1529" s="24"/>
    </row>
    <row r="1530" spans="139:146" x14ac:dyDescent="0.4">
      <c r="EI1530" s="24">
        <v>2021</v>
      </c>
      <c r="EJ1530" s="24">
        <v>50</v>
      </c>
      <c r="EK1530" s="24" t="s">
        <v>213</v>
      </c>
      <c r="EL1530" s="24" t="s">
        <v>214</v>
      </c>
      <c r="EM1530" s="24" t="s">
        <v>215</v>
      </c>
      <c r="EN1530" s="24">
        <v>2</v>
      </c>
      <c r="EO1530" s="24"/>
      <c r="EP1530" s="24"/>
    </row>
    <row r="1531" spans="139:146" x14ac:dyDescent="0.4">
      <c r="EI1531" s="24">
        <v>2021</v>
      </c>
      <c r="EJ1531" s="24">
        <v>49</v>
      </c>
      <c r="EK1531" s="24" t="s">
        <v>208</v>
      </c>
      <c r="EL1531" s="24" t="s">
        <v>351</v>
      </c>
      <c r="EM1531" s="24" t="s">
        <v>210</v>
      </c>
      <c r="EN1531" s="24">
        <v>11</v>
      </c>
      <c r="EO1531" s="24"/>
      <c r="EP1531" s="24"/>
    </row>
    <row r="1532" spans="139:146" x14ac:dyDescent="0.4">
      <c r="EI1532" s="24">
        <v>2021</v>
      </c>
      <c r="EJ1532" s="24">
        <v>49</v>
      </c>
      <c r="EK1532" s="24" t="s">
        <v>208</v>
      </c>
      <c r="EL1532" s="24" t="s">
        <v>236</v>
      </c>
      <c r="EM1532" s="24" t="s">
        <v>215</v>
      </c>
      <c r="EN1532" s="24">
        <v>1</v>
      </c>
      <c r="EO1532" s="24"/>
      <c r="EP1532" s="24"/>
    </row>
    <row r="1533" spans="139:146" x14ac:dyDescent="0.4">
      <c r="EI1533" s="24">
        <v>2021</v>
      </c>
      <c r="EJ1533" s="24">
        <v>49</v>
      </c>
      <c r="EK1533" s="24" t="s">
        <v>208</v>
      </c>
      <c r="EL1533" s="24" t="s">
        <v>235</v>
      </c>
      <c r="EM1533" s="24" t="s">
        <v>210</v>
      </c>
      <c r="EN1533" s="24">
        <v>41</v>
      </c>
      <c r="EO1533" s="24"/>
      <c r="EP1533" s="24"/>
    </row>
    <row r="1534" spans="139:146" x14ac:dyDescent="0.4">
      <c r="EI1534" s="24">
        <v>2021</v>
      </c>
      <c r="EJ1534" s="24">
        <v>49</v>
      </c>
      <c r="EK1534" s="24" t="s">
        <v>208</v>
      </c>
      <c r="EL1534" s="24" t="s">
        <v>235</v>
      </c>
      <c r="EM1534" s="24" t="s">
        <v>234</v>
      </c>
      <c r="EN1534" s="24">
        <v>1</v>
      </c>
      <c r="EO1534" s="24"/>
      <c r="EP1534" s="24"/>
    </row>
    <row r="1535" spans="139:146" x14ac:dyDescent="0.4">
      <c r="EI1535" s="24">
        <v>2021</v>
      </c>
      <c r="EJ1535" s="24">
        <v>49</v>
      </c>
      <c r="EK1535" s="24" t="s">
        <v>208</v>
      </c>
      <c r="EL1535" s="24" t="s">
        <v>235</v>
      </c>
      <c r="EM1535" s="24" t="s">
        <v>215</v>
      </c>
      <c r="EN1535" s="24">
        <v>14</v>
      </c>
      <c r="EO1535" s="24"/>
      <c r="EP1535" s="24"/>
    </row>
    <row r="1536" spans="139:146" x14ac:dyDescent="0.4">
      <c r="EI1536" s="24">
        <v>2021</v>
      </c>
      <c r="EJ1536" s="24">
        <v>49</v>
      </c>
      <c r="EK1536" s="24" t="s">
        <v>208</v>
      </c>
      <c r="EL1536" s="24" t="s">
        <v>553</v>
      </c>
      <c r="EM1536" s="24" t="s">
        <v>210</v>
      </c>
      <c r="EN1536" s="24">
        <v>1</v>
      </c>
      <c r="EO1536" s="24"/>
      <c r="EP1536" s="24"/>
    </row>
    <row r="1537" spans="139:146" x14ac:dyDescent="0.4">
      <c r="EI1537" s="24">
        <v>2021</v>
      </c>
      <c r="EJ1537" s="24">
        <v>49</v>
      </c>
      <c r="EK1537" s="24" t="s">
        <v>208</v>
      </c>
      <c r="EL1537" s="24" t="s">
        <v>209</v>
      </c>
      <c r="EM1537" s="24" t="s">
        <v>210</v>
      </c>
      <c r="EN1537" s="24">
        <v>3</v>
      </c>
      <c r="EO1537" s="24"/>
      <c r="EP1537" s="24"/>
    </row>
    <row r="1538" spans="139:146" x14ac:dyDescent="0.4">
      <c r="EI1538" s="24">
        <v>2021</v>
      </c>
      <c r="EJ1538" s="24">
        <v>49</v>
      </c>
      <c r="EK1538" s="24" t="s">
        <v>208</v>
      </c>
      <c r="EL1538" s="24" t="s">
        <v>247</v>
      </c>
      <c r="EM1538" s="24" t="s">
        <v>210</v>
      </c>
      <c r="EN1538" s="24">
        <v>3</v>
      </c>
      <c r="EO1538" s="24"/>
      <c r="EP1538" s="24"/>
    </row>
    <row r="1539" spans="139:146" x14ac:dyDescent="0.4">
      <c r="EI1539" s="24">
        <v>2021</v>
      </c>
      <c r="EJ1539" s="24">
        <v>49</v>
      </c>
      <c r="EK1539" s="24" t="s">
        <v>33</v>
      </c>
      <c r="EL1539" s="24" t="s">
        <v>233</v>
      </c>
      <c r="EM1539" s="24" t="s">
        <v>210</v>
      </c>
      <c r="EN1539" s="24">
        <v>4</v>
      </c>
      <c r="EO1539" s="24"/>
      <c r="EP1539" s="24"/>
    </row>
    <row r="1540" spans="139:146" x14ac:dyDescent="0.4">
      <c r="EI1540" s="24">
        <v>2021</v>
      </c>
      <c r="EJ1540" s="24">
        <v>49</v>
      </c>
      <c r="EK1540" s="24" t="s">
        <v>33</v>
      </c>
      <c r="EL1540" s="24" t="s">
        <v>233</v>
      </c>
      <c r="EM1540" s="24" t="s">
        <v>215</v>
      </c>
      <c r="EN1540" s="24">
        <v>3</v>
      </c>
      <c r="EO1540" s="24"/>
      <c r="EP1540" s="24"/>
    </row>
    <row r="1541" spans="139:146" x14ac:dyDescent="0.4">
      <c r="EI1541" s="24">
        <v>2021</v>
      </c>
      <c r="EJ1541" s="24">
        <v>49</v>
      </c>
      <c r="EK1541" s="24" t="s">
        <v>33</v>
      </c>
      <c r="EL1541" s="24" t="s">
        <v>235</v>
      </c>
      <c r="EM1541" s="24" t="s">
        <v>210</v>
      </c>
      <c r="EN1541" s="24">
        <v>2</v>
      </c>
      <c r="EO1541" s="24"/>
      <c r="EP1541" s="24"/>
    </row>
    <row r="1542" spans="139:146" x14ac:dyDescent="0.4">
      <c r="EI1542" s="24">
        <v>2021</v>
      </c>
      <c r="EJ1542" s="24">
        <v>49</v>
      </c>
      <c r="EK1542" s="24" t="s">
        <v>33</v>
      </c>
      <c r="EL1542" s="24" t="s">
        <v>235</v>
      </c>
      <c r="EM1542" s="24" t="s">
        <v>234</v>
      </c>
      <c r="EN1542" s="24">
        <v>2</v>
      </c>
      <c r="EO1542" s="24"/>
      <c r="EP1542" s="24"/>
    </row>
    <row r="1543" spans="139:146" x14ac:dyDescent="0.4">
      <c r="EI1543" s="24">
        <v>2021</v>
      </c>
      <c r="EJ1543" s="24">
        <v>49</v>
      </c>
      <c r="EK1543" s="24" t="s">
        <v>211</v>
      </c>
      <c r="EL1543" s="24" t="s">
        <v>232</v>
      </c>
      <c r="EM1543" s="24" t="s">
        <v>210</v>
      </c>
      <c r="EN1543" s="24">
        <v>1</v>
      </c>
      <c r="EO1543" s="24"/>
      <c r="EP1543" s="24"/>
    </row>
    <row r="1544" spans="139:146" x14ac:dyDescent="0.4">
      <c r="EI1544" s="24">
        <v>2021</v>
      </c>
      <c r="EJ1544" s="24">
        <v>49</v>
      </c>
      <c r="EK1544" s="24" t="s">
        <v>211</v>
      </c>
      <c r="EL1544" s="24" t="s">
        <v>212</v>
      </c>
      <c r="EM1544" s="24" t="s">
        <v>210</v>
      </c>
      <c r="EN1544" s="24">
        <v>3</v>
      </c>
      <c r="EO1544" s="24"/>
      <c r="EP1544" s="24"/>
    </row>
    <row r="1545" spans="139:146" x14ac:dyDescent="0.4">
      <c r="EI1545" s="24">
        <v>2021</v>
      </c>
      <c r="EJ1545" s="24">
        <v>49</v>
      </c>
      <c r="EK1545" s="24" t="s">
        <v>211</v>
      </c>
      <c r="EL1545" s="24" t="s">
        <v>212</v>
      </c>
      <c r="EM1545" s="24" t="s">
        <v>234</v>
      </c>
      <c r="EN1545" s="24">
        <v>10</v>
      </c>
      <c r="EO1545" s="24"/>
      <c r="EP1545" s="24"/>
    </row>
    <row r="1546" spans="139:146" x14ac:dyDescent="0.4">
      <c r="EI1546" s="24">
        <v>2021</v>
      </c>
      <c r="EJ1546" s="24">
        <v>49</v>
      </c>
      <c r="EK1546" s="24" t="s">
        <v>211</v>
      </c>
      <c r="EL1546" s="24" t="s">
        <v>247</v>
      </c>
      <c r="EM1546" s="24" t="s">
        <v>210</v>
      </c>
      <c r="EN1546" s="24">
        <v>2</v>
      </c>
      <c r="EO1546" s="24"/>
      <c r="EP1546" s="24"/>
    </row>
    <row r="1547" spans="139:146" x14ac:dyDescent="0.4">
      <c r="EI1547" s="24">
        <v>2021</v>
      </c>
      <c r="EJ1547" s="24">
        <v>49</v>
      </c>
      <c r="EK1547" s="24" t="s">
        <v>211</v>
      </c>
      <c r="EL1547" s="24" t="s">
        <v>247</v>
      </c>
      <c r="EM1547" s="24" t="s">
        <v>234</v>
      </c>
      <c r="EN1547" s="24">
        <v>4</v>
      </c>
      <c r="EO1547" s="24"/>
      <c r="EP1547" s="24"/>
    </row>
    <row r="1548" spans="139:146" x14ac:dyDescent="0.4">
      <c r="EI1548" s="24">
        <v>2021</v>
      </c>
      <c r="EJ1548" s="24">
        <v>49</v>
      </c>
      <c r="EK1548" s="24" t="s">
        <v>213</v>
      </c>
      <c r="EL1548" s="24" t="s">
        <v>214</v>
      </c>
      <c r="EM1548" s="24" t="s">
        <v>215</v>
      </c>
      <c r="EN1548" s="24">
        <v>4</v>
      </c>
      <c r="EO1548" s="24"/>
      <c r="EP1548" s="24"/>
    </row>
    <row r="1549" spans="139:146" x14ac:dyDescent="0.4">
      <c r="EI1549" s="24">
        <v>2021</v>
      </c>
      <c r="EJ1549" s="24">
        <v>48</v>
      </c>
      <c r="EK1549" s="24" t="s">
        <v>208</v>
      </c>
      <c r="EL1549" s="24" t="s">
        <v>351</v>
      </c>
      <c r="EM1549" s="24" t="s">
        <v>210</v>
      </c>
      <c r="EN1549" s="24">
        <v>3</v>
      </c>
      <c r="EO1549" s="24"/>
      <c r="EP1549" s="24"/>
    </row>
    <row r="1550" spans="139:146" x14ac:dyDescent="0.4">
      <c r="EI1550" s="24">
        <v>2021</v>
      </c>
      <c r="EJ1550" s="24">
        <v>48</v>
      </c>
      <c r="EK1550" s="24" t="s">
        <v>208</v>
      </c>
      <c r="EL1550" s="24" t="s">
        <v>235</v>
      </c>
      <c r="EM1550" s="24" t="s">
        <v>210</v>
      </c>
      <c r="EN1550" s="24">
        <v>25</v>
      </c>
      <c r="EO1550" s="24"/>
      <c r="EP1550" s="24"/>
    </row>
    <row r="1551" spans="139:146" x14ac:dyDescent="0.4">
      <c r="EI1551" s="24">
        <v>2021</v>
      </c>
      <c r="EJ1551" s="24">
        <v>48</v>
      </c>
      <c r="EK1551" s="24" t="s">
        <v>208</v>
      </c>
      <c r="EL1551" s="24" t="s">
        <v>235</v>
      </c>
      <c r="EM1551" s="24" t="s">
        <v>234</v>
      </c>
      <c r="EN1551" s="24">
        <v>1</v>
      </c>
      <c r="EO1551" s="24"/>
      <c r="EP1551" s="24"/>
    </row>
    <row r="1552" spans="139:146" x14ac:dyDescent="0.4">
      <c r="EI1552" s="24">
        <v>2021</v>
      </c>
      <c r="EJ1552" s="24">
        <v>48</v>
      </c>
      <c r="EK1552" s="24" t="s">
        <v>208</v>
      </c>
      <c r="EL1552" s="24" t="s">
        <v>235</v>
      </c>
      <c r="EM1552" s="24" t="s">
        <v>215</v>
      </c>
      <c r="EN1552" s="24">
        <v>11</v>
      </c>
      <c r="EO1552" s="24"/>
      <c r="EP1552" s="24"/>
    </row>
    <row r="1553" spans="139:146" x14ac:dyDescent="0.4">
      <c r="EI1553" s="24">
        <v>2021</v>
      </c>
      <c r="EJ1553" s="24">
        <v>48</v>
      </c>
      <c r="EK1553" s="24" t="s">
        <v>208</v>
      </c>
      <c r="EL1553" s="24" t="s">
        <v>209</v>
      </c>
      <c r="EM1553" s="24" t="s">
        <v>210</v>
      </c>
      <c r="EN1553" s="24">
        <v>1</v>
      </c>
      <c r="EO1553" s="24"/>
      <c r="EP1553" s="24"/>
    </row>
    <row r="1554" spans="139:146" x14ac:dyDescent="0.4">
      <c r="EI1554" s="24">
        <v>2021</v>
      </c>
      <c r="EJ1554" s="24">
        <v>48</v>
      </c>
      <c r="EK1554" s="24" t="s">
        <v>208</v>
      </c>
      <c r="EL1554" s="24" t="s">
        <v>209</v>
      </c>
      <c r="EM1554" s="24" t="s">
        <v>215</v>
      </c>
      <c r="EN1554" s="24">
        <v>1</v>
      </c>
      <c r="EO1554" s="24"/>
      <c r="EP1554" s="24"/>
    </row>
    <row r="1555" spans="139:146" x14ac:dyDescent="0.4">
      <c r="EI1555" s="24">
        <v>2021</v>
      </c>
      <c r="EJ1555" s="24">
        <v>48</v>
      </c>
      <c r="EK1555" s="24" t="s">
        <v>208</v>
      </c>
      <c r="EL1555" s="24" t="s">
        <v>247</v>
      </c>
      <c r="EM1555" s="24" t="s">
        <v>210</v>
      </c>
      <c r="EN1555" s="24">
        <v>2</v>
      </c>
      <c r="EO1555" s="24"/>
      <c r="EP1555" s="24"/>
    </row>
    <row r="1556" spans="139:146" x14ac:dyDescent="0.4">
      <c r="EI1556" s="24">
        <v>2021</v>
      </c>
      <c r="EJ1556" s="24">
        <v>48</v>
      </c>
      <c r="EK1556" s="24" t="s">
        <v>208</v>
      </c>
      <c r="EL1556" s="24" t="s">
        <v>245</v>
      </c>
      <c r="EM1556" s="24" t="s">
        <v>210</v>
      </c>
      <c r="EN1556" s="24">
        <v>4</v>
      </c>
      <c r="EO1556" s="24"/>
      <c r="EP1556" s="24"/>
    </row>
    <row r="1557" spans="139:146" x14ac:dyDescent="0.4">
      <c r="EI1557" s="24">
        <v>2021</v>
      </c>
      <c r="EJ1557" s="24">
        <v>48</v>
      </c>
      <c r="EK1557" s="24" t="s">
        <v>33</v>
      </c>
      <c r="EL1557" s="24" t="s">
        <v>233</v>
      </c>
      <c r="EM1557" s="24" t="s">
        <v>210</v>
      </c>
      <c r="EN1557" s="24">
        <v>52</v>
      </c>
      <c r="EO1557" s="24"/>
      <c r="EP1557" s="24"/>
    </row>
    <row r="1558" spans="139:146" x14ac:dyDescent="0.4">
      <c r="EI1558" s="24">
        <v>2021</v>
      </c>
      <c r="EJ1558" s="24">
        <v>48</v>
      </c>
      <c r="EK1558" s="24" t="s">
        <v>33</v>
      </c>
      <c r="EL1558" s="24" t="s">
        <v>233</v>
      </c>
      <c r="EM1558" s="24" t="s">
        <v>215</v>
      </c>
      <c r="EN1558" s="24">
        <v>19</v>
      </c>
      <c r="EO1558" s="24"/>
      <c r="EP1558" s="24"/>
    </row>
    <row r="1559" spans="139:146" x14ac:dyDescent="0.4">
      <c r="EI1559" s="24">
        <v>2021</v>
      </c>
      <c r="EJ1559" s="24">
        <v>48</v>
      </c>
      <c r="EK1559" s="24" t="s">
        <v>33</v>
      </c>
      <c r="EL1559" s="24" t="s">
        <v>244</v>
      </c>
      <c r="EM1559" s="24" t="s">
        <v>210</v>
      </c>
      <c r="EN1559" s="24">
        <v>8</v>
      </c>
      <c r="EO1559" s="24"/>
      <c r="EP1559" s="24"/>
    </row>
    <row r="1560" spans="139:146" x14ac:dyDescent="0.4">
      <c r="EI1560" s="24">
        <v>2021</v>
      </c>
      <c r="EJ1560" s="24">
        <v>48</v>
      </c>
      <c r="EK1560" s="24" t="s">
        <v>211</v>
      </c>
      <c r="EL1560" s="24" t="s">
        <v>212</v>
      </c>
      <c r="EM1560" s="24" t="s">
        <v>210</v>
      </c>
      <c r="EN1560" s="24">
        <v>15</v>
      </c>
      <c r="EO1560" s="24"/>
      <c r="EP1560" s="24"/>
    </row>
    <row r="1561" spans="139:146" x14ac:dyDescent="0.4">
      <c r="EI1561" s="24">
        <v>2021</v>
      </c>
      <c r="EJ1561" s="24">
        <v>48</v>
      </c>
      <c r="EK1561" s="24" t="s">
        <v>211</v>
      </c>
      <c r="EL1561" s="24" t="s">
        <v>212</v>
      </c>
      <c r="EM1561" s="24" t="s">
        <v>234</v>
      </c>
      <c r="EN1561" s="24">
        <v>5</v>
      </c>
      <c r="EO1561" s="24"/>
      <c r="EP1561" s="24"/>
    </row>
    <row r="1562" spans="139:146" x14ac:dyDescent="0.4">
      <c r="EI1562" s="24">
        <v>2021</v>
      </c>
      <c r="EJ1562" s="24">
        <v>48</v>
      </c>
      <c r="EK1562" s="24" t="s">
        <v>211</v>
      </c>
      <c r="EL1562" s="24" t="s">
        <v>247</v>
      </c>
      <c r="EM1562" s="24" t="s">
        <v>234</v>
      </c>
      <c r="EN1562" s="24">
        <v>10</v>
      </c>
      <c r="EO1562" s="24"/>
      <c r="EP1562" s="24"/>
    </row>
    <row r="1563" spans="139:146" x14ac:dyDescent="0.4">
      <c r="EI1563" s="24">
        <v>2021</v>
      </c>
      <c r="EJ1563" s="24">
        <v>48</v>
      </c>
      <c r="EK1563" s="24" t="s">
        <v>213</v>
      </c>
      <c r="EL1563" s="24" t="s">
        <v>214</v>
      </c>
      <c r="EM1563" s="24" t="s">
        <v>215</v>
      </c>
      <c r="EN1563" s="24">
        <v>13</v>
      </c>
      <c r="EO1563" s="24"/>
      <c r="EP1563" s="24"/>
    </row>
    <row r="1564" spans="139:146" x14ac:dyDescent="0.4">
      <c r="EI1564" s="24">
        <v>2021</v>
      </c>
      <c r="EJ1564" s="24">
        <v>47</v>
      </c>
      <c r="EK1564" s="24" t="s">
        <v>208</v>
      </c>
      <c r="EL1564" s="24" t="s">
        <v>352</v>
      </c>
      <c r="EM1564" s="24" t="s">
        <v>210</v>
      </c>
      <c r="EN1564" s="24">
        <v>1</v>
      </c>
      <c r="EO1564" s="24"/>
      <c r="EP1564" s="24"/>
    </row>
    <row r="1565" spans="139:146" x14ac:dyDescent="0.4">
      <c r="EI1565" s="24">
        <v>2021</v>
      </c>
      <c r="EJ1565" s="24">
        <v>47</v>
      </c>
      <c r="EK1565" s="24" t="s">
        <v>208</v>
      </c>
      <c r="EL1565" s="24" t="s">
        <v>351</v>
      </c>
      <c r="EM1565" s="24" t="s">
        <v>210</v>
      </c>
      <c r="EN1565" s="24">
        <v>11</v>
      </c>
      <c r="EO1565" s="24"/>
      <c r="EP1565" s="24"/>
    </row>
    <row r="1566" spans="139:146" x14ac:dyDescent="0.4">
      <c r="EI1566" s="24">
        <v>2021</v>
      </c>
      <c r="EJ1566" s="24">
        <v>47</v>
      </c>
      <c r="EK1566" s="24" t="s">
        <v>208</v>
      </c>
      <c r="EL1566" s="24" t="s">
        <v>235</v>
      </c>
      <c r="EM1566" s="24" t="s">
        <v>210</v>
      </c>
      <c r="EN1566" s="24">
        <v>18</v>
      </c>
      <c r="EO1566" s="24"/>
      <c r="EP1566" s="24"/>
    </row>
    <row r="1567" spans="139:146" x14ac:dyDescent="0.4">
      <c r="EI1567" s="24">
        <v>2021</v>
      </c>
      <c r="EJ1567" s="24">
        <v>47</v>
      </c>
      <c r="EK1567" s="24" t="s">
        <v>208</v>
      </c>
      <c r="EL1567" s="24" t="s">
        <v>235</v>
      </c>
      <c r="EM1567" s="24" t="s">
        <v>215</v>
      </c>
      <c r="EN1567" s="24">
        <v>45</v>
      </c>
      <c r="EO1567" s="24"/>
      <c r="EP1567" s="24"/>
    </row>
    <row r="1568" spans="139:146" x14ac:dyDescent="0.4">
      <c r="EI1568" s="24">
        <v>2021</v>
      </c>
      <c r="EJ1568" s="24">
        <v>47</v>
      </c>
      <c r="EK1568" s="24" t="s">
        <v>208</v>
      </c>
      <c r="EL1568" s="24" t="s">
        <v>209</v>
      </c>
      <c r="EM1568" s="24" t="s">
        <v>234</v>
      </c>
      <c r="EN1568" s="24">
        <v>1</v>
      </c>
      <c r="EO1568" s="24"/>
      <c r="EP1568" s="24"/>
    </row>
    <row r="1569" spans="139:146" x14ac:dyDescent="0.4">
      <c r="EI1569" s="24">
        <v>2021</v>
      </c>
      <c r="EJ1569" s="24">
        <v>47</v>
      </c>
      <c r="EK1569" s="24" t="s">
        <v>208</v>
      </c>
      <c r="EL1569" s="24" t="s">
        <v>209</v>
      </c>
      <c r="EM1569" s="24" t="s">
        <v>215</v>
      </c>
      <c r="EN1569" s="24">
        <v>2</v>
      </c>
      <c r="EO1569" s="24"/>
      <c r="EP1569" s="24"/>
    </row>
    <row r="1570" spans="139:146" x14ac:dyDescent="0.4">
      <c r="EI1570" s="24">
        <v>2021</v>
      </c>
      <c r="EJ1570" s="24">
        <v>47</v>
      </c>
      <c r="EK1570" s="24" t="s">
        <v>208</v>
      </c>
      <c r="EL1570" s="24" t="s">
        <v>247</v>
      </c>
      <c r="EM1570" s="24" t="s">
        <v>215</v>
      </c>
      <c r="EN1570" s="24">
        <v>1</v>
      </c>
      <c r="EO1570" s="24"/>
      <c r="EP1570" s="24"/>
    </row>
    <row r="1571" spans="139:146" x14ac:dyDescent="0.4">
      <c r="EI1571" s="24">
        <v>2021</v>
      </c>
      <c r="EJ1571" s="24">
        <v>47</v>
      </c>
      <c r="EK1571" s="24" t="s">
        <v>208</v>
      </c>
      <c r="EL1571" s="24" t="s">
        <v>245</v>
      </c>
      <c r="EM1571" s="24" t="s">
        <v>210</v>
      </c>
      <c r="EN1571" s="24">
        <v>2</v>
      </c>
      <c r="EO1571" s="24"/>
      <c r="EP1571" s="24"/>
    </row>
    <row r="1572" spans="139:146" x14ac:dyDescent="0.4">
      <c r="EI1572" s="24">
        <v>2021</v>
      </c>
      <c r="EJ1572" s="24">
        <v>47</v>
      </c>
      <c r="EK1572" s="24" t="s">
        <v>33</v>
      </c>
      <c r="EL1572" s="24" t="s">
        <v>233</v>
      </c>
      <c r="EM1572" s="24" t="s">
        <v>215</v>
      </c>
      <c r="EN1572" s="24">
        <v>1</v>
      </c>
      <c r="EO1572" s="24"/>
      <c r="EP1572" s="24"/>
    </row>
    <row r="1573" spans="139:146" x14ac:dyDescent="0.4">
      <c r="EI1573" s="24">
        <v>2021</v>
      </c>
      <c r="EJ1573" s="24">
        <v>47</v>
      </c>
      <c r="EK1573" s="24" t="s">
        <v>33</v>
      </c>
      <c r="EL1573" s="24" t="s">
        <v>244</v>
      </c>
      <c r="EM1573" s="24" t="s">
        <v>210</v>
      </c>
      <c r="EN1573" s="24">
        <v>11</v>
      </c>
      <c r="EO1573" s="24"/>
      <c r="EP1573" s="24"/>
    </row>
    <row r="1574" spans="139:146" x14ac:dyDescent="0.4">
      <c r="EI1574" s="24">
        <v>2021</v>
      </c>
      <c r="EJ1574" s="24">
        <v>47</v>
      </c>
      <c r="EK1574" s="24" t="s">
        <v>211</v>
      </c>
      <c r="EL1574" s="24" t="s">
        <v>212</v>
      </c>
      <c r="EM1574" s="24" t="s">
        <v>210</v>
      </c>
      <c r="EN1574" s="24">
        <v>4</v>
      </c>
      <c r="EO1574" s="24"/>
      <c r="EP1574" s="24"/>
    </row>
    <row r="1575" spans="139:146" x14ac:dyDescent="0.4">
      <c r="EI1575" s="24">
        <v>2021</v>
      </c>
      <c r="EJ1575" s="24">
        <v>47</v>
      </c>
      <c r="EK1575" s="24" t="s">
        <v>211</v>
      </c>
      <c r="EL1575" s="24" t="s">
        <v>212</v>
      </c>
      <c r="EM1575" s="24" t="s">
        <v>234</v>
      </c>
      <c r="EN1575" s="24">
        <v>8</v>
      </c>
      <c r="EO1575" s="24"/>
      <c r="EP1575" s="24"/>
    </row>
    <row r="1576" spans="139:146" x14ac:dyDescent="0.4">
      <c r="EI1576" s="24">
        <v>2021</v>
      </c>
      <c r="EJ1576" s="24">
        <v>47</v>
      </c>
      <c r="EK1576" s="24" t="s">
        <v>211</v>
      </c>
      <c r="EL1576" s="24" t="s">
        <v>247</v>
      </c>
      <c r="EM1576" s="24" t="s">
        <v>210</v>
      </c>
      <c r="EN1576" s="24">
        <v>2</v>
      </c>
      <c r="EO1576" s="24"/>
      <c r="EP1576" s="24"/>
    </row>
    <row r="1577" spans="139:146" x14ac:dyDescent="0.4">
      <c r="EI1577" s="24">
        <v>2021</v>
      </c>
      <c r="EJ1577" s="24">
        <v>47</v>
      </c>
      <c r="EK1577" s="24" t="s">
        <v>213</v>
      </c>
      <c r="EL1577" s="24" t="s">
        <v>214</v>
      </c>
      <c r="EM1577" s="24" t="s">
        <v>215</v>
      </c>
      <c r="EN1577" s="24">
        <v>7</v>
      </c>
      <c r="EO1577" s="24"/>
      <c r="EP1577" s="24"/>
    </row>
    <row r="1578" spans="139:146" x14ac:dyDescent="0.4">
      <c r="EI1578" s="24">
        <v>2021</v>
      </c>
      <c r="EJ1578" s="24">
        <v>46</v>
      </c>
      <c r="EK1578" s="24" t="s">
        <v>208</v>
      </c>
      <c r="EL1578" s="24" t="s">
        <v>351</v>
      </c>
      <c r="EM1578" s="24" t="s">
        <v>210</v>
      </c>
      <c r="EN1578" s="24">
        <v>22</v>
      </c>
      <c r="EO1578" s="24"/>
      <c r="EP1578" s="24"/>
    </row>
    <row r="1579" spans="139:146" x14ac:dyDescent="0.4">
      <c r="EI1579" s="24">
        <v>2021</v>
      </c>
      <c r="EJ1579" s="24">
        <v>46</v>
      </c>
      <c r="EK1579" s="24" t="s">
        <v>208</v>
      </c>
      <c r="EL1579" s="24" t="s">
        <v>236</v>
      </c>
      <c r="EM1579" s="24" t="s">
        <v>215</v>
      </c>
      <c r="EN1579" s="24">
        <v>1</v>
      </c>
      <c r="EO1579" s="24"/>
      <c r="EP1579" s="24"/>
    </row>
    <row r="1580" spans="139:146" x14ac:dyDescent="0.4">
      <c r="EI1580" s="24">
        <v>2021</v>
      </c>
      <c r="EJ1580" s="24">
        <v>46</v>
      </c>
      <c r="EK1580" s="24" t="s">
        <v>208</v>
      </c>
      <c r="EL1580" s="24" t="s">
        <v>235</v>
      </c>
      <c r="EM1580" s="24" t="s">
        <v>210</v>
      </c>
      <c r="EN1580" s="24">
        <v>16</v>
      </c>
      <c r="EO1580" s="24"/>
      <c r="EP1580" s="24"/>
    </row>
    <row r="1581" spans="139:146" x14ac:dyDescent="0.4">
      <c r="EI1581" s="24">
        <v>2021</v>
      </c>
      <c r="EJ1581" s="24">
        <v>46</v>
      </c>
      <c r="EK1581" s="24" t="s">
        <v>208</v>
      </c>
      <c r="EL1581" s="24" t="s">
        <v>235</v>
      </c>
      <c r="EM1581" s="24" t="s">
        <v>215</v>
      </c>
      <c r="EN1581" s="24">
        <v>45</v>
      </c>
      <c r="EO1581" s="24"/>
      <c r="EP1581" s="24"/>
    </row>
    <row r="1582" spans="139:146" x14ac:dyDescent="0.4">
      <c r="EI1582" s="314">
        <v>2021</v>
      </c>
      <c r="EJ1582" s="314">
        <v>46</v>
      </c>
      <c r="EK1582" s="314" t="s">
        <v>208</v>
      </c>
      <c r="EL1582" s="314" t="s">
        <v>209</v>
      </c>
      <c r="EM1582" s="314" t="s">
        <v>210</v>
      </c>
      <c r="EN1582" s="314">
        <v>1</v>
      </c>
      <c r="EO1582" s="24"/>
      <c r="EP1582" s="24"/>
    </row>
    <row r="1583" spans="139:146" x14ac:dyDescent="0.4">
      <c r="EI1583" s="314">
        <v>2021</v>
      </c>
      <c r="EJ1583" s="314">
        <v>46</v>
      </c>
      <c r="EK1583" s="314" t="s">
        <v>208</v>
      </c>
      <c r="EL1583" s="314" t="s">
        <v>209</v>
      </c>
      <c r="EM1583" s="314" t="s">
        <v>234</v>
      </c>
      <c r="EN1583" s="314">
        <v>2</v>
      </c>
      <c r="EO1583" s="24"/>
      <c r="EP1583" s="24"/>
    </row>
    <row r="1584" spans="139:146" x14ac:dyDescent="0.4">
      <c r="EI1584" s="314">
        <v>2021</v>
      </c>
      <c r="EJ1584" s="314">
        <v>46</v>
      </c>
      <c r="EK1584" s="314" t="s">
        <v>208</v>
      </c>
      <c r="EL1584" s="314" t="s">
        <v>247</v>
      </c>
      <c r="EM1584" s="314" t="s">
        <v>234</v>
      </c>
      <c r="EN1584" s="314">
        <v>1</v>
      </c>
      <c r="EO1584" s="24"/>
      <c r="EP1584" s="24"/>
    </row>
    <row r="1585" spans="139:146" x14ac:dyDescent="0.4">
      <c r="EI1585" s="314">
        <v>2021</v>
      </c>
      <c r="EJ1585" s="314">
        <v>46</v>
      </c>
      <c r="EK1585" s="314" t="s">
        <v>33</v>
      </c>
      <c r="EL1585" s="314" t="s">
        <v>235</v>
      </c>
      <c r="EM1585" s="314" t="s">
        <v>215</v>
      </c>
      <c r="EN1585" s="314">
        <v>1</v>
      </c>
      <c r="EO1585" s="24"/>
      <c r="EP1585" s="24"/>
    </row>
    <row r="1586" spans="139:146" x14ac:dyDescent="0.4">
      <c r="EI1586" s="314">
        <v>2021</v>
      </c>
      <c r="EJ1586" s="314">
        <v>46</v>
      </c>
      <c r="EK1586" s="314" t="s">
        <v>211</v>
      </c>
      <c r="EL1586" s="314" t="s">
        <v>232</v>
      </c>
      <c r="EM1586" s="314" t="s">
        <v>234</v>
      </c>
      <c r="EN1586" s="314">
        <v>7</v>
      </c>
      <c r="EO1586" s="24"/>
      <c r="EP1586" s="24"/>
    </row>
    <row r="1587" spans="139:146" x14ac:dyDescent="0.4">
      <c r="EI1587" s="314">
        <v>2021</v>
      </c>
      <c r="EJ1587" s="314">
        <v>46</v>
      </c>
      <c r="EK1587" s="314" t="s">
        <v>211</v>
      </c>
      <c r="EL1587" s="314" t="s">
        <v>212</v>
      </c>
      <c r="EM1587" s="314" t="s">
        <v>210</v>
      </c>
      <c r="EN1587" s="314">
        <v>6</v>
      </c>
      <c r="EO1587" s="24"/>
      <c r="EP1587" s="24"/>
    </row>
    <row r="1588" spans="139:146" x14ac:dyDescent="0.4">
      <c r="EI1588" s="314">
        <v>2021</v>
      </c>
      <c r="EJ1588" s="314">
        <v>46</v>
      </c>
      <c r="EK1588" s="314" t="s">
        <v>211</v>
      </c>
      <c r="EL1588" s="314" t="s">
        <v>212</v>
      </c>
      <c r="EM1588" s="314" t="s">
        <v>234</v>
      </c>
      <c r="EN1588" s="314">
        <v>3</v>
      </c>
      <c r="EO1588" s="24"/>
      <c r="EP1588" s="24"/>
    </row>
    <row r="1589" spans="139:146" x14ac:dyDescent="0.4">
      <c r="EI1589" s="314">
        <v>2021</v>
      </c>
      <c r="EJ1589" s="314">
        <v>46</v>
      </c>
      <c r="EK1589" s="314" t="s">
        <v>211</v>
      </c>
      <c r="EL1589" s="314" t="s">
        <v>247</v>
      </c>
      <c r="EM1589" s="314" t="s">
        <v>234</v>
      </c>
      <c r="EN1589" s="314">
        <v>6</v>
      </c>
      <c r="EO1589" s="24"/>
      <c r="EP1589" s="24"/>
    </row>
    <row r="1590" spans="139:146" x14ac:dyDescent="0.4">
      <c r="EI1590" s="314">
        <v>2021</v>
      </c>
      <c r="EJ1590" s="314">
        <v>46</v>
      </c>
      <c r="EK1590" s="314" t="s">
        <v>213</v>
      </c>
      <c r="EL1590" s="314" t="s">
        <v>214</v>
      </c>
      <c r="EM1590" s="314" t="s">
        <v>215</v>
      </c>
      <c r="EN1590" s="314">
        <v>25</v>
      </c>
      <c r="EO1590" s="24"/>
      <c r="EP1590" s="24"/>
    </row>
    <row r="1591" spans="139:146" x14ac:dyDescent="0.4">
      <c r="EI1591" s="314">
        <v>2021</v>
      </c>
      <c r="EJ1591" s="314">
        <v>45</v>
      </c>
      <c r="EK1591" s="314" t="s">
        <v>208</v>
      </c>
      <c r="EL1591" s="314" t="s">
        <v>352</v>
      </c>
      <c r="EM1591" s="314" t="s">
        <v>210</v>
      </c>
      <c r="EN1591" s="314">
        <v>2</v>
      </c>
      <c r="EO1591" s="24"/>
      <c r="EP1591" s="24"/>
    </row>
    <row r="1592" spans="139:146" x14ac:dyDescent="0.4">
      <c r="EI1592" s="314">
        <v>2021</v>
      </c>
      <c r="EJ1592" s="314">
        <v>45</v>
      </c>
      <c r="EK1592" s="314" t="s">
        <v>208</v>
      </c>
      <c r="EL1592" s="314" t="s">
        <v>351</v>
      </c>
      <c r="EM1592" s="314" t="s">
        <v>210</v>
      </c>
      <c r="EN1592" s="314">
        <v>8</v>
      </c>
      <c r="EO1592" s="24"/>
      <c r="EP1592" s="24"/>
    </row>
    <row r="1593" spans="139:146" x14ac:dyDescent="0.4">
      <c r="EI1593" s="314">
        <v>2021</v>
      </c>
      <c r="EJ1593" s="314">
        <v>45</v>
      </c>
      <c r="EK1593" s="314" t="s">
        <v>208</v>
      </c>
      <c r="EL1593" s="314" t="s">
        <v>235</v>
      </c>
      <c r="EM1593" s="314" t="s">
        <v>210</v>
      </c>
      <c r="EN1593" s="314">
        <v>32</v>
      </c>
      <c r="EO1593" s="24"/>
      <c r="EP1593" s="24"/>
    </row>
    <row r="1594" spans="139:146" x14ac:dyDescent="0.4">
      <c r="EI1594" s="314">
        <v>2021</v>
      </c>
      <c r="EJ1594" s="314">
        <v>45</v>
      </c>
      <c r="EK1594" s="314" t="s">
        <v>208</v>
      </c>
      <c r="EL1594" s="314" t="s">
        <v>235</v>
      </c>
      <c r="EM1594" s="314" t="s">
        <v>234</v>
      </c>
      <c r="EN1594" s="314">
        <v>1</v>
      </c>
      <c r="EO1594" s="24"/>
      <c r="EP1594" s="24"/>
    </row>
    <row r="1595" spans="139:146" x14ac:dyDescent="0.4">
      <c r="EI1595" s="314">
        <v>2021</v>
      </c>
      <c r="EJ1595" s="314">
        <v>45</v>
      </c>
      <c r="EK1595" s="314" t="s">
        <v>208</v>
      </c>
      <c r="EL1595" s="314" t="s">
        <v>235</v>
      </c>
      <c r="EM1595" s="314" t="s">
        <v>215</v>
      </c>
      <c r="EN1595" s="314">
        <v>64</v>
      </c>
      <c r="EO1595" s="24"/>
      <c r="EP1595" s="24"/>
    </row>
    <row r="1596" spans="139:146" x14ac:dyDescent="0.4">
      <c r="EI1596" s="314">
        <v>2021</v>
      </c>
      <c r="EJ1596" s="314">
        <v>45</v>
      </c>
      <c r="EK1596" s="314" t="s">
        <v>208</v>
      </c>
      <c r="EL1596" s="314" t="s">
        <v>209</v>
      </c>
      <c r="EM1596" s="314" t="s">
        <v>210</v>
      </c>
      <c r="EN1596" s="314">
        <v>4</v>
      </c>
      <c r="EO1596" s="24"/>
      <c r="EP1596" s="24"/>
    </row>
    <row r="1597" spans="139:146" x14ac:dyDescent="0.4">
      <c r="EI1597" s="314">
        <v>2021</v>
      </c>
      <c r="EJ1597" s="314">
        <v>45</v>
      </c>
      <c r="EK1597" s="314" t="s">
        <v>208</v>
      </c>
      <c r="EL1597" s="314" t="s">
        <v>209</v>
      </c>
      <c r="EM1597" s="314" t="s">
        <v>215</v>
      </c>
      <c r="EN1597" s="314">
        <v>1</v>
      </c>
      <c r="EO1597" s="24"/>
      <c r="EP1597" s="24"/>
    </row>
    <row r="1598" spans="139:146" x14ac:dyDescent="0.4">
      <c r="EI1598" s="314">
        <v>2021</v>
      </c>
      <c r="EJ1598" s="314">
        <v>45</v>
      </c>
      <c r="EK1598" s="314" t="s">
        <v>208</v>
      </c>
      <c r="EL1598" s="314" t="s">
        <v>247</v>
      </c>
      <c r="EM1598" s="314" t="s">
        <v>210</v>
      </c>
      <c r="EN1598" s="314">
        <v>1</v>
      </c>
      <c r="EO1598" s="24"/>
      <c r="EP1598" s="24"/>
    </row>
    <row r="1599" spans="139:146" x14ac:dyDescent="0.4">
      <c r="EI1599" s="314">
        <v>2021</v>
      </c>
      <c r="EJ1599" s="314">
        <v>45</v>
      </c>
      <c r="EK1599" s="314" t="s">
        <v>208</v>
      </c>
      <c r="EL1599" s="314" t="s">
        <v>245</v>
      </c>
      <c r="EM1599" s="314" t="s">
        <v>210</v>
      </c>
      <c r="EN1599" s="314">
        <v>4</v>
      </c>
      <c r="EO1599" s="24"/>
      <c r="EP1599" s="24"/>
    </row>
    <row r="1600" spans="139:146" x14ac:dyDescent="0.4">
      <c r="EI1600" s="314">
        <v>2021</v>
      </c>
      <c r="EJ1600" s="314">
        <v>45</v>
      </c>
      <c r="EK1600" s="314" t="s">
        <v>33</v>
      </c>
      <c r="EL1600" s="314" t="s">
        <v>244</v>
      </c>
      <c r="EM1600" s="314" t="s">
        <v>210</v>
      </c>
      <c r="EN1600" s="314">
        <v>14</v>
      </c>
      <c r="EO1600" s="24"/>
      <c r="EP1600" s="24"/>
    </row>
    <row r="1601" spans="139:146" x14ac:dyDescent="0.4">
      <c r="EI1601" s="314">
        <v>2021</v>
      </c>
      <c r="EJ1601" s="314">
        <v>45</v>
      </c>
      <c r="EK1601" s="314" t="s">
        <v>33</v>
      </c>
      <c r="EL1601" s="314" t="s">
        <v>235</v>
      </c>
      <c r="EM1601" s="314" t="s">
        <v>210</v>
      </c>
      <c r="EN1601" s="314">
        <v>3</v>
      </c>
      <c r="EO1601" s="24"/>
      <c r="EP1601" s="24"/>
    </row>
    <row r="1602" spans="139:146" x14ac:dyDescent="0.4">
      <c r="EI1602" s="314">
        <v>2021</v>
      </c>
      <c r="EJ1602" s="314">
        <v>45</v>
      </c>
      <c r="EK1602" s="314" t="s">
        <v>33</v>
      </c>
      <c r="EL1602" s="314" t="s">
        <v>235</v>
      </c>
      <c r="EM1602" s="314" t="s">
        <v>215</v>
      </c>
      <c r="EN1602" s="314">
        <v>48</v>
      </c>
      <c r="EO1602" s="24"/>
      <c r="EP1602" s="24"/>
    </row>
    <row r="1603" spans="139:146" x14ac:dyDescent="0.4">
      <c r="EI1603" s="314">
        <v>2021</v>
      </c>
      <c r="EJ1603" s="314">
        <v>45</v>
      </c>
      <c r="EK1603" s="314" t="s">
        <v>211</v>
      </c>
      <c r="EL1603" s="314" t="s">
        <v>212</v>
      </c>
      <c r="EM1603" s="314" t="s">
        <v>210</v>
      </c>
      <c r="EN1603" s="314">
        <v>15</v>
      </c>
      <c r="EO1603" s="24"/>
      <c r="EP1603" s="24"/>
    </row>
    <row r="1604" spans="139:146" x14ac:dyDescent="0.4">
      <c r="EI1604" s="314">
        <v>2021</v>
      </c>
      <c r="EJ1604" s="314">
        <v>45</v>
      </c>
      <c r="EK1604" s="314" t="s">
        <v>211</v>
      </c>
      <c r="EL1604" s="314" t="s">
        <v>212</v>
      </c>
      <c r="EM1604" s="314" t="s">
        <v>234</v>
      </c>
      <c r="EN1604" s="314">
        <v>3</v>
      </c>
      <c r="EO1604" s="24"/>
      <c r="EP1604" s="24"/>
    </row>
    <row r="1605" spans="139:146" x14ac:dyDescent="0.4">
      <c r="EI1605" s="314">
        <v>2021</v>
      </c>
      <c r="EJ1605" s="314">
        <v>45</v>
      </c>
      <c r="EK1605" s="314" t="s">
        <v>211</v>
      </c>
      <c r="EL1605" s="314" t="s">
        <v>247</v>
      </c>
      <c r="EM1605" s="314" t="s">
        <v>234</v>
      </c>
      <c r="EN1605" s="314">
        <v>4</v>
      </c>
      <c r="EO1605" s="24"/>
      <c r="EP1605" s="24"/>
    </row>
    <row r="1606" spans="139:146" x14ac:dyDescent="0.4">
      <c r="EI1606" s="314">
        <v>2021</v>
      </c>
      <c r="EJ1606" s="314">
        <v>45</v>
      </c>
      <c r="EK1606" s="314" t="s">
        <v>213</v>
      </c>
      <c r="EL1606" s="314" t="s">
        <v>214</v>
      </c>
      <c r="EM1606" s="314" t="s">
        <v>215</v>
      </c>
      <c r="EN1606" s="314">
        <v>17</v>
      </c>
      <c r="EO1606" s="24"/>
      <c r="EP1606" s="24"/>
    </row>
    <row r="1607" spans="139:146" x14ac:dyDescent="0.4">
      <c r="EI1607" s="314">
        <v>2021</v>
      </c>
      <c r="EJ1607" s="314">
        <v>44</v>
      </c>
      <c r="EK1607" s="314" t="s">
        <v>208</v>
      </c>
      <c r="EL1607" s="314" t="s">
        <v>351</v>
      </c>
      <c r="EM1607" s="314" t="s">
        <v>210</v>
      </c>
      <c r="EN1607" s="314">
        <v>19</v>
      </c>
      <c r="EO1607" s="24"/>
      <c r="EP1607" s="24"/>
    </row>
    <row r="1608" spans="139:146" x14ac:dyDescent="0.4">
      <c r="EI1608" s="314">
        <v>2021</v>
      </c>
      <c r="EJ1608" s="314">
        <v>44</v>
      </c>
      <c r="EK1608" s="314" t="s">
        <v>208</v>
      </c>
      <c r="EL1608" s="314" t="s">
        <v>236</v>
      </c>
      <c r="EM1608" s="314" t="s">
        <v>215</v>
      </c>
      <c r="EN1608" s="314">
        <v>1</v>
      </c>
      <c r="EO1608" s="24"/>
      <c r="EP1608" s="24"/>
    </row>
    <row r="1609" spans="139:146" x14ac:dyDescent="0.4">
      <c r="EI1609" s="314">
        <v>2021</v>
      </c>
      <c r="EJ1609" s="314">
        <v>44</v>
      </c>
      <c r="EK1609" s="314" t="s">
        <v>208</v>
      </c>
      <c r="EL1609" s="314" t="s">
        <v>235</v>
      </c>
      <c r="EM1609" s="314" t="s">
        <v>210</v>
      </c>
      <c r="EN1609" s="314">
        <v>21</v>
      </c>
      <c r="EO1609" s="24"/>
      <c r="EP1609" s="24"/>
    </row>
    <row r="1610" spans="139:146" x14ac:dyDescent="0.4">
      <c r="EI1610" s="314">
        <v>2021</v>
      </c>
      <c r="EJ1610" s="314">
        <v>44</v>
      </c>
      <c r="EK1610" s="314" t="s">
        <v>208</v>
      </c>
      <c r="EL1610" s="314" t="s">
        <v>235</v>
      </c>
      <c r="EM1610" s="314" t="s">
        <v>234</v>
      </c>
      <c r="EN1610" s="314">
        <v>3</v>
      </c>
      <c r="EO1610" s="24"/>
      <c r="EP1610" s="24"/>
    </row>
    <row r="1611" spans="139:146" x14ac:dyDescent="0.4">
      <c r="EI1611" s="314">
        <v>2021</v>
      </c>
      <c r="EJ1611" s="314">
        <v>44</v>
      </c>
      <c r="EK1611" s="314" t="s">
        <v>208</v>
      </c>
      <c r="EL1611" s="314" t="s">
        <v>235</v>
      </c>
      <c r="EM1611" s="314" t="s">
        <v>215</v>
      </c>
      <c r="EN1611" s="314">
        <v>22</v>
      </c>
      <c r="EO1611" s="24"/>
      <c r="EP1611" s="24"/>
    </row>
    <row r="1612" spans="139:146" x14ac:dyDescent="0.4">
      <c r="EI1612" s="314">
        <v>2021</v>
      </c>
      <c r="EJ1612" s="314">
        <v>44</v>
      </c>
      <c r="EK1612" s="314" t="s">
        <v>208</v>
      </c>
      <c r="EL1612" s="314" t="s">
        <v>209</v>
      </c>
      <c r="EM1612" s="314" t="s">
        <v>210</v>
      </c>
      <c r="EN1612" s="314">
        <v>2</v>
      </c>
      <c r="EO1612" s="24"/>
      <c r="EP1612" s="24"/>
    </row>
    <row r="1613" spans="139:146" x14ac:dyDescent="0.4">
      <c r="EI1613" s="314">
        <v>2021</v>
      </c>
      <c r="EJ1613" s="314">
        <v>44</v>
      </c>
      <c r="EK1613" s="314" t="s">
        <v>208</v>
      </c>
      <c r="EL1613" s="314" t="s">
        <v>209</v>
      </c>
      <c r="EM1613" s="314" t="s">
        <v>215</v>
      </c>
      <c r="EN1613" s="314">
        <v>1</v>
      </c>
      <c r="EO1613" s="24"/>
      <c r="EP1613" s="24"/>
    </row>
    <row r="1614" spans="139:146" x14ac:dyDescent="0.4">
      <c r="EI1614" s="314">
        <v>2021</v>
      </c>
      <c r="EJ1614" s="314">
        <v>44</v>
      </c>
      <c r="EK1614" s="314" t="s">
        <v>208</v>
      </c>
      <c r="EL1614" s="314" t="s">
        <v>247</v>
      </c>
      <c r="EM1614" s="314" t="s">
        <v>210</v>
      </c>
      <c r="EN1614" s="314">
        <v>1</v>
      </c>
      <c r="EO1614" s="24"/>
      <c r="EP1614" s="24"/>
    </row>
    <row r="1615" spans="139:146" x14ac:dyDescent="0.4">
      <c r="EI1615" s="314">
        <v>2021</v>
      </c>
      <c r="EJ1615" s="314">
        <v>44</v>
      </c>
      <c r="EK1615" s="314" t="s">
        <v>208</v>
      </c>
      <c r="EL1615" s="314" t="s">
        <v>245</v>
      </c>
      <c r="EM1615" s="314" t="s">
        <v>210</v>
      </c>
      <c r="EN1615" s="314">
        <v>1</v>
      </c>
      <c r="EO1615" s="24"/>
      <c r="EP1615" s="24"/>
    </row>
    <row r="1616" spans="139:146" x14ac:dyDescent="0.4">
      <c r="EI1616" s="314">
        <v>2021</v>
      </c>
      <c r="EJ1616" s="314">
        <v>44</v>
      </c>
      <c r="EK1616" s="314" t="s">
        <v>208</v>
      </c>
      <c r="EL1616" s="314" t="s">
        <v>410</v>
      </c>
      <c r="EM1616" s="314" t="s">
        <v>210</v>
      </c>
      <c r="EN1616" s="314">
        <v>1</v>
      </c>
      <c r="EO1616" s="24"/>
      <c r="EP1616" s="24"/>
    </row>
    <row r="1617" spans="139:146" x14ac:dyDescent="0.4">
      <c r="EI1617" s="314">
        <v>2021</v>
      </c>
      <c r="EJ1617" s="314">
        <v>44</v>
      </c>
      <c r="EK1617" s="314" t="s">
        <v>33</v>
      </c>
      <c r="EL1617" s="314" t="s">
        <v>235</v>
      </c>
      <c r="EM1617" s="314" t="s">
        <v>210</v>
      </c>
      <c r="EN1617" s="314">
        <v>1</v>
      </c>
      <c r="EO1617" s="24"/>
      <c r="EP1617" s="24"/>
    </row>
    <row r="1618" spans="139:146" x14ac:dyDescent="0.4">
      <c r="EI1618" s="314">
        <v>2021</v>
      </c>
      <c r="EJ1618" s="314">
        <v>44</v>
      </c>
      <c r="EK1618" s="314" t="s">
        <v>237</v>
      </c>
      <c r="EL1618" s="314" t="s">
        <v>235</v>
      </c>
      <c r="EM1618" s="314" t="s">
        <v>234</v>
      </c>
      <c r="EN1618" s="314">
        <v>2</v>
      </c>
      <c r="EO1618" s="24"/>
      <c r="EP1618" s="24"/>
    </row>
    <row r="1619" spans="139:146" x14ac:dyDescent="0.4">
      <c r="EI1619" s="314">
        <v>2021</v>
      </c>
      <c r="EJ1619" s="314">
        <v>44</v>
      </c>
      <c r="EK1619" s="314" t="s">
        <v>211</v>
      </c>
      <c r="EL1619" s="314" t="s">
        <v>212</v>
      </c>
      <c r="EM1619" s="314" t="s">
        <v>210</v>
      </c>
      <c r="EN1619" s="314">
        <v>8</v>
      </c>
      <c r="EO1619" s="24"/>
      <c r="EP1619" s="24"/>
    </row>
    <row r="1620" spans="139:146" x14ac:dyDescent="0.4">
      <c r="EI1620" s="314">
        <v>2021</v>
      </c>
      <c r="EJ1620" s="314">
        <v>44</v>
      </c>
      <c r="EK1620" s="314" t="s">
        <v>211</v>
      </c>
      <c r="EL1620" s="314" t="s">
        <v>212</v>
      </c>
      <c r="EM1620" s="314" t="s">
        <v>234</v>
      </c>
      <c r="EN1620" s="314">
        <v>2</v>
      </c>
      <c r="EO1620" s="24"/>
      <c r="EP1620" s="24"/>
    </row>
    <row r="1621" spans="139:146" x14ac:dyDescent="0.4">
      <c r="EI1621" s="24">
        <v>2021</v>
      </c>
      <c r="EJ1621" s="24">
        <v>44</v>
      </c>
      <c r="EK1621" s="24" t="s">
        <v>211</v>
      </c>
      <c r="EL1621" s="24" t="s">
        <v>247</v>
      </c>
      <c r="EM1621" s="24" t="s">
        <v>210</v>
      </c>
      <c r="EN1621" s="24">
        <v>2</v>
      </c>
      <c r="EO1621" s="24"/>
      <c r="EP1621" s="24"/>
    </row>
    <row r="1622" spans="139:146" x14ac:dyDescent="0.4">
      <c r="EI1622" s="24">
        <v>2021</v>
      </c>
      <c r="EJ1622" s="24">
        <v>44</v>
      </c>
      <c r="EK1622" s="24" t="s">
        <v>211</v>
      </c>
      <c r="EL1622" s="24" t="s">
        <v>247</v>
      </c>
      <c r="EM1622" s="24" t="s">
        <v>234</v>
      </c>
      <c r="EN1622" s="24">
        <v>2</v>
      </c>
      <c r="EO1622" s="24"/>
      <c r="EP1622" s="24"/>
    </row>
    <row r="1623" spans="139:146" x14ac:dyDescent="0.4">
      <c r="EI1623" s="24">
        <v>2021</v>
      </c>
      <c r="EJ1623" s="24">
        <v>44</v>
      </c>
      <c r="EK1623" s="24" t="s">
        <v>213</v>
      </c>
      <c r="EL1623" s="24" t="s">
        <v>214</v>
      </c>
      <c r="EM1623" s="24" t="s">
        <v>215</v>
      </c>
      <c r="EN1623" s="24">
        <v>4</v>
      </c>
      <c r="EO1623" s="24"/>
      <c r="EP1623" s="24"/>
    </row>
    <row r="1624" spans="139:146" x14ac:dyDescent="0.4">
      <c r="EI1624" s="24">
        <v>2021</v>
      </c>
      <c r="EJ1624" s="24">
        <v>43</v>
      </c>
      <c r="EK1624" s="24" t="s">
        <v>208</v>
      </c>
      <c r="EL1624" s="24" t="s">
        <v>351</v>
      </c>
      <c r="EM1624" s="24" t="s">
        <v>210</v>
      </c>
      <c r="EN1624" s="24">
        <v>11</v>
      </c>
      <c r="EO1624" s="24"/>
      <c r="EP1624" s="24"/>
    </row>
    <row r="1625" spans="139:146" x14ac:dyDescent="0.4">
      <c r="EI1625" s="24">
        <v>2021</v>
      </c>
      <c r="EJ1625" s="24">
        <v>43</v>
      </c>
      <c r="EK1625" s="24" t="s">
        <v>208</v>
      </c>
      <c r="EL1625" s="24" t="s">
        <v>235</v>
      </c>
      <c r="EM1625" s="24" t="s">
        <v>210</v>
      </c>
      <c r="EN1625" s="24">
        <v>9</v>
      </c>
      <c r="EO1625" s="24"/>
      <c r="EP1625" s="24"/>
    </row>
    <row r="1626" spans="139:146" x14ac:dyDescent="0.4">
      <c r="EI1626" s="24">
        <v>2021</v>
      </c>
      <c r="EJ1626" s="24">
        <v>43</v>
      </c>
      <c r="EK1626" s="24" t="s">
        <v>208</v>
      </c>
      <c r="EL1626" s="24" t="s">
        <v>235</v>
      </c>
      <c r="EM1626" s="24" t="s">
        <v>215</v>
      </c>
      <c r="EN1626" s="24">
        <v>12</v>
      </c>
      <c r="EO1626" s="24"/>
      <c r="EP1626" s="24"/>
    </row>
    <row r="1627" spans="139:146" x14ac:dyDescent="0.4">
      <c r="EI1627" s="24">
        <v>2021</v>
      </c>
      <c r="EJ1627" s="24">
        <v>43</v>
      </c>
      <c r="EK1627" s="24" t="s">
        <v>208</v>
      </c>
      <c r="EL1627" s="24" t="s">
        <v>209</v>
      </c>
      <c r="EM1627" s="24" t="s">
        <v>215</v>
      </c>
      <c r="EN1627" s="24">
        <v>1</v>
      </c>
      <c r="EO1627" s="24"/>
      <c r="EP1627" s="24"/>
    </row>
    <row r="1628" spans="139:146" x14ac:dyDescent="0.4">
      <c r="EI1628" s="24">
        <v>2021</v>
      </c>
      <c r="EJ1628" s="24">
        <v>43</v>
      </c>
      <c r="EK1628" s="24" t="s">
        <v>208</v>
      </c>
      <c r="EL1628" s="24" t="s">
        <v>245</v>
      </c>
      <c r="EM1628" s="24" t="s">
        <v>210</v>
      </c>
      <c r="EN1628" s="24">
        <v>1</v>
      </c>
      <c r="EO1628" s="24"/>
      <c r="EP1628" s="24"/>
    </row>
    <row r="1629" spans="139:146" x14ac:dyDescent="0.4">
      <c r="EI1629" s="24">
        <v>2021</v>
      </c>
      <c r="EJ1629" s="24">
        <v>43</v>
      </c>
      <c r="EK1629" s="24" t="s">
        <v>33</v>
      </c>
      <c r="EL1629" s="24" t="s">
        <v>244</v>
      </c>
      <c r="EM1629" s="24" t="s">
        <v>210</v>
      </c>
      <c r="EN1629" s="24">
        <v>6</v>
      </c>
      <c r="EO1629" s="24"/>
      <c r="EP1629" s="24"/>
    </row>
    <row r="1630" spans="139:146" x14ac:dyDescent="0.4">
      <c r="EI1630" s="24">
        <v>2021</v>
      </c>
      <c r="EJ1630" s="24">
        <v>43</v>
      </c>
      <c r="EK1630" s="24" t="s">
        <v>33</v>
      </c>
      <c r="EL1630" s="24" t="s">
        <v>238</v>
      </c>
      <c r="EM1630" s="24" t="s">
        <v>215</v>
      </c>
      <c r="EN1630" s="24">
        <v>30</v>
      </c>
      <c r="EO1630" s="24"/>
      <c r="EP1630" s="24"/>
    </row>
    <row r="1631" spans="139:146" x14ac:dyDescent="0.4">
      <c r="EI1631" s="24">
        <v>2021</v>
      </c>
      <c r="EJ1631" s="24">
        <v>43</v>
      </c>
      <c r="EK1631" s="24" t="s">
        <v>33</v>
      </c>
      <c r="EL1631" s="24" t="s">
        <v>247</v>
      </c>
      <c r="EM1631" s="24" t="s">
        <v>215</v>
      </c>
      <c r="EN1631" s="24">
        <v>2</v>
      </c>
      <c r="EO1631" s="24"/>
      <c r="EP1631" s="24"/>
    </row>
    <row r="1632" spans="139:146" x14ac:dyDescent="0.4">
      <c r="EI1632" s="24">
        <v>2021</v>
      </c>
      <c r="EJ1632" s="24">
        <v>43</v>
      </c>
      <c r="EK1632" s="24" t="s">
        <v>211</v>
      </c>
      <c r="EL1632" s="24" t="s">
        <v>232</v>
      </c>
      <c r="EM1632" s="24" t="s">
        <v>234</v>
      </c>
      <c r="EN1632" s="24">
        <v>3</v>
      </c>
      <c r="EO1632" s="24"/>
      <c r="EP1632" s="24"/>
    </row>
    <row r="1633" spans="139:146" x14ac:dyDescent="0.4">
      <c r="EI1633" s="24">
        <v>2021</v>
      </c>
      <c r="EJ1633" s="24">
        <v>43</v>
      </c>
      <c r="EK1633" s="24" t="s">
        <v>211</v>
      </c>
      <c r="EL1633" s="24" t="s">
        <v>212</v>
      </c>
      <c r="EM1633" s="24" t="s">
        <v>210</v>
      </c>
      <c r="EN1633" s="24">
        <v>10</v>
      </c>
      <c r="EO1633" s="24"/>
      <c r="EP1633" s="24"/>
    </row>
    <row r="1634" spans="139:146" x14ac:dyDescent="0.4">
      <c r="EI1634" s="24">
        <v>2021</v>
      </c>
      <c r="EJ1634" s="24">
        <v>43</v>
      </c>
      <c r="EK1634" s="24" t="s">
        <v>211</v>
      </c>
      <c r="EL1634" s="24" t="s">
        <v>212</v>
      </c>
      <c r="EM1634" s="24" t="s">
        <v>234</v>
      </c>
      <c r="EN1634" s="24">
        <v>2</v>
      </c>
      <c r="EO1634" s="24"/>
      <c r="EP1634" s="24"/>
    </row>
    <row r="1635" spans="139:146" x14ac:dyDescent="0.4">
      <c r="EI1635" s="24">
        <v>2021</v>
      </c>
      <c r="EJ1635" s="24">
        <v>43</v>
      </c>
      <c r="EK1635" s="24" t="s">
        <v>211</v>
      </c>
      <c r="EL1635" s="24" t="s">
        <v>247</v>
      </c>
      <c r="EM1635" s="24" t="s">
        <v>234</v>
      </c>
      <c r="EN1635" s="24">
        <v>6</v>
      </c>
      <c r="EO1635" s="24"/>
      <c r="EP1635" s="24"/>
    </row>
    <row r="1636" spans="139:146" x14ac:dyDescent="0.4">
      <c r="EI1636" s="24">
        <v>2021</v>
      </c>
      <c r="EJ1636" s="24">
        <v>43</v>
      </c>
      <c r="EK1636" s="24" t="s">
        <v>213</v>
      </c>
      <c r="EL1636" s="24" t="s">
        <v>214</v>
      </c>
      <c r="EM1636" s="24" t="s">
        <v>215</v>
      </c>
      <c r="EN1636" s="24">
        <v>16</v>
      </c>
      <c r="EO1636" s="24"/>
      <c r="EP1636" s="24"/>
    </row>
    <row r="1637" spans="139:146" x14ac:dyDescent="0.4">
      <c r="EI1637" s="24">
        <v>2021</v>
      </c>
      <c r="EJ1637" s="24">
        <v>42</v>
      </c>
      <c r="EK1637" s="24" t="s">
        <v>208</v>
      </c>
      <c r="EL1637" s="24" t="s">
        <v>352</v>
      </c>
      <c r="EM1637" s="24" t="s">
        <v>210</v>
      </c>
      <c r="EN1637" s="24">
        <v>2</v>
      </c>
      <c r="EO1637" s="24"/>
      <c r="EP1637" s="24"/>
    </row>
    <row r="1638" spans="139:146" x14ac:dyDescent="0.4">
      <c r="EI1638" s="24">
        <v>2021</v>
      </c>
      <c r="EJ1638" s="24">
        <v>42</v>
      </c>
      <c r="EK1638" s="24" t="s">
        <v>208</v>
      </c>
      <c r="EL1638" s="24" t="s">
        <v>351</v>
      </c>
      <c r="EM1638" s="24" t="s">
        <v>210</v>
      </c>
      <c r="EN1638" s="24">
        <v>15</v>
      </c>
      <c r="EO1638" s="24"/>
      <c r="EP1638" s="24"/>
    </row>
    <row r="1639" spans="139:146" x14ac:dyDescent="0.4">
      <c r="EI1639" s="24">
        <v>2021</v>
      </c>
      <c r="EJ1639" s="24">
        <v>42</v>
      </c>
      <c r="EK1639" s="24" t="s">
        <v>208</v>
      </c>
      <c r="EL1639" s="24" t="s">
        <v>236</v>
      </c>
      <c r="EM1639" s="24" t="s">
        <v>210</v>
      </c>
      <c r="EN1639" s="24">
        <v>1</v>
      </c>
      <c r="EO1639" s="24"/>
      <c r="EP1639" s="24"/>
    </row>
    <row r="1640" spans="139:146" x14ac:dyDescent="0.4">
      <c r="EI1640" s="24">
        <v>2021</v>
      </c>
      <c r="EJ1640" s="24">
        <v>42</v>
      </c>
      <c r="EK1640" s="24" t="s">
        <v>208</v>
      </c>
      <c r="EL1640" s="24" t="s">
        <v>235</v>
      </c>
      <c r="EM1640" s="24" t="s">
        <v>210</v>
      </c>
      <c r="EN1640" s="24">
        <v>23</v>
      </c>
      <c r="EO1640" s="24"/>
      <c r="EP1640" s="24"/>
    </row>
    <row r="1641" spans="139:146" x14ac:dyDescent="0.4">
      <c r="EI1641" s="315">
        <v>2021</v>
      </c>
      <c r="EJ1641" s="315">
        <v>42</v>
      </c>
      <c r="EK1641" s="315" t="s">
        <v>208</v>
      </c>
      <c r="EL1641" s="315" t="s">
        <v>235</v>
      </c>
      <c r="EM1641" s="315" t="s">
        <v>234</v>
      </c>
      <c r="EN1641" s="315">
        <v>1</v>
      </c>
      <c r="EO1641" s="24"/>
      <c r="EP1641" s="24"/>
    </row>
    <row r="1642" spans="139:146" x14ac:dyDescent="0.4">
      <c r="EI1642" s="315">
        <v>2021</v>
      </c>
      <c r="EJ1642" s="315">
        <v>42</v>
      </c>
      <c r="EK1642" s="315" t="s">
        <v>208</v>
      </c>
      <c r="EL1642" s="315" t="s">
        <v>235</v>
      </c>
      <c r="EM1642" s="315" t="s">
        <v>215</v>
      </c>
      <c r="EN1642" s="315">
        <v>11</v>
      </c>
      <c r="EO1642" s="24"/>
      <c r="EP1642" s="24"/>
    </row>
    <row r="1643" spans="139:146" x14ac:dyDescent="0.4">
      <c r="EI1643" s="315">
        <v>2021</v>
      </c>
      <c r="EJ1643" s="315">
        <v>42</v>
      </c>
      <c r="EK1643" s="315" t="s">
        <v>208</v>
      </c>
      <c r="EL1643" s="315" t="s">
        <v>209</v>
      </c>
      <c r="EM1643" s="315" t="s">
        <v>234</v>
      </c>
      <c r="EN1643" s="315">
        <v>1</v>
      </c>
      <c r="EO1643" s="24"/>
      <c r="EP1643" s="24"/>
    </row>
    <row r="1644" spans="139:146" x14ac:dyDescent="0.4">
      <c r="EI1644" s="315">
        <v>2021</v>
      </c>
      <c r="EJ1644" s="315">
        <v>42</v>
      </c>
      <c r="EK1644" s="315" t="s">
        <v>208</v>
      </c>
      <c r="EL1644" s="315" t="s">
        <v>247</v>
      </c>
      <c r="EM1644" s="315" t="s">
        <v>215</v>
      </c>
      <c r="EN1644" s="315">
        <v>1</v>
      </c>
      <c r="EO1644" s="24"/>
      <c r="EP1644" s="24"/>
    </row>
    <row r="1645" spans="139:146" x14ac:dyDescent="0.4">
      <c r="EI1645" s="315">
        <v>2021</v>
      </c>
      <c r="EJ1645" s="315">
        <v>42</v>
      </c>
      <c r="EK1645" s="315" t="s">
        <v>208</v>
      </c>
      <c r="EL1645" s="315" t="s">
        <v>245</v>
      </c>
      <c r="EM1645" s="315" t="s">
        <v>234</v>
      </c>
      <c r="EN1645" s="315">
        <v>1</v>
      </c>
      <c r="EO1645" s="24"/>
      <c r="EP1645" s="24"/>
    </row>
    <row r="1646" spans="139:146" x14ac:dyDescent="0.4">
      <c r="EI1646" s="315">
        <v>2021</v>
      </c>
      <c r="EJ1646" s="315">
        <v>42</v>
      </c>
      <c r="EK1646" s="315" t="s">
        <v>33</v>
      </c>
      <c r="EL1646" s="315" t="s">
        <v>233</v>
      </c>
      <c r="EM1646" s="315" t="s">
        <v>210</v>
      </c>
      <c r="EN1646" s="315">
        <v>6</v>
      </c>
      <c r="EO1646" s="24"/>
      <c r="EP1646" s="24"/>
    </row>
    <row r="1647" spans="139:146" x14ac:dyDescent="0.4">
      <c r="EI1647" s="315">
        <v>2021</v>
      </c>
      <c r="EJ1647" s="315">
        <v>42</v>
      </c>
      <c r="EK1647" s="315" t="s">
        <v>33</v>
      </c>
      <c r="EL1647" s="315" t="s">
        <v>233</v>
      </c>
      <c r="EM1647" s="315" t="s">
        <v>215</v>
      </c>
      <c r="EN1647" s="315">
        <v>35</v>
      </c>
      <c r="EO1647" s="24"/>
      <c r="EP1647" s="24"/>
    </row>
    <row r="1648" spans="139:146" x14ac:dyDescent="0.4">
      <c r="EI1648" s="315">
        <v>2021</v>
      </c>
      <c r="EJ1648" s="315">
        <v>42</v>
      </c>
      <c r="EK1648" s="315" t="s">
        <v>33</v>
      </c>
      <c r="EL1648" s="315" t="s">
        <v>244</v>
      </c>
      <c r="EM1648" s="315" t="s">
        <v>210</v>
      </c>
      <c r="EN1648" s="315">
        <v>1</v>
      </c>
      <c r="EO1648" s="24"/>
      <c r="EP1648" s="24"/>
    </row>
    <row r="1649" spans="139:146" x14ac:dyDescent="0.4">
      <c r="EI1649" s="315">
        <v>2021</v>
      </c>
      <c r="EJ1649" s="315">
        <v>42</v>
      </c>
      <c r="EK1649" s="315" t="s">
        <v>33</v>
      </c>
      <c r="EL1649" s="315" t="s">
        <v>236</v>
      </c>
      <c r="EM1649" s="315" t="s">
        <v>215</v>
      </c>
      <c r="EN1649" s="315">
        <v>1</v>
      </c>
      <c r="EO1649" s="24"/>
      <c r="EP1649" s="24"/>
    </row>
    <row r="1650" spans="139:146" x14ac:dyDescent="0.4">
      <c r="EI1650" s="315">
        <v>2021</v>
      </c>
      <c r="EJ1650" s="315">
        <v>42</v>
      </c>
      <c r="EK1650" s="315" t="s">
        <v>33</v>
      </c>
      <c r="EL1650" s="315" t="s">
        <v>247</v>
      </c>
      <c r="EM1650" s="315" t="s">
        <v>215</v>
      </c>
      <c r="EN1650" s="315">
        <v>12</v>
      </c>
      <c r="EO1650" s="24"/>
      <c r="EP1650" s="24"/>
    </row>
    <row r="1651" spans="139:146" x14ac:dyDescent="0.4">
      <c r="EI1651" s="315">
        <v>2021</v>
      </c>
      <c r="EJ1651" s="315">
        <v>42</v>
      </c>
      <c r="EK1651" s="315" t="s">
        <v>211</v>
      </c>
      <c r="EL1651" s="315" t="s">
        <v>232</v>
      </c>
      <c r="EM1651" s="315" t="s">
        <v>234</v>
      </c>
      <c r="EN1651" s="315">
        <v>3</v>
      </c>
      <c r="EO1651" s="24"/>
      <c r="EP1651" s="24"/>
    </row>
    <row r="1652" spans="139:146" x14ac:dyDescent="0.4">
      <c r="EI1652" s="315">
        <v>2021</v>
      </c>
      <c r="EJ1652" s="315">
        <v>42</v>
      </c>
      <c r="EK1652" s="315" t="s">
        <v>211</v>
      </c>
      <c r="EL1652" s="315" t="s">
        <v>212</v>
      </c>
      <c r="EM1652" s="315" t="s">
        <v>210</v>
      </c>
      <c r="EN1652" s="315">
        <v>5</v>
      </c>
      <c r="EO1652" s="24"/>
      <c r="EP1652" s="24"/>
    </row>
    <row r="1653" spans="139:146" x14ac:dyDescent="0.4">
      <c r="EI1653" s="315">
        <v>2021</v>
      </c>
      <c r="EJ1653" s="315">
        <v>42</v>
      </c>
      <c r="EK1653" s="315" t="s">
        <v>211</v>
      </c>
      <c r="EL1653" s="315" t="s">
        <v>212</v>
      </c>
      <c r="EM1653" s="315" t="s">
        <v>234</v>
      </c>
      <c r="EN1653" s="315">
        <v>2</v>
      </c>
      <c r="EO1653" s="24"/>
      <c r="EP1653" s="24"/>
    </row>
    <row r="1654" spans="139:146" x14ac:dyDescent="0.4">
      <c r="EI1654" s="315">
        <v>2021</v>
      </c>
      <c r="EJ1654" s="315">
        <v>42</v>
      </c>
      <c r="EK1654" s="315" t="s">
        <v>211</v>
      </c>
      <c r="EL1654" s="315" t="s">
        <v>247</v>
      </c>
      <c r="EM1654" s="315" t="s">
        <v>210</v>
      </c>
      <c r="EN1654" s="315">
        <v>4</v>
      </c>
      <c r="EO1654" s="24"/>
      <c r="EP1654" s="24"/>
    </row>
    <row r="1655" spans="139:146" x14ac:dyDescent="0.4">
      <c r="EI1655" s="315">
        <v>2021</v>
      </c>
      <c r="EJ1655" s="315">
        <v>42</v>
      </c>
      <c r="EK1655" s="315" t="s">
        <v>213</v>
      </c>
      <c r="EL1655" s="315" t="s">
        <v>214</v>
      </c>
      <c r="EM1655" s="315" t="s">
        <v>215</v>
      </c>
      <c r="EN1655" s="315">
        <v>4</v>
      </c>
      <c r="EO1655" s="24"/>
      <c r="EP1655" s="24"/>
    </row>
    <row r="1656" spans="139:146" x14ac:dyDescent="0.4">
      <c r="EI1656" s="24">
        <v>2021</v>
      </c>
      <c r="EJ1656" s="24">
        <v>41</v>
      </c>
      <c r="EK1656" s="24" t="s">
        <v>208</v>
      </c>
      <c r="EL1656" s="24" t="s">
        <v>352</v>
      </c>
      <c r="EM1656" s="24" t="s">
        <v>210</v>
      </c>
      <c r="EN1656" s="24">
        <v>1</v>
      </c>
      <c r="EO1656" s="24"/>
      <c r="EP1656" s="24"/>
    </row>
    <row r="1657" spans="139:146" x14ac:dyDescent="0.4">
      <c r="EI1657" s="24">
        <v>2021</v>
      </c>
      <c r="EJ1657" s="24">
        <v>41</v>
      </c>
      <c r="EK1657" s="24" t="s">
        <v>208</v>
      </c>
      <c r="EL1657" s="24" t="s">
        <v>351</v>
      </c>
      <c r="EM1657" s="24" t="s">
        <v>215</v>
      </c>
      <c r="EN1657" s="24">
        <v>11</v>
      </c>
      <c r="EO1657" s="24"/>
      <c r="EP1657" s="24"/>
    </row>
    <row r="1658" spans="139:146" x14ac:dyDescent="0.4">
      <c r="EI1658" s="24">
        <v>2021</v>
      </c>
      <c r="EJ1658" s="24">
        <v>41</v>
      </c>
      <c r="EK1658" s="24" t="s">
        <v>208</v>
      </c>
      <c r="EL1658" s="24" t="s">
        <v>235</v>
      </c>
      <c r="EM1658" s="24" t="s">
        <v>210</v>
      </c>
      <c r="EN1658" s="24">
        <v>12</v>
      </c>
      <c r="EO1658" s="24"/>
      <c r="EP1658" s="24"/>
    </row>
    <row r="1659" spans="139:146" x14ac:dyDescent="0.4">
      <c r="EI1659" s="24">
        <v>2021</v>
      </c>
      <c r="EJ1659" s="24">
        <v>41</v>
      </c>
      <c r="EK1659" s="24" t="s">
        <v>208</v>
      </c>
      <c r="EL1659" s="24" t="s">
        <v>235</v>
      </c>
      <c r="EM1659" s="24" t="s">
        <v>234</v>
      </c>
      <c r="EN1659" s="24">
        <v>1</v>
      </c>
      <c r="EO1659" s="24"/>
      <c r="EP1659" s="24"/>
    </row>
    <row r="1660" spans="139:146" x14ac:dyDescent="0.4">
      <c r="EI1660" s="24">
        <v>2021</v>
      </c>
      <c r="EJ1660" s="24">
        <v>41</v>
      </c>
      <c r="EK1660" s="24" t="s">
        <v>208</v>
      </c>
      <c r="EL1660" s="24" t="s">
        <v>235</v>
      </c>
      <c r="EM1660" s="24" t="s">
        <v>215</v>
      </c>
      <c r="EN1660" s="24">
        <v>20</v>
      </c>
      <c r="EO1660" s="24"/>
      <c r="EP1660" s="24"/>
    </row>
    <row r="1661" spans="139:146" x14ac:dyDescent="0.4">
      <c r="EI1661" s="24">
        <v>2021</v>
      </c>
      <c r="EJ1661" s="24">
        <v>41</v>
      </c>
      <c r="EK1661" s="24" t="s">
        <v>208</v>
      </c>
      <c r="EL1661" s="24" t="s">
        <v>209</v>
      </c>
      <c r="EM1661" s="24" t="s">
        <v>215</v>
      </c>
      <c r="EN1661" s="24">
        <v>1</v>
      </c>
      <c r="EO1661" s="24"/>
      <c r="EP1661" s="24"/>
    </row>
    <row r="1662" spans="139:146" x14ac:dyDescent="0.4">
      <c r="EI1662" s="24">
        <v>2021</v>
      </c>
      <c r="EJ1662" s="24">
        <v>41</v>
      </c>
      <c r="EK1662" s="24" t="s">
        <v>208</v>
      </c>
      <c r="EL1662" s="24" t="s">
        <v>245</v>
      </c>
      <c r="EM1662" s="24" t="s">
        <v>210</v>
      </c>
      <c r="EN1662" s="24">
        <v>1</v>
      </c>
      <c r="EO1662" s="24"/>
      <c r="EP1662" s="24"/>
    </row>
    <row r="1663" spans="139:146" x14ac:dyDescent="0.4">
      <c r="EI1663" s="24">
        <v>2021</v>
      </c>
      <c r="EJ1663" s="24">
        <v>41</v>
      </c>
      <c r="EK1663" s="24" t="s">
        <v>33</v>
      </c>
      <c r="EL1663" s="24" t="s">
        <v>244</v>
      </c>
      <c r="EM1663" s="24" t="s">
        <v>210</v>
      </c>
      <c r="EN1663" s="24">
        <v>9</v>
      </c>
      <c r="EO1663" s="24"/>
      <c r="EP1663" s="24"/>
    </row>
    <row r="1664" spans="139:146" x14ac:dyDescent="0.4">
      <c r="EI1664" s="24">
        <v>2021</v>
      </c>
      <c r="EJ1664" s="24">
        <v>41</v>
      </c>
      <c r="EK1664" s="24" t="s">
        <v>33</v>
      </c>
      <c r="EL1664" s="24" t="s">
        <v>235</v>
      </c>
      <c r="EM1664" s="24" t="s">
        <v>210</v>
      </c>
      <c r="EN1664" s="24">
        <v>19</v>
      </c>
      <c r="EO1664" s="24"/>
      <c r="EP1664" s="24"/>
    </row>
    <row r="1665" spans="139:146" x14ac:dyDescent="0.4">
      <c r="EI1665" s="24">
        <v>2021</v>
      </c>
      <c r="EJ1665" s="24">
        <v>41</v>
      </c>
      <c r="EK1665" s="24" t="s">
        <v>33</v>
      </c>
      <c r="EL1665" s="24" t="s">
        <v>247</v>
      </c>
      <c r="EM1665" s="24" t="s">
        <v>210</v>
      </c>
      <c r="EN1665" s="24">
        <v>87</v>
      </c>
      <c r="EO1665" s="24"/>
      <c r="EP1665" s="24"/>
    </row>
    <row r="1666" spans="139:146" x14ac:dyDescent="0.4">
      <c r="EI1666" s="24">
        <v>2021</v>
      </c>
      <c r="EJ1666" s="24">
        <v>41</v>
      </c>
      <c r="EK1666" s="24" t="s">
        <v>211</v>
      </c>
      <c r="EL1666" s="24" t="s">
        <v>232</v>
      </c>
      <c r="EM1666" s="24" t="s">
        <v>234</v>
      </c>
      <c r="EN1666" s="24">
        <v>6</v>
      </c>
      <c r="EO1666" s="24"/>
      <c r="EP1666" s="24"/>
    </row>
    <row r="1667" spans="139:146" x14ac:dyDescent="0.4">
      <c r="EI1667" s="24">
        <v>2021</v>
      </c>
      <c r="EJ1667" s="24">
        <v>41</v>
      </c>
      <c r="EK1667" s="24" t="s">
        <v>211</v>
      </c>
      <c r="EL1667" s="24" t="s">
        <v>212</v>
      </c>
      <c r="EM1667" s="24" t="s">
        <v>210</v>
      </c>
      <c r="EN1667" s="24">
        <v>12</v>
      </c>
      <c r="EO1667" s="24"/>
      <c r="EP1667" s="24"/>
    </row>
    <row r="1668" spans="139:146" x14ac:dyDescent="0.4">
      <c r="EI1668" s="24">
        <v>2021</v>
      </c>
      <c r="EJ1668" s="24">
        <v>41</v>
      </c>
      <c r="EK1668" s="24" t="s">
        <v>211</v>
      </c>
      <c r="EL1668" s="24" t="s">
        <v>212</v>
      </c>
      <c r="EM1668" s="24" t="s">
        <v>234</v>
      </c>
      <c r="EN1668" s="24">
        <v>1</v>
      </c>
      <c r="EO1668" s="24"/>
      <c r="EP1668" s="24"/>
    </row>
    <row r="1669" spans="139:146" x14ac:dyDescent="0.4">
      <c r="EI1669" s="24">
        <v>2021</v>
      </c>
      <c r="EJ1669" s="24">
        <v>41</v>
      </c>
      <c r="EK1669" s="24" t="s">
        <v>211</v>
      </c>
      <c r="EL1669" s="24" t="s">
        <v>247</v>
      </c>
      <c r="EM1669" s="24" t="s">
        <v>234</v>
      </c>
      <c r="EN1669" s="24">
        <v>12</v>
      </c>
      <c r="EO1669" s="24"/>
      <c r="EP1669" s="24"/>
    </row>
    <row r="1670" spans="139:146" x14ac:dyDescent="0.4">
      <c r="EI1670" s="24">
        <v>2021</v>
      </c>
      <c r="EJ1670" s="24">
        <v>41</v>
      </c>
      <c r="EK1670" s="24" t="s">
        <v>213</v>
      </c>
      <c r="EL1670" s="24" t="s">
        <v>214</v>
      </c>
      <c r="EM1670" s="24" t="s">
        <v>215</v>
      </c>
      <c r="EN1670" s="24">
        <v>1</v>
      </c>
      <c r="EO1670" s="24"/>
      <c r="EP1670" s="24"/>
    </row>
    <row r="1671" spans="139:146" x14ac:dyDescent="0.4">
      <c r="EI1671" s="24">
        <v>2021</v>
      </c>
      <c r="EJ1671" s="24">
        <v>40</v>
      </c>
      <c r="EK1671" s="24" t="s">
        <v>208</v>
      </c>
      <c r="EL1671" s="24" t="s">
        <v>351</v>
      </c>
      <c r="EM1671" s="24" t="s">
        <v>215</v>
      </c>
      <c r="EN1671" s="24">
        <v>1</v>
      </c>
      <c r="EO1671" s="24"/>
      <c r="EP1671" s="24"/>
    </row>
    <row r="1672" spans="139:146" x14ac:dyDescent="0.4">
      <c r="EI1672" s="24">
        <v>2021</v>
      </c>
      <c r="EJ1672" s="24">
        <v>40</v>
      </c>
      <c r="EK1672" s="24" t="s">
        <v>208</v>
      </c>
      <c r="EL1672" s="24" t="s">
        <v>235</v>
      </c>
      <c r="EM1672" s="24" t="s">
        <v>210</v>
      </c>
      <c r="EN1672" s="24">
        <v>11</v>
      </c>
      <c r="EO1672" s="24"/>
      <c r="EP1672" s="24"/>
    </row>
    <row r="1673" spans="139:146" x14ac:dyDescent="0.4">
      <c r="EI1673" s="24">
        <v>2021</v>
      </c>
      <c r="EJ1673" s="24">
        <v>40</v>
      </c>
      <c r="EK1673" s="24" t="s">
        <v>208</v>
      </c>
      <c r="EL1673" s="24" t="s">
        <v>235</v>
      </c>
      <c r="EM1673" s="24" t="s">
        <v>234</v>
      </c>
      <c r="EN1673" s="24">
        <v>2</v>
      </c>
      <c r="EO1673" s="24"/>
      <c r="EP1673" s="24"/>
    </row>
    <row r="1674" spans="139:146" x14ac:dyDescent="0.4">
      <c r="EI1674" s="24">
        <v>2021</v>
      </c>
      <c r="EJ1674" s="24">
        <v>40</v>
      </c>
      <c r="EK1674" s="24" t="s">
        <v>208</v>
      </c>
      <c r="EL1674" s="24" t="s">
        <v>235</v>
      </c>
      <c r="EM1674" s="24" t="s">
        <v>215</v>
      </c>
      <c r="EN1674" s="24">
        <v>41</v>
      </c>
      <c r="EO1674" s="24"/>
      <c r="EP1674" s="24"/>
    </row>
    <row r="1675" spans="139:146" x14ac:dyDescent="0.4">
      <c r="EI1675" s="24">
        <v>2021</v>
      </c>
      <c r="EJ1675" s="24">
        <v>40</v>
      </c>
      <c r="EK1675" s="24" t="s">
        <v>208</v>
      </c>
      <c r="EL1675" s="24" t="s">
        <v>209</v>
      </c>
      <c r="EM1675" s="24" t="s">
        <v>210</v>
      </c>
      <c r="EN1675" s="24">
        <v>1</v>
      </c>
      <c r="EO1675" s="24"/>
      <c r="EP1675" s="24"/>
    </row>
    <row r="1676" spans="139:146" x14ac:dyDescent="0.4">
      <c r="EI1676" s="24">
        <v>2021</v>
      </c>
      <c r="EJ1676" s="24">
        <v>40</v>
      </c>
      <c r="EK1676" s="24" t="s">
        <v>208</v>
      </c>
      <c r="EL1676" s="24" t="s">
        <v>209</v>
      </c>
      <c r="EM1676" s="24" t="s">
        <v>215</v>
      </c>
      <c r="EN1676" s="24">
        <v>2</v>
      </c>
      <c r="EO1676" s="24"/>
      <c r="EP1676" s="24"/>
    </row>
    <row r="1677" spans="139:146" x14ac:dyDescent="0.4">
      <c r="EI1677" s="24">
        <v>2021</v>
      </c>
      <c r="EJ1677" s="24">
        <v>40</v>
      </c>
      <c r="EK1677" s="24" t="s">
        <v>33</v>
      </c>
      <c r="EL1677" s="24" t="s">
        <v>233</v>
      </c>
      <c r="EM1677" s="24" t="s">
        <v>210</v>
      </c>
      <c r="EN1677" s="24">
        <v>28</v>
      </c>
      <c r="EO1677" s="24"/>
      <c r="EP1677" s="24"/>
    </row>
    <row r="1678" spans="139:146" x14ac:dyDescent="0.4">
      <c r="EI1678" s="24">
        <v>2021</v>
      </c>
      <c r="EJ1678" s="24">
        <v>40</v>
      </c>
      <c r="EK1678" s="24" t="s">
        <v>33</v>
      </c>
      <c r="EL1678" s="24" t="s">
        <v>233</v>
      </c>
      <c r="EM1678" s="24" t="s">
        <v>215</v>
      </c>
      <c r="EN1678" s="24">
        <v>25</v>
      </c>
      <c r="EO1678" s="24"/>
      <c r="EP1678" s="24"/>
    </row>
    <row r="1679" spans="139:146" x14ac:dyDescent="0.4">
      <c r="EI1679" s="24">
        <v>2021</v>
      </c>
      <c r="EJ1679" s="24">
        <v>40</v>
      </c>
      <c r="EK1679" s="24" t="s">
        <v>33</v>
      </c>
      <c r="EL1679" s="24" t="s">
        <v>244</v>
      </c>
      <c r="EM1679" s="24" t="s">
        <v>210</v>
      </c>
      <c r="EN1679" s="24">
        <v>4</v>
      </c>
      <c r="EO1679" s="24"/>
      <c r="EP1679" s="24"/>
    </row>
    <row r="1680" spans="139:146" x14ac:dyDescent="0.4">
      <c r="EI1680" s="24">
        <v>2021</v>
      </c>
      <c r="EJ1680" s="24">
        <v>40</v>
      </c>
      <c r="EK1680" s="24" t="s">
        <v>211</v>
      </c>
      <c r="EL1680" s="24" t="s">
        <v>232</v>
      </c>
      <c r="EM1680" s="24" t="s">
        <v>234</v>
      </c>
      <c r="EN1680" s="24">
        <v>5</v>
      </c>
      <c r="EO1680" s="24"/>
      <c r="EP1680" s="24"/>
    </row>
    <row r="1681" spans="139:146" x14ac:dyDescent="0.4">
      <c r="EI1681" s="316">
        <v>2021</v>
      </c>
      <c r="EJ1681" s="316">
        <v>40</v>
      </c>
      <c r="EK1681" s="316" t="s">
        <v>211</v>
      </c>
      <c r="EL1681" s="316" t="s">
        <v>212</v>
      </c>
      <c r="EM1681" s="316" t="s">
        <v>210</v>
      </c>
      <c r="EN1681" s="316">
        <v>20</v>
      </c>
      <c r="EO1681" s="24"/>
      <c r="EP1681" s="24"/>
    </row>
    <row r="1682" spans="139:146" x14ac:dyDescent="0.4">
      <c r="EI1682" s="316">
        <v>2021</v>
      </c>
      <c r="EJ1682" s="316">
        <v>40</v>
      </c>
      <c r="EK1682" s="316" t="s">
        <v>211</v>
      </c>
      <c r="EL1682" s="316" t="s">
        <v>212</v>
      </c>
      <c r="EM1682" s="316" t="s">
        <v>234</v>
      </c>
      <c r="EN1682" s="316">
        <v>7</v>
      </c>
      <c r="EO1682" s="24"/>
      <c r="EP1682" s="24"/>
    </row>
    <row r="1683" spans="139:146" x14ac:dyDescent="0.4">
      <c r="EI1683" s="316">
        <v>2021</v>
      </c>
      <c r="EJ1683" s="316">
        <v>40</v>
      </c>
      <c r="EK1683" s="316" t="s">
        <v>211</v>
      </c>
      <c r="EL1683" s="316" t="s">
        <v>247</v>
      </c>
      <c r="EM1683" s="316" t="s">
        <v>210</v>
      </c>
      <c r="EN1683" s="316">
        <v>2</v>
      </c>
      <c r="EO1683" s="24"/>
      <c r="EP1683" s="24"/>
    </row>
    <row r="1684" spans="139:146" x14ac:dyDescent="0.4">
      <c r="EI1684" s="316">
        <v>2021</v>
      </c>
      <c r="EJ1684" s="316">
        <v>39</v>
      </c>
      <c r="EK1684" s="316" t="s">
        <v>208</v>
      </c>
      <c r="EL1684" s="316" t="s">
        <v>351</v>
      </c>
      <c r="EM1684" s="316" t="s">
        <v>215</v>
      </c>
      <c r="EN1684" s="316">
        <v>1</v>
      </c>
      <c r="EO1684" s="24"/>
      <c r="EP1684" s="24"/>
    </row>
    <row r="1685" spans="139:146" x14ac:dyDescent="0.4">
      <c r="EI1685" s="316">
        <v>2021</v>
      </c>
      <c r="EJ1685" s="316">
        <v>39</v>
      </c>
      <c r="EK1685" s="316" t="s">
        <v>208</v>
      </c>
      <c r="EL1685" s="316" t="s">
        <v>236</v>
      </c>
      <c r="EM1685" s="316" t="s">
        <v>215</v>
      </c>
      <c r="EN1685" s="316">
        <v>1</v>
      </c>
      <c r="EO1685" s="24"/>
      <c r="EP1685" s="24"/>
    </row>
    <row r="1686" spans="139:146" x14ac:dyDescent="0.4">
      <c r="EI1686" s="316">
        <v>2021</v>
      </c>
      <c r="EJ1686" s="316">
        <v>39</v>
      </c>
      <c r="EK1686" s="316" t="s">
        <v>208</v>
      </c>
      <c r="EL1686" s="316" t="s">
        <v>235</v>
      </c>
      <c r="EM1686" s="316" t="s">
        <v>210</v>
      </c>
      <c r="EN1686" s="316">
        <v>5</v>
      </c>
      <c r="EO1686" s="24"/>
      <c r="EP1686" s="24"/>
    </row>
    <row r="1687" spans="139:146" x14ac:dyDescent="0.4">
      <c r="EI1687" s="316">
        <v>2021</v>
      </c>
      <c r="EJ1687" s="316">
        <v>39</v>
      </c>
      <c r="EK1687" s="316" t="s">
        <v>208</v>
      </c>
      <c r="EL1687" s="316" t="s">
        <v>235</v>
      </c>
      <c r="EM1687" s="316" t="s">
        <v>234</v>
      </c>
      <c r="EN1687" s="316">
        <v>5</v>
      </c>
      <c r="EO1687" s="24"/>
      <c r="EP1687" s="24"/>
    </row>
    <row r="1688" spans="139:146" x14ac:dyDescent="0.4">
      <c r="EI1688" s="316">
        <v>2021</v>
      </c>
      <c r="EJ1688" s="316">
        <v>39</v>
      </c>
      <c r="EK1688" s="316" t="s">
        <v>208</v>
      </c>
      <c r="EL1688" s="316" t="s">
        <v>235</v>
      </c>
      <c r="EM1688" s="316" t="s">
        <v>215</v>
      </c>
      <c r="EN1688" s="316">
        <v>22</v>
      </c>
      <c r="EO1688" s="24"/>
      <c r="EP1688" s="24"/>
    </row>
    <row r="1689" spans="139:146" x14ac:dyDescent="0.4">
      <c r="EI1689" s="316">
        <v>2021</v>
      </c>
      <c r="EJ1689" s="316">
        <v>39</v>
      </c>
      <c r="EK1689" s="316" t="s">
        <v>208</v>
      </c>
      <c r="EL1689" s="316" t="s">
        <v>209</v>
      </c>
      <c r="EM1689" s="316" t="s">
        <v>210</v>
      </c>
      <c r="EN1689" s="316">
        <v>3</v>
      </c>
      <c r="EO1689" s="24"/>
      <c r="EP1689" s="24"/>
    </row>
    <row r="1690" spans="139:146" x14ac:dyDescent="0.4">
      <c r="EI1690" s="316">
        <v>2021</v>
      </c>
      <c r="EJ1690" s="316">
        <v>39</v>
      </c>
      <c r="EK1690" s="316" t="s">
        <v>208</v>
      </c>
      <c r="EL1690" s="316" t="s">
        <v>209</v>
      </c>
      <c r="EM1690" s="316" t="s">
        <v>234</v>
      </c>
      <c r="EN1690" s="316">
        <v>1</v>
      </c>
      <c r="EO1690" s="24"/>
      <c r="EP1690" s="24"/>
    </row>
    <row r="1691" spans="139:146" x14ac:dyDescent="0.4">
      <c r="EI1691" s="316">
        <v>2021</v>
      </c>
      <c r="EJ1691" s="316">
        <v>39</v>
      </c>
      <c r="EK1691" s="316" t="s">
        <v>208</v>
      </c>
      <c r="EL1691" s="316" t="s">
        <v>209</v>
      </c>
      <c r="EM1691" s="316" t="s">
        <v>215</v>
      </c>
      <c r="EN1691" s="316">
        <v>6</v>
      </c>
      <c r="EO1691" s="24"/>
      <c r="EP1691" s="24"/>
    </row>
    <row r="1692" spans="139:146" x14ac:dyDescent="0.4">
      <c r="EI1692" s="316">
        <v>2021</v>
      </c>
      <c r="EJ1692" s="316">
        <v>39</v>
      </c>
      <c r="EK1692" s="316" t="s">
        <v>208</v>
      </c>
      <c r="EL1692" s="316" t="s">
        <v>247</v>
      </c>
      <c r="EM1692" s="316" t="s">
        <v>215</v>
      </c>
      <c r="EN1692" s="316">
        <v>2</v>
      </c>
      <c r="EO1692" s="24"/>
      <c r="EP1692" s="24"/>
    </row>
    <row r="1693" spans="139:146" x14ac:dyDescent="0.4">
      <c r="EI1693" s="316">
        <v>2021</v>
      </c>
      <c r="EJ1693" s="316">
        <v>39</v>
      </c>
      <c r="EK1693" s="316" t="s">
        <v>33</v>
      </c>
      <c r="EL1693" s="316" t="s">
        <v>233</v>
      </c>
      <c r="EM1693" s="316" t="s">
        <v>210</v>
      </c>
      <c r="EN1693" s="316">
        <v>36</v>
      </c>
      <c r="EO1693" s="24"/>
      <c r="EP1693" s="24"/>
    </row>
    <row r="1694" spans="139:146" x14ac:dyDescent="0.4">
      <c r="EI1694" s="316">
        <v>2021</v>
      </c>
      <c r="EJ1694" s="316">
        <v>39</v>
      </c>
      <c r="EK1694" s="316" t="s">
        <v>33</v>
      </c>
      <c r="EL1694" s="316" t="s">
        <v>233</v>
      </c>
      <c r="EM1694" s="316" t="s">
        <v>215</v>
      </c>
      <c r="EN1694" s="316">
        <v>3</v>
      </c>
      <c r="EO1694" s="24"/>
      <c r="EP1694" s="24"/>
    </row>
    <row r="1695" spans="139:146" x14ac:dyDescent="0.4">
      <c r="EI1695" s="316">
        <v>2021</v>
      </c>
      <c r="EJ1695" s="316">
        <v>39</v>
      </c>
      <c r="EK1695" s="316" t="s">
        <v>237</v>
      </c>
      <c r="EL1695" s="316" t="s">
        <v>235</v>
      </c>
      <c r="EM1695" s="316" t="s">
        <v>234</v>
      </c>
      <c r="EN1695" s="316">
        <v>1</v>
      </c>
      <c r="EO1695" s="24"/>
      <c r="EP1695" s="24"/>
    </row>
    <row r="1696" spans="139:146" x14ac:dyDescent="0.4">
      <c r="EI1696" s="316">
        <v>2021</v>
      </c>
      <c r="EJ1696" s="316">
        <v>39</v>
      </c>
      <c r="EK1696" s="316" t="s">
        <v>211</v>
      </c>
      <c r="EL1696" s="316" t="s">
        <v>232</v>
      </c>
      <c r="EM1696" s="316" t="s">
        <v>234</v>
      </c>
      <c r="EN1696" s="316">
        <v>26</v>
      </c>
      <c r="EO1696" s="24"/>
      <c r="EP1696" s="24"/>
    </row>
    <row r="1697" spans="139:146" x14ac:dyDescent="0.4">
      <c r="EI1697" s="316">
        <v>2021</v>
      </c>
      <c r="EJ1697" s="316">
        <v>39</v>
      </c>
      <c r="EK1697" s="316" t="s">
        <v>211</v>
      </c>
      <c r="EL1697" s="316" t="s">
        <v>212</v>
      </c>
      <c r="EM1697" s="316" t="s">
        <v>210</v>
      </c>
      <c r="EN1697" s="316">
        <v>9</v>
      </c>
      <c r="EO1697" s="24"/>
      <c r="EP1697" s="24"/>
    </row>
    <row r="1698" spans="139:146" x14ac:dyDescent="0.4">
      <c r="EI1698" s="316">
        <v>2021</v>
      </c>
      <c r="EJ1698" s="316">
        <v>39</v>
      </c>
      <c r="EK1698" s="316" t="s">
        <v>211</v>
      </c>
      <c r="EL1698" s="316" t="s">
        <v>212</v>
      </c>
      <c r="EM1698" s="316" t="s">
        <v>234</v>
      </c>
      <c r="EN1698" s="316">
        <v>5</v>
      </c>
      <c r="EO1698" s="24"/>
      <c r="EP1698" s="24"/>
    </row>
    <row r="1699" spans="139:146" x14ac:dyDescent="0.4">
      <c r="EI1699" s="316">
        <v>2021</v>
      </c>
      <c r="EJ1699" s="316">
        <v>39</v>
      </c>
      <c r="EK1699" s="316" t="s">
        <v>211</v>
      </c>
      <c r="EL1699" s="316" t="s">
        <v>247</v>
      </c>
      <c r="EM1699" s="316" t="s">
        <v>234</v>
      </c>
      <c r="EN1699" s="316">
        <v>4</v>
      </c>
      <c r="EO1699" s="24"/>
      <c r="EP1699" s="24"/>
    </row>
    <row r="1700" spans="139:146" x14ac:dyDescent="0.4">
      <c r="EI1700" s="316">
        <v>2021</v>
      </c>
      <c r="EJ1700" s="316">
        <v>39</v>
      </c>
      <c r="EK1700" s="316" t="s">
        <v>213</v>
      </c>
      <c r="EL1700" s="316" t="s">
        <v>214</v>
      </c>
      <c r="EM1700" s="316" t="s">
        <v>215</v>
      </c>
      <c r="EN1700" s="316">
        <v>4</v>
      </c>
      <c r="EO1700" s="24"/>
      <c r="EP1700" s="24"/>
    </row>
    <row r="1701" spans="139:146" x14ac:dyDescent="0.4">
      <c r="EI1701" s="316">
        <v>2021</v>
      </c>
      <c r="EJ1701" s="316">
        <v>38</v>
      </c>
      <c r="EK1701" s="316" t="s">
        <v>208</v>
      </c>
      <c r="EL1701" s="316" t="s">
        <v>352</v>
      </c>
      <c r="EM1701" s="316" t="s">
        <v>210</v>
      </c>
      <c r="EN1701" s="316">
        <v>1</v>
      </c>
      <c r="EO1701" s="24"/>
      <c r="EP1701" s="24"/>
    </row>
    <row r="1702" spans="139:146" x14ac:dyDescent="0.4">
      <c r="EI1702" s="316">
        <v>2021</v>
      </c>
      <c r="EJ1702" s="316">
        <v>38</v>
      </c>
      <c r="EK1702" s="316" t="s">
        <v>208</v>
      </c>
      <c r="EL1702" s="316" t="s">
        <v>351</v>
      </c>
      <c r="EM1702" s="316" t="s">
        <v>215</v>
      </c>
      <c r="EN1702" s="316">
        <v>7</v>
      </c>
      <c r="EO1702" s="24"/>
      <c r="EP1702" s="24"/>
    </row>
    <row r="1703" spans="139:146" x14ac:dyDescent="0.4">
      <c r="EI1703" s="316">
        <v>2021</v>
      </c>
      <c r="EJ1703" s="316">
        <v>38</v>
      </c>
      <c r="EK1703" s="316" t="s">
        <v>208</v>
      </c>
      <c r="EL1703" s="316" t="s">
        <v>235</v>
      </c>
      <c r="EM1703" s="316" t="s">
        <v>210</v>
      </c>
      <c r="EN1703" s="316">
        <v>15</v>
      </c>
      <c r="EO1703" s="24"/>
      <c r="EP1703" s="24"/>
    </row>
    <row r="1704" spans="139:146" x14ac:dyDescent="0.4">
      <c r="EI1704" s="316">
        <v>2021</v>
      </c>
      <c r="EJ1704" s="316">
        <v>38</v>
      </c>
      <c r="EK1704" s="316" t="s">
        <v>208</v>
      </c>
      <c r="EL1704" s="316" t="s">
        <v>235</v>
      </c>
      <c r="EM1704" s="316" t="s">
        <v>234</v>
      </c>
      <c r="EN1704" s="316">
        <v>7</v>
      </c>
      <c r="EO1704" s="24"/>
      <c r="EP1704" s="24"/>
    </row>
    <row r="1705" spans="139:146" x14ac:dyDescent="0.4">
      <c r="EI1705" s="316">
        <v>2021</v>
      </c>
      <c r="EJ1705" s="316">
        <v>38</v>
      </c>
      <c r="EK1705" s="316" t="s">
        <v>208</v>
      </c>
      <c r="EL1705" s="316" t="s">
        <v>235</v>
      </c>
      <c r="EM1705" s="316" t="s">
        <v>215</v>
      </c>
      <c r="EN1705" s="316">
        <v>23</v>
      </c>
    </row>
    <row r="1706" spans="139:146" x14ac:dyDescent="0.4">
      <c r="EI1706" s="316">
        <v>2021</v>
      </c>
      <c r="EJ1706" s="316">
        <v>38</v>
      </c>
      <c r="EK1706" s="316" t="s">
        <v>208</v>
      </c>
      <c r="EL1706" s="316" t="s">
        <v>209</v>
      </c>
      <c r="EM1706" s="316" t="s">
        <v>210</v>
      </c>
      <c r="EN1706" s="316">
        <v>4</v>
      </c>
    </row>
    <row r="1707" spans="139:146" x14ac:dyDescent="0.4">
      <c r="EI1707" s="316">
        <v>2021</v>
      </c>
      <c r="EJ1707" s="316">
        <v>38</v>
      </c>
      <c r="EK1707" s="316" t="s">
        <v>208</v>
      </c>
      <c r="EL1707" s="316" t="s">
        <v>209</v>
      </c>
      <c r="EM1707" s="316" t="s">
        <v>234</v>
      </c>
      <c r="EN1707" s="316">
        <v>1</v>
      </c>
    </row>
    <row r="1708" spans="139:146" x14ac:dyDescent="0.4">
      <c r="EI1708" s="316">
        <v>2021</v>
      </c>
      <c r="EJ1708" s="316">
        <v>38</v>
      </c>
      <c r="EK1708" s="316" t="s">
        <v>208</v>
      </c>
      <c r="EL1708" s="316" t="s">
        <v>209</v>
      </c>
      <c r="EM1708" s="316" t="s">
        <v>215</v>
      </c>
      <c r="EN1708" s="316">
        <v>5</v>
      </c>
    </row>
    <row r="1709" spans="139:146" x14ac:dyDescent="0.4">
      <c r="EI1709" s="316">
        <v>2021</v>
      </c>
      <c r="EJ1709" s="316">
        <v>38</v>
      </c>
      <c r="EK1709" s="316" t="s">
        <v>208</v>
      </c>
      <c r="EL1709" s="316" t="s">
        <v>247</v>
      </c>
      <c r="EM1709" s="316" t="s">
        <v>215</v>
      </c>
      <c r="EN1709" s="316">
        <v>1</v>
      </c>
    </row>
    <row r="1710" spans="139:146" x14ac:dyDescent="0.4">
      <c r="EI1710" s="316">
        <v>2021</v>
      </c>
      <c r="EJ1710" s="316">
        <v>38</v>
      </c>
      <c r="EK1710" s="316" t="s">
        <v>208</v>
      </c>
      <c r="EL1710" s="316" t="s">
        <v>245</v>
      </c>
      <c r="EM1710" s="316" t="s">
        <v>215</v>
      </c>
      <c r="EN1710" s="316">
        <v>1</v>
      </c>
    </row>
    <row r="1711" spans="139:146" x14ac:dyDescent="0.4">
      <c r="EI1711" s="316">
        <v>2021</v>
      </c>
      <c r="EJ1711" s="316">
        <v>38</v>
      </c>
      <c r="EK1711" s="316" t="s">
        <v>33</v>
      </c>
      <c r="EL1711" s="316" t="s">
        <v>233</v>
      </c>
      <c r="EM1711" s="316" t="s">
        <v>210</v>
      </c>
      <c r="EN1711" s="316">
        <v>66</v>
      </c>
    </row>
    <row r="1712" spans="139:146" x14ac:dyDescent="0.4">
      <c r="EI1712" s="316">
        <v>2021</v>
      </c>
      <c r="EJ1712" s="316">
        <v>38</v>
      </c>
      <c r="EK1712" s="316" t="s">
        <v>33</v>
      </c>
      <c r="EL1712" s="316" t="s">
        <v>233</v>
      </c>
      <c r="EM1712" s="316" t="s">
        <v>215</v>
      </c>
      <c r="EN1712" s="316">
        <v>5</v>
      </c>
    </row>
    <row r="1713" spans="139:144" x14ac:dyDescent="0.4">
      <c r="EI1713" s="316">
        <v>2021</v>
      </c>
      <c r="EJ1713" s="316">
        <v>38</v>
      </c>
      <c r="EK1713" s="316" t="s">
        <v>33</v>
      </c>
      <c r="EL1713" s="316" t="s">
        <v>238</v>
      </c>
      <c r="EM1713" s="316" t="s">
        <v>215</v>
      </c>
      <c r="EN1713" s="316">
        <v>4</v>
      </c>
    </row>
    <row r="1714" spans="139:144" x14ac:dyDescent="0.4">
      <c r="EI1714" s="316">
        <v>2021</v>
      </c>
      <c r="EJ1714" s="316">
        <v>38</v>
      </c>
      <c r="EK1714" s="316" t="s">
        <v>211</v>
      </c>
      <c r="EL1714" s="316" t="s">
        <v>232</v>
      </c>
      <c r="EM1714" s="316" t="s">
        <v>210</v>
      </c>
      <c r="EN1714" s="316">
        <v>3</v>
      </c>
    </row>
    <row r="1715" spans="139:144" x14ac:dyDescent="0.4">
      <c r="EI1715" s="316">
        <v>2021</v>
      </c>
      <c r="EJ1715" s="316">
        <v>38</v>
      </c>
      <c r="EK1715" s="316" t="s">
        <v>211</v>
      </c>
      <c r="EL1715" s="316" t="s">
        <v>232</v>
      </c>
      <c r="EM1715" s="316" t="s">
        <v>234</v>
      </c>
      <c r="EN1715" s="316">
        <v>21</v>
      </c>
    </row>
    <row r="1716" spans="139:144" x14ac:dyDescent="0.4">
      <c r="EI1716" s="316">
        <v>2021</v>
      </c>
      <c r="EJ1716" s="316">
        <v>38</v>
      </c>
      <c r="EK1716" s="316" t="s">
        <v>211</v>
      </c>
      <c r="EL1716" s="316" t="s">
        <v>212</v>
      </c>
      <c r="EM1716" s="316" t="s">
        <v>210</v>
      </c>
      <c r="EN1716" s="316">
        <v>17</v>
      </c>
    </row>
    <row r="1717" spans="139:144" x14ac:dyDescent="0.4">
      <c r="EI1717" s="316">
        <v>2021</v>
      </c>
      <c r="EJ1717" s="316">
        <v>38</v>
      </c>
      <c r="EK1717" s="316" t="s">
        <v>211</v>
      </c>
      <c r="EL1717" s="316" t="s">
        <v>212</v>
      </c>
      <c r="EM1717" s="316" t="s">
        <v>234</v>
      </c>
      <c r="EN1717" s="316">
        <v>5</v>
      </c>
    </row>
    <row r="1718" spans="139:144" x14ac:dyDescent="0.4">
      <c r="EI1718" s="316">
        <v>2021</v>
      </c>
      <c r="EJ1718" s="316">
        <v>38</v>
      </c>
      <c r="EK1718" s="316" t="s">
        <v>211</v>
      </c>
      <c r="EL1718" s="316" t="s">
        <v>247</v>
      </c>
      <c r="EM1718" s="316" t="s">
        <v>210</v>
      </c>
      <c r="EN1718" s="316">
        <v>4</v>
      </c>
    </row>
    <row r="1719" spans="139:144" x14ac:dyDescent="0.4">
      <c r="EI1719" s="316">
        <v>2021</v>
      </c>
      <c r="EJ1719" s="316">
        <v>38</v>
      </c>
      <c r="EK1719" s="316" t="s">
        <v>211</v>
      </c>
      <c r="EL1719" s="316" t="s">
        <v>247</v>
      </c>
      <c r="EM1719" s="316" t="s">
        <v>234</v>
      </c>
      <c r="EN1719" s="316">
        <v>2</v>
      </c>
    </row>
    <row r="1720" spans="139:144" x14ac:dyDescent="0.4">
      <c r="EI1720" s="316">
        <v>2021</v>
      </c>
      <c r="EJ1720" s="316">
        <v>38</v>
      </c>
      <c r="EK1720" s="316" t="s">
        <v>213</v>
      </c>
      <c r="EL1720" s="316" t="s">
        <v>214</v>
      </c>
      <c r="EM1720" s="316" t="s">
        <v>215</v>
      </c>
      <c r="EN1720" s="316">
        <v>2</v>
      </c>
    </row>
    <row r="1721" spans="139:144" x14ac:dyDescent="0.4">
      <c r="EI1721" s="316">
        <v>2021</v>
      </c>
      <c r="EJ1721" s="316">
        <v>37</v>
      </c>
      <c r="EK1721" s="316" t="s">
        <v>208</v>
      </c>
      <c r="EL1721" s="316" t="s">
        <v>351</v>
      </c>
      <c r="EM1721" s="316" t="s">
        <v>215</v>
      </c>
      <c r="EN1721" s="316">
        <v>10</v>
      </c>
    </row>
    <row r="1722" spans="139:144" x14ac:dyDescent="0.4">
      <c r="EI1722" s="316">
        <v>2021</v>
      </c>
      <c r="EJ1722" s="316">
        <v>37</v>
      </c>
      <c r="EK1722" s="316" t="s">
        <v>208</v>
      </c>
      <c r="EL1722" s="316" t="s">
        <v>235</v>
      </c>
      <c r="EM1722" s="316" t="s">
        <v>210</v>
      </c>
      <c r="EN1722" s="316">
        <v>5</v>
      </c>
    </row>
    <row r="1723" spans="139:144" x14ac:dyDescent="0.4">
      <c r="EI1723" s="316">
        <v>2021</v>
      </c>
      <c r="EJ1723" s="316">
        <v>37</v>
      </c>
      <c r="EK1723" s="316" t="s">
        <v>208</v>
      </c>
      <c r="EL1723" s="316" t="s">
        <v>235</v>
      </c>
      <c r="EM1723" s="316" t="s">
        <v>215</v>
      </c>
      <c r="EN1723" s="316">
        <v>1</v>
      </c>
    </row>
    <row r="1724" spans="139:144" x14ac:dyDescent="0.4">
      <c r="EI1724" s="316">
        <v>2021</v>
      </c>
      <c r="EJ1724" s="316">
        <v>37</v>
      </c>
      <c r="EK1724" s="316" t="s">
        <v>208</v>
      </c>
      <c r="EL1724" s="316" t="s">
        <v>209</v>
      </c>
      <c r="EM1724" s="316" t="s">
        <v>210</v>
      </c>
      <c r="EN1724" s="316">
        <v>6</v>
      </c>
    </row>
    <row r="1725" spans="139:144" x14ac:dyDescent="0.4">
      <c r="EI1725" s="316">
        <v>2021</v>
      </c>
      <c r="EJ1725" s="316">
        <v>37</v>
      </c>
      <c r="EK1725" s="316" t="s">
        <v>208</v>
      </c>
      <c r="EL1725" s="316" t="s">
        <v>209</v>
      </c>
      <c r="EM1725" s="316" t="s">
        <v>215</v>
      </c>
      <c r="EN1725" s="316">
        <v>1</v>
      </c>
    </row>
    <row r="1726" spans="139:144" x14ac:dyDescent="0.4">
      <c r="EI1726" s="316">
        <v>2021</v>
      </c>
      <c r="EJ1726" s="316">
        <v>37</v>
      </c>
      <c r="EK1726" s="316" t="s">
        <v>33</v>
      </c>
      <c r="EL1726" s="316" t="s">
        <v>233</v>
      </c>
      <c r="EM1726" s="316" t="s">
        <v>210</v>
      </c>
      <c r="EN1726" s="316">
        <v>24</v>
      </c>
    </row>
    <row r="1727" spans="139:144" x14ac:dyDescent="0.4">
      <c r="EI1727" s="316">
        <v>2021</v>
      </c>
      <c r="EJ1727" s="316">
        <v>37</v>
      </c>
      <c r="EK1727" s="316" t="s">
        <v>33</v>
      </c>
      <c r="EL1727" s="316" t="s">
        <v>244</v>
      </c>
      <c r="EM1727" s="316" t="s">
        <v>210</v>
      </c>
      <c r="EN1727" s="316">
        <v>7</v>
      </c>
    </row>
    <row r="1728" spans="139:144" x14ac:dyDescent="0.4">
      <c r="EI1728" s="316">
        <v>2021</v>
      </c>
      <c r="EJ1728" s="316">
        <v>37</v>
      </c>
      <c r="EK1728" s="316" t="s">
        <v>211</v>
      </c>
      <c r="EL1728" s="316" t="s">
        <v>232</v>
      </c>
      <c r="EM1728" s="316" t="s">
        <v>210</v>
      </c>
      <c r="EN1728" s="316">
        <v>5</v>
      </c>
    </row>
    <row r="1729" spans="139:144" x14ac:dyDescent="0.4">
      <c r="EI1729" s="316">
        <v>2021</v>
      </c>
      <c r="EJ1729" s="316">
        <v>37</v>
      </c>
      <c r="EK1729" s="316" t="s">
        <v>211</v>
      </c>
      <c r="EL1729" s="316" t="s">
        <v>232</v>
      </c>
      <c r="EM1729" s="316" t="s">
        <v>234</v>
      </c>
      <c r="EN1729" s="316">
        <v>8</v>
      </c>
    </row>
    <row r="1730" spans="139:144" x14ac:dyDescent="0.4">
      <c r="EI1730" s="316">
        <v>2021</v>
      </c>
      <c r="EJ1730" s="316">
        <v>37</v>
      </c>
      <c r="EK1730" s="316" t="s">
        <v>211</v>
      </c>
      <c r="EL1730" s="316" t="s">
        <v>212</v>
      </c>
      <c r="EM1730" s="316" t="s">
        <v>210</v>
      </c>
      <c r="EN1730" s="316">
        <v>9</v>
      </c>
    </row>
    <row r="1731" spans="139:144" x14ac:dyDescent="0.4">
      <c r="EI1731" s="316">
        <v>2021</v>
      </c>
      <c r="EJ1731" s="316">
        <v>37</v>
      </c>
      <c r="EK1731" s="316" t="s">
        <v>211</v>
      </c>
      <c r="EL1731" s="316" t="s">
        <v>212</v>
      </c>
      <c r="EM1731" s="316" t="s">
        <v>234</v>
      </c>
      <c r="EN1731" s="316">
        <v>2</v>
      </c>
    </row>
    <row r="1732" spans="139:144" x14ac:dyDescent="0.4">
      <c r="EI1732" s="316">
        <v>2021</v>
      </c>
      <c r="EJ1732" s="316">
        <v>37</v>
      </c>
      <c r="EK1732" s="316" t="s">
        <v>211</v>
      </c>
      <c r="EL1732" s="316" t="s">
        <v>247</v>
      </c>
      <c r="EM1732" s="316" t="s">
        <v>210</v>
      </c>
      <c r="EN1732" s="316">
        <v>4</v>
      </c>
    </row>
    <row r="1733" spans="139:144" x14ac:dyDescent="0.4">
      <c r="EI1733" s="316">
        <v>2021</v>
      </c>
      <c r="EJ1733" s="316">
        <v>37</v>
      </c>
      <c r="EK1733" s="316" t="s">
        <v>211</v>
      </c>
      <c r="EL1733" s="316" t="s">
        <v>247</v>
      </c>
      <c r="EM1733" s="316" t="s">
        <v>234</v>
      </c>
      <c r="EN1733" s="316">
        <v>6</v>
      </c>
    </row>
    <row r="1734" spans="139:144" x14ac:dyDescent="0.4">
      <c r="EI1734" s="316">
        <v>2021</v>
      </c>
      <c r="EJ1734" s="316">
        <v>37</v>
      </c>
      <c r="EK1734" s="316" t="s">
        <v>213</v>
      </c>
      <c r="EL1734" s="316" t="s">
        <v>214</v>
      </c>
      <c r="EM1734" s="316" t="s">
        <v>215</v>
      </c>
      <c r="EN1734" s="316">
        <v>6</v>
      </c>
    </row>
    <row r="1735" spans="139:144" x14ac:dyDescent="0.4">
      <c r="EI1735" s="316">
        <v>2021</v>
      </c>
      <c r="EJ1735" s="316">
        <v>36</v>
      </c>
      <c r="EK1735" s="316" t="s">
        <v>208</v>
      </c>
      <c r="EL1735" s="316" t="s">
        <v>352</v>
      </c>
      <c r="EM1735" s="316" t="s">
        <v>210</v>
      </c>
      <c r="EN1735" s="316">
        <v>2</v>
      </c>
    </row>
    <row r="1736" spans="139:144" x14ac:dyDescent="0.4">
      <c r="EI1736" s="316">
        <v>2021</v>
      </c>
      <c r="EJ1736" s="316">
        <v>36</v>
      </c>
      <c r="EK1736" s="316" t="s">
        <v>208</v>
      </c>
      <c r="EL1736" s="316" t="s">
        <v>351</v>
      </c>
      <c r="EM1736" s="316" t="s">
        <v>215</v>
      </c>
      <c r="EN1736" s="316">
        <v>11</v>
      </c>
    </row>
    <row r="1737" spans="139:144" x14ac:dyDescent="0.4">
      <c r="EI1737" s="316">
        <v>2021</v>
      </c>
      <c r="EJ1737" s="316">
        <v>36</v>
      </c>
      <c r="EK1737" s="316" t="s">
        <v>208</v>
      </c>
      <c r="EL1737" s="316" t="s">
        <v>235</v>
      </c>
      <c r="EM1737" s="316" t="s">
        <v>210</v>
      </c>
      <c r="EN1737" s="316">
        <v>18</v>
      </c>
    </row>
    <row r="1738" spans="139:144" x14ac:dyDescent="0.4">
      <c r="EI1738" s="316">
        <v>2021</v>
      </c>
      <c r="EJ1738" s="316">
        <v>36</v>
      </c>
      <c r="EK1738" s="316" t="s">
        <v>208</v>
      </c>
      <c r="EL1738" s="316" t="s">
        <v>235</v>
      </c>
      <c r="EM1738" s="316" t="s">
        <v>215</v>
      </c>
      <c r="EN1738" s="316">
        <v>3</v>
      </c>
    </row>
    <row r="1739" spans="139:144" x14ac:dyDescent="0.4">
      <c r="EI1739" s="316">
        <v>2021</v>
      </c>
      <c r="EJ1739" s="316">
        <v>36</v>
      </c>
      <c r="EK1739" s="316" t="s">
        <v>208</v>
      </c>
      <c r="EL1739" s="316" t="s">
        <v>209</v>
      </c>
      <c r="EM1739" s="316" t="s">
        <v>210</v>
      </c>
      <c r="EN1739" s="316">
        <v>3</v>
      </c>
    </row>
    <row r="1740" spans="139:144" x14ac:dyDescent="0.4">
      <c r="EI1740" s="316">
        <v>2021</v>
      </c>
      <c r="EJ1740" s="316">
        <v>36</v>
      </c>
      <c r="EK1740" s="316" t="s">
        <v>208</v>
      </c>
      <c r="EL1740" s="316" t="s">
        <v>245</v>
      </c>
      <c r="EM1740" s="316" t="s">
        <v>210</v>
      </c>
      <c r="EN1740" s="316">
        <v>1</v>
      </c>
    </row>
    <row r="1741" spans="139:144" x14ac:dyDescent="0.4">
      <c r="EI1741" s="316">
        <v>2021</v>
      </c>
      <c r="EJ1741" s="316">
        <v>36</v>
      </c>
      <c r="EK1741" s="316" t="s">
        <v>33</v>
      </c>
      <c r="EL1741" s="316" t="s">
        <v>233</v>
      </c>
      <c r="EM1741" s="316" t="s">
        <v>210</v>
      </c>
      <c r="EN1741" s="316">
        <v>20</v>
      </c>
    </row>
    <row r="1742" spans="139:144" x14ac:dyDescent="0.4">
      <c r="EI1742" s="316">
        <v>2021</v>
      </c>
      <c r="EJ1742" s="316">
        <v>36</v>
      </c>
      <c r="EK1742" s="316" t="s">
        <v>33</v>
      </c>
      <c r="EL1742" s="316" t="s">
        <v>233</v>
      </c>
      <c r="EM1742" s="316" t="s">
        <v>215</v>
      </c>
      <c r="EN1742" s="316">
        <v>2</v>
      </c>
    </row>
    <row r="1743" spans="139:144" x14ac:dyDescent="0.4">
      <c r="EI1743" s="316">
        <v>2021</v>
      </c>
      <c r="EJ1743" s="316">
        <v>36</v>
      </c>
      <c r="EK1743" s="316" t="s">
        <v>33</v>
      </c>
      <c r="EL1743" s="316" t="s">
        <v>244</v>
      </c>
      <c r="EM1743" s="316" t="s">
        <v>210</v>
      </c>
      <c r="EN1743" s="316">
        <v>9</v>
      </c>
    </row>
    <row r="1744" spans="139:144" x14ac:dyDescent="0.4">
      <c r="EI1744" s="316">
        <v>2021</v>
      </c>
      <c r="EJ1744" s="316">
        <v>36</v>
      </c>
      <c r="EK1744" s="316" t="s">
        <v>33</v>
      </c>
      <c r="EL1744" s="316" t="s">
        <v>236</v>
      </c>
      <c r="EM1744" s="316" t="s">
        <v>210</v>
      </c>
      <c r="EN1744" s="316">
        <v>1</v>
      </c>
    </row>
    <row r="1745" spans="139:144" x14ac:dyDescent="0.4">
      <c r="EI1745" s="316">
        <v>2021</v>
      </c>
      <c r="EJ1745" s="316">
        <v>36</v>
      </c>
      <c r="EK1745" s="316" t="s">
        <v>33</v>
      </c>
      <c r="EL1745" s="316" t="s">
        <v>238</v>
      </c>
      <c r="EM1745" s="316" t="s">
        <v>210</v>
      </c>
      <c r="EN1745" s="316">
        <v>10</v>
      </c>
    </row>
    <row r="1746" spans="139:144" x14ac:dyDescent="0.4">
      <c r="EI1746" s="316">
        <v>2021</v>
      </c>
      <c r="EJ1746" s="316">
        <v>36</v>
      </c>
      <c r="EK1746" s="316" t="s">
        <v>33</v>
      </c>
      <c r="EL1746" s="316" t="s">
        <v>238</v>
      </c>
      <c r="EM1746" s="316" t="s">
        <v>215</v>
      </c>
      <c r="EN1746" s="316">
        <v>16</v>
      </c>
    </row>
    <row r="1747" spans="139:144" x14ac:dyDescent="0.4">
      <c r="EI1747" s="316">
        <v>2021</v>
      </c>
      <c r="EJ1747" s="316">
        <v>36</v>
      </c>
      <c r="EK1747" s="316" t="s">
        <v>211</v>
      </c>
      <c r="EL1747" s="316" t="s">
        <v>232</v>
      </c>
      <c r="EM1747" s="316" t="s">
        <v>210</v>
      </c>
      <c r="EN1747" s="316">
        <v>3</v>
      </c>
    </row>
    <row r="1748" spans="139:144" x14ac:dyDescent="0.4">
      <c r="EI1748" s="316">
        <v>2021</v>
      </c>
      <c r="EJ1748" s="316">
        <v>36</v>
      </c>
      <c r="EK1748" s="316" t="s">
        <v>211</v>
      </c>
      <c r="EL1748" s="316" t="s">
        <v>232</v>
      </c>
      <c r="EM1748" s="316" t="s">
        <v>234</v>
      </c>
      <c r="EN1748" s="316">
        <v>10</v>
      </c>
    </row>
    <row r="1749" spans="139:144" x14ac:dyDescent="0.4">
      <c r="EI1749" s="316">
        <v>2021</v>
      </c>
      <c r="EJ1749" s="316">
        <v>36</v>
      </c>
      <c r="EK1749" s="316" t="s">
        <v>211</v>
      </c>
      <c r="EL1749" s="316" t="s">
        <v>212</v>
      </c>
      <c r="EM1749" s="316" t="s">
        <v>210</v>
      </c>
      <c r="EN1749" s="316">
        <v>9</v>
      </c>
    </row>
    <row r="1750" spans="139:144" x14ac:dyDescent="0.4">
      <c r="EI1750" s="316">
        <v>2021</v>
      </c>
      <c r="EJ1750" s="316">
        <v>36</v>
      </c>
      <c r="EK1750" s="316" t="s">
        <v>211</v>
      </c>
      <c r="EL1750" s="316" t="s">
        <v>212</v>
      </c>
      <c r="EM1750" s="316" t="s">
        <v>234</v>
      </c>
      <c r="EN1750" s="316">
        <v>3</v>
      </c>
    </row>
    <row r="1751" spans="139:144" x14ac:dyDescent="0.4">
      <c r="EI1751" s="316">
        <v>2021</v>
      </c>
      <c r="EJ1751" s="316">
        <v>36</v>
      </c>
      <c r="EK1751" s="316" t="s">
        <v>211</v>
      </c>
      <c r="EL1751" s="316" t="s">
        <v>247</v>
      </c>
      <c r="EM1751" s="316" t="s">
        <v>210</v>
      </c>
      <c r="EN1751" s="316">
        <v>2</v>
      </c>
    </row>
    <row r="1752" spans="139:144" x14ac:dyDescent="0.4">
      <c r="EI1752" s="316">
        <v>2021</v>
      </c>
      <c r="EJ1752" s="316">
        <v>36</v>
      </c>
      <c r="EK1752" s="316" t="s">
        <v>211</v>
      </c>
      <c r="EL1752" s="316" t="s">
        <v>247</v>
      </c>
      <c r="EM1752" s="316" t="s">
        <v>234</v>
      </c>
      <c r="EN1752" s="316">
        <v>4</v>
      </c>
    </row>
    <row r="1753" spans="139:144" x14ac:dyDescent="0.4">
      <c r="EI1753" s="316">
        <v>2021</v>
      </c>
      <c r="EJ1753" s="316">
        <v>35</v>
      </c>
      <c r="EK1753" s="316" t="s">
        <v>208</v>
      </c>
      <c r="EL1753" s="316" t="s">
        <v>352</v>
      </c>
      <c r="EM1753" s="316" t="s">
        <v>210</v>
      </c>
      <c r="EN1753" s="316">
        <v>1</v>
      </c>
    </row>
    <row r="1754" spans="139:144" x14ac:dyDescent="0.4">
      <c r="EI1754" s="316">
        <v>2021</v>
      </c>
      <c r="EJ1754" s="316">
        <v>35</v>
      </c>
      <c r="EK1754" s="316" t="s">
        <v>208</v>
      </c>
      <c r="EL1754" s="316" t="s">
        <v>351</v>
      </c>
      <c r="EM1754" s="316" t="s">
        <v>215</v>
      </c>
      <c r="EN1754" s="316">
        <v>5</v>
      </c>
    </row>
    <row r="1755" spans="139:144" x14ac:dyDescent="0.4">
      <c r="EI1755" s="316">
        <v>2021</v>
      </c>
      <c r="EJ1755" s="316">
        <v>35</v>
      </c>
      <c r="EK1755" s="316" t="s">
        <v>208</v>
      </c>
      <c r="EL1755" s="316" t="s">
        <v>235</v>
      </c>
      <c r="EM1755" s="316" t="s">
        <v>210</v>
      </c>
      <c r="EN1755" s="316">
        <v>6</v>
      </c>
    </row>
    <row r="1756" spans="139:144" x14ac:dyDescent="0.4">
      <c r="EI1756" s="316">
        <v>2021</v>
      </c>
      <c r="EJ1756" s="316">
        <v>35</v>
      </c>
      <c r="EK1756" s="316" t="s">
        <v>208</v>
      </c>
      <c r="EL1756" s="316" t="s">
        <v>235</v>
      </c>
      <c r="EM1756" s="316" t="s">
        <v>215</v>
      </c>
      <c r="EN1756" s="316">
        <v>3</v>
      </c>
    </row>
    <row r="1757" spans="139:144" x14ac:dyDescent="0.4">
      <c r="EI1757" s="316">
        <v>2021</v>
      </c>
      <c r="EJ1757" s="316">
        <v>35</v>
      </c>
      <c r="EK1757" s="316" t="s">
        <v>208</v>
      </c>
      <c r="EL1757" s="316" t="s">
        <v>209</v>
      </c>
      <c r="EM1757" s="316" t="s">
        <v>210</v>
      </c>
      <c r="EN1757" s="316">
        <v>1</v>
      </c>
    </row>
    <row r="1758" spans="139:144" x14ac:dyDescent="0.4">
      <c r="EI1758" s="316">
        <v>2021</v>
      </c>
      <c r="EJ1758" s="316">
        <v>35</v>
      </c>
      <c r="EK1758" s="316" t="s">
        <v>33</v>
      </c>
      <c r="EL1758" s="316" t="s">
        <v>240</v>
      </c>
      <c r="EM1758" s="316" t="s">
        <v>215</v>
      </c>
      <c r="EN1758" s="316">
        <v>1</v>
      </c>
    </row>
    <row r="1759" spans="139:144" x14ac:dyDescent="0.4">
      <c r="EI1759" s="316">
        <v>2021</v>
      </c>
      <c r="EJ1759" s="316">
        <v>35</v>
      </c>
      <c r="EK1759" s="316" t="s">
        <v>33</v>
      </c>
      <c r="EL1759" s="316" t="s">
        <v>233</v>
      </c>
      <c r="EM1759" s="316" t="s">
        <v>215</v>
      </c>
      <c r="EN1759" s="316">
        <v>1</v>
      </c>
    </row>
    <row r="1760" spans="139:144" x14ac:dyDescent="0.4">
      <c r="EI1760" s="316">
        <v>2021</v>
      </c>
      <c r="EJ1760" s="316">
        <v>35</v>
      </c>
      <c r="EK1760" s="316" t="s">
        <v>33</v>
      </c>
      <c r="EL1760" s="316" t="s">
        <v>244</v>
      </c>
      <c r="EM1760" s="316" t="s">
        <v>210</v>
      </c>
      <c r="EN1760" s="316">
        <v>1</v>
      </c>
    </row>
    <row r="1761" spans="139:144" x14ac:dyDescent="0.4">
      <c r="EI1761" s="316">
        <v>2021</v>
      </c>
      <c r="EJ1761" s="316">
        <v>35</v>
      </c>
      <c r="EK1761" s="316" t="s">
        <v>33</v>
      </c>
      <c r="EL1761" s="316" t="s">
        <v>238</v>
      </c>
      <c r="EM1761" s="316" t="s">
        <v>215</v>
      </c>
      <c r="EN1761" s="316">
        <v>8</v>
      </c>
    </row>
    <row r="1762" spans="139:144" x14ac:dyDescent="0.4">
      <c r="EI1762" s="316">
        <v>2021</v>
      </c>
      <c r="EJ1762" s="316">
        <v>35</v>
      </c>
      <c r="EK1762" s="316" t="s">
        <v>211</v>
      </c>
      <c r="EL1762" s="316" t="s">
        <v>232</v>
      </c>
      <c r="EM1762" s="316" t="s">
        <v>210</v>
      </c>
      <c r="EN1762" s="316">
        <v>4</v>
      </c>
    </row>
    <row r="1763" spans="139:144" x14ac:dyDescent="0.4">
      <c r="EI1763" s="316">
        <v>2021</v>
      </c>
      <c r="EJ1763" s="316">
        <v>35</v>
      </c>
      <c r="EK1763" s="316" t="s">
        <v>211</v>
      </c>
      <c r="EL1763" s="316" t="s">
        <v>232</v>
      </c>
      <c r="EM1763" s="316" t="s">
        <v>234</v>
      </c>
      <c r="EN1763" s="316">
        <v>14</v>
      </c>
    </row>
    <row r="1764" spans="139:144" x14ac:dyDescent="0.4">
      <c r="EI1764" s="316">
        <v>2021</v>
      </c>
      <c r="EJ1764" s="316">
        <v>35</v>
      </c>
      <c r="EK1764" s="316" t="s">
        <v>211</v>
      </c>
      <c r="EL1764" s="316" t="s">
        <v>212</v>
      </c>
      <c r="EM1764" s="316" t="s">
        <v>210</v>
      </c>
      <c r="EN1764" s="316">
        <v>10</v>
      </c>
    </row>
    <row r="1765" spans="139:144" x14ac:dyDescent="0.4">
      <c r="EI1765" s="316">
        <v>2021</v>
      </c>
      <c r="EJ1765" s="316">
        <v>35</v>
      </c>
      <c r="EK1765" s="316" t="s">
        <v>211</v>
      </c>
      <c r="EL1765" s="316" t="s">
        <v>212</v>
      </c>
      <c r="EM1765" s="316" t="s">
        <v>234</v>
      </c>
      <c r="EN1765" s="316">
        <v>3</v>
      </c>
    </row>
    <row r="1766" spans="139:144" x14ac:dyDescent="0.4">
      <c r="EI1766" s="316">
        <v>2021</v>
      </c>
      <c r="EJ1766" s="316">
        <v>35</v>
      </c>
      <c r="EK1766" s="316" t="s">
        <v>211</v>
      </c>
      <c r="EL1766" s="316" t="s">
        <v>247</v>
      </c>
      <c r="EM1766" s="316" t="s">
        <v>234</v>
      </c>
      <c r="EN1766" s="316">
        <v>8</v>
      </c>
    </row>
    <row r="1767" spans="139:144" x14ac:dyDescent="0.4">
      <c r="EI1767" s="316">
        <v>2021</v>
      </c>
      <c r="EJ1767" s="316">
        <v>35</v>
      </c>
      <c r="EK1767" s="316" t="s">
        <v>213</v>
      </c>
      <c r="EL1767" s="316" t="s">
        <v>214</v>
      </c>
      <c r="EM1767" s="316" t="s">
        <v>215</v>
      </c>
      <c r="EN1767" s="316">
        <v>19</v>
      </c>
    </row>
    <row r="1768" spans="139:144" x14ac:dyDescent="0.4">
      <c r="EI1768" s="316">
        <v>2021</v>
      </c>
      <c r="EJ1768" s="316">
        <v>34</v>
      </c>
      <c r="EK1768" s="316" t="s">
        <v>208</v>
      </c>
      <c r="EL1768" s="316" t="s">
        <v>351</v>
      </c>
      <c r="EM1768" s="316" t="s">
        <v>215</v>
      </c>
      <c r="EN1768" s="316">
        <v>11</v>
      </c>
    </row>
    <row r="1769" spans="139:144" x14ac:dyDescent="0.4">
      <c r="EI1769" s="316">
        <v>2021</v>
      </c>
      <c r="EJ1769" s="316">
        <v>34</v>
      </c>
      <c r="EK1769" s="316" t="s">
        <v>208</v>
      </c>
      <c r="EL1769" s="316" t="s">
        <v>235</v>
      </c>
      <c r="EM1769" s="316" t="s">
        <v>210</v>
      </c>
      <c r="EN1769" s="316">
        <v>1</v>
      </c>
    </row>
    <row r="1770" spans="139:144" x14ac:dyDescent="0.4">
      <c r="EI1770" s="316">
        <v>2021</v>
      </c>
      <c r="EJ1770" s="316">
        <v>34</v>
      </c>
      <c r="EK1770" s="316" t="s">
        <v>208</v>
      </c>
      <c r="EL1770" s="316" t="s">
        <v>235</v>
      </c>
      <c r="EM1770" s="316" t="s">
        <v>215</v>
      </c>
      <c r="EN1770" s="316">
        <v>4</v>
      </c>
    </row>
    <row r="1771" spans="139:144" x14ac:dyDescent="0.4">
      <c r="EI1771" s="316">
        <v>2021</v>
      </c>
      <c r="EJ1771" s="316">
        <v>34</v>
      </c>
      <c r="EK1771" s="316" t="s">
        <v>208</v>
      </c>
      <c r="EL1771" s="316" t="s">
        <v>209</v>
      </c>
      <c r="EM1771" s="316" t="s">
        <v>210</v>
      </c>
      <c r="EN1771" s="316">
        <v>4</v>
      </c>
    </row>
    <row r="1772" spans="139:144" x14ac:dyDescent="0.4">
      <c r="EI1772" s="316">
        <v>2021</v>
      </c>
      <c r="EJ1772" s="316">
        <v>34</v>
      </c>
      <c r="EK1772" s="316" t="s">
        <v>208</v>
      </c>
      <c r="EL1772" s="316" t="s">
        <v>209</v>
      </c>
      <c r="EM1772" s="316" t="s">
        <v>215</v>
      </c>
      <c r="EN1772" s="316">
        <v>1</v>
      </c>
    </row>
    <row r="1773" spans="139:144" x14ac:dyDescent="0.4">
      <c r="EI1773" s="316">
        <v>2021</v>
      </c>
      <c r="EJ1773" s="316">
        <v>34</v>
      </c>
      <c r="EK1773" s="316" t="s">
        <v>208</v>
      </c>
      <c r="EL1773" s="316" t="s">
        <v>247</v>
      </c>
      <c r="EM1773" s="316" t="s">
        <v>210</v>
      </c>
      <c r="EN1773" s="316">
        <v>1</v>
      </c>
    </row>
    <row r="1774" spans="139:144" x14ac:dyDescent="0.4">
      <c r="EI1774" s="316">
        <v>2021</v>
      </c>
      <c r="EJ1774" s="316">
        <v>34</v>
      </c>
      <c r="EK1774" s="316" t="s">
        <v>33</v>
      </c>
      <c r="EL1774" s="316" t="s">
        <v>233</v>
      </c>
      <c r="EM1774" s="316" t="s">
        <v>210</v>
      </c>
      <c r="EN1774" s="316">
        <v>12</v>
      </c>
    </row>
    <row r="1775" spans="139:144" x14ac:dyDescent="0.4">
      <c r="EI1775" s="316">
        <v>2021</v>
      </c>
      <c r="EJ1775" s="316">
        <v>34</v>
      </c>
      <c r="EK1775" s="316" t="s">
        <v>33</v>
      </c>
      <c r="EL1775" s="316" t="s">
        <v>233</v>
      </c>
      <c r="EM1775" s="316" t="s">
        <v>215</v>
      </c>
      <c r="EN1775" s="316">
        <v>4</v>
      </c>
    </row>
    <row r="1776" spans="139:144" x14ac:dyDescent="0.4">
      <c r="EI1776" s="316">
        <v>2021</v>
      </c>
      <c r="EJ1776" s="316">
        <v>34</v>
      </c>
      <c r="EK1776" s="316" t="s">
        <v>33</v>
      </c>
      <c r="EL1776" s="316" t="s">
        <v>244</v>
      </c>
      <c r="EM1776" s="316" t="s">
        <v>210</v>
      </c>
      <c r="EN1776" s="316">
        <v>7</v>
      </c>
    </row>
    <row r="1777" spans="139:144" x14ac:dyDescent="0.4">
      <c r="EI1777" s="316">
        <v>2021</v>
      </c>
      <c r="EJ1777" s="316">
        <v>34</v>
      </c>
      <c r="EK1777" s="316" t="s">
        <v>211</v>
      </c>
      <c r="EL1777" s="316" t="s">
        <v>232</v>
      </c>
      <c r="EM1777" s="316" t="s">
        <v>234</v>
      </c>
      <c r="EN1777" s="316">
        <v>2</v>
      </c>
    </row>
    <row r="1778" spans="139:144" x14ac:dyDescent="0.4">
      <c r="EI1778" s="316">
        <v>2021</v>
      </c>
      <c r="EJ1778" s="316">
        <v>34</v>
      </c>
      <c r="EK1778" s="316" t="s">
        <v>211</v>
      </c>
      <c r="EL1778" s="316" t="s">
        <v>212</v>
      </c>
      <c r="EM1778" s="316" t="s">
        <v>210</v>
      </c>
      <c r="EN1778" s="316">
        <v>10</v>
      </c>
    </row>
    <row r="1779" spans="139:144" x14ac:dyDescent="0.4">
      <c r="EI1779" s="316">
        <v>2021</v>
      </c>
      <c r="EJ1779" s="316">
        <v>34</v>
      </c>
      <c r="EK1779" s="316" t="s">
        <v>211</v>
      </c>
      <c r="EL1779" s="316" t="s">
        <v>212</v>
      </c>
      <c r="EM1779" s="316" t="s">
        <v>234</v>
      </c>
      <c r="EN1779" s="316">
        <v>7</v>
      </c>
    </row>
    <row r="1780" spans="139:144" x14ac:dyDescent="0.4">
      <c r="EI1780" s="316">
        <v>2021</v>
      </c>
      <c r="EJ1780" s="316">
        <v>34</v>
      </c>
      <c r="EK1780" s="316" t="s">
        <v>211</v>
      </c>
      <c r="EL1780" s="316" t="s">
        <v>247</v>
      </c>
      <c r="EM1780" s="316" t="s">
        <v>234</v>
      </c>
      <c r="EN1780" s="316">
        <v>2</v>
      </c>
    </row>
    <row r="1781" spans="139:144" x14ac:dyDescent="0.4">
      <c r="EI1781" s="316">
        <v>2021</v>
      </c>
      <c r="EJ1781" s="316">
        <v>34</v>
      </c>
      <c r="EK1781" s="316" t="s">
        <v>213</v>
      </c>
      <c r="EL1781" s="316" t="s">
        <v>214</v>
      </c>
      <c r="EM1781" s="316" t="s">
        <v>215</v>
      </c>
      <c r="EN1781" s="316">
        <v>1</v>
      </c>
    </row>
    <row r="1782" spans="139:144" x14ac:dyDescent="0.4">
      <c r="EI1782" s="316">
        <v>2021</v>
      </c>
      <c r="EJ1782" s="316">
        <v>33</v>
      </c>
      <c r="EK1782" s="316" t="s">
        <v>208</v>
      </c>
      <c r="EL1782" s="316" t="s">
        <v>352</v>
      </c>
      <c r="EM1782" s="316" t="s">
        <v>210</v>
      </c>
      <c r="EN1782" s="316">
        <v>1</v>
      </c>
    </row>
    <row r="1783" spans="139:144" x14ac:dyDescent="0.4">
      <c r="EI1783" s="316">
        <v>2021</v>
      </c>
      <c r="EJ1783" s="316">
        <v>33</v>
      </c>
      <c r="EK1783" s="316" t="s">
        <v>208</v>
      </c>
      <c r="EL1783" s="316" t="s">
        <v>351</v>
      </c>
      <c r="EM1783" s="316" t="s">
        <v>215</v>
      </c>
      <c r="EN1783" s="316">
        <v>11</v>
      </c>
    </row>
    <row r="1784" spans="139:144" x14ac:dyDescent="0.4">
      <c r="EI1784" s="316">
        <v>2021</v>
      </c>
      <c r="EJ1784" s="316">
        <v>33</v>
      </c>
      <c r="EK1784" s="316" t="s">
        <v>208</v>
      </c>
      <c r="EL1784" s="316" t="s">
        <v>235</v>
      </c>
      <c r="EM1784" s="316" t="s">
        <v>210</v>
      </c>
      <c r="EN1784" s="316">
        <v>1</v>
      </c>
    </row>
    <row r="1785" spans="139:144" x14ac:dyDescent="0.4">
      <c r="EI1785" s="316">
        <v>2021</v>
      </c>
      <c r="EJ1785" s="316">
        <v>33</v>
      </c>
      <c r="EK1785" s="316" t="s">
        <v>208</v>
      </c>
      <c r="EL1785" s="316" t="s">
        <v>235</v>
      </c>
      <c r="EM1785" s="316" t="s">
        <v>215</v>
      </c>
      <c r="EN1785" s="316">
        <v>7</v>
      </c>
    </row>
    <row r="1786" spans="139:144" x14ac:dyDescent="0.4">
      <c r="EI1786" s="316">
        <v>2021</v>
      </c>
      <c r="EJ1786" s="316">
        <v>33</v>
      </c>
      <c r="EK1786" s="316" t="s">
        <v>208</v>
      </c>
      <c r="EL1786" s="316" t="s">
        <v>209</v>
      </c>
      <c r="EM1786" s="316" t="s">
        <v>210</v>
      </c>
      <c r="EN1786" s="316">
        <v>5</v>
      </c>
    </row>
    <row r="1787" spans="139:144" x14ac:dyDescent="0.4">
      <c r="EI1787" s="24">
        <v>2021</v>
      </c>
      <c r="EJ1787" s="24">
        <v>33</v>
      </c>
      <c r="EK1787" s="24" t="s">
        <v>208</v>
      </c>
      <c r="EL1787" s="24" t="s">
        <v>209</v>
      </c>
      <c r="EM1787" s="24" t="s">
        <v>215</v>
      </c>
      <c r="EN1787" s="24">
        <v>1</v>
      </c>
    </row>
    <row r="1788" spans="139:144" x14ac:dyDescent="0.4">
      <c r="EI1788" s="24">
        <v>2021</v>
      </c>
      <c r="EJ1788" s="24">
        <v>33</v>
      </c>
      <c r="EK1788" s="24" t="s">
        <v>33</v>
      </c>
      <c r="EL1788" s="24" t="s">
        <v>240</v>
      </c>
      <c r="EM1788" s="24" t="s">
        <v>210</v>
      </c>
      <c r="EN1788" s="24">
        <v>2</v>
      </c>
    </row>
    <row r="1789" spans="139:144" x14ac:dyDescent="0.4">
      <c r="EI1789" s="24">
        <v>2021</v>
      </c>
      <c r="EJ1789" s="24">
        <v>33</v>
      </c>
      <c r="EK1789" s="24" t="s">
        <v>33</v>
      </c>
      <c r="EL1789" s="24" t="s">
        <v>233</v>
      </c>
      <c r="EM1789" s="24" t="s">
        <v>210</v>
      </c>
      <c r="EN1789" s="24">
        <v>1</v>
      </c>
    </row>
    <row r="1790" spans="139:144" x14ac:dyDescent="0.4">
      <c r="EI1790" s="24">
        <v>2021</v>
      </c>
      <c r="EJ1790" s="24">
        <v>33</v>
      </c>
      <c r="EK1790" s="24" t="s">
        <v>33</v>
      </c>
      <c r="EL1790" s="24" t="s">
        <v>244</v>
      </c>
      <c r="EM1790" s="24" t="s">
        <v>210</v>
      </c>
      <c r="EN1790" s="24">
        <v>6</v>
      </c>
    </row>
    <row r="1791" spans="139:144" x14ac:dyDescent="0.4">
      <c r="EI1791" s="24">
        <v>2021</v>
      </c>
      <c r="EJ1791" s="24">
        <v>33</v>
      </c>
      <c r="EK1791" s="24" t="s">
        <v>33</v>
      </c>
      <c r="EL1791" s="24" t="s">
        <v>247</v>
      </c>
      <c r="EM1791" s="24" t="s">
        <v>210</v>
      </c>
      <c r="EN1791" s="24">
        <v>2</v>
      </c>
    </row>
    <row r="1792" spans="139:144" x14ac:dyDescent="0.4">
      <c r="EI1792" s="24">
        <v>2021</v>
      </c>
      <c r="EJ1792" s="24">
        <v>33</v>
      </c>
      <c r="EK1792" s="24" t="s">
        <v>211</v>
      </c>
      <c r="EL1792" s="24" t="s">
        <v>232</v>
      </c>
      <c r="EM1792" s="24" t="s">
        <v>210</v>
      </c>
      <c r="EN1792" s="24">
        <v>1</v>
      </c>
    </row>
    <row r="1793" spans="139:144" x14ac:dyDescent="0.4">
      <c r="EI1793" s="24">
        <v>2021</v>
      </c>
      <c r="EJ1793" s="24">
        <v>33</v>
      </c>
      <c r="EK1793" s="24" t="s">
        <v>211</v>
      </c>
      <c r="EL1793" s="24" t="s">
        <v>232</v>
      </c>
      <c r="EM1793" s="24" t="s">
        <v>234</v>
      </c>
      <c r="EN1793" s="24">
        <v>3</v>
      </c>
    </row>
    <row r="1794" spans="139:144" x14ac:dyDescent="0.4">
      <c r="EI1794" s="24">
        <v>2021</v>
      </c>
      <c r="EJ1794" s="24">
        <v>33</v>
      </c>
      <c r="EK1794" s="24" t="s">
        <v>211</v>
      </c>
      <c r="EL1794" s="24" t="s">
        <v>212</v>
      </c>
      <c r="EM1794" s="24" t="s">
        <v>210</v>
      </c>
      <c r="EN1794" s="24">
        <v>6</v>
      </c>
    </row>
    <row r="1795" spans="139:144" x14ac:dyDescent="0.4">
      <c r="EI1795" s="24">
        <v>2021</v>
      </c>
      <c r="EJ1795" s="24">
        <v>33</v>
      </c>
      <c r="EK1795" s="24" t="s">
        <v>211</v>
      </c>
      <c r="EL1795" s="24" t="s">
        <v>212</v>
      </c>
      <c r="EM1795" s="24" t="s">
        <v>234</v>
      </c>
      <c r="EN1795" s="24">
        <v>1</v>
      </c>
    </row>
    <row r="1796" spans="139:144" x14ac:dyDescent="0.4">
      <c r="EI1796" s="24">
        <v>2021</v>
      </c>
      <c r="EJ1796" s="24">
        <v>33</v>
      </c>
      <c r="EK1796" s="24" t="s">
        <v>211</v>
      </c>
      <c r="EL1796" s="24" t="s">
        <v>247</v>
      </c>
      <c r="EM1796" s="24" t="s">
        <v>210</v>
      </c>
      <c r="EN1796" s="24">
        <v>4</v>
      </c>
    </row>
    <row r="1797" spans="139:144" x14ac:dyDescent="0.4">
      <c r="EI1797" s="24">
        <v>2021</v>
      </c>
      <c r="EJ1797" s="24">
        <v>33</v>
      </c>
      <c r="EK1797" s="24" t="s">
        <v>211</v>
      </c>
      <c r="EL1797" s="24" t="s">
        <v>247</v>
      </c>
      <c r="EM1797" s="24" t="s">
        <v>234</v>
      </c>
      <c r="EN1797" s="24">
        <v>2</v>
      </c>
    </row>
    <row r="1798" spans="139:144" x14ac:dyDescent="0.4">
      <c r="EI1798" s="24">
        <v>2021</v>
      </c>
      <c r="EJ1798" s="24">
        <v>33</v>
      </c>
      <c r="EK1798" s="24" t="s">
        <v>213</v>
      </c>
      <c r="EL1798" s="24" t="s">
        <v>214</v>
      </c>
      <c r="EM1798" s="24" t="s">
        <v>215</v>
      </c>
      <c r="EN1798" s="24">
        <v>8</v>
      </c>
    </row>
    <row r="1799" spans="139:144" x14ac:dyDescent="0.4">
      <c r="EI1799" s="24">
        <v>2021</v>
      </c>
      <c r="EJ1799" s="24">
        <v>32</v>
      </c>
      <c r="EK1799" s="24" t="s">
        <v>208</v>
      </c>
      <c r="EL1799" s="24" t="s">
        <v>351</v>
      </c>
      <c r="EM1799" s="24" t="s">
        <v>215</v>
      </c>
      <c r="EN1799" s="24">
        <v>9</v>
      </c>
    </row>
    <row r="1800" spans="139:144" x14ac:dyDescent="0.4">
      <c r="EI1800" s="24">
        <v>2021</v>
      </c>
      <c r="EJ1800" s="24">
        <v>32</v>
      </c>
      <c r="EK1800" s="24" t="s">
        <v>208</v>
      </c>
      <c r="EL1800" s="24" t="s">
        <v>235</v>
      </c>
      <c r="EM1800" s="24" t="s">
        <v>210</v>
      </c>
      <c r="EN1800" s="24">
        <v>3</v>
      </c>
    </row>
    <row r="1801" spans="139:144" x14ac:dyDescent="0.4">
      <c r="EI1801" s="24">
        <v>2021</v>
      </c>
      <c r="EJ1801" s="24">
        <v>32</v>
      </c>
      <c r="EK1801" s="24" t="s">
        <v>208</v>
      </c>
      <c r="EL1801" s="24" t="s">
        <v>235</v>
      </c>
      <c r="EM1801" s="24" t="s">
        <v>215</v>
      </c>
      <c r="EN1801" s="24">
        <v>4</v>
      </c>
    </row>
    <row r="1802" spans="139:144" x14ac:dyDescent="0.4">
      <c r="EI1802" s="24">
        <v>2021</v>
      </c>
      <c r="EJ1802" s="24">
        <v>32</v>
      </c>
      <c r="EK1802" s="24" t="s">
        <v>208</v>
      </c>
      <c r="EL1802" s="24" t="s">
        <v>209</v>
      </c>
      <c r="EM1802" s="24" t="s">
        <v>210</v>
      </c>
      <c r="EN1802" s="24">
        <v>3</v>
      </c>
    </row>
    <row r="1803" spans="139:144" x14ac:dyDescent="0.4">
      <c r="EI1803" s="24">
        <v>2021</v>
      </c>
      <c r="EJ1803" s="24">
        <v>32</v>
      </c>
      <c r="EK1803" s="24" t="s">
        <v>33</v>
      </c>
      <c r="EL1803" s="24" t="s">
        <v>233</v>
      </c>
      <c r="EM1803" s="24" t="s">
        <v>210</v>
      </c>
      <c r="EN1803" s="24">
        <v>1</v>
      </c>
    </row>
    <row r="1804" spans="139:144" x14ac:dyDescent="0.4">
      <c r="EI1804" s="24">
        <v>2021</v>
      </c>
      <c r="EJ1804" s="24">
        <v>32</v>
      </c>
      <c r="EK1804" s="24" t="s">
        <v>33</v>
      </c>
      <c r="EL1804" s="24" t="s">
        <v>244</v>
      </c>
      <c r="EM1804" s="24" t="s">
        <v>210</v>
      </c>
      <c r="EN1804" s="24">
        <v>9</v>
      </c>
    </row>
    <row r="1805" spans="139:144" x14ac:dyDescent="0.4">
      <c r="EI1805" s="24">
        <v>2021</v>
      </c>
      <c r="EJ1805" s="24">
        <v>32</v>
      </c>
      <c r="EK1805" s="24" t="s">
        <v>33</v>
      </c>
      <c r="EL1805" s="24" t="s">
        <v>238</v>
      </c>
      <c r="EM1805" s="24" t="s">
        <v>215</v>
      </c>
      <c r="EN1805" s="24">
        <v>1</v>
      </c>
    </row>
    <row r="1806" spans="139:144" x14ac:dyDescent="0.4">
      <c r="EI1806" s="24">
        <v>2021</v>
      </c>
      <c r="EJ1806" s="24">
        <v>32</v>
      </c>
      <c r="EK1806" s="24" t="s">
        <v>211</v>
      </c>
      <c r="EL1806" s="24" t="s">
        <v>232</v>
      </c>
      <c r="EM1806" s="24" t="s">
        <v>210</v>
      </c>
      <c r="EN1806" s="24">
        <v>9</v>
      </c>
    </row>
    <row r="1807" spans="139:144" x14ac:dyDescent="0.4">
      <c r="EI1807" s="24">
        <v>2021</v>
      </c>
      <c r="EJ1807" s="24">
        <v>32</v>
      </c>
      <c r="EK1807" s="24" t="s">
        <v>211</v>
      </c>
      <c r="EL1807" s="24" t="s">
        <v>232</v>
      </c>
      <c r="EM1807" s="24" t="s">
        <v>234</v>
      </c>
      <c r="EN1807" s="24">
        <v>2</v>
      </c>
    </row>
    <row r="1808" spans="139:144" x14ac:dyDescent="0.4">
      <c r="EI1808" s="24">
        <v>2021</v>
      </c>
      <c r="EJ1808" s="24">
        <v>32</v>
      </c>
      <c r="EK1808" s="24" t="s">
        <v>211</v>
      </c>
      <c r="EL1808" s="24" t="s">
        <v>212</v>
      </c>
      <c r="EM1808" s="24" t="s">
        <v>210</v>
      </c>
      <c r="EN1808" s="24">
        <v>8</v>
      </c>
    </row>
    <row r="1809" spans="139:144" x14ac:dyDescent="0.4">
      <c r="EI1809" s="24">
        <v>2021</v>
      </c>
      <c r="EJ1809" s="24">
        <v>32</v>
      </c>
      <c r="EK1809" s="24" t="s">
        <v>211</v>
      </c>
      <c r="EL1809" s="24" t="s">
        <v>212</v>
      </c>
      <c r="EM1809" s="24" t="s">
        <v>234</v>
      </c>
      <c r="EN1809" s="24">
        <v>5</v>
      </c>
    </row>
    <row r="1810" spans="139:144" x14ac:dyDescent="0.4">
      <c r="EI1810" s="24">
        <v>2021</v>
      </c>
      <c r="EJ1810" s="24">
        <v>32</v>
      </c>
      <c r="EK1810" s="24" t="s">
        <v>211</v>
      </c>
      <c r="EL1810" s="24" t="s">
        <v>212</v>
      </c>
      <c r="EM1810" s="24" t="s">
        <v>215</v>
      </c>
      <c r="EN1810" s="24">
        <v>1</v>
      </c>
    </row>
    <row r="1811" spans="139:144" x14ac:dyDescent="0.4">
      <c r="EI1811" s="24">
        <v>2021</v>
      </c>
      <c r="EJ1811" s="24">
        <v>32</v>
      </c>
      <c r="EK1811" s="24" t="s">
        <v>211</v>
      </c>
      <c r="EL1811" s="24" t="s">
        <v>247</v>
      </c>
      <c r="EM1811" s="24" t="s">
        <v>210</v>
      </c>
      <c r="EN1811" s="24">
        <v>4</v>
      </c>
    </row>
    <row r="1812" spans="139:144" x14ac:dyDescent="0.4">
      <c r="EI1812" s="24">
        <v>2021</v>
      </c>
      <c r="EJ1812" s="24">
        <v>32</v>
      </c>
      <c r="EK1812" s="24" t="s">
        <v>211</v>
      </c>
      <c r="EL1812" s="24" t="s">
        <v>247</v>
      </c>
      <c r="EM1812" s="24" t="s">
        <v>234</v>
      </c>
      <c r="EN1812" s="24">
        <v>2</v>
      </c>
    </row>
    <row r="1813" spans="139:144" x14ac:dyDescent="0.4">
      <c r="EI1813" s="24">
        <v>2021</v>
      </c>
      <c r="EJ1813" s="24">
        <v>31</v>
      </c>
      <c r="EK1813" s="24" t="s">
        <v>208</v>
      </c>
      <c r="EL1813" s="24" t="s">
        <v>352</v>
      </c>
      <c r="EM1813" s="24" t="s">
        <v>210</v>
      </c>
      <c r="EN1813" s="24">
        <v>2</v>
      </c>
    </row>
    <row r="1814" spans="139:144" x14ac:dyDescent="0.4">
      <c r="EI1814" s="24">
        <v>2021</v>
      </c>
      <c r="EJ1814" s="24">
        <v>31</v>
      </c>
      <c r="EK1814" s="24" t="s">
        <v>208</v>
      </c>
      <c r="EL1814" s="24" t="s">
        <v>352</v>
      </c>
      <c r="EM1814" s="24" t="s">
        <v>215</v>
      </c>
      <c r="EN1814" s="24">
        <v>2</v>
      </c>
    </row>
    <row r="1815" spans="139:144" x14ac:dyDescent="0.4">
      <c r="EI1815" s="24">
        <v>2021</v>
      </c>
      <c r="EJ1815" s="24">
        <v>31</v>
      </c>
      <c r="EK1815" s="24" t="s">
        <v>208</v>
      </c>
      <c r="EL1815" s="24" t="s">
        <v>351</v>
      </c>
      <c r="EM1815" s="24" t="s">
        <v>210</v>
      </c>
      <c r="EN1815" s="24">
        <v>19</v>
      </c>
    </row>
    <row r="1816" spans="139:144" x14ac:dyDescent="0.4">
      <c r="EI1816" s="24">
        <v>2021</v>
      </c>
      <c r="EJ1816" s="24">
        <v>31</v>
      </c>
      <c r="EK1816" s="24" t="s">
        <v>208</v>
      </c>
      <c r="EL1816" s="24" t="s">
        <v>235</v>
      </c>
      <c r="EM1816" s="24" t="s">
        <v>210</v>
      </c>
      <c r="EN1816" s="24">
        <v>4</v>
      </c>
    </row>
    <row r="1817" spans="139:144" x14ac:dyDescent="0.4">
      <c r="EI1817" s="24">
        <v>2021</v>
      </c>
      <c r="EJ1817" s="24">
        <v>31</v>
      </c>
      <c r="EK1817" s="24" t="s">
        <v>208</v>
      </c>
      <c r="EL1817" s="24" t="s">
        <v>209</v>
      </c>
      <c r="EM1817" s="24" t="s">
        <v>210</v>
      </c>
      <c r="EN1817" s="24">
        <v>3</v>
      </c>
    </row>
    <row r="1818" spans="139:144" x14ac:dyDescent="0.4">
      <c r="EI1818" s="24">
        <v>2021</v>
      </c>
      <c r="EJ1818" s="24">
        <v>31</v>
      </c>
      <c r="EK1818" s="24" t="s">
        <v>208</v>
      </c>
      <c r="EL1818" s="24" t="s">
        <v>245</v>
      </c>
      <c r="EM1818" s="24" t="s">
        <v>215</v>
      </c>
      <c r="EN1818" s="24">
        <v>1</v>
      </c>
    </row>
    <row r="1819" spans="139:144" x14ac:dyDescent="0.4">
      <c r="EI1819" s="24">
        <v>2021</v>
      </c>
      <c r="EJ1819" s="24">
        <v>31</v>
      </c>
      <c r="EK1819" s="24" t="s">
        <v>33</v>
      </c>
      <c r="EL1819" s="24" t="s">
        <v>233</v>
      </c>
      <c r="EM1819" s="24" t="s">
        <v>210</v>
      </c>
      <c r="EN1819" s="24">
        <v>35</v>
      </c>
    </row>
    <row r="1820" spans="139:144" x14ac:dyDescent="0.4">
      <c r="EI1820" s="24">
        <v>2021</v>
      </c>
      <c r="EJ1820" s="24">
        <v>31</v>
      </c>
      <c r="EK1820" s="24" t="s">
        <v>211</v>
      </c>
      <c r="EL1820" s="24" t="s">
        <v>232</v>
      </c>
      <c r="EM1820" s="24" t="s">
        <v>210</v>
      </c>
      <c r="EN1820" s="24">
        <v>1</v>
      </c>
    </row>
    <row r="1821" spans="139:144" x14ac:dyDescent="0.4">
      <c r="EI1821" s="24">
        <v>2021</v>
      </c>
      <c r="EJ1821" s="24">
        <v>31</v>
      </c>
      <c r="EK1821" s="24" t="s">
        <v>211</v>
      </c>
      <c r="EL1821" s="24" t="s">
        <v>232</v>
      </c>
      <c r="EM1821" s="24" t="s">
        <v>234</v>
      </c>
      <c r="EN1821" s="24">
        <v>13</v>
      </c>
    </row>
    <row r="1822" spans="139:144" x14ac:dyDescent="0.4">
      <c r="EI1822" s="24">
        <v>2021</v>
      </c>
      <c r="EJ1822" s="24">
        <v>31</v>
      </c>
      <c r="EK1822" s="24" t="s">
        <v>211</v>
      </c>
      <c r="EL1822" s="24" t="s">
        <v>212</v>
      </c>
      <c r="EM1822" s="24" t="s">
        <v>210</v>
      </c>
      <c r="EN1822" s="24">
        <v>7</v>
      </c>
    </row>
    <row r="1823" spans="139:144" x14ac:dyDescent="0.4">
      <c r="EI1823" s="24">
        <v>2021</v>
      </c>
      <c r="EJ1823" s="24">
        <v>31</v>
      </c>
      <c r="EK1823" s="24" t="s">
        <v>211</v>
      </c>
      <c r="EL1823" s="24" t="s">
        <v>212</v>
      </c>
      <c r="EM1823" s="24" t="s">
        <v>234</v>
      </c>
      <c r="EN1823" s="24">
        <v>5</v>
      </c>
    </row>
    <row r="1824" spans="139:144" x14ac:dyDescent="0.4">
      <c r="EI1824" s="24">
        <v>2021</v>
      </c>
      <c r="EJ1824" s="24">
        <v>31</v>
      </c>
      <c r="EK1824" s="24" t="s">
        <v>211</v>
      </c>
      <c r="EL1824" s="24" t="s">
        <v>247</v>
      </c>
      <c r="EM1824" s="24" t="s">
        <v>210</v>
      </c>
      <c r="EN1824" s="24">
        <v>2</v>
      </c>
    </row>
    <row r="1825" spans="139:144" x14ac:dyDescent="0.4">
      <c r="EI1825" s="24">
        <v>2021</v>
      </c>
      <c r="EJ1825" s="24">
        <v>31</v>
      </c>
      <c r="EK1825" s="24" t="s">
        <v>211</v>
      </c>
      <c r="EL1825" s="24" t="s">
        <v>247</v>
      </c>
      <c r="EM1825" s="24" t="s">
        <v>234</v>
      </c>
      <c r="EN1825" s="24">
        <v>4</v>
      </c>
    </row>
    <row r="1826" spans="139:144" x14ac:dyDescent="0.4">
      <c r="EI1826" s="24">
        <v>2021</v>
      </c>
      <c r="EJ1826" s="24">
        <v>31</v>
      </c>
      <c r="EK1826" s="24" t="s">
        <v>211</v>
      </c>
      <c r="EL1826" s="24" t="s">
        <v>247</v>
      </c>
      <c r="EM1826" s="24" t="s">
        <v>215</v>
      </c>
      <c r="EN1826" s="24">
        <v>2</v>
      </c>
    </row>
    <row r="1827" spans="139:144" x14ac:dyDescent="0.4">
      <c r="EI1827" s="24">
        <v>2021</v>
      </c>
      <c r="EJ1827" s="24">
        <v>31</v>
      </c>
      <c r="EK1827" s="24" t="s">
        <v>213</v>
      </c>
      <c r="EL1827" s="24" t="s">
        <v>214</v>
      </c>
      <c r="EM1827" s="24" t="s">
        <v>215</v>
      </c>
      <c r="EN1827" s="24">
        <v>14</v>
      </c>
    </row>
    <row r="1828" spans="139:144" x14ac:dyDescent="0.4">
      <c r="EI1828" s="24">
        <v>2021</v>
      </c>
      <c r="EJ1828" s="24">
        <v>30</v>
      </c>
      <c r="EK1828" s="24" t="s">
        <v>208</v>
      </c>
      <c r="EL1828" s="24" t="s">
        <v>352</v>
      </c>
      <c r="EM1828" s="24" t="s">
        <v>210</v>
      </c>
      <c r="EN1828" s="24">
        <v>2</v>
      </c>
    </row>
    <row r="1829" spans="139:144" x14ac:dyDescent="0.4">
      <c r="EI1829" s="24">
        <v>2021</v>
      </c>
      <c r="EJ1829" s="24">
        <v>30</v>
      </c>
      <c r="EK1829" s="24" t="s">
        <v>208</v>
      </c>
      <c r="EL1829" s="24" t="s">
        <v>351</v>
      </c>
      <c r="EM1829" s="24" t="s">
        <v>210</v>
      </c>
      <c r="EN1829" s="24">
        <v>11</v>
      </c>
    </row>
    <row r="1830" spans="139:144" x14ac:dyDescent="0.4">
      <c r="EI1830" s="24">
        <v>2021</v>
      </c>
      <c r="EJ1830" s="24">
        <v>30</v>
      </c>
      <c r="EK1830" s="24" t="s">
        <v>208</v>
      </c>
      <c r="EL1830" s="24" t="s">
        <v>235</v>
      </c>
      <c r="EM1830" s="24" t="s">
        <v>210</v>
      </c>
      <c r="EN1830" s="24">
        <v>1</v>
      </c>
    </row>
    <row r="1831" spans="139:144" x14ac:dyDescent="0.4">
      <c r="EI1831" s="24">
        <v>2021</v>
      </c>
      <c r="EJ1831" s="24">
        <v>30</v>
      </c>
      <c r="EK1831" s="24" t="s">
        <v>208</v>
      </c>
      <c r="EL1831" s="24" t="s">
        <v>235</v>
      </c>
      <c r="EM1831" s="24" t="s">
        <v>215</v>
      </c>
      <c r="EN1831" s="24">
        <v>11</v>
      </c>
    </row>
    <row r="1832" spans="139:144" x14ac:dyDescent="0.4">
      <c r="EI1832" s="24">
        <v>2021</v>
      </c>
      <c r="EJ1832" s="24">
        <v>30</v>
      </c>
      <c r="EK1832" s="24" t="s">
        <v>208</v>
      </c>
      <c r="EL1832" s="24" t="s">
        <v>209</v>
      </c>
      <c r="EM1832" s="24" t="s">
        <v>210</v>
      </c>
      <c r="EN1832" s="24">
        <v>5</v>
      </c>
    </row>
    <row r="1833" spans="139:144" x14ac:dyDescent="0.4">
      <c r="EI1833" s="24">
        <v>2021</v>
      </c>
      <c r="EJ1833" s="24">
        <v>30</v>
      </c>
      <c r="EK1833" s="24" t="s">
        <v>208</v>
      </c>
      <c r="EL1833" s="24" t="s">
        <v>245</v>
      </c>
      <c r="EM1833" s="24" t="s">
        <v>210</v>
      </c>
      <c r="EN1833" s="24">
        <v>1</v>
      </c>
    </row>
    <row r="1834" spans="139:144" x14ac:dyDescent="0.4">
      <c r="EI1834" s="24">
        <v>2021</v>
      </c>
      <c r="EJ1834" s="24">
        <v>30</v>
      </c>
      <c r="EK1834" s="24" t="s">
        <v>33</v>
      </c>
      <c r="EL1834" s="24" t="s">
        <v>233</v>
      </c>
      <c r="EM1834" s="24" t="s">
        <v>210</v>
      </c>
      <c r="EN1834" s="24">
        <v>120</v>
      </c>
    </row>
    <row r="1835" spans="139:144" x14ac:dyDescent="0.4">
      <c r="EI1835" s="24">
        <v>2021</v>
      </c>
      <c r="EJ1835" s="24">
        <v>30</v>
      </c>
      <c r="EK1835" s="24" t="s">
        <v>33</v>
      </c>
      <c r="EL1835" s="24" t="s">
        <v>244</v>
      </c>
      <c r="EM1835" s="24" t="s">
        <v>210</v>
      </c>
      <c r="EN1835" s="24">
        <v>7</v>
      </c>
    </row>
    <row r="1836" spans="139:144" x14ac:dyDescent="0.4">
      <c r="EI1836" s="24">
        <v>2021</v>
      </c>
      <c r="EJ1836" s="24">
        <v>30</v>
      </c>
      <c r="EK1836" s="24" t="s">
        <v>33</v>
      </c>
      <c r="EL1836" s="24" t="s">
        <v>247</v>
      </c>
      <c r="EM1836" s="24" t="s">
        <v>210</v>
      </c>
      <c r="EN1836" s="24">
        <v>68</v>
      </c>
    </row>
    <row r="1837" spans="139:144" x14ac:dyDescent="0.4">
      <c r="EI1837" s="24">
        <v>2021</v>
      </c>
      <c r="EJ1837" s="24">
        <v>30</v>
      </c>
      <c r="EK1837" s="24" t="s">
        <v>211</v>
      </c>
      <c r="EL1837" s="24" t="s">
        <v>212</v>
      </c>
      <c r="EM1837" s="24" t="s">
        <v>210</v>
      </c>
      <c r="EN1837" s="24">
        <v>9</v>
      </c>
    </row>
    <row r="1838" spans="139:144" x14ac:dyDescent="0.4">
      <c r="EI1838" s="24">
        <v>2021</v>
      </c>
      <c r="EJ1838" s="24">
        <v>30</v>
      </c>
      <c r="EK1838" s="24" t="s">
        <v>211</v>
      </c>
      <c r="EL1838" s="24" t="s">
        <v>212</v>
      </c>
      <c r="EM1838" s="24" t="s">
        <v>234</v>
      </c>
      <c r="EN1838" s="24">
        <v>2</v>
      </c>
    </row>
    <row r="1839" spans="139:144" x14ac:dyDescent="0.4">
      <c r="EI1839" s="24">
        <v>2021</v>
      </c>
      <c r="EJ1839" s="24">
        <v>30</v>
      </c>
      <c r="EK1839" s="24" t="s">
        <v>211</v>
      </c>
      <c r="EL1839" s="24" t="s">
        <v>247</v>
      </c>
      <c r="EM1839" s="24" t="s">
        <v>210</v>
      </c>
      <c r="EN1839" s="24">
        <v>12</v>
      </c>
    </row>
    <row r="1840" spans="139:144" x14ac:dyDescent="0.4">
      <c r="EI1840" s="24">
        <v>2021</v>
      </c>
      <c r="EJ1840" s="24">
        <v>30</v>
      </c>
      <c r="EK1840" s="24" t="s">
        <v>211</v>
      </c>
      <c r="EL1840" s="24" t="s">
        <v>247</v>
      </c>
      <c r="EM1840" s="24" t="s">
        <v>234</v>
      </c>
      <c r="EN1840" s="24">
        <v>5</v>
      </c>
    </row>
    <row r="1841" spans="139:144" x14ac:dyDescent="0.4">
      <c r="EI1841" s="24">
        <v>2021</v>
      </c>
      <c r="EJ1841" s="24">
        <v>30</v>
      </c>
      <c r="EK1841" s="24" t="s">
        <v>213</v>
      </c>
      <c r="EL1841" s="24" t="s">
        <v>214</v>
      </c>
      <c r="EM1841" s="24" t="s">
        <v>215</v>
      </c>
      <c r="EN1841" s="24">
        <v>11</v>
      </c>
    </row>
    <row r="1842" spans="139:144" x14ac:dyDescent="0.4">
      <c r="EI1842" s="24">
        <v>2021</v>
      </c>
      <c r="EJ1842" s="24">
        <v>29</v>
      </c>
      <c r="EK1842" s="24" t="s">
        <v>208</v>
      </c>
      <c r="EL1842" s="24" t="s">
        <v>351</v>
      </c>
      <c r="EM1842" s="24" t="s">
        <v>210</v>
      </c>
      <c r="EN1842" s="24">
        <v>1</v>
      </c>
    </row>
    <row r="1843" spans="139:144" x14ac:dyDescent="0.4">
      <c r="EI1843" s="24">
        <v>2021</v>
      </c>
      <c r="EJ1843" s="24">
        <v>29</v>
      </c>
      <c r="EK1843" s="24" t="s">
        <v>208</v>
      </c>
      <c r="EL1843" s="24" t="s">
        <v>351</v>
      </c>
      <c r="EM1843" s="24" t="s">
        <v>215</v>
      </c>
      <c r="EN1843" s="24">
        <v>4</v>
      </c>
    </row>
    <row r="1844" spans="139:144" x14ac:dyDescent="0.4">
      <c r="EI1844" s="24">
        <v>2021</v>
      </c>
      <c r="EJ1844" s="24">
        <v>29</v>
      </c>
      <c r="EK1844" s="24" t="s">
        <v>208</v>
      </c>
      <c r="EL1844" s="24" t="s">
        <v>235</v>
      </c>
      <c r="EM1844" s="24" t="s">
        <v>210</v>
      </c>
      <c r="EN1844" s="24">
        <v>8</v>
      </c>
    </row>
    <row r="1845" spans="139:144" x14ac:dyDescent="0.4">
      <c r="EI1845" s="24">
        <v>2021</v>
      </c>
      <c r="EJ1845" s="24">
        <v>29</v>
      </c>
      <c r="EK1845" s="24" t="s">
        <v>208</v>
      </c>
      <c r="EL1845" s="24" t="s">
        <v>235</v>
      </c>
      <c r="EM1845" s="24" t="s">
        <v>215</v>
      </c>
      <c r="EN1845" s="24">
        <v>15</v>
      </c>
    </row>
    <row r="1846" spans="139:144" x14ac:dyDescent="0.4">
      <c r="EI1846" s="24">
        <v>2021</v>
      </c>
      <c r="EJ1846" s="24">
        <v>29</v>
      </c>
      <c r="EK1846" s="24" t="s">
        <v>208</v>
      </c>
      <c r="EL1846" s="24" t="s">
        <v>209</v>
      </c>
      <c r="EM1846" s="24" t="s">
        <v>210</v>
      </c>
      <c r="EN1846" s="24">
        <v>8</v>
      </c>
    </row>
    <row r="1847" spans="139:144" x14ac:dyDescent="0.4">
      <c r="EI1847" s="24">
        <v>2021</v>
      </c>
      <c r="EJ1847" s="24">
        <v>29</v>
      </c>
      <c r="EK1847" s="24" t="s">
        <v>33</v>
      </c>
      <c r="EL1847" s="24" t="s">
        <v>240</v>
      </c>
      <c r="EM1847" s="24" t="s">
        <v>210</v>
      </c>
      <c r="EN1847" s="24">
        <v>1</v>
      </c>
    </row>
    <row r="1848" spans="139:144" x14ac:dyDescent="0.4">
      <c r="EI1848" s="24">
        <v>2021</v>
      </c>
      <c r="EJ1848" s="24">
        <v>29</v>
      </c>
      <c r="EK1848" s="24" t="s">
        <v>33</v>
      </c>
      <c r="EL1848" s="24" t="s">
        <v>240</v>
      </c>
      <c r="EM1848" s="24" t="s">
        <v>215</v>
      </c>
      <c r="EN1848" s="24">
        <v>1</v>
      </c>
    </row>
    <row r="1849" spans="139:144" x14ac:dyDescent="0.4">
      <c r="EI1849" s="24">
        <v>2021</v>
      </c>
      <c r="EJ1849" s="24">
        <v>29</v>
      </c>
      <c r="EK1849" s="24" t="s">
        <v>33</v>
      </c>
      <c r="EL1849" s="24" t="s">
        <v>233</v>
      </c>
      <c r="EM1849" s="24" t="s">
        <v>215</v>
      </c>
      <c r="EN1849" s="24">
        <v>1</v>
      </c>
    </row>
    <row r="1850" spans="139:144" x14ac:dyDescent="0.4">
      <c r="EI1850" s="24">
        <v>2021</v>
      </c>
      <c r="EJ1850" s="24">
        <v>29</v>
      </c>
      <c r="EK1850" s="24" t="s">
        <v>33</v>
      </c>
      <c r="EL1850" s="24" t="s">
        <v>244</v>
      </c>
      <c r="EM1850" s="24" t="s">
        <v>210</v>
      </c>
      <c r="EN1850" s="24">
        <v>13</v>
      </c>
    </row>
    <row r="1851" spans="139:144" x14ac:dyDescent="0.4">
      <c r="EI1851" s="24">
        <v>2021</v>
      </c>
      <c r="EJ1851" s="24">
        <v>29</v>
      </c>
      <c r="EK1851" s="24" t="s">
        <v>33</v>
      </c>
      <c r="EL1851" s="24" t="s">
        <v>236</v>
      </c>
      <c r="EM1851" s="24" t="s">
        <v>210</v>
      </c>
      <c r="EN1851" s="24">
        <v>2</v>
      </c>
    </row>
    <row r="1852" spans="139:144" x14ac:dyDescent="0.4">
      <c r="EI1852" s="24">
        <v>2021</v>
      </c>
      <c r="EJ1852" s="24">
        <v>29</v>
      </c>
      <c r="EK1852" s="24" t="s">
        <v>211</v>
      </c>
      <c r="EL1852" s="24" t="s">
        <v>232</v>
      </c>
      <c r="EM1852" s="24" t="s">
        <v>210</v>
      </c>
      <c r="EN1852" s="24">
        <v>18</v>
      </c>
    </row>
    <row r="1853" spans="139:144" x14ac:dyDescent="0.4">
      <c r="EI1853" s="24">
        <v>2021</v>
      </c>
      <c r="EJ1853" s="24">
        <v>29</v>
      </c>
      <c r="EK1853" s="24" t="s">
        <v>211</v>
      </c>
      <c r="EL1853" s="24" t="s">
        <v>232</v>
      </c>
      <c r="EM1853" s="24" t="s">
        <v>234</v>
      </c>
      <c r="EN1853" s="24">
        <v>2</v>
      </c>
    </row>
    <row r="1854" spans="139:144" x14ac:dyDescent="0.4">
      <c r="EI1854" s="24">
        <v>2021</v>
      </c>
      <c r="EJ1854" s="24">
        <v>29</v>
      </c>
      <c r="EK1854" s="24" t="s">
        <v>211</v>
      </c>
      <c r="EL1854" s="24" t="s">
        <v>212</v>
      </c>
      <c r="EM1854" s="24" t="s">
        <v>210</v>
      </c>
      <c r="EN1854" s="24">
        <v>10</v>
      </c>
    </row>
    <row r="1855" spans="139:144" x14ac:dyDescent="0.4">
      <c r="EI1855" s="24">
        <v>2021</v>
      </c>
      <c r="EJ1855" s="24">
        <v>29</v>
      </c>
      <c r="EK1855" s="24" t="s">
        <v>211</v>
      </c>
      <c r="EL1855" s="24" t="s">
        <v>212</v>
      </c>
      <c r="EM1855" s="24" t="s">
        <v>234</v>
      </c>
      <c r="EN1855" s="24">
        <v>6</v>
      </c>
    </row>
    <row r="1856" spans="139:144" x14ac:dyDescent="0.4">
      <c r="EI1856" s="317">
        <v>2021</v>
      </c>
      <c r="EJ1856" s="317">
        <v>29</v>
      </c>
      <c r="EK1856" s="317" t="s">
        <v>211</v>
      </c>
      <c r="EL1856" s="317" t="s">
        <v>247</v>
      </c>
      <c r="EM1856" s="317" t="s">
        <v>234</v>
      </c>
      <c r="EN1856" s="317">
        <v>2</v>
      </c>
    </row>
    <row r="1857" spans="139:144" x14ac:dyDescent="0.4">
      <c r="EI1857" s="317">
        <v>2021</v>
      </c>
      <c r="EJ1857" s="317">
        <v>29</v>
      </c>
      <c r="EK1857" s="317" t="s">
        <v>213</v>
      </c>
      <c r="EL1857" s="317" t="s">
        <v>214</v>
      </c>
      <c r="EM1857" s="317" t="s">
        <v>215</v>
      </c>
      <c r="EN1857" s="317">
        <v>8</v>
      </c>
    </row>
    <row r="1858" spans="139:144" x14ac:dyDescent="0.4">
      <c r="EI1858" s="317">
        <v>2021</v>
      </c>
      <c r="EJ1858" s="317">
        <v>28</v>
      </c>
      <c r="EK1858" s="317" t="s">
        <v>208</v>
      </c>
      <c r="EL1858" s="317" t="s">
        <v>352</v>
      </c>
      <c r="EM1858" s="317" t="s">
        <v>210</v>
      </c>
      <c r="EN1858" s="317">
        <v>1</v>
      </c>
    </row>
    <row r="1859" spans="139:144" x14ac:dyDescent="0.4">
      <c r="EI1859" s="317">
        <v>2021</v>
      </c>
      <c r="EJ1859" s="317">
        <v>28</v>
      </c>
      <c r="EK1859" s="317" t="s">
        <v>208</v>
      </c>
      <c r="EL1859" s="317" t="s">
        <v>235</v>
      </c>
      <c r="EM1859" s="317" t="s">
        <v>215</v>
      </c>
      <c r="EN1859" s="317">
        <v>4</v>
      </c>
    </row>
    <row r="1860" spans="139:144" x14ac:dyDescent="0.4">
      <c r="EI1860" s="317">
        <v>2021</v>
      </c>
      <c r="EJ1860" s="317">
        <v>28</v>
      </c>
      <c r="EK1860" s="317" t="s">
        <v>208</v>
      </c>
      <c r="EL1860" s="317" t="s">
        <v>209</v>
      </c>
      <c r="EM1860" s="317" t="s">
        <v>210</v>
      </c>
      <c r="EN1860" s="317">
        <v>6</v>
      </c>
    </row>
    <row r="1861" spans="139:144" x14ac:dyDescent="0.4">
      <c r="EI1861" s="317">
        <v>2021</v>
      </c>
      <c r="EJ1861" s="317">
        <v>28</v>
      </c>
      <c r="EK1861" s="317" t="s">
        <v>33</v>
      </c>
      <c r="EL1861" s="317" t="s">
        <v>240</v>
      </c>
      <c r="EM1861" s="317" t="s">
        <v>215</v>
      </c>
      <c r="EN1861" s="317">
        <v>1</v>
      </c>
    </row>
    <row r="1862" spans="139:144" x14ac:dyDescent="0.4">
      <c r="EI1862" s="317">
        <v>2021</v>
      </c>
      <c r="EJ1862" s="317">
        <v>28</v>
      </c>
      <c r="EK1862" s="317" t="s">
        <v>33</v>
      </c>
      <c r="EL1862" s="317" t="s">
        <v>233</v>
      </c>
      <c r="EM1862" s="317" t="s">
        <v>210</v>
      </c>
      <c r="EN1862" s="317">
        <v>2</v>
      </c>
    </row>
    <row r="1863" spans="139:144" x14ac:dyDescent="0.4">
      <c r="EI1863" s="317">
        <v>2021</v>
      </c>
      <c r="EJ1863" s="317">
        <v>28</v>
      </c>
      <c r="EK1863" s="317" t="s">
        <v>33</v>
      </c>
      <c r="EL1863" s="317" t="s">
        <v>247</v>
      </c>
      <c r="EM1863" s="317" t="s">
        <v>215</v>
      </c>
      <c r="EN1863" s="317">
        <v>2</v>
      </c>
    </row>
    <row r="1864" spans="139:144" x14ac:dyDescent="0.4">
      <c r="EI1864" s="317">
        <v>2021</v>
      </c>
      <c r="EJ1864" s="317">
        <v>28</v>
      </c>
      <c r="EK1864" s="317" t="s">
        <v>211</v>
      </c>
      <c r="EL1864" s="317" t="s">
        <v>232</v>
      </c>
      <c r="EM1864" s="317" t="s">
        <v>210</v>
      </c>
      <c r="EN1864" s="317">
        <v>4</v>
      </c>
    </row>
    <row r="1865" spans="139:144" x14ac:dyDescent="0.4">
      <c r="EI1865" s="317">
        <v>2021</v>
      </c>
      <c r="EJ1865" s="317">
        <v>28</v>
      </c>
      <c r="EK1865" s="317" t="s">
        <v>211</v>
      </c>
      <c r="EL1865" s="317" t="s">
        <v>232</v>
      </c>
      <c r="EM1865" s="317" t="s">
        <v>234</v>
      </c>
      <c r="EN1865" s="317">
        <v>14</v>
      </c>
    </row>
    <row r="1866" spans="139:144" x14ac:dyDescent="0.4">
      <c r="EI1866" s="317">
        <v>2021</v>
      </c>
      <c r="EJ1866" s="317">
        <v>28</v>
      </c>
      <c r="EK1866" s="317" t="s">
        <v>211</v>
      </c>
      <c r="EL1866" s="317" t="s">
        <v>212</v>
      </c>
      <c r="EM1866" s="317" t="s">
        <v>210</v>
      </c>
      <c r="EN1866" s="317">
        <v>11</v>
      </c>
    </row>
    <row r="1867" spans="139:144" x14ac:dyDescent="0.4">
      <c r="EI1867" s="317">
        <v>2021</v>
      </c>
      <c r="EJ1867" s="317">
        <v>28</v>
      </c>
      <c r="EK1867" s="317" t="s">
        <v>211</v>
      </c>
      <c r="EL1867" s="317" t="s">
        <v>212</v>
      </c>
      <c r="EM1867" s="317" t="s">
        <v>234</v>
      </c>
      <c r="EN1867" s="317">
        <v>4</v>
      </c>
    </row>
    <row r="1868" spans="139:144" x14ac:dyDescent="0.4">
      <c r="EI1868" s="317">
        <v>2021</v>
      </c>
      <c r="EJ1868" s="317">
        <v>28</v>
      </c>
      <c r="EK1868" s="317" t="s">
        <v>211</v>
      </c>
      <c r="EL1868" s="317" t="s">
        <v>247</v>
      </c>
      <c r="EM1868" s="317" t="s">
        <v>210</v>
      </c>
      <c r="EN1868" s="317">
        <v>6</v>
      </c>
    </row>
    <row r="1869" spans="139:144" x14ac:dyDescent="0.4">
      <c r="EI1869" s="317">
        <v>2021</v>
      </c>
      <c r="EJ1869" s="317">
        <v>28</v>
      </c>
      <c r="EK1869" s="317" t="s">
        <v>211</v>
      </c>
      <c r="EL1869" s="317" t="s">
        <v>247</v>
      </c>
      <c r="EM1869" s="317" t="s">
        <v>234</v>
      </c>
      <c r="EN1869" s="317">
        <v>6</v>
      </c>
    </row>
    <row r="1870" spans="139:144" x14ac:dyDescent="0.4">
      <c r="EI1870" s="317">
        <v>2021</v>
      </c>
      <c r="EJ1870" s="317">
        <v>28</v>
      </c>
      <c r="EK1870" s="317" t="s">
        <v>213</v>
      </c>
      <c r="EL1870" s="317" t="s">
        <v>214</v>
      </c>
      <c r="EM1870" s="317" t="s">
        <v>215</v>
      </c>
      <c r="EN1870" s="317">
        <v>20</v>
      </c>
    </row>
    <row r="1871" spans="139:144" x14ac:dyDescent="0.4">
      <c r="EI1871" s="317">
        <v>2021</v>
      </c>
      <c r="EJ1871" s="317">
        <v>27</v>
      </c>
      <c r="EK1871" s="317" t="s">
        <v>208</v>
      </c>
      <c r="EL1871" s="317" t="s">
        <v>352</v>
      </c>
      <c r="EM1871" s="317" t="s">
        <v>210</v>
      </c>
      <c r="EN1871" s="317">
        <v>1</v>
      </c>
    </row>
    <row r="1872" spans="139:144" x14ac:dyDescent="0.4">
      <c r="EI1872" s="317">
        <v>2021</v>
      </c>
      <c r="EJ1872" s="317">
        <v>27</v>
      </c>
      <c r="EK1872" s="317" t="s">
        <v>208</v>
      </c>
      <c r="EL1872" s="317" t="s">
        <v>351</v>
      </c>
      <c r="EM1872" s="317" t="s">
        <v>215</v>
      </c>
      <c r="EN1872" s="317">
        <v>3</v>
      </c>
    </row>
    <row r="1873" spans="139:144" x14ac:dyDescent="0.4">
      <c r="EI1873" s="317">
        <v>2021</v>
      </c>
      <c r="EJ1873" s="317">
        <v>27</v>
      </c>
      <c r="EK1873" s="317" t="s">
        <v>208</v>
      </c>
      <c r="EL1873" s="317" t="s">
        <v>235</v>
      </c>
      <c r="EM1873" s="317" t="s">
        <v>215</v>
      </c>
      <c r="EN1873" s="317">
        <v>3</v>
      </c>
    </row>
    <row r="1874" spans="139:144" x14ac:dyDescent="0.4">
      <c r="EI1874" s="317">
        <v>2021</v>
      </c>
      <c r="EJ1874" s="317">
        <v>27</v>
      </c>
      <c r="EK1874" s="317" t="s">
        <v>208</v>
      </c>
      <c r="EL1874" s="317" t="s">
        <v>209</v>
      </c>
      <c r="EM1874" s="317" t="s">
        <v>210</v>
      </c>
      <c r="EN1874" s="317">
        <v>1</v>
      </c>
    </row>
    <row r="1875" spans="139:144" x14ac:dyDescent="0.4">
      <c r="EI1875" s="317">
        <v>2021</v>
      </c>
      <c r="EJ1875" s="317">
        <v>27</v>
      </c>
      <c r="EK1875" s="317" t="s">
        <v>33</v>
      </c>
      <c r="EL1875" s="317" t="s">
        <v>233</v>
      </c>
      <c r="EM1875" s="317" t="s">
        <v>215</v>
      </c>
      <c r="EN1875" s="317">
        <v>1</v>
      </c>
    </row>
    <row r="1876" spans="139:144" x14ac:dyDescent="0.4">
      <c r="EI1876" s="317">
        <v>2021</v>
      </c>
      <c r="EJ1876" s="317">
        <v>27</v>
      </c>
      <c r="EK1876" s="317" t="s">
        <v>211</v>
      </c>
      <c r="EL1876" s="317" t="s">
        <v>232</v>
      </c>
      <c r="EM1876" s="317" t="s">
        <v>210</v>
      </c>
      <c r="EN1876" s="317">
        <v>2</v>
      </c>
    </row>
    <row r="1877" spans="139:144" x14ac:dyDescent="0.4">
      <c r="EI1877" s="317">
        <v>2021</v>
      </c>
      <c r="EJ1877" s="317">
        <v>27</v>
      </c>
      <c r="EK1877" s="317" t="s">
        <v>211</v>
      </c>
      <c r="EL1877" s="317" t="s">
        <v>232</v>
      </c>
      <c r="EM1877" s="317" t="s">
        <v>234</v>
      </c>
      <c r="EN1877" s="317">
        <v>2</v>
      </c>
    </row>
    <row r="1878" spans="139:144" x14ac:dyDescent="0.4">
      <c r="EI1878" s="317">
        <v>2021</v>
      </c>
      <c r="EJ1878" s="317">
        <v>27</v>
      </c>
      <c r="EK1878" s="317" t="s">
        <v>211</v>
      </c>
      <c r="EL1878" s="317" t="s">
        <v>212</v>
      </c>
      <c r="EM1878" s="317" t="s">
        <v>210</v>
      </c>
      <c r="EN1878" s="317">
        <v>9</v>
      </c>
    </row>
    <row r="1879" spans="139:144" x14ac:dyDescent="0.4">
      <c r="EI1879" s="317">
        <v>2021</v>
      </c>
      <c r="EJ1879" s="317">
        <v>27</v>
      </c>
      <c r="EK1879" s="317" t="s">
        <v>211</v>
      </c>
      <c r="EL1879" s="317" t="s">
        <v>212</v>
      </c>
      <c r="EM1879" s="317" t="s">
        <v>234</v>
      </c>
      <c r="EN1879" s="317">
        <v>7</v>
      </c>
    </row>
    <row r="1880" spans="139:144" x14ac:dyDescent="0.4">
      <c r="EI1880" s="317">
        <v>2021</v>
      </c>
      <c r="EJ1880" s="317">
        <v>27</v>
      </c>
      <c r="EK1880" s="317" t="s">
        <v>211</v>
      </c>
      <c r="EL1880" s="317" t="s">
        <v>247</v>
      </c>
      <c r="EM1880" s="317" t="s">
        <v>210</v>
      </c>
      <c r="EN1880" s="317">
        <v>6</v>
      </c>
    </row>
    <row r="1881" spans="139:144" x14ac:dyDescent="0.4">
      <c r="EI1881" s="317">
        <v>2021</v>
      </c>
      <c r="EJ1881" s="317">
        <v>27</v>
      </c>
      <c r="EK1881" s="317" t="s">
        <v>211</v>
      </c>
      <c r="EL1881" s="317" t="s">
        <v>247</v>
      </c>
      <c r="EM1881" s="317" t="s">
        <v>234</v>
      </c>
      <c r="EN1881" s="317">
        <v>6</v>
      </c>
    </row>
    <row r="1882" spans="139:144" x14ac:dyDescent="0.4">
      <c r="EI1882" s="317">
        <v>2021</v>
      </c>
      <c r="EJ1882" s="317">
        <v>27</v>
      </c>
      <c r="EK1882" s="317" t="s">
        <v>213</v>
      </c>
      <c r="EL1882" s="317" t="s">
        <v>214</v>
      </c>
      <c r="EM1882" s="317" t="s">
        <v>215</v>
      </c>
      <c r="EN1882" s="317">
        <v>4</v>
      </c>
    </row>
    <row r="1883" spans="139:144" x14ac:dyDescent="0.4">
      <c r="EI1883" s="317">
        <v>2021</v>
      </c>
      <c r="EJ1883" s="317">
        <v>26</v>
      </c>
      <c r="EK1883" s="317" t="s">
        <v>208</v>
      </c>
      <c r="EL1883" s="317" t="s">
        <v>351</v>
      </c>
      <c r="EM1883" s="317" t="s">
        <v>215</v>
      </c>
      <c r="EN1883" s="317">
        <v>3</v>
      </c>
    </row>
    <row r="1884" spans="139:144" x14ac:dyDescent="0.4">
      <c r="EI1884" s="317">
        <v>2021</v>
      </c>
      <c r="EJ1884" s="317">
        <v>26</v>
      </c>
      <c r="EK1884" s="317" t="s">
        <v>208</v>
      </c>
      <c r="EL1884" s="317" t="s">
        <v>209</v>
      </c>
      <c r="EM1884" s="317" t="s">
        <v>210</v>
      </c>
      <c r="EN1884" s="317">
        <v>6</v>
      </c>
    </row>
    <row r="1885" spans="139:144" x14ac:dyDescent="0.4">
      <c r="EI1885" s="317">
        <v>2021</v>
      </c>
      <c r="EJ1885" s="317">
        <v>26</v>
      </c>
      <c r="EK1885" s="317" t="s">
        <v>33</v>
      </c>
      <c r="EL1885" s="317" t="s">
        <v>233</v>
      </c>
      <c r="EM1885" s="317" t="s">
        <v>210</v>
      </c>
      <c r="EN1885" s="317">
        <v>2</v>
      </c>
    </row>
    <row r="1886" spans="139:144" x14ac:dyDescent="0.4">
      <c r="EI1886" s="317">
        <v>2021</v>
      </c>
      <c r="EJ1886" s="317">
        <v>26</v>
      </c>
      <c r="EK1886" s="317" t="s">
        <v>33</v>
      </c>
      <c r="EL1886" s="317" t="s">
        <v>233</v>
      </c>
      <c r="EM1886" s="317" t="s">
        <v>215</v>
      </c>
      <c r="EN1886" s="317">
        <v>2</v>
      </c>
    </row>
    <row r="1887" spans="139:144" x14ac:dyDescent="0.4">
      <c r="EI1887" s="317">
        <v>2021</v>
      </c>
      <c r="EJ1887" s="317">
        <v>26</v>
      </c>
      <c r="EK1887" s="317" t="s">
        <v>33</v>
      </c>
      <c r="EL1887" s="317" t="s">
        <v>244</v>
      </c>
      <c r="EM1887" s="317" t="s">
        <v>210</v>
      </c>
      <c r="EN1887" s="317">
        <v>19</v>
      </c>
    </row>
    <row r="1888" spans="139:144" x14ac:dyDescent="0.4">
      <c r="EI1888" s="317">
        <v>2021</v>
      </c>
      <c r="EJ1888" s="317">
        <v>26</v>
      </c>
      <c r="EK1888" s="317" t="s">
        <v>33</v>
      </c>
      <c r="EL1888" s="317" t="s">
        <v>236</v>
      </c>
      <c r="EM1888" s="317" t="s">
        <v>210</v>
      </c>
      <c r="EN1888" s="317">
        <v>1</v>
      </c>
    </row>
    <row r="1889" spans="139:144" x14ac:dyDescent="0.4">
      <c r="EI1889" s="317">
        <v>2021</v>
      </c>
      <c r="EJ1889" s="317">
        <v>26</v>
      </c>
      <c r="EK1889" s="317" t="s">
        <v>211</v>
      </c>
      <c r="EL1889" s="317" t="s">
        <v>232</v>
      </c>
      <c r="EM1889" s="317" t="s">
        <v>234</v>
      </c>
      <c r="EN1889" s="317">
        <v>1</v>
      </c>
    </row>
    <row r="1890" spans="139:144" x14ac:dyDescent="0.4">
      <c r="EI1890" s="24">
        <v>2021</v>
      </c>
      <c r="EJ1890" s="24">
        <v>26</v>
      </c>
      <c r="EK1890" s="24" t="s">
        <v>211</v>
      </c>
      <c r="EL1890" s="24" t="s">
        <v>212</v>
      </c>
      <c r="EM1890" s="24" t="s">
        <v>210</v>
      </c>
      <c r="EN1890" s="24">
        <v>14</v>
      </c>
    </row>
    <row r="1891" spans="139:144" x14ac:dyDescent="0.4">
      <c r="EI1891" s="24">
        <v>2021</v>
      </c>
      <c r="EJ1891" s="24">
        <v>26</v>
      </c>
      <c r="EK1891" s="24" t="s">
        <v>211</v>
      </c>
      <c r="EL1891" s="24" t="s">
        <v>212</v>
      </c>
      <c r="EM1891" s="24" t="s">
        <v>234</v>
      </c>
      <c r="EN1891" s="24">
        <v>7</v>
      </c>
    </row>
    <row r="1892" spans="139:144" x14ac:dyDescent="0.4">
      <c r="EI1892" s="24">
        <v>2021</v>
      </c>
      <c r="EJ1892" s="24">
        <v>26</v>
      </c>
      <c r="EK1892" s="24" t="s">
        <v>211</v>
      </c>
      <c r="EL1892" s="24" t="s">
        <v>247</v>
      </c>
      <c r="EM1892" s="24" t="s">
        <v>210</v>
      </c>
      <c r="EN1892" s="24">
        <v>17</v>
      </c>
    </row>
    <row r="1893" spans="139:144" x14ac:dyDescent="0.4">
      <c r="EI1893" s="24">
        <v>2021</v>
      </c>
      <c r="EJ1893" s="24">
        <v>26</v>
      </c>
      <c r="EK1893" s="24" t="s">
        <v>211</v>
      </c>
      <c r="EL1893" s="24" t="s">
        <v>247</v>
      </c>
      <c r="EM1893" s="24" t="s">
        <v>234</v>
      </c>
      <c r="EN1893" s="24">
        <v>6</v>
      </c>
    </row>
    <row r="1894" spans="139:144" x14ac:dyDescent="0.4">
      <c r="EI1894" s="24">
        <v>2021</v>
      </c>
      <c r="EJ1894" s="24">
        <v>25</v>
      </c>
      <c r="EK1894" s="24" t="s">
        <v>208</v>
      </c>
      <c r="EL1894" s="24" t="s">
        <v>351</v>
      </c>
      <c r="EM1894" s="24" t="s">
        <v>215</v>
      </c>
      <c r="EN1894" s="24">
        <v>11</v>
      </c>
    </row>
    <row r="1895" spans="139:144" x14ac:dyDescent="0.4">
      <c r="EI1895" s="24">
        <v>2021</v>
      </c>
      <c r="EJ1895" s="24">
        <v>25</v>
      </c>
      <c r="EK1895" s="24" t="s">
        <v>208</v>
      </c>
      <c r="EL1895" s="24" t="s">
        <v>235</v>
      </c>
      <c r="EM1895" s="24" t="s">
        <v>215</v>
      </c>
      <c r="EN1895" s="24">
        <v>1</v>
      </c>
    </row>
    <row r="1896" spans="139:144" x14ac:dyDescent="0.4">
      <c r="EI1896" s="24">
        <v>2021</v>
      </c>
      <c r="EJ1896" s="24">
        <v>25</v>
      </c>
      <c r="EK1896" s="24" t="s">
        <v>208</v>
      </c>
      <c r="EL1896" s="24" t="s">
        <v>209</v>
      </c>
      <c r="EM1896" s="24" t="s">
        <v>210</v>
      </c>
      <c r="EN1896" s="24">
        <v>2</v>
      </c>
    </row>
    <row r="1897" spans="139:144" x14ac:dyDescent="0.4">
      <c r="EI1897" s="24">
        <v>2021</v>
      </c>
      <c r="EJ1897" s="24">
        <v>25</v>
      </c>
      <c r="EK1897" s="24" t="s">
        <v>33</v>
      </c>
      <c r="EL1897" s="24" t="s">
        <v>233</v>
      </c>
      <c r="EM1897" s="24" t="s">
        <v>210</v>
      </c>
      <c r="EN1897" s="24">
        <v>2</v>
      </c>
    </row>
    <row r="1898" spans="139:144" x14ac:dyDescent="0.4">
      <c r="EI1898" s="24">
        <v>2021</v>
      </c>
      <c r="EJ1898" s="24">
        <v>25</v>
      </c>
      <c r="EK1898" s="24" t="s">
        <v>33</v>
      </c>
      <c r="EL1898" s="24" t="s">
        <v>233</v>
      </c>
      <c r="EM1898" s="24" t="s">
        <v>215</v>
      </c>
      <c r="EN1898" s="24">
        <v>2</v>
      </c>
    </row>
    <row r="1899" spans="139:144" x14ac:dyDescent="0.4">
      <c r="EI1899" s="24">
        <v>2021</v>
      </c>
      <c r="EJ1899" s="24">
        <v>25</v>
      </c>
      <c r="EK1899" s="24" t="s">
        <v>33</v>
      </c>
      <c r="EL1899" s="24" t="s">
        <v>244</v>
      </c>
      <c r="EM1899" s="24" t="s">
        <v>210</v>
      </c>
      <c r="EN1899" s="24">
        <v>6</v>
      </c>
    </row>
    <row r="1900" spans="139:144" x14ac:dyDescent="0.4">
      <c r="EI1900" s="24">
        <v>2021</v>
      </c>
      <c r="EJ1900" s="24">
        <v>25</v>
      </c>
      <c r="EK1900" s="24" t="s">
        <v>33</v>
      </c>
      <c r="EL1900" s="24" t="s">
        <v>247</v>
      </c>
      <c r="EM1900" s="24" t="s">
        <v>210</v>
      </c>
      <c r="EN1900" s="24">
        <v>4</v>
      </c>
    </row>
    <row r="1901" spans="139:144" x14ac:dyDescent="0.4">
      <c r="EI1901" s="24">
        <v>2021</v>
      </c>
      <c r="EJ1901" s="24">
        <v>25</v>
      </c>
      <c r="EK1901" s="24" t="s">
        <v>237</v>
      </c>
      <c r="EL1901" s="24" t="s">
        <v>241</v>
      </c>
      <c r="EM1901" s="24" t="s">
        <v>210</v>
      </c>
      <c r="EN1901" s="24">
        <v>1</v>
      </c>
    </row>
    <row r="1902" spans="139:144" x14ac:dyDescent="0.4">
      <c r="EI1902" s="24">
        <v>2021</v>
      </c>
      <c r="EJ1902" s="24">
        <v>25</v>
      </c>
      <c r="EK1902" s="24" t="s">
        <v>211</v>
      </c>
      <c r="EL1902" s="24" t="s">
        <v>232</v>
      </c>
      <c r="EM1902" s="24" t="s">
        <v>210</v>
      </c>
      <c r="EN1902" s="24">
        <v>6</v>
      </c>
    </row>
    <row r="1903" spans="139:144" x14ac:dyDescent="0.4">
      <c r="EI1903" s="24">
        <v>2021</v>
      </c>
      <c r="EJ1903" s="24">
        <v>25</v>
      </c>
      <c r="EK1903" s="24" t="s">
        <v>211</v>
      </c>
      <c r="EL1903" s="24" t="s">
        <v>232</v>
      </c>
      <c r="EM1903" s="24" t="s">
        <v>234</v>
      </c>
      <c r="EN1903" s="24">
        <v>4</v>
      </c>
    </row>
    <row r="1904" spans="139:144" x14ac:dyDescent="0.4">
      <c r="EI1904" s="24">
        <v>2021</v>
      </c>
      <c r="EJ1904" s="24">
        <v>25</v>
      </c>
      <c r="EK1904" s="24" t="s">
        <v>211</v>
      </c>
      <c r="EL1904" s="24" t="s">
        <v>212</v>
      </c>
      <c r="EM1904" s="24" t="s">
        <v>210</v>
      </c>
      <c r="EN1904" s="24">
        <v>5</v>
      </c>
    </row>
    <row r="1905" spans="139:144" x14ac:dyDescent="0.4">
      <c r="EI1905" s="24">
        <v>2021</v>
      </c>
      <c r="EJ1905" s="24">
        <v>25</v>
      </c>
      <c r="EK1905" s="24" t="s">
        <v>211</v>
      </c>
      <c r="EL1905" s="24" t="s">
        <v>212</v>
      </c>
      <c r="EM1905" s="24" t="s">
        <v>234</v>
      </c>
      <c r="EN1905" s="24">
        <v>10</v>
      </c>
    </row>
    <row r="1906" spans="139:144" x14ac:dyDescent="0.4">
      <c r="EI1906" s="318">
        <v>2021</v>
      </c>
      <c r="EJ1906" s="318">
        <v>25</v>
      </c>
      <c r="EK1906" s="318" t="s">
        <v>211</v>
      </c>
      <c r="EL1906" s="318" t="s">
        <v>247</v>
      </c>
      <c r="EM1906" s="318" t="s">
        <v>210</v>
      </c>
      <c r="EN1906" s="318">
        <v>4</v>
      </c>
    </row>
    <row r="1907" spans="139:144" x14ac:dyDescent="0.4">
      <c r="EI1907" s="318">
        <v>2021</v>
      </c>
      <c r="EJ1907" s="318">
        <v>24</v>
      </c>
      <c r="EK1907" s="318" t="s">
        <v>19</v>
      </c>
      <c r="EL1907" s="318" t="s">
        <v>233</v>
      </c>
      <c r="EM1907" s="318" t="s">
        <v>215</v>
      </c>
      <c r="EN1907" s="318">
        <v>1</v>
      </c>
    </row>
    <row r="1908" spans="139:144" x14ac:dyDescent="0.4">
      <c r="EI1908" s="318">
        <v>2021</v>
      </c>
      <c r="EJ1908" s="318">
        <v>24</v>
      </c>
      <c r="EK1908" s="318" t="s">
        <v>19</v>
      </c>
      <c r="EL1908" s="318" t="s">
        <v>247</v>
      </c>
      <c r="EM1908" s="318" t="s">
        <v>215</v>
      </c>
      <c r="EN1908" s="318">
        <v>2</v>
      </c>
    </row>
    <row r="1909" spans="139:144" x14ac:dyDescent="0.4">
      <c r="EI1909" s="318">
        <v>2021</v>
      </c>
      <c r="EJ1909" s="318">
        <v>24</v>
      </c>
      <c r="EK1909" s="318" t="s">
        <v>208</v>
      </c>
      <c r="EL1909" s="318" t="s">
        <v>351</v>
      </c>
      <c r="EM1909" s="318" t="s">
        <v>210</v>
      </c>
      <c r="EN1909" s="318">
        <v>5</v>
      </c>
    </row>
    <row r="1910" spans="139:144" x14ac:dyDescent="0.4">
      <c r="EI1910" s="318">
        <v>2021</v>
      </c>
      <c r="EJ1910" s="318">
        <v>24</v>
      </c>
      <c r="EK1910" s="318" t="s">
        <v>208</v>
      </c>
      <c r="EL1910" s="318" t="s">
        <v>351</v>
      </c>
      <c r="EM1910" s="318" t="s">
        <v>215</v>
      </c>
      <c r="EN1910" s="318">
        <v>14</v>
      </c>
    </row>
    <row r="1911" spans="139:144" x14ac:dyDescent="0.4">
      <c r="EI1911" s="318">
        <v>2021</v>
      </c>
      <c r="EJ1911" s="318">
        <v>24</v>
      </c>
      <c r="EK1911" s="318" t="s">
        <v>208</v>
      </c>
      <c r="EL1911" s="318" t="s">
        <v>235</v>
      </c>
      <c r="EM1911" s="318" t="s">
        <v>210</v>
      </c>
      <c r="EN1911" s="318">
        <v>19</v>
      </c>
    </row>
    <row r="1912" spans="139:144" x14ac:dyDescent="0.4">
      <c r="EI1912" s="318">
        <v>2021</v>
      </c>
      <c r="EJ1912" s="318">
        <v>24</v>
      </c>
      <c r="EK1912" s="318" t="s">
        <v>208</v>
      </c>
      <c r="EL1912" s="318" t="s">
        <v>235</v>
      </c>
      <c r="EM1912" s="318" t="s">
        <v>215</v>
      </c>
      <c r="EN1912" s="318">
        <v>1</v>
      </c>
    </row>
    <row r="1913" spans="139:144" x14ac:dyDescent="0.4">
      <c r="EI1913" s="318">
        <v>2021</v>
      </c>
      <c r="EJ1913" s="318">
        <v>24</v>
      </c>
      <c r="EK1913" s="318" t="s">
        <v>208</v>
      </c>
      <c r="EL1913" s="318" t="s">
        <v>209</v>
      </c>
      <c r="EM1913" s="318" t="s">
        <v>210</v>
      </c>
      <c r="EN1913" s="318">
        <v>3</v>
      </c>
    </row>
    <row r="1914" spans="139:144" x14ac:dyDescent="0.4">
      <c r="EI1914" s="318">
        <v>2021</v>
      </c>
      <c r="EJ1914" s="318">
        <v>24</v>
      </c>
      <c r="EK1914" s="318" t="s">
        <v>33</v>
      </c>
      <c r="EL1914" s="318" t="s">
        <v>240</v>
      </c>
      <c r="EM1914" s="318" t="s">
        <v>215</v>
      </c>
      <c r="EN1914" s="318">
        <v>7</v>
      </c>
    </row>
    <row r="1915" spans="139:144" x14ac:dyDescent="0.4">
      <c r="EI1915" s="318">
        <v>2021</v>
      </c>
      <c r="EJ1915" s="318">
        <v>24</v>
      </c>
      <c r="EK1915" s="318" t="s">
        <v>33</v>
      </c>
      <c r="EL1915" s="318" t="s">
        <v>233</v>
      </c>
      <c r="EM1915" s="318" t="s">
        <v>210</v>
      </c>
      <c r="EN1915" s="318">
        <v>2</v>
      </c>
    </row>
    <row r="1916" spans="139:144" x14ac:dyDescent="0.4">
      <c r="EI1916" s="318">
        <v>2021</v>
      </c>
      <c r="EJ1916" s="318">
        <v>24</v>
      </c>
      <c r="EK1916" s="318" t="s">
        <v>211</v>
      </c>
      <c r="EL1916" s="318" t="s">
        <v>232</v>
      </c>
      <c r="EM1916" s="318" t="s">
        <v>210</v>
      </c>
      <c r="EN1916" s="318">
        <v>6</v>
      </c>
    </row>
    <row r="1917" spans="139:144" x14ac:dyDescent="0.4">
      <c r="EI1917" s="318">
        <v>2021</v>
      </c>
      <c r="EJ1917" s="318">
        <v>24</v>
      </c>
      <c r="EK1917" s="318" t="s">
        <v>211</v>
      </c>
      <c r="EL1917" s="318" t="s">
        <v>232</v>
      </c>
      <c r="EM1917" s="318" t="s">
        <v>234</v>
      </c>
      <c r="EN1917" s="318">
        <v>8</v>
      </c>
    </row>
    <row r="1918" spans="139:144" x14ac:dyDescent="0.4">
      <c r="EI1918" s="318">
        <v>2021</v>
      </c>
      <c r="EJ1918" s="318">
        <v>24</v>
      </c>
      <c r="EK1918" s="318" t="s">
        <v>211</v>
      </c>
      <c r="EL1918" s="318" t="s">
        <v>212</v>
      </c>
      <c r="EM1918" s="318" t="s">
        <v>210</v>
      </c>
      <c r="EN1918" s="318">
        <v>8</v>
      </c>
    </row>
    <row r="1919" spans="139:144" x14ac:dyDescent="0.4">
      <c r="EI1919" s="318">
        <v>2021</v>
      </c>
      <c r="EJ1919" s="318">
        <v>24</v>
      </c>
      <c r="EK1919" s="318" t="s">
        <v>211</v>
      </c>
      <c r="EL1919" s="318" t="s">
        <v>212</v>
      </c>
      <c r="EM1919" s="318" t="s">
        <v>234</v>
      </c>
      <c r="EN1919" s="318">
        <v>1</v>
      </c>
    </row>
    <row r="1920" spans="139:144" x14ac:dyDescent="0.4">
      <c r="EI1920" s="318">
        <v>2021</v>
      </c>
      <c r="EJ1920" s="318">
        <v>24</v>
      </c>
      <c r="EK1920" s="318" t="s">
        <v>211</v>
      </c>
      <c r="EL1920" s="318" t="s">
        <v>247</v>
      </c>
      <c r="EM1920" s="318" t="s">
        <v>210</v>
      </c>
      <c r="EN1920" s="318">
        <v>6</v>
      </c>
    </row>
    <row r="1921" spans="139:144" x14ac:dyDescent="0.4">
      <c r="EI1921" s="318">
        <v>2021</v>
      </c>
      <c r="EJ1921" s="318">
        <v>24</v>
      </c>
      <c r="EK1921" s="318" t="s">
        <v>211</v>
      </c>
      <c r="EL1921" s="318" t="s">
        <v>247</v>
      </c>
      <c r="EM1921" s="318" t="s">
        <v>234</v>
      </c>
      <c r="EN1921" s="318">
        <v>4</v>
      </c>
    </row>
    <row r="1922" spans="139:144" x14ac:dyDescent="0.4">
      <c r="EI1922" s="318">
        <v>2021</v>
      </c>
      <c r="EJ1922" s="318">
        <v>24</v>
      </c>
      <c r="EK1922" s="318" t="s">
        <v>211</v>
      </c>
      <c r="EL1922" s="318" t="s">
        <v>247</v>
      </c>
      <c r="EM1922" s="318" t="s">
        <v>215</v>
      </c>
      <c r="EN1922" s="318">
        <v>1</v>
      </c>
    </row>
    <row r="1923" spans="139:144" x14ac:dyDescent="0.4">
      <c r="EI1923" s="318">
        <v>2021</v>
      </c>
      <c r="EJ1923" s="318">
        <v>24</v>
      </c>
      <c r="EK1923" s="318" t="s">
        <v>213</v>
      </c>
      <c r="EL1923" s="318" t="s">
        <v>214</v>
      </c>
      <c r="EM1923" s="318" t="s">
        <v>215</v>
      </c>
      <c r="EN1923" s="318">
        <v>35</v>
      </c>
    </row>
    <row r="1924" spans="139:144" x14ac:dyDescent="0.4">
      <c r="EI1924" s="318">
        <v>2021</v>
      </c>
      <c r="EJ1924" s="318">
        <v>23</v>
      </c>
      <c r="EK1924" s="318" t="s">
        <v>208</v>
      </c>
      <c r="EL1924" s="318" t="s">
        <v>351</v>
      </c>
      <c r="EM1924" s="318" t="s">
        <v>215</v>
      </c>
      <c r="EN1924" s="318">
        <v>4</v>
      </c>
    </row>
    <row r="1925" spans="139:144" x14ac:dyDescent="0.4">
      <c r="EI1925" s="318">
        <v>2021</v>
      </c>
      <c r="EJ1925" s="318">
        <v>23</v>
      </c>
      <c r="EK1925" s="318" t="s">
        <v>208</v>
      </c>
      <c r="EL1925" s="318" t="s">
        <v>235</v>
      </c>
      <c r="EM1925" s="318" t="s">
        <v>210</v>
      </c>
      <c r="EN1925" s="318">
        <v>7</v>
      </c>
    </row>
    <row r="1926" spans="139:144" x14ac:dyDescent="0.4">
      <c r="EI1926" s="318">
        <v>2021</v>
      </c>
      <c r="EJ1926" s="318">
        <v>23</v>
      </c>
      <c r="EK1926" s="318" t="s">
        <v>208</v>
      </c>
      <c r="EL1926" s="318" t="s">
        <v>209</v>
      </c>
      <c r="EM1926" s="318" t="s">
        <v>210</v>
      </c>
      <c r="EN1926" s="318">
        <v>4</v>
      </c>
    </row>
    <row r="1927" spans="139:144" x14ac:dyDescent="0.4">
      <c r="EI1927" s="318">
        <v>2021</v>
      </c>
      <c r="EJ1927" s="318">
        <v>23</v>
      </c>
      <c r="EK1927" s="318" t="s">
        <v>208</v>
      </c>
      <c r="EL1927" s="318" t="s">
        <v>245</v>
      </c>
      <c r="EM1927" s="318" t="s">
        <v>210</v>
      </c>
      <c r="EN1927" s="318">
        <v>2</v>
      </c>
    </row>
    <row r="1928" spans="139:144" x14ac:dyDescent="0.4">
      <c r="EI1928" s="318">
        <v>2021</v>
      </c>
      <c r="EJ1928" s="318">
        <v>23</v>
      </c>
      <c r="EK1928" s="318" t="s">
        <v>33</v>
      </c>
      <c r="EL1928" s="318" t="s">
        <v>233</v>
      </c>
      <c r="EM1928" s="318" t="s">
        <v>210</v>
      </c>
      <c r="EN1928" s="318">
        <v>6</v>
      </c>
    </row>
    <row r="1929" spans="139:144" x14ac:dyDescent="0.4">
      <c r="EI1929" s="318">
        <v>2021</v>
      </c>
      <c r="EJ1929" s="318">
        <v>23</v>
      </c>
      <c r="EK1929" s="318" t="s">
        <v>33</v>
      </c>
      <c r="EL1929" s="318" t="s">
        <v>235</v>
      </c>
      <c r="EM1929" s="318" t="s">
        <v>215</v>
      </c>
      <c r="EN1929" s="318">
        <v>7</v>
      </c>
    </row>
    <row r="1930" spans="139:144" x14ac:dyDescent="0.4">
      <c r="EI1930" s="318">
        <v>2021</v>
      </c>
      <c r="EJ1930" s="318">
        <v>23</v>
      </c>
      <c r="EK1930" s="318" t="s">
        <v>211</v>
      </c>
      <c r="EL1930" s="318" t="s">
        <v>232</v>
      </c>
      <c r="EM1930" s="318" t="s">
        <v>210</v>
      </c>
      <c r="EN1930" s="318">
        <v>2</v>
      </c>
    </row>
    <row r="1931" spans="139:144" x14ac:dyDescent="0.4">
      <c r="EI1931" s="318">
        <v>2021</v>
      </c>
      <c r="EJ1931" s="318">
        <v>23</v>
      </c>
      <c r="EK1931" s="318" t="s">
        <v>211</v>
      </c>
      <c r="EL1931" s="318" t="s">
        <v>232</v>
      </c>
      <c r="EM1931" s="318" t="s">
        <v>234</v>
      </c>
      <c r="EN1931" s="318">
        <v>3</v>
      </c>
    </row>
    <row r="1932" spans="139:144" x14ac:dyDescent="0.4">
      <c r="EI1932" s="318">
        <v>2021</v>
      </c>
      <c r="EJ1932" s="318">
        <v>23</v>
      </c>
      <c r="EK1932" s="318" t="s">
        <v>211</v>
      </c>
      <c r="EL1932" s="318" t="s">
        <v>212</v>
      </c>
      <c r="EM1932" s="318" t="s">
        <v>210</v>
      </c>
      <c r="EN1932" s="318">
        <v>7</v>
      </c>
    </row>
    <row r="1933" spans="139:144" x14ac:dyDescent="0.4">
      <c r="EI1933" s="318">
        <v>2021</v>
      </c>
      <c r="EJ1933" s="318">
        <v>23</v>
      </c>
      <c r="EK1933" s="318" t="s">
        <v>211</v>
      </c>
      <c r="EL1933" s="318" t="s">
        <v>212</v>
      </c>
      <c r="EM1933" s="318" t="s">
        <v>234</v>
      </c>
      <c r="EN1933" s="318">
        <v>8</v>
      </c>
    </row>
    <row r="1934" spans="139:144" x14ac:dyDescent="0.4">
      <c r="EI1934" s="318">
        <v>2021</v>
      </c>
      <c r="EJ1934" s="318">
        <v>23</v>
      </c>
      <c r="EK1934" s="318" t="s">
        <v>211</v>
      </c>
      <c r="EL1934" s="318" t="s">
        <v>247</v>
      </c>
      <c r="EM1934" s="318" t="s">
        <v>234</v>
      </c>
      <c r="EN1934" s="318">
        <v>8</v>
      </c>
    </row>
    <row r="1935" spans="139:144" x14ac:dyDescent="0.4">
      <c r="EI1935" s="318">
        <v>2021</v>
      </c>
      <c r="EJ1935" s="318">
        <v>23</v>
      </c>
      <c r="EK1935" s="318" t="s">
        <v>213</v>
      </c>
      <c r="EL1935" s="318" t="s">
        <v>214</v>
      </c>
      <c r="EM1935" s="318" t="s">
        <v>215</v>
      </c>
      <c r="EN1935" s="318">
        <v>27</v>
      </c>
    </row>
    <row r="1936" spans="139:144" x14ac:dyDescent="0.4">
      <c r="EI1936" s="318">
        <v>2021</v>
      </c>
      <c r="EJ1936" s="318">
        <v>22</v>
      </c>
      <c r="EK1936" s="318" t="s">
        <v>208</v>
      </c>
      <c r="EL1936" s="318" t="s">
        <v>352</v>
      </c>
      <c r="EM1936" s="318" t="s">
        <v>210</v>
      </c>
      <c r="EN1936" s="318">
        <v>1</v>
      </c>
    </row>
    <row r="1937" spans="139:144" x14ac:dyDescent="0.4">
      <c r="EI1937" s="318">
        <v>2021</v>
      </c>
      <c r="EJ1937" s="318">
        <v>22</v>
      </c>
      <c r="EK1937" s="318" t="s">
        <v>208</v>
      </c>
      <c r="EL1937" s="318" t="s">
        <v>351</v>
      </c>
      <c r="EM1937" s="318" t="s">
        <v>215</v>
      </c>
      <c r="EN1937" s="318">
        <v>8</v>
      </c>
    </row>
    <row r="1938" spans="139:144" x14ac:dyDescent="0.4">
      <c r="EI1938" s="318">
        <v>2021</v>
      </c>
      <c r="EJ1938" s="318">
        <v>22</v>
      </c>
      <c r="EK1938" s="318" t="s">
        <v>208</v>
      </c>
      <c r="EL1938" s="318" t="s">
        <v>235</v>
      </c>
      <c r="EM1938" s="318" t="s">
        <v>210</v>
      </c>
      <c r="EN1938" s="318">
        <v>1</v>
      </c>
    </row>
    <row r="1939" spans="139:144" x14ac:dyDescent="0.4">
      <c r="EI1939" s="318">
        <v>2021</v>
      </c>
      <c r="EJ1939" s="318">
        <v>22</v>
      </c>
      <c r="EK1939" s="318" t="s">
        <v>208</v>
      </c>
      <c r="EL1939" s="318" t="s">
        <v>235</v>
      </c>
      <c r="EM1939" s="318" t="s">
        <v>215</v>
      </c>
      <c r="EN1939" s="318">
        <v>2</v>
      </c>
    </row>
    <row r="1940" spans="139:144" x14ac:dyDescent="0.4">
      <c r="EI1940" s="318">
        <v>2021</v>
      </c>
      <c r="EJ1940" s="318">
        <v>22</v>
      </c>
      <c r="EK1940" s="318" t="s">
        <v>33</v>
      </c>
      <c r="EL1940" s="318" t="s">
        <v>233</v>
      </c>
      <c r="EM1940" s="318" t="s">
        <v>215</v>
      </c>
      <c r="EN1940" s="318">
        <v>13</v>
      </c>
    </row>
    <row r="1941" spans="139:144" x14ac:dyDescent="0.4">
      <c r="EI1941" s="318">
        <v>2021</v>
      </c>
      <c r="EJ1941" s="318">
        <v>22</v>
      </c>
      <c r="EK1941" s="318" t="s">
        <v>211</v>
      </c>
      <c r="EL1941" s="318" t="s">
        <v>232</v>
      </c>
      <c r="EM1941" s="318" t="s">
        <v>210</v>
      </c>
      <c r="EN1941" s="318">
        <v>6</v>
      </c>
    </row>
    <row r="1942" spans="139:144" x14ac:dyDescent="0.4">
      <c r="EI1942" s="318">
        <v>2021</v>
      </c>
      <c r="EJ1942" s="318">
        <v>22</v>
      </c>
      <c r="EK1942" s="318" t="s">
        <v>211</v>
      </c>
      <c r="EL1942" s="318" t="s">
        <v>232</v>
      </c>
      <c r="EM1942" s="318" t="s">
        <v>234</v>
      </c>
      <c r="EN1942" s="318">
        <v>2</v>
      </c>
    </row>
    <row r="1943" spans="139:144" x14ac:dyDescent="0.4">
      <c r="EI1943" s="318">
        <v>2021</v>
      </c>
      <c r="EJ1943" s="318">
        <v>22</v>
      </c>
      <c r="EK1943" s="318" t="s">
        <v>211</v>
      </c>
      <c r="EL1943" s="318" t="s">
        <v>212</v>
      </c>
      <c r="EM1943" s="318" t="s">
        <v>210</v>
      </c>
      <c r="EN1943" s="318">
        <v>7</v>
      </c>
    </row>
    <row r="1944" spans="139:144" x14ac:dyDescent="0.4">
      <c r="EI1944" s="318">
        <v>2021</v>
      </c>
      <c r="EJ1944" s="318">
        <v>22</v>
      </c>
      <c r="EK1944" s="318" t="s">
        <v>211</v>
      </c>
      <c r="EL1944" s="318" t="s">
        <v>212</v>
      </c>
      <c r="EM1944" s="318" t="s">
        <v>234</v>
      </c>
      <c r="EN1944" s="318">
        <v>9</v>
      </c>
    </row>
    <row r="1945" spans="139:144" x14ac:dyDescent="0.4">
      <c r="EI1945" s="318">
        <v>2021</v>
      </c>
      <c r="EJ1945" s="318">
        <v>22</v>
      </c>
      <c r="EK1945" s="318" t="s">
        <v>211</v>
      </c>
      <c r="EL1945" s="318" t="s">
        <v>247</v>
      </c>
      <c r="EM1945" s="318" t="s">
        <v>210</v>
      </c>
      <c r="EN1945" s="318">
        <v>4</v>
      </c>
    </row>
    <row r="1946" spans="139:144" x14ac:dyDescent="0.4">
      <c r="EI1946" s="318">
        <v>2021</v>
      </c>
      <c r="EJ1946" s="318">
        <v>22</v>
      </c>
      <c r="EK1946" s="318" t="s">
        <v>211</v>
      </c>
      <c r="EL1946" s="318" t="s">
        <v>247</v>
      </c>
      <c r="EM1946" s="318" t="s">
        <v>234</v>
      </c>
      <c r="EN1946" s="318">
        <v>4</v>
      </c>
    </row>
    <row r="1947" spans="139:144" x14ac:dyDescent="0.4">
      <c r="EI1947" s="318">
        <v>2021</v>
      </c>
      <c r="EJ1947" s="318">
        <v>21</v>
      </c>
      <c r="EK1947" s="318" t="s">
        <v>208</v>
      </c>
      <c r="EL1947" s="318" t="s">
        <v>235</v>
      </c>
      <c r="EM1947" s="318" t="s">
        <v>210</v>
      </c>
      <c r="EN1947" s="318">
        <v>1</v>
      </c>
    </row>
    <row r="1948" spans="139:144" x14ac:dyDescent="0.4">
      <c r="EI1948" s="318">
        <v>2021</v>
      </c>
      <c r="EJ1948" s="318">
        <v>21</v>
      </c>
      <c r="EK1948" s="318" t="s">
        <v>208</v>
      </c>
      <c r="EL1948" s="318" t="s">
        <v>235</v>
      </c>
      <c r="EM1948" s="318" t="s">
        <v>215</v>
      </c>
      <c r="EN1948" s="318">
        <v>12</v>
      </c>
    </row>
    <row r="1949" spans="139:144" x14ac:dyDescent="0.4">
      <c r="EI1949" s="318">
        <v>2021</v>
      </c>
      <c r="EJ1949" s="318">
        <v>21</v>
      </c>
      <c r="EK1949" s="318" t="s">
        <v>208</v>
      </c>
      <c r="EL1949" s="318" t="s">
        <v>209</v>
      </c>
      <c r="EM1949" s="318" t="s">
        <v>210</v>
      </c>
      <c r="EN1949" s="318">
        <v>7</v>
      </c>
    </row>
    <row r="1950" spans="139:144" x14ac:dyDescent="0.4">
      <c r="EI1950" s="318">
        <v>2021</v>
      </c>
      <c r="EJ1950" s="318">
        <v>21</v>
      </c>
      <c r="EK1950" s="318" t="s">
        <v>208</v>
      </c>
      <c r="EL1950" s="318" t="s">
        <v>245</v>
      </c>
      <c r="EM1950" s="318" t="s">
        <v>215</v>
      </c>
      <c r="EN1950" s="318">
        <v>2</v>
      </c>
    </row>
    <row r="1951" spans="139:144" x14ac:dyDescent="0.4">
      <c r="EI1951" s="318">
        <v>2021</v>
      </c>
      <c r="EJ1951" s="318">
        <v>21</v>
      </c>
      <c r="EK1951" s="318" t="s">
        <v>33</v>
      </c>
      <c r="EL1951" s="318" t="s">
        <v>242</v>
      </c>
      <c r="EM1951" s="318" t="s">
        <v>210</v>
      </c>
      <c r="EN1951" s="318">
        <v>12</v>
      </c>
    </row>
    <row r="1952" spans="139:144" x14ac:dyDescent="0.4">
      <c r="EI1952" s="318">
        <v>2021</v>
      </c>
      <c r="EJ1952" s="318">
        <v>21</v>
      </c>
      <c r="EK1952" s="318" t="s">
        <v>33</v>
      </c>
      <c r="EL1952" s="318" t="s">
        <v>233</v>
      </c>
      <c r="EM1952" s="318" t="s">
        <v>215</v>
      </c>
      <c r="EN1952" s="318">
        <v>4</v>
      </c>
    </row>
    <row r="1953" spans="139:144" x14ac:dyDescent="0.4">
      <c r="EI1953" s="24">
        <v>2021</v>
      </c>
      <c r="EJ1953" s="24">
        <v>21</v>
      </c>
      <c r="EK1953" s="24" t="s">
        <v>33</v>
      </c>
      <c r="EL1953" s="24" t="s">
        <v>236</v>
      </c>
      <c r="EM1953" s="24" t="s">
        <v>210</v>
      </c>
      <c r="EN1953" s="24">
        <v>100</v>
      </c>
    </row>
    <row r="1954" spans="139:144" x14ac:dyDescent="0.4">
      <c r="EI1954" s="24">
        <v>2021</v>
      </c>
      <c r="EJ1954" s="24">
        <v>21</v>
      </c>
      <c r="EK1954" s="24" t="s">
        <v>211</v>
      </c>
      <c r="EL1954" s="24" t="s">
        <v>232</v>
      </c>
      <c r="EM1954" s="24" t="s">
        <v>234</v>
      </c>
      <c r="EN1954" s="24">
        <v>4</v>
      </c>
    </row>
    <row r="1955" spans="139:144" x14ac:dyDescent="0.4">
      <c r="EI1955" s="24">
        <v>2021</v>
      </c>
      <c r="EJ1955" s="24">
        <v>21</v>
      </c>
      <c r="EK1955" s="24" t="s">
        <v>211</v>
      </c>
      <c r="EL1955" s="24" t="s">
        <v>212</v>
      </c>
      <c r="EM1955" s="24" t="s">
        <v>210</v>
      </c>
      <c r="EN1955" s="24">
        <v>6</v>
      </c>
    </row>
    <row r="1956" spans="139:144" x14ac:dyDescent="0.4">
      <c r="EI1956" s="24">
        <v>2021</v>
      </c>
      <c r="EJ1956" s="24">
        <v>21</v>
      </c>
      <c r="EK1956" s="24" t="s">
        <v>211</v>
      </c>
      <c r="EL1956" s="24" t="s">
        <v>212</v>
      </c>
      <c r="EM1956" s="24" t="s">
        <v>234</v>
      </c>
      <c r="EN1956" s="24">
        <v>6</v>
      </c>
    </row>
    <row r="1957" spans="139:144" x14ac:dyDescent="0.4">
      <c r="EI1957" s="24">
        <v>2021</v>
      </c>
      <c r="EJ1957" s="24">
        <v>21</v>
      </c>
      <c r="EK1957" s="24" t="s">
        <v>211</v>
      </c>
      <c r="EL1957" s="24" t="s">
        <v>247</v>
      </c>
      <c r="EM1957" s="24" t="s">
        <v>210</v>
      </c>
      <c r="EN1957" s="24">
        <v>4</v>
      </c>
    </row>
    <row r="1958" spans="139:144" x14ac:dyDescent="0.4">
      <c r="EI1958" s="24">
        <v>2021</v>
      </c>
      <c r="EJ1958" s="24">
        <v>21</v>
      </c>
      <c r="EK1958" s="24" t="s">
        <v>211</v>
      </c>
      <c r="EL1958" s="24" t="s">
        <v>247</v>
      </c>
      <c r="EM1958" s="24" t="s">
        <v>234</v>
      </c>
      <c r="EN1958" s="24">
        <v>6</v>
      </c>
    </row>
    <row r="1959" spans="139:144" x14ac:dyDescent="0.4">
      <c r="EI1959" s="24">
        <v>2021</v>
      </c>
      <c r="EJ1959" s="24">
        <v>21</v>
      </c>
      <c r="EK1959" s="24" t="s">
        <v>211</v>
      </c>
      <c r="EL1959" s="24" t="s">
        <v>247</v>
      </c>
      <c r="EM1959" s="24" t="s">
        <v>215</v>
      </c>
      <c r="EN1959" s="24">
        <v>2</v>
      </c>
    </row>
    <row r="1960" spans="139:144" x14ac:dyDescent="0.4">
      <c r="EI1960" s="24">
        <v>2021</v>
      </c>
      <c r="EJ1960" s="24">
        <v>21</v>
      </c>
      <c r="EK1960" s="24" t="s">
        <v>213</v>
      </c>
      <c r="EL1960" s="24" t="s">
        <v>214</v>
      </c>
      <c r="EM1960" s="24" t="s">
        <v>215</v>
      </c>
      <c r="EN1960" s="24">
        <v>1</v>
      </c>
    </row>
    <row r="1961" spans="139:144" x14ac:dyDescent="0.4">
      <c r="EI1961" s="24">
        <v>2021</v>
      </c>
      <c r="EJ1961" s="24">
        <v>20</v>
      </c>
      <c r="EK1961" s="24" t="s">
        <v>19</v>
      </c>
      <c r="EL1961" s="24" t="s">
        <v>233</v>
      </c>
      <c r="EM1961" s="24" t="s">
        <v>210</v>
      </c>
      <c r="EN1961" s="24">
        <v>1</v>
      </c>
    </row>
    <row r="1962" spans="139:144" x14ac:dyDescent="0.4">
      <c r="EI1962" s="24">
        <v>2021</v>
      </c>
      <c r="EJ1962" s="24">
        <v>20</v>
      </c>
      <c r="EK1962" s="24" t="s">
        <v>208</v>
      </c>
      <c r="EL1962" s="24" t="s">
        <v>351</v>
      </c>
      <c r="EM1962" s="24" t="s">
        <v>210</v>
      </c>
      <c r="EN1962" s="24">
        <v>7</v>
      </c>
    </row>
    <row r="1963" spans="139:144" x14ac:dyDescent="0.4">
      <c r="EI1963" s="24">
        <v>2021</v>
      </c>
      <c r="EJ1963" s="24">
        <v>20</v>
      </c>
      <c r="EK1963" s="24" t="s">
        <v>208</v>
      </c>
      <c r="EL1963" s="24" t="s">
        <v>351</v>
      </c>
      <c r="EM1963" s="24" t="s">
        <v>215</v>
      </c>
      <c r="EN1963" s="24">
        <v>2</v>
      </c>
    </row>
    <row r="1964" spans="139:144" x14ac:dyDescent="0.4">
      <c r="EI1964" s="24">
        <v>2021</v>
      </c>
      <c r="EJ1964" s="24">
        <v>20</v>
      </c>
      <c r="EK1964" s="24" t="s">
        <v>208</v>
      </c>
      <c r="EL1964" s="24" t="s">
        <v>235</v>
      </c>
      <c r="EM1964" s="24" t="s">
        <v>210</v>
      </c>
      <c r="EN1964" s="24">
        <v>2</v>
      </c>
    </row>
    <row r="1965" spans="139:144" x14ac:dyDescent="0.4">
      <c r="EI1965" s="24">
        <v>2021</v>
      </c>
      <c r="EJ1965" s="24">
        <v>20</v>
      </c>
      <c r="EK1965" s="24" t="s">
        <v>208</v>
      </c>
      <c r="EL1965" s="24" t="s">
        <v>235</v>
      </c>
      <c r="EM1965" s="24" t="s">
        <v>215</v>
      </c>
      <c r="EN1965" s="24">
        <v>3</v>
      </c>
    </row>
    <row r="1966" spans="139:144" x14ac:dyDescent="0.4">
      <c r="EI1966" s="24">
        <v>2021</v>
      </c>
      <c r="EJ1966" s="24">
        <v>20</v>
      </c>
      <c r="EK1966" s="24" t="s">
        <v>208</v>
      </c>
      <c r="EL1966" s="24" t="s">
        <v>209</v>
      </c>
      <c r="EM1966" s="24" t="s">
        <v>210</v>
      </c>
      <c r="EN1966" s="24">
        <v>2</v>
      </c>
    </row>
    <row r="1967" spans="139:144" x14ac:dyDescent="0.4">
      <c r="EI1967" s="24">
        <v>2021</v>
      </c>
      <c r="EJ1967" s="24">
        <v>20</v>
      </c>
      <c r="EK1967" s="24" t="s">
        <v>208</v>
      </c>
      <c r="EL1967" s="24" t="s">
        <v>209</v>
      </c>
      <c r="EM1967" s="24" t="s">
        <v>215</v>
      </c>
      <c r="EN1967" s="24">
        <v>1</v>
      </c>
    </row>
    <row r="1968" spans="139:144" x14ac:dyDescent="0.4">
      <c r="EI1968" s="24">
        <v>2021</v>
      </c>
      <c r="EJ1968" s="24">
        <v>20</v>
      </c>
      <c r="EK1968" s="24" t="s">
        <v>33</v>
      </c>
      <c r="EL1968" s="24" t="s">
        <v>233</v>
      </c>
      <c r="EM1968" s="24" t="s">
        <v>210</v>
      </c>
      <c r="EN1968" s="24">
        <v>143</v>
      </c>
    </row>
    <row r="1969" spans="139:144" x14ac:dyDescent="0.4">
      <c r="EI1969" s="24">
        <v>2021</v>
      </c>
      <c r="EJ1969" s="24">
        <v>20</v>
      </c>
      <c r="EK1969" s="24" t="s">
        <v>33</v>
      </c>
      <c r="EL1969" s="24" t="s">
        <v>244</v>
      </c>
      <c r="EM1969" s="24" t="s">
        <v>210</v>
      </c>
      <c r="EN1969" s="24">
        <v>4</v>
      </c>
    </row>
    <row r="1970" spans="139:144" x14ac:dyDescent="0.4">
      <c r="EI1970" s="24">
        <v>2021</v>
      </c>
      <c r="EJ1970" s="24">
        <v>20</v>
      </c>
      <c r="EK1970" s="24" t="s">
        <v>211</v>
      </c>
      <c r="EL1970" s="24" t="s">
        <v>232</v>
      </c>
      <c r="EM1970" s="24" t="s">
        <v>210</v>
      </c>
      <c r="EN1970" s="24">
        <v>6</v>
      </c>
    </row>
    <row r="1971" spans="139:144" x14ac:dyDescent="0.4">
      <c r="EI1971" s="24">
        <v>2021</v>
      </c>
      <c r="EJ1971" s="24">
        <v>20</v>
      </c>
      <c r="EK1971" s="24" t="s">
        <v>211</v>
      </c>
      <c r="EL1971" s="24" t="s">
        <v>232</v>
      </c>
      <c r="EM1971" s="24" t="s">
        <v>234</v>
      </c>
      <c r="EN1971" s="24">
        <v>6</v>
      </c>
    </row>
    <row r="1972" spans="139:144" x14ac:dyDescent="0.4">
      <c r="EI1972" s="24">
        <v>2021</v>
      </c>
      <c r="EJ1972" s="24">
        <v>20</v>
      </c>
      <c r="EK1972" s="24" t="s">
        <v>211</v>
      </c>
      <c r="EL1972" s="24" t="s">
        <v>232</v>
      </c>
      <c r="EM1972" s="24" t="s">
        <v>215</v>
      </c>
      <c r="EN1972" s="24">
        <v>1</v>
      </c>
    </row>
    <row r="1973" spans="139:144" x14ac:dyDescent="0.4">
      <c r="EI1973" s="24">
        <v>2021</v>
      </c>
      <c r="EJ1973" s="24">
        <v>20</v>
      </c>
      <c r="EK1973" s="24" t="s">
        <v>211</v>
      </c>
      <c r="EL1973" s="24" t="s">
        <v>212</v>
      </c>
      <c r="EM1973" s="24" t="s">
        <v>210</v>
      </c>
      <c r="EN1973" s="24">
        <v>14</v>
      </c>
    </row>
    <row r="1974" spans="139:144" x14ac:dyDescent="0.4">
      <c r="EI1974" s="24">
        <v>2021</v>
      </c>
      <c r="EJ1974" s="24">
        <v>20</v>
      </c>
      <c r="EK1974" s="24" t="s">
        <v>211</v>
      </c>
      <c r="EL1974" s="24" t="s">
        <v>212</v>
      </c>
      <c r="EM1974" s="24" t="s">
        <v>234</v>
      </c>
      <c r="EN1974" s="24">
        <v>5</v>
      </c>
    </row>
    <row r="1975" spans="139:144" x14ac:dyDescent="0.4">
      <c r="EI1975" s="24">
        <v>2021</v>
      </c>
      <c r="EJ1975" s="24">
        <v>20</v>
      </c>
      <c r="EK1975" s="24" t="s">
        <v>211</v>
      </c>
      <c r="EL1975" s="24" t="s">
        <v>212</v>
      </c>
      <c r="EM1975" s="24" t="s">
        <v>215</v>
      </c>
      <c r="EN1975" s="24">
        <v>1</v>
      </c>
    </row>
    <row r="1976" spans="139:144" x14ac:dyDescent="0.4">
      <c r="EI1976" s="24">
        <v>2021</v>
      </c>
      <c r="EJ1976" s="24">
        <v>20</v>
      </c>
      <c r="EK1976" s="24" t="s">
        <v>211</v>
      </c>
      <c r="EL1976" s="24" t="s">
        <v>247</v>
      </c>
      <c r="EM1976" s="24" t="s">
        <v>210</v>
      </c>
      <c r="EN1976" s="24">
        <v>6</v>
      </c>
    </row>
    <row r="1977" spans="139:144" x14ac:dyDescent="0.4">
      <c r="EI1977" s="24">
        <v>2021</v>
      </c>
      <c r="EJ1977" s="24">
        <v>20</v>
      </c>
      <c r="EK1977" s="24" t="s">
        <v>211</v>
      </c>
      <c r="EL1977" s="24" t="s">
        <v>247</v>
      </c>
      <c r="EM1977" s="24" t="s">
        <v>234</v>
      </c>
      <c r="EN1977" s="24">
        <v>2</v>
      </c>
    </row>
    <row r="1978" spans="139:144" x14ac:dyDescent="0.4">
      <c r="EI1978" s="24">
        <v>2021</v>
      </c>
      <c r="EJ1978" s="24">
        <v>19</v>
      </c>
      <c r="EK1978" s="24" t="s">
        <v>208</v>
      </c>
      <c r="EL1978" s="24" t="s">
        <v>351</v>
      </c>
      <c r="EM1978" s="24" t="s">
        <v>210</v>
      </c>
      <c r="EN1978" s="24">
        <v>1</v>
      </c>
    </row>
    <row r="1979" spans="139:144" x14ac:dyDescent="0.4">
      <c r="EI1979" s="24">
        <v>2021</v>
      </c>
      <c r="EJ1979" s="24">
        <v>19</v>
      </c>
      <c r="EK1979" s="24" t="s">
        <v>208</v>
      </c>
      <c r="EL1979" s="24" t="s">
        <v>351</v>
      </c>
      <c r="EM1979" s="24" t="s">
        <v>215</v>
      </c>
      <c r="EN1979" s="24">
        <v>1</v>
      </c>
    </row>
    <row r="1980" spans="139:144" x14ac:dyDescent="0.4">
      <c r="EI1980" s="24">
        <v>2021</v>
      </c>
      <c r="EJ1980" s="24">
        <v>19</v>
      </c>
      <c r="EK1980" s="24" t="s">
        <v>208</v>
      </c>
      <c r="EL1980" s="24" t="s">
        <v>235</v>
      </c>
      <c r="EM1980" s="24" t="s">
        <v>215</v>
      </c>
      <c r="EN1980" s="24">
        <v>12</v>
      </c>
    </row>
    <row r="1981" spans="139:144" x14ac:dyDescent="0.4">
      <c r="EI1981" s="24">
        <v>2021</v>
      </c>
      <c r="EJ1981" s="24">
        <v>19</v>
      </c>
      <c r="EK1981" s="24" t="s">
        <v>208</v>
      </c>
      <c r="EL1981" s="24" t="s">
        <v>209</v>
      </c>
      <c r="EM1981" s="24" t="s">
        <v>210</v>
      </c>
      <c r="EN1981" s="24">
        <v>1</v>
      </c>
    </row>
    <row r="1982" spans="139:144" x14ac:dyDescent="0.4">
      <c r="EI1982" s="24">
        <v>2021</v>
      </c>
      <c r="EJ1982" s="24">
        <v>19</v>
      </c>
      <c r="EK1982" s="24" t="s">
        <v>208</v>
      </c>
      <c r="EL1982" s="24" t="s">
        <v>245</v>
      </c>
      <c r="EM1982" s="24" t="s">
        <v>215</v>
      </c>
      <c r="EN1982" s="24">
        <v>3</v>
      </c>
    </row>
    <row r="1983" spans="139:144" x14ac:dyDescent="0.4">
      <c r="EI1983" s="24">
        <v>2021</v>
      </c>
      <c r="EJ1983" s="24">
        <v>19</v>
      </c>
      <c r="EK1983" s="24" t="s">
        <v>33</v>
      </c>
      <c r="EL1983" s="24" t="s">
        <v>233</v>
      </c>
      <c r="EM1983" s="24" t="s">
        <v>210</v>
      </c>
      <c r="EN1983" s="24">
        <v>16</v>
      </c>
    </row>
    <row r="1984" spans="139:144" x14ac:dyDescent="0.4">
      <c r="EI1984" s="24">
        <v>2021</v>
      </c>
      <c r="EJ1984" s="24">
        <v>19</v>
      </c>
      <c r="EK1984" s="24" t="s">
        <v>33</v>
      </c>
      <c r="EL1984" s="24" t="s">
        <v>244</v>
      </c>
      <c r="EM1984" s="24" t="s">
        <v>210</v>
      </c>
      <c r="EN1984" s="24">
        <v>2</v>
      </c>
    </row>
    <row r="1985" spans="139:144" x14ac:dyDescent="0.4">
      <c r="EI1985" s="24">
        <v>2021</v>
      </c>
      <c r="EJ1985" s="24">
        <v>19</v>
      </c>
      <c r="EK1985" s="24" t="s">
        <v>33</v>
      </c>
      <c r="EL1985" s="24" t="s">
        <v>236</v>
      </c>
      <c r="EM1985" s="24" t="s">
        <v>210</v>
      </c>
      <c r="EN1985" s="24">
        <v>75</v>
      </c>
    </row>
    <row r="1986" spans="139:144" x14ac:dyDescent="0.4">
      <c r="EI1986" s="24">
        <v>2021</v>
      </c>
      <c r="EJ1986" s="24">
        <v>19</v>
      </c>
      <c r="EK1986" s="24" t="s">
        <v>211</v>
      </c>
      <c r="EL1986" s="24" t="s">
        <v>232</v>
      </c>
      <c r="EM1986" s="24" t="s">
        <v>215</v>
      </c>
      <c r="EN1986" s="24">
        <v>1</v>
      </c>
    </row>
    <row r="1987" spans="139:144" x14ac:dyDescent="0.4">
      <c r="EI1987" s="24">
        <v>2021</v>
      </c>
      <c r="EJ1987" s="24">
        <v>19</v>
      </c>
      <c r="EK1987" s="24" t="s">
        <v>211</v>
      </c>
      <c r="EL1987" s="24" t="s">
        <v>212</v>
      </c>
      <c r="EM1987" s="24" t="s">
        <v>210</v>
      </c>
      <c r="EN1987" s="24">
        <v>10</v>
      </c>
    </row>
    <row r="1988" spans="139:144" x14ac:dyDescent="0.4">
      <c r="EI1988" s="24">
        <v>2021</v>
      </c>
      <c r="EJ1988" s="24">
        <v>19</v>
      </c>
      <c r="EK1988" s="24" t="s">
        <v>211</v>
      </c>
      <c r="EL1988" s="24" t="s">
        <v>212</v>
      </c>
      <c r="EM1988" s="24" t="s">
        <v>234</v>
      </c>
      <c r="EN1988" s="24">
        <v>5</v>
      </c>
    </row>
    <row r="1989" spans="139:144" x14ac:dyDescent="0.4">
      <c r="EI1989" s="24">
        <v>2021</v>
      </c>
      <c r="EJ1989" s="24">
        <v>19</v>
      </c>
      <c r="EK1989" s="24" t="s">
        <v>211</v>
      </c>
      <c r="EL1989" s="24" t="s">
        <v>247</v>
      </c>
      <c r="EM1989" s="24" t="s">
        <v>215</v>
      </c>
      <c r="EN1989" s="24">
        <v>2</v>
      </c>
    </row>
    <row r="1990" spans="139:144" x14ac:dyDescent="0.4">
      <c r="EI1990" s="24">
        <v>2021</v>
      </c>
      <c r="EJ1990" s="24">
        <v>19</v>
      </c>
      <c r="EK1990" s="24" t="s">
        <v>213</v>
      </c>
      <c r="EL1990" s="24" t="s">
        <v>214</v>
      </c>
      <c r="EM1990" s="24" t="s">
        <v>215</v>
      </c>
      <c r="EN1990" s="24">
        <v>36</v>
      </c>
    </row>
    <row r="1991" spans="139:144" x14ac:dyDescent="0.4">
      <c r="EI1991" s="24">
        <v>2021</v>
      </c>
      <c r="EJ1991" s="24">
        <v>18</v>
      </c>
      <c r="EK1991" s="24" t="s">
        <v>208</v>
      </c>
      <c r="EL1991" s="24" t="s">
        <v>352</v>
      </c>
      <c r="EM1991" s="24" t="s">
        <v>210</v>
      </c>
      <c r="EN1991" s="24">
        <v>2</v>
      </c>
    </row>
    <row r="1992" spans="139:144" x14ac:dyDescent="0.4">
      <c r="EI1992" s="24">
        <v>2021</v>
      </c>
      <c r="EJ1992" s="24">
        <v>18</v>
      </c>
      <c r="EK1992" s="24" t="s">
        <v>208</v>
      </c>
      <c r="EL1992" s="24" t="s">
        <v>351</v>
      </c>
      <c r="EM1992" s="24" t="s">
        <v>210</v>
      </c>
      <c r="EN1992" s="24">
        <v>8</v>
      </c>
    </row>
    <row r="1993" spans="139:144" x14ac:dyDescent="0.4">
      <c r="EI1993" s="24">
        <v>2021</v>
      </c>
      <c r="EJ1993" s="24">
        <v>18</v>
      </c>
      <c r="EK1993" s="24" t="s">
        <v>208</v>
      </c>
      <c r="EL1993" s="24" t="s">
        <v>235</v>
      </c>
      <c r="EM1993" s="24" t="s">
        <v>210</v>
      </c>
      <c r="EN1993" s="24">
        <v>5</v>
      </c>
    </row>
    <row r="1994" spans="139:144" x14ac:dyDescent="0.4">
      <c r="EI1994" s="24">
        <v>2021</v>
      </c>
      <c r="EJ1994" s="24">
        <v>18</v>
      </c>
      <c r="EK1994" s="24" t="s">
        <v>208</v>
      </c>
      <c r="EL1994" s="24" t="s">
        <v>235</v>
      </c>
      <c r="EM1994" s="24" t="s">
        <v>215</v>
      </c>
      <c r="EN1994" s="24">
        <v>32</v>
      </c>
    </row>
    <row r="1995" spans="139:144" x14ac:dyDescent="0.4">
      <c r="EI1995" s="24">
        <v>2021</v>
      </c>
      <c r="EJ1995" s="24">
        <v>18</v>
      </c>
      <c r="EK1995" s="24" t="s">
        <v>208</v>
      </c>
      <c r="EL1995" s="24" t="s">
        <v>209</v>
      </c>
      <c r="EM1995" s="24" t="s">
        <v>215</v>
      </c>
      <c r="EN1995" s="24">
        <v>1</v>
      </c>
    </row>
    <row r="1996" spans="139:144" x14ac:dyDescent="0.4">
      <c r="EI1996" s="24">
        <v>2021</v>
      </c>
      <c r="EJ1996" s="24">
        <v>18</v>
      </c>
      <c r="EK1996" s="24" t="s">
        <v>208</v>
      </c>
      <c r="EL1996" s="24" t="s">
        <v>245</v>
      </c>
      <c r="EM1996" s="24" t="s">
        <v>210</v>
      </c>
      <c r="EN1996" s="24">
        <v>1</v>
      </c>
    </row>
    <row r="1997" spans="139:144" x14ac:dyDescent="0.4">
      <c r="EI1997" s="24">
        <v>2021</v>
      </c>
      <c r="EJ1997" s="24">
        <v>18</v>
      </c>
      <c r="EK1997" s="24" t="s">
        <v>237</v>
      </c>
      <c r="EL1997" s="24" t="s">
        <v>235</v>
      </c>
      <c r="EM1997" s="24" t="s">
        <v>210</v>
      </c>
      <c r="EN1997" s="24">
        <v>1</v>
      </c>
    </row>
    <row r="1998" spans="139:144" x14ac:dyDescent="0.4">
      <c r="EI1998" s="24">
        <v>2021</v>
      </c>
      <c r="EJ1998" s="24">
        <v>18</v>
      </c>
      <c r="EK1998" s="24" t="s">
        <v>237</v>
      </c>
      <c r="EL1998" s="24" t="s">
        <v>235</v>
      </c>
      <c r="EM1998" s="24" t="s">
        <v>234</v>
      </c>
      <c r="EN1998" s="24">
        <v>8</v>
      </c>
    </row>
    <row r="1999" spans="139:144" x14ac:dyDescent="0.4">
      <c r="EI1999" s="24">
        <v>2021</v>
      </c>
      <c r="EJ1999" s="24">
        <v>18</v>
      </c>
      <c r="EK1999" s="24" t="s">
        <v>211</v>
      </c>
      <c r="EL1999" s="24" t="s">
        <v>232</v>
      </c>
      <c r="EM1999" s="24" t="s">
        <v>210</v>
      </c>
      <c r="EN1999" s="24">
        <v>2</v>
      </c>
    </row>
    <row r="2000" spans="139:144" x14ac:dyDescent="0.4">
      <c r="EI2000" s="24">
        <v>2021</v>
      </c>
      <c r="EJ2000" s="24">
        <v>18</v>
      </c>
      <c r="EK2000" s="24" t="s">
        <v>211</v>
      </c>
      <c r="EL2000" s="24" t="s">
        <v>232</v>
      </c>
      <c r="EM2000" s="24" t="s">
        <v>234</v>
      </c>
      <c r="EN2000" s="24">
        <v>41</v>
      </c>
    </row>
    <row r="2001" spans="139:144" x14ac:dyDescent="0.4">
      <c r="EI2001" s="24">
        <v>2021</v>
      </c>
      <c r="EJ2001" s="24">
        <v>18</v>
      </c>
      <c r="EK2001" s="24" t="s">
        <v>211</v>
      </c>
      <c r="EL2001" s="24" t="s">
        <v>232</v>
      </c>
      <c r="EM2001" s="24" t="s">
        <v>215</v>
      </c>
      <c r="EN2001" s="24">
        <v>2</v>
      </c>
    </row>
    <row r="2002" spans="139:144" x14ac:dyDescent="0.4">
      <c r="EI2002" s="24">
        <v>2021</v>
      </c>
      <c r="EJ2002" s="24">
        <v>18</v>
      </c>
      <c r="EK2002" s="24" t="s">
        <v>211</v>
      </c>
      <c r="EL2002" s="24" t="s">
        <v>212</v>
      </c>
      <c r="EM2002" s="24" t="s">
        <v>210</v>
      </c>
      <c r="EN2002" s="24">
        <v>12</v>
      </c>
    </row>
    <row r="2003" spans="139:144" x14ac:dyDescent="0.4">
      <c r="EI2003" s="24">
        <v>2021</v>
      </c>
      <c r="EJ2003" s="24">
        <v>18</v>
      </c>
      <c r="EK2003" s="24" t="s">
        <v>211</v>
      </c>
      <c r="EL2003" s="24" t="s">
        <v>212</v>
      </c>
      <c r="EM2003" s="24" t="s">
        <v>234</v>
      </c>
      <c r="EN2003" s="24">
        <v>2</v>
      </c>
    </row>
    <row r="2004" spans="139:144" x14ac:dyDescent="0.4">
      <c r="EI2004" s="24">
        <v>2021</v>
      </c>
      <c r="EJ2004" s="24">
        <v>18</v>
      </c>
      <c r="EK2004" s="24" t="s">
        <v>211</v>
      </c>
      <c r="EL2004" s="24" t="s">
        <v>212</v>
      </c>
      <c r="EM2004" s="24" t="s">
        <v>215</v>
      </c>
      <c r="EN2004" s="24">
        <v>3</v>
      </c>
    </row>
    <row r="2005" spans="139:144" x14ac:dyDescent="0.4">
      <c r="EI2005" s="24">
        <v>2021</v>
      </c>
      <c r="EJ2005" s="24">
        <v>18</v>
      </c>
      <c r="EK2005" s="24" t="s">
        <v>211</v>
      </c>
      <c r="EL2005" s="24" t="s">
        <v>247</v>
      </c>
      <c r="EM2005" s="24" t="s">
        <v>210</v>
      </c>
      <c r="EN2005" s="24">
        <v>13</v>
      </c>
    </row>
    <row r="2006" spans="139:144" x14ac:dyDescent="0.4">
      <c r="EI2006" s="24">
        <v>2021</v>
      </c>
      <c r="EJ2006" s="24">
        <v>18</v>
      </c>
      <c r="EK2006" s="24" t="s">
        <v>211</v>
      </c>
      <c r="EL2006" s="24" t="s">
        <v>247</v>
      </c>
      <c r="EM2006" s="24" t="s">
        <v>234</v>
      </c>
      <c r="EN2006" s="24">
        <v>2</v>
      </c>
    </row>
    <row r="2007" spans="139:144" x14ac:dyDescent="0.4">
      <c r="EI2007" s="24">
        <v>2021</v>
      </c>
      <c r="EJ2007" s="24">
        <v>18</v>
      </c>
      <c r="EK2007" s="24" t="s">
        <v>213</v>
      </c>
      <c r="EL2007" s="24" t="s">
        <v>214</v>
      </c>
      <c r="EM2007" s="24" t="s">
        <v>215</v>
      </c>
      <c r="EN2007" s="24">
        <v>15</v>
      </c>
    </row>
    <row r="2008" spans="139:144" x14ac:dyDescent="0.4">
      <c r="EI2008" s="24">
        <v>2021</v>
      </c>
      <c r="EJ2008" s="24">
        <v>17</v>
      </c>
      <c r="EK2008" s="24" t="s">
        <v>208</v>
      </c>
      <c r="EL2008" s="24" t="s">
        <v>352</v>
      </c>
      <c r="EM2008" s="24" t="s">
        <v>210</v>
      </c>
      <c r="EN2008" s="24">
        <v>1</v>
      </c>
    </row>
    <row r="2009" spans="139:144" x14ac:dyDescent="0.4">
      <c r="EI2009" s="24">
        <v>2021</v>
      </c>
      <c r="EJ2009" s="24">
        <v>17</v>
      </c>
      <c r="EK2009" s="24" t="s">
        <v>208</v>
      </c>
      <c r="EL2009" s="24" t="s">
        <v>351</v>
      </c>
      <c r="EM2009" s="24" t="s">
        <v>210</v>
      </c>
      <c r="EN2009" s="24">
        <v>3</v>
      </c>
    </row>
    <row r="2010" spans="139:144" x14ac:dyDescent="0.4">
      <c r="EI2010" s="24">
        <v>2021</v>
      </c>
      <c r="EJ2010" s="24">
        <v>17</v>
      </c>
      <c r="EK2010" s="24" t="s">
        <v>208</v>
      </c>
      <c r="EL2010" s="24" t="s">
        <v>351</v>
      </c>
      <c r="EM2010" s="24" t="s">
        <v>215</v>
      </c>
      <c r="EN2010" s="24">
        <v>2</v>
      </c>
    </row>
    <row r="2011" spans="139:144" x14ac:dyDescent="0.4">
      <c r="EI2011" s="24">
        <v>2021</v>
      </c>
      <c r="EJ2011" s="24">
        <v>17</v>
      </c>
      <c r="EK2011" s="24" t="s">
        <v>208</v>
      </c>
      <c r="EL2011" s="24" t="s">
        <v>235</v>
      </c>
      <c r="EM2011" s="24" t="s">
        <v>210</v>
      </c>
      <c r="EN2011" s="24">
        <v>7</v>
      </c>
    </row>
    <row r="2012" spans="139:144" x14ac:dyDescent="0.4">
      <c r="EI2012" s="24">
        <v>2021</v>
      </c>
      <c r="EJ2012" s="24">
        <v>17</v>
      </c>
      <c r="EK2012" s="24" t="s">
        <v>208</v>
      </c>
      <c r="EL2012" s="24" t="s">
        <v>245</v>
      </c>
      <c r="EM2012" s="24" t="s">
        <v>210</v>
      </c>
      <c r="EN2012" s="24">
        <v>1</v>
      </c>
    </row>
    <row r="2013" spans="139:144" x14ac:dyDescent="0.4">
      <c r="EI2013" s="24">
        <v>2021</v>
      </c>
      <c r="EJ2013" s="24">
        <v>17</v>
      </c>
      <c r="EK2013" s="24" t="s">
        <v>33</v>
      </c>
      <c r="EL2013" s="24" t="s">
        <v>233</v>
      </c>
      <c r="EM2013" s="24" t="s">
        <v>210</v>
      </c>
      <c r="EN2013" s="24">
        <v>2</v>
      </c>
    </row>
    <row r="2014" spans="139:144" x14ac:dyDescent="0.4">
      <c r="EI2014" s="24">
        <v>2021</v>
      </c>
      <c r="EJ2014" s="24">
        <v>17</v>
      </c>
      <c r="EK2014" s="24" t="s">
        <v>33</v>
      </c>
      <c r="EL2014" s="24" t="s">
        <v>233</v>
      </c>
      <c r="EM2014" s="24" t="s">
        <v>215</v>
      </c>
      <c r="EN2014" s="24">
        <v>2</v>
      </c>
    </row>
    <row r="2015" spans="139:144" x14ac:dyDescent="0.4">
      <c r="EI2015" s="24">
        <v>2021</v>
      </c>
      <c r="EJ2015" s="24">
        <v>17</v>
      </c>
      <c r="EK2015" s="24" t="s">
        <v>33</v>
      </c>
      <c r="EL2015" s="24" t="s">
        <v>244</v>
      </c>
      <c r="EM2015" s="24" t="s">
        <v>210</v>
      </c>
      <c r="EN2015" s="24">
        <v>3</v>
      </c>
    </row>
    <row r="2016" spans="139:144" x14ac:dyDescent="0.4">
      <c r="EI2016" s="24">
        <v>2021</v>
      </c>
      <c r="EJ2016" s="24">
        <v>17</v>
      </c>
      <c r="EK2016" s="24" t="s">
        <v>33</v>
      </c>
      <c r="EL2016" s="24" t="s">
        <v>236</v>
      </c>
      <c r="EM2016" s="24" t="s">
        <v>215</v>
      </c>
      <c r="EN2016" s="24">
        <v>12</v>
      </c>
    </row>
    <row r="2017" spans="139:144" x14ac:dyDescent="0.4">
      <c r="EI2017" s="24">
        <v>2021</v>
      </c>
      <c r="EJ2017" s="24">
        <v>17</v>
      </c>
      <c r="EK2017" s="24" t="s">
        <v>211</v>
      </c>
      <c r="EL2017" s="24" t="s">
        <v>232</v>
      </c>
      <c r="EM2017" s="24" t="s">
        <v>234</v>
      </c>
      <c r="EN2017" s="24">
        <v>4</v>
      </c>
    </row>
    <row r="2018" spans="139:144" x14ac:dyDescent="0.4">
      <c r="EI2018" s="24">
        <v>2021</v>
      </c>
      <c r="EJ2018" s="24">
        <v>17</v>
      </c>
      <c r="EK2018" s="24" t="s">
        <v>211</v>
      </c>
      <c r="EL2018" s="24" t="s">
        <v>212</v>
      </c>
      <c r="EM2018" s="24" t="s">
        <v>210</v>
      </c>
      <c r="EN2018" s="24">
        <v>4</v>
      </c>
    </row>
    <row r="2019" spans="139:144" x14ac:dyDescent="0.4">
      <c r="EI2019" s="24">
        <v>2021</v>
      </c>
      <c r="EJ2019" s="24">
        <v>17</v>
      </c>
      <c r="EK2019" s="24" t="s">
        <v>211</v>
      </c>
      <c r="EL2019" s="24" t="s">
        <v>212</v>
      </c>
      <c r="EM2019" s="24" t="s">
        <v>234</v>
      </c>
      <c r="EN2019" s="24">
        <v>3</v>
      </c>
    </row>
    <row r="2020" spans="139:144" x14ac:dyDescent="0.4">
      <c r="EI2020" s="324">
        <v>2021</v>
      </c>
      <c r="EJ2020" s="324">
        <v>17</v>
      </c>
      <c r="EK2020" s="324" t="s">
        <v>211</v>
      </c>
      <c r="EL2020" s="324" t="s">
        <v>212</v>
      </c>
      <c r="EM2020" s="324" t="s">
        <v>215</v>
      </c>
      <c r="EN2020" s="324">
        <v>1</v>
      </c>
    </row>
    <row r="2021" spans="139:144" x14ac:dyDescent="0.4">
      <c r="EI2021" s="324">
        <v>2021</v>
      </c>
      <c r="EJ2021" s="324">
        <v>17</v>
      </c>
      <c r="EK2021" s="324" t="s">
        <v>211</v>
      </c>
      <c r="EL2021" s="324" t="s">
        <v>247</v>
      </c>
      <c r="EM2021" s="324" t="s">
        <v>210</v>
      </c>
      <c r="EN2021" s="324">
        <v>5</v>
      </c>
    </row>
    <row r="2022" spans="139:144" x14ac:dyDescent="0.4">
      <c r="EI2022" s="324">
        <v>2021</v>
      </c>
      <c r="EJ2022" s="324">
        <v>17</v>
      </c>
      <c r="EK2022" s="324" t="s">
        <v>211</v>
      </c>
      <c r="EL2022" s="324" t="s">
        <v>247</v>
      </c>
      <c r="EM2022" s="324" t="s">
        <v>234</v>
      </c>
      <c r="EN2022" s="324">
        <v>8</v>
      </c>
    </row>
    <row r="2023" spans="139:144" x14ac:dyDescent="0.4">
      <c r="EI2023" s="324">
        <v>2021</v>
      </c>
      <c r="EJ2023" s="324">
        <v>17</v>
      </c>
      <c r="EK2023" s="324" t="s">
        <v>213</v>
      </c>
      <c r="EL2023" s="324" t="s">
        <v>214</v>
      </c>
      <c r="EM2023" s="324" t="s">
        <v>215</v>
      </c>
      <c r="EN2023" s="324">
        <v>13</v>
      </c>
    </row>
    <row r="2024" spans="139:144" x14ac:dyDescent="0.4">
      <c r="EI2024" s="324">
        <v>2021</v>
      </c>
      <c r="EJ2024" s="324">
        <v>16</v>
      </c>
      <c r="EK2024" s="324" t="s">
        <v>208</v>
      </c>
      <c r="EL2024" s="324" t="s">
        <v>352</v>
      </c>
      <c r="EM2024" s="324" t="s">
        <v>210</v>
      </c>
      <c r="EN2024" s="324">
        <v>1</v>
      </c>
    </row>
    <row r="2025" spans="139:144" x14ac:dyDescent="0.4">
      <c r="EI2025" s="324">
        <v>2021</v>
      </c>
      <c r="EJ2025" s="324">
        <v>16</v>
      </c>
      <c r="EK2025" s="324" t="s">
        <v>208</v>
      </c>
      <c r="EL2025" s="324" t="s">
        <v>351</v>
      </c>
      <c r="EM2025" s="324" t="s">
        <v>210</v>
      </c>
      <c r="EN2025" s="324">
        <v>2</v>
      </c>
    </row>
    <row r="2026" spans="139:144" x14ac:dyDescent="0.4">
      <c r="EI2026" s="324">
        <v>2021</v>
      </c>
      <c r="EJ2026" s="324">
        <v>16</v>
      </c>
      <c r="EK2026" s="324" t="s">
        <v>208</v>
      </c>
      <c r="EL2026" s="324" t="s">
        <v>235</v>
      </c>
      <c r="EM2026" s="324" t="s">
        <v>210</v>
      </c>
      <c r="EN2026" s="324">
        <v>2</v>
      </c>
    </row>
    <row r="2027" spans="139:144" x14ac:dyDescent="0.4">
      <c r="EI2027" s="324">
        <v>2021</v>
      </c>
      <c r="EJ2027" s="324">
        <v>16</v>
      </c>
      <c r="EK2027" s="324" t="s">
        <v>208</v>
      </c>
      <c r="EL2027" s="324" t="s">
        <v>235</v>
      </c>
      <c r="EM2027" s="324" t="s">
        <v>215</v>
      </c>
      <c r="EN2027" s="324">
        <v>1</v>
      </c>
    </row>
    <row r="2028" spans="139:144" x14ac:dyDescent="0.4">
      <c r="EI2028" s="324">
        <v>2021</v>
      </c>
      <c r="EJ2028" s="324">
        <v>16</v>
      </c>
      <c r="EK2028" s="324" t="s">
        <v>208</v>
      </c>
      <c r="EL2028" s="324" t="s">
        <v>209</v>
      </c>
      <c r="EM2028" s="324" t="s">
        <v>210</v>
      </c>
      <c r="EN2028" s="324">
        <v>3</v>
      </c>
    </row>
    <row r="2029" spans="139:144" x14ac:dyDescent="0.4">
      <c r="EI2029" s="324">
        <v>2021</v>
      </c>
      <c r="EJ2029" s="324">
        <v>16</v>
      </c>
      <c r="EK2029" s="324" t="s">
        <v>208</v>
      </c>
      <c r="EL2029" s="324" t="s">
        <v>245</v>
      </c>
      <c r="EM2029" s="324" t="s">
        <v>210</v>
      </c>
      <c r="EN2029" s="324">
        <v>1</v>
      </c>
    </row>
    <row r="2030" spans="139:144" x14ac:dyDescent="0.4">
      <c r="EI2030" s="324">
        <v>2021</v>
      </c>
      <c r="EJ2030" s="324">
        <v>16</v>
      </c>
      <c r="EK2030" s="324" t="s">
        <v>33</v>
      </c>
      <c r="EL2030" s="324" t="s">
        <v>233</v>
      </c>
      <c r="EM2030" s="324" t="s">
        <v>210</v>
      </c>
      <c r="EN2030" s="324">
        <v>1</v>
      </c>
    </row>
    <row r="2031" spans="139:144" x14ac:dyDescent="0.4">
      <c r="EI2031" s="324">
        <v>2021</v>
      </c>
      <c r="EJ2031" s="324">
        <v>16</v>
      </c>
      <c r="EK2031" s="324" t="s">
        <v>33</v>
      </c>
      <c r="EL2031" s="324" t="s">
        <v>233</v>
      </c>
      <c r="EM2031" s="324" t="s">
        <v>215</v>
      </c>
      <c r="EN2031" s="324">
        <v>12</v>
      </c>
    </row>
    <row r="2032" spans="139:144" x14ac:dyDescent="0.4">
      <c r="EI2032" s="324">
        <v>2021</v>
      </c>
      <c r="EJ2032" s="324">
        <v>16</v>
      </c>
      <c r="EK2032" s="324" t="s">
        <v>33</v>
      </c>
      <c r="EL2032" s="324" t="s">
        <v>244</v>
      </c>
      <c r="EM2032" s="324" t="s">
        <v>210</v>
      </c>
      <c r="EN2032" s="324">
        <v>4</v>
      </c>
    </row>
    <row r="2033" spans="139:144" x14ac:dyDescent="0.4">
      <c r="EI2033" s="324">
        <v>2021</v>
      </c>
      <c r="EJ2033" s="324">
        <v>16</v>
      </c>
      <c r="EK2033" s="324" t="s">
        <v>33</v>
      </c>
      <c r="EL2033" s="324" t="s">
        <v>236</v>
      </c>
      <c r="EM2033" s="324" t="s">
        <v>210</v>
      </c>
      <c r="EN2033" s="324">
        <v>1</v>
      </c>
    </row>
    <row r="2034" spans="139:144" x14ac:dyDescent="0.4">
      <c r="EI2034" s="324">
        <v>2021</v>
      </c>
      <c r="EJ2034" s="324">
        <v>16</v>
      </c>
      <c r="EK2034" s="324" t="s">
        <v>211</v>
      </c>
      <c r="EL2034" s="324" t="s">
        <v>232</v>
      </c>
      <c r="EM2034" s="324" t="s">
        <v>234</v>
      </c>
      <c r="EN2034" s="324">
        <v>4</v>
      </c>
    </row>
    <row r="2035" spans="139:144" x14ac:dyDescent="0.4">
      <c r="EI2035" s="324">
        <v>2021</v>
      </c>
      <c r="EJ2035" s="324">
        <v>16</v>
      </c>
      <c r="EK2035" s="324" t="s">
        <v>211</v>
      </c>
      <c r="EL2035" s="324" t="s">
        <v>212</v>
      </c>
      <c r="EM2035" s="324" t="s">
        <v>210</v>
      </c>
      <c r="EN2035" s="324">
        <v>4</v>
      </c>
    </row>
    <row r="2036" spans="139:144" x14ac:dyDescent="0.4">
      <c r="EI2036" s="324">
        <v>2021</v>
      </c>
      <c r="EJ2036" s="324">
        <v>16</v>
      </c>
      <c r="EK2036" s="324" t="s">
        <v>211</v>
      </c>
      <c r="EL2036" s="324" t="s">
        <v>212</v>
      </c>
      <c r="EM2036" s="324" t="s">
        <v>234</v>
      </c>
      <c r="EN2036" s="324">
        <v>2</v>
      </c>
    </row>
    <row r="2037" spans="139:144" x14ac:dyDescent="0.4">
      <c r="EI2037" s="324">
        <v>2021</v>
      </c>
      <c r="EJ2037" s="324">
        <v>16</v>
      </c>
      <c r="EK2037" s="324" t="s">
        <v>211</v>
      </c>
      <c r="EL2037" s="324" t="s">
        <v>247</v>
      </c>
      <c r="EM2037" s="324" t="s">
        <v>210</v>
      </c>
      <c r="EN2037" s="324">
        <v>2</v>
      </c>
    </row>
    <row r="2038" spans="139:144" x14ac:dyDescent="0.4">
      <c r="EI2038" s="324">
        <v>2021</v>
      </c>
      <c r="EJ2038" s="324">
        <v>16</v>
      </c>
      <c r="EK2038" s="324" t="s">
        <v>211</v>
      </c>
      <c r="EL2038" s="324" t="s">
        <v>247</v>
      </c>
      <c r="EM2038" s="324" t="s">
        <v>234</v>
      </c>
      <c r="EN2038" s="324">
        <v>4</v>
      </c>
    </row>
    <row r="2039" spans="139:144" x14ac:dyDescent="0.4">
      <c r="EI2039" s="324">
        <v>2021</v>
      </c>
      <c r="EJ2039" s="324">
        <v>16</v>
      </c>
      <c r="EK2039" s="324" t="s">
        <v>213</v>
      </c>
      <c r="EL2039" s="324" t="s">
        <v>214</v>
      </c>
      <c r="EM2039" s="324" t="s">
        <v>215</v>
      </c>
      <c r="EN2039" s="324">
        <v>1</v>
      </c>
    </row>
    <row r="2040" spans="139:144" x14ac:dyDescent="0.4">
      <c r="EI2040" s="324">
        <v>2021</v>
      </c>
      <c r="EJ2040" s="324">
        <v>15</v>
      </c>
      <c r="EK2040" s="324" t="s">
        <v>208</v>
      </c>
      <c r="EL2040" s="324" t="s">
        <v>351</v>
      </c>
      <c r="EM2040" s="324" t="s">
        <v>210</v>
      </c>
      <c r="EN2040" s="324">
        <v>2</v>
      </c>
    </row>
    <row r="2041" spans="139:144" x14ac:dyDescent="0.4">
      <c r="EI2041" s="324">
        <v>2021</v>
      </c>
      <c r="EJ2041" s="324">
        <v>15</v>
      </c>
      <c r="EK2041" s="324" t="s">
        <v>208</v>
      </c>
      <c r="EL2041" s="324" t="s">
        <v>351</v>
      </c>
      <c r="EM2041" s="324" t="s">
        <v>215</v>
      </c>
      <c r="EN2041" s="324">
        <v>4</v>
      </c>
    </row>
    <row r="2042" spans="139:144" x14ac:dyDescent="0.4">
      <c r="EI2042" s="324">
        <v>2021</v>
      </c>
      <c r="EJ2042" s="324">
        <v>15</v>
      </c>
      <c r="EK2042" s="324" t="s">
        <v>208</v>
      </c>
      <c r="EL2042" s="324" t="s">
        <v>235</v>
      </c>
      <c r="EM2042" s="324" t="s">
        <v>210</v>
      </c>
      <c r="EN2042" s="324">
        <v>1</v>
      </c>
    </row>
    <row r="2043" spans="139:144" x14ac:dyDescent="0.4">
      <c r="EI2043" s="324">
        <v>2021</v>
      </c>
      <c r="EJ2043" s="324">
        <v>15</v>
      </c>
      <c r="EK2043" s="324" t="s">
        <v>208</v>
      </c>
      <c r="EL2043" s="324" t="s">
        <v>209</v>
      </c>
      <c r="EM2043" s="324" t="s">
        <v>210</v>
      </c>
      <c r="EN2043" s="324">
        <v>2</v>
      </c>
    </row>
    <row r="2044" spans="139:144" x14ac:dyDescent="0.4">
      <c r="EI2044" s="324">
        <v>2021</v>
      </c>
      <c r="EJ2044" s="324">
        <v>15</v>
      </c>
      <c r="EK2044" s="324" t="s">
        <v>208</v>
      </c>
      <c r="EL2044" s="324" t="s">
        <v>209</v>
      </c>
      <c r="EM2044" s="324" t="s">
        <v>215</v>
      </c>
      <c r="EN2044" s="324">
        <v>1</v>
      </c>
    </row>
    <row r="2045" spans="139:144" x14ac:dyDescent="0.4">
      <c r="EI2045" s="324">
        <v>2021</v>
      </c>
      <c r="EJ2045" s="324">
        <v>15</v>
      </c>
      <c r="EK2045" s="324" t="s">
        <v>208</v>
      </c>
      <c r="EL2045" s="324" t="s">
        <v>245</v>
      </c>
      <c r="EM2045" s="324" t="s">
        <v>215</v>
      </c>
      <c r="EN2045" s="324">
        <v>2</v>
      </c>
    </row>
    <row r="2046" spans="139:144" x14ac:dyDescent="0.4">
      <c r="EI2046" s="324">
        <v>2021</v>
      </c>
      <c r="EJ2046" s="324">
        <v>15</v>
      </c>
      <c r="EK2046" s="324" t="s">
        <v>33</v>
      </c>
      <c r="EL2046" s="324" t="s">
        <v>244</v>
      </c>
      <c r="EM2046" s="324" t="s">
        <v>210</v>
      </c>
      <c r="EN2046" s="324">
        <v>11</v>
      </c>
    </row>
    <row r="2047" spans="139:144" x14ac:dyDescent="0.4">
      <c r="EI2047" s="324">
        <v>2021</v>
      </c>
      <c r="EJ2047" s="324">
        <v>15</v>
      </c>
      <c r="EK2047" s="324" t="s">
        <v>211</v>
      </c>
      <c r="EL2047" s="324" t="s">
        <v>232</v>
      </c>
      <c r="EM2047" s="324" t="s">
        <v>234</v>
      </c>
      <c r="EN2047" s="324">
        <v>3</v>
      </c>
    </row>
    <row r="2048" spans="139:144" x14ac:dyDescent="0.4">
      <c r="EI2048" s="324">
        <v>2021</v>
      </c>
      <c r="EJ2048" s="324">
        <v>15</v>
      </c>
      <c r="EK2048" s="324" t="s">
        <v>211</v>
      </c>
      <c r="EL2048" s="324" t="s">
        <v>212</v>
      </c>
      <c r="EM2048" s="324" t="s">
        <v>210</v>
      </c>
      <c r="EN2048" s="324">
        <v>3</v>
      </c>
    </row>
    <row r="2049" spans="139:144" x14ac:dyDescent="0.4">
      <c r="EI2049" s="324">
        <v>2021</v>
      </c>
      <c r="EJ2049" s="324">
        <v>15</v>
      </c>
      <c r="EK2049" s="324" t="s">
        <v>211</v>
      </c>
      <c r="EL2049" s="324" t="s">
        <v>212</v>
      </c>
      <c r="EM2049" s="324" t="s">
        <v>234</v>
      </c>
      <c r="EN2049" s="324">
        <v>4</v>
      </c>
    </row>
    <row r="2050" spans="139:144" x14ac:dyDescent="0.4">
      <c r="EI2050" s="324">
        <v>2021</v>
      </c>
      <c r="EJ2050" s="324">
        <v>15</v>
      </c>
      <c r="EK2050" s="324" t="s">
        <v>211</v>
      </c>
      <c r="EL2050" s="324" t="s">
        <v>247</v>
      </c>
      <c r="EM2050" s="324" t="s">
        <v>234</v>
      </c>
      <c r="EN2050" s="324">
        <v>8</v>
      </c>
    </row>
    <row r="2051" spans="139:144" x14ac:dyDescent="0.4">
      <c r="EI2051" s="324">
        <v>2021</v>
      </c>
      <c r="EJ2051" s="324">
        <v>15</v>
      </c>
      <c r="EK2051" s="324" t="s">
        <v>213</v>
      </c>
      <c r="EL2051" s="324" t="s">
        <v>214</v>
      </c>
      <c r="EM2051" s="324" t="s">
        <v>215</v>
      </c>
      <c r="EN2051" s="324">
        <v>1</v>
      </c>
    </row>
    <row r="2052" spans="139:144" x14ac:dyDescent="0.4">
      <c r="EI2052" s="324">
        <v>2021</v>
      </c>
      <c r="EJ2052" s="324">
        <v>14</v>
      </c>
      <c r="EK2052" s="324" t="s">
        <v>208</v>
      </c>
      <c r="EL2052" s="324" t="s">
        <v>352</v>
      </c>
      <c r="EM2052" s="324" t="s">
        <v>210</v>
      </c>
      <c r="EN2052" s="324">
        <v>2</v>
      </c>
    </row>
    <row r="2053" spans="139:144" x14ac:dyDescent="0.4">
      <c r="EI2053" s="324">
        <v>2021</v>
      </c>
      <c r="EJ2053" s="324">
        <v>14</v>
      </c>
      <c r="EK2053" s="324" t="s">
        <v>208</v>
      </c>
      <c r="EL2053" s="324" t="s">
        <v>351</v>
      </c>
      <c r="EM2053" s="324" t="s">
        <v>215</v>
      </c>
      <c r="EN2053" s="324">
        <v>1</v>
      </c>
    </row>
    <row r="2054" spans="139:144" x14ac:dyDescent="0.4">
      <c r="EI2054" s="324">
        <v>2021</v>
      </c>
      <c r="EJ2054" s="324">
        <v>14</v>
      </c>
      <c r="EK2054" s="324" t="s">
        <v>208</v>
      </c>
      <c r="EL2054" s="324" t="s">
        <v>235</v>
      </c>
      <c r="EM2054" s="324" t="s">
        <v>210</v>
      </c>
      <c r="EN2054" s="324">
        <v>8</v>
      </c>
    </row>
    <row r="2055" spans="139:144" x14ac:dyDescent="0.4">
      <c r="EI2055" s="324">
        <v>2021</v>
      </c>
      <c r="EJ2055" s="324">
        <v>14</v>
      </c>
      <c r="EK2055" s="324" t="s">
        <v>208</v>
      </c>
      <c r="EL2055" s="324" t="s">
        <v>209</v>
      </c>
      <c r="EM2055" s="324" t="s">
        <v>210</v>
      </c>
      <c r="EN2055" s="324">
        <v>5</v>
      </c>
    </row>
    <row r="2056" spans="139:144" x14ac:dyDescent="0.4">
      <c r="EI2056" s="324">
        <v>2021</v>
      </c>
      <c r="EJ2056" s="324">
        <v>14</v>
      </c>
      <c r="EK2056" s="324" t="s">
        <v>208</v>
      </c>
      <c r="EL2056" s="324" t="s">
        <v>247</v>
      </c>
      <c r="EM2056" s="324" t="s">
        <v>210</v>
      </c>
      <c r="EN2056" s="324">
        <v>1</v>
      </c>
    </row>
    <row r="2057" spans="139:144" x14ac:dyDescent="0.4">
      <c r="EI2057" s="324">
        <v>2021</v>
      </c>
      <c r="EJ2057" s="324">
        <v>14</v>
      </c>
      <c r="EK2057" s="324" t="s">
        <v>208</v>
      </c>
      <c r="EL2057" s="324" t="s">
        <v>245</v>
      </c>
      <c r="EM2057" s="324" t="s">
        <v>210</v>
      </c>
      <c r="EN2057" s="324">
        <v>1</v>
      </c>
    </row>
    <row r="2058" spans="139:144" x14ac:dyDescent="0.4">
      <c r="EI2058" s="24">
        <v>2021</v>
      </c>
      <c r="EJ2058" s="24">
        <v>14</v>
      </c>
      <c r="EK2058" s="24" t="s">
        <v>33</v>
      </c>
      <c r="EL2058" s="24" t="s">
        <v>233</v>
      </c>
      <c r="EM2058" s="24" t="s">
        <v>215</v>
      </c>
      <c r="EN2058" s="24">
        <v>11</v>
      </c>
    </row>
    <row r="2059" spans="139:144" x14ac:dyDescent="0.4">
      <c r="EI2059" s="24">
        <v>2021</v>
      </c>
      <c r="EJ2059" s="24">
        <v>14</v>
      </c>
      <c r="EK2059" s="24" t="s">
        <v>33</v>
      </c>
      <c r="EL2059" s="24" t="s">
        <v>244</v>
      </c>
      <c r="EM2059" s="24" t="s">
        <v>210</v>
      </c>
      <c r="EN2059" s="24">
        <v>4</v>
      </c>
    </row>
    <row r="2060" spans="139:144" x14ac:dyDescent="0.4">
      <c r="EI2060" s="24">
        <v>2021</v>
      </c>
      <c r="EJ2060" s="24">
        <v>14</v>
      </c>
      <c r="EK2060" s="24" t="s">
        <v>33</v>
      </c>
      <c r="EL2060" s="24" t="s">
        <v>235</v>
      </c>
      <c r="EM2060" s="24" t="s">
        <v>215</v>
      </c>
      <c r="EN2060" s="24">
        <v>1</v>
      </c>
    </row>
    <row r="2061" spans="139:144" x14ac:dyDescent="0.4">
      <c r="EI2061" s="24">
        <v>2021</v>
      </c>
      <c r="EJ2061" s="24">
        <v>14</v>
      </c>
      <c r="EK2061" s="24" t="s">
        <v>237</v>
      </c>
      <c r="EL2061" s="24" t="s">
        <v>239</v>
      </c>
      <c r="EM2061" s="24" t="s">
        <v>215</v>
      </c>
      <c r="EN2061" s="24">
        <v>1</v>
      </c>
    </row>
    <row r="2062" spans="139:144" x14ac:dyDescent="0.4">
      <c r="EI2062" s="24">
        <v>2021</v>
      </c>
      <c r="EJ2062" s="24">
        <v>14</v>
      </c>
      <c r="EK2062" s="24" t="s">
        <v>211</v>
      </c>
      <c r="EL2062" s="24" t="s">
        <v>232</v>
      </c>
      <c r="EM2062" s="24" t="s">
        <v>210</v>
      </c>
      <c r="EN2062" s="24">
        <v>41</v>
      </c>
    </row>
    <row r="2063" spans="139:144" x14ac:dyDescent="0.4">
      <c r="EI2063" s="24">
        <v>2021</v>
      </c>
      <c r="EJ2063" s="24">
        <v>14</v>
      </c>
      <c r="EK2063" s="24" t="s">
        <v>211</v>
      </c>
      <c r="EL2063" s="24" t="s">
        <v>232</v>
      </c>
      <c r="EM2063" s="24" t="s">
        <v>234</v>
      </c>
      <c r="EN2063" s="24">
        <v>22</v>
      </c>
    </row>
    <row r="2064" spans="139:144" x14ac:dyDescent="0.4">
      <c r="EI2064" s="24">
        <v>2021</v>
      </c>
      <c r="EJ2064" s="24">
        <v>14</v>
      </c>
      <c r="EK2064" s="24" t="s">
        <v>211</v>
      </c>
      <c r="EL2064" s="24" t="s">
        <v>212</v>
      </c>
      <c r="EM2064" s="24" t="s">
        <v>210</v>
      </c>
      <c r="EN2064" s="24">
        <v>9</v>
      </c>
    </row>
    <row r="2065" spans="139:144" x14ac:dyDescent="0.4">
      <c r="EI2065" s="24">
        <v>2021</v>
      </c>
      <c r="EJ2065" s="24">
        <v>14</v>
      </c>
      <c r="EK2065" s="24" t="s">
        <v>211</v>
      </c>
      <c r="EL2065" s="24" t="s">
        <v>212</v>
      </c>
      <c r="EM2065" s="24" t="s">
        <v>234</v>
      </c>
      <c r="EN2065" s="24">
        <v>2</v>
      </c>
    </row>
    <row r="2066" spans="139:144" x14ac:dyDescent="0.4">
      <c r="EI2066" s="24">
        <v>2021</v>
      </c>
      <c r="EJ2066" s="24">
        <v>14</v>
      </c>
      <c r="EK2066" s="24" t="s">
        <v>211</v>
      </c>
      <c r="EL2066" s="24" t="s">
        <v>247</v>
      </c>
      <c r="EM2066" s="24" t="s">
        <v>210</v>
      </c>
      <c r="EN2066" s="24">
        <v>8</v>
      </c>
    </row>
    <row r="2067" spans="139:144" x14ac:dyDescent="0.4">
      <c r="EI2067" s="24">
        <v>2021</v>
      </c>
      <c r="EJ2067" s="24">
        <v>14</v>
      </c>
      <c r="EK2067" s="24" t="s">
        <v>211</v>
      </c>
      <c r="EL2067" s="24" t="s">
        <v>247</v>
      </c>
      <c r="EM2067" s="24" t="s">
        <v>234</v>
      </c>
      <c r="EN2067" s="24">
        <v>6</v>
      </c>
    </row>
    <row r="2068" spans="139:144" x14ac:dyDescent="0.4">
      <c r="EI2068" s="24">
        <v>2021</v>
      </c>
      <c r="EJ2068" s="24">
        <v>14</v>
      </c>
      <c r="EK2068" s="24" t="s">
        <v>213</v>
      </c>
      <c r="EL2068" s="24" t="s">
        <v>214</v>
      </c>
      <c r="EM2068" s="24" t="s">
        <v>215</v>
      </c>
      <c r="EN2068" s="24">
        <v>3</v>
      </c>
    </row>
    <row r="2069" spans="139:144" x14ac:dyDescent="0.4">
      <c r="EI2069" s="24">
        <v>2021</v>
      </c>
      <c r="EJ2069" s="24">
        <v>13</v>
      </c>
      <c r="EK2069" s="24" t="s">
        <v>208</v>
      </c>
      <c r="EL2069" s="24" t="s">
        <v>352</v>
      </c>
      <c r="EM2069" s="24" t="s">
        <v>210</v>
      </c>
      <c r="EN2069" s="24">
        <v>2</v>
      </c>
    </row>
    <row r="2070" spans="139:144" x14ac:dyDescent="0.4">
      <c r="EI2070" s="24">
        <v>2021</v>
      </c>
      <c r="EJ2070" s="24">
        <v>13</v>
      </c>
      <c r="EK2070" s="24" t="s">
        <v>208</v>
      </c>
      <c r="EL2070" s="24" t="s">
        <v>351</v>
      </c>
      <c r="EM2070" s="24" t="s">
        <v>215</v>
      </c>
      <c r="EN2070" s="24">
        <v>5</v>
      </c>
    </row>
    <row r="2071" spans="139:144" x14ac:dyDescent="0.4">
      <c r="EI2071" s="24">
        <v>2021</v>
      </c>
      <c r="EJ2071" s="24">
        <v>13</v>
      </c>
      <c r="EK2071" s="24" t="s">
        <v>208</v>
      </c>
      <c r="EL2071" s="24" t="s">
        <v>235</v>
      </c>
      <c r="EM2071" s="24" t="s">
        <v>210</v>
      </c>
      <c r="EN2071" s="24">
        <v>3</v>
      </c>
    </row>
    <row r="2072" spans="139:144" x14ac:dyDescent="0.4">
      <c r="EI2072" s="24">
        <v>2021</v>
      </c>
      <c r="EJ2072" s="24">
        <v>13</v>
      </c>
      <c r="EK2072" s="24" t="s">
        <v>208</v>
      </c>
      <c r="EL2072" s="24" t="s">
        <v>235</v>
      </c>
      <c r="EM2072" s="24" t="s">
        <v>234</v>
      </c>
      <c r="EN2072" s="24">
        <v>1</v>
      </c>
    </row>
    <row r="2073" spans="139:144" x14ac:dyDescent="0.4">
      <c r="EI2073" s="24">
        <v>2021</v>
      </c>
      <c r="EJ2073" s="24">
        <v>13</v>
      </c>
      <c r="EK2073" s="24" t="s">
        <v>208</v>
      </c>
      <c r="EL2073" s="24" t="s">
        <v>235</v>
      </c>
      <c r="EM2073" s="24" t="s">
        <v>215</v>
      </c>
      <c r="EN2073" s="24">
        <v>6</v>
      </c>
    </row>
    <row r="2074" spans="139:144" x14ac:dyDescent="0.4">
      <c r="EI2074" s="24">
        <v>2021</v>
      </c>
      <c r="EJ2074" s="24">
        <v>13</v>
      </c>
      <c r="EK2074" s="24" t="s">
        <v>208</v>
      </c>
      <c r="EL2074" s="24" t="s">
        <v>245</v>
      </c>
      <c r="EM2074" s="24" t="s">
        <v>215</v>
      </c>
      <c r="EN2074" s="24">
        <v>1</v>
      </c>
    </row>
    <row r="2075" spans="139:144" x14ac:dyDescent="0.4">
      <c r="EI2075" s="24">
        <v>2021</v>
      </c>
      <c r="EJ2075" s="24">
        <v>13</v>
      </c>
      <c r="EK2075" s="24" t="s">
        <v>33</v>
      </c>
      <c r="EL2075" s="24" t="s">
        <v>240</v>
      </c>
      <c r="EM2075" s="24" t="s">
        <v>210</v>
      </c>
      <c r="EN2075" s="24">
        <v>3</v>
      </c>
    </row>
    <row r="2076" spans="139:144" x14ac:dyDescent="0.4">
      <c r="EI2076" s="24">
        <v>2021</v>
      </c>
      <c r="EJ2076" s="24">
        <v>13</v>
      </c>
      <c r="EK2076" s="24" t="s">
        <v>33</v>
      </c>
      <c r="EL2076" s="24" t="s">
        <v>233</v>
      </c>
      <c r="EM2076" s="24" t="s">
        <v>210</v>
      </c>
      <c r="EN2076" s="24">
        <v>6</v>
      </c>
    </row>
    <row r="2077" spans="139:144" x14ac:dyDescent="0.4">
      <c r="EI2077" s="24">
        <v>2021</v>
      </c>
      <c r="EJ2077" s="24">
        <v>13</v>
      </c>
      <c r="EK2077" s="24" t="s">
        <v>33</v>
      </c>
      <c r="EL2077" s="24" t="s">
        <v>233</v>
      </c>
      <c r="EM2077" s="24" t="s">
        <v>215</v>
      </c>
      <c r="EN2077" s="24">
        <v>4</v>
      </c>
    </row>
    <row r="2078" spans="139:144" x14ac:dyDescent="0.4">
      <c r="EI2078" s="24">
        <v>2021</v>
      </c>
      <c r="EJ2078" s="24">
        <v>13</v>
      </c>
      <c r="EK2078" s="24" t="s">
        <v>33</v>
      </c>
      <c r="EL2078" s="24" t="s">
        <v>244</v>
      </c>
      <c r="EM2078" s="24" t="s">
        <v>210</v>
      </c>
      <c r="EN2078" s="24">
        <v>25</v>
      </c>
    </row>
    <row r="2079" spans="139:144" x14ac:dyDescent="0.4">
      <c r="EI2079" s="24">
        <v>2021</v>
      </c>
      <c r="EJ2079" s="24">
        <v>13</v>
      </c>
      <c r="EK2079" s="24" t="s">
        <v>33</v>
      </c>
      <c r="EL2079" s="24" t="s">
        <v>235</v>
      </c>
      <c r="EM2079" s="24" t="s">
        <v>210</v>
      </c>
      <c r="EN2079" s="24">
        <v>8</v>
      </c>
    </row>
    <row r="2080" spans="139:144" x14ac:dyDescent="0.4">
      <c r="EI2080" s="24">
        <v>2021</v>
      </c>
      <c r="EJ2080" s="24">
        <v>13</v>
      </c>
      <c r="EK2080" s="24" t="s">
        <v>211</v>
      </c>
      <c r="EL2080" s="24" t="s">
        <v>232</v>
      </c>
      <c r="EM2080" s="24" t="s">
        <v>210</v>
      </c>
      <c r="EN2080" s="24">
        <v>20</v>
      </c>
    </row>
    <row r="2081" spans="139:144" x14ac:dyDescent="0.4">
      <c r="EI2081" s="24">
        <v>2021</v>
      </c>
      <c r="EJ2081" s="24">
        <v>13</v>
      </c>
      <c r="EK2081" s="24" t="s">
        <v>211</v>
      </c>
      <c r="EL2081" s="24" t="s">
        <v>232</v>
      </c>
      <c r="EM2081" s="24" t="s">
        <v>234</v>
      </c>
      <c r="EN2081" s="24">
        <v>5</v>
      </c>
    </row>
    <row r="2082" spans="139:144" x14ac:dyDescent="0.4">
      <c r="EI2082" s="24">
        <v>2021</v>
      </c>
      <c r="EJ2082" s="24">
        <v>13</v>
      </c>
      <c r="EK2082" s="24" t="s">
        <v>211</v>
      </c>
      <c r="EL2082" s="24" t="s">
        <v>232</v>
      </c>
      <c r="EM2082" s="24" t="s">
        <v>215</v>
      </c>
      <c r="EN2082" s="24">
        <v>3</v>
      </c>
    </row>
    <row r="2083" spans="139:144" x14ac:dyDescent="0.4">
      <c r="EI2083" s="24">
        <v>2021</v>
      </c>
      <c r="EJ2083" s="24">
        <v>13</v>
      </c>
      <c r="EK2083" s="24" t="s">
        <v>211</v>
      </c>
      <c r="EL2083" s="24" t="s">
        <v>212</v>
      </c>
      <c r="EM2083" s="24" t="s">
        <v>210</v>
      </c>
      <c r="EN2083" s="24">
        <v>9</v>
      </c>
    </row>
    <row r="2084" spans="139:144" x14ac:dyDescent="0.4">
      <c r="EI2084" s="24">
        <v>2021</v>
      </c>
      <c r="EJ2084" s="24">
        <v>13</v>
      </c>
      <c r="EK2084" s="24" t="s">
        <v>211</v>
      </c>
      <c r="EL2084" s="24" t="s">
        <v>212</v>
      </c>
      <c r="EM2084" s="24" t="s">
        <v>234</v>
      </c>
      <c r="EN2084" s="24">
        <v>6</v>
      </c>
    </row>
    <row r="2085" spans="139:144" x14ac:dyDescent="0.4">
      <c r="EI2085" s="24">
        <v>2021</v>
      </c>
      <c r="EJ2085" s="24">
        <v>13</v>
      </c>
      <c r="EK2085" s="24" t="s">
        <v>211</v>
      </c>
      <c r="EL2085" s="24" t="s">
        <v>212</v>
      </c>
      <c r="EM2085" s="24" t="s">
        <v>215</v>
      </c>
      <c r="EN2085" s="24">
        <v>2</v>
      </c>
    </row>
    <row r="2086" spans="139:144" x14ac:dyDescent="0.4">
      <c r="EI2086" s="24">
        <v>2021</v>
      </c>
      <c r="EJ2086" s="24">
        <v>13</v>
      </c>
      <c r="EK2086" s="24" t="s">
        <v>211</v>
      </c>
      <c r="EL2086" s="24" t="s">
        <v>247</v>
      </c>
      <c r="EM2086" s="24" t="s">
        <v>210</v>
      </c>
      <c r="EN2086" s="24">
        <v>2</v>
      </c>
    </row>
    <row r="2087" spans="139:144" x14ac:dyDescent="0.4">
      <c r="EI2087" s="24">
        <v>2021</v>
      </c>
      <c r="EJ2087" s="24">
        <v>13</v>
      </c>
      <c r="EK2087" s="24" t="s">
        <v>211</v>
      </c>
      <c r="EL2087" s="24" t="s">
        <v>247</v>
      </c>
      <c r="EM2087" s="24" t="s">
        <v>234</v>
      </c>
      <c r="EN2087" s="24">
        <v>6</v>
      </c>
    </row>
    <row r="2088" spans="139:144" x14ac:dyDescent="0.4">
      <c r="EI2088" s="24">
        <v>2021</v>
      </c>
      <c r="EJ2088" s="24">
        <v>12</v>
      </c>
      <c r="EK2088" s="24" t="s">
        <v>208</v>
      </c>
      <c r="EL2088" s="24" t="s">
        <v>352</v>
      </c>
      <c r="EM2088" s="24" t="s">
        <v>210</v>
      </c>
      <c r="EN2088" s="24">
        <v>3</v>
      </c>
    </row>
    <row r="2089" spans="139:144" x14ac:dyDescent="0.4">
      <c r="EI2089" s="24">
        <v>2021</v>
      </c>
      <c r="EJ2089" s="24">
        <v>12</v>
      </c>
      <c r="EK2089" s="24" t="s">
        <v>208</v>
      </c>
      <c r="EL2089" s="24" t="s">
        <v>351</v>
      </c>
      <c r="EM2089" s="24" t="s">
        <v>215</v>
      </c>
      <c r="EN2089" s="24">
        <v>5</v>
      </c>
    </row>
    <row r="2090" spans="139:144" x14ac:dyDescent="0.4">
      <c r="EI2090" s="24">
        <v>2021</v>
      </c>
      <c r="EJ2090" s="24">
        <v>12</v>
      </c>
      <c r="EK2090" s="24" t="s">
        <v>208</v>
      </c>
      <c r="EL2090" s="24" t="s">
        <v>235</v>
      </c>
      <c r="EM2090" s="24" t="s">
        <v>210</v>
      </c>
      <c r="EN2090" s="24">
        <v>2</v>
      </c>
    </row>
    <row r="2091" spans="139:144" x14ac:dyDescent="0.4">
      <c r="EI2091" s="24">
        <v>2021</v>
      </c>
      <c r="EJ2091" s="24">
        <v>12</v>
      </c>
      <c r="EK2091" s="24" t="s">
        <v>208</v>
      </c>
      <c r="EL2091" s="24" t="s">
        <v>235</v>
      </c>
      <c r="EM2091" s="24" t="s">
        <v>234</v>
      </c>
      <c r="EN2091" s="24">
        <v>1</v>
      </c>
    </row>
    <row r="2092" spans="139:144" x14ac:dyDescent="0.4">
      <c r="EI2092" s="24">
        <v>2021</v>
      </c>
      <c r="EJ2092" s="24">
        <v>12</v>
      </c>
      <c r="EK2092" s="24" t="s">
        <v>208</v>
      </c>
      <c r="EL2092" s="24" t="s">
        <v>235</v>
      </c>
      <c r="EM2092" s="24" t="s">
        <v>215</v>
      </c>
      <c r="EN2092" s="24">
        <v>2</v>
      </c>
    </row>
    <row r="2093" spans="139:144" x14ac:dyDescent="0.4">
      <c r="EI2093" s="24">
        <v>2021</v>
      </c>
      <c r="EJ2093" s="24">
        <v>12</v>
      </c>
      <c r="EK2093" s="24" t="s">
        <v>208</v>
      </c>
      <c r="EL2093" s="24" t="s">
        <v>209</v>
      </c>
      <c r="EM2093" s="24" t="s">
        <v>210</v>
      </c>
      <c r="EN2093" s="24">
        <v>1</v>
      </c>
    </row>
    <row r="2094" spans="139:144" x14ac:dyDescent="0.4">
      <c r="EI2094" s="24">
        <v>2021</v>
      </c>
      <c r="EJ2094" s="24">
        <v>12</v>
      </c>
      <c r="EK2094" s="24" t="s">
        <v>208</v>
      </c>
      <c r="EL2094" s="24" t="s">
        <v>245</v>
      </c>
      <c r="EM2094" s="24" t="s">
        <v>215</v>
      </c>
      <c r="EN2094" s="24">
        <v>2</v>
      </c>
    </row>
    <row r="2095" spans="139:144" x14ac:dyDescent="0.4">
      <c r="EI2095" s="24">
        <v>2021</v>
      </c>
      <c r="EJ2095" s="24">
        <v>12</v>
      </c>
      <c r="EK2095" s="24" t="s">
        <v>33</v>
      </c>
      <c r="EL2095" s="24" t="s">
        <v>244</v>
      </c>
      <c r="EM2095" s="24" t="s">
        <v>210</v>
      </c>
      <c r="EN2095" s="24">
        <v>4</v>
      </c>
    </row>
    <row r="2096" spans="139:144" x14ac:dyDescent="0.4">
      <c r="EI2096" s="24">
        <v>2021</v>
      </c>
      <c r="EJ2096" s="24">
        <v>12</v>
      </c>
      <c r="EK2096" s="24" t="s">
        <v>33</v>
      </c>
      <c r="EL2096" s="24" t="s">
        <v>236</v>
      </c>
      <c r="EM2096" s="24" t="s">
        <v>210</v>
      </c>
      <c r="EN2096" s="24">
        <v>75</v>
      </c>
    </row>
    <row r="2097" spans="139:144" x14ac:dyDescent="0.4">
      <c r="EI2097" s="24">
        <v>2021</v>
      </c>
      <c r="EJ2097" s="24">
        <v>12</v>
      </c>
      <c r="EK2097" s="24" t="s">
        <v>33</v>
      </c>
      <c r="EL2097" s="24" t="s">
        <v>236</v>
      </c>
      <c r="EM2097" s="24" t="s">
        <v>215</v>
      </c>
      <c r="EN2097" s="24">
        <v>5</v>
      </c>
    </row>
    <row r="2098" spans="139:144" x14ac:dyDescent="0.4">
      <c r="EI2098" s="24">
        <v>2021</v>
      </c>
      <c r="EJ2098" s="24">
        <v>12</v>
      </c>
      <c r="EK2098" s="24" t="s">
        <v>211</v>
      </c>
      <c r="EL2098" s="24" t="s">
        <v>232</v>
      </c>
      <c r="EM2098" s="24" t="s">
        <v>210</v>
      </c>
      <c r="EN2098" s="24">
        <v>16</v>
      </c>
    </row>
    <row r="2099" spans="139:144" x14ac:dyDescent="0.4">
      <c r="EI2099" s="24">
        <v>2021</v>
      </c>
      <c r="EJ2099" s="24">
        <v>12</v>
      </c>
      <c r="EK2099" s="24" t="s">
        <v>211</v>
      </c>
      <c r="EL2099" s="24" t="s">
        <v>232</v>
      </c>
      <c r="EM2099" s="24" t="s">
        <v>234</v>
      </c>
      <c r="EN2099" s="24">
        <v>4</v>
      </c>
    </row>
    <row r="2100" spans="139:144" x14ac:dyDescent="0.4">
      <c r="EI2100" s="24">
        <v>2021</v>
      </c>
      <c r="EJ2100" s="24">
        <v>12</v>
      </c>
      <c r="EK2100" s="24" t="s">
        <v>211</v>
      </c>
      <c r="EL2100" s="24" t="s">
        <v>232</v>
      </c>
      <c r="EM2100" s="24" t="s">
        <v>215</v>
      </c>
      <c r="EN2100" s="24">
        <v>1</v>
      </c>
    </row>
    <row r="2101" spans="139:144" x14ac:dyDescent="0.4">
      <c r="EI2101" s="24">
        <v>2021</v>
      </c>
      <c r="EJ2101" s="24">
        <v>12</v>
      </c>
      <c r="EK2101" s="24" t="s">
        <v>211</v>
      </c>
      <c r="EL2101" s="24" t="s">
        <v>212</v>
      </c>
      <c r="EM2101" s="24" t="s">
        <v>210</v>
      </c>
      <c r="EN2101" s="24">
        <v>8</v>
      </c>
    </row>
    <row r="2102" spans="139:144" x14ac:dyDescent="0.4">
      <c r="EI2102" s="24">
        <v>2021</v>
      </c>
      <c r="EJ2102" s="24">
        <v>12</v>
      </c>
      <c r="EK2102" s="24" t="s">
        <v>211</v>
      </c>
      <c r="EL2102" s="24" t="s">
        <v>212</v>
      </c>
      <c r="EM2102" s="24" t="s">
        <v>234</v>
      </c>
      <c r="EN2102" s="24">
        <v>3</v>
      </c>
    </row>
    <row r="2103" spans="139:144" x14ac:dyDescent="0.4">
      <c r="EI2103" s="24">
        <v>2021</v>
      </c>
      <c r="EJ2103" s="24">
        <v>12</v>
      </c>
      <c r="EK2103" s="24" t="s">
        <v>211</v>
      </c>
      <c r="EL2103" s="24" t="s">
        <v>247</v>
      </c>
      <c r="EM2103" s="24" t="s">
        <v>210</v>
      </c>
      <c r="EN2103" s="24">
        <v>6</v>
      </c>
    </row>
    <row r="2104" spans="139:144" x14ac:dyDescent="0.4">
      <c r="EI2104" s="24">
        <v>2021</v>
      </c>
      <c r="EJ2104" s="24">
        <v>12</v>
      </c>
      <c r="EK2104" s="24" t="s">
        <v>211</v>
      </c>
      <c r="EL2104" s="24" t="s">
        <v>247</v>
      </c>
      <c r="EM2104" s="24" t="s">
        <v>234</v>
      </c>
      <c r="EN2104" s="24">
        <v>4</v>
      </c>
    </row>
    <row r="2105" spans="139:144" x14ac:dyDescent="0.4">
      <c r="EI2105" s="326">
        <v>2021</v>
      </c>
      <c r="EJ2105" s="326">
        <v>11</v>
      </c>
      <c r="EK2105" s="326" t="s">
        <v>19</v>
      </c>
      <c r="EL2105" s="326" t="s">
        <v>247</v>
      </c>
      <c r="EM2105" s="326" t="s">
        <v>215</v>
      </c>
      <c r="EN2105" s="326">
        <v>2</v>
      </c>
    </row>
    <row r="2106" spans="139:144" x14ac:dyDescent="0.4">
      <c r="EI2106" s="326">
        <v>2021</v>
      </c>
      <c r="EJ2106" s="326">
        <v>11</v>
      </c>
      <c r="EK2106" s="326" t="s">
        <v>208</v>
      </c>
      <c r="EL2106" s="326" t="s">
        <v>352</v>
      </c>
      <c r="EM2106" s="326" t="s">
        <v>215</v>
      </c>
      <c r="EN2106" s="326">
        <v>3</v>
      </c>
    </row>
    <row r="2107" spans="139:144" x14ac:dyDescent="0.4">
      <c r="EI2107" s="326">
        <v>2021</v>
      </c>
      <c r="EJ2107" s="326">
        <v>11</v>
      </c>
      <c r="EK2107" s="326" t="s">
        <v>208</v>
      </c>
      <c r="EL2107" s="326" t="s">
        <v>351</v>
      </c>
      <c r="EM2107" s="326" t="s">
        <v>210</v>
      </c>
      <c r="EN2107" s="326">
        <v>1</v>
      </c>
    </row>
    <row r="2108" spans="139:144" x14ac:dyDescent="0.4">
      <c r="EI2108" s="326">
        <v>2021</v>
      </c>
      <c r="EJ2108" s="326">
        <v>11</v>
      </c>
      <c r="EK2108" s="326" t="s">
        <v>208</v>
      </c>
      <c r="EL2108" s="326" t="s">
        <v>351</v>
      </c>
      <c r="EM2108" s="326" t="s">
        <v>215</v>
      </c>
      <c r="EN2108" s="326">
        <v>3</v>
      </c>
    </row>
    <row r="2109" spans="139:144" x14ac:dyDescent="0.4">
      <c r="EI2109" s="326">
        <v>2021</v>
      </c>
      <c r="EJ2109" s="326">
        <v>11</v>
      </c>
      <c r="EK2109" s="326" t="s">
        <v>208</v>
      </c>
      <c r="EL2109" s="326" t="s">
        <v>235</v>
      </c>
      <c r="EM2109" s="326" t="s">
        <v>210</v>
      </c>
      <c r="EN2109" s="326">
        <v>1</v>
      </c>
    </row>
    <row r="2110" spans="139:144" x14ac:dyDescent="0.4">
      <c r="EI2110" s="326">
        <v>2021</v>
      </c>
      <c r="EJ2110" s="326">
        <v>11</v>
      </c>
      <c r="EK2110" s="326" t="s">
        <v>208</v>
      </c>
      <c r="EL2110" s="326" t="s">
        <v>235</v>
      </c>
      <c r="EM2110" s="326" t="s">
        <v>215</v>
      </c>
      <c r="EN2110" s="326">
        <v>9</v>
      </c>
    </row>
    <row r="2111" spans="139:144" x14ac:dyDescent="0.4">
      <c r="EI2111" s="326">
        <v>2021</v>
      </c>
      <c r="EJ2111" s="326">
        <v>11</v>
      </c>
      <c r="EK2111" s="326" t="s">
        <v>208</v>
      </c>
      <c r="EL2111" s="326" t="s">
        <v>209</v>
      </c>
      <c r="EM2111" s="326" t="s">
        <v>210</v>
      </c>
      <c r="EN2111" s="326">
        <v>1</v>
      </c>
    </row>
    <row r="2112" spans="139:144" x14ac:dyDescent="0.4">
      <c r="EI2112" s="326">
        <v>2021</v>
      </c>
      <c r="EJ2112" s="326">
        <v>11</v>
      </c>
      <c r="EK2112" s="326" t="s">
        <v>208</v>
      </c>
      <c r="EL2112" s="326" t="s">
        <v>247</v>
      </c>
      <c r="EM2112" s="326" t="s">
        <v>215</v>
      </c>
      <c r="EN2112" s="326">
        <v>1</v>
      </c>
    </row>
    <row r="2113" spans="139:144" x14ac:dyDescent="0.4">
      <c r="EI2113" s="326">
        <v>2021</v>
      </c>
      <c r="EJ2113" s="326">
        <v>11</v>
      </c>
      <c r="EK2113" s="326" t="s">
        <v>208</v>
      </c>
      <c r="EL2113" s="326" t="s">
        <v>245</v>
      </c>
      <c r="EM2113" s="326" t="s">
        <v>215</v>
      </c>
      <c r="EN2113" s="326">
        <v>5</v>
      </c>
    </row>
    <row r="2114" spans="139:144" x14ac:dyDescent="0.4">
      <c r="EI2114" s="24">
        <v>2021</v>
      </c>
      <c r="EJ2114" s="24">
        <v>11</v>
      </c>
      <c r="EK2114" s="24" t="s">
        <v>211</v>
      </c>
      <c r="EL2114" s="24" t="s">
        <v>232</v>
      </c>
      <c r="EM2114" s="24" t="s">
        <v>210</v>
      </c>
      <c r="EN2114" s="24">
        <v>12</v>
      </c>
    </row>
    <row r="2115" spans="139:144" x14ac:dyDescent="0.4">
      <c r="EI2115" s="24">
        <v>2021</v>
      </c>
      <c r="EJ2115" s="24">
        <v>11</v>
      </c>
      <c r="EK2115" s="24" t="s">
        <v>211</v>
      </c>
      <c r="EL2115" s="24" t="s">
        <v>232</v>
      </c>
      <c r="EM2115" s="24" t="s">
        <v>234</v>
      </c>
      <c r="EN2115" s="24">
        <v>4</v>
      </c>
    </row>
    <row r="2116" spans="139:144" x14ac:dyDescent="0.4">
      <c r="EI2116" s="24">
        <v>2021</v>
      </c>
      <c r="EJ2116" s="24">
        <v>11</v>
      </c>
      <c r="EK2116" s="24" t="s">
        <v>211</v>
      </c>
      <c r="EL2116" s="24" t="s">
        <v>232</v>
      </c>
      <c r="EM2116" s="24" t="s">
        <v>215</v>
      </c>
      <c r="EN2116" s="24">
        <v>1</v>
      </c>
    </row>
    <row r="2117" spans="139:144" x14ac:dyDescent="0.4">
      <c r="EI2117" s="24">
        <v>2021</v>
      </c>
      <c r="EJ2117" s="24">
        <v>11</v>
      </c>
      <c r="EK2117" s="24" t="s">
        <v>211</v>
      </c>
      <c r="EL2117" s="24" t="s">
        <v>212</v>
      </c>
      <c r="EM2117" s="24" t="s">
        <v>210</v>
      </c>
      <c r="EN2117" s="24">
        <v>13</v>
      </c>
    </row>
    <row r="2118" spans="139:144" x14ac:dyDescent="0.4">
      <c r="EI2118" s="24">
        <v>2021</v>
      </c>
      <c r="EJ2118" s="24">
        <v>11</v>
      </c>
      <c r="EK2118" s="24" t="s">
        <v>211</v>
      </c>
      <c r="EL2118" s="24" t="s">
        <v>212</v>
      </c>
      <c r="EM2118" s="24" t="s">
        <v>234</v>
      </c>
      <c r="EN2118" s="24">
        <v>4</v>
      </c>
    </row>
    <row r="2119" spans="139:144" x14ac:dyDescent="0.4">
      <c r="EI2119" s="24">
        <v>2021</v>
      </c>
      <c r="EJ2119" s="24">
        <v>11</v>
      </c>
      <c r="EK2119" s="24" t="s">
        <v>211</v>
      </c>
      <c r="EL2119" s="24" t="s">
        <v>212</v>
      </c>
      <c r="EM2119" s="24" t="s">
        <v>215</v>
      </c>
      <c r="EN2119" s="24">
        <v>1</v>
      </c>
    </row>
    <row r="2120" spans="139:144" x14ac:dyDescent="0.4">
      <c r="EI2120" s="24">
        <v>2021</v>
      </c>
      <c r="EJ2120" s="24">
        <v>11</v>
      </c>
      <c r="EK2120" s="24" t="s">
        <v>211</v>
      </c>
      <c r="EL2120" s="24" t="s">
        <v>247</v>
      </c>
      <c r="EM2120" s="24" t="s">
        <v>210</v>
      </c>
      <c r="EN2120" s="24">
        <v>4</v>
      </c>
    </row>
    <row r="2121" spans="139:144" x14ac:dyDescent="0.4">
      <c r="EI2121" s="24">
        <v>2021</v>
      </c>
      <c r="EJ2121" s="24">
        <v>11</v>
      </c>
      <c r="EK2121" s="24" t="s">
        <v>211</v>
      </c>
      <c r="EL2121" s="24" t="s">
        <v>247</v>
      </c>
      <c r="EM2121" s="24" t="s">
        <v>234</v>
      </c>
      <c r="EN2121" s="24">
        <v>12</v>
      </c>
    </row>
    <row r="2122" spans="139:144" x14ac:dyDescent="0.4">
      <c r="EI2122" s="24">
        <v>2021</v>
      </c>
      <c r="EJ2122" s="24">
        <v>10</v>
      </c>
      <c r="EK2122" s="24" t="s">
        <v>208</v>
      </c>
      <c r="EL2122" s="24" t="s">
        <v>352</v>
      </c>
      <c r="EM2122" s="24" t="s">
        <v>215</v>
      </c>
      <c r="EN2122" s="24">
        <v>2</v>
      </c>
    </row>
    <row r="2123" spans="139:144" x14ac:dyDescent="0.4">
      <c r="EI2123" s="24">
        <v>2021</v>
      </c>
      <c r="EJ2123" s="24">
        <v>10</v>
      </c>
      <c r="EK2123" s="24" t="s">
        <v>208</v>
      </c>
      <c r="EL2123" s="24" t="s">
        <v>351</v>
      </c>
      <c r="EM2123" s="24" t="s">
        <v>210</v>
      </c>
      <c r="EN2123" s="24">
        <v>3</v>
      </c>
    </row>
    <row r="2124" spans="139:144" x14ac:dyDescent="0.4">
      <c r="EI2124" s="24">
        <v>2021</v>
      </c>
      <c r="EJ2124" s="24">
        <v>10</v>
      </c>
      <c r="EK2124" s="24" t="s">
        <v>208</v>
      </c>
      <c r="EL2124" s="24" t="s">
        <v>235</v>
      </c>
      <c r="EM2124" s="24" t="s">
        <v>210</v>
      </c>
      <c r="EN2124" s="24">
        <v>2</v>
      </c>
    </row>
    <row r="2125" spans="139:144" x14ac:dyDescent="0.4">
      <c r="EI2125" s="24">
        <v>2021</v>
      </c>
      <c r="EJ2125" s="24">
        <v>10</v>
      </c>
      <c r="EK2125" s="24" t="s">
        <v>208</v>
      </c>
      <c r="EL2125" s="24" t="s">
        <v>235</v>
      </c>
      <c r="EM2125" s="24" t="s">
        <v>215</v>
      </c>
      <c r="EN2125" s="24">
        <v>2</v>
      </c>
    </row>
    <row r="2126" spans="139:144" x14ac:dyDescent="0.4">
      <c r="EI2126" s="24">
        <v>2021</v>
      </c>
      <c r="EJ2126" s="24">
        <v>10</v>
      </c>
      <c r="EK2126" s="24" t="s">
        <v>208</v>
      </c>
      <c r="EL2126" s="24" t="s">
        <v>209</v>
      </c>
      <c r="EM2126" s="24" t="s">
        <v>210</v>
      </c>
      <c r="EN2126" s="24">
        <v>2</v>
      </c>
    </row>
    <row r="2127" spans="139:144" x14ac:dyDescent="0.4">
      <c r="EI2127" s="24">
        <v>2021</v>
      </c>
      <c r="EJ2127" s="24">
        <v>10</v>
      </c>
      <c r="EK2127" s="24" t="s">
        <v>208</v>
      </c>
      <c r="EL2127" s="24" t="s">
        <v>245</v>
      </c>
      <c r="EM2127" s="24" t="s">
        <v>215</v>
      </c>
      <c r="EN2127" s="24">
        <v>2</v>
      </c>
    </row>
    <row r="2128" spans="139:144" x14ac:dyDescent="0.4">
      <c r="EI2128" s="24">
        <v>2021</v>
      </c>
      <c r="EJ2128" s="24">
        <v>10</v>
      </c>
      <c r="EK2128" s="24" t="s">
        <v>33</v>
      </c>
      <c r="EL2128" s="24" t="s">
        <v>233</v>
      </c>
      <c r="EM2128" s="24" t="s">
        <v>210</v>
      </c>
      <c r="EN2128" s="24">
        <v>29</v>
      </c>
    </row>
    <row r="2129" spans="139:144" x14ac:dyDescent="0.4">
      <c r="EI2129" s="24">
        <v>2021</v>
      </c>
      <c r="EJ2129" s="24">
        <v>10</v>
      </c>
      <c r="EK2129" s="24" t="s">
        <v>33</v>
      </c>
      <c r="EL2129" s="24" t="s">
        <v>233</v>
      </c>
      <c r="EM2129" s="24" t="s">
        <v>215</v>
      </c>
      <c r="EN2129" s="24">
        <v>4</v>
      </c>
    </row>
    <row r="2130" spans="139:144" x14ac:dyDescent="0.4">
      <c r="EI2130" s="24">
        <v>2021</v>
      </c>
      <c r="EJ2130" s="24">
        <v>10</v>
      </c>
      <c r="EK2130" s="24" t="s">
        <v>33</v>
      </c>
      <c r="EL2130" s="24" t="s">
        <v>236</v>
      </c>
      <c r="EM2130" s="24" t="s">
        <v>215</v>
      </c>
      <c r="EN2130" s="24">
        <v>142</v>
      </c>
    </row>
    <row r="2131" spans="139:144" x14ac:dyDescent="0.4">
      <c r="EI2131" s="24">
        <v>2021</v>
      </c>
      <c r="EJ2131" s="24">
        <v>10</v>
      </c>
      <c r="EK2131" s="24" t="s">
        <v>33</v>
      </c>
      <c r="EL2131" s="24" t="s">
        <v>238</v>
      </c>
      <c r="EM2131" s="24" t="s">
        <v>210</v>
      </c>
      <c r="EN2131" s="24">
        <v>2</v>
      </c>
    </row>
    <row r="2132" spans="139:144" x14ac:dyDescent="0.4">
      <c r="EI2132" s="24">
        <v>2021</v>
      </c>
      <c r="EJ2132" s="24">
        <v>10</v>
      </c>
      <c r="EK2132" s="24" t="s">
        <v>211</v>
      </c>
      <c r="EL2132" s="24" t="s">
        <v>232</v>
      </c>
      <c r="EM2132" s="24" t="s">
        <v>210</v>
      </c>
      <c r="EN2132" s="24">
        <v>15</v>
      </c>
    </row>
    <row r="2133" spans="139:144" x14ac:dyDescent="0.4">
      <c r="EI2133" s="24">
        <v>2021</v>
      </c>
      <c r="EJ2133" s="24">
        <v>10</v>
      </c>
      <c r="EK2133" s="24" t="s">
        <v>211</v>
      </c>
      <c r="EL2133" s="24" t="s">
        <v>232</v>
      </c>
      <c r="EM2133" s="24" t="s">
        <v>234</v>
      </c>
      <c r="EN2133" s="24">
        <v>2</v>
      </c>
    </row>
    <row r="2134" spans="139:144" x14ac:dyDescent="0.4">
      <c r="EI2134" s="24">
        <v>2021</v>
      </c>
      <c r="EJ2134" s="24">
        <v>10</v>
      </c>
      <c r="EK2134" s="24" t="s">
        <v>211</v>
      </c>
      <c r="EL2134" s="24" t="s">
        <v>232</v>
      </c>
      <c r="EM2134" s="24" t="s">
        <v>215</v>
      </c>
      <c r="EN2134" s="24">
        <v>1</v>
      </c>
    </row>
    <row r="2135" spans="139:144" x14ac:dyDescent="0.4">
      <c r="EI2135" s="24">
        <v>2021</v>
      </c>
      <c r="EJ2135" s="24">
        <v>10</v>
      </c>
      <c r="EK2135" s="24" t="s">
        <v>211</v>
      </c>
      <c r="EL2135" s="24" t="s">
        <v>212</v>
      </c>
      <c r="EM2135" s="24" t="s">
        <v>210</v>
      </c>
      <c r="EN2135" s="24">
        <v>11</v>
      </c>
    </row>
    <row r="2136" spans="139:144" x14ac:dyDescent="0.4">
      <c r="EI2136" s="24">
        <v>2021</v>
      </c>
      <c r="EJ2136" s="24">
        <v>10</v>
      </c>
      <c r="EK2136" s="24" t="s">
        <v>211</v>
      </c>
      <c r="EL2136" s="24" t="s">
        <v>212</v>
      </c>
      <c r="EM2136" s="24" t="s">
        <v>234</v>
      </c>
      <c r="EN2136" s="24">
        <v>2</v>
      </c>
    </row>
    <row r="2137" spans="139:144" x14ac:dyDescent="0.4">
      <c r="EI2137" s="24">
        <v>2021</v>
      </c>
      <c r="EJ2137" s="24">
        <v>10</v>
      </c>
      <c r="EK2137" s="24" t="s">
        <v>211</v>
      </c>
      <c r="EL2137" s="24" t="s">
        <v>247</v>
      </c>
      <c r="EM2137" s="24" t="s">
        <v>210</v>
      </c>
      <c r="EN2137" s="24">
        <v>10</v>
      </c>
    </row>
    <row r="2138" spans="139:144" x14ac:dyDescent="0.4">
      <c r="EI2138" s="24">
        <v>2021</v>
      </c>
      <c r="EJ2138" s="24">
        <v>10</v>
      </c>
      <c r="EK2138" s="24" t="s">
        <v>211</v>
      </c>
      <c r="EL2138" s="24" t="s">
        <v>247</v>
      </c>
      <c r="EM2138" s="24" t="s">
        <v>234</v>
      </c>
      <c r="EN2138" s="24">
        <v>14</v>
      </c>
    </row>
    <row r="2139" spans="139:144" x14ac:dyDescent="0.4">
      <c r="EI2139" s="24">
        <v>2021</v>
      </c>
      <c r="EJ2139" s="24">
        <v>9</v>
      </c>
      <c r="EK2139" s="24" t="s">
        <v>208</v>
      </c>
      <c r="EL2139" s="24" t="s">
        <v>352</v>
      </c>
      <c r="EM2139" s="24" t="s">
        <v>210</v>
      </c>
      <c r="EN2139" s="24">
        <v>1</v>
      </c>
    </row>
    <row r="2140" spans="139:144" x14ac:dyDescent="0.4">
      <c r="EI2140" s="24">
        <v>2021</v>
      </c>
      <c r="EJ2140" s="24">
        <v>9</v>
      </c>
      <c r="EK2140" s="24" t="s">
        <v>208</v>
      </c>
      <c r="EL2140" s="24" t="s">
        <v>351</v>
      </c>
      <c r="EM2140" s="24" t="s">
        <v>215</v>
      </c>
      <c r="EN2140" s="24">
        <v>2</v>
      </c>
    </row>
    <row r="2141" spans="139:144" x14ac:dyDescent="0.4">
      <c r="EI2141" s="24">
        <v>2021</v>
      </c>
      <c r="EJ2141" s="24">
        <v>9</v>
      </c>
      <c r="EK2141" s="24" t="s">
        <v>208</v>
      </c>
      <c r="EL2141" s="24" t="s">
        <v>235</v>
      </c>
      <c r="EM2141" s="24" t="s">
        <v>210</v>
      </c>
      <c r="EN2141" s="24">
        <v>3</v>
      </c>
    </row>
    <row r="2142" spans="139:144" x14ac:dyDescent="0.4">
      <c r="EI2142" s="24">
        <v>2021</v>
      </c>
      <c r="EJ2142" s="24">
        <v>9</v>
      </c>
      <c r="EK2142" s="24" t="s">
        <v>208</v>
      </c>
      <c r="EL2142" s="24" t="s">
        <v>235</v>
      </c>
      <c r="EM2142" s="24" t="s">
        <v>215</v>
      </c>
      <c r="EN2142" s="24">
        <v>3</v>
      </c>
    </row>
    <row r="2143" spans="139:144" x14ac:dyDescent="0.4">
      <c r="EI2143" s="24">
        <v>2021</v>
      </c>
      <c r="EJ2143" s="24">
        <v>9</v>
      </c>
      <c r="EK2143" s="24" t="s">
        <v>208</v>
      </c>
      <c r="EL2143" s="24" t="s">
        <v>209</v>
      </c>
      <c r="EM2143" s="24" t="s">
        <v>210</v>
      </c>
      <c r="EN2143" s="24">
        <v>1</v>
      </c>
    </row>
    <row r="2144" spans="139:144" x14ac:dyDescent="0.4">
      <c r="EI2144" s="24">
        <v>2021</v>
      </c>
      <c r="EJ2144" s="24">
        <v>9</v>
      </c>
      <c r="EK2144" s="24" t="s">
        <v>208</v>
      </c>
      <c r="EL2144" s="24" t="s">
        <v>245</v>
      </c>
      <c r="EM2144" s="24" t="s">
        <v>215</v>
      </c>
      <c r="EN2144" s="24">
        <v>2</v>
      </c>
    </row>
    <row r="2145" spans="139:144" x14ac:dyDescent="0.4">
      <c r="EI2145" s="24">
        <v>2021</v>
      </c>
      <c r="EJ2145" s="24">
        <v>9</v>
      </c>
      <c r="EK2145" s="24" t="s">
        <v>33</v>
      </c>
      <c r="EL2145" s="24" t="s">
        <v>233</v>
      </c>
      <c r="EM2145" s="24" t="s">
        <v>210</v>
      </c>
      <c r="EN2145" s="24">
        <v>17</v>
      </c>
    </row>
    <row r="2146" spans="139:144" x14ac:dyDescent="0.4">
      <c r="EI2146" s="24">
        <v>2021</v>
      </c>
      <c r="EJ2146" s="24">
        <v>9</v>
      </c>
      <c r="EK2146" s="24" t="s">
        <v>33</v>
      </c>
      <c r="EL2146" s="24" t="s">
        <v>233</v>
      </c>
      <c r="EM2146" s="24" t="s">
        <v>215</v>
      </c>
      <c r="EN2146" s="24">
        <v>14</v>
      </c>
    </row>
    <row r="2147" spans="139:144" x14ac:dyDescent="0.4">
      <c r="EI2147" s="24">
        <v>2021</v>
      </c>
      <c r="EJ2147" s="24">
        <v>9</v>
      </c>
      <c r="EK2147" s="24" t="s">
        <v>33</v>
      </c>
      <c r="EL2147" s="24" t="s">
        <v>244</v>
      </c>
      <c r="EM2147" s="24" t="s">
        <v>210</v>
      </c>
      <c r="EN2147" s="24">
        <v>17</v>
      </c>
    </row>
    <row r="2148" spans="139:144" x14ac:dyDescent="0.4">
      <c r="EI2148" s="24">
        <v>2021</v>
      </c>
      <c r="EJ2148" s="24">
        <v>9</v>
      </c>
      <c r="EK2148" s="24" t="s">
        <v>211</v>
      </c>
      <c r="EL2148" s="24" t="s">
        <v>232</v>
      </c>
      <c r="EM2148" s="24" t="s">
        <v>210</v>
      </c>
      <c r="EN2148" s="24">
        <v>10</v>
      </c>
    </row>
    <row r="2149" spans="139:144" x14ac:dyDescent="0.4">
      <c r="EI2149" s="24">
        <v>2021</v>
      </c>
      <c r="EJ2149" s="24">
        <v>9</v>
      </c>
      <c r="EK2149" s="24" t="s">
        <v>211</v>
      </c>
      <c r="EL2149" s="24" t="s">
        <v>232</v>
      </c>
      <c r="EM2149" s="24" t="s">
        <v>234</v>
      </c>
      <c r="EN2149" s="24">
        <v>2</v>
      </c>
    </row>
    <row r="2150" spans="139:144" x14ac:dyDescent="0.4">
      <c r="EI2150" s="24">
        <v>2021</v>
      </c>
      <c r="EJ2150" s="24">
        <v>9</v>
      </c>
      <c r="EK2150" s="24" t="s">
        <v>211</v>
      </c>
      <c r="EL2150" s="24" t="s">
        <v>232</v>
      </c>
      <c r="EM2150" s="24" t="s">
        <v>215</v>
      </c>
      <c r="EN2150" s="24">
        <v>22</v>
      </c>
    </row>
    <row r="2151" spans="139:144" x14ac:dyDescent="0.4">
      <c r="EI2151" s="24">
        <v>2021</v>
      </c>
      <c r="EJ2151" s="24">
        <v>9</v>
      </c>
      <c r="EK2151" s="24" t="s">
        <v>211</v>
      </c>
      <c r="EL2151" s="24" t="s">
        <v>212</v>
      </c>
      <c r="EM2151" s="24" t="s">
        <v>210</v>
      </c>
      <c r="EN2151" s="24">
        <v>4</v>
      </c>
    </row>
    <row r="2152" spans="139:144" x14ac:dyDescent="0.4">
      <c r="EI2152" s="24">
        <v>2021</v>
      </c>
      <c r="EJ2152" s="24">
        <v>9</v>
      </c>
      <c r="EK2152" s="24" t="s">
        <v>211</v>
      </c>
      <c r="EL2152" s="24" t="s">
        <v>212</v>
      </c>
      <c r="EM2152" s="24" t="s">
        <v>234</v>
      </c>
      <c r="EN2152" s="24">
        <v>3</v>
      </c>
    </row>
    <row r="2153" spans="139:144" x14ac:dyDescent="0.4">
      <c r="EI2153" s="24">
        <v>2021</v>
      </c>
      <c r="EJ2153" s="24">
        <v>9</v>
      </c>
      <c r="EK2153" s="24" t="s">
        <v>211</v>
      </c>
      <c r="EL2153" s="24" t="s">
        <v>247</v>
      </c>
      <c r="EM2153" s="24" t="s">
        <v>210</v>
      </c>
      <c r="EN2153" s="24">
        <v>4</v>
      </c>
    </row>
    <row r="2154" spans="139:144" x14ac:dyDescent="0.4">
      <c r="EI2154" s="24">
        <v>2021</v>
      </c>
      <c r="EJ2154" s="24">
        <v>9</v>
      </c>
      <c r="EK2154" s="24" t="s">
        <v>211</v>
      </c>
      <c r="EL2154" s="24" t="s">
        <v>247</v>
      </c>
      <c r="EM2154" s="24" t="s">
        <v>234</v>
      </c>
      <c r="EN2154" s="24">
        <v>6</v>
      </c>
    </row>
    <row r="2155" spans="139:144" x14ac:dyDescent="0.4">
      <c r="EI2155" s="24">
        <v>2021</v>
      </c>
      <c r="EJ2155" s="24">
        <v>8</v>
      </c>
      <c r="EK2155" s="24" t="s">
        <v>208</v>
      </c>
      <c r="EL2155" s="24" t="s">
        <v>235</v>
      </c>
      <c r="EM2155" s="24" t="s">
        <v>215</v>
      </c>
      <c r="EN2155" s="24">
        <v>5</v>
      </c>
    </row>
    <row r="2156" spans="139:144" x14ac:dyDescent="0.4">
      <c r="EI2156" s="24">
        <v>2021</v>
      </c>
      <c r="EJ2156" s="24">
        <v>8</v>
      </c>
      <c r="EK2156" s="24" t="s">
        <v>208</v>
      </c>
      <c r="EL2156" s="24" t="s">
        <v>209</v>
      </c>
      <c r="EM2156" s="24" t="s">
        <v>210</v>
      </c>
      <c r="EN2156" s="24">
        <v>4</v>
      </c>
    </row>
    <row r="2157" spans="139:144" x14ac:dyDescent="0.4">
      <c r="EI2157" s="24">
        <v>2021</v>
      </c>
      <c r="EJ2157" s="24">
        <v>8</v>
      </c>
      <c r="EK2157" s="24" t="s">
        <v>208</v>
      </c>
      <c r="EL2157" s="24" t="s">
        <v>209</v>
      </c>
      <c r="EM2157" s="24" t="s">
        <v>215</v>
      </c>
      <c r="EN2157" s="24">
        <v>1</v>
      </c>
    </row>
    <row r="2158" spans="139:144" x14ac:dyDescent="0.4">
      <c r="EI2158" s="24">
        <v>2021</v>
      </c>
      <c r="EJ2158" s="24">
        <v>8</v>
      </c>
      <c r="EK2158" s="24" t="s">
        <v>208</v>
      </c>
      <c r="EL2158" s="24" t="s">
        <v>245</v>
      </c>
      <c r="EM2158" s="24" t="s">
        <v>215</v>
      </c>
      <c r="EN2158" s="24">
        <v>3</v>
      </c>
    </row>
    <row r="2159" spans="139:144" x14ac:dyDescent="0.4">
      <c r="EI2159" s="24">
        <v>2021</v>
      </c>
      <c r="EJ2159" s="24">
        <v>8</v>
      </c>
      <c r="EK2159" s="24" t="s">
        <v>33</v>
      </c>
      <c r="EL2159" s="24" t="s">
        <v>233</v>
      </c>
      <c r="EM2159" s="24" t="s">
        <v>215</v>
      </c>
      <c r="EN2159" s="24">
        <v>2</v>
      </c>
    </row>
    <row r="2160" spans="139:144" x14ac:dyDescent="0.4">
      <c r="EI2160" s="24">
        <v>2021</v>
      </c>
      <c r="EJ2160" s="24">
        <v>8</v>
      </c>
      <c r="EK2160" s="24" t="s">
        <v>211</v>
      </c>
      <c r="EL2160" s="24" t="s">
        <v>232</v>
      </c>
      <c r="EM2160" s="24" t="s">
        <v>210</v>
      </c>
      <c r="EN2160" s="24">
        <v>3</v>
      </c>
    </row>
    <row r="2161" spans="139:144" x14ac:dyDescent="0.4">
      <c r="EI2161" s="24">
        <v>2021</v>
      </c>
      <c r="EJ2161" s="24">
        <v>8</v>
      </c>
      <c r="EK2161" s="24" t="s">
        <v>211</v>
      </c>
      <c r="EL2161" s="24" t="s">
        <v>232</v>
      </c>
      <c r="EM2161" s="24" t="s">
        <v>234</v>
      </c>
      <c r="EN2161" s="24">
        <v>2</v>
      </c>
    </row>
    <row r="2162" spans="139:144" x14ac:dyDescent="0.4">
      <c r="EI2162" s="24">
        <v>2021</v>
      </c>
      <c r="EJ2162" s="24">
        <v>8</v>
      </c>
      <c r="EK2162" s="24" t="s">
        <v>211</v>
      </c>
      <c r="EL2162" s="24" t="s">
        <v>232</v>
      </c>
      <c r="EM2162" s="24" t="s">
        <v>215</v>
      </c>
      <c r="EN2162" s="24">
        <v>8</v>
      </c>
    </row>
    <row r="2163" spans="139:144" x14ac:dyDescent="0.4">
      <c r="EI2163" s="24">
        <v>2021</v>
      </c>
      <c r="EJ2163" s="24">
        <v>8</v>
      </c>
      <c r="EK2163" s="24" t="s">
        <v>211</v>
      </c>
      <c r="EL2163" s="24" t="s">
        <v>212</v>
      </c>
      <c r="EM2163" s="24" t="s">
        <v>210</v>
      </c>
      <c r="EN2163" s="24">
        <v>6</v>
      </c>
    </row>
    <row r="2164" spans="139:144" x14ac:dyDescent="0.4">
      <c r="EI2164" s="24">
        <v>2021</v>
      </c>
      <c r="EJ2164" s="24">
        <v>8</v>
      </c>
      <c r="EK2164" s="24" t="s">
        <v>211</v>
      </c>
      <c r="EL2164" s="24" t="s">
        <v>212</v>
      </c>
      <c r="EM2164" s="24" t="s">
        <v>234</v>
      </c>
      <c r="EN2164" s="24">
        <v>2</v>
      </c>
    </row>
    <row r="2165" spans="139:144" x14ac:dyDescent="0.4">
      <c r="EI2165" s="24">
        <v>2021</v>
      </c>
      <c r="EJ2165" s="24">
        <v>8</v>
      </c>
      <c r="EK2165" s="24" t="s">
        <v>211</v>
      </c>
      <c r="EL2165" s="24" t="s">
        <v>247</v>
      </c>
      <c r="EM2165" s="24" t="s">
        <v>210</v>
      </c>
      <c r="EN2165" s="24">
        <v>8</v>
      </c>
    </row>
    <row r="2166" spans="139:144" x14ac:dyDescent="0.4">
      <c r="EI2166" s="24">
        <v>2021</v>
      </c>
      <c r="EJ2166" s="24">
        <v>8</v>
      </c>
      <c r="EK2166" s="24" t="s">
        <v>211</v>
      </c>
      <c r="EL2166" s="24" t="s">
        <v>247</v>
      </c>
      <c r="EM2166" s="24" t="s">
        <v>234</v>
      </c>
      <c r="EN2166" s="24">
        <v>4</v>
      </c>
    </row>
    <row r="2167" spans="139:144" x14ac:dyDescent="0.4">
      <c r="EI2167" s="24">
        <v>2021</v>
      </c>
      <c r="EJ2167" s="24">
        <v>7</v>
      </c>
      <c r="EK2167" s="24" t="s">
        <v>19</v>
      </c>
      <c r="EL2167" s="24" t="s">
        <v>545</v>
      </c>
      <c r="EM2167" s="24" t="s">
        <v>210</v>
      </c>
      <c r="EN2167" s="24">
        <v>1</v>
      </c>
    </row>
    <row r="2168" spans="139:144" x14ac:dyDescent="0.4">
      <c r="EI2168" s="24">
        <v>2021</v>
      </c>
      <c r="EJ2168" s="24">
        <v>7</v>
      </c>
      <c r="EK2168" s="24" t="s">
        <v>208</v>
      </c>
      <c r="EL2168" s="24" t="s">
        <v>352</v>
      </c>
      <c r="EM2168" s="24" t="s">
        <v>215</v>
      </c>
      <c r="EN2168" s="24">
        <v>1</v>
      </c>
    </row>
    <row r="2169" spans="139:144" x14ac:dyDescent="0.4">
      <c r="EI2169" s="24">
        <v>2021</v>
      </c>
      <c r="EJ2169" s="24">
        <v>7</v>
      </c>
      <c r="EK2169" s="24" t="s">
        <v>208</v>
      </c>
      <c r="EL2169" s="24" t="s">
        <v>351</v>
      </c>
      <c r="EM2169" s="24" t="s">
        <v>210</v>
      </c>
      <c r="EN2169" s="24">
        <v>5</v>
      </c>
    </row>
    <row r="2170" spans="139:144" x14ac:dyDescent="0.4">
      <c r="EI2170" s="24">
        <v>2021</v>
      </c>
      <c r="EJ2170" s="24">
        <v>7</v>
      </c>
      <c r="EK2170" s="24" t="s">
        <v>208</v>
      </c>
      <c r="EL2170" s="24" t="s">
        <v>235</v>
      </c>
      <c r="EM2170" s="24" t="s">
        <v>210</v>
      </c>
      <c r="EN2170" s="24">
        <v>2</v>
      </c>
    </row>
    <row r="2171" spans="139:144" x14ac:dyDescent="0.4">
      <c r="EI2171" s="24">
        <v>2021</v>
      </c>
      <c r="EJ2171" s="24">
        <v>7</v>
      </c>
      <c r="EK2171" s="24" t="s">
        <v>208</v>
      </c>
      <c r="EL2171" s="24" t="s">
        <v>235</v>
      </c>
      <c r="EM2171" s="24" t="s">
        <v>215</v>
      </c>
      <c r="EN2171" s="24">
        <v>13</v>
      </c>
    </row>
    <row r="2172" spans="139:144" x14ac:dyDescent="0.4">
      <c r="EI2172" s="24">
        <v>2021</v>
      </c>
      <c r="EJ2172" s="24">
        <v>7</v>
      </c>
      <c r="EK2172" s="24" t="s">
        <v>208</v>
      </c>
      <c r="EL2172" s="24" t="s">
        <v>247</v>
      </c>
      <c r="EM2172" s="24" t="s">
        <v>210</v>
      </c>
      <c r="EN2172" s="24">
        <v>1</v>
      </c>
    </row>
    <row r="2173" spans="139:144" x14ac:dyDescent="0.4">
      <c r="EI2173" s="24">
        <v>2021</v>
      </c>
      <c r="EJ2173" s="24">
        <v>7</v>
      </c>
      <c r="EK2173" s="24" t="s">
        <v>208</v>
      </c>
      <c r="EL2173" s="24" t="s">
        <v>245</v>
      </c>
      <c r="EM2173" s="24" t="s">
        <v>215</v>
      </c>
      <c r="EN2173" s="24">
        <v>3</v>
      </c>
    </row>
    <row r="2174" spans="139:144" x14ac:dyDescent="0.4">
      <c r="EI2174" s="24">
        <v>2021</v>
      </c>
      <c r="EJ2174" s="24">
        <v>7</v>
      </c>
      <c r="EK2174" s="24" t="s">
        <v>33</v>
      </c>
      <c r="EL2174" s="24" t="s">
        <v>233</v>
      </c>
      <c r="EM2174" s="24" t="s">
        <v>215</v>
      </c>
      <c r="EN2174" s="24">
        <v>19</v>
      </c>
    </row>
    <row r="2175" spans="139:144" x14ac:dyDescent="0.4">
      <c r="EI2175" s="24">
        <v>2021</v>
      </c>
      <c r="EJ2175" s="24">
        <v>7</v>
      </c>
      <c r="EK2175" s="24" t="s">
        <v>33</v>
      </c>
      <c r="EL2175" s="24" t="s">
        <v>244</v>
      </c>
      <c r="EM2175" s="24" t="s">
        <v>210</v>
      </c>
      <c r="EN2175" s="24">
        <v>5</v>
      </c>
    </row>
    <row r="2176" spans="139:144" x14ac:dyDescent="0.4">
      <c r="EI2176" s="24">
        <v>2021</v>
      </c>
      <c r="EJ2176" s="24">
        <v>7</v>
      </c>
      <c r="EK2176" s="24" t="s">
        <v>33</v>
      </c>
      <c r="EL2176" s="24" t="s">
        <v>235</v>
      </c>
      <c r="EM2176" s="24" t="s">
        <v>210</v>
      </c>
      <c r="EN2176" s="24">
        <v>116</v>
      </c>
    </row>
    <row r="2177" spans="139:144" x14ac:dyDescent="0.4">
      <c r="EI2177" s="24">
        <v>2021</v>
      </c>
      <c r="EJ2177" s="24">
        <v>7</v>
      </c>
      <c r="EK2177" s="24" t="s">
        <v>211</v>
      </c>
      <c r="EL2177" s="24" t="s">
        <v>232</v>
      </c>
      <c r="EM2177" s="24" t="s">
        <v>210</v>
      </c>
      <c r="EN2177" s="24">
        <v>4</v>
      </c>
    </row>
    <row r="2178" spans="139:144" x14ac:dyDescent="0.4">
      <c r="EI2178" s="24">
        <v>2021</v>
      </c>
      <c r="EJ2178" s="24">
        <v>7</v>
      </c>
      <c r="EK2178" s="24" t="s">
        <v>211</v>
      </c>
      <c r="EL2178" s="24" t="s">
        <v>232</v>
      </c>
      <c r="EM2178" s="24" t="s">
        <v>234</v>
      </c>
      <c r="EN2178" s="24">
        <v>2</v>
      </c>
    </row>
    <row r="2179" spans="139:144" x14ac:dyDescent="0.4">
      <c r="EI2179" s="24">
        <v>2021</v>
      </c>
      <c r="EJ2179" s="24">
        <v>7</v>
      </c>
      <c r="EK2179" s="24" t="s">
        <v>211</v>
      </c>
      <c r="EL2179" s="24" t="s">
        <v>232</v>
      </c>
      <c r="EM2179" s="24" t="s">
        <v>215</v>
      </c>
      <c r="EN2179" s="24">
        <v>1</v>
      </c>
    </row>
    <row r="2180" spans="139:144" x14ac:dyDescent="0.4">
      <c r="EI2180" s="24">
        <v>2021</v>
      </c>
      <c r="EJ2180" s="24">
        <v>7</v>
      </c>
      <c r="EK2180" s="24" t="s">
        <v>211</v>
      </c>
      <c r="EL2180" s="24" t="s">
        <v>212</v>
      </c>
      <c r="EM2180" s="24" t="s">
        <v>210</v>
      </c>
      <c r="EN2180" s="24">
        <v>9</v>
      </c>
    </row>
    <row r="2181" spans="139:144" x14ac:dyDescent="0.4">
      <c r="EI2181" s="24">
        <v>2021</v>
      </c>
      <c r="EJ2181" s="24">
        <v>7</v>
      </c>
      <c r="EK2181" s="24" t="s">
        <v>211</v>
      </c>
      <c r="EL2181" s="24" t="s">
        <v>212</v>
      </c>
      <c r="EM2181" s="24" t="s">
        <v>234</v>
      </c>
      <c r="EN2181" s="24">
        <v>4</v>
      </c>
    </row>
    <row r="2182" spans="139:144" x14ac:dyDescent="0.4">
      <c r="EI2182" s="24">
        <v>2021</v>
      </c>
      <c r="EJ2182" s="24">
        <v>7</v>
      </c>
      <c r="EK2182" s="24" t="s">
        <v>211</v>
      </c>
      <c r="EL2182" s="24" t="s">
        <v>212</v>
      </c>
      <c r="EM2182" s="24" t="s">
        <v>215</v>
      </c>
      <c r="EN2182" s="24">
        <v>2</v>
      </c>
    </row>
    <row r="2183" spans="139:144" x14ac:dyDescent="0.4">
      <c r="EI2183" s="24">
        <v>2021</v>
      </c>
      <c r="EJ2183" s="24">
        <v>7</v>
      </c>
      <c r="EK2183" s="24" t="s">
        <v>211</v>
      </c>
      <c r="EL2183" s="24" t="s">
        <v>247</v>
      </c>
      <c r="EM2183" s="24" t="s">
        <v>210</v>
      </c>
      <c r="EN2183" s="24">
        <v>4</v>
      </c>
    </row>
    <row r="2184" spans="139:144" x14ac:dyDescent="0.4">
      <c r="EI2184" s="24">
        <v>2021</v>
      </c>
      <c r="EJ2184" s="24">
        <v>7</v>
      </c>
      <c r="EK2184" s="24" t="s">
        <v>211</v>
      </c>
      <c r="EL2184" s="24" t="s">
        <v>247</v>
      </c>
      <c r="EM2184" s="24" t="s">
        <v>234</v>
      </c>
      <c r="EN2184" s="24">
        <v>6</v>
      </c>
    </row>
    <row r="2185" spans="139:144" x14ac:dyDescent="0.4">
      <c r="EI2185" s="24">
        <v>2021</v>
      </c>
      <c r="EJ2185" s="24">
        <v>7</v>
      </c>
      <c r="EK2185" s="24" t="s">
        <v>213</v>
      </c>
      <c r="EL2185" s="24" t="s">
        <v>214</v>
      </c>
      <c r="EM2185" s="24" t="s">
        <v>215</v>
      </c>
      <c r="EN2185" s="24">
        <v>4</v>
      </c>
    </row>
    <row r="2186" spans="139:144" x14ac:dyDescent="0.4">
      <c r="EI2186" s="24">
        <v>2021</v>
      </c>
      <c r="EJ2186" s="24">
        <v>6</v>
      </c>
      <c r="EK2186" s="24" t="s">
        <v>208</v>
      </c>
      <c r="EL2186" s="24" t="s">
        <v>351</v>
      </c>
      <c r="EM2186" s="24" t="s">
        <v>210</v>
      </c>
      <c r="EN2186" s="24">
        <v>6</v>
      </c>
    </row>
    <row r="2187" spans="139:144" x14ac:dyDescent="0.4">
      <c r="EI2187" s="24">
        <v>2021</v>
      </c>
      <c r="EJ2187" s="24">
        <v>6</v>
      </c>
      <c r="EK2187" s="24" t="s">
        <v>208</v>
      </c>
      <c r="EL2187" s="24" t="s">
        <v>351</v>
      </c>
      <c r="EM2187" s="24" t="s">
        <v>215</v>
      </c>
      <c r="EN2187" s="24">
        <v>1</v>
      </c>
    </row>
    <row r="2188" spans="139:144" x14ac:dyDescent="0.4">
      <c r="EI2188" s="24">
        <v>2021</v>
      </c>
      <c r="EJ2188" s="24">
        <v>6</v>
      </c>
      <c r="EK2188" s="24" t="s">
        <v>208</v>
      </c>
      <c r="EL2188" s="24" t="s">
        <v>235</v>
      </c>
      <c r="EM2188" s="24" t="s">
        <v>210</v>
      </c>
      <c r="EN2188" s="24">
        <v>2</v>
      </c>
    </row>
    <row r="2189" spans="139:144" x14ac:dyDescent="0.4">
      <c r="EI2189" s="24">
        <v>2021</v>
      </c>
      <c r="EJ2189" s="24">
        <v>6</v>
      </c>
      <c r="EK2189" s="24" t="s">
        <v>208</v>
      </c>
      <c r="EL2189" s="24" t="s">
        <v>235</v>
      </c>
      <c r="EM2189" s="24" t="s">
        <v>215</v>
      </c>
      <c r="EN2189" s="24">
        <v>10</v>
      </c>
    </row>
    <row r="2190" spans="139:144" x14ac:dyDescent="0.4">
      <c r="EI2190" s="24">
        <v>2021</v>
      </c>
      <c r="EJ2190" s="24">
        <v>6</v>
      </c>
      <c r="EK2190" s="24" t="s">
        <v>208</v>
      </c>
      <c r="EL2190" s="24" t="s">
        <v>209</v>
      </c>
      <c r="EM2190" s="24" t="s">
        <v>210</v>
      </c>
      <c r="EN2190" s="24">
        <v>2</v>
      </c>
    </row>
    <row r="2191" spans="139:144" x14ac:dyDescent="0.4">
      <c r="EI2191" s="24">
        <v>2021</v>
      </c>
      <c r="EJ2191" s="24">
        <v>6</v>
      </c>
      <c r="EK2191" s="24" t="s">
        <v>208</v>
      </c>
      <c r="EL2191" s="24" t="s">
        <v>247</v>
      </c>
      <c r="EM2191" s="24" t="s">
        <v>210</v>
      </c>
      <c r="EN2191" s="24">
        <v>3</v>
      </c>
    </row>
    <row r="2192" spans="139:144" x14ac:dyDescent="0.4">
      <c r="EI2192" s="24">
        <v>2021</v>
      </c>
      <c r="EJ2192" s="24">
        <v>6</v>
      </c>
      <c r="EK2192" s="24" t="s">
        <v>208</v>
      </c>
      <c r="EL2192" s="24" t="s">
        <v>245</v>
      </c>
      <c r="EM2192" s="24" t="s">
        <v>215</v>
      </c>
      <c r="EN2192" s="24">
        <v>2</v>
      </c>
    </row>
    <row r="2193" spans="139:144" x14ac:dyDescent="0.4">
      <c r="EI2193" s="24">
        <v>2021</v>
      </c>
      <c r="EJ2193" s="24">
        <v>6</v>
      </c>
      <c r="EK2193" s="24" t="s">
        <v>33</v>
      </c>
      <c r="EL2193" s="24" t="s">
        <v>233</v>
      </c>
      <c r="EM2193" s="24" t="s">
        <v>215</v>
      </c>
      <c r="EN2193" s="24">
        <v>10</v>
      </c>
    </row>
    <row r="2194" spans="139:144" x14ac:dyDescent="0.4">
      <c r="EI2194" s="24">
        <v>2021</v>
      </c>
      <c r="EJ2194" s="24">
        <v>6</v>
      </c>
      <c r="EK2194" s="24" t="s">
        <v>33</v>
      </c>
      <c r="EL2194" s="24" t="s">
        <v>244</v>
      </c>
      <c r="EM2194" s="24" t="s">
        <v>210</v>
      </c>
      <c r="EN2194" s="24">
        <v>7</v>
      </c>
    </row>
    <row r="2195" spans="139:144" x14ac:dyDescent="0.4">
      <c r="EI2195" s="24">
        <v>2021</v>
      </c>
      <c r="EJ2195" s="24">
        <v>6</v>
      </c>
      <c r="EK2195" s="24" t="s">
        <v>211</v>
      </c>
      <c r="EL2195" s="24" t="s">
        <v>232</v>
      </c>
      <c r="EM2195" s="24" t="s">
        <v>210</v>
      </c>
      <c r="EN2195" s="24">
        <v>5</v>
      </c>
    </row>
    <row r="2196" spans="139:144" x14ac:dyDescent="0.4">
      <c r="EI2196" s="24">
        <v>2021</v>
      </c>
      <c r="EJ2196" s="24">
        <v>6</v>
      </c>
      <c r="EK2196" s="24" t="s">
        <v>211</v>
      </c>
      <c r="EL2196" s="24" t="s">
        <v>232</v>
      </c>
      <c r="EM2196" s="24" t="s">
        <v>234</v>
      </c>
      <c r="EN2196" s="24">
        <v>2</v>
      </c>
    </row>
    <row r="2197" spans="139:144" x14ac:dyDescent="0.4">
      <c r="EI2197" s="24">
        <v>2021</v>
      </c>
      <c r="EJ2197" s="24">
        <v>6</v>
      </c>
      <c r="EK2197" s="24" t="s">
        <v>211</v>
      </c>
      <c r="EL2197" s="24" t="s">
        <v>232</v>
      </c>
      <c r="EM2197" s="24" t="s">
        <v>215</v>
      </c>
      <c r="EN2197" s="24">
        <v>4</v>
      </c>
    </row>
    <row r="2198" spans="139:144" x14ac:dyDescent="0.4">
      <c r="EI2198" s="24">
        <v>2021</v>
      </c>
      <c r="EJ2198" s="24">
        <v>6</v>
      </c>
      <c r="EK2198" s="24" t="s">
        <v>211</v>
      </c>
      <c r="EL2198" s="24" t="s">
        <v>212</v>
      </c>
      <c r="EM2198" s="24" t="s">
        <v>210</v>
      </c>
      <c r="EN2198" s="24">
        <v>12</v>
      </c>
    </row>
    <row r="2199" spans="139:144" x14ac:dyDescent="0.4">
      <c r="EI2199" s="24">
        <v>2021</v>
      </c>
      <c r="EJ2199" s="24">
        <v>6</v>
      </c>
      <c r="EK2199" s="24" t="s">
        <v>211</v>
      </c>
      <c r="EL2199" s="24" t="s">
        <v>212</v>
      </c>
      <c r="EM2199" s="24" t="s">
        <v>234</v>
      </c>
      <c r="EN2199" s="24">
        <v>6</v>
      </c>
    </row>
    <row r="2200" spans="139:144" x14ac:dyDescent="0.4">
      <c r="EI2200" s="24">
        <v>2021</v>
      </c>
      <c r="EJ2200" s="24">
        <v>6</v>
      </c>
      <c r="EK2200" s="24" t="s">
        <v>211</v>
      </c>
      <c r="EL2200" s="24" t="s">
        <v>247</v>
      </c>
      <c r="EM2200" s="24" t="s">
        <v>210</v>
      </c>
      <c r="EN2200" s="24">
        <v>11</v>
      </c>
    </row>
    <row r="2201" spans="139:144" x14ac:dyDescent="0.4">
      <c r="EI2201" s="24">
        <v>2021</v>
      </c>
      <c r="EJ2201" s="24">
        <v>6</v>
      </c>
      <c r="EK2201" s="24" t="s">
        <v>211</v>
      </c>
      <c r="EL2201" s="24" t="s">
        <v>247</v>
      </c>
      <c r="EM2201" s="24" t="s">
        <v>234</v>
      </c>
      <c r="EN2201" s="24">
        <v>18</v>
      </c>
    </row>
    <row r="2202" spans="139:144" x14ac:dyDescent="0.4">
      <c r="EI2202" s="24">
        <v>2021</v>
      </c>
      <c r="EJ2202" s="24">
        <v>5</v>
      </c>
      <c r="EK2202" s="24" t="s">
        <v>208</v>
      </c>
      <c r="EL2202" s="24" t="s">
        <v>235</v>
      </c>
      <c r="EM2202" s="24" t="s">
        <v>210</v>
      </c>
      <c r="EN2202" s="24">
        <v>8</v>
      </c>
    </row>
    <row r="2203" spans="139:144" x14ac:dyDescent="0.4">
      <c r="EI2203" s="24">
        <v>2021</v>
      </c>
      <c r="EJ2203" s="24">
        <v>5</v>
      </c>
      <c r="EK2203" s="24" t="s">
        <v>208</v>
      </c>
      <c r="EL2203" s="24" t="s">
        <v>235</v>
      </c>
      <c r="EM2203" s="24" t="s">
        <v>215</v>
      </c>
      <c r="EN2203" s="24">
        <v>2</v>
      </c>
    </row>
    <row r="2204" spans="139:144" x14ac:dyDescent="0.4">
      <c r="EI2204" s="24">
        <v>2021</v>
      </c>
      <c r="EJ2204" s="24">
        <v>5</v>
      </c>
      <c r="EK2204" s="24" t="s">
        <v>208</v>
      </c>
      <c r="EL2204" s="24" t="s">
        <v>209</v>
      </c>
      <c r="EM2204" s="24" t="s">
        <v>210</v>
      </c>
      <c r="EN2204" s="24">
        <v>3</v>
      </c>
    </row>
    <row r="2205" spans="139:144" x14ac:dyDescent="0.4">
      <c r="EI2205" s="24">
        <v>2021</v>
      </c>
      <c r="EJ2205" s="24">
        <v>5</v>
      </c>
      <c r="EK2205" s="24" t="s">
        <v>208</v>
      </c>
      <c r="EL2205" s="24" t="s">
        <v>247</v>
      </c>
      <c r="EM2205" s="24" t="s">
        <v>210</v>
      </c>
      <c r="EN2205" s="24">
        <v>1</v>
      </c>
    </row>
    <row r="2206" spans="139:144" x14ac:dyDescent="0.4">
      <c r="EI2206" s="24">
        <v>2021</v>
      </c>
      <c r="EJ2206" s="24">
        <v>5</v>
      </c>
      <c r="EK2206" s="24" t="s">
        <v>33</v>
      </c>
      <c r="EL2206" s="24" t="s">
        <v>233</v>
      </c>
      <c r="EM2206" s="24" t="s">
        <v>234</v>
      </c>
      <c r="EN2206" s="24">
        <v>2</v>
      </c>
    </row>
    <row r="2207" spans="139:144" x14ac:dyDescent="0.4">
      <c r="EI2207" s="24">
        <v>2021</v>
      </c>
      <c r="EJ2207" s="24">
        <v>5</v>
      </c>
      <c r="EK2207" s="24" t="s">
        <v>33</v>
      </c>
      <c r="EL2207" s="24" t="s">
        <v>233</v>
      </c>
      <c r="EM2207" s="24" t="s">
        <v>215</v>
      </c>
      <c r="EN2207" s="24">
        <v>42</v>
      </c>
    </row>
    <row r="2208" spans="139:144" x14ac:dyDescent="0.4">
      <c r="EI2208" s="24">
        <v>2021</v>
      </c>
      <c r="EJ2208" s="24">
        <v>5</v>
      </c>
      <c r="EK2208" s="24" t="s">
        <v>33</v>
      </c>
      <c r="EL2208" s="24" t="s">
        <v>244</v>
      </c>
      <c r="EM2208" s="24" t="s">
        <v>210</v>
      </c>
      <c r="EN2208" s="24">
        <v>6</v>
      </c>
    </row>
    <row r="2209" spans="139:144" x14ac:dyDescent="0.4">
      <c r="EI2209" s="24">
        <v>2021</v>
      </c>
      <c r="EJ2209" s="24">
        <v>5</v>
      </c>
      <c r="EK2209" s="24" t="s">
        <v>211</v>
      </c>
      <c r="EL2209" s="24" t="s">
        <v>232</v>
      </c>
      <c r="EM2209" s="24" t="s">
        <v>234</v>
      </c>
      <c r="EN2209" s="24">
        <v>2</v>
      </c>
    </row>
    <row r="2210" spans="139:144" x14ac:dyDescent="0.4">
      <c r="EI2210" s="24">
        <v>2021</v>
      </c>
      <c r="EJ2210" s="24">
        <v>5</v>
      </c>
      <c r="EK2210" s="24" t="s">
        <v>211</v>
      </c>
      <c r="EL2210" s="24" t="s">
        <v>232</v>
      </c>
      <c r="EM2210" s="24" t="s">
        <v>215</v>
      </c>
      <c r="EN2210" s="24">
        <v>39</v>
      </c>
    </row>
    <row r="2211" spans="139:144" x14ac:dyDescent="0.4">
      <c r="EI2211" s="24">
        <v>2021</v>
      </c>
      <c r="EJ2211" s="24">
        <v>5</v>
      </c>
      <c r="EK2211" s="24" t="s">
        <v>211</v>
      </c>
      <c r="EL2211" s="24" t="s">
        <v>212</v>
      </c>
      <c r="EM2211" s="24" t="s">
        <v>210</v>
      </c>
      <c r="EN2211" s="24">
        <v>10</v>
      </c>
    </row>
    <row r="2212" spans="139:144" x14ac:dyDescent="0.4">
      <c r="EI2212" s="24">
        <v>2021</v>
      </c>
      <c r="EJ2212" s="24">
        <v>5</v>
      </c>
      <c r="EK2212" s="24" t="s">
        <v>211</v>
      </c>
      <c r="EL2212" s="24" t="s">
        <v>212</v>
      </c>
      <c r="EM2212" s="24" t="s">
        <v>234</v>
      </c>
      <c r="EN2212" s="24">
        <v>2</v>
      </c>
    </row>
    <row r="2213" spans="139:144" x14ac:dyDescent="0.4">
      <c r="EI2213" s="327">
        <v>2021</v>
      </c>
      <c r="EJ2213" s="327">
        <v>5</v>
      </c>
      <c r="EK2213" s="327" t="s">
        <v>211</v>
      </c>
      <c r="EL2213" s="327" t="s">
        <v>212</v>
      </c>
      <c r="EM2213" s="327" t="s">
        <v>215</v>
      </c>
      <c r="EN2213" s="327">
        <v>1</v>
      </c>
    </row>
    <row r="2214" spans="139:144" x14ac:dyDescent="0.4">
      <c r="EI2214" s="327">
        <v>2021</v>
      </c>
      <c r="EJ2214" s="327">
        <v>5</v>
      </c>
      <c r="EK2214" s="327" t="s">
        <v>211</v>
      </c>
      <c r="EL2214" s="327" t="s">
        <v>247</v>
      </c>
      <c r="EM2214" s="327" t="s">
        <v>210</v>
      </c>
      <c r="EN2214" s="327">
        <v>10</v>
      </c>
    </row>
    <row r="2215" spans="139:144" x14ac:dyDescent="0.4">
      <c r="EI2215" s="327">
        <v>2021</v>
      </c>
      <c r="EJ2215" s="327">
        <v>4</v>
      </c>
      <c r="EK2215" s="327" t="s">
        <v>19</v>
      </c>
      <c r="EL2215" s="327" t="s">
        <v>247</v>
      </c>
      <c r="EM2215" s="327" t="s">
        <v>210</v>
      </c>
      <c r="EN2215" s="327">
        <v>1</v>
      </c>
    </row>
    <row r="2216" spans="139:144" x14ac:dyDescent="0.4">
      <c r="EI2216" s="327">
        <v>2021</v>
      </c>
      <c r="EJ2216" s="327">
        <v>4</v>
      </c>
      <c r="EK2216" s="327" t="s">
        <v>208</v>
      </c>
      <c r="EL2216" s="327" t="s">
        <v>352</v>
      </c>
      <c r="EM2216" s="327" t="s">
        <v>215</v>
      </c>
      <c r="EN2216" s="327">
        <v>1</v>
      </c>
    </row>
    <row r="2217" spans="139:144" x14ac:dyDescent="0.4">
      <c r="EI2217" s="327">
        <v>2021</v>
      </c>
      <c r="EJ2217" s="327">
        <v>4</v>
      </c>
      <c r="EK2217" s="327" t="s">
        <v>208</v>
      </c>
      <c r="EL2217" s="327" t="s">
        <v>351</v>
      </c>
      <c r="EM2217" s="327" t="s">
        <v>210</v>
      </c>
      <c r="EN2217" s="327">
        <v>5</v>
      </c>
    </row>
    <row r="2218" spans="139:144" x14ac:dyDescent="0.4">
      <c r="EI2218" s="327">
        <v>2021</v>
      </c>
      <c r="EJ2218" s="327">
        <v>4</v>
      </c>
      <c r="EK2218" s="327" t="s">
        <v>208</v>
      </c>
      <c r="EL2218" s="327" t="s">
        <v>351</v>
      </c>
      <c r="EM2218" s="327" t="s">
        <v>215</v>
      </c>
      <c r="EN2218" s="327">
        <v>1</v>
      </c>
    </row>
    <row r="2219" spans="139:144" x14ac:dyDescent="0.4">
      <c r="EI2219" s="327">
        <v>2021</v>
      </c>
      <c r="EJ2219" s="327">
        <v>4</v>
      </c>
      <c r="EK2219" s="327" t="s">
        <v>208</v>
      </c>
      <c r="EL2219" s="327" t="s">
        <v>235</v>
      </c>
      <c r="EM2219" s="327" t="s">
        <v>210</v>
      </c>
      <c r="EN2219" s="327">
        <v>10</v>
      </c>
    </row>
    <row r="2220" spans="139:144" x14ac:dyDescent="0.4">
      <c r="EI2220" s="327">
        <v>2021</v>
      </c>
      <c r="EJ2220" s="327">
        <v>4</v>
      </c>
      <c r="EK2220" s="327" t="s">
        <v>208</v>
      </c>
      <c r="EL2220" s="327" t="s">
        <v>235</v>
      </c>
      <c r="EM2220" s="327" t="s">
        <v>215</v>
      </c>
      <c r="EN2220" s="327">
        <v>1</v>
      </c>
    </row>
    <row r="2221" spans="139:144" x14ac:dyDescent="0.4">
      <c r="EI2221" s="327">
        <v>2021</v>
      </c>
      <c r="EJ2221" s="327">
        <v>4</v>
      </c>
      <c r="EK2221" s="327" t="s">
        <v>208</v>
      </c>
      <c r="EL2221" s="327" t="s">
        <v>209</v>
      </c>
      <c r="EM2221" s="327" t="s">
        <v>210</v>
      </c>
      <c r="EN2221" s="327">
        <v>2</v>
      </c>
    </row>
    <row r="2222" spans="139:144" x14ac:dyDescent="0.4">
      <c r="EI2222" s="327">
        <v>2021</v>
      </c>
      <c r="EJ2222" s="327">
        <v>4</v>
      </c>
      <c r="EK2222" s="327" t="s">
        <v>208</v>
      </c>
      <c r="EL2222" s="327" t="s">
        <v>247</v>
      </c>
      <c r="EM2222" s="327" t="s">
        <v>210</v>
      </c>
      <c r="EN2222" s="327">
        <v>1</v>
      </c>
    </row>
    <row r="2223" spans="139:144" x14ac:dyDescent="0.4">
      <c r="EI2223" s="327">
        <v>2021</v>
      </c>
      <c r="EJ2223" s="327">
        <v>4</v>
      </c>
      <c r="EK2223" s="327" t="s">
        <v>208</v>
      </c>
      <c r="EL2223" s="327" t="s">
        <v>245</v>
      </c>
      <c r="EM2223" s="327" t="s">
        <v>210</v>
      </c>
      <c r="EN2223" s="327">
        <v>1</v>
      </c>
    </row>
    <row r="2224" spans="139:144" x14ac:dyDescent="0.4">
      <c r="EI2224" s="327">
        <v>2021</v>
      </c>
      <c r="EJ2224" s="327">
        <v>4</v>
      </c>
      <c r="EK2224" s="327" t="s">
        <v>33</v>
      </c>
      <c r="EL2224" s="327" t="s">
        <v>233</v>
      </c>
      <c r="EM2224" s="327" t="s">
        <v>215</v>
      </c>
      <c r="EN2224" s="327">
        <v>69</v>
      </c>
    </row>
    <row r="2225" spans="139:144" x14ac:dyDescent="0.4">
      <c r="EI2225" s="327">
        <v>2021</v>
      </c>
      <c r="EJ2225" s="327">
        <v>4</v>
      </c>
      <c r="EK2225" s="327" t="s">
        <v>33</v>
      </c>
      <c r="EL2225" s="327" t="s">
        <v>244</v>
      </c>
      <c r="EM2225" s="327" t="s">
        <v>210</v>
      </c>
      <c r="EN2225" s="327">
        <v>5</v>
      </c>
    </row>
    <row r="2226" spans="139:144" x14ac:dyDescent="0.4">
      <c r="EI2226" s="327">
        <v>2021</v>
      </c>
      <c r="EJ2226" s="327">
        <v>4</v>
      </c>
      <c r="EK2226" s="327" t="s">
        <v>33</v>
      </c>
      <c r="EL2226" s="327" t="s">
        <v>235</v>
      </c>
      <c r="EM2226" s="327" t="s">
        <v>210</v>
      </c>
      <c r="EN2226" s="327">
        <v>2</v>
      </c>
    </row>
    <row r="2227" spans="139:144" x14ac:dyDescent="0.4">
      <c r="EI2227" s="327">
        <v>2021</v>
      </c>
      <c r="EJ2227" s="327">
        <v>4</v>
      </c>
      <c r="EK2227" s="327" t="s">
        <v>211</v>
      </c>
      <c r="EL2227" s="327" t="s">
        <v>232</v>
      </c>
      <c r="EM2227" s="327" t="s">
        <v>210</v>
      </c>
      <c r="EN2227" s="327">
        <v>5</v>
      </c>
    </row>
    <row r="2228" spans="139:144" x14ac:dyDescent="0.4">
      <c r="EI2228" s="327">
        <v>2021</v>
      </c>
      <c r="EJ2228" s="327">
        <v>4</v>
      </c>
      <c r="EK2228" s="327" t="s">
        <v>211</v>
      </c>
      <c r="EL2228" s="327" t="s">
        <v>232</v>
      </c>
      <c r="EM2228" s="327" t="s">
        <v>234</v>
      </c>
      <c r="EN2228" s="327">
        <v>1</v>
      </c>
    </row>
    <row r="2229" spans="139:144" x14ac:dyDescent="0.4">
      <c r="EI2229" s="327">
        <v>2021</v>
      </c>
      <c r="EJ2229" s="327">
        <v>4</v>
      </c>
      <c r="EK2229" s="327" t="s">
        <v>211</v>
      </c>
      <c r="EL2229" s="327" t="s">
        <v>232</v>
      </c>
      <c r="EM2229" s="327" t="s">
        <v>215</v>
      </c>
      <c r="EN2229" s="327">
        <v>26</v>
      </c>
    </row>
    <row r="2230" spans="139:144" x14ac:dyDescent="0.4">
      <c r="EI2230" s="327">
        <v>2021</v>
      </c>
      <c r="EJ2230" s="327">
        <v>4</v>
      </c>
      <c r="EK2230" s="327" t="s">
        <v>211</v>
      </c>
      <c r="EL2230" s="327" t="s">
        <v>212</v>
      </c>
      <c r="EM2230" s="327" t="s">
        <v>210</v>
      </c>
      <c r="EN2230" s="327">
        <v>11</v>
      </c>
    </row>
    <row r="2231" spans="139:144" x14ac:dyDescent="0.4">
      <c r="EI2231" s="327">
        <v>2021</v>
      </c>
      <c r="EJ2231" s="327">
        <v>4</v>
      </c>
      <c r="EK2231" s="327" t="s">
        <v>211</v>
      </c>
      <c r="EL2231" s="327" t="s">
        <v>212</v>
      </c>
      <c r="EM2231" s="327" t="s">
        <v>234</v>
      </c>
      <c r="EN2231" s="327">
        <v>6</v>
      </c>
    </row>
    <row r="2232" spans="139:144" x14ac:dyDescent="0.4">
      <c r="EI2232" s="327">
        <v>2021</v>
      </c>
      <c r="EJ2232" s="327">
        <v>4</v>
      </c>
      <c r="EK2232" s="327" t="s">
        <v>211</v>
      </c>
      <c r="EL2232" s="327" t="s">
        <v>212</v>
      </c>
      <c r="EM2232" s="327" t="s">
        <v>215</v>
      </c>
      <c r="EN2232" s="327">
        <v>5</v>
      </c>
    </row>
    <row r="2233" spans="139:144" x14ac:dyDescent="0.4">
      <c r="EI2233" s="327">
        <v>2021</v>
      </c>
      <c r="EJ2233" s="327">
        <v>4</v>
      </c>
      <c r="EK2233" s="327" t="s">
        <v>211</v>
      </c>
      <c r="EL2233" s="327" t="s">
        <v>247</v>
      </c>
      <c r="EM2233" s="327" t="s">
        <v>210</v>
      </c>
      <c r="EN2233" s="327">
        <v>11</v>
      </c>
    </row>
    <row r="2234" spans="139:144" x14ac:dyDescent="0.4">
      <c r="EI2234" s="327">
        <v>2021</v>
      </c>
      <c r="EJ2234" s="327">
        <v>4</v>
      </c>
      <c r="EK2234" s="327" t="s">
        <v>211</v>
      </c>
      <c r="EL2234" s="327" t="s">
        <v>247</v>
      </c>
      <c r="EM2234" s="327" t="s">
        <v>234</v>
      </c>
      <c r="EN2234" s="327">
        <v>8</v>
      </c>
    </row>
    <row r="2235" spans="139:144" x14ac:dyDescent="0.4">
      <c r="EI2235" s="327">
        <v>2021</v>
      </c>
      <c r="EJ2235" s="327">
        <v>3</v>
      </c>
      <c r="EK2235" s="327" t="s">
        <v>19</v>
      </c>
      <c r="EL2235" s="327" t="s">
        <v>235</v>
      </c>
      <c r="EM2235" s="327" t="s">
        <v>210</v>
      </c>
      <c r="EN2235" s="327">
        <v>1</v>
      </c>
    </row>
    <row r="2236" spans="139:144" x14ac:dyDescent="0.4">
      <c r="EI2236" s="327">
        <v>2021</v>
      </c>
      <c r="EJ2236" s="327">
        <v>3</v>
      </c>
      <c r="EK2236" s="327" t="s">
        <v>208</v>
      </c>
      <c r="EL2236" s="327" t="s">
        <v>352</v>
      </c>
      <c r="EM2236" s="327" t="s">
        <v>210</v>
      </c>
      <c r="EN2236" s="327">
        <v>2</v>
      </c>
    </row>
    <row r="2237" spans="139:144" x14ac:dyDescent="0.4">
      <c r="EI2237" s="327">
        <v>2021</v>
      </c>
      <c r="EJ2237" s="327">
        <v>3</v>
      </c>
      <c r="EK2237" s="327" t="s">
        <v>208</v>
      </c>
      <c r="EL2237" s="327" t="s">
        <v>351</v>
      </c>
      <c r="EM2237" s="327" t="s">
        <v>210</v>
      </c>
      <c r="EN2237" s="327">
        <v>4</v>
      </c>
    </row>
    <row r="2238" spans="139:144" x14ac:dyDescent="0.4">
      <c r="EI2238" s="327">
        <v>2021</v>
      </c>
      <c r="EJ2238" s="327">
        <v>3</v>
      </c>
      <c r="EK2238" s="327" t="s">
        <v>208</v>
      </c>
      <c r="EL2238" s="327" t="s">
        <v>235</v>
      </c>
      <c r="EM2238" s="327" t="s">
        <v>210</v>
      </c>
      <c r="EN2238" s="327">
        <v>7</v>
      </c>
    </row>
    <row r="2239" spans="139:144" x14ac:dyDescent="0.4">
      <c r="EI2239" s="327">
        <v>2021</v>
      </c>
      <c r="EJ2239" s="327">
        <v>3</v>
      </c>
      <c r="EK2239" s="327" t="s">
        <v>208</v>
      </c>
      <c r="EL2239" s="327" t="s">
        <v>235</v>
      </c>
      <c r="EM2239" s="327" t="s">
        <v>215</v>
      </c>
      <c r="EN2239" s="327">
        <v>2</v>
      </c>
    </row>
    <row r="2240" spans="139:144" x14ac:dyDescent="0.4">
      <c r="EI2240" s="327">
        <v>2021</v>
      </c>
      <c r="EJ2240" s="327">
        <v>3</v>
      </c>
      <c r="EK2240" s="327" t="s">
        <v>208</v>
      </c>
      <c r="EL2240" s="327" t="s">
        <v>209</v>
      </c>
      <c r="EM2240" s="327" t="s">
        <v>210</v>
      </c>
      <c r="EN2240" s="327">
        <v>5</v>
      </c>
    </row>
    <row r="2241" spans="139:144" x14ac:dyDescent="0.4">
      <c r="EI2241" s="327">
        <v>2021</v>
      </c>
      <c r="EJ2241" s="327">
        <v>3</v>
      </c>
      <c r="EK2241" s="327" t="s">
        <v>208</v>
      </c>
      <c r="EL2241" s="327" t="s">
        <v>245</v>
      </c>
      <c r="EM2241" s="327" t="s">
        <v>210</v>
      </c>
      <c r="EN2241" s="327">
        <v>1</v>
      </c>
    </row>
    <row r="2242" spans="139:144" x14ac:dyDescent="0.4">
      <c r="EI2242" s="327">
        <v>2021</v>
      </c>
      <c r="EJ2242" s="327">
        <v>3</v>
      </c>
      <c r="EK2242" s="327" t="s">
        <v>33</v>
      </c>
      <c r="EL2242" s="327" t="s">
        <v>233</v>
      </c>
      <c r="EM2242" s="327" t="s">
        <v>215</v>
      </c>
      <c r="EN2242" s="327">
        <v>2</v>
      </c>
    </row>
    <row r="2243" spans="139:144" x14ac:dyDescent="0.4">
      <c r="EI2243" s="327">
        <v>2021</v>
      </c>
      <c r="EJ2243" s="327">
        <v>3</v>
      </c>
      <c r="EK2243" s="327" t="s">
        <v>33</v>
      </c>
      <c r="EL2243" s="327" t="s">
        <v>235</v>
      </c>
      <c r="EM2243" s="327" t="s">
        <v>215</v>
      </c>
      <c r="EN2243" s="327">
        <v>30</v>
      </c>
    </row>
    <row r="2244" spans="139:144" x14ac:dyDescent="0.4">
      <c r="EI2244" s="327">
        <v>2021</v>
      </c>
      <c r="EJ2244" s="327">
        <v>3</v>
      </c>
      <c r="EK2244" s="327" t="s">
        <v>211</v>
      </c>
      <c r="EL2244" s="327" t="s">
        <v>232</v>
      </c>
      <c r="EM2244" s="327" t="s">
        <v>210</v>
      </c>
      <c r="EN2244" s="327">
        <v>14</v>
      </c>
    </row>
    <row r="2245" spans="139:144" x14ac:dyDescent="0.4">
      <c r="EI2245" s="327">
        <v>2021</v>
      </c>
      <c r="EJ2245" s="327">
        <v>3</v>
      </c>
      <c r="EK2245" s="327" t="s">
        <v>211</v>
      </c>
      <c r="EL2245" s="327" t="s">
        <v>232</v>
      </c>
      <c r="EM2245" s="327" t="s">
        <v>234</v>
      </c>
      <c r="EN2245" s="327">
        <v>3</v>
      </c>
    </row>
    <row r="2246" spans="139:144" x14ac:dyDescent="0.4">
      <c r="EI2246" s="327">
        <v>2021</v>
      </c>
      <c r="EJ2246" s="327">
        <v>3</v>
      </c>
      <c r="EK2246" s="327" t="s">
        <v>211</v>
      </c>
      <c r="EL2246" s="327" t="s">
        <v>232</v>
      </c>
      <c r="EM2246" s="327" t="s">
        <v>215</v>
      </c>
      <c r="EN2246" s="327">
        <v>13</v>
      </c>
    </row>
    <row r="2247" spans="139:144" x14ac:dyDescent="0.4">
      <c r="EI2247" s="327">
        <v>2021</v>
      </c>
      <c r="EJ2247" s="327">
        <v>3</v>
      </c>
      <c r="EK2247" s="327" t="s">
        <v>211</v>
      </c>
      <c r="EL2247" s="327" t="s">
        <v>212</v>
      </c>
      <c r="EM2247" s="327" t="s">
        <v>210</v>
      </c>
      <c r="EN2247" s="327">
        <v>1</v>
      </c>
    </row>
    <row r="2248" spans="139:144" x14ac:dyDescent="0.4">
      <c r="EI2248" s="327">
        <v>2021</v>
      </c>
      <c r="EJ2248" s="327">
        <v>3</v>
      </c>
      <c r="EK2248" s="327" t="s">
        <v>211</v>
      </c>
      <c r="EL2248" s="327" t="s">
        <v>212</v>
      </c>
      <c r="EM2248" s="327" t="s">
        <v>234</v>
      </c>
      <c r="EN2248" s="327">
        <v>2</v>
      </c>
    </row>
    <row r="2249" spans="139:144" x14ac:dyDescent="0.4">
      <c r="EI2249" s="327">
        <v>2021</v>
      </c>
      <c r="EJ2249" s="327">
        <v>3</v>
      </c>
      <c r="EK2249" s="327" t="s">
        <v>211</v>
      </c>
      <c r="EL2249" s="327" t="s">
        <v>247</v>
      </c>
      <c r="EM2249" s="327" t="s">
        <v>210</v>
      </c>
      <c r="EN2249" s="327">
        <v>4</v>
      </c>
    </row>
    <row r="2250" spans="139:144" x14ac:dyDescent="0.4">
      <c r="EI2250" s="327">
        <v>2021</v>
      </c>
      <c r="EJ2250" s="327">
        <v>3</v>
      </c>
      <c r="EK2250" s="327" t="s">
        <v>211</v>
      </c>
      <c r="EL2250" s="327" t="s">
        <v>247</v>
      </c>
      <c r="EM2250" s="327" t="s">
        <v>234</v>
      </c>
      <c r="EN2250" s="327">
        <v>6</v>
      </c>
    </row>
    <row r="2251" spans="139:144" x14ac:dyDescent="0.4">
      <c r="EI2251" s="327">
        <v>2021</v>
      </c>
      <c r="EJ2251" s="327">
        <v>3</v>
      </c>
      <c r="EK2251" s="327" t="s">
        <v>213</v>
      </c>
      <c r="EL2251" s="327" t="s">
        <v>214</v>
      </c>
      <c r="EM2251" s="327" t="s">
        <v>215</v>
      </c>
      <c r="EN2251" s="327">
        <v>1</v>
      </c>
    </row>
    <row r="2252" spans="139:144" x14ac:dyDescent="0.4">
      <c r="EI2252" s="327">
        <v>2021</v>
      </c>
      <c r="EJ2252" s="327">
        <v>2</v>
      </c>
      <c r="EK2252" s="327" t="s">
        <v>19</v>
      </c>
      <c r="EL2252" s="327" t="s">
        <v>235</v>
      </c>
      <c r="EM2252" s="327" t="s">
        <v>234</v>
      </c>
      <c r="EN2252" s="327">
        <v>2</v>
      </c>
    </row>
    <row r="2253" spans="139:144" x14ac:dyDescent="0.4">
      <c r="EI2253" s="327">
        <v>2021</v>
      </c>
      <c r="EJ2253" s="327">
        <v>2</v>
      </c>
      <c r="EK2253" s="327" t="s">
        <v>208</v>
      </c>
      <c r="EL2253" s="327" t="s">
        <v>235</v>
      </c>
      <c r="EM2253" s="327" t="s">
        <v>210</v>
      </c>
      <c r="EN2253" s="327">
        <v>1</v>
      </c>
    </row>
    <row r="2254" spans="139:144" x14ac:dyDescent="0.4">
      <c r="EI2254" s="327">
        <v>2021</v>
      </c>
      <c r="EJ2254" s="327">
        <v>2</v>
      </c>
      <c r="EK2254" s="327" t="s">
        <v>208</v>
      </c>
      <c r="EL2254" s="327" t="s">
        <v>235</v>
      </c>
      <c r="EM2254" s="327" t="s">
        <v>215</v>
      </c>
      <c r="EN2254" s="327">
        <v>4</v>
      </c>
    </row>
    <row r="2255" spans="139:144" x14ac:dyDescent="0.4">
      <c r="EI2255" s="327">
        <v>2021</v>
      </c>
      <c r="EJ2255" s="327">
        <v>2</v>
      </c>
      <c r="EK2255" s="327" t="s">
        <v>33</v>
      </c>
      <c r="EL2255" s="327" t="s">
        <v>233</v>
      </c>
      <c r="EM2255" s="327" t="s">
        <v>215</v>
      </c>
      <c r="EN2255" s="327">
        <v>2</v>
      </c>
    </row>
    <row r="2256" spans="139:144" x14ac:dyDescent="0.4">
      <c r="EI2256" s="327">
        <v>2021</v>
      </c>
      <c r="EJ2256" s="327">
        <v>2</v>
      </c>
      <c r="EK2256" s="327" t="s">
        <v>211</v>
      </c>
      <c r="EL2256" s="327" t="s">
        <v>232</v>
      </c>
      <c r="EM2256" s="327" t="s">
        <v>210</v>
      </c>
      <c r="EN2256" s="327">
        <v>1</v>
      </c>
    </row>
    <row r="2257" spans="139:144" x14ac:dyDescent="0.4">
      <c r="EI2257" s="327">
        <v>2021</v>
      </c>
      <c r="EJ2257" s="327">
        <v>2</v>
      </c>
      <c r="EK2257" s="327" t="s">
        <v>211</v>
      </c>
      <c r="EL2257" s="327" t="s">
        <v>232</v>
      </c>
      <c r="EM2257" s="327" t="s">
        <v>234</v>
      </c>
      <c r="EN2257" s="327">
        <v>16</v>
      </c>
    </row>
    <row r="2258" spans="139:144" x14ac:dyDescent="0.4">
      <c r="EI2258" s="327">
        <v>2021</v>
      </c>
      <c r="EJ2258" s="327">
        <v>2</v>
      </c>
      <c r="EK2258" s="327" t="s">
        <v>211</v>
      </c>
      <c r="EL2258" s="327" t="s">
        <v>232</v>
      </c>
      <c r="EM2258" s="327" t="s">
        <v>215</v>
      </c>
      <c r="EN2258" s="327">
        <v>4</v>
      </c>
    </row>
    <row r="2259" spans="139:144" x14ac:dyDescent="0.4">
      <c r="EI2259" s="327">
        <v>2021</v>
      </c>
      <c r="EJ2259" s="327">
        <v>2</v>
      </c>
      <c r="EK2259" s="327" t="s">
        <v>211</v>
      </c>
      <c r="EL2259" s="327" t="s">
        <v>212</v>
      </c>
      <c r="EM2259" s="327" t="s">
        <v>210</v>
      </c>
      <c r="EN2259" s="327">
        <v>18</v>
      </c>
    </row>
    <row r="2260" spans="139:144" x14ac:dyDescent="0.4">
      <c r="EI2260" s="327">
        <v>2021</v>
      </c>
      <c r="EJ2260" s="327">
        <v>2</v>
      </c>
      <c r="EK2260" s="327" t="s">
        <v>211</v>
      </c>
      <c r="EL2260" s="327" t="s">
        <v>212</v>
      </c>
      <c r="EM2260" s="327" t="s">
        <v>234</v>
      </c>
      <c r="EN2260" s="327">
        <v>2</v>
      </c>
    </row>
    <row r="2261" spans="139:144" x14ac:dyDescent="0.4">
      <c r="EI2261" s="327">
        <v>2021</v>
      </c>
      <c r="EJ2261" s="327">
        <v>2</v>
      </c>
      <c r="EK2261" s="327" t="s">
        <v>211</v>
      </c>
      <c r="EL2261" s="327" t="s">
        <v>247</v>
      </c>
      <c r="EM2261" s="327" t="s">
        <v>210</v>
      </c>
      <c r="EN2261" s="327">
        <v>2</v>
      </c>
    </row>
    <row r="2262" spans="139:144" x14ac:dyDescent="0.4">
      <c r="EI2262" s="327">
        <v>2021</v>
      </c>
      <c r="EJ2262" s="327">
        <v>2</v>
      </c>
      <c r="EK2262" s="327" t="s">
        <v>211</v>
      </c>
      <c r="EL2262" s="327" t="s">
        <v>247</v>
      </c>
      <c r="EM2262" s="327" t="s">
        <v>234</v>
      </c>
      <c r="EN2262" s="327">
        <v>18</v>
      </c>
    </row>
    <row r="2263" spans="139:144" x14ac:dyDescent="0.4">
      <c r="EI2263" s="327">
        <v>2021</v>
      </c>
      <c r="EJ2263" s="327">
        <v>2</v>
      </c>
      <c r="EK2263" s="327" t="s">
        <v>211</v>
      </c>
      <c r="EL2263" s="327" t="s">
        <v>247</v>
      </c>
      <c r="EM2263" s="327" t="s">
        <v>215</v>
      </c>
      <c r="EN2263" s="327">
        <v>6</v>
      </c>
    </row>
    <row r="2264" spans="139:144" x14ac:dyDescent="0.4">
      <c r="EI2264" s="327">
        <v>2021</v>
      </c>
      <c r="EJ2264" s="327">
        <v>1</v>
      </c>
      <c r="EK2264" s="327" t="s">
        <v>208</v>
      </c>
      <c r="EL2264" s="327" t="s">
        <v>235</v>
      </c>
      <c r="EM2264" s="327" t="s">
        <v>210</v>
      </c>
      <c r="EN2264" s="327">
        <v>2</v>
      </c>
    </row>
    <row r="2265" spans="139:144" x14ac:dyDescent="0.4">
      <c r="EI2265" s="327">
        <v>2021</v>
      </c>
      <c r="EJ2265" s="327">
        <v>1</v>
      </c>
      <c r="EK2265" s="327" t="s">
        <v>208</v>
      </c>
      <c r="EL2265" s="327" t="s">
        <v>235</v>
      </c>
      <c r="EM2265" s="327" t="s">
        <v>215</v>
      </c>
      <c r="EN2265" s="327">
        <v>4</v>
      </c>
    </row>
    <row r="2266" spans="139:144" x14ac:dyDescent="0.4">
      <c r="EI2266" s="327">
        <v>2021</v>
      </c>
      <c r="EJ2266" s="327">
        <v>1</v>
      </c>
      <c r="EK2266" s="327" t="s">
        <v>208</v>
      </c>
      <c r="EL2266" s="327" t="s">
        <v>209</v>
      </c>
      <c r="EM2266" s="327" t="s">
        <v>210</v>
      </c>
      <c r="EN2266" s="327">
        <v>1</v>
      </c>
    </row>
    <row r="2267" spans="139:144" x14ac:dyDescent="0.4">
      <c r="EI2267" s="327">
        <v>2021</v>
      </c>
      <c r="EJ2267" s="327">
        <v>1</v>
      </c>
      <c r="EK2267" s="327" t="s">
        <v>33</v>
      </c>
      <c r="EL2267" s="327" t="s">
        <v>233</v>
      </c>
      <c r="EM2267" s="327" t="s">
        <v>210</v>
      </c>
      <c r="EN2267" s="327">
        <v>1</v>
      </c>
    </row>
    <row r="2268" spans="139:144" x14ac:dyDescent="0.4">
      <c r="EI2268" s="327">
        <v>2021</v>
      </c>
      <c r="EJ2268" s="327">
        <v>1</v>
      </c>
      <c r="EK2268" s="327" t="s">
        <v>33</v>
      </c>
      <c r="EL2268" s="327" t="s">
        <v>233</v>
      </c>
      <c r="EM2268" s="327" t="s">
        <v>215</v>
      </c>
      <c r="EN2268" s="327">
        <v>19</v>
      </c>
    </row>
    <row r="2269" spans="139:144" x14ac:dyDescent="0.4">
      <c r="EI2269" s="327">
        <v>2021</v>
      </c>
      <c r="EJ2269" s="327">
        <v>1</v>
      </c>
      <c r="EK2269" s="327" t="s">
        <v>211</v>
      </c>
      <c r="EL2269" s="327" t="s">
        <v>232</v>
      </c>
      <c r="EM2269" s="327" t="s">
        <v>234</v>
      </c>
      <c r="EN2269" s="327">
        <v>2</v>
      </c>
    </row>
    <row r="2270" spans="139:144" x14ac:dyDescent="0.4">
      <c r="EI2270" s="327">
        <v>2021</v>
      </c>
      <c r="EJ2270" s="327">
        <v>1</v>
      </c>
      <c r="EK2270" s="327" t="s">
        <v>211</v>
      </c>
      <c r="EL2270" s="327" t="s">
        <v>232</v>
      </c>
      <c r="EM2270" s="327" t="s">
        <v>215</v>
      </c>
      <c r="EN2270" s="327">
        <v>1</v>
      </c>
    </row>
    <row r="2271" spans="139:144" x14ac:dyDescent="0.4">
      <c r="EI2271" s="327">
        <v>2021</v>
      </c>
      <c r="EJ2271" s="327">
        <v>1</v>
      </c>
      <c r="EK2271" s="327" t="s">
        <v>211</v>
      </c>
      <c r="EL2271" s="327" t="s">
        <v>212</v>
      </c>
      <c r="EM2271" s="327" t="s">
        <v>210</v>
      </c>
      <c r="EN2271" s="327">
        <v>11</v>
      </c>
    </row>
    <row r="2272" spans="139:144" x14ac:dyDescent="0.4">
      <c r="EI2272" s="327">
        <v>2021</v>
      </c>
      <c r="EJ2272" s="327">
        <v>1</v>
      </c>
      <c r="EK2272" s="327" t="s">
        <v>211</v>
      </c>
      <c r="EL2272" s="327" t="s">
        <v>212</v>
      </c>
      <c r="EM2272" s="327" t="s">
        <v>234</v>
      </c>
      <c r="EN2272" s="327">
        <v>2</v>
      </c>
    </row>
    <row r="2273" spans="139:144" x14ac:dyDescent="0.4">
      <c r="EI2273" s="327">
        <v>2021</v>
      </c>
      <c r="EJ2273" s="327">
        <v>1</v>
      </c>
      <c r="EK2273" s="327" t="s">
        <v>211</v>
      </c>
      <c r="EL2273" s="327" t="s">
        <v>247</v>
      </c>
      <c r="EM2273" s="327" t="s">
        <v>234</v>
      </c>
      <c r="EN2273" s="327">
        <v>4</v>
      </c>
    </row>
    <row r="2274" spans="139:144" x14ac:dyDescent="0.4">
      <c r="EI2274" s="24"/>
      <c r="EJ2274" s="24"/>
      <c r="EK2274" s="24"/>
      <c r="EL2274" s="24"/>
      <c r="EM2274" s="24"/>
      <c r="EN2274" s="24"/>
    </row>
    <row r="2275" spans="139:144" x14ac:dyDescent="0.4">
      <c r="EI2275" s="24"/>
      <c r="EJ2275" s="24"/>
      <c r="EK2275" s="24"/>
      <c r="EL2275" s="24"/>
      <c r="EM2275" s="24"/>
      <c r="EN2275" s="24"/>
    </row>
    <row r="2276" spans="139:144" x14ac:dyDescent="0.4">
      <c r="EI2276" s="24"/>
      <c r="EJ2276" s="24"/>
      <c r="EK2276" s="24"/>
      <c r="EL2276" s="24"/>
      <c r="EM2276" s="24"/>
      <c r="EN2276" s="24"/>
    </row>
    <row r="2277" spans="139:144" x14ac:dyDescent="0.4">
      <c r="EI2277" s="24"/>
      <c r="EJ2277" s="24"/>
      <c r="EK2277" s="24"/>
      <c r="EL2277" s="24"/>
      <c r="EM2277" s="24"/>
      <c r="EN2277" s="24"/>
    </row>
    <row r="2278" spans="139:144" x14ac:dyDescent="0.4">
      <c r="EI2278" s="24"/>
      <c r="EJ2278" s="24"/>
      <c r="EK2278" s="24"/>
      <c r="EL2278" s="24"/>
      <c r="EM2278" s="24"/>
      <c r="EN2278" s="24"/>
    </row>
    <row r="2279" spans="139:144" x14ac:dyDescent="0.4">
      <c r="EI2279" s="24"/>
      <c r="EJ2279" s="24"/>
      <c r="EK2279" s="24"/>
      <c r="EL2279" s="24"/>
      <c r="EM2279" s="24"/>
      <c r="EN2279" s="24"/>
    </row>
    <row r="2280" spans="139:144" x14ac:dyDescent="0.4">
      <c r="EI2280" s="24"/>
      <c r="EJ2280" s="24"/>
      <c r="EK2280" s="24"/>
      <c r="EL2280" s="24"/>
      <c r="EM2280" s="24"/>
      <c r="EN2280" s="24"/>
    </row>
    <row r="2281" spans="139:144" x14ac:dyDescent="0.4">
      <c r="EI2281" s="24"/>
      <c r="EJ2281" s="24"/>
      <c r="EK2281" s="24"/>
      <c r="EL2281" s="24"/>
      <c r="EM2281" s="24"/>
      <c r="EN2281" s="24"/>
    </row>
    <row r="2282" spans="139:144" x14ac:dyDescent="0.4">
      <c r="EI2282" s="24"/>
      <c r="EJ2282" s="24"/>
      <c r="EK2282" s="24"/>
      <c r="EL2282" s="24"/>
      <c r="EM2282" s="24"/>
      <c r="EN2282" s="24"/>
    </row>
    <row r="2283" spans="139:144" x14ac:dyDescent="0.4">
      <c r="EI2283" s="24"/>
      <c r="EJ2283" s="24"/>
      <c r="EK2283" s="24"/>
      <c r="EL2283" s="24"/>
      <c r="EM2283" s="24"/>
      <c r="EN2283" s="24"/>
    </row>
    <row r="2284" spans="139:144" x14ac:dyDescent="0.4">
      <c r="EI2284" s="24"/>
      <c r="EJ2284" s="24"/>
      <c r="EK2284" s="24"/>
      <c r="EL2284" s="24"/>
      <c r="EM2284" s="24"/>
      <c r="EN2284" s="24"/>
    </row>
    <row r="2285" spans="139:144" x14ac:dyDescent="0.4">
      <c r="EI2285" s="24"/>
      <c r="EJ2285" s="24"/>
      <c r="EK2285" s="24"/>
      <c r="EL2285" s="24"/>
      <c r="EM2285" s="24"/>
      <c r="EN2285" s="24"/>
    </row>
    <row r="2286" spans="139:144" x14ac:dyDescent="0.4">
      <c r="EI2286" s="24"/>
      <c r="EJ2286" s="24"/>
      <c r="EK2286" s="24"/>
      <c r="EL2286" s="24"/>
      <c r="EM2286" s="24"/>
      <c r="EN2286" s="24"/>
    </row>
    <row r="2287" spans="139:144" x14ac:dyDescent="0.4">
      <c r="EI2287" s="24"/>
      <c r="EJ2287" s="24"/>
      <c r="EK2287" s="24"/>
      <c r="EL2287" s="24"/>
      <c r="EM2287" s="24"/>
      <c r="EN2287" s="24"/>
    </row>
    <row r="2288" spans="139:144" x14ac:dyDescent="0.4">
      <c r="EI2288" s="24"/>
      <c r="EJ2288" s="24"/>
      <c r="EK2288" s="24"/>
      <c r="EL2288" s="24"/>
      <c r="EM2288" s="24"/>
      <c r="EN2288" s="24"/>
    </row>
    <row r="2289" spans="139:144" x14ac:dyDescent="0.4">
      <c r="EI2289" s="24"/>
      <c r="EJ2289" s="24"/>
      <c r="EK2289" s="24"/>
      <c r="EL2289" s="24"/>
      <c r="EM2289" s="24"/>
      <c r="EN2289" s="24"/>
    </row>
    <row r="2290" spans="139:144" x14ac:dyDescent="0.4">
      <c r="EI2290" s="24"/>
      <c r="EJ2290" s="24"/>
      <c r="EK2290" s="24"/>
      <c r="EL2290" s="24"/>
      <c r="EM2290" s="24"/>
      <c r="EN2290" s="24"/>
    </row>
    <row r="2291" spans="139:144" x14ac:dyDescent="0.4">
      <c r="EI2291" s="24"/>
      <c r="EJ2291" s="24"/>
      <c r="EK2291" s="24"/>
      <c r="EL2291" s="24"/>
      <c r="EM2291" s="24"/>
      <c r="EN2291" s="24"/>
    </row>
    <row r="2292" spans="139:144" x14ac:dyDescent="0.4">
      <c r="EI2292" s="24"/>
      <c r="EJ2292" s="24"/>
      <c r="EK2292" s="24"/>
      <c r="EL2292" s="24"/>
      <c r="EM2292" s="24"/>
      <c r="EN2292" s="24"/>
    </row>
    <row r="2293" spans="139:144" x14ac:dyDescent="0.4">
      <c r="EI2293" s="24"/>
      <c r="EJ2293" s="24"/>
      <c r="EK2293" s="24"/>
      <c r="EL2293" s="24"/>
      <c r="EM2293" s="24"/>
      <c r="EN2293" s="24"/>
    </row>
    <row r="2294" spans="139:144" x14ac:dyDescent="0.4">
      <c r="EI2294" s="24"/>
      <c r="EJ2294" s="24"/>
      <c r="EK2294" s="24"/>
      <c r="EL2294" s="24"/>
      <c r="EM2294" s="24"/>
      <c r="EN2294" s="24"/>
    </row>
    <row r="2295" spans="139:144" x14ac:dyDescent="0.4">
      <c r="EI2295" s="24"/>
      <c r="EJ2295" s="24"/>
      <c r="EK2295" s="24"/>
      <c r="EL2295" s="24"/>
      <c r="EM2295" s="24"/>
      <c r="EN2295" s="24"/>
    </row>
    <row r="2296" spans="139:144" x14ac:dyDescent="0.4">
      <c r="EI2296" s="24"/>
      <c r="EJ2296" s="24"/>
      <c r="EK2296" s="24"/>
      <c r="EL2296" s="24"/>
      <c r="EM2296" s="24"/>
      <c r="EN2296" s="24"/>
    </row>
    <row r="2297" spans="139:144" x14ac:dyDescent="0.4">
      <c r="EI2297" s="24"/>
      <c r="EJ2297" s="24"/>
      <c r="EK2297" s="24"/>
      <c r="EL2297" s="24"/>
      <c r="EM2297" s="24"/>
      <c r="EN2297" s="24"/>
    </row>
    <row r="2298" spans="139:144" x14ac:dyDescent="0.4">
      <c r="EI2298" s="24"/>
      <c r="EJ2298" s="24"/>
      <c r="EK2298" s="24"/>
      <c r="EL2298" s="24"/>
      <c r="EM2298" s="24"/>
      <c r="EN2298" s="24"/>
    </row>
    <row r="2299" spans="139:144" x14ac:dyDescent="0.4">
      <c r="EI2299" s="24"/>
      <c r="EJ2299" s="24"/>
      <c r="EK2299" s="24"/>
      <c r="EL2299" s="24"/>
      <c r="EM2299" s="24"/>
      <c r="EN2299" s="24"/>
    </row>
    <row r="2300" spans="139:144" x14ac:dyDescent="0.4">
      <c r="EI2300" s="24"/>
      <c r="EJ2300" s="24"/>
      <c r="EK2300" s="24"/>
      <c r="EL2300" s="24"/>
      <c r="EM2300" s="24"/>
      <c r="EN2300" s="24"/>
    </row>
    <row r="2301" spans="139:144" x14ac:dyDescent="0.4">
      <c r="EI2301" s="24"/>
      <c r="EJ2301" s="24"/>
      <c r="EK2301" s="24"/>
      <c r="EL2301" s="24"/>
      <c r="EM2301" s="24"/>
      <c r="EN2301" s="24"/>
    </row>
    <row r="2302" spans="139:144" x14ac:dyDescent="0.4">
      <c r="EI2302" s="24"/>
      <c r="EJ2302" s="24"/>
      <c r="EK2302" s="24"/>
      <c r="EL2302" s="24"/>
      <c r="EM2302" s="24"/>
      <c r="EN2302" s="24"/>
    </row>
    <row r="2303" spans="139:144" x14ac:dyDescent="0.4">
      <c r="EI2303" s="24"/>
      <c r="EJ2303" s="24"/>
      <c r="EK2303" s="24"/>
      <c r="EL2303" s="24"/>
      <c r="EM2303" s="24"/>
      <c r="EN2303" s="24"/>
    </row>
    <row r="2304" spans="139:144" x14ac:dyDescent="0.4">
      <c r="EI2304" s="24"/>
      <c r="EJ2304" s="24"/>
      <c r="EK2304" s="24"/>
      <c r="EL2304" s="24"/>
      <c r="EM2304" s="24"/>
      <c r="EN2304" s="24"/>
    </row>
    <row r="2305" spans="139:144" x14ac:dyDescent="0.4">
      <c r="EI2305" s="24"/>
      <c r="EJ2305" s="24"/>
      <c r="EK2305" s="24"/>
      <c r="EL2305" s="24"/>
      <c r="EM2305" s="24"/>
      <c r="EN2305" s="24"/>
    </row>
    <row r="2306" spans="139:144" x14ac:dyDescent="0.4">
      <c r="EI2306" s="24"/>
      <c r="EJ2306" s="24"/>
      <c r="EK2306" s="24"/>
      <c r="EL2306" s="24"/>
      <c r="EM2306" s="24"/>
      <c r="EN2306" s="24"/>
    </row>
    <row r="2307" spans="139:144" x14ac:dyDescent="0.4">
      <c r="EI2307" s="24"/>
      <c r="EJ2307" s="24"/>
      <c r="EK2307" s="24"/>
      <c r="EL2307" s="24"/>
      <c r="EM2307" s="24"/>
      <c r="EN2307" s="24"/>
    </row>
    <row r="2308" spans="139:144" x14ac:dyDescent="0.4">
      <c r="EI2308" s="24"/>
      <c r="EJ2308" s="24"/>
      <c r="EK2308" s="24"/>
      <c r="EL2308" s="24"/>
      <c r="EM2308" s="24"/>
      <c r="EN2308" s="24"/>
    </row>
    <row r="2309" spans="139:144" x14ac:dyDescent="0.4">
      <c r="EI2309" s="24"/>
      <c r="EJ2309" s="24"/>
      <c r="EK2309" s="24"/>
      <c r="EL2309" s="24"/>
      <c r="EM2309" s="24"/>
      <c r="EN2309" s="24"/>
    </row>
    <row r="2310" spans="139:144" x14ac:dyDescent="0.4">
      <c r="EI2310" s="24"/>
      <c r="EJ2310" s="24"/>
      <c r="EK2310" s="24"/>
      <c r="EL2310" s="24"/>
      <c r="EM2310" s="24"/>
      <c r="EN2310" s="24"/>
    </row>
    <row r="2311" spans="139:144" x14ac:dyDescent="0.4">
      <c r="EI2311" s="24"/>
      <c r="EJ2311" s="24"/>
      <c r="EK2311" s="24"/>
      <c r="EL2311" s="24"/>
      <c r="EM2311" s="24"/>
      <c r="EN2311" s="24"/>
    </row>
    <row r="2312" spans="139:144" x14ac:dyDescent="0.4">
      <c r="EI2312" s="24"/>
      <c r="EJ2312" s="24"/>
      <c r="EK2312" s="24"/>
      <c r="EL2312" s="24"/>
      <c r="EM2312" s="24"/>
      <c r="EN2312" s="24"/>
    </row>
    <row r="2313" spans="139:144" x14ac:dyDescent="0.4">
      <c r="EI2313" s="24"/>
      <c r="EJ2313" s="24"/>
      <c r="EK2313" s="24"/>
      <c r="EL2313" s="24"/>
      <c r="EM2313" s="24"/>
      <c r="EN2313" s="24"/>
    </row>
    <row r="2314" spans="139:144" x14ac:dyDescent="0.4">
      <c r="EI2314" s="24"/>
      <c r="EJ2314" s="24"/>
      <c r="EK2314" s="24"/>
      <c r="EL2314" s="24"/>
      <c r="EM2314" s="24"/>
      <c r="EN2314" s="24"/>
    </row>
    <row r="2315" spans="139:144" x14ac:dyDescent="0.4">
      <c r="EI2315" s="24"/>
      <c r="EJ2315" s="24"/>
      <c r="EK2315" s="24"/>
      <c r="EL2315" s="24"/>
      <c r="EM2315" s="24"/>
      <c r="EN2315" s="24"/>
    </row>
    <row r="2316" spans="139:144" x14ac:dyDescent="0.4">
      <c r="EI2316" s="24"/>
      <c r="EJ2316" s="24"/>
      <c r="EK2316" s="24"/>
      <c r="EL2316" s="24"/>
      <c r="EM2316" s="24"/>
      <c r="EN2316" s="24"/>
    </row>
    <row r="2317" spans="139:144" x14ac:dyDescent="0.4">
      <c r="EI2317" s="24"/>
      <c r="EJ2317" s="24"/>
      <c r="EK2317" s="24"/>
      <c r="EL2317" s="24"/>
      <c r="EM2317" s="24"/>
      <c r="EN2317" s="24"/>
    </row>
    <row r="2318" spans="139:144" x14ac:dyDescent="0.4">
      <c r="EI2318" s="24"/>
      <c r="EJ2318" s="24"/>
      <c r="EK2318" s="24"/>
      <c r="EL2318" s="24"/>
      <c r="EM2318" s="24"/>
      <c r="EN2318" s="24"/>
    </row>
    <row r="2319" spans="139:144" x14ac:dyDescent="0.4">
      <c r="EI2319" s="24"/>
      <c r="EJ2319" s="24"/>
      <c r="EK2319" s="24"/>
      <c r="EL2319" s="24"/>
      <c r="EM2319" s="24"/>
      <c r="EN2319" s="24"/>
    </row>
    <row r="2320" spans="139:144" x14ac:dyDescent="0.4">
      <c r="EI2320" s="24"/>
      <c r="EJ2320" s="24"/>
      <c r="EK2320" s="24"/>
      <c r="EL2320" s="24"/>
      <c r="EM2320" s="24"/>
      <c r="EN2320" s="24"/>
    </row>
    <row r="2321" spans="139:144" x14ac:dyDescent="0.4">
      <c r="EI2321" s="24"/>
      <c r="EJ2321" s="24"/>
      <c r="EK2321" s="24"/>
      <c r="EL2321" s="24"/>
      <c r="EM2321" s="24"/>
      <c r="EN2321" s="24"/>
    </row>
    <row r="2322" spans="139:144" x14ac:dyDescent="0.4">
      <c r="EI2322" s="24"/>
      <c r="EJ2322" s="24"/>
      <c r="EK2322" s="24"/>
      <c r="EL2322" s="24"/>
      <c r="EM2322" s="24"/>
      <c r="EN2322" s="24"/>
    </row>
    <row r="2323" spans="139:144" x14ac:dyDescent="0.4">
      <c r="EI2323" s="24"/>
      <c r="EJ2323" s="24"/>
      <c r="EK2323" s="24"/>
      <c r="EL2323" s="24"/>
      <c r="EM2323" s="24"/>
      <c r="EN2323" s="24"/>
    </row>
    <row r="2324" spans="139:144" x14ac:dyDescent="0.4">
      <c r="EI2324" s="24"/>
      <c r="EJ2324" s="24"/>
      <c r="EK2324" s="24"/>
      <c r="EL2324" s="24"/>
      <c r="EM2324" s="24"/>
      <c r="EN2324" s="24"/>
    </row>
    <row r="2325" spans="139:144" x14ac:dyDescent="0.4">
      <c r="EI2325" s="24"/>
      <c r="EJ2325" s="24"/>
      <c r="EK2325" s="24"/>
      <c r="EL2325" s="24"/>
      <c r="EM2325" s="24"/>
      <c r="EN2325" s="24"/>
    </row>
    <row r="2326" spans="139:144" x14ac:dyDescent="0.4">
      <c r="EI2326" s="24"/>
      <c r="EJ2326" s="24"/>
      <c r="EK2326" s="24"/>
      <c r="EL2326" s="24"/>
      <c r="EM2326" s="24"/>
      <c r="EN2326" s="24"/>
    </row>
    <row r="2327" spans="139:144" x14ac:dyDescent="0.4">
      <c r="EI2327" s="24"/>
      <c r="EJ2327" s="24"/>
      <c r="EK2327" s="24"/>
      <c r="EL2327" s="24"/>
      <c r="EM2327" s="24"/>
      <c r="EN2327" s="24"/>
    </row>
    <row r="2328" spans="139:144" x14ac:dyDescent="0.4">
      <c r="EI2328" s="24"/>
      <c r="EJ2328" s="24"/>
      <c r="EK2328" s="24"/>
      <c r="EL2328" s="24"/>
      <c r="EM2328" s="24"/>
      <c r="EN2328" s="24"/>
    </row>
    <row r="2329" spans="139:144" x14ac:dyDescent="0.4">
      <c r="EI2329" s="24"/>
      <c r="EJ2329" s="24"/>
      <c r="EK2329" s="24"/>
      <c r="EL2329" s="24"/>
      <c r="EM2329" s="24"/>
      <c r="EN2329" s="24"/>
    </row>
    <row r="2330" spans="139:144" x14ac:dyDescent="0.4">
      <c r="EI2330" s="24"/>
      <c r="EJ2330" s="24"/>
      <c r="EK2330" s="24"/>
      <c r="EL2330" s="24"/>
      <c r="EM2330" s="24"/>
      <c r="EN2330" s="24"/>
    </row>
    <row r="2331" spans="139:144" x14ac:dyDescent="0.4">
      <c r="EI2331" s="24"/>
      <c r="EJ2331" s="24"/>
      <c r="EK2331" s="24"/>
      <c r="EL2331" s="24"/>
      <c r="EM2331" s="24"/>
      <c r="EN2331" s="24"/>
    </row>
    <row r="2332" spans="139:144" x14ac:dyDescent="0.4">
      <c r="EI2332" s="24"/>
      <c r="EJ2332" s="24"/>
      <c r="EK2332" s="24"/>
      <c r="EL2332" s="24"/>
      <c r="EM2332" s="24"/>
      <c r="EN2332" s="24"/>
    </row>
    <row r="2333" spans="139:144" x14ac:dyDescent="0.4">
      <c r="EI2333" s="24"/>
      <c r="EJ2333" s="24"/>
      <c r="EK2333" s="24"/>
      <c r="EL2333" s="24"/>
      <c r="EM2333" s="24"/>
      <c r="EN2333" s="24"/>
    </row>
  </sheetData>
  <phoneticPr fontId="26" type="noConversion"/>
  <conditionalFormatting sqref="F6:F23 F26:F6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AV39:BB39 BD39:BH39 BJ39:BQ39 DQ39:DV39 BZ39:CE39 CG39:DC39 DE39:DI39 BS39:BX39 DX39:EH39 EJ39:ER39 ET39:EX39 DK39:DO39 EZ39:FD39 AL39:AT39 J39:V39 X39:AJ39 FF39:FM39 FO39:FV39 FX39:GC39 GE39:GJ39 GL39:GO39 GY39:HK39 GQ39:GW39 HM39:HY39 IH39:XFD39 IA39:IF39" xr:uid="{00000000-0002-0000-0300-000000000000}">
      <formula1>"Revolve Backup, Revolve Redshift"</formula1>
    </dataValidation>
    <dataValidation type="list" allowBlank="1" showInputMessage="1" showErrorMessage="1" sqref="I39 AU39 BC39 BI39 DP39 BY39 CF39 DD39 DJ39 DW39 EI39 ES39 EY39 BR39 FE39 W39 AK39 FN39 FW39 GD39 GK39 GP39 GX39 HL39 HZ39 IG39" xr:uid="{00000000-0002-0000-0300-000001000000}">
      <formula1>"Revolve Backup, Revolve Redshift, Revolve Venus"</formula1>
    </dataValidation>
  </dataValidations>
  <pageMargins left="0.7" right="0.7" top="0.75" bottom="0.75" header="0.3" footer="0.3"/>
  <pageSetup orientation="portrait" horizontalDpi="300" r:id="rId1"/>
  <ignoredErrors>
    <ignoredError sqref="C23 F23" formula="1"/>
  </ignoredErrors>
  <drawing r:id="rId2"/>
  <tableParts count="2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0A17E9-6A53-4693-8450-00877F731D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Weekly</vt:lpstr>
      <vt:lpstr>Revolve</vt:lpstr>
      <vt:lpstr>FWRD</vt:lpstr>
      <vt:lpstr>SQL</vt:lpstr>
      <vt:lpstr>FWRD!Print_Area</vt:lpstr>
      <vt:lpstr>Revolve!Print_Area</vt:lpstr>
      <vt:lpstr>Weekly!Print_Area</vt:lpstr>
      <vt:lpstr>Today</vt:lpstr>
      <vt:lpstr>TodaySql</vt:lpstr>
      <vt:lpstr>YesterdaySql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Chujun Ji</cp:lastModifiedBy>
  <cp:lastPrinted>2023-02-23T17:14:36Z</cp:lastPrinted>
  <dcterms:created xsi:type="dcterms:W3CDTF">2010-07-01T16:45:03Z</dcterms:created>
  <dcterms:modified xsi:type="dcterms:W3CDTF">2023-03-07T05:24:51Z</dcterms:modified>
</cp:coreProperties>
</file>